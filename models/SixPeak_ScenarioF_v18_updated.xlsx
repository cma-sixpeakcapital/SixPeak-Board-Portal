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Dropbox (Personal)\Claude Cowork Folder\"/>
    </mc:Choice>
  </mc:AlternateContent>
  <xr:revisionPtr revIDLastSave="0" documentId="13_ncr:1_{6912A2B2-CC70-49F8-B42F-55B857B32842}" xr6:coauthVersionLast="47" xr6:coauthVersionMax="47" xr10:uidLastSave="{00000000-0000-0000-0000-000000000000}"/>
  <bookViews>
    <workbookView xWindow="29940" yWindow="1020" windowWidth="43200" windowHeight="19740" tabRatio="500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B14" i="13"/>
  <c r="D14" i="13" s="1"/>
  <c r="D9" i="13"/>
  <c r="B8" i="13"/>
  <c r="B7" i="13"/>
  <c r="BX106" i="12"/>
  <c r="CC105" i="12"/>
  <c r="BM105" i="12"/>
  <c r="AW105" i="12"/>
  <c r="AG105" i="12"/>
  <c r="CA104" i="12"/>
  <c r="BZ104" i="12"/>
  <c r="BP104" i="12"/>
  <c r="BO104" i="12"/>
  <c r="BB104" i="12"/>
  <c r="AQ104" i="12"/>
  <c r="AQ105" i="12" s="1"/>
  <c r="AM104" i="12"/>
  <c r="O104" i="12"/>
  <c r="N104" i="12"/>
  <c r="C104" i="12"/>
  <c r="CH103" i="12"/>
  <c r="CG103" i="12"/>
  <c r="CF103" i="12"/>
  <c r="J20" i="12" s="1"/>
  <c r="CE103" i="12"/>
  <c r="CE104" i="12" s="1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BL103" i="12"/>
  <c r="BK103" i="12"/>
  <c r="BJ103" i="12"/>
  <c r="BI103" i="12"/>
  <c r="BH103" i="12"/>
  <c r="H20" i="12" s="1"/>
  <c r="BG103" i="12"/>
  <c r="BG104" i="12" s="1"/>
  <c r="BG105" i="12" s="1"/>
  <c r="BF103" i="12"/>
  <c r="BE103" i="12"/>
  <c r="BD103" i="12"/>
  <c r="BC103" i="12"/>
  <c r="BB103" i="12"/>
  <c r="BA103" i="12"/>
  <c r="AZ103" i="12"/>
  <c r="AY103" i="12"/>
  <c r="AX103" i="12"/>
  <c r="AW103" i="12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S104" i="12" s="1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CH102" i="12"/>
  <c r="CH104" i="12" s="1"/>
  <c r="CG102" i="12"/>
  <c r="CG104" i="12" s="1"/>
  <c r="CF102" i="12"/>
  <c r="CE102" i="12"/>
  <c r="CD102" i="12"/>
  <c r="CC102" i="12"/>
  <c r="CC104" i="12" s="1"/>
  <c r="CC106" i="12" s="1"/>
  <c r="CB102" i="12"/>
  <c r="CA102" i="12"/>
  <c r="BZ102" i="12"/>
  <c r="BY102" i="12"/>
  <c r="BX102" i="12"/>
  <c r="BX104" i="12" s="1"/>
  <c r="BX105" i="12" s="1"/>
  <c r="BW102" i="12"/>
  <c r="BV102" i="12"/>
  <c r="BU102" i="12"/>
  <c r="BU104" i="12" s="1"/>
  <c r="BT102" i="12"/>
  <c r="BS102" i="12"/>
  <c r="BS104" i="12" s="1"/>
  <c r="BR102" i="12"/>
  <c r="BR104" i="12" s="1"/>
  <c r="BQ102" i="12"/>
  <c r="BQ104" i="12" s="1"/>
  <c r="BP102" i="12"/>
  <c r="BO102" i="12"/>
  <c r="BN102" i="12"/>
  <c r="BM102" i="12"/>
  <c r="BM104" i="12" s="1"/>
  <c r="BL102" i="12"/>
  <c r="BK102" i="12"/>
  <c r="BK104" i="12" s="1"/>
  <c r="BJ102" i="12"/>
  <c r="BJ104" i="12" s="1"/>
  <c r="BI102" i="12"/>
  <c r="BI104" i="12" s="1"/>
  <c r="BH102" i="12"/>
  <c r="BH104" i="12" s="1"/>
  <c r="BG102" i="12"/>
  <c r="BF102" i="12"/>
  <c r="BE102" i="12"/>
  <c r="BE104" i="12" s="1"/>
  <c r="BD102" i="12"/>
  <c r="BC102" i="12"/>
  <c r="BC104" i="12" s="1"/>
  <c r="BB102" i="12"/>
  <c r="BA102" i="12"/>
  <c r="BA104" i="12" s="1"/>
  <c r="AZ102" i="12"/>
  <c r="AZ104" i="12" s="1"/>
  <c r="AY102" i="12"/>
  <c r="AX102" i="12"/>
  <c r="AW102" i="12"/>
  <c r="AW104" i="12" s="1"/>
  <c r="AW106" i="12" s="1"/>
  <c r="AV102" i="12"/>
  <c r="AU102" i="12"/>
  <c r="AU104" i="12" s="1"/>
  <c r="AT102" i="12"/>
  <c r="AT104" i="12" s="1"/>
  <c r="AS102" i="12"/>
  <c r="AS104" i="12" s="1"/>
  <c r="AR102" i="12"/>
  <c r="AR104" i="12" s="1"/>
  <c r="AR105" i="12" s="1"/>
  <c r="AQ102" i="12"/>
  <c r="AP102" i="12"/>
  <c r="AO102" i="12"/>
  <c r="AO104" i="12" s="1"/>
  <c r="AN102" i="12"/>
  <c r="AM102" i="12"/>
  <c r="AL102" i="12"/>
  <c r="AL104" i="12" s="1"/>
  <c r="AK102" i="12"/>
  <c r="AK104" i="12" s="1"/>
  <c r="AJ102" i="12"/>
  <c r="AI102" i="12"/>
  <c r="AH102" i="12"/>
  <c r="AG102" i="12"/>
  <c r="AG104" i="12" s="1"/>
  <c r="AF102" i="12"/>
  <c r="AE102" i="12"/>
  <c r="AE104" i="12" s="1"/>
  <c r="AD102" i="12"/>
  <c r="AD104" i="12" s="1"/>
  <c r="AC102" i="12"/>
  <c r="AC104" i="12" s="1"/>
  <c r="AB102" i="12"/>
  <c r="AB104" i="12" s="1"/>
  <c r="AA102" i="12"/>
  <c r="Z102" i="12"/>
  <c r="Y102" i="12"/>
  <c r="Y104" i="12" s="1"/>
  <c r="X102" i="12"/>
  <c r="W102" i="12"/>
  <c r="W104" i="12" s="1"/>
  <c r="V102" i="12"/>
  <c r="V104" i="12" s="1"/>
  <c r="U102" i="12"/>
  <c r="U104" i="12" s="1"/>
  <c r="T102" i="12"/>
  <c r="T104" i="12" s="1"/>
  <c r="S102" i="12"/>
  <c r="R102" i="12"/>
  <c r="Q102" i="12"/>
  <c r="Q104" i="12" s="1"/>
  <c r="Q105" i="12" s="1"/>
  <c r="P102" i="12"/>
  <c r="O102" i="12"/>
  <c r="N102" i="12"/>
  <c r="M102" i="12"/>
  <c r="M104" i="12" s="1"/>
  <c r="L102" i="12"/>
  <c r="K102" i="12"/>
  <c r="J102" i="12"/>
  <c r="I102" i="12"/>
  <c r="I104" i="12" s="1"/>
  <c r="H102" i="12"/>
  <c r="G102" i="12"/>
  <c r="G104" i="12" s="1"/>
  <c r="F102" i="12"/>
  <c r="F104" i="12" s="1"/>
  <c r="E102" i="12"/>
  <c r="E104" i="12" s="1"/>
  <c r="D102" i="12"/>
  <c r="D104" i="12" s="1"/>
  <c r="C102" i="12"/>
  <c r="B101" i="12"/>
  <c r="B100" i="12"/>
  <c r="B99" i="12"/>
  <c r="I20" i="12"/>
  <c r="H19" i="12"/>
  <c r="J18" i="12"/>
  <c r="I18" i="12"/>
  <c r="H18" i="12"/>
  <c r="G18" i="12"/>
  <c r="F18" i="12"/>
  <c r="E18" i="12"/>
  <c r="D18" i="12"/>
  <c r="C18" i="12"/>
  <c r="B18" i="12" s="1"/>
  <c r="J17" i="12"/>
  <c r="I17" i="12"/>
  <c r="H17" i="12"/>
  <c r="G17" i="12"/>
  <c r="F17" i="12"/>
  <c r="E17" i="12"/>
  <c r="D17" i="12"/>
  <c r="C17" i="12"/>
  <c r="B17" i="12" s="1"/>
  <c r="J16" i="12"/>
  <c r="I16" i="12"/>
  <c r="H16" i="12"/>
  <c r="G16" i="12"/>
  <c r="F16" i="12"/>
  <c r="E16" i="12"/>
  <c r="D16" i="12"/>
  <c r="C16" i="12"/>
  <c r="B16" i="12"/>
  <c r="C25" i="11"/>
  <c r="C22" i="11"/>
  <c r="C19" i="11"/>
  <c r="C20" i="11" s="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CH13" i="11"/>
  <c r="CG13" i="11"/>
  <c r="CF13" i="11"/>
  <c r="CE13" i="11"/>
  <c r="CD13" i="11"/>
  <c r="CC13" i="11"/>
  <c r="CB13" i="11"/>
  <c r="CA13" i="11"/>
  <c r="BZ13" i="11"/>
  <c r="BY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CH12" i="11"/>
  <c r="CG12" i="11"/>
  <c r="CF12" i="11"/>
  <c r="CE12" i="11"/>
  <c r="CD12" i="11"/>
  <c r="CC12" i="11"/>
  <c r="CB12" i="11"/>
  <c r="CA12" i="11"/>
  <c r="BZ12" i="11"/>
  <c r="BY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CH11" i="11"/>
  <c r="CG11" i="11"/>
  <c r="CF11" i="11"/>
  <c r="CE11" i="11"/>
  <c r="CD11" i="11"/>
  <c r="CC11" i="11"/>
  <c r="CB11" i="11"/>
  <c r="CA11" i="11"/>
  <c r="BZ11" i="11"/>
  <c r="BY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H10" i="11"/>
  <c r="CG10" i="11"/>
  <c r="CF10" i="11"/>
  <c r="CE10" i="11"/>
  <c r="CD10" i="11"/>
  <c r="CC10" i="11"/>
  <c r="CB10" i="11"/>
  <c r="CA10" i="11"/>
  <c r="BZ10" i="11"/>
  <c r="BY10" i="11"/>
  <c r="BX10" i="11"/>
  <c r="BW10" i="11"/>
  <c r="BV10" i="11"/>
  <c r="BU10" i="11"/>
  <c r="BT10" i="11"/>
  <c r="BS10" i="11"/>
  <c r="BR10" i="11"/>
  <c r="BQ10" i="11"/>
  <c r="BP10" i="11"/>
  <c r="BO10" i="11"/>
  <c r="BN10" i="11"/>
  <c r="BM10" i="11"/>
  <c r="BL10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CH9" i="11"/>
  <c r="CG9" i="11"/>
  <c r="CF9" i="11"/>
  <c r="CE9" i="11"/>
  <c r="CD9" i="11"/>
  <c r="CC9" i="11"/>
  <c r="CB9" i="11"/>
  <c r="CA9" i="11"/>
  <c r="BZ9" i="11"/>
  <c r="BY9" i="11"/>
  <c r="BX9" i="11"/>
  <c r="BW9" i="11"/>
  <c r="BV9" i="11"/>
  <c r="BU9" i="11"/>
  <c r="BT9" i="11"/>
  <c r="BS9" i="11"/>
  <c r="BR9" i="11"/>
  <c r="BQ9" i="11"/>
  <c r="BP9" i="11"/>
  <c r="BO9" i="11"/>
  <c r="BN9" i="11"/>
  <c r="BM9" i="11"/>
  <c r="BL9" i="11"/>
  <c r="BK9" i="11"/>
  <c r="BJ9" i="11"/>
  <c r="BI9" i="11"/>
  <c r="BH9" i="11"/>
  <c r="BG9" i="11"/>
  <c r="BF9" i="11"/>
  <c r="BE9" i="11"/>
  <c r="BD9" i="1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CH8" i="11"/>
  <c r="CH16" i="11" s="1"/>
  <c r="CG8" i="11"/>
  <c r="CG16" i="11" s="1"/>
  <c r="CF8" i="11"/>
  <c r="CF16" i="11" s="1"/>
  <c r="CE8" i="11"/>
  <c r="CE16" i="11" s="1"/>
  <c r="CD8" i="11"/>
  <c r="CD16" i="11" s="1"/>
  <c r="CC8" i="11"/>
  <c r="CB8" i="11"/>
  <c r="CA8" i="11"/>
  <c r="CA16" i="11" s="1"/>
  <c r="BZ8" i="11"/>
  <c r="BZ16" i="11" s="1"/>
  <c r="BY8" i="11"/>
  <c r="BY16" i="11" s="1"/>
  <c r="BX8" i="11"/>
  <c r="BX16" i="11" s="1"/>
  <c r="BW8" i="11"/>
  <c r="BW16" i="11" s="1"/>
  <c r="BV8" i="11"/>
  <c r="BV16" i="11" s="1"/>
  <c r="BU8" i="11"/>
  <c r="BT8" i="11"/>
  <c r="BS8" i="11"/>
  <c r="BS16" i="11" s="1"/>
  <c r="BR8" i="11"/>
  <c r="BR16" i="11" s="1"/>
  <c r="BQ8" i="11"/>
  <c r="BQ16" i="11" s="1"/>
  <c r="BP8" i="11"/>
  <c r="BP16" i="11" s="1"/>
  <c r="BO8" i="11"/>
  <c r="BO16" i="11" s="1"/>
  <c r="BN8" i="11"/>
  <c r="BN16" i="11" s="1"/>
  <c r="BM8" i="11"/>
  <c r="BL8" i="11"/>
  <c r="BK8" i="11"/>
  <c r="BK16" i="11" s="1"/>
  <c r="BJ8" i="11"/>
  <c r="BJ16" i="11" s="1"/>
  <c r="BI8" i="11"/>
  <c r="BI16" i="11" s="1"/>
  <c r="BH8" i="11"/>
  <c r="BH16" i="11" s="1"/>
  <c r="BG8" i="11"/>
  <c r="BG16" i="11" s="1"/>
  <c r="BF8" i="11"/>
  <c r="BF16" i="11" s="1"/>
  <c r="BE8" i="11"/>
  <c r="BD8" i="11"/>
  <c r="BC8" i="11"/>
  <c r="BC16" i="11" s="1"/>
  <c r="BB8" i="11"/>
  <c r="BB16" i="11" s="1"/>
  <c r="BA8" i="11"/>
  <c r="BA16" i="11" s="1"/>
  <c r="AZ8" i="11"/>
  <c r="AZ16" i="11" s="1"/>
  <c r="AY8" i="11"/>
  <c r="AY16" i="11" s="1"/>
  <c r="AX8" i="11"/>
  <c r="AX16" i="11" s="1"/>
  <c r="AW8" i="11"/>
  <c r="AV8" i="11"/>
  <c r="AU8" i="11"/>
  <c r="AU16" i="11" s="1"/>
  <c r="AT8" i="11"/>
  <c r="AT16" i="11" s="1"/>
  <c r="AS8" i="11"/>
  <c r="AS16" i="11" s="1"/>
  <c r="AR8" i="11"/>
  <c r="AR16" i="11" s="1"/>
  <c r="AQ8" i="11"/>
  <c r="AQ16" i="11" s="1"/>
  <c r="AP8" i="11"/>
  <c r="AP16" i="11" s="1"/>
  <c r="AO8" i="11"/>
  <c r="AN8" i="11"/>
  <c r="AM8" i="11"/>
  <c r="AM16" i="11" s="1"/>
  <c r="AL8" i="11"/>
  <c r="AL16" i="11" s="1"/>
  <c r="AK8" i="11"/>
  <c r="AK16" i="11" s="1"/>
  <c r="AJ8" i="11"/>
  <c r="AJ16" i="11" s="1"/>
  <c r="AI8" i="11"/>
  <c r="AI16" i="11" s="1"/>
  <c r="AH8" i="11"/>
  <c r="AH16" i="11" s="1"/>
  <c r="AG8" i="11"/>
  <c r="AF8" i="11"/>
  <c r="AE8" i="11"/>
  <c r="AE16" i="11" s="1"/>
  <c r="AD8" i="11"/>
  <c r="AD16" i="11" s="1"/>
  <c r="AC8" i="11"/>
  <c r="AC16" i="11" s="1"/>
  <c r="AB8" i="11"/>
  <c r="AB16" i="11" s="1"/>
  <c r="AA8" i="11"/>
  <c r="AA16" i="11" s="1"/>
  <c r="Z8" i="11"/>
  <c r="Z16" i="11" s="1"/>
  <c r="Y8" i="11"/>
  <c r="X8" i="11"/>
  <c r="W8" i="11"/>
  <c r="W16" i="11" s="1"/>
  <c r="V8" i="11"/>
  <c r="V16" i="11" s="1"/>
  <c r="U8" i="11"/>
  <c r="U16" i="11" s="1"/>
  <c r="T8" i="11"/>
  <c r="T16" i="11" s="1"/>
  <c r="S8" i="11"/>
  <c r="S16" i="11" s="1"/>
  <c r="R8" i="11"/>
  <c r="R16" i="11" s="1"/>
  <c r="Q8" i="11"/>
  <c r="P8" i="11"/>
  <c r="O8" i="11"/>
  <c r="O16" i="11" s="1"/>
  <c r="N8" i="11"/>
  <c r="N16" i="11" s="1"/>
  <c r="M8" i="11"/>
  <c r="M16" i="11" s="1"/>
  <c r="L8" i="11"/>
  <c r="L16" i="11" s="1"/>
  <c r="K8" i="11"/>
  <c r="K16" i="11" s="1"/>
  <c r="J8" i="11"/>
  <c r="J16" i="11" s="1"/>
  <c r="I8" i="11"/>
  <c r="H8" i="11"/>
  <c r="G8" i="11"/>
  <c r="G16" i="11" s="1"/>
  <c r="F8" i="11"/>
  <c r="F16" i="11" s="1"/>
  <c r="E8" i="11"/>
  <c r="E16" i="11" s="1"/>
  <c r="D8" i="11"/>
  <c r="D16" i="11" s="1"/>
  <c r="C8" i="11"/>
  <c r="C16" i="11" s="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2" i="8"/>
  <c r="B59" i="7"/>
  <c r="B42" i="7"/>
  <c r="B35" i="7"/>
  <c r="B12" i="7"/>
  <c r="B11" i="7"/>
  <c r="B7" i="7"/>
  <c r="B10" i="7" s="1"/>
  <c r="D99" i="5"/>
  <c r="C99" i="5"/>
  <c r="B99" i="5"/>
  <c r="E98" i="5"/>
  <c r="E99" i="5" s="1"/>
  <c r="D98" i="5"/>
  <c r="C98" i="5"/>
  <c r="B98" i="5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H21" i="4"/>
  <c r="CH20" i="4"/>
  <c r="CH22" i="4" s="1"/>
  <c r="CG20" i="4"/>
  <c r="CG22" i="4" s="1"/>
  <c r="CF20" i="4"/>
  <c r="CF22" i="4" s="1"/>
  <c r="CE20" i="4"/>
  <c r="CE22" i="4" s="1"/>
  <c r="CD20" i="4"/>
  <c r="CD22" i="4" s="1"/>
  <c r="CC20" i="4"/>
  <c r="CC22" i="4" s="1"/>
  <c r="CB20" i="4"/>
  <c r="CB22" i="4" s="1"/>
  <c r="CA20" i="4"/>
  <c r="CA22" i="4" s="1"/>
  <c r="BZ20" i="4"/>
  <c r="BZ22" i="4" s="1"/>
  <c r="BY20" i="4"/>
  <c r="BY22" i="4" s="1"/>
  <c r="BX20" i="4"/>
  <c r="BX22" i="4" s="1"/>
  <c r="BW20" i="4"/>
  <c r="BW22" i="4" s="1"/>
  <c r="BV20" i="4"/>
  <c r="BV22" i="4" s="1"/>
  <c r="BU20" i="4"/>
  <c r="BU22" i="4" s="1"/>
  <c r="BT20" i="4"/>
  <c r="BT22" i="4" s="1"/>
  <c r="BS20" i="4"/>
  <c r="BS22" i="4" s="1"/>
  <c r="BR20" i="4"/>
  <c r="BR22" i="4" s="1"/>
  <c r="BQ20" i="4"/>
  <c r="BQ22" i="4" s="1"/>
  <c r="BP20" i="4"/>
  <c r="BP22" i="4" s="1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J22" i="4" s="1"/>
  <c r="BI20" i="4"/>
  <c r="BI22" i="4" s="1"/>
  <c r="BH20" i="4"/>
  <c r="BH22" i="4" s="1"/>
  <c r="BG20" i="4"/>
  <c r="BG22" i="4" s="1"/>
  <c r="BF20" i="4"/>
  <c r="BF22" i="4" s="1"/>
  <c r="BE20" i="4"/>
  <c r="BE22" i="4" s="1"/>
  <c r="BD20" i="4"/>
  <c r="BD22" i="4" s="1"/>
  <c r="BC20" i="4"/>
  <c r="BC22" i="4" s="1"/>
  <c r="BB20" i="4"/>
  <c r="BB22" i="4" s="1"/>
  <c r="BA20" i="4"/>
  <c r="BA22" i="4" s="1"/>
  <c r="AZ20" i="4"/>
  <c r="AZ22" i="4" s="1"/>
  <c r="AY20" i="4"/>
  <c r="AY22" i="4" s="1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S22" i="4" s="1"/>
  <c r="AR20" i="4"/>
  <c r="AR22" i="4" s="1"/>
  <c r="AQ20" i="4"/>
  <c r="AQ22" i="4" s="1"/>
  <c r="AP20" i="4"/>
  <c r="AP22" i="4" s="1"/>
  <c r="AO20" i="4"/>
  <c r="AO22" i="4" s="1"/>
  <c r="AN20" i="4"/>
  <c r="AN22" i="4" s="1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G22" i="4" s="1"/>
  <c r="AF20" i="4"/>
  <c r="AF22" i="4" s="1"/>
  <c r="AE20" i="4"/>
  <c r="AE22" i="4" s="1"/>
  <c r="AD20" i="4"/>
  <c r="AD22" i="4" s="1"/>
  <c r="AC20" i="4"/>
  <c r="AC22" i="4" s="1"/>
  <c r="AB20" i="4"/>
  <c r="AB22" i="4" s="1"/>
  <c r="AA20" i="4"/>
  <c r="AA22" i="4" s="1"/>
  <c r="G20" i="4"/>
  <c r="G22" i="4" s="1"/>
  <c r="F20" i="4"/>
  <c r="F22" i="4" s="1"/>
  <c r="E20" i="4"/>
  <c r="E22" i="4" s="1"/>
  <c r="D20" i="4"/>
  <c r="D22" i="4" s="1"/>
  <c r="C20" i="4"/>
  <c r="C22" i="4" s="1"/>
  <c r="C23" i="4" s="1"/>
  <c r="D23" i="4" s="1"/>
  <c r="G15" i="4"/>
  <c r="CH14" i="4"/>
  <c r="CH16" i="4" s="1"/>
  <c r="CG14" i="4"/>
  <c r="CG16" i="4" s="1"/>
  <c r="CF14" i="4"/>
  <c r="CF16" i="4" s="1"/>
  <c r="CE14" i="4"/>
  <c r="CE16" i="4" s="1"/>
  <c r="CD14" i="4"/>
  <c r="CD16" i="4" s="1"/>
  <c r="CC14" i="4"/>
  <c r="CC16" i="4" s="1"/>
  <c r="CB14" i="4"/>
  <c r="CB16" i="4" s="1"/>
  <c r="CA14" i="4"/>
  <c r="CA16" i="4" s="1"/>
  <c r="BZ14" i="4"/>
  <c r="BZ16" i="4" s="1"/>
  <c r="BY14" i="4"/>
  <c r="BY16" i="4" s="1"/>
  <c r="BX14" i="4"/>
  <c r="BX16" i="4" s="1"/>
  <c r="BW14" i="4"/>
  <c r="BW16" i="4" s="1"/>
  <c r="BV14" i="4"/>
  <c r="BV16" i="4" s="1"/>
  <c r="BU14" i="4"/>
  <c r="BU16" i="4" s="1"/>
  <c r="BT14" i="4"/>
  <c r="BT16" i="4" s="1"/>
  <c r="BS14" i="4"/>
  <c r="BS16" i="4" s="1"/>
  <c r="BR14" i="4"/>
  <c r="BR16" i="4" s="1"/>
  <c r="BQ14" i="4"/>
  <c r="BQ16" i="4" s="1"/>
  <c r="BP14" i="4"/>
  <c r="BP16" i="4" s="1"/>
  <c r="BO14" i="4"/>
  <c r="BO16" i="4" s="1"/>
  <c r="BN14" i="4"/>
  <c r="BN16" i="4" s="1"/>
  <c r="BM14" i="4"/>
  <c r="BM16" i="4" s="1"/>
  <c r="BL14" i="4"/>
  <c r="BL16" i="4" s="1"/>
  <c r="BK14" i="4"/>
  <c r="BK16" i="4" s="1"/>
  <c r="BJ14" i="4"/>
  <c r="BJ16" i="4" s="1"/>
  <c r="BI14" i="4"/>
  <c r="BI16" i="4" s="1"/>
  <c r="BH14" i="4"/>
  <c r="BH16" i="4" s="1"/>
  <c r="BG14" i="4"/>
  <c r="BG16" i="4" s="1"/>
  <c r="BF14" i="4"/>
  <c r="BF16" i="4" s="1"/>
  <c r="BE14" i="4"/>
  <c r="BE16" i="4" s="1"/>
  <c r="BD14" i="4"/>
  <c r="BD16" i="4" s="1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X16" i="4" s="1"/>
  <c r="AW14" i="4"/>
  <c r="AW16" i="4" s="1"/>
  <c r="AV14" i="4"/>
  <c r="AV16" i="4" s="1"/>
  <c r="AU14" i="4"/>
  <c r="AU16" i="4" s="1"/>
  <c r="AT14" i="4"/>
  <c r="AT16" i="4" s="1"/>
  <c r="AS14" i="4"/>
  <c r="AS16" i="4" s="1"/>
  <c r="AR14" i="4"/>
  <c r="AR16" i="4" s="1"/>
  <c r="AQ14" i="4"/>
  <c r="AQ16" i="4" s="1"/>
  <c r="AP14" i="4"/>
  <c r="AP16" i="4" s="1"/>
  <c r="AO14" i="4"/>
  <c r="AO16" i="4" s="1"/>
  <c r="AN14" i="4"/>
  <c r="AN16" i="4" s="1"/>
  <c r="AM14" i="4"/>
  <c r="AM16" i="4" s="1"/>
  <c r="AL14" i="4"/>
  <c r="AL16" i="4" s="1"/>
  <c r="AK14" i="4"/>
  <c r="AK16" i="4" s="1"/>
  <c r="AJ14" i="4"/>
  <c r="AJ16" i="4" s="1"/>
  <c r="AI14" i="4"/>
  <c r="AI16" i="4" s="1"/>
  <c r="AH14" i="4"/>
  <c r="AH16" i="4" s="1"/>
  <c r="AG14" i="4"/>
  <c r="AG16" i="4" s="1"/>
  <c r="AF14" i="4"/>
  <c r="AF16" i="4" s="1"/>
  <c r="AE14" i="4"/>
  <c r="AE16" i="4" s="1"/>
  <c r="AD14" i="4"/>
  <c r="AD16" i="4" s="1"/>
  <c r="AC14" i="4"/>
  <c r="AC16" i="4" s="1"/>
  <c r="AB14" i="4"/>
  <c r="AB16" i="4" s="1"/>
  <c r="AA14" i="4"/>
  <c r="AA16" i="4" s="1"/>
  <c r="Z14" i="4"/>
  <c r="Z16" i="4" s="1"/>
  <c r="F14" i="4"/>
  <c r="F16" i="4" s="1"/>
  <c r="E14" i="4"/>
  <c r="E16" i="4" s="1"/>
  <c r="D14" i="4"/>
  <c r="D16" i="4" s="1"/>
  <c r="C14" i="4"/>
  <c r="C16" i="4" s="1"/>
  <c r="C17" i="4" s="1"/>
  <c r="CH9" i="4"/>
  <c r="CH10" i="4" s="1"/>
  <c r="CG9" i="4"/>
  <c r="CG10" i="4" s="1"/>
  <c r="CF9" i="4"/>
  <c r="CF10" i="4" s="1"/>
  <c r="CE9" i="4"/>
  <c r="CE10" i="4" s="1"/>
  <c r="CD9" i="4"/>
  <c r="CD10" i="4" s="1"/>
  <c r="CC9" i="4"/>
  <c r="CC10" i="4" s="1"/>
  <c r="CB9" i="4"/>
  <c r="CB10" i="4" s="1"/>
  <c r="CA9" i="4"/>
  <c r="CA10" i="4" s="1"/>
  <c r="BZ9" i="4"/>
  <c r="BZ10" i="4" s="1"/>
  <c r="BY9" i="4"/>
  <c r="BY10" i="4" s="1"/>
  <c r="BX9" i="4"/>
  <c r="BX10" i="4" s="1"/>
  <c r="BW9" i="4"/>
  <c r="BW10" i="4" s="1"/>
  <c r="BV9" i="4"/>
  <c r="BV10" i="4" s="1"/>
  <c r="BU9" i="4"/>
  <c r="BU10" i="4" s="1"/>
  <c r="BT9" i="4"/>
  <c r="BT10" i="4" s="1"/>
  <c r="BS9" i="4"/>
  <c r="BS10" i="4" s="1"/>
  <c r="BR9" i="4"/>
  <c r="BR10" i="4" s="1"/>
  <c r="BQ9" i="4"/>
  <c r="BQ10" i="4" s="1"/>
  <c r="BP9" i="4"/>
  <c r="BP10" i="4" s="1"/>
  <c r="BO9" i="4"/>
  <c r="BO10" i="4" s="1"/>
  <c r="BN9" i="4"/>
  <c r="BN10" i="4" s="1"/>
  <c r="BM9" i="4"/>
  <c r="BM10" i="4" s="1"/>
  <c r="BL9" i="4"/>
  <c r="BL10" i="4" s="1"/>
  <c r="BK9" i="4"/>
  <c r="BK10" i="4" s="1"/>
  <c r="BJ9" i="4"/>
  <c r="BJ10" i="4" s="1"/>
  <c r="BI9" i="4"/>
  <c r="BI10" i="4" s="1"/>
  <c r="BH9" i="4"/>
  <c r="BH10" i="4" s="1"/>
  <c r="BG9" i="4"/>
  <c r="BG10" i="4" s="1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Z10" i="4" s="1"/>
  <c r="AY9" i="4"/>
  <c r="AY10" i="4" s="1"/>
  <c r="AX9" i="4"/>
  <c r="AX10" i="4" s="1"/>
  <c r="AW9" i="4"/>
  <c r="AW10" i="4" s="1"/>
  <c r="AV9" i="4"/>
  <c r="AV10" i="4" s="1"/>
  <c r="AU9" i="4"/>
  <c r="AU10" i="4" s="1"/>
  <c r="AT9" i="4"/>
  <c r="AT10" i="4" s="1"/>
  <c r="AS9" i="4"/>
  <c r="AS10" i="4" s="1"/>
  <c r="AR9" i="4"/>
  <c r="AR10" i="4" s="1"/>
  <c r="AQ9" i="4"/>
  <c r="AQ10" i="4" s="1"/>
  <c r="AP9" i="4"/>
  <c r="AP10" i="4" s="1"/>
  <c r="AO9" i="4"/>
  <c r="AO10" i="4" s="1"/>
  <c r="AN9" i="4"/>
  <c r="AN10" i="4" s="1"/>
  <c r="AM9" i="4"/>
  <c r="AM10" i="4" s="1"/>
  <c r="AL9" i="4"/>
  <c r="AL10" i="4" s="1"/>
  <c r="AK9" i="4"/>
  <c r="AK10" i="4" s="1"/>
  <c r="AJ9" i="4"/>
  <c r="AJ10" i="4" s="1"/>
  <c r="AI9" i="4"/>
  <c r="AI10" i="4" s="1"/>
  <c r="AH9" i="4"/>
  <c r="AH10" i="4" s="1"/>
  <c r="AG9" i="4"/>
  <c r="AG10" i="4" s="1"/>
  <c r="AF9" i="4"/>
  <c r="AF10" i="4" s="1"/>
  <c r="AE9" i="4"/>
  <c r="AE10" i="4" s="1"/>
  <c r="AD9" i="4"/>
  <c r="AD10" i="4" s="1"/>
  <c r="AB9" i="4"/>
  <c r="AB10" i="4" s="1"/>
  <c r="AA9" i="4"/>
  <c r="AA10" i="4" s="1"/>
  <c r="Y9" i="4"/>
  <c r="Y10" i="4" s="1"/>
  <c r="X9" i="4"/>
  <c r="X10" i="4" s="1"/>
  <c r="V9" i="4"/>
  <c r="V10" i="4" s="1"/>
  <c r="U9" i="4"/>
  <c r="U10" i="4" s="1"/>
  <c r="T9" i="4"/>
  <c r="T10" i="4" s="1"/>
  <c r="S9" i="4"/>
  <c r="S10" i="4" s="1"/>
  <c r="R9" i="4"/>
  <c r="R10" i="4" s="1"/>
  <c r="CH4" i="4"/>
  <c r="CH5" i="4" s="1"/>
  <c r="CG4" i="4"/>
  <c r="CG5" i="4" s="1"/>
  <c r="CF4" i="4"/>
  <c r="CF5" i="4" s="1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V5" i="4" s="1"/>
  <c r="BU4" i="4"/>
  <c r="BU5" i="4" s="1"/>
  <c r="BT4" i="4"/>
  <c r="BT5" i="4" s="1"/>
  <c r="BS4" i="4"/>
  <c r="BS5" i="4" s="1"/>
  <c r="BR4" i="4"/>
  <c r="BR5" i="4" s="1"/>
  <c r="BQ4" i="4"/>
  <c r="BQ5" i="4" s="1"/>
  <c r="BP4" i="4"/>
  <c r="BP5" i="4" s="1"/>
  <c r="BO4" i="4"/>
  <c r="BO5" i="4" s="1"/>
  <c r="BN4" i="4"/>
  <c r="BN5" i="4" s="1"/>
  <c r="BM4" i="4"/>
  <c r="BM5" i="4" s="1"/>
  <c r="BL4" i="4"/>
  <c r="BL5" i="4" s="1"/>
  <c r="BK4" i="4"/>
  <c r="BK5" i="4" s="1"/>
  <c r="BJ4" i="4"/>
  <c r="BJ5" i="4" s="1"/>
  <c r="BI4" i="4"/>
  <c r="BI5" i="4" s="1"/>
  <c r="BH4" i="4"/>
  <c r="BH5" i="4" s="1"/>
  <c r="BG4" i="4"/>
  <c r="BG5" i="4" s="1"/>
  <c r="BF4" i="4"/>
  <c r="BF5" i="4" s="1"/>
  <c r="BE4" i="4"/>
  <c r="BE5" i="4" s="1"/>
  <c r="BD4" i="4"/>
  <c r="BD5" i="4" s="1"/>
  <c r="BC4" i="4"/>
  <c r="BC5" i="4" s="1"/>
  <c r="BB4" i="4"/>
  <c r="BB5" i="4" s="1"/>
  <c r="BA4" i="4"/>
  <c r="BA5" i="4" s="1"/>
  <c r="AZ4" i="4"/>
  <c r="AZ5" i="4" s="1"/>
  <c r="AY4" i="4"/>
  <c r="AY5" i="4" s="1"/>
  <c r="AX4" i="4"/>
  <c r="AX5" i="4" s="1"/>
  <c r="AW4" i="4"/>
  <c r="AW5" i="4" s="1"/>
  <c r="AV4" i="4"/>
  <c r="AV5" i="4" s="1"/>
  <c r="AU4" i="4"/>
  <c r="AU5" i="4" s="1"/>
  <c r="AT4" i="4"/>
  <c r="AT5" i="4" s="1"/>
  <c r="AS4" i="4"/>
  <c r="AS5" i="4" s="1"/>
  <c r="AR4" i="4"/>
  <c r="AR5" i="4" s="1"/>
  <c r="AQ4" i="4"/>
  <c r="AQ5" i="4" s="1"/>
  <c r="AP4" i="4"/>
  <c r="AP5" i="4" s="1"/>
  <c r="AO4" i="4"/>
  <c r="AO5" i="4" s="1"/>
  <c r="AN4" i="4"/>
  <c r="AN5" i="4" s="1"/>
  <c r="AM4" i="4"/>
  <c r="AM5" i="4" s="1"/>
  <c r="AL4" i="4"/>
  <c r="AL5" i="4" s="1"/>
  <c r="AK4" i="4"/>
  <c r="AK5" i="4" s="1"/>
  <c r="AJ4" i="4"/>
  <c r="AJ5" i="4" s="1"/>
  <c r="AI4" i="4"/>
  <c r="AI5" i="4" s="1"/>
  <c r="AH4" i="4"/>
  <c r="AH5" i="4" s="1"/>
  <c r="AG4" i="4"/>
  <c r="AG5" i="4" s="1"/>
  <c r="AF4" i="4"/>
  <c r="AF5" i="4" s="1"/>
  <c r="AE4" i="4"/>
  <c r="AE5" i="4" s="1"/>
  <c r="AD4" i="4"/>
  <c r="AD5" i="4" s="1"/>
  <c r="AC4" i="4"/>
  <c r="AC5" i="4" s="1"/>
  <c r="AB4" i="4"/>
  <c r="AB5" i="4" s="1"/>
  <c r="AA4" i="4"/>
  <c r="AA5" i="4" s="1"/>
  <c r="Z4" i="4"/>
  <c r="Z5" i="4" s="1"/>
  <c r="Y4" i="4"/>
  <c r="Y5" i="4" s="1"/>
  <c r="X4" i="4"/>
  <c r="X5" i="4" s="1"/>
  <c r="W4" i="4"/>
  <c r="W5" i="4" s="1"/>
  <c r="V4" i="4"/>
  <c r="V5" i="4" s="1"/>
  <c r="U4" i="4"/>
  <c r="U5" i="4" s="1"/>
  <c r="T4" i="4"/>
  <c r="T5" i="4" s="1"/>
  <c r="S4" i="4"/>
  <c r="S5" i="4" s="1"/>
  <c r="R4" i="4"/>
  <c r="R5" i="4" s="1"/>
  <c r="Q4" i="4"/>
  <c r="Q5" i="4" s="1"/>
  <c r="P4" i="4"/>
  <c r="P5" i="4" s="1"/>
  <c r="O4" i="4"/>
  <c r="O5" i="4" s="1"/>
  <c r="N4" i="4"/>
  <c r="N5" i="4" s="1"/>
  <c r="M4" i="4"/>
  <c r="M5" i="4" s="1"/>
  <c r="L4" i="4"/>
  <c r="L5" i="4" s="1"/>
  <c r="K4" i="4"/>
  <c r="K5" i="4" s="1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H153" i="2"/>
  <c r="CF153" i="2"/>
  <c r="CE153" i="2"/>
  <c r="CD153" i="2"/>
  <c r="CC153" i="2"/>
  <c r="CB153" i="2"/>
  <c r="CA153" i="2"/>
  <c r="BZ153" i="2"/>
  <c r="BY153" i="2"/>
  <c r="BX153" i="2"/>
  <c r="BW153" i="2"/>
  <c r="BV153" i="2"/>
  <c r="BT153" i="2"/>
  <c r="BS153" i="2"/>
  <c r="BR153" i="2"/>
  <c r="BQ153" i="2"/>
  <c r="BP153" i="2"/>
  <c r="BO153" i="2"/>
  <c r="BN153" i="2"/>
  <c r="BM153" i="2"/>
  <c r="BL153" i="2"/>
  <c r="BK153" i="2"/>
  <c r="BJ153" i="2"/>
  <c r="BH153" i="2"/>
  <c r="BG153" i="2"/>
  <c r="BF153" i="2"/>
  <c r="BE153" i="2"/>
  <c r="BD153" i="2"/>
  <c r="BC153" i="2"/>
  <c r="BB153" i="2"/>
  <c r="BA153" i="2"/>
  <c r="AZ153" i="2"/>
  <c r="AY153" i="2"/>
  <c r="AX153" i="2"/>
  <c r="AV153" i="2"/>
  <c r="AU153" i="2"/>
  <c r="AT153" i="2"/>
  <c r="AS153" i="2"/>
  <c r="AR153" i="2"/>
  <c r="AQ153" i="2"/>
  <c r="AP153" i="2"/>
  <c r="AO153" i="2"/>
  <c r="AN153" i="2"/>
  <c r="AM153" i="2"/>
  <c r="AL153" i="2"/>
  <c r="AJ153" i="2"/>
  <c r="AI153" i="2"/>
  <c r="AH153" i="2"/>
  <c r="AG153" i="2"/>
  <c r="AF153" i="2"/>
  <c r="AE153" i="2"/>
  <c r="AD153" i="2"/>
  <c r="AC153" i="2"/>
  <c r="AB153" i="2"/>
  <c r="AA153" i="2"/>
  <c r="Z153" i="2"/>
  <c r="X153" i="2"/>
  <c r="W153" i="2"/>
  <c r="V153" i="2"/>
  <c r="U153" i="2"/>
  <c r="T153" i="2"/>
  <c r="S153" i="2"/>
  <c r="R153" i="2"/>
  <c r="Q153" i="2"/>
  <c r="P153" i="2"/>
  <c r="O153" i="2"/>
  <c r="N153" i="2"/>
  <c r="L153" i="2"/>
  <c r="K153" i="2"/>
  <c r="J153" i="2"/>
  <c r="I153" i="2"/>
  <c r="H153" i="2"/>
  <c r="G153" i="2"/>
  <c r="F153" i="2"/>
  <c r="E153" i="2"/>
  <c r="D153" i="2"/>
  <c r="C153" i="2"/>
  <c r="C150" i="2"/>
  <c r="C145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H133" i="2"/>
  <c r="CG133" i="2"/>
  <c r="CF133" i="2"/>
  <c r="CE133" i="2"/>
  <c r="CD133" i="2"/>
  <c r="CC133" i="2"/>
  <c r="CB133" i="2"/>
  <c r="CA133" i="2"/>
  <c r="BZ133" i="2"/>
  <c r="BY133" i="2"/>
  <c r="BX133" i="2"/>
  <c r="BW133" i="2"/>
  <c r="BV133" i="2"/>
  <c r="BU133" i="2"/>
  <c r="BT133" i="2"/>
  <c r="BS133" i="2"/>
  <c r="BR133" i="2"/>
  <c r="BQ133" i="2"/>
  <c r="BP133" i="2"/>
  <c r="BO133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CH132" i="2"/>
  <c r="CG132" i="2"/>
  <c r="CF132" i="2"/>
  <c r="CE132" i="2"/>
  <c r="CE140" i="2" s="1"/>
  <c r="AB40" i="3" s="1"/>
  <c r="CD132" i="2"/>
  <c r="CC132" i="2"/>
  <c r="CB132" i="2"/>
  <c r="CA132" i="2"/>
  <c r="BZ132" i="2"/>
  <c r="BY132" i="2"/>
  <c r="BX132" i="2"/>
  <c r="BW132" i="2"/>
  <c r="BW140" i="2" s="1"/>
  <c r="BV132" i="2"/>
  <c r="BU132" i="2"/>
  <c r="BT132" i="2"/>
  <c r="BS132" i="2"/>
  <c r="BR132" i="2"/>
  <c r="BQ132" i="2"/>
  <c r="BP132" i="2"/>
  <c r="BO132" i="2"/>
  <c r="BO140" i="2" s="1"/>
  <c r="BN132" i="2"/>
  <c r="BM132" i="2"/>
  <c r="BL132" i="2"/>
  <c r="BK132" i="2"/>
  <c r="BJ132" i="2"/>
  <c r="BI132" i="2"/>
  <c r="BH132" i="2"/>
  <c r="BH140" i="2" s="1"/>
  <c r="BG132" i="2"/>
  <c r="BG140" i="2" s="1"/>
  <c r="T40" i="3" s="1"/>
  <c r="BF132" i="2"/>
  <c r="BE132" i="2"/>
  <c r="BD132" i="2"/>
  <c r="BC132" i="2"/>
  <c r="BB132" i="2"/>
  <c r="BA132" i="2"/>
  <c r="AZ132" i="2"/>
  <c r="AY132" i="2"/>
  <c r="AY140" i="2" s="1"/>
  <c r="AX132" i="2"/>
  <c r="AW132" i="2"/>
  <c r="AV132" i="2"/>
  <c r="AU132" i="2"/>
  <c r="AT132" i="2"/>
  <c r="AS132" i="2"/>
  <c r="AR132" i="2"/>
  <c r="AQ132" i="2"/>
  <c r="AQ140" i="2" s="1"/>
  <c r="AP132" i="2"/>
  <c r="AO132" i="2"/>
  <c r="AN132" i="2"/>
  <c r="AM132" i="2"/>
  <c r="AL132" i="2"/>
  <c r="AK132" i="2"/>
  <c r="AJ132" i="2"/>
  <c r="AI132" i="2"/>
  <c r="AI140" i="2" s="1"/>
  <c r="L40" i="3" s="1"/>
  <c r="AH132" i="2"/>
  <c r="AG132" i="2"/>
  <c r="AF132" i="2"/>
  <c r="AE132" i="2"/>
  <c r="AD132" i="2"/>
  <c r="AC132" i="2"/>
  <c r="AB132" i="2"/>
  <c r="AB140" i="2" s="1"/>
  <c r="AA132" i="2"/>
  <c r="AA140" i="2" s="1"/>
  <c r="Z132" i="2"/>
  <c r="Y132" i="2"/>
  <c r="X132" i="2"/>
  <c r="W132" i="2"/>
  <c r="V132" i="2"/>
  <c r="U132" i="2"/>
  <c r="T132" i="2"/>
  <c r="S132" i="2"/>
  <c r="S140" i="2" s="1"/>
  <c r="R132" i="2"/>
  <c r="Q132" i="2"/>
  <c r="P132" i="2"/>
  <c r="O132" i="2"/>
  <c r="N132" i="2"/>
  <c r="M132" i="2"/>
  <c r="L132" i="2"/>
  <c r="K132" i="2"/>
  <c r="K140" i="2" s="1"/>
  <c r="D40" i="3" s="1"/>
  <c r="J132" i="2"/>
  <c r="I132" i="2"/>
  <c r="H132" i="2"/>
  <c r="G132" i="2"/>
  <c r="F132" i="2"/>
  <c r="F140" i="2" s="1"/>
  <c r="E132" i="2"/>
  <c r="D132" i="2"/>
  <c r="C132" i="2"/>
  <c r="C140" i="2" s="1"/>
  <c r="O127" i="2"/>
  <c r="C125" i="2"/>
  <c r="C126" i="2" s="1"/>
  <c r="AC122" i="2"/>
  <c r="C120" i="2"/>
  <c r="C121" i="2" s="1"/>
  <c r="H115" i="2"/>
  <c r="H116" i="2" s="1"/>
  <c r="C115" i="2"/>
  <c r="G110" i="2"/>
  <c r="G111" i="2" s="1"/>
  <c r="C110" i="2"/>
  <c r="C105" i="2"/>
  <c r="C107" i="2" s="1"/>
  <c r="D105" i="2" s="1"/>
  <c r="D107" i="2" s="1"/>
  <c r="E105" i="2" s="1"/>
  <c r="E107" i="2" s="1"/>
  <c r="C98" i="2"/>
  <c r="C81" i="2"/>
  <c r="CH80" i="2"/>
  <c r="CG80" i="2"/>
  <c r="CF80" i="2"/>
  <c r="CE80" i="2"/>
  <c r="CD80" i="2"/>
  <c r="CC80" i="2"/>
  <c r="CB80" i="2"/>
  <c r="CA80" i="2"/>
  <c r="BZ80" i="2"/>
  <c r="AA27" i="3" s="1"/>
  <c r="BY80" i="2"/>
  <c r="BX80" i="2"/>
  <c r="BW80" i="2"/>
  <c r="BV80" i="2"/>
  <c r="BU80" i="2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S27" i="3" s="1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K27" i="3" s="1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H79" i="2"/>
  <c r="CG79" i="2"/>
  <c r="I26" i="1" s="1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X26" i="3" s="1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P26" i="3" s="1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H26" i="3" s="1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Z78" i="2"/>
  <c r="BN78" i="2"/>
  <c r="BB78" i="2"/>
  <c r="AP78" i="2"/>
  <c r="AD78" i="2"/>
  <c r="R78" i="2"/>
  <c r="F78" i="2"/>
  <c r="CE77" i="2"/>
  <c r="BS77" i="2"/>
  <c r="BG77" i="2"/>
  <c r="AU77" i="2"/>
  <c r="AI77" i="2"/>
  <c r="W77" i="2"/>
  <c r="K77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H61" i="2"/>
  <c r="CE61" i="2"/>
  <c r="CB61" i="2"/>
  <c r="BY61" i="2"/>
  <c r="CH60" i="2"/>
  <c r="CH32" i="4" s="1"/>
  <c r="CE60" i="2"/>
  <c r="CE32" i="4" s="1"/>
  <c r="CB60" i="2"/>
  <c r="CB32" i="4" s="1"/>
  <c r="BY60" i="2"/>
  <c r="BY32" i="4" s="1"/>
  <c r="BV60" i="2"/>
  <c r="BV32" i="4" s="1"/>
  <c r="BS60" i="2"/>
  <c r="BS32" i="4" s="1"/>
  <c r="BP60" i="2"/>
  <c r="BP32" i="4" s="1"/>
  <c r="BM60" i="2"/>
  <c r="BM32" i="4" s="1"/>
  <c r="BJ60" i="2"/>
  <c r="BJ32" i="4" s="1"/>
  <c r="BG60" i="2"/>
  <c r="BG32" i="4" s="1"/>
  <c r="BD60" i="2"/>
  <c r="BD32" i="4" s="1"/>
  <c r="BA60" i="2"/>
  <c r="CH59" i="2"/>
  <c r="CH26" i="4" s="1"/>
  <c r="CE59" i="2"/>
  <c r="CE26" i="4" s="1"/>
  <c r="CB59" i="2"/>
  <c r="CB26" i="4" s="1"/>
  <c r="BY59" i="2"/>
  <c r="BY26" i="4" s="1"/>
  <c r="BV59" i="2"/>
  <c r="BV26" i="4" s="1"/>
  <c r="BS59" i="2"/>
  <c r="BS26" i="4" s="1"/>
  <c r="BP59" i="2"/>
  <c r="BP26" i="4" s="1"/>
  <c r="BM59" i="2"/>
  <c r="BM26" i="4" s="1"/>
  <c r="BJ59" i="2"/>
  <c r="BJ26" i="4" s="1"/>
  <c r="BG59" i="2"/>
  <c r="BG26" i="4" s="1"/>
  <c r="BD59" i="2"/>
  <c r="BD26" i="4" s="1"/>
  <c r="BA59" i="2"/>
  <c r="BA26" i="4" s="1"/>
  <c r="AX59" i="2"/>
  <c r="AX26" i="4" s="1"/>
  <c r="AU59" i="2"/>
  <c r="AU26" i="4" s="1"/>
  <c r="AR59" i="2"/>
  <c r="H58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5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Y53" i="2"/>
  <c r="X53" i="2"/>
  <c r="W53" i="2"/>
  <c r="V53" i="2"/>
  <c r="U53" i="2"/>
  <c r="T53" i="2"/>
  <c r="S53" i="2"/>
  <c r="R53" i="2"/>
  <c r="Q53" i="2"/>
  <c r="P53" i="2"/>
  <c r="P14" i="4" s="1"/>
  <c r="P16" i="4" s="1"/>
  <c r="O53" i="2"/>
  <c r="N53" i="2"/>
  <c r="M53" i="2"/>
  <c r="L53" i="2"/>
  <c r="K53" i="2"/>
  <c r="J53" i="2"/>
  <c r="I53" i="2"/>
  <c r="H53" i="2"/>
  <c r="H14" i="4" s="1"/>
  <c r="H16" i="4" s="1"/>
  <c r="G53" i="2"/>
  <c r="I51" i="2"/>
  <c r="I4" i="4" s="1"/>
  <c r="I5" i="4" s="1"/>
  <c r="H51" i="2"/>
  <c r="H4" i="4" s="1"/>
  <c r="H5" i="4" s="1"/>
  <c r="G51" i="2"/>
  <c r="G4" i="4" s="1"/>
  <c r="G5" i="4" s="1"/>
  <c r="F51" i="2"/>
  <c r="F4" i="4" s="1"/>
  <c r="F5" i="4" s="1"/>
  <c r="E51" i="2"/>
  <c r="E4" i="4" s="1"/>
  <c r="E5" i="4" s="1"/>
  <c r="D51" i="2"/>
  <c r="D4" i="4" s="1"/>
  <c r="D5" i="4" s="1"/>
  <c r="C51" i="2"/>
  <c r="C4" i="4" s="1"/>
  <c r="C5" i="4" s="1"/>
  <c r="AC50" i="2"/>
  <c r="AC9" i="4" s="1"/>
  <c r="AC10" i="4" s="1"/>
  <c r="Z49" i="2"/>
  <c r="Z9" i="4" s="1"/>
  <c r="Z10" i="4" s="1"/>
  <c r="W48" i="2"/>
  <c r="W9" i="4" s="1"/>
  <c r="W10" i="4" s="1"/>
  <c r="Q47" i="2"/>
  <c r="Q9" i="4" s="1"/>
  <c r="Q10" i="4" s="1"/>
  <c r="P47" i="2"/>
  <c r="P9" i="4" s="1"/>
  <c r="P10" i="4" s="1"/>
  <c r="O47" i="2"/>
  <c r="O9" i="4" s="1"/>
  <c r="O10" i="4" s="1"/>
  <c r="N47" i="2"/>
  <c r="N9" i="4" s="1"/>
  <c r="N10" i="4" s="1"/>
  <c r="M47" i="2"/>
  <c r="M9" i="4" s="1"/>
  <c r="M10" i="4" s="1"/>
  <c r="L47" i="2"/>
  <c r="L9" i="4" s="1"/>
  <c r="L10" i="4" s="1"/>
  <c r="K47" i="2"/>
  <c r="K9" i="4" s="1"/>
  <c r="K10" i="4" s="1"/>
  <c r="J47" i="2"/>
  <c r="J9" i="4" s="1"/>
  <c r="J10" i="4" s="1"/>
  <c r="I47" i="2"/>
  <c r="I9" i="4" s="1"/>
  <c r="I10" i="4" s="1"/>
  <c r="H47" i="2"/>
  <c r="H9" i="4" s="1"/>
  <c r="H10" i="4" s="1"/>
  <c r="G47" i="2"/>
  <c r="G9" i="4" s="1"/>
  <c r="G10" i="4" s="1"/>
  <c r="F47" i="2"/>
  <c r="F9" i="4" s="1"/>
  <c r="F10" i="4" s="1"/>
  <c r="E47" i="2"/>
  <c r="E9" i="4" s="1"/>
  <c r="E10" i="4" s="1"/>
  <c r="D47" i="2"/>
  <c r="D9" i="4" s="1"/>
  <c r="D10" i="4" s="1"/>
  <c r="C47" i="2"/>
  <c r="C9" i="4" s="1"/>
  <c r="C10" i="4" s="1"/>
  <c r="C11" i="4" s="1"/>
  <c r="CH46" i="2"/>
  <c r="CG46" i="2"/>
  <c r="CF46" i="2"/>
  <c r="CE46" i="2"/>
  <c r="CD46" i="2"/>
  <c r="CD63" i="2" s="1"/>
  <c r="CC46" i="2"/>
  <c r="CC63" i="2" s="1"/>
  <c r="CB46" i="2"/>
  <c r="CA46" i="2"/>
  <c r="BZ46" i="2"/>
  <c r="BY46" i="2"/>
  <c r="BX46" i="2"/>
  <c r="BW46" i="2"/>
  <c r="BW63" i="2" s="1"/>
  <c r="BV46" i="2"/>
  <c r="BU46" i="2"/>
  <c r="BU63" i="2" s="1"/>
  <c r="BT46" i="2"/>
  <c r="BS46" i="2"/>
  <c r="BR46" i="2"/>
  <c r="BQ46" i="2"/>
  <c r="BP46" i="2"/>
  <c r="BO46" i="2"/>
  <c r="BO63" i="2" s="1"/>
  <c r="BN46" i="2"/>
  <c r="BN63" i="2" s="1"/>
  <c r="BM46" i="2"/>
  <c r="BM63" i="2" s="1"/>
  <c r="BL46" i="2"/>
  <c r="BK46" i="2"/>
  <c r="BJ46" i="2"/>
  <c r="BI46" i="2"/>
  <c r="BH46" i="2"/>
  <c r="BG46" i="2"/>
  <c r="BF46" i="2"/>
  <c r="BF63" i="2" s="1"/>
  <c r="BF90" i="2" s="1"/>
  <c r="BE46" i="2"/>
  <c r="BE63" i="2" s="1"/>
  <c r="BD46" i="2"/>
  <c r="BC46" i="2"/>
  <c r="BB46" i="2"/>
  <c r="BA46" i="2"/>
  <c r="AZ46" i="2"/>
  <c r="AY46" i="2"/>
  <c r="AY63" i="2" s="1"/>
  <c r="AX46" i="2"/>
  <c r="AW46" i="2"/>
  <c r="AW63" i="2" s="1"/>
  <c r="AV46" i="2"/>
  <c r="AU46" i="2"/>
  <c r="AT46" i="2"/>
  <c r="AS46" i="2"/>
  <c r="AR46" i="2"/>
  <c r="AQ46" i="2"/>
  <c r="AQ63" i="2" s="1"/>
  <c r="AP46" i="2"/>
  <c r="AP63" i="2" s="1"/>
  <c r="AO46" i="2"/>
  <c r="AO63" i="2" s="1"/>
  <c r="AN46" i="2"/>
  <c r="AM46" i="2"/>
  <c r="AL46" i="2"/>
  <c r="AK46" i="2"/>
  <c r="AJ46" i="2"/>
  <c r="AI46" i="2"/>
  <c r="AI63" i="2" s="1"/>
  <c r="AH46" i="2"/>
  <c r="AH63" i="2" s="1"/>
  <c r="AG46" i="2"/>
  <c r="AG63" i="2" s="1"/>
  <c r="AF46" i="2"/>
  <c r="AE46" i="2"/>
  <c r="AD46" i="2"/>
  <c r="AC46" i="2"/>
  <c r="AB46" i="2"/>
  <c r="AA46" i="2"/>
  <c r="AA63" i="2" s="1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CH8" i="2"/>
  <c r="CG8" i="2"/>
  <c r="CG12" i="2" s="1"/>
  <c r="CF8" i="2"/>
  <c r="I5" i="1" s="1"/>
  <c r="CE8" i="2"/>
  <c r="CE12" i="2" s="1"/>
  <c r="CD8" i="2"/>
  <c r="CC8" i="2"/>
  <c r="CB8" i="2"/>
  <c r="CA8" i="2"/>
  <c r="BZ8" i="2"/>
  <c r="BY8" i="2"/>
  <c r="BY12" i="2" s="1"/>
  <c r="BX8" i="2"/>
  <c r="BX12" i="2" s="1"/>
  <c r="BW8" i="2"/>
  <c r="BV8" i="2"/>
  <c r="BU8" i="2"/>
  <c r="BT8" i="2"/>
  <c r="BS8" i="2"/>
  <c r="BR8" i="2"/>
  <c r="BQ8" i="2"/>
  <c r="BP8" i="2"/>
  <c r="BP12" i="2" s="1"/>
  <c r="BO8" i="2"/>
  <c r="BO12" i="2" s="1"/>
  <c r="BN8" i="2"/>
  <c r="BM8" i="2"/>
  <c r="BL8" i="2"/>
  <c r="BK8" i="2"/>
  <c r="BJ8" i="2"/>
  <c r="BI8" i="2"/>
  <c r="BI12" i="2" s="1"/>
  <c r="BH8" i="2"/>
  <c r="BG8" i="2"/>
  <c r="BG12" i="2" s="1"/>
  <c r="BF8" i="2"/>
  <c r="BE8" i="2"/>
  <c r="BD8" i="2"/>
  <c r="BC8" i="2"/>
  <c r="BB8" i="2"/>
  <c r="BA8" i="2"/>
  <c r="BA12" i="2" s="1"/>
  <c r="AZ8" i="2"/>
  <c r="AZ12" i="2" s="1"/>
  <c r="AY8" i="2"/>
  <c r="AX8" i="2"/>
  <c r="AW8" i="2"/>
  <c r="AV8" i="2"/>
  <c r="AU8" i="2"/>
  <c r="AT8" i="2"/>
  <c r="AS8" i="2"/>
  <c r="AR8" i="2"/>
  <c r="AR12" i="2" s="1"/>
  <c r="AQ8" i="2"/>
  <c r="AQ12" i="2" s="1"/>
  <c r="AP8" i="2"/>
  <c r="AO8" i="2"/>
  <c r="AN8" i="2"/>
  <c r="AM8" i="2"/>
  <c r="AL8" i="2"/>
  <c r="AK8" i="2"/>
  <c r="AJ8" i="2"/>
  <c r="AI8" i="2"/>
  <c r="AI12" i="2" s="1"/>
  <c r="AH8" i="2"/>
  <c r="AG8" i="2"/>
  <c r="AF8" i="2"/>
  <c r="AE8" i="2"/>
  <c r="AD8" i="2"/>
  <c r="AC8" i="2"/>
  <c r="AB8" i="2"/>
  <c r="AB12" i="2" s="1"/>
  <c r="AA8" i="2"/>
  <c r="Z8" i="2"/>
  <c r="Y8" i="2"/>
  <c r="X8" i="2"/>
  <c r="W8" i="2"/>
  <c r="V8" i="2"/>
  <c r="U8" i="2"/>
  <c r="T8" i="2"/>
  <c r="T12" i="2" s="1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D12" i="2" s="1"/>
  <c r="C8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44" i="1"/>
  <c r="H40" i="1"/>
  <c r="F40" i="1"/>
  <c r="D40" i="1"/>
  <c r="B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D34" i="9"/>
  <c r="D33" i="9"/>
  <c r="D32" i="9"/>
  <c r="D31" i="9"/>
  <c r="D30" i="9"/>
  <c r="D29" i="9"/>
  <c r="AH17" i="2" s="1"/>
  <c r="D28" i="9"/>
  <c r="BV65" i="2" s="1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AO16" i="2" s="1"/>
  <c r="D2" i="9"/>
  <c r="CA16" i="2" s="1"/>
  <c r="K12" i="2" l="1"/>
  <c r="S12" i="2"/>
  <c r="E12" i="2"/>
  <c r="M12" i="2"/>
  <c r="AC12" i="2"/>
  <c r="AK12" i="2"/>
  <c r="G3" i="3"/>
  <c r="G6" i="3"/>
  <c r="O6" i="3"/>
  <c r="W6" i="3"/>
  <c r="C7" i="3"/>
  <c r="K7" i="3"/>
  <c r="S7" i="3"/>
  <c r="AA7" i="3"/>
  <c r="G8" i="3"/>
  <c r="O8" i="3"/>
  <c r="I14" i="4"/>
  <c r="I16" i="4" s="1"/>
  <c r="Q14" i="4"/>
  <c r="Q16" i="4" s="1"/>
  <c r="Y14" i="4"/>
  <c r="Y16" i="4" s="1"/>
  <c r="K20" i="4"/>
  <c r="K22" i="4" s="1"/>
  <c r="S20" i="4"/>
  <c r="S22" i="4" s="1"/>
  <c r="G26" i="3"/>
  <c r="O26" i="3"/>
  <c r="W26" i="3"/>
  <c r="C27" i="3"/>
  <c r="D27" i="3"/>
  <c r="AB27" i="3"/>
  <c r="I7" i="1"/>
  <c r="AX63" i="2"/>
  <c r="BV63" i="2"/>
  <c r="I27" i="1"/>
  <c r="H12" i="2"/>
  <c r="H89" i="2" s="1"/>
  <c r="P12" i="2"/>
  <c r="AF12" i="2"/>
  <c r="AN12" i="2"/>
  <c r="BD12" i="2"/>
  <c r="BL12" i="2"/>
  <c r="CB12" i="2"/>
  <c r="Y12" i="2"/>
  <c r="Y89" i="2" s="1"/>
  <c r="I140" i="2"/>
  <c r="Q140" i="2"/>
  <c r="F40" i="3" s="1"/>
  <c r="Y140" i="2"/>
  <c r="AG140" i="2"/>
  <c r="AO140" i="2"/>
  <c r="N40" i="3" s="1"/>
  <c r="AW140" i="2"/>
  <c r="BE140" i="2"/>
  <c r="BM140" i="2"/>
  <c r="V40" i="3" s="1"/>
  <c r="BU140" i="2"/>
  <c r="CC140" i="2"/>
  <c r="AD63" i="2"/>
  <c r="AD90" i="2" s="1"/>
  <c r="AL63" i="2"/>
  <c r="AT63" i="2"/>
  <c r="BB63" i="2"/>
  <c r="BJ63" i="2"/>
  <c r="BR63" i="2"/>
  <c r="X19" i="3" s="1"/>
  <c r="BZ63" i="2"/>
  <c r="BZ90" i="2" s="1"/>
  <c r="CH63" i="2"/>
  <c r="O20" i="4"/>
  <c r="O22" i="4" s="1"/>
  <c r="W20" i="4"/>
  <c r="W22" i="4" s="1"/>
  <c r="C26" i="3"/>
  <c r="K26" i="3"/>
  <c r="S26" i="3"/>
  <c r="AA26" i="3"/>
  <c r="AE63" i="2"/>
  <c r="AE90" i="2" s="1"/>
  <c r="AM63" i="2"/>
  <c r="AU63" i="2"/>
  <c r="BC63" i="2"/>
  <c r="BK63" i="2"/>
  <c r="BS63" i="2"/>
  <c r="CA63" i="2"/>
  <c r="D11" i="4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L3" i="3"/>
  <c r="T3" i="3"/>
  <c r="AB3" i="3"/>
  <c r="H5" i="3"/>
  <c r="P5" i="3"/>
  <c r="X5" i="3"/>
  <c r="D6" i="3"/>
  <c r="L6" i="3"/>
  <c r="T6" i="3"/>
  <c r="AB6" i="3"/>
  <c r="H7" i="3"/>
  <c r="P7" i="3"/>
  <c r="X7" i="3"/>
  <c r="D8" i="3"/>
  <c r="L8" i="3"/>
  <c r="T8" i="3"/>
  <c r="AB8" i="3"/>
  <c r="X14" i="4"/>
  <c r="X16" i="4" s="1"/>
  <c r="J20" i="4"/>
  <c r="J22" i="4" s="1"/>
  <c r="R20" i="4"/>
  <c r="R22" i="4" s="1"/>
  <c r="B26" i="1"/>
  <c r="C26" i="1"/>
  <c r="D26" i="1"/>
  <c r="E26" i="1"/>
  <c r="F26" i="1"/>
  <c r="G26" i="1"/>
  <c r="H26" i="1"/>
  <c r="C27" i="1"/>
  <c r="D27" i="1"/>
  <c r="E27" i="1"/>
  <c r="F27" i="1"/>
  <c r="G27" i="1"/>
  <c r="H27" i="1"/>
  <c r="J12" i="2"/>
  <c r="Z12" i="2"/>
  <c r="Z89" i="2" s="1"/>
  <c r="AH12" i="2"/>
  <c r="AX12" i="2"/>
  <c r="BF12" i="2"/>
  <c r="BV12" i="2"/>
  <c r="CD12" i="2"/>
  <c r="CD89" i="2" s="1"/>
  <c r="D6" i="1"/>
  <c r="G27" i="3"/>
  <c r="O27" i="3"/>
  <c r="W27" i="3"/>
  <c r="J140" i="2"/>
  <c r="R140" i="2"/>
  <c r="Z140" i="2"/>
  <c r="I40" i="3" s="1"/>
  <c r="AH140" i="2"/>
  <c r="AP140" i="2"/>
  <c r="AX140" i="2"/>
  <c r="Q40" i="3" s="1"/>
  <c r="BF140" i="2"/>
  <c r="BN140" i="2"/>
  <c r="BV140" i="2"/>
  <c r="Y40" i="3" s="1"/>
  <c r="CD140" i="2"/>
  <c r="AC63" i="2"/>
  <c r="AK63" i="2"/>
  <c r="AK90" i="2" s="1"/>
  <c r="AS63" i="2"/>
  <c r="AS90" i="2" s="1"/>
  <c r="BA63" i="2"/>
  <c r="BI63" i="2"/>
  <c r="BI90" i="2" s="1"/>
  <c r="BQ63" i="2"/>
  <c r="BY63" i="2"/>
  <c r="CG63" i="2"/>
  <c r="I3" i="3"/>
  <c r="Q3" i="3"/>
  <c r="Y3" i="3"/>
  <c r="E5" i="3"/>
  <c r="I3" i="1"/>
  <c r="I6" i="1"/>
  <c r="D5" i="1"/>
  <c r="D7" i="1"/>
  <c r="D8" i="1"/>
  <c r="D41" i="5" s="1"/>
  <c r="D12" i="1"/>
  <c r="G63" i="2"/>
  <c r="G90" i="2" s="1"/>
  <c r="O63" i="2"/>
  <c r="O90" i="2" s="1"/>
  <c r="W63" i="2"/>
  <c r="W90" i="2" s="1"/>
  <c r="M5" i="3"/>
  <c r="U5" i="3"/>
  <c r="AC5" i="3"/>
  <c r="I6" i="3"/>
  <c r="Q6" i="3"/>
  <c r="Y6" i="3"/>
  <c r="E7" i="3"/>
  <c r="M7" i="3"/>
  <c r="U7" i="3"/>
  <c r="AC7" i="3"/>
  <c r="I8" i="3"/>
  <c r="Q8" i="3"/>
  <c r="Y8" i="3"/>
  <c r="D3" i="3"/>
  <c r="N12" i="2"/>
  <c r="N89" i="2" s="1"/>
  <c r="V12" i="2"/>
  <c r="V89" i="2" s="1"/>
  <c r="AL12" i="2"/>
  <c r="AT12" i="2"/>
  <c r="BJ12" i="2"/>
  <c r="BR12" i="2"/>
  <c r="BR41" i="2" s="1"/>
  <c r="CH12" i="2"/>
  <c r="CH89" i="2" s="1"/>
  <c r="J63" i="2"/>
  <c r="J90" i="2" s="1"/>
  <c r="R63" i="2"/>
  <c r="R90" i="2" s="1"/>
  <c r="E140" i="2"/>
  <c r="B40" i="3" s="1"/>
  <c r="M140" i="2"/>
  <c r="U140" i="2"/>
  <c r="AC140" i="2"/>
  <c r="J40" i="3" s="1"/>
  <c r="AK140" i="2"/>
  <c r="AS140" i="2"/>
  <c r="BA140" i="2"/>
  <c r="R40" i="3" s="1"/>
  <c r="BI140" i="2"/>
  <c r="BQ140" i="2"/>
  <c r="N140" i="2"/>
  <c r="E40" i="3" s="1"/>
  <c r="V140" i="2"/>
  <c r="AD140" i="2"/>
  <c r="AL140" i="2"/>
  <c r="M40" i="3" s="1"/>
  <c r="AT140" i="2"/>
  <c r="BB140" i="2"/>
  <c r="BJ140" i="2"/>
  <c r="U40" i="3" s="1"/>
  <c r="BR140" i="2"/>
  <c r="BZ140" i="2"/>
  <c r="CH140" i="2"/>
  <c r="E23" i="4"/>
  <c r="AB63" i="2"/>
  <c r="J19" i="3" s="1"/>
  <c r="AJ63" i="2"/>
  <c r="BX63" i="2"/>
  <c r="BX90" i="2" s="1"/>
  <c r="G12" i="3"/>
  <c r="O12" i="3"/>
  <c r="W12" i="3"/>
  <c r="L63" i="2"/>
  <c r="L90" i="2" s="1"/>
  <c r="T63" i="2"/>
  <c r="AZ63" i="2"/>
  <c r="BH63" i="2"/>
  <c r="CF63" i="2"/>
  <c r="CF90" i="2" s="1"/>
  <c r="B29" i="13"/>
  <c r="E12" i="1"/>
  <c r="G12" i="1"/>
  <c r="H12" i="1"/>
  <c r="Z20" i="4"/>
  <c r="Z22" i="4" s="1"/>
  <c r="Z63" i="2"/>
  <c r="Z90" i="2" s="1"/>
  <c r="H63" i="2"/>
  <c r="H90" i="2" s="1"/>
  <c r="P63" i="2"/>
  <c r="P90" i="2" s="1"/>
  <c r="AF63" i="2"/>
  <c r="AF90" i="2" s="1"/>
  <c r="AN63" i="2"/>
  <c r="N19" i="3" s="1"/>
  <c r="AV63" i="2"/>
  <c r="BL63" i="2"/>
  <c r="BL90" i="2" s="1"/>
  <c r="BT63" i="2"/>
  <c r="BT90" i="2" s="1"/>
  <c r="G12" i="2"/>
  <c r="W12" i="2"/>
  <c r="W89" i="2" s="1"/>
  <c r="AE12" i="2"/>
  <c r="AE89" i="2" s="1"/>
  <c r="AU12" i="2"/>
  <c r="AU89" i="2" s="1"/>
  <c r="BC12" i="2"/>
  <c r="BC89" i="2" s="1"/>
  <c r="BS12" i="2"/>
  <c r="CA12" i="2"/>
  <c r="CA89" i="2" s="1"/>
  <c r="D26" i="3"/>
  <c r="L26" i="3"/>
  <c r="T26" i="3"/>
  <c r="AB26" i="3"/>
  <c r="H27" i="3"/>
  <c r="P27" i="3"/>
  <c r="X27" i="3"/>
  <c r="D140" i="2"/>
  <c r="L140" i="2"/>
  <c r="T140" i="2"/>
  <c r="G40" i="3" s="1"/>
  <c r="AJ140" i="2"/>
  <c r="AR140" i="2"/>
  <c r="O40" i="3" s="1"/>
  <c r="AZ140" i="2"/>
  <c r="BP140" i="2"/>
  <c r="W40" i="3" s="1"/>
  <c r="BX140" i="2"/>
  <c r="CF140" i="2"/>
  <c r="F23" i="4"/>
  <c r="G23" i="4" s="1"/>
  <c r="D3" i="1"/>
  <c r="B27" i="1"/>
  <c r="B3" i="1"/>
  <c r="BY140" i="2"/>
  <c r="Z40" i="3" s="1"/>
  <c r="CG140" i="2"/>
  <c r="C3" i="1"/>
  <c r="H3" i="3"/>
  <c r="E3" i="1"/>
  <c r="P3" i="3"/>
  <c r="F3" i="1"/>
  <c r="G3" i="1"/>
  <c r="X3" i="3"/>
  <c r="H3" i="1"/>
  <c r="D5" i="3"/>
  <c r="C5" i="1"/>
  <c r="L5" i="3"/>
  <c r="E5" i="1"/>
  <c r="F5" i="1"/>
  <c r="T5" i="3"/>
  <c r="G5" i="1"/>
  <c r="H5" i="1"/>
  <c r="AB5" i="3"/>
  <c r="B6" i="1"/>
  <c r="C6" i="1"/>
  <c r="H6" i="3"/>
  <c r="E6" i="1"/>
  <c r="P6" i="3"/>
  <c r="F6" i="1"/>
  <c r="G6" i="1"/>
  <c r="X6" i="3"/>
  <c r="H6" i="1"/>
  <c r="D7" i="3"/>
  <c r="C7" i="1"/>
  <c r="L7" i="3"/>
  <c r="E7" i="1"/>
  <c r="F7" i="1"/>
  <c r="T7" i="3"/>
  <c r="G7" i="1"/>
  <c r="H7" i="1"/>
  <c r="AB7" i="3"/>
  <c r="B8" i="1"/>
  <c r="B41" i="5" s="1"/>
  <c r="C8" i="1"/>
  <c r="C41" i="5" s="1"/>
  <c r="H8" i="3"/>
  <c r="E8" i="1"/>
  <c r="E41" i="5" s="1"/>
  <c r="P8" i="3"/>
  <c r="F8" i="1"/>
  <c r="F41" i="5" s="1"/>
  <c r="G8" i="1"/>
  <c r="G41" i="5" s="1"/>
  <c r="X8" i="3"/>
  <c r="H8" i="1"/>
  <c r="H41" i="5" s="1"/>
  <c r="I8" i="1"/>
  <c r="I41" i="5" s="1"/>
  <c r="L14" i="4"/>
  <c r="L16" i="4" s="1"/>
  <c r="T14" i="4"/>
  <c r="T16" i="4" s="1"/>
  <c r="N20" i="4"/>
  <c r="N22" i="4" s="1"/>
  <c r="V20" i="4"/>
  <c r="V22" i="4" s="1"/>
  <c r="S89" i="2"/>
  <c r="J89" i="2"/>
  <c r="AH89" i="2"/>
  <c r="AX89" i="2"/>
  <c r="BF89" i="2"/>
  <c r="BF91" i="2" s="1"/>
  <c r="BV89" i="2"/>
  <c r="BV41" i="2"/>
  <c r="T90" i="2"/>
  <c r="AZ90" i="2"/>
  <c r="BO89" i="2"/>
  <c r="BO41" i="2"/>
  <c r="D89" i="2"/>
  <c r="T89" i="2"/>
  <c r="AB89" i="2"/>
  <c r="AR89" i="2"/>
  <c r="AZ89" i="2"/>
  <c r="BP89" i="2"/>
  <c r="BP41" i="2"/>
  <c r="BX89" i="2"/>
  <c r="BX41" i="2"/>
  <c r="K89" i="2"/>
  <c r="BG89" i="2"/>
  <c r="BG41" i="2"/>
  <c r="E89" i="2"/>
  <c r="M89" i="2"/>
  <c r="AC89" i="2"/>
  <c r="AK89" i="2"/>
  <c r="BA89" i="2"/>
  <c r="BI41" i="2"/>
  <c r="BI89" i="2"/>
  <c r="BY41" i="2"/>
  <c r="BY89" i="2"/>
  <c r="CG41" i="2"/>
  <c r="CG89" i="2"/>
  <c r="AQ89" i="2"/>
  <c r="AL89" i="2"/>
  <c r="BR89" i="2"/>
  <c r="AN90" i="2"/>
  <c r="Q19" i="3"/>
  <c r="AV90" i="2"/>
  <c r="AI89" i="2"/>
  <c r="AT89" i="2"/>
  <c r="G89" i="2"/>
  <c r="BS89" i="2"/>
  <c r="BS41" i="2"/>
  <c r="CE89" i="2"/>
  <c r="CE41" i="2"/>
  <c r="BJ89" i="2"/>
  <c r="BJ41" i="2"/>
  <c r="P89" i="2"/>
  <c r="AF89" i="2"/>
  <c r="AN89" i="2"/>
  <c r="BD89" i="2"/>
  <c r="BL89" i="2"/>
  <c r="BL41" i="2"/>
  <c r="CB89" i="2"/>
  <c r="CB41" i="2"/>
  <c r="AO12" i="2"/>
  <c r="BM12" i="2"/>
  <c r="CC12" i="2"/>
  <c r="Q16" i="2"/>
  <c r="BE16" i="2"/>
  <c r="W17" i="2"/>
  <c r="AP90" i="2"/>
  <c r="BV90" i="2"/>
  <c r="AW90" i="2"/>
  <c r="H65" i="2"/>
  <c r="CB65" i="2"/>
  <c r="C3" i="3"/>
  <c r="K3" i="3"/>
  <c r="S3" i="3"/>
  <c r="AA3" i="3"/>
  <c r="G5" i="3"/>
  <c r="O5" i="3"/>
  <c r="W5" i="3"/>
  <c r="C6" i="3"/>
  <c r="K6" i="3"/>
  <c r="S6" i="3"/>
  <c r="AA6" i="3"/>
  <c r="G7" i="3"/>
  <c r="O7" i="3"/>
  <c r="W7" i="3"/>
  <c r="C8" i="3"/>
  <c r="K8" i="3"/>
  <c r="S8" i="3"/>
  <c r="AA8" i="3"/>
  <c r="R12" i="2"/>
  <c r="AP12" i="2"/>
  <c r="BN12" i="2"/>
  <c r="C12" i="3"/>
  <c r="K12" i="3"/>
  <c r="S12" i="3"/>
  <c r="AA12" i="3"/>
  <c r="J16" i="2"/>
  <c r="R16" i="2"/>
  <c r="Z16" i="2"/>
  <c r="AH16" i="2"/>
  <c r="AP16" i="2"/>
  <c r="AX16" i="2"/>
  <c r="BF16" i="2"/>
  <c r="BN16" i="2"/>
  <c r="BV16" i="2"/>
  <c r="CD16" i="2"/>
  <c r="F17" i="2"/>
  <c r="N17" i="2"/>
  <c r="Y17" i="2"/>
  <c r="AI17" i="2"/>
  <c r="AX17" i="2"/>
  <c r="BN17" i="2"/>
  <c r="CD17" i="2"/>
  <c r="C63" i="2"/>
  <c r="K63" i="2"/>
  <c r="S63" i="2"/>
  <c r="AA90" i="2"/>
  <c r="AI90" i="2"/>
  <c r="AQ90" i="2"/>
  <c r="R19" i="3"/>
  <c r="AY90" i="2"/>
  <c r="BG63" i="2"/>
  <c r="T19" i="3" s="1"/>
  <c r="BO90" i="2"/>
  <c r="BW90" i="2"/>
  <c r="CE63" i="2"/>
  <c r="AB19" i="3" s="1"/>
  <c r="I63" i="2"/>
  <c r="BU90" i="2"/>
  <c r="L65" i="2"/>
  <c r="AF65" i="2"/>
  <c r="BC65" i="2"/>
  <c r="CF65" i="2"/>
  <c r="I12" i="2"/>
  <c r="AW12" i="2"/>
  <c r="I16" i="2"/>
  <c r="BU16" i="2"/>
  <c r="AU17" i="2"/>
  <c r="AB90" i="2"/>
  <c r="AC65" i="2"/>
  <c r="AZ65" i="2"/>
  <c r="F12" i="1"/>
  <c r="F3" i="3"/>
  <c r="N3" i="3"/>
  <c r="V3" i="3"/>
  <c r="B5" i="3"/>
  <c r="J5" i="3"/>
  <c r="R5" i="3"/>
  <c r="Z5" i="3"/>
  <c r="F6" i="3"/>
  <c r="N6" i="3"/>
  <c r="V6" i="3"/>
  <c r="B7" i="3"/>
  <c r="J7" i="3"/>
  <c r="R7" i="3"/>
  <c r="Z7" i="3"/>
  <c r="F8" i="3"/>
  <c r="N8" i="3"/>
  <c r="V8" i="3"/>
  <c r="C12" i="2"/>
  <c r="AA12" i="2"/>
  <c r="AY12" i="2"/>
  <c r="BW12" i="2"/>
  <c r="F12" i="3"/>
  <c r="N12" i="3"/>
  <c r="V12" i="3"/>
  <c r="C16" i="2"/>
  <c r="K16" i="2"/>
  <c r="S16" i="2"/>
  <c r="AA16" i="2"/>
  <c r="AI16" i="2"/>
  <c r="AQ16" i="2"/>
  <c r="AY16" i="2"/>
  <c r="BG16" i="2"/>
  <c r="BO16" i="2"/>
  <c r="BW16" i="2"/>
  <c r="CE16" i="2"/>
  <c r="G17" i="2"/>
  <c r="O17" i="2"/>
  <c r="Z17" i="2"/>
  <c r="AK17" i="2"/>
  <c r="AY17" i="2"/>
  <c r="BO17" i="2"/>
  <c r="CE17" i="2"/>
  <c r="L19" i="3"/>
  <c r="AG90" i="2"/>
  <c r="BD63" i="2"/>
  <c r="F19" i="1" s="1"/>
  <c r="M65" i="2"/>
  <c r="AJ65" i="2"/>
  <c r="BF65" i="2"/>
  <c r="AW16" i="2"/>
  <c r="M17" i="2"/>
  <c r="AX90" i="2"/>
  <c r="L12" i="2"/>
  <c r="AJ12" i="2"/>
  <c r="BH12" i="2"/>
  <c r="CF12" i="2"/>
  <c r="I12" i="3"/>
  <c r="Q12" i="3"/>
  <c r="Y12" i="3"/>
  <c r="D16" i="2"/>
  <c r="L16" i="2"/>
  <c r="T16" i="2"/>
  <c r="AB16" i="2"/>
  <c r="AJ16" i="2"/>
  <c r="AR16" i="2"/>
  <c r="AZ16" i="2"/>
  <c r="BH16" i="2"/>
  <c r="BP16" i="2"/>
  <c r="BX16" i="2"/>
  <c r="CF16" i="2"/>
  <c r="H17" i="2"/>
  <c r="Q17" i="2"/>
  <c r="AA17" i="2"/>
  <c r="AL17" i="2"/>
  <c r="BB17" i="2"/>
  <c r="BR17" i="2"/>
  <c r="CH17" i="2"/>
  <c r="BE90" i="2"/>
  <c r="CB63" i="2"/>
  <c r="P65" i="2"/>
  <c r="AK65" i="2"/>
  <c r="BL65" i="2"/>
  <c r="Q12" i="2"/>
  <c r="AG12" i="2"/>
  <c r="BE12" i="2"/>
  <c r="BU12" i="2"/>
  <c r="P12" i="3"/>
  <c r="Y16" i="2"/>
  <c r="BM16" i="2"/>
  <c r="BK17" i="2"/>
  <c r="CD90" i="2"/>
  <c r="U12" i="2"/>
  <c r="AS12" i="2"/>
  <c r="BQ12" i="2"/>
  <c r="D12" i="3"/>
  <c r="L12" i="3"/>
  <c r="T12" i="3"/>
  <c r="AB12" i="3"/>
  <c r="E16" i="2"/>
  <c r="M16" i="2"/>
  <c r="U16" i="2"/>
  <c r="AC16" i="2"/>
  <c r="AK16" i="2"/>
  <c r="AS16" i="2"/>
  <c r="BA16" i="2"/>
  <c r="BI16" i="2"/>
  <c r="BQ16" i="2"/>
  <c r="BY16" i="2"/>
  <c r="CG16" i="2"/>
  <c r="I17" i="2"/>
  <c r="R17" i="2"/>
  <c r="AC17" i="2"/>
  <c r="AM17" i="2"/>
  <c r="BC17" i="2"/>
  <c r="BS17" i="2"/>
  <c r="F63" i="2"/>
  <c r="N63" i="2"/>
  <c r="V63" i="2"/>
  <c r="AL90" i="2"/>
  <c r="AT90" i="2"/>
  <c r="BB90" i="2"/>
  <c r="BJ90" i="2"/>
  <c r="CH90" i="2"/>
  <c r="M14" i="4"/>
  <c r="M16" i="4" s="1"/>
  <c r="M63" i="2"/>
  <c r="U14" i="4"/>
  <c r="U16" i="4" s="1"/>
  <c r="U63" i="2"/>
  <c r="B32" i="11"/>
  <c r="B6" i="13"/>
  <c r="B37" i="11"/>
  <c r="B42" i="11" s="1"/>
  <c r="AR26" i="4"/>
  <c r="Q63" i="2"/>
  <c r="CC90" i="2"/>
  <c r="T65" i="2"/>
  <c r="AN65" i="2"/>
  <c r="BM65" i="2"/>
  <c r="AG16" i="2"/>
  <c r="E17" i="2"/>
  <c r="I12" i="1"/>
  <c r="O3" i="3"/>
  <c r="W3" i="3"/>
  <c r="C5" i="3"/>
  <c r="K5" i="3"/>
  <c r="S5" i="3"/>
  <c r="AA5" i="3"/>
  <c r="W8" i="3"/>
  <c r="F12" i="2"/>
  <c r="AD12" i="2"/>
  <c r="BB12" i="2"/>
  <c r="BZ12" i="2"/>
  <c r="F16" i="2"/>
  <c r="N16" i="2"/>
  <c r="V16" i="2"/>
  <c r="AD16" i="2"/>
  <c r="AL16" i="2"/>
  <c r="AT16" i="2"/>
  <c r="BB16" i="2"/>
  <c r="BJ16" i="2"/>
  <c r="BR16" i="2"/>
  <c r="BZ16" i="2"/>
  <c r="CH16" i="2"/>
  <c r="J17" i="2"/>
  <c r="S17" i="2"/>
  <c r="AD17" i="2"/>
  <c r="AP17" i="2"/>
  <c r="BF17" i="2"/>
  <c r="BV17" i="2"/>
  <c r="AM90" i="2"/>
  <c r="BC90" i="2"/>
  <c r="V19" i="3"/>
  <c r="BK90" i="2"/>
  <c r="BS90" i="2"/>
  <c r="CA90" i="2"/>
  <c r="N14" i="4"/>
  <c r="N16" i="4" s="1"/>
  <c r="V14" i="4"/>
  <c r="V16" i="4" s="1"/>
  <c r="H20" i="4"/>
  <c r="H22" i="4" s="1"/>
  <c r="P20" i="4"/>
  <c r="P22" i="4" s="1"/>
  <c r="X20" i="4"/>
  <c r="X22" i="4" s="1"/>
  <c r="AC90" i="2"/>
  <c r="BA90" i="2"/>
  <c r="BQ90" i="2"/>
  <c r="BY90" i="2"/>
  <c r="CG90" i="2"/>
  <c r="AO90" i="2"/>
  <c r="U65" i="2"/>
  <c r="AR65" i="2"/>
  <c r="BP65" i="2"/>
  <c r="CC16" i="2"/>
  <c r="CA17" i="2"/>
  <c r="AH90" i="2"/>
  <c r="BN90" i="2"/>
  <c r="B5" i="1"/>
  <c r="B7" i="1"/>
  <c r="B12" i="1"/>
  <c r="B3" i="3"/>
  <c r="J3" i="3"/>
  <c r="R3" i="3"/>
  <c r="Z3" i="3"/>
  <c r="F5" i="3"/>
  <c r="N5" i="3"/>
  <c r="V5" i="3"/>
  <c r="B6" i="3"/>
  <c r="J6" i="3"/>
  <c r="R6" i="3"/>
  <c r="Z6" i="3"/>
  <c r="F7" i="3"/>
  <c r="N7" i="3"/>
  <c r="V7" i="3"/>
  <c r="B8" i="3"/>
  <c r="J8" i="3"/>
  <c r="R8" i="3"/>
  <c r="Z8" i="3"/>
  <c r="O12" i="2"/>
  <c r="AM12" i="2"/>
  <c r="BK12" i="2"/>
  <c r="B12" i="3"/>
  <c r="J12" i="3"/>
  <c r="R12" i="3"/>
  <c r="Z12" i="3"/>
  <c r="G16" i="2"/>
  <c r="O16" i="2"/>
  <c r="W16" i="2"/>
  <c r="AE16" i="2"/>
  <c r="AM16" i="2"/>
  <c r="AU16" i="2"/>
  <c r="BC16" i="2"/>
  <c r="BK16" i="2"/>
  <c r="BS16" i="2"/>
  <c r="C17" i="2"/>
  <c r="K17" i="2"/>
  <c r="U17" i="2"/>
  <c r="AE17" i="2"/>
  <c r="AQ17" i="2"/>
  <c r="BG17" i="2"/>
  <c r="BW17" i="2"/>
  <c r="X63" i="2"/>
  <c r="AR63" i="2"/>
  <c r="BM90" i="2"/>
  <c r="D65" i="2"/>
  <c r="X65" i="2"/>
  <c r="AS65" i="2"/>
  <c r="H12" i="3"/>
  <c r="X12" i="3"/>
  <c r="CF4" i="11"/>
  <c r="BH4" i="11"/>
  <c r="AK4" i="11"/>
  <c r="S4" i="11"/>
  <c r="BY4" i="11"/>
  <c r="BG4" i="11"/>
  <c r="AJ4" i="11"/>
  <c r="M4" i="11"/>
  <c r="BX4" i="11"/>
  <c r="BA4" i="11"/>
  <c r="AI4" i="11"/>
  <c r="L4" i="11"/>
  <c r="CG4" i="11"/>
  <c r="BI4" i="11"/>
  <c r="AQ4" i="11"/>
  <c r="T4" i="11"/>
  <c r="BP4" i="11"/>
  <c r="AA4" i="11"/>
  <c r="BO4" i="11"/>
  <c r="U4" i="11"/>
  <c r="AZ4" i="11"/>
  <c r="K4" i="11"/>
  <c r="AY4" i="11"/>
  <c r="E4" i="11"/>
  <c r="AS4" i="11"/>
  <c r="D4" i="11"/>
  <c r="BW4" i="11"/>
  <c r="AC4" i="11"/>
  <c r="AB4" i="11"/>
  <c r="C4" i="11"/>
  <c r="BQ4" i="11"/>
  <c r="AR4" i="11"/>
  <c r="U5" i="11"/>
  <c r="BO5" i="11"/>
  <c r="AT5" i="11"/>
  <c r="T5" i="11"/>
  <c r="S5" i="11"/>
  <c r="BW5" i="11"/>
  <c r="AB5" i="11"/>
  <c r="AD5" i="11"/>
  <c r="BY5" i="11"/>
  <c r="AC5" i="11"/>
  <c r="L5" i="11"/>
  <c r="K5" i="11"/>
  <c r="AL5" i="11"/>
  <c r="AK5" i="11"/>
  <c r="C5" i="11"/>
  <c r="CH65" i="2"/>
  <c r="BZ65" i="2"/>
  <c r="BR65" i="2"/>
  <c r="BJ65" i="2"/>
  <c r="BB65" i="2"/>
  <c r="CG65" i="2"/>
  <c r="BY65" i="2"/>
  <c r="BQ65" i="2"/>
  <c r="BI65" i="2"/>
  <c r="BA65" i="2"/>
  <c r="CA65" i="2"/>
  <c r="BO65" i="2"/>
  <c r="BE65" i="2"/>
  <c r="AU65" i="2"/>
  <c r="AM65" i="2"/>
  <c r="AE65" i="2"/>
  <c r="W65" i="2"/>
  <c r="O65" i="2"/>
  <c r="G65" i="2"/>
  <c r="CC17" i="2"/>
  <c r="BU17" i="2"/>
  <c r="BM17" i="2"/>
  <c r="BE17" i="2"/>
  <c r="AW17" i="2"/>
  <c r="AO17" i="2"/>
  <c r="BX65" i="2"/>
  <c r="BN65" i="2"/>
  <c r="BD65" i="2"/>
  <c r="AT65" i="2"/>
  <c r="AL65" i="2"/>
  <c r="AD65" i="2"/>
  <c r="V65" i="2"/>
  <c r="N65" i="2"/>
  <c r="F65" i="2"/>
  <c r="CB17" i="2"/>
  <c r="BT17" i="2"/>
  <c r="BL17" i="2"/>
  <c r="BD17" i="2"/>
  <c r="AV17" i="2"/>
  <c r="AN17" i="2"/>
  <c r="AF17" i="2"/>
  <c r="X17" i="2"/>
  <c r="P17" i="2"/>
  <c r="CE65" i="2"/>
  <c r="BU65" i="2"/>
  <c r="BK65" i="2"/>
  <c r="AY65" i="2"/>
  <c r="AQ65" i="2"/>
  <c r="AI65" i="2"/>
  <c r="AA65" i="2"/>
  <c r="S65" i="2"/>
  <c r="K65" i="2"/>
  <c r="C65" i="2"/>
  <c r="CG17" i="2"/>
  <c r="BY17" i="2"/>
  <c r="BQ17" i="2"/>
  <c r="BI17" i="2"/>
  <c r="BA17" i="2"/>
  <c r="AS17" i="2"/>
  <c r="CD65" i="2"/>
  <c r="BT65" i="2"/>
  <c r="BH65" i="2"/>
  <c r="AX65" i="2"/>
  <c r="AP65" i="2"/>
  <c r="AH65" i="2"/>
  <c r="Z65" i="2"/>
  <c r="R65" i="2"/>
  <c r="J65" i="2"/>
  <c r="CF17" i="2"/>
  <c r="BX17" i="2"/>
  <c r="BP17" i="2"/>
  <c r="BH17" i="2"/>
  <c r="AZ17" i="2"/>
  <c r="AR17" i="2"/>
  <c r="AJ17" i="2"/>
  <c r="AB17" i="2"/>
  <c r="T17" i="2"/>
  <c r="CC65" i="2"/>
  <c r="BS65" i="2"/>
  <c r="BG65" i="2"/>
  <c r="AW65" i="2"/>
  <c r="AO65" i="2"/>
  <c r="AG65" i="2"/>
  <c r="Y65" i="2"/>
  <c r="Q65" i="2"/>
  <c r="I65" i="2"/>
  <c r="C12" i="1"/>
  <c r="E3" i="3"/>
  <c r="M3" i="3"/>
  <c r="U3" i="3"/>
  <c r="AC3" i="3"/>
  <c r="I5" i="3"/>
  <c r="Q5" i="3"/>
  <c r="Y5" i="3"/>
  <c r="E6" i="3"/>
  <c r="M6" i="3"/>
  <c r="U6" i="3"/>
  <c r="AC6" i="3"/>
  <c r="I7" i="3"/>
  <c r="Q7" i="3"/>
  <c r="Y7" i="3"/>
  <c r="E8" i="3"/>
  <c r="M8" i="3"/>
  <c r="U8" i="3"/>
  <c r="AC8" i="3"/>
  <c r="X12" i="2"/>
  <c r="AV12" i="2"/>
  <c r="BT12" i="2"/>
  <c r="E12" i="3"/>
  <c r="M12" i="3"/>
  <c r="U12" i="3"/>
  <c r="AC12" i="3"/>
  <c r="H16" i="2"/>
  <c r="P16" i="2"/>
  <c r="X16" i="2"/>
  <c r="AF16" i="2"/>
  <c r="AN16" i="2"/>
  <c r="AV16" i="2"/>
  <c r="BD16" i="2"/>
  <c r="BL16" i="2"/>
  <c r="BT16" i="2"/>
  <c r="CB16" i="2"/>
  <c r="D17" i="2"/>
  <c r="L17" i="2"/>
  <c r="V17" i="2"/>
  <c r="AG17" i="2"/>
  <c r="AT17" i="2"/>
  <c r="BJ17" i="2"/>
  <c r="BZ17" i="2"/>
  <c r="D63" i="2"/>
  <c r="Y63" i="2"/>
  <c r="BP63" i="2"/>
  <c r="E65" i="2"/>
  <c r="AB65" i="2"/>
  <c r="AV65" i="2"/>
  <c r="BW65" i="2"/>
  <c r="J14" i="4"/>
  <c r="J16" i="4" s="1"/>
  <c r="R14" i="4"/>
  <c r="R16" i="4" s="1"/>
  <c r="L20" i="4"/>
  <c r="L22" i="4" s="1"/>
  <c r="T20" i="4"/>
  <c r="T22" i="4" s="1"/>
  <c r="E63" i="2"/>
  <c r="K14" i="4"/>
  <c r="K16" i="4" s="1"/>
  <c r="S14" i="4"/>
  <c r="S16" i="4" s="1"/>
  <c r="M20" i="4"/>
  <c r="M22" i="4" s="1"/>
  <c r="U20" i="4"/>
  <c r="U22" i="4" s="1"/>
  <c r="B20" i="13"/>
  <c r="B39" i="11"/>
  <c r="B44" i="11" s="1"/>
  <c r="B34" i="11"/>
  <c r="BA32" i="4"/>
  <c r="B36" i="3"/>
  <c r="F105" i="2"/>
  <c r="F107" i="2" s="1"/>
  <c r="G105" i="2" s="1"/>
  <c r="G107" i="2" s="1"/>
  <c r="H105" i="2" s="1"/>
  <c r="H107" i="2" s="1"/>
  <c r="G14" i="4"/>
  <c r="G16" i="4" s="1"/>
  <c r="O14" i="4"/>
  <c r="O16" i="4" s="1"/>
  <c r="W14" i="4"/>
  <c r="W16" i="4" s="1"/>
  <c r="I20" i="4"/>
  <c r="I22" i="4" s="1"/>
  <c r="Q20" i="4"/>
  <c r="Q22" i="4" s="1"/>
  <c r="Y20" i="4"/>
  <c r="Y22" i="4" s="1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B13" i="13"/>
  <c r="B33" i="11"/>
  <c r="B38" i="11"/>
  <c r="B43" i="11" s="1"/>
  <c r="B26" i="3"/>
  <c r="J26" i="3"/>
  <c r="R26" i="3"/>
  <c r="Z26" i="3"/>
  <c r="F27" i="3"/>
  <c r="N27" i="3"/>
  <c r="V27" i="3"/>
  <c r="C27" i="4"/>
  <c r="C28" i="4" s="1"/>
  <c r="C29" i="4" s="1"/>
  <c r="E26" i="3"/>
  <c r="M26" i="3"/>
  <c r="U26" i="3"/>
  <c r="AC26" i="3"/>
  <c r="I27" i="3"/>
  <c r="Q27" i="3"/>
  <c r="Y27" i="3"/>
  <c r="L27" i="3"/>
  <c r="T27" i="3"/>
  <c r="F26" i="3"/>
  <c r="N26" i="3"/>
  <c r="V26" i="3"/>
  <c r="B27" i="3"/>
  <c r="J27" i="3"/>
  <c r="R27" i="3"/>
  <c r="Z27" i="3"/>
  <c r="I26" i="3"/>
  <c r="Q26" i="3"/>
  <c r="Y26" i="3"/>
  <c r="E27" i="3"/>
  <c r="M27" i="3"/>
  <c r="U27" i="3"/>
  <c r="AC27" i="3"/>
  <c r="G114" i="2"/>
  <c r="H110" i="2" s="1"/>
  <c r="C111" i="2"/>
  <c r="C114" i="2" s="1"/>
  <c r="D110" i="2" s="1"/>
  <c r="H119" i="2"/>
  <c r="I115" i="2" s="1"/>
  <c r="C99" i="2"/>
  <c r="C100" i="2" s="1"/>
  <c r="C116" i="2"/>
  <c r="C119" i="2" s="1"/>
  <c r="D115" i="2" s="1"/>
  <c r="H23" i="4"/>
  <c r="G140" i="2"/>
  <c r="O140" i="2"/>
  <c r="W140" i="2"/>
  <c r="AE140" i="2"/>
  <c r="AM140" i="2"/>
  <c r="AU140" i="2"/>
  <c r="BC140" i="2"/>
  <c r="BK140" i="2"/>
  <c r="BS140" i="2"/>
  <c r="CA140" i="2"/>
  <c r="H140" i="2"/>
  <c r="C40" i="3" s="1"/>
  <c r="P140" i="2"/>
  <c r="X140" i="2"/>
  <c r="AF140" i="2"/>
  <c r="K40" i="3" s="1"/>
  <c r="AN140" i="2"/>
  <c r="AV140" i="2"/>
  <c r="BD140" i="2"/>
  <c r="S40" i="3" s="1"/>
  <c r="BL140" i="2"/>
  <c r="BT140" i="2"/>
  <c r="CB140" i="2"/>
  <c r="AA40" i="3" s="1"/>
  <c r="C158" i="2"/>
  <c r="D17" i="4"/>
  <c r="E17" i="4" s="1"/>
  <c r="F17" i="4" s="1"/>
  <c r="G5" i="11"/>
  <c r="G4" i="11"/>
  <c r="O5" i="11"/>
  <c r="O4" i="11"/>
  <c r="W5" i="11"/>
  <c r="W4" i="11"/>
  <c r="AE4" i="11"/>
  <c r="AE5" i="11"/>
  <c r="AM4" i="11"/>
  <c r="AM5" i="11"/>
  <c r="AU4" i="11"/>
  <c r="AU5" i="11"/>
  <c r="BC4" i="11"/>
  <c r="BL4" i="11"/>
  <c r="BL5" i="11"/>
  <c r="BS5" i="11"/>
  <c r="BS4" i="11"/>
  <c r="CA5" i="11"/>
  <c r="CA4" i="11"/>
  <c r="BC5" i="11"/>
  <c r="I5" i="11"/>
  <c r="H5" i="11"/>
  <c r="H4" i="11"/>
  <c r="P5" i="11"/>
  <c r="P4" i="11"/>
  <c r="X5" i="11"/>
  <c r="X4" i="11"/>
  <c r="AF4" i="11"/>
  <c r="AF5" i="11"/>
  <c r="AN4" i="11"/>
  <c r="AN5" i="11"/>
  <c r="AV4" i="11"/>
  <c r="AV5" i="11"/>
  <c r="BD4" i="11"/>
  <c r="BK5" i="11"/>
  <c r="BK4" i="11"/>
  <c r="BT5" i="11"/>
  <c r="BT4" i="11"/>
  <c r="CB5" i="11"/>
  <c r="CB4" i="11"/>
  <c r="BD5" i="11"/>
  <c r="I4" i="11"/>
  <c r="Q5" i="11"/>
  <c r="Q4" i="11"/>
  <c r="Y5" i="11"/>
  <c r="Y4" i="11"/>
  <c r="AG4" i="11"/>
  <c r="AG5" i="11"/>
  <c r="AO4" i="11"/>
  <c r="AO5" i="11"/>
  <c r="AW4" i="11"/>
  <c r="AW5" i="11"/>
  <c r="BE4" i="11"/>
  <c r="BM4" i="11"/>
  <c r="BM5" i="11"/>
  <c r="BU4" i="11"/>
  <c r="BU5" i="11"/>
  <c r="CC5" i="11"/>
  <c r="CC4" i="11"/>
  <c r="BE5" i="11"/>
  <c r="J5" i="11"/>
  <c r="J4" i="11"/>
  <c r="R5" i="11"/>
  <c r="R4" i="11"/>
  <c r="Z5" i="11"/>
  <c r="Z4" i="11"/>
  <c r="F5" i="11"/>
  <c r="N5" i="11"/>
  <c r="V5" i="11"/>
  <c r="AD4" i="11"/>
  <c r="AL4" i="11"/>
  <c r="AT4" i="11"/>
  <c r="BB5" i="11"/>
  <c r="BJ5" i="11"/>
  <c r="BR5" i="11"/>
  <c r="BZ5" i="11"/>
  <c r="AA5" i="11"/>
  <c r="AI5" i="11"/>
  <c r="AQ5" i="11"/>
  <c r="AY5" i="11"/>
  <c r="BG5" i="11"/>
  <c r="D5" i="11"/>
  <c r="AJ5" i="11"/>
  <c r="AR5" i="11"/>
  <c r="AZ5" i="11"/>
  <c r="BH5" i="11"/>
  <c r="BP5" i="11"/>
  <c r="E5" i="11"/>
  <c r="M5" i="11"/>
  <c r="AS5" i="11"/>
  <c r="BA5" i="11"/>
  <c r="BI5" i="11"/>
  <c r="BQ5" i="11"/>
  <c r="CG5" i="11"/>
  <c r="AH5" i="11"/>
  <c r="AP5" i="11"/>
  <c r="AX5" i="11"/>
  <c r="BF5" i="11"/>
  <c r="BN5" i="11"/>
  <c r="BV5" i="11"/>
  <c r="CD5" i="11"/>
  <c r="F4" i="11"/>
  <c r="N4" i="11"/>
  <c r="V4" i="11"/>
  <c r="BB4" i="11"/>
  <c r="BJ4" i="11"/>
  <c r="BR4" i="11"/>
  <c r="CE5" i="11"/>
  <c r="BX5" i="11"/>
  <c r="CF5" i="11"/>
  <c r="H16" i="11"/>
  <c r="P16" i="11"/>
  <c r="X16" i="11"/>
  <c r="AF16" i="11"/>
  <c r="AN16" i="11"/>
  <c r="AV16" i="11"/>
  <c r="BD16" i="11"/>
  <c r="BL16" i="11"/>
  <c r="BT16" i="11"/>
  <c r="CB16" i="11"/>
  <c r="BO105" i="12"/>
  <c r="BO106" i="12" s="1"/>
  <c r="BO107" i="12" s="1"/>
  <c r="B9" i="7"/>
  <c r="CD4" i="11"/>
  <c r="I16" i="11"/>
  <c r="Q16" i="11"/>
  <c r="Y16" i="11"/>
  <c r="AG16" i="11"/>
  <c r="AO16" i="11"/>
  <c r="AW16" i="11"/>
  <c r="BE16" i="11"/>
  <c r="BM16" i="11"/>
  <c r="BU16" i="11"/>
  <c r="CC16" i="11"/>
  <c r="BP105" i="12"/>
  <c r="BP106" i="12"/>
  <c r="BP107" i="12" s="1"/>
  <c r="BZ4" i="11"/>
  <c r="CH5" i="11"/>
  <c r="CH4" i="11"/>
  <c r="AH4" i="11"/>
  <c r="AP4" i="11"/>
  <c r="AX4" i="11"/>
  <c r="BF4" i="11"/>
  <c r="BN4" i="11"/>
  <c r="BV4" i="11"/>
  <c r="CE4" i="11"/>
  <c r="C21" i="11"/>
  <c r="D19" i="11" s="1"/>
  <c r="D105" i="12"/>
  <c r="D106" i="12"/>
  <c r="D107" i="12" s="1"/>
  <c r="C21" i="12"/>
  <c r="AB105" i="12"/>
  <c r="AB106" i="12"/>
  <c r="N105" i="12"/>
  <c r="N106" i="12" s="1"/>
  <c r="N107" i="12" s="1"/>
  <c r="E106" i="12"/>
  <c r="E107" i="12" s="1"/>
  <c r="E105" i="12"/>
  <c r="M106" i="12"/>
  <c r="M107" i="12" s="1"/>
  <c r="M105" i="12"/>
  <c r="U105" i="12"/>
  <c r="U106" i="12" s="1"/>
  <c r="U107" i="12" s="1"/>
  <c r="AC105" i="12"/>
  <c r="AC106" i="12" s="1"/>
  <c r="AC107" i="12" s="1"/>
  <c r="AK106" i="12"/>
  <c r="AK107" i="12" s="1"/>
  <c r="AK105" i="12"/>
  <c r="AS106" i="12"/>
  <c r="AS107" i="12" s="1"/>
  <c r="AS105" i="12"/>
  <c r="BA105" i="12"/>
  <c r="BA106" i="12" s="1"/>
  <c r="BA107" i="12" s="1"/>
  <c r="BI105" i="12"/>
  <c r="BI106" i="12" s="1"/>
  <c r="BI107" i="12" s="1"/>
  <c r="BQ106" i="12"/>
  <c r="BQ107" i="12" s="1"/>
  <c r="BQ105" i="12"/>
  <c r="BY104" i="12"/>
  <c r="I19" i="12"/>
  <c r="CG105" i="12"/>
  <c r="CG106" i="12" s="1"/>
  <c r="CG107" i="12" s="1"/>
  <c r="O105" i="12"/>
  <c r="O106" i="12" s="1"/>
  <c r="O107" i="12" s="1"/>
  <c r="C26" i="11"/>
  <c r="C27" i="11" s="1"/>
  <c r="D25" i="11" s="1"/>
  <c r="F106" i="12"/>
  <c r="F107" i="12" s="1"/>
  <c r="F105" i="12"/>
  <c r="V105" i="12"/>
  <c r="V106" i="12" s="1"/>
  <c r="V107" i="12" s="1"/>
  <c r="AD105" i="12"/>
  <c r="AD106" i="12" s="1"/>
  <c r="AD107" i="12" s="1"/>
  <c r="AL106" i="12"/>
  <c r="AL107" i="12" s="1"/>
  <c r="AL105" i="12"/>
  <c r="AT106" i="12"/>
  <c r="AT107" i="12" s="1"/>
  <c r="AT105" i="12"/>
  <c r="BJ105" i="12"/>
  <c r="BJ106" i="12" s="1"/>
  <c r="BJ107" i="12" s="1"/>
  <c r="BR105" i="12"/>
  <c r="BR106" i="12" s="1"/>
  <c r="BR107" i="12" s="1"/>
  <c r="CH106" i="12"/>
  <c r="CH107" i="12" s="1"/>
  <c r="CH105" i="12"/>
  <c r="C23" i="11"/>
  <c r="W105" i="12"/>
  <c r="W106" i="12" s="1"/>
  <c r="W107" i="12" s="1"/>
  <c r="AE105" i="12"/>
  <c r="AE106" i="12" s="1"/>
  <c r="AE107" i="12" s="1"/>
  <c r="AU106" i="12"/>
  <c r="AU105" i="12"/>
  <c r="BC106" i="12"/>
  <c r="BC107" i="12" s="1"/>
  <c r="BC105" i="12"/>
  <c r="BK105" i="12"/>
  <c r="BK106" i="12" s="1"/>
  <c r="BK107" i="12" s="1"/>
  <c r="BS105" i="12"/>
  <c r="BS106" i="12" s="1"/>
  <c r="BS107" i="12" s="1"/>
  <c r="S105" i="12"/>
  <c r="S106" i="12" s="1"/>
  <c r="S107" i="12" s="1"/>
  <c r="CE105" i="12"/>
  <c r="CE106" i="12" s="1"/>
  <c r="CE107" i="12" s="1"/>
  <c r="BZ105" i="12"/>
  <c r="BZ106" i="12" s="1"/>
  <c r="BZ107" i="12" s="1"/>
  <c r="AB107" i="12"/>
  <c r="AR107" i="12"/>
  <c r="BX107" i="12"/>
  <c r="CA105" i="12"/>
  <c r="CA106" i="12" s="1"/>
  <c r="CA107" i="12" s="1"/>
  <c r="I106" i="12"/>
  <c r="I107" i="12" s="1"/>
  <c r="Y106" i="12"/>
  <c r="Y107" i="12" s="1"/>
  <c r="AG106" i="12"/>
  <c r="AG107" i="12" s="1"/>
  <c r="BM106" i="12"/>
  <c r="AM106" i="12"/>
  <c r="AM107" i="12" s="1"/>
  <c r="AM105" i="12"/>
  <c r="G105" i="12"/>
  <c r="G106" i="12" s="1"/>
  <c r="G107" i="12" s="1"/>
  <c r="AQ106" i="12"/>
  <c r="AQ107" i="12" s="1"/>
  <c r="AR106" i="12"/>
  <c r="B103" i="12"/>
  <c r="D20" i="12"/>
  <c r="F20" i="12"/>
  <c r="AU107" i="12"/>
  <c r="C105" i="12"/>
  <c r="C106" i="12" s="1"/>
  <c r="BG106" i="12"/>
  <c r="D19" i="12"/>
  <c r="L104" i="12"/>
  <c r="T105" i="12"/>
  <c r="T106" i="12" s="1"/>
  <c r="T107" i="12" s="1"/>
  <c r="E19" i="12"/>
  <c r="F19" i="12"/>
  <c r="AJ104" i="12"/>
  <c r="AZ105" i="12"/>
  <c r="AZ106" i="12"/>
  <c r="AZ107" i="12" s="1"/>
  <c r="BH105" i="12"/>
  <c r="H21" i="12"/>
  <c r="CF104" i="12"/>
  <c r="J19" i="12"/>
  <c r="E20" i="12"/>
  <c r="G20" i="12"/>
  <c r="BB105" i="12"/>
  <c r="BB106" i="12" s="1"/>
  <c r="BB107" i="12" s="1"/>
  <c r="BH106" i="12"/>
  <c r="AW107" i="12"/>
  <c r="BM107" i="12"/>
  <c r="CC107" i="12"/>
  <c r="I105" i="12"/>
  <c r="Q106" i="12"/>
  <c r="Q107" i="12" s="1"/>
  <c r="B28" i="13"/>
  <c r="H104" i="12"/>
  <c r="P104" i="12"/>
  <c r="X104" i="12"/>
  <c r="AF104" i="12"/>
  <c r="AN104" i="12"/>
  <c r="AV104" i="12"/>
  <c r="BD104" i="12"/>
  <c r="BL104" i="12"/>
  <c r="BT104" i="12"/>
  <c r="CB104" i="12"/>
  <c r="C20" i="12"/>
  <c r="B20" i="12" s="1"/>
  <c r="BG107" i="12"/>
  <c r="AI104" i="12"/>
  <c r="Y105" i="12"/>
  <c r="D8" i="13"/>
  <c r="D29" i="13" s="1"/>
  <c r="K104" i="12"/>
  <c r="BW104" i="12"/>
  <c r="AO105" i="12"/>
  <c r="AO106" i="12" s="1"/>
  <c r="AO107" i="12" s="1"/>
  <c r="BE105" i="12"/>
  <c r="BE106" i="12" s="1"/>
  <c r="BE107" i="12" s="1"/>
  <c r="BU105" i="12"/>
  <c r="BU106" i="12" s="1"/>
  <c r="BU107" i="12" s="1"/>
  <c r="J104" i="12"/>
  <c r="R104" i="12"/>
  <c r="Z104" i="12"/>
  <c r="AH104" i="12"/>
  <c r="AP104" i="12"/>
  <c r="AX104" i="12"/>
  <c r="BF104" i="12"/>
  <c r="BN104" i="12"/>
  <c r="BV104" i="12"/>
  <c r="CD104" i="12"/>
  <c r="AY104" i="12"/>
  <c r="G19" i="12"/>
  <c r="B102" i="12"/>
  <c r="AA104" i="12"/>
  <c r="D7" i="13"/>
  <c r="D28" i="13" s="1"/>
  <c r="C19" i="12"/>
  <c r="BR90" i="2" l="1"/>
  <c r="AA19" i="3"/>
  <c r="Z91" i="2"/>
  <c r="P19" i="3"/>
  <c r="AU90" i="2"/>
  <c r="U19" i="3"/>
  <c r="CD91" i="2"/>
  <c r="M19" i="3"/>
  <c r="CD41" i="2"/>
  <c r="K19" i="3"/>
  <c r="E19" i="1"/>
  <c r="F13" i="3"/>
  <c r="L13" i="3"/>
  <c r="CH41" i="2"/>
  <c r="G19" i="3"/>
  <c r="AC40" i="3"/>
  <c r="I40" i="1"/>
  <c r="AJ90" i="2"/>
  <c r="Z19" i="3"/>
  <c r="I23" i="4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AA14" i="3"/>
  <c r="D13" i="3"/>
  <c r="BC91" i="2"/>
  <c r="BL91" i="2"/>
  <c r="AB13" i="3"/>
  <c r="F19" i="3"/>
  <c r="X14" i="3"/>
  <c r="T14" i="3"/>
  <c r="L14" i="3"/>
  <c r="AN91" i="2"/>
  <c r="Y19" i="3"/>
  <c r="AC19" i="3"/>
  <c r="I19" i="1"/>
  <c r="G17" i="4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R14" i="3"/>
  <c r="C19" i="1"/>
  <c r="AF91" i="2"/>
  <c r="CA41" i="2"/>
  <c r="BH90" i="2"/>
  <c r="B49" i="11"/>
  <c r="C20" i="13" s="1"/>
  <c r="C24" i="13" s="1"/>
  <c r="AB14" i="3"/>
  <c r="P91" i="2"/>
  <c r="C107" i="12"/>
  <c r="V19" i="2"/>
  <c r="V18" i="2"/>
  <c r="V21" i="2"/>
  <c r="V20" i="2"/>
  <c r="J68" i="2"/>
  <c r="J66" i="2"/>
  <c r="J69" i="2"/>
  <c r="J67" i="2"/>
  <c r="AK69" i="2"/>
  <c r="AK67" i="2"/>
  <c r="AK68" i="2"/>
  <c r="AK66" i="2"/>
  <c r="BN105" i="12"/>
  <c r="BN106" i="12" s="1"/>
  <c r="BN107" i="12" s="1"/>
  <c r="AI105" i="12"/>
  <c r="AI106" i="12" s="1"/>
  <c r="AI107" i="12" s="1"/>
  <c r="BD105" i="12"/>
  <c r="BD106" i="12" s="1"/>
  <c r="BD107" i="12" s="1"/>
  <c r="CF105" i="12"/>
  <c r="J22" i="12" s="1"/>
  <c r="J21" i="12"/>
  <c r="BV18" i="2"/>
  <c r="BV21" i="2"/>
  <c r="BV20" i="2"/>
  <c r="BV19" i="2"/>
  <c r="BZ21" i="2"/>
  <c r="BZ20" i="2"/>
  <c r="BZ19" i="2"/>
  <c r="BZ18" i="2"/>
  <c r="BB19" i="2"/>
  <c r="BB18" i="2"/>
  <c r="BB21" i="2"/>
  <c r="BB20" i="2"/>
  <c r="AX68" i="2"/>
  <c r="AX66" i="2"/>
  <c r="AX69" i="2"/>
  <c r="AX67" i="2"/>
  <c r="M69" i="2"/>
  <c r="M67" i="2"/>
  <c r="M68" i="2"/>
  <c r="M66" i="2"/>
  <c r="BG69" i="2"/>
  <c r="BG67" i="2"/>
  <c r="BG66" i="2"/>
  <c r="BG68" i="2"/>
  <c r="BB69" i="2"/>
  <c r="BB67" i="2"/>
  <c r="BB68" i="2"/>
  <c r="BB66" i="2"/>
  <c r="J18" i="2"/>
  <c r="J21" i="2"/>
  <c r="J20" i="2"/>
  <c r="J19" i="2"/>
  <c r="BM21" i="2"/>
  <c r="BM19" i="2"/>
  <c r="BM20" i="2"/>
  <c r="BM18" i="2"/>
  <c r="Y21" i="2"/>
  <c r="Y19" i="2"/>
  <c r="Y20" i="2"/>
  <c r="Y18" i="2"/>
  <c r="BT21" i="2"/>
  <c r="BT19" i="2"/>
  <c r="BT20" i="2"/>
  <c r="BT18" i="2"/>
  <c r="AN21" i="2"/>
  <c r="AN19" i="2"/>
  <c r="AN20" i="2"/>
  <c r="AN18" i="2"/>
  <c r="H68" i="2"/>
  <c r="H66" i="2"/>
  <c r="H69" i="2"/>
  <c r="H67" i="2"/>
  <c r="BS68" i="2"/>
  <c r="BS67" i="2"/>
  <c r="BS66" i="2"/>
  <c r="BS69" i="2"/>
  <c r="AE68" i="2"/>
  <c r="AE69" i="2"/>
  <c r="AE66" i="2"/>
  <c r="AE67" i="2"/>
  <c r="C36" i="3"/>
  <c r="I105" i="2"/>
  <c r="I107" i="2" s="1"/>
  <c r="J105" i="2" s="1"/>
  <c r="J107" i="2" s="1"/>
  <c r="K105" i="2" s="1"/>
  <c r="K107" i="2" s="1"/>
  <c r="BP90" i="2"/>
  <c r="U14" i="3"/>
  <c r="G14" i="1"/>
  <c r="C69" i="2"/>
  <c r="C67" i="2"/>
  <c r="C68" i="2"/>
  <c r="C66" i="2"/>
  <c r="AB69" i="2"/>
  <c r="AB67" i="2"/>
  <c r="AB68" i="2"/>
  <c r="AB66" i="2"/>
  <c r="BQ20" i="2"/>
  <c r="BQ18" i="2"/>
  <c r="BQ21" i="2"/>
  <c r="BQ19" i="2"/>
  <c r="AY19" i="2"/>
  <c r="AY20" i="2"/>
  <c r="AY18" i="2"/>
  <c r="AY21" i="2"/>
  <c r="AQ21" i="2"/>
  <c r="AQ20" i="2"/>
  <c r="AQ19" i="2"/>
  <c r="AQ18" i="2"/>
  <c r="AJ20" i="2"/>
  <c r="AJ18" i="2"/>
  <c r="AJ21" i="2"/>
  <c r="AJ19" i="2"/>
  <c r="AR90" i="2"/>
  <c r="AR91" i="2" s="1"/>
  <c r="N9" i="3"/>
  <c r="AM89" i="2"/>
  <c r="AM91" i="2" s="1"/>
  <c r="K14" i="3"/>
  <c r="K9" i="3"/>
  <c r="AD89" i="2"/>
  <c r="AD91" i="2" s="1"/>
  <c r="X13" i="3"/>
  <c r="P9" i="3"/>
  <c r="AS89" i="2"/>
  <c r="AS91" i="2" s="1"/>
  <c r="M13" i="3"/>
  <c r="E13" i="1"/>
  <c r="B13" i="3"/>
  <c r="B13" i="1"/>
  <c r="B19" i="3"/>
  <c r="C90" i="2"/>
  <c r="B19" i="1"/>
  <c r="W17" i="3"/>
  <c r="W9" i="3"/>
  <c r="BN89" i="2"/>
  <c r="BN91" i="2" s="1"/>
  <c r="BN41" i="2"/>
  <c r="CG91" i="2"/>
  <c r="BX91" i="2"/>
  <c r="AA105" i="12"/>
  <c r="AA106" i="12" s="1"/>
  <c r="AA107" i="12" s="1"/>
  <c r="AP68" i="2"/>
  <c r="AP66" i="2"/>
  <c r="AP69" i="2"/>
  <c r="AP67" i="2"/>
  <c r="Y68" i="2"/>
  <c r="Y66" i="2"/>
  <c r="Y69" i="2"/>
  <c r="Y67" i="2"/>
  <c r="C152" i="2"/>
  <c r="C20" i="2"/>
  <c r="C19" i="2"/>
  <c r="C18" i="2"/>
  <c r="C21" i="2"/>
  <c r="B14" i="3"/>
  <c r="B14" i="1"/>
  <c r="C9" i="3"/>
  <c r="F89" i="2"/>
  <c r="O9" i="3"/>
  <c r="AP89" i="2"/>
  <c r="AP91" i="2" s="1"/>
  <c r="AN105" i="12"/>
  <c r="AN106" i="12" s="1"/>
  <c r="AN107" i="12" s="1"/>
  <c r="BH107" i="12"/>
  <c r="L105" i="12"/>
  <c r="D21" i="12"/>
  <c r="B21" i="12" s="1"/>
  <c r="L106" i="12"/>
  <c r="BF18" i="2"/>
  <c r="BF21" i="2"/>
  <c r="BF20" i="2"/>
  <c r="BF19" i="2"/>
  <c r="N21" i="2"/>
  <c r="N20" i="2"/>
  <c r="N19" i="2"/>
  <c r="N18" i="2"/>
  <c r="AH68" i="2"/>
  <c r="AH66" i="2"/>
  <c r="AH69" i="2"/>
  <c r="AH67" i="2"/>
  <c r="BP69" i="2"/>
  <c r="BP67" i="2"/>
  <c r="BP68" i="2"/>
  <c r="BP66" i="2"/>
  <c r="AQ69" i="2"/>
  <c r="AQ67" i="2"/>
  <c r="AQ66" i="2"/>
  <c r="AQ68" i="2"/>
  <c r="AL19" i="2"/>
  <c r="AL18" i="2"/>
  <c r="AL21" i="2"/>
  <c r="AL20" i="2"/>
  <c r="BE68" i="2"/>
  <c r="BE66" i="2"/>
  <c r="BE69" i="2"/>
  <c r="BE67" i="2"/>
  <c r="AW68" i="2"/>
  <c r="AW66" i="2"/>
  <c r="AW69" i="2"/>
  <c r="AW67" i="2"/>
  <c r="Q21" i="2"/>
  <c r="Q19" i="2"/>
  <c r="Q20" i="2"/>
  <c r="Q18" i="2"/>
  <c r="BK20" i="2"/>
  <c r="BK21" i="2"/>
  <c r="BK19" i="2"/>
  <c r="BK18" i="2"/>
  <c r="AF21" i="2"/>
  <c r="AF19" i="2"/>
  <c r="AF20" i="2"/>
  <c r="AF18" i="2"/>
  <c r="BL21" i="2"/>
  <c r="BL19" i="2"/>
  <c r="BL20" i="2"/>
  <c r="BL18" i="2"/>
  <c r="W18" i="2"/>
  <c r="W19" i="2"/>
  <c r="W21" i="2"/>
  <c r="W20" i="2"/>
  <c r="H40" i="3"/>
  <c r="C40" i="1"/>
  <c r="D116" i="2"/>
  <c r="D119" i="2" s="1"/>
  <c r="E115" i="2" s="1"/>
  <c r="D90" i="2"/>
  <c r="D91" i="2" s="1"/>
  <c r="I13" i="3"/>
  <c r="D13" i="1"/>
  <c r="AL69" i="2"/>
  <c r="AL67" i="2"/>
  <c r="AL68" i="2"/>
  <c r="AL66" i="2"/>
  <c r="S69" i="2"/>
  <c r="S68" i="2"/>
  <c r="S67" i="2"/>
  <c r="S66" i="2"/>
  <c r="AB20" i="2"/>
  <c r="AB18" i="2"/>
  <c r="AB21" i="2"/>
  <c r="AB19" i="2"/>
  <c r="AZ20" i="2"/>
  <c r="AZ18" i="2"/>
  <c r="AZ21" i="2"/>
  <c r="AZ19" i="2"/>
  <c r="CG20" i="2"/>
  <c r="CG18" i="2"/>
  <c r="CG21" i="2"/>
  <c r="CG19" i="2"/>
  <c r="BY20" i="2"/>
  <c r="BY18" i="2"/>
  <c r="BY21" i="2"/>
  <c r="BY19" i="2"/>
  <c r="W19" i="3"/>
  <c r="K13" i="3"/>
  <c r="N14" i="3"/>
  <c r="CB90" i="2"/>
  <c r="CB91" i="2" s="1"/>
  <c r="AC13" i="3"/>
  <c r="I13" i="1"/>
  <c r="AC9" i="3"/>
  <c r="AC17" i="3"/>
  <c r="CF89" i="2"/>
  <c r="CF91" i="2" s="1"/>
  <c r="CF41" i="2"/>
  <c r="I17" i="1"/>
  <c r="I9" i="1"/>
  <c r="R13" i="3"/>
  <c r="G13" i="3"/>
  <c r="G9" i="3"/>
  <c r="R89" i="2"/>
  <c r="R91" i="2" s="1"/>
  <c r="T13" i="3"/>
  <c r="BJ91" i="2"/>
  <c r="W91" i="2"/>
  <c r="AL91" i="2"/>
  <c r="BY91" i="2"/>
  <c r="AX91" i="2"/>
  <c r="BN20" i="2"/>
  <c r="BN19" i="2"/>
  <c r="BN18" i="2"/>
  <c r="BN21" i="2"/>
  <c r="AY69" i="2"/>
  <c r="AY67" i="2"/>
  <c r="AY68" i="2"/>
  <c r="AY66" i="2"/>
  <c r="AF68" i="2"/>
  <c r="AF69" i="2"/>
  <c r="AF66" i="2"/>
  <c r="AF67" i="2"/>
  <c r="Y90" i="2"/>
  <c r="Y91" i="2" s="1"/>
  <c r="BG18" i="2"/>
  <c r="BG21" i="2"/>
  <c r="BG20" i="2"/>
  <c r="BG19" i="2"/>
  <c r="F9" i="3"/>
  <c r="O89" i="2"/>
  <c r="O91" i="2" s="1"/>
  <c r="C14" i="3"/>
  <c r="AP105" i="12"/>
  <c r="AP106" i="12"/>
  <c r="AP107" i="12" s="1"/>
  <c r="F19" i="2"/>
  <c r="F18" i="2"/>
  <c r="F21" i="2"/>
  <c r="F20" i="2"/>
  <c r="CG69" i="2"/>
  <c r="CG67" i="2"/>
  <c r="CG68" i="2"/>
  <c r="CG66" i="2"/>
  <c r="BH69" i="2"/>
  <c r="BH67" i="2"/>
  <c r="BH68" i="2"/>
  <c r="BH66" i="2"/>
  <c r="AI69" i="2"/>
  <c r="AI67" i="2"/>
  <c r="AI68" i="2"/>
  <c r="AI66" i="2"/>
  <c r="AD21" i="2"/>
  <c r="AD20" i="2"/>
  <c r="AD19" i="2"/>
  <c r="AD18" i="2"/>
  <c r="CC21" i="2"/>
  <c r="CC19" i="2"/>
  <c r="CC20" i="2"/>
  <c r="CC18" i="2"/>
  <c r="AW21" i="2"/>
  <c r="AW19" i="2"/>
  <c r="AW20" i="2"/>
  <c r="AW18" i="2"/>
  <c r="Q68" i="2"/>
  <c r="Q66" i="2"/>
  <c r="Q69" i="2"/>
  <c r="Q67" i="2"/>
  <c r="BK68" i="2"/>
  <c r="BK69" i="2"/>
  <c r="BK66" i="2"/>
  <c r="BK67" i="2"/>
  <c r="X21" i="2"/>
  <c r="X19" i="2"/>
  <c r="X20" i="2"/>
  <c r="X18" i="2"/>
  <c r="BC18" i="2"/>
  <c r="BC21" i="2"/>
  <c r="BC19" i="2"/>
  <c r="BC20" i="2"/>
  <c r="W68" i="2"/>
  <c r="W67" i="2"/>
  <c r="W66" i="2"/>
  <c r="W69" i="2"/>
  <c r="Y23" i="4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D111" i="2"/>
  <c r="D114" i="2" s="1"/>
  <c r="E110" i="2" s="1"/>
  <c r="C101" i="2"/>
  <c r="D98" i="2" s="1"/>
  <c r="E90" i="2"/>
  <c r="E91" i="2" s="1"/>
  <c r="AC14" i="3"/>
  <c r="I14" i="1"/>
  <c r="K69" i="2"/>
  <c r="K67" i="2"/>
  <c r="K66" i="2"/>
  <c r="K68" i="2"/>
  <c r="T69" i="2"/>
  <c r="T67" i="2"/>
  <c r="T68" i="2"/>
  <c r="T66" i="2"/>
  <c r="AC20" i="2"/>
  <c r="AC18" i="2"/>
  <c r="AC21" i="2"/>
  <c r="AC19" i="2"/>
  <c r="U20" i="2"/>
  <c r="U18" i="2"/>
  <c r="U21" i="2"/>
  <c r="U19" i="2"/>
  <c r="L20" i="2"/>
  <c r="L18" i="2"/>
  <c r="L21" i="2"/>
  <c r="L19" i="2"/>
  <c r="S19" i="2"/>
  <c r="S18" i="2"/>
  <c r="S21" i="2"/>
  <c r="S20" i="2"/>
  <c r="Z14" i="3"/>
  <c r="V13" i="3"/>
  <c r="B27" i="13"/>
  <c r="B10" i="13"/>
  <c r="P13" i="3"/>
  <c r="BU89" i="2"/>
  <c r="BU91" i="2" s="1"/>
  <c r="BU41" i="2"/>
  <c r="E13" i="3"/>
  <c r="C13" i="1"/>
  <c r="U17" i="3"/>
  <c r="U9" i="3"/>
  <c r="BH89" i="2"/>
  <c r="BH41" i="2"/>
  <c r="G17" i="1"/>
  <c r="G9" i="1"/>
  <c r="BG90" i="2"/>
  <c r="BG91" i="2" s="1"/>
  <c r="CA91" i="2"/>
  <c r="BP91" i="2"/>
  <c r="J91" i="2"/>
  <c r="BF105" i="12"/>
  <c r="BF106" i="12"/>
  <c r="BF107" i="12" s="1"/>
  <c r="AE20" i="2"/>
  <c r="AE19" i="2"/>
  <c r="AE18" i="2"/>
  <c r="AE21" i="2"/>
  <c r="BI20" i="2"/>
  <c r="BI18" i="2"/>
  <c r="BI21" i="2"/>
  <c r="BI19" i="2"/>
  <c r="I19" i="3"/>
  <c r="X90" i="2"/>
  <c r="D19" i="1"/>
  <c r="BA91" i="2"/>
  <c r="AF105" i="12"/>
  <c r="AF106" i="12" s="1"/>
  <c r="AF107" i="12" s="1"/>
  <c r="CF69" i="2"/>
  <c r="CF67" i="2"/>
  <c r="CF68" i="2"/>
  <c r="CF66" i="2"/>
  <c r="AH105" i="12"/>
  <c r="AH106" i="12"/>
  <c r="AH107" i="12" s="1"/>
  <c r="BW105" i="12"/>
  <c r="BW106" i="12"/>
  <c r="BW107" i="12" s="1"/>
  <c r="X105" i="12"/>
  <c r="E22" i="12" s="1"/>
  <c r="E21" i="12"/>
  <c r="BX69" i="2"/>
  <c r="BX67" i="2"/>
  <c r="BX66" i="2"/>
  <c r="BX68" i="2"/>
  <c r="CD68" i="2"/>
  <c r="CD66" i="2"/>
  <c r="CD69" i="2"/>
  <c r="CD67" i="2"/>
  <c r="BQ69" i="2"/>
  <c r="BQ67" i="2"/>
  <c r="BQ68" i="2"/>
  <c r="BQ66" i="2"/>
  <c r="AZ69" i="2"/>
  <c r="AZ67" i="2"/>
  <c r="AZ68" i="2"/>
  <c r="AZ66" i="2"/>
  <c r="AA69" i="2"/>
  <c r="AA67" i="2"/>
  <c r="AA66" i="2"/>
  <c r="AA68" i="2"/>
  <c r="V69" i="2"/>
  <c r="V67" i="2"/>
  <c r="V68" i="2"/>
  <c r="V66" i="2"/>
  <c r="Z18" i="2"/>
  <c r="Z21" i="2"/>
  <c r="Z20" i="2"/>
  <c r="Z19" i="2"/>
  <c r="CC68" i="2"/>
  <c r="CC66" i="2"/>
  <c r="CC69" i="2"/>
  <c r="CC67" i="2"/>
  <c r="AO68" i="2"/>
  <c r="AO66" i="2"/>
  <c r="AO69" i="2"/>
  <c r="AO67" i="2"/>
  <c r="I21" i="2"/>
  <c r="I19" i="2"/>
  <c r="I20" i="2"/>
  <c r="I18" i="2"/>
  <c r="BD21" i="2"/>
  <c r="BD19" i="2"/>
  <c r="BD20" i="2"/>
  <c r="BD18" i="2"/>
  <c r="X68" i="2"/>
  <c r="X66" i="2"/>
  <c r="X67" i="2"/>
  <c r="X69" i="2"/>
  <c r="I68" i="2"/>
  <c r="I66" i="2"/>
  <c r="I69" i="2"/>
  <c r="I67" i="2"/>
  <c r="AU68" i="2"/>
  <c r="AU69" i="2"/>
  <c r="AU66" i="2"/>
  <c r="AU67" i="2"/>
  <c r="O21" i="2"/>
  <c r="O20" i="2"/>
  <c r="O19" i="2"/>
  <c r="O18" i="2"/>
  <c r="X40" i="3"/>
  <c r="G40" i="1"/>
  <c r="I116" i="2"/>
  <c r="I119" i="2" s="1"/>
  <c r="J115" i="2" s="1"/>
  <c r="Y13" i="3"/>
  <c r="H13" i="1"/>
  <c r="Y9" i="3"/>
  <c r="Y17" i="3"/>
  <c r="BT89" i="2"/>
  <c r="BT91" i="2" s="1"/>
  <c r="BT41" i="2"/>
  <c r="H9" i="1"/>
  <c r="H17" i="1"/>
  <c r="Y14" i="3"/>
  <c r="H14" i="1"/>
  <c r="L69" i="2"/>
  <c r="L67" i="2"/>
  <c r="L66" i="2"/>
  <c r="L68" i="2"/>
  <c r="AT69" i="2"/>
  <c r="AT67" i="2"/>
  <c r="AT68" i="2"/>
  <c r="AT66" i="2"/>
  <c r="BW21" i="2"/>
  <c r="BW20" i="2"/>
  <c r="BW18" i="2"/>
  <c r="BW19" i="2"/>
  <c r="BO19" i="2"/>
  <c r="BO20" i="2"/>
  <c r="BO18" i="2"/>
  <c r="BO21" i="2"/>
  <c r="AI19" i="2"/>
  <c r="AI18" i="2"/>
  <c r="AI20" i="2"/>
  <c r="AI21" i="2"/>
  <c r="AK20" i="2"/>
  <c r="AK18" i="2"/>
  <c r="AK21" i="2"/>
  <c r="AK19" i="2"/>
  <c r="AA13" i="3"/>
  <c r="B47" i="11"/>
  <c r="C6" i="13" s="1"/>
  <c r="G14" i="3"/>
  <c r="T9" i="3"/>
  <c r="BE89" i="2"/>
  <c r="BE91" i="2" s="1"/>
  <c r="M9" i="3"/>
  <c r="AJ89" i="2"/>
  <c r="AJ91" i="2" s="1"/>
  <c r="E9" i="1"/>
  <c r="F14" i="3"/>
  <c r="Z17" i="3"/>
  <c r="Z9" i="3"/>
  <c r="BW89" i="2"/>
  <c r="BW91" i="2" s="1"/>
  <c r="BW41" i="2"/>
  <c r="AW89" i="2"/>
  <c r="AW91" i="2" s="1"/>
  <c r="D19" i="3"/>
  <c r="I90" i="2"/>
  <c r="W14" i="3"/>
  <c r="W13" i="3"/>
  <c r="AU91" i="2"/>
  <c r="CH91" i="2"/>
  <c r="AB91" i="2"/>
  <c r="G19" i="1"/>
  <c r="BV91" i="2"/>
  <c r="BE21" i="2"/>
  <c r="BE19" i="2"/>
  <c r="BE20" i="2"/>
  <c r="BE18" i="2"/>
  <c r="BW69" i="2"/>
  <c r="BW67" i="2"/>
  <c r="BW68" i="2"/>
  <c r="BW66" i="2"/>
  <c r="D26" i="11"/>
  <c r="D27" i="11" s="1"/>
  <c r="E25" i="11" s="1"/>
  <c r="AP18" i="2"/>
  <c r="AP21" i="2"/>
  <c r="AP20" i="2"/>
  <c r="AP19" i="2"/>
  <c r="AY105" i="12"/>
  <c r="AY106" i="12"/>
  <c r="AY107" i="12" s="1"/>
  <c r="Z105" i="12"/>
  <c r="Z106" i="12" s="1"/>
  <c r="Z107" i="12" s="1"/>
  <c r="K105" i="12"/>
  <c r="K106" i="12"/>
  <c r="K107" i="12" s="1"/>
  <c r="CB106" i="12"/>
  <c r="CB107" i="12" s="1"/>
  <c r="CB105" i="12"/>
  <c r="P105" i="12"/>
  <c r="P106" i="12" s="1"/>
  <c r="P107" i="12" s="1"/>
  <c r="AJ105" i="12"/>
  <c r="AJ106" i="12"/>
  <c r="F21" i="12"/>
  <c r="AH20" i="2"/>
  <c r="AH19" i="2"/>
  <c r="AH18" i="2"/>
  <c r="AH21" i="2"/>
  <c r="CD20" i="2"/>
  <c r="CD19" i="2"/>
  <c r="CD18" i="2"/>
  <c r="CD21" i="2"/>
  <c r="CE69" i="2"/>
  <c r="CE67" i="2"/>
  <c r="CE68" i="2"/>
  <c r="CE66" i="2"/>
  <c r="BV68" i="2"/>
  <c r="BV66" i="2"/>
  <c r="BV69" i="2"/>
  <c r="BV67" i="2"/>
  <c r="BI69" i="2"/>
  <c r="BI67" i="2"/>
  <c r="BI68" i="2"/>
  <c r="BI66" i="2"/>
  <c r="AR69" i="2"/>
  <c r="AR67" i="2"/>
  <c r="AR66" i="2"/>
  <c r="AR68" i="2"/>
  <c r="BZ69" i="2"/>
  <c r="BZ67" i="2"/>
  <c r="BZ68" i="2"/>
  <c r="BZ66" i="2"/>
  <c r="N69" i="2"/>
  <c r="N67" i="2"/>
  <c r="N68" i="2"/>
  <c r="N66" i="2"/>
  <c r="Z68" i="2"/>
  <c r="Z66" i="2"/>
  <c r="Z69" i="2"/>
  <c r="Z67" i="2"/>
  <c r="BU68" i="2"/>
  <c r="BU66" i="2"/>
  <c r="BU69" i="2"/>
  <c r="BU67" i="2"/>
  <c r="AO21" i="2"/>
  <c r="AO19" i="2"/>
  <c r="AO20" i="2"/>
  <c r="AO18" i="2"/>
  <c r="BD68" i="2"/>
  <c r="BD67" i="2"/>
  <c r="BD66" i="2"/>
  <c r="BD69" i="2"/>
  <c r="AV68" i="2"/>
  <c r="AV69" i="2"/>
  <c r="AV67" i="2"/>
  <c r="AV66" i="2"/>
  <c r="P21" i="2"/>
  <c r="P19" i="2"/>
  <c r="P20" i="2"/>
  <c r="P18" i="2"/>
  <c r="CA20" i="2"/>
  <c r="CA19" i="2"/>
  <c r="CA21" i="2"/>
  <c r="CA18" i="2"/>
  <c r="AU20" i="2"/>
  <c r="AU19" i="2"/>
  <c r="AU18" i="2"/>
  <c r="AU21" i="2"/>
  <c r="O68" i="2"/>
  <c r="O67" i="2"/>
  <c r="O66" i="2"/>
  <c r="O69" i="2"/>
  <c r="C128" i="2"/>
  <c r="C129" i="2" s="1"/>
  <c r="D125" i="2" s="1"/>
  <c r="Q9" i="3"/>
  <c r="AV89" i="2"/>
  <c r="AV91" i="2" s="1"/>
  <c r="F9" i="1"/>
  <c r="M14" i="3"/>
  <c r="E14" i="1"/>
  <c r="P14" i="3"/>
  <c r="AC69" i="2"/>
  <c r="AC67" i="2"/>
  <c r="AC68" i="2"/>
  <c r="AC66" i="2"/>
  <c r="BO69" i="2"/>
  <c r="BO67" i="2"/>
  <c r="BO68" i="2"/>
  <c r="BO66" i="2"/>
  <c r="D20" i="2"/>
  <c r="D18" i="2"/>
  <c r="D21" i="2"/>
  <c r="D19" i="2"/>
  <c r="AA21" i="2"/>
  <c r="AA20" i="2"/>
  <c r="AA18" i="2"/>
  <c r="AA19" i="2"/>
  <c r="BA20" i="2"/>
  <c r="BA18" i="2"/>
  <c r="BA21" i="2"/>
  <c r="BA19" i="2"/>
  <c r="BH20" i="2"/>
  <c r="BH18" i="2"/>
  <c r="BH21" i="2"/>
  <c r="BH19" i="2"/>
  <c r="C13" i="3"/>
  <c r="Q90" i="2"/>
  <c r="H19" i="3"/>
  <c r="U90" i="2"/>
  <c r="S19" i="3"/>
  <c r="V90" i="2"/>
  <c r="V91" i="2" s="1"/>
  <c r="D14" i="3"/>
  <c r="L9" i="3"/>
  <c r="AG89" i="2"/>
  <c r="AG91" i="2" s="1"/>
  <c r="S14" i="3"/>
  <c r="U13" i="3"/>
  <c r="G13" i="1"/>
  <c r="E9" i="3"/>
  <c r="L89" i="2"/>
  <c r="L91" i="2" s="1"/>
  <c r="C9" i="1"/>
  <c r="J13" i="3"/>
  <c r="R9" i="3"/>
  <c r="AY89" i="2"/>
  <c r="AY91" i="2" s="1"/>
  <c r="D9" i="3"/>
  <c r="I89" i="2"/>
  <c r="CE90" i="2"/>
  <c r="CE91" i="2" s="1"/>
  <c r="AB17" i="3"/>
  <c r="AB9" i="3"/>
  <c r="CC89" i="2"/>
  <c r="CC91" i="2" s="1"/>
  <c r="CC41" i="2"/>
  <c r="G91" i="2"/>
  <c r="BR91" i="2"/>
  <c r="AK91" i="2"/>
  <c r="AH91" i="2"/>
  <c r="AV106" i="12"/>
  <c r="G21" i="12"/>
  <c r="AV105" i="12"/>
  <c r="BY106" i="12"/>
  <c r="BY107" i="12" s="1"/>
  <c r="BY105" i="12"/>
  <c r="E69" i="2"/>
  <c r="E67" i="2"/>
  <c r="E68" i="2"/>
  <c r="E66" i="2"/>
  <c r="BT68" i="2"/>
  <c r="BT67" i="2"/>
  <c r="BT69" i="2"/>
  <c r="BT66" i="2"/>
  <c r="Q14" i="3"/>
  <c r="F14" i="1"/>
  <c r="BD90" i="2"/>
  <c r="BD91" i="2" s="1"/>
  <c r="AX105" i="12"/>
  <c r="AX106" i="12"/>
  <c r="AX107" i="12" s="1"/>
  <c r="D20" i="11"/>
  <c r="D81" i="2" s="1"/>
  <c r="CD105" i="12"/>
  <c r="CD106" i="12" s="1"/>
  <c r="CD107" i="12" s="1"/>
  <c r="I21" i="12"/>
  <c r="BT105" i="12"/>
  <c r="H105" i="12"/>
  <c r="H106" i="12" s="1"/>
  <c r="B104" i="12"/>
  <c r="C24" i="11"/>
  <c r="D22" i="11" s="1"/>
  <c r="BR19" i="2"/>
  <c r="BR18" i="2"/>
  <c r="BR21" i="2"/>
  <c r="BR20" i="2"/>
  <c r="BN68" i="2"/>
  <c r="BN66" i="2"/>
  <c r="BN69" i="2"/>
  <c r="BN67" i="2"/>
  <c r="BA69" i="2"/>
  <c r="BA67" i="2"/>
  <c r="BA68" i="2"/>
  <c r="BA66" i="2"/>
  <c r="AJ69" i="2"/>
  <c r="AJ67" i="2"/>
  <c r="AJ68" i="2"/>
  <c r="AJ66" i="2"/>
  <c r="BR69" i="2"/>
  <c r="BR67" i="2"/>
  <c r="BR68" i="2"/>
  <c r="BR66" i="2"/>
  <c r="F69" i="2"/>
  <c r="F67" i="2"/>
  <c r="F68" i="2"/>
  <c r="F66" i="2"/>
  <c r="R20" i="2"/>
  <c r="R19" i="2"/>
  <c r="R18" i="2"/>
  <c r="R21" i="2"/>
  <c r="BU21" i="2"/>
  <c r="BU19" i="2"/>
  <c r="BU20" i="2"/>
  <c r="BU18" i="2"/>
  <c r="AG68" i="2"/>
  <c r="AG66" i="2"/>
  <c r="AG69" i="2"/>
  <c r="AG67" i="2"/>
  <c r="CB21" i="2"/>
  <c r="CB19" i="2"/>
  <c r="CB20" i="2"/>
  <c r="CB18" i="2"/>
  <c r="AV21" i="2"/>
  <c r="AV19" i="2"/>
  <c r="AV20" i="2"/>
  <c r="AV18" i="2"/>
  <c r="P68" i="2"/>
  <c r="P69" i="2"/>
  <c r="P66" i="2"/>
  <c r="P67" i="2"/>
  <c r="CA68" i="2"/>
  <c r="CA66" i="2"/>
  <c r="CA69" i="2"/>
  <c r="CA67" i="2"/>
  <c r="AM68" i="2"/>
  <c r="AM66" i="2"/>
  <c r="AM67" i="2"/>
  <c r="AM69" i="2"/>
  <c r="G18" i="2"/>
  <c r="G21" i="2"/>
  <c r="G20" i="2"/>
  <c r="G19" i="2"/>
  <c r="H111" i="2"/>
  <c r="H114" i="2" s="1"/>
  <c r="B90" i="11"/>
  <c r="B87" i="11"/>
  <c r="B84" i="11"/>
  <c r="B81" i="11"/>
  <c r="B58" i="11"/>
  <c r="B70" i="11"/>
  <c r="B67" i="11"/>
  <c r="B64" i="11"/>
  <c r="B61" i="11"/>
  <c r="B55" i="11"/>
  <c r="B82" i="11"/>
  <c r="B79" i="11"/>
  <c r="B76" i="11"/>
  <c r="B73" i="11"/>
  <c r="B91" i="11"/>
  <c r="B88" i="11"/>
  <c r="B85" i="11"/>
  <c r="B62" i="11"/>
  <c r="B59" i="11"/>
  <c r="B56" i="11"/>
  <c r="B74" i="11"/>
  <c r="B71" i="11"/>
  <c r="B68" i="11"/>
  <c r="B65" i="11"/>
  <c r="B86" i="11"/>
  <c r="B83" i="11"/>
  <c r="B80" i="11"/>
  <c r="B77" i="11"/>
  <c r="B53" i="11"/>
  <c r="B75" i="11"/>
  <c r="B69" i="11"/>
  <c r="B92" i="11"/>
  <c r="B66" i="11"/>
  <c r="B60" i="11"/>
  <c r="B78" i="11"/>
  <c r="B72" i="11"/>
  <c r="B54" i="11"/>
  <c r="B89" i="11"/>
  <c r="B57" i="11"/>
  <c r="B48" i="11"/>
  <c r="C13" i="13" s="1"/>
  <c r="D13" i="13" s="1"/>
  <c r="B63" i="11"/>
  <c r="I9" i="3"/>
  <c r="X89" i="2"/>
  <c r="D9" i="1"/>
  <c r="I14" i="3"/>
  <c r="D14" i="1"/>
  <c r="BY69" i="2"/>
  <c r="BY67" i="2"/>
  <c r="BY68" i="2"/>
  <c r="BY66" i="2"/>
  <c r="U69" i="2"/>
  <c r="U67" i="2"/>
  <c r="U68" i="2"/>
  <c r="U66" i="2"/>
  <c r="AS20" i="2"/>
  <c r="AS18" i="2"/>
  <c r="AS21" i="2"/>
  <c r="AS19" i="2"/>
  <c r="BP20" i="2"/>
  <c r="BP18" i="2"/>
  <c r="BP21" i="2"/>
  <c r="BP19" i="2"/>
  <c r="BX20" i="2"/>
  <c r="BX18" i="2"/>
  <c r="BX21" i="2"/>
  <c r="BX19" i="2"/>
  <c r="CF20" i="2"/>
  <c r="CF18" i="2"/>
  <c r="CF21" i="2"/>
  <c r="CF19" i="2"/>
  <c r="N13" i="3"/>
  <c r="AA17" i="3"/>
  <c r="AA9" i="3"/>
  <c r="BZ89" i="2"/>
  <c r="BZ91" i="2" s="1"/>
  <c r="BZ41" i="2"/>
  <c r="N90" i="2"/>
  <c r="N91" i="2" s="1"/>
  <c r="H13" i="3"/>
  <c r="V14" i="3"/>
  <c r="Q89" i="2"/>
  <c r="Q91" i="2" s="1"/>
  <c r="J9" i="3"/>
  <c r="AA89" i="2"/>
  <c r="AA91" i="2" s="1"/>
  <c r="S90" i="2"/>
  <c r="O19" i="3"/>
  <c r="BM89" i="2"/>
  <c r="BM91" i="2" s="1"/>
  <c r="BM41" i="2"/>
  <c r="BS91" i="2"/>
  <c r="AI91" i="2"/>
  <c r="AQ91" i="2"/>
  <c r="BI91" i="2"/>
  <c r="AZ91" i="2"/>
  <c r="AT21" i="2"/>
  <c r="AT20" i="2"/>
  <c r="AT19" i="2"/>
  <c r="AT18" i="2"/>
  <c r="BL68" i="2"/>
  <c r="BL69" i="2"/>
  <c r="BL66" i="2"/>
  <c r="BL67" i="2"/>
  <c r="E14" i="3"/>
  <c r="C14" i="1"/>
  <c r="K21" i="2"/>
  <c r="K18" i="2"/>
  <c r="K20" i="2"/>
  <c r="K19" i="2"/>
  <c r="H9" i="3"/>
  <c r="U89" i="2"/>
  <c r="AX20" i="2"/>
  <c r="AX19" i="2"/>
  <c r="AX18" i="2"/>
  <c r="AX21" i="2"/>
  <c r="R105" i="12"/>
  <c r="R106" i="12" s="1"/>
  <c r="R107" i="12" s="1"/>
  <c r="CH19" i="2"/>
  <c r="CH18" i="2"/>
  <c r="CH21" i="2"/>
  <c r="CH20" i="2"/>
  <c r="B19" i="12"/>
  <c r="BV105" i="12"/>
  <c r="BV106" i="12" s="1"/>
  <c r="BV107" i="12" s="1"/>
  <c r="J105" i="12"/>
  <c r="J106" i="12" s="1"/>
  <c r="J107" i="12" s="1"/>
  <c r="BL105" i="12"/>
  <c r="BL106" i="12" s="1"/>
  <c r="C22" i="12"/>
  <c r="CE19" i="2"/>
  <c r="CE18" i="2"/>
  <c r="CE20" i="2"/>
  <c r="CE21" i="2"/>
  <c r="CH69" i="2"/>
  <c r="CH67" i="2"/>
  <c r="CH68" i="2"/>
  <c r="CH66" i="2"/>
  <c r="BJ21" i="2"/>
  <c r="BJ20" i="2"/>
  <c r="BJ19" i="2"/>
  <c r="BJ18" i="2"/>
  <c r="BF68" i="2"/>
  <c r="BF66" i="2"/>
  <c r="BF69" i="2"/>
  <c r="BF67" i="2"/>
  <c r="AS69" i="2"/>
  <c r="AS67" i="2"/>
  <c r="AS68" i="2"/>
  <c r="AS66" i="2"/>
  <c r="D69" i="2"/>
  <c r="D67" i="2"/>
  <c r="D66" i="2"/>
  <c r="D68" i="2"/>
  <c r="BJ69" i="2"/>
  <c r="BJ67" i="2"/>
  <c r="BJ68" i="2"/>
  <c r="BJ66" i="2"/>
  <c r="R68" i="2"/>
  <c r="R66" i="2"/>
  <c r="R69" i="2"/>
  <c r="R67" i="2"/>
  <c r="BM68" i="2"/>
  <c r="BM66" i="2"/>
  <c r="BM69" i="2"/>
  <c r="BM67" i="2"/>
  <c r="AG21" i="2"/>
  <c r="AG19" i="2"/>
  <c r="AG20" i="2"/>
  <c r="AG18" i="2"/>
  <c r="CB68" i="2"/>
  <c r="CB69" i="2"/>
  <c r="CB67" i="2"/>
  <c r="CB66" i="2"/>
  <c r="AN68" i="2"/>
  <c r="AN67" i="2"/>
  <c r="AN69" i="2"/>
  <c r="AN66" i="2"/>
  <c r="H21" i="2"/>
  <c r="H19" i="2"/>
  <c r="H20" i="2"/>
  <c r="H18" i="2"/>
  <c r="BC68" i="2"/>
  <c r="BC67" i="2"/>
  <c r="BC66" i="2"/>
  <c r="BC69" i="2"/>
  <c r="BS18" i="2"/>
  <c r="BS21" i="2"/>
  <c r="BS20" i="2"/>
  <c r="BS19" i="2"/>
  <c r="AM18" i="2"/>
  <c r="AM19" i="2"/>
  <c r="AM21" i="2"/>
  <c r="AM20" i="2"/>
  <c r="G68" i="2"/>
  <c r="G66" i="2"/>
  <c r="G69" i="2"/>
  <c r="G67" i="2"/>
  <c r="P40" i="3"/>
  <c r="E40" i="1"/>
  <c r="C123" i="2"/>
  <c r="C124" i="2" s="1"/>
  <c r="D120" i="2" s="1"/>
  <c r="Q13" i="3"/>
  <c r="F13" i="1"/>
  <c r="AD69" i="2"/>
  <c r="AD67" i="2"/>
  <c r="AD68" i="2"/>
  <c r="AD66" i="2"/>
  <c r="AR20" i="2"/>
  <c r="AR18" i="2"/>
  <c r="AR21" i="2"/>
  <c r="AR19" i="2"/>
  <c r="E20" i="2"/>
  <c r="E18" i="2"/>
  <c r="E21" i="2"/>
  <c r="E19" i="2"/>
  <c r="T20" i="2"/>
  <c r="T18" i="2"/>
  <c r="T21" i="2"/>
  <c r="T19" i="2"/>
  <c r="M20" i="2"/>
  <c r="M18" i="2"/>
  <c r="M21" i="2"/>
  <c r="M19" i="2"/>
  <c r="H14" i="3"/>
  <c r="V17" i="3"/>
  <c r="V9" i="3"/>
  <c r="BK89" i="2"/>
  <c r="BK91" i="2" s="1"/>
  <c r="BK41" i="2"/>
  <c r="O14" i="3"/>
  <c r="S13" i="3"/>
  <c r="S9" i="3"/>
  <c r="BB89" i="2"/>
  <c r="BB91" i="2" s="1"/>
  <c r="M90" i="2"/>
  <c r="M91" i="2" s="1"/>
  <c r="C19" i="3"/>
  <c r="F90" i="2"/>
  <c r="X9" i="3"/>
  <c r="X17" i="3"/>
  <c r="BQ89" i="2"/>
  <c r="BQ91" i="2" s="1"/>
  <c r="BQ41" i="2"/>
  <c r="J14" i="3"/>
  <c r="Z13" i="3"/>
  <c r="B9" i="3"/>
  <c r="C89" i="2"/>
  <c r="C91" i="2" s="1"/>
  <c r="B9" i="1"/>
  <c r="K90" i="2"/>
  <c r="K91" i="2" s="1"/>
  <c r="O13" i="3"/>
  <c r="AO89" i="2"/>
  <c r="AO91" i="2" s="1"/>
  <c r="H91" i="2"/>
  <c r="AE91" i="2"/>
  <c r="AT91" i="2"/>
  <c r="H19" i="1"/>
  <c r="AC91" i="2"/>
  <c r="T91" i="2"/>
  <c r="BO91" i="2"/>
  <c r="E19" i="3"/>
  <c r="S91" i="2"/>
  <c r="BH91" i="2" l="1"/>
  <c r="AY38" i="2"/>
  <c r="AY40" i="2" s="1"/>
  <c r="BG38" i="2"/>
  <c r="CD38" i="2"/>
  <c r="X38" i="2"/>
  <c r="H38" i="2"/>
  <c r="BJ38" i="2"/>
  <c r="AW38" i="2"/>
  <c r="AW92" i="2" s="1"/>
  <c r="I91" i="2"/>
  <c r="AQ38" i="2"/>
  <c r="AQ92" i="2" s="1"/>
  <c r="AI38" i="2"/>
  <c r="BW38" i="2"/>
  <c r="BW92" i="2" s="1"/>
  <c r="O38" i="2"/>
  <c r="AA38" i="2"/>
  <c r="C82" i="2"/>
  <c r="C33" i="4" s="1"/>
  <c r="C35" i="4" s="1"/>
  <c r="BO38" i="2"/>
  <c r="BO92" i="2" s="1"/>
  <c r="Z38" i="2"/>
  <c r="Z92" i="2" s="1"/>
  <c r="BQ38" i="2"/>
  <c r="BQ40" i="2" s="1"/>
  <c r="BQ146" i="2" s="1"/>
  <c r="AO38" i="2"/>
  <c r="AX38" i="2"/>
  <c r="AX92" i="2" s="1"/>
  <c r="BL38" i="2"/>
  <c r="AL38" i="2"/>
  <c r="AL40" i="2" s="1"/>
  <c r="M38" i="2"/>
  <c r="M92" i="2" s="1"/>
  <c r="S38" i="2"/>
  <c r="S92" i="2" s="1"/>
  <c r="Y38" i="2"/>
  <c r="I15" i="3" s="1"/>
  <c r="J38" i="2"/>
  <c r="J92" i="2" s="1"/>
  <c r="E38" i="2"/>
  <c r="BA38" i="2"/>
  <c r="BA40" i="2" s="1"/>
  <c r="D38" i="2"/>
  <c r="AU38" i="2"/>
  <c r="AU92" i="2" s="1"/>
  <c r="AK38" i="2"/>
  <c r="AK92" i="2" s="1"/>
  <c r="I38" i="2"/>
  <c r="I92" i="2" s="1"/>
  <c r="CG38" i="2"/>
  <c r="CG40" i="2" s="1"/>
  <c r="CG146" i="2" s="1"/>
  <c r="AB38" i="2"/>
  <c r="AB92" i="2" s="1"/>
  <c r="Q38" i="2"/>
  <c r="Q92" i="2" s="1"/>
  <c r="BT38" i="2"/>
  <c r="BT40" i="2" s="1"/>
  <c r="BM38" i="2"/>
  <c r="BM40" i="2" s="1"/>
  <c r="BM146" i="2" s="1"/>
  <c r="BP38" i="2"/>
  <c r="BP92" i="2" s="1"/>
  <c r="BI38" i="2"/>
  <c r="BI92" i="2" s="1"/>
  <c r="CE38" i="2"/>
  <c r="CE92" i="2" s="1"/>
  <c r="CH38" i="2"/>
  <c r="CH92" i="2" s="1"/>
  <c r="X91" i="2"/>
  <c r="BC38" i="2"/>
  <c r="AD38" i="2"/>
  <c r="F38" i="2"/>
  <c r="AF38" i="2"/>
  <c r="AF92" i="2" s="1"/>
  <c r="C38" i="2"/>
  <c r="C92" i="2" s="1"/>
  <c r="CF38" i="2"/>
  <c r="CF40" i="2" s="1"/>
  <c r="AV38" i="2"/>
  <c r="AV40" i="2" s="1"/>
  <c r="BR38" i="2"/>
  <c r="BR92" i="2" s="1"/>
  <c r="BS38" i="2"/>
  <c r="BS92" i="2" s="1"/>
  <c r="T38" i="2"/>
  <c r="T92" i="2" s="1"/>
  <c r="AR38" i="2"/>
  <c r="AR40" i="2" s="1"/>
  <c r="AG38" i="2"/>
  <c r="BX38" i="2"/>
  <c r="BX40" i="2" s="1"/>
  <c r="BX146" i="2" s="1"/>
  <c r="BU38" i="2"/>
  <c r="BU92" i="2" s="1"/>
  <c r="CA38" i="2"/>
  <c r="CA92" i="2" s="1"/>
  <c r="AH38" i="2"/>
  <c r="AH92" i="2" s="1"/>
  <c r="BE38" i="2"/>
  <c r="BE92" i="2" s="1"/>
  <c r="L38" i="2"/>
  <c r="L40" i="2" s="1"/>
  <c r="CC38" i="2"/>
  <c r="CC40" i="2" s="1"/>
  <c r="W38" i="2"/>
  <c r="W92" i="2" s="1"/>
  <c r="BF38" i="2"/>
  <c r="T15" i="3" s="1"/>
  <c r="V38" i="2"/>
  <c r="V40" i="2" s="1"/>
  <c r="U91" i="2"/>
  <c r="G38" i="2"/>
  <c r="G40" i="2" s="1"/>
  <c r="D20" i="13"/>
  <c r="AE38" i="2"/>
  <c r="AE92" i="2" s="1"/>
  <c r="BY38" i="2"/>
  <c r="AZ38" i="2"/>
  <c r="AZ92" i="2" s="1"/>
  <c r="AN38" i="2"/>
  <c r="AN40" i="2" s="1"/>
  <c r="K38" i="2"/>
  <c r="K92" i="2" s="1"/>
  <c r="AT38" i="2"/>
  <c r="AT92" i="2" s="1"/>
  <c r="CB38" i="2"/>
  <c r="CB92" i="2" s="1"/>
  <c r="P38" i="2"/>
  <c r="F15" i="3" s="1"/>
  <c r="BK38" i="2"/>
  <c r="V15" i="3" s="1"/>
  <c r="M40" i="2"/>
  <c r="J116" i="2"/>
  <c r="J119" i="2" s="1"/>
  <c r="K115" i="2" s="1"/>
  <c r="BM92" i="2"/>
  <c r="AO92" i="2"/>
  <c r="AO40" i="2"/>
  <c r="E111" i="2"/>
  <c r="E114" i="2" s="1"/>
  <c r="CE40" i="2"/>
  <c r="CE146" i="2" s="1"/>
  <c r="BC92" i="2"/>
  <c r="BC40" i="2"/>
  <c r="F92" i="2"/>
  <c r="E92" i="2"/>
  <c r="E40" i="2"/>
  <c r="BX92" i="2"/>
  <c r="BE40" i="2"/>
  <c r="BJ92" i="2"/>
  <c r="BJ40" i="2"/>
  <c r="BJ146" i="2" s="1"/>
  <c r="BL107" i="12"/>
  <c r="H23" i="12"/>
  <c r="BY92" i="2"/>
  <c r="H92" i="2"/>
  <c r="H40" i="2"/>
  <c r="H107" i="12"/>
  <c r="C23" i="12"/>
  <c r="AA92" i="2"/>
  <c r="AA40" i="2"/>
  <c r="P40" i="2"/>
  <c r="AI92" i="2"/>
  <c r="AI40" i="2"/>
  <c r="E116" i="2"/>
  <c r="E119" i="2" s="1"/>
  <c r="F115" i="2" s="1"/>
  <c r="BK92" i="2"/>
  <c r="Q40" i="2"/>
  <c r="AY146" i="2"/>
  <c r="AY41" i="2"/>
  <c r="AX40" i="2"/>
  <c r="I110" i="2"/>
  <c r="CD92" i="2"/>
  <c r="CD40" i="2"/>
  <c r="CD146" i="2" s="1"/>
  <c r="O92" i="2"/>
  <c r="O40" i="2"/>
  <c r="BL92" i="2"/>
  <c r="BL40" i="2"/>
  <c r="BL146" i="2" s="1"/>
  <c r="AL92" i="2"/>
  <c r="D27" i="4"/>
  <c r="D28" i="4" s="1"/>
  <c r="X92" i="2"/>
  <c r="D126" i="2"/>
  <c r="D99" i="2"/>
  <c r="D100" i="2" s="1"/>
  <c r="BZ38" i="2"/>
  <c r="G22" i="12"/>
  <c r="BN38" i="2"/>
  <c r="CF106" i="12"/>
  <c r="D92" i="2"/>
  <c r="D40" i="2"/>
  <c r="D23" i="11"/>
  <c r="AC38" i="2"/>
  <c r="N38" i="2"/>
  <c r="C83" i="2"/>
  <c r="C84" i="2" s="1"/>
  <c r="F91" i="2"/>
  <c r="AJ38" i="2"/>
  <c r="D36" i="3"/>
  <c r="L105" i="2"/>
  <c r="L107" i="2" s="1"/>
  <c r="M105" i="2" s="1"/>
  <c r="B36" i="1"/>
  <c r="BG92" i="2"/>
  <c r="BG40" i="2"/>
  <c r="BG146" i="2" s="1"/>
  <c r="D23" i="12"/>
  <c r="L107" i="12"/>
  <c r="D24" i="12" s="1"/>
  <c r="G23" i="12"/>
  <c r="AV107" i="12"/>
  <c r="G24" i="12" s="1"/>
  <c r="CC146" i="2"/>
  <c r="AG40" i="2"/>
  <c r="D121" i="2"/>
  <c r="B105" i="12"/>
  <c r="AS38" i="2"/>
  <c r="AP38" i="2"/>
  <c r="X106" i="12"/>
  <c r="D22" i="12"/>
  <c r="AY92" i="2"/>
  <c r="AR92" i="2"/>
  <c r="X40" i="2"/>
  <c r="D21" i="11"/>
  <c r="E19" i="11" s="1"/>
  <c r="I22" i="12"/>
  <c r="F23" i="12"/>
  <c r="AJ107" i="12"/>
  <c r="F24" i="12" s="1"/>
  <c r="E26" i="11"/>
  <c r="E27" i="11" s="1"/>
  <c r="F25" i="11" s="1"/>
  <c r="BD38" i="2"/>
  <c r="U38" i="2"/>
  <c r="H22" i="12"/>
  <c r="BB38" i="2"/>
  <c r="AM38" i="2"/>
  <c r="R38" i="2"/>
  <c r="BT106" i="12"/>
  <c r="BH38" i="2"/>
  <c r="F22" i="12"/>
  <c r="B22" i="12" s="1"/>
  <c r="C10" i="13"/>
  <c r="C27" i="13"/>
  <c r="D6" i="13"/>
  <c r="H24" i="12"/>
  <c r="BV38" i="2"/>
  <c r="V92" i="2" l="1"/>
  <c r="AN92" i="2"/>
  <c r="BF40" i="2"/>
  <c r="C40" i="2"/>
  <c r="C146" i="2" s="1"/>
  <c r="BI40" i="2"/>
  <c r="BI146" i="2" s="1"/>
  <c r="AK40" i="2"/>
  <c r="BF92" i="2"/>
  <c r="AW40" i="2"/>
  <c r="AW146" i="2" s="1"/>
  <c r="I40" i="2"/>
  <c r="CF92" i="2"/>
  <c r="BO40" i="2"/>
  <c r="BO146" i="2" s="1"/>
  <c r="K40" i="2"/>
  <c r="D17" i="3" s="1"/>
  <c r="S40" i="2"/>
  <c r="S146" i="2" s="1"/>
  <c r="BU40" i="2"/>
  <c r="BU146" i="2" s="1"/>
  <c r="CH40" i="2"/>
  <c r="CH146" i="2" s="1"/>
  <c r="AQ40" i="2"/>
  <c r="AQ41" i="2" s="1"/>
  <c r="CA40" i="2"/>
  <c r="CA146" i="2" s="1"/>
  <c r="BK40" i="2"/>
  <c r="BK146" i="2" s="1"/>
  <c r="BA92" i="2"/>
  <c r="L92" i="2"/>
  <c r="Z15" i="3"/>
  <c r="AE40" i="2"/>
  <c r="BT92" i="2"/>
  <c r="Y15" i="3"/>
  <c r="T40" i="2"/>
  <c r="T146" i="2" s="1"/>
  <c r="BW40" i="2"/>
  <c r="BW146" i="2" s="1"/>
  <c r="I15" i="1"/>
  <c r="I42" i="5" s="1"/>
  <c r="J15" i="3"/>
  <c r="CB40" i="2"/>
  <c r="CB146" i="2" s="1"/>
  <c r="J40" i="2"/>
  <c r="AV92" i="2"/>
  <c r="CG92" i="2"/>
  <c r="D15" i="1"/>
  <c r="D42" i="5" s="1"/>
  <c r="Y40" i="2"/>
  <c r="Y41" i="2" s="1"/>
  <c r="D15" i="3"/>
  <c r="Q15" i="3"/>
  <c r="Z40" i="2"/>
  <c r="Z146" i="2" s="1"/>
  <c r="Y92" i="2"/>
  <c r="AT40" i="2"/>
  <c r="AT146" i="2" s="1"/>
  <c r="G92" i="2"/>
  <c r="L15" i="3"/>
  <c r="BQ92" i="2"/>
  <c r="AB16" i="3"/>
  <c r="C15" i="3"/>
  <c r="B15" i="3"/>
  <c r="X15" i="3"/>
  <c r="AB40" i="2"/>
  <c r="AB146" i="2" s="1"/>
  <c r="K15" i="3"/>
  <c r="AH40" i="2"/>
  <c r="AH146" i="2" s="1"/>
  <c r="AC15" i="3"/>
  <c r="AF40" i="2"/>
  <c r="AF146" i="2" s="1"/>
  <c r="P92" i="2"/>
  <c r="BY40" i="2"/>
  <c r="BY146" i="2" s="1"/>
  <c r="F40" i="2"/>
  <c r="C16" i="3" s="1"/>
  <c r="AG92" i="2"/>
  <c r="BP40" i="2"/>
  <c r="BP146" i="2" s="1"/>
  <c r="R15" i="3"/>
  <c r="D123" i="2"/>
  <c r="D83" i="2" s="1"/>
  <c r="D40" i="4" s="1"/>
  <c r="D41" i="4" s="1"/>
  <c r="W40" i="2"/>
  <c r="W146" i="2" s="1"/>
  <c r="B15" i="1"/>
  <c r="B42" i="5" s="1"/>
  <c r="AD40" i="2"/>
  <c r="AD41" i="2" s="1"/>
  <c r="BR40" i="2"/>
  <c r="CC92" i="2"/>
  <c r="AZ40" i="2"/>
  <c r="AZ146" i="2" s="1"/>
  <c r="AU40" i="2"/>
  <c r="AU41" i="2" s="1"/>
  <c r="AD92" i="2"/>
  <c r="BS40" i="2"/>
  <c r="BS146" i="2" s="1"/>
  <c r="F15" i="1"/>
  <c r="F42" i="5" s="1"/>
  <c r="AB15" i="3"/>
  <c r="D152" i="2"/>
  <c r="F110" i="2"/>
  <c r="X146" i="2"/>
  <c r="X41" i="2"/>
  <c r="AR146" i="2"/>
  <c r="AR41" i="2"/>
  <c r="C40" i="4"/>
  <c r="C41" i="4" s="1"/>
  <c r="C42" i="4" s="1"/>
  <c r="W15" i="3"/>
  <c r="BN92" i="2"/>
  <c r="BN40" i="2"/>
  <c r="V16" i="3"/>
  <c r="V146" i="2"/>
  <c r="V41" i="2"/>
  <c r="E146" i="2"/>
  <c r="E41" i="2"/>
  <c r="G146" i="2"/>
  <c r="G41" i="2"/>
  <c r="J23" i="12"/>
  <c r="CF107" i="12"/>
  <c r="J24" i="12" s="1"/>
  <c r="P146" i="2"/>
  <c r="P41" i="2"/>
  <c r="AN146" i="2"/>
  <c r="AN41" i="2"/>
  <c r="U15" i="3"/>
  <c r="BH92" i="2"/>
  <c r="G15" i="1"/>
  <c r="G42" i="5" s="1"/>
  <c r="BH40" i="2"/>
  <c r="H15" i="3"/>
  <c r="U92" i="2"/>
  <c r="U40" i="2"/>
  <c r="N92" i="2"/>
  <c r="N40" i="2"/>
  <c r="E17" i="3" s="1"/>
  <c r="D24" i="11"/>
  <c r="E22" i="11" s="1"/>
  <c r="D101" i="2"/>
  <c r="E98" i="2" s="1"/>
  <c r="D29" i="4"/>
  <c r="I111" i="2"/>
  <c r="I114" i="2" s="1"/>
  <c r="J110" i="2" s="1"/>
  <c r="AA146" i="2"/>
  <c r="AA41" i="2"/>
  <c r="D16" i="3"/>
  <c r="I146" i="2"/>
  <c r="I41" i="2"/>
  <c r="L146" i="2"/>
  <c r="L41" i="2"/>
  <c r="BT146" i="2"/>
  <c r="K116" i="2"/>
  <c r="K119" i="2" s="1"/>
  <c r="L115" i="2" s="1"/>
  <c r="Q146" i="2"/>
  <c r="Q41" i="2"/>
  <c r="D10" i="13"/>
  <c r="D27" i="13"/>
  <c r="BD92" i="2"/>
  <c r="BD40" i="2"/>
  <c r="E23" i="12"/>
  <c r="B23" i="12" s="1"/>
  <c r="X107" i="12"/>
  <c r="E24" i="12" s="1"/>
  <c r="P15" i="3"/>
  <c r="AS92" i="2"/>
  <c r="AS40" i="2"/>
  <c r="AK146" i="2"/>
  <c r="AK41" i="2"/>
  <c r="BF146" i="2"/>
  <c r="BF41" i="2"/>
  <c r="C15" i="1"/>
  <c r="H15" i="1"/>
  <c r="H42" i="5" s="1"/>
  <c r="J146" i="2"/>
  <c r="J41" i="2"/>
  <c r="BC146" i="2"/>
  <c r="BC41" i="2"/>
  <c r="AV146" i="2"/>
  <c r="Q17" i="3"/>
  <c r="AV41" i="2"/>
  <c r="N15" i="3"/>
  <c r="AM92" i="2"/>
  <c r="AM40" i="2"/>
  <c r="AA15" i="3"/>
  <c r="BZ92" i="2"/>
  <c r="BZ40" i="2"/>
  <c r="I23" i="12"/>
  <c r="BT107" i="12"/>
  <c r="I24" i="12" s="1"/>
  <c r="AC92" i="2"/>
  <c r="AC40" i="2"/>
  <c r="C93" i="2"/>
  <c r="C94" i="2" s="1"/>
  <c r="C95" i="2" s="1"/>
  <c r="C86" i="2"/>
  <c r="F116" i="2"/>
  <c r="F119" i="2" s="1"/>
  <c r="G115" i="2" s="1"/>
  <c r="O15" i="3"/>
  <c r="AP92" i="2"/>
  <c r="AP40" i="2"/>
  <c r="H146" i="2"/>
  <c r="H41" i="2"/>
  <c r="E15" i="3"/>
  <c r="CF146" i="2"/>
  <c r="M146" i="2"/>
  <c r="M41" i="2"/>
  <c r="S15" i="3"/>
  <c r="BB92" i="2"/>
  <c r="BB40" i="2"/>
  <c r="AL146" i="2"/>
  <c r="AL41" i="2"/>
  <c r="T41" i="2"/>
  <c r="AX146" i="2"/>
  <c r="AX41" i="2"/>
  <c r="G15" i="3"/>
  <c r="R92" i="2"/>
  <c r="R40" i="2"/>
  <c r="F26" i="11"/>
  <c r="C24" i="12"/>
  <c r="AG146" i="2"/>
  <c r="AG41" i="2"/>
  <c r="BV92" i="2"/>
  <c r="BV40" i="2"/>
  <c r="BV146" i="2" s="1"/>
  <c r="E20" i="11"/>
  <c r="E81" i="2" s="1"/>
  <c r="C36" i="4"/>
  <c r="M15" i="3"/>
  <c r="AJ92" i="2"/>
  <c r="E15" i="1"/>
  <c r="AJ40" i="2"/>
  <c r="D146" i="2"/>
  <c r="D41" i="2"/>
  <c r="D128" i="2"/>
  <c r="D129" i="2" s="1"/>
  <c r="E125" i="2" s="1"/>
  <c r="F16" i="3"/>
  <c r="O146" i="2"/>
  <c r="O41" i="2"/>
  <c r="F17" i="3"/>
  <c r="AI146" i="2"/>
  <c r="AI41" i="2"/>
  <c r="B106" i="12"/>
  <c r="BA146" i="2"/>
  <c r="BA41" i="2"/>
  <c r="AE146" i="2"/>
  <c r="AE41" i="2"/>
  <c r="T16" i="3"/>
  <c r="BE146" i="2"/>
  <c r="T17" i="3"/>
  <c r="BE41" i="2"/>
  <c r="B16" i="3"/>
  <c r="C41" i="2"/>
  <c r="F41" i="2"/>
  <c r="AO146" i="2"/>
  <c r="AO41" i="2"/>
  <c r="S41" i="2" l="1"/>
  <c r="Q16" i="3"/>
  <c r="AW41" i="2"/>
  <c r="B17" i="1"/>
  <c r="I16" i="1"/>
  <c r="I43" i="5" s="1"/>
  <c r="AT41" i="2"/>
  <c r="K41" i="2"/>
  <c r="B17" i="3"/>
  <c r="K146" i="2"/>
  <c r="AQ146" i="2"/>
  <c r="C45" i="4"/>
  <c r="C46" i="4" s="1"/>
  <c r="AC16" i="3"/>
  <c r="AB41" i="2"/>
  <c r="B101" i="5"/>
  <c r="Z41" i="2"/>
  <c r="I17" i="3"/>
  <c r="F17" i="1"/>
  <c r="L17" i="3"/>
  <c r="L16" i="3"/>
  <c r="I16" i="3"/>
  <c r="Y146" i="2"/>
  <c r="W41" i="2"/>
  <c r="AF41" i="2"/>
  <c r="AH41" i="2"/>
  <c r="D101" i="5"/>
  <c r="AU146" i="2"/>
  <c r="K16" i="3"/>
  <c r="D42" i="4"/>
  <c r="R16" i="3"/>
  <c r="R17" i="3"/>
  <c r="B16" i="1"/>
  <c r="B43" i="5" s="1"/>
  <c r="BR146" i="2"/>
  <c r="X16" i="3"/>
  <c r="K17" i="3"/>
  <c r="F146" i="2"/>
  <c r="Z16" i="3"/>
  <c r="Y16" i="3"/>
  <c r="AD146" i="2"/>
  <c r="C17" i="3"/>
  <c r="AZ41" i="2"/>
  <c r="D124" i="2"/>
  <c r="E120" i="2" s="1"/>
  <c r="E121" i="2" s="1"/>
  <c r="E123" i="2" s="1"/>
  <c r="E83" i="2" s="1"/>
  <c r="E40" i="4" s="1"/>
  <c r="E41" i="4" s="1"/>
  <c r="L116" i="2"/>
  <c r="L119" i="2" s="1"/>
  <c r="M115" i="2" s="1"/>
  <c r="J111" i="2"/>
  <c r="J114" i="2" s="1"/>
  <c r="K110" i="2" s="1"/>
  <c r="E126" i="2"/>
  <c r="O16" i="3"/>
  <c r="AP146" i="2"/>
  <c r="O17" i="3"/>
  <c r="AP41" i="2"/>
  <c r="N146" i="2"/>
  <c r="N41" i="2"/>
  <c r="C147" i="2"/>
  <c r="D145" i="2" s="1"/>
  <c r="AC146" i="2"/>
  <c r="AC41" i="2"/>
  <c r="AA16" i="3"/>
  <c r="BZ146" i="2"/>
  <c r="H16" i="1"/>
  <c r="H43" i="5" s="1"/>
  <c r="F111" i="2"/>
  <c r="F114" i="2" s="1"/>
  <c r="R146" i="2"/>
  <c r="G16" i="3"/>
  <c r="R41" i="2"/>
  <c r="G17" i="3"/>
  <c r="E16" i="3"/>
  <c r="E23" i="11"/>
  <c r="E24" i="11" s="1"/>
  <c r="F22" i="11" s="1"/>
  <c r="G116" i="2"/>
  <c r="G119" i="2" s="1"/>
  <c r="BD146" i="2"/>
  <c r="BD41" i="2"/>
  <c r="BN146" i="2"/>
  <c r="W16" i="3"/>
  <c r="D17" i="1"/>
  <c r="S16" i="3"/>
  <c r="BB146" i="2"/>
  <c r="BB41" i="2"/>
  <c r="S17" i="3"/>
  <c r="E27" i="4"/>
  <c r="E28" i="4" s="1"/>
  <c r="B28" i="3"/>
  <c r="F16" i="1"/>
  <c r="F43" i="5" s="1"/>
  <c r="M16" i="3"/>
  <c r="AJ146" i="2"/>
  <c r="E16" i="1"/>
  <c r="E43" i="5" s="1"/>
  <c r="AJ41" i="2"/>
  <c r="E17" i="1"/>
  <c r="M17" i="3"/>
  <c r="E21" i="11"/>
  <c r="F19" i="11" s="1"/>
  <c r="B24" i="12"/>
  <c r="N16" i="3"/>
  <c r="AM146" i="2"/>
  <c r="N17" i="3"/>
  <c r="AM41" i="2"/>
  <c r="J17" i="3"/>
  <c r="C16" i="1"/>
  <c r="C43" i="5" s="1"/>
  <c r="U16" i="3"/>
  <c r="BH146" i="2"/>
  <c r="G16" i="1"/>
  <c r="G43" i="5" s="1"/>
  <c r="E101" i="5"/>
  <c r="E42" i="5"/>
  <c r="C151" i="2"/>
  <c r="C155" i="2" s="1"/>
  <c r="D150" i="2" s="1"/>
  <c r="P16" i="3"/>
  <c r="AS146" i="2"/>
  <c r="AS41" i="2"/>
  <c r="P17" i="3"/>
  <c r="C17" i="1"/>
  <c r="H16" i="3"/>
  <c r="U146" i="2"/>
  <c r="H17" i="3"/>
  <c r="U41" i="2"/>
  <c r="D16" i="1"/>
  <c r="D43" i="5" s="1"/>
  <c r="F27" i="11"/>
  <c r="G25" i="11" s="1"/>
  <c r="C42" i="5"/>
  <c r="C101" i="5"/>
  <c r="J16" i="3"/>
  <c r="E99" i="2"/>
  <c r="E100" i="2" s="1"/>
  <c r="D82" i="2"/>
  <c r="B107" i="12"/>
  <c r="E124" i="2" l="1"/>
  <c r="E42" i="4"/>
  <c r="B30" i="3"/>
  <c r="E128" i="2"/>
  <c r="E129" i="2" s="1"/>
  <c r="F125" i="2" s="1"/>
  <c r="E152" i="2"/>
  <c r="B33" i="3"/>
  <c r="G26" i="11"/>
  <c r="C160" i="2"/>
  <c r="M116" i="2"/>
  <c r="M119" i="2" s="1"/>
  <c r="N115" i="2" s="1"/>
  <c r="F120" i="2"/>
  <c r="E101" i="2"/>
  <c r="E29" i="4"/>
  <c r="F20" i="11"/>
  <c r="F81" i="2" s="1"/>
  <c r="E82" i="2"/>
  <c r="B29" i="3" s="1"/>
  <c r="D158" i="2"/>
  <c r="D147" i="2"/>
  <c r="E145" i="2" s="1"/>
  <c r="K111" i="2"/>
  <c r="K114" i="2" s="1"/>
  <c r="F23" i="11"/>
  <c r="D33" i="4"/>
  <c r="D35" i="4" s="1"/>
  <c r="D84" i="2"/>
  <c r="L110" i="2" l="1"/>
  <c r="N116" i="2"/>
  <c r="N119" i="2" s="1"/>
  <c r="O115" i="2" s="1"/>
  <c r="F126" i="2"/>
  <c r="B34" i="3"/>
  <c r="F98" i="2"/>
  <c r="F121" i="2"/>
  <c r="G27" i="11"/>
  <c r="H25" i="11" s="1"/>
  <c r="B38" i="3"/>
  <c r="E33" i="4"/>
  <c r="E35" i="4" s="1"/>
  <c r="E45" i="4" s="1"/>
  <c r="E84" i="2"/>
  <c r="F27" i="4"/>
  <c r="F28" i="4" s="1"/>
  <c r="F29" i="4" s="1"/>
  <c r="E147" i="2"/>
  <c r="D93" i="2"/>
  <c r="D94" i="2" s="1"/>
  <c r="D95" i="2" s="1"/>
  <c r="D86" i="2"/>
  <c r="B20" i="3"/>
  <c r="D45" i="4"/>
  <c r="D46" i="4" s="1"/>
  <c r="D36" i="4"/>
  <c r="F21" i="11"/>
  <c r="G19" i="11" s="1"/>
  <c r="F24" i="11"/>
  <c r="G22" i="11" s="1"/>
  <c r="E36" i="4" l="1"/>
  <c r="E46" i="4"/>
  <c r="B42" i="3"/>
  <c r="F145" i="2"/>
  <c r="H26" i="11"/>
  <c r="F128" i="2"/>
  <c r="F82" i="2" s="1"/>
  <c r="F123" i="2"/>
  <c r="F83" i="2" s="1"/>
  <c r="E93" i="2"/>
  <c r="E94" i="2" s="1"/>
  <c r="E95" i="2" s="1"/>
  <c r="B23" i="3" s="1"/>
  <c r="E86" i="2"/>
  <c r="E151" i="2" s="1"/>
  <c r="F99" i="2"/>
  <c r="F100" i="2" s="1"/>
  <c r="L111" i="2"/>
  <c r="L114" i="2" s="1"/>
  <c r="M110" i="2" s="1"/>
  <c r="O116" i="2"/>
  <c r="O119" i="2"/>
  <c r="P115" i="2" s="1"/>
  <c r="G23" i="11"/>
  <c r="D151" i="2"/>
  <c r="G20" i="11"/>
  <c r="G81" i="2" s="1"/>
  <c r="F101" i="2" l="1"/>
  <c r="G98" i="2" s="1"/>
  <c r="M111" i="2"/>
  <c r="M114" i="2" s="1"/>
  <c r="N110" i="2" s="1"/>
  <c r="G99" i="2"/>
  <c r="G100" i="2" s="1"/>
  <c r="F152" i="2"/>
  <c r="G27" i="4"/>
  <c r="G28" i="4" s="1"/>
  <c r="F147" i="2"/>
  <c r="G145" i="2" s="1"/>
  <c r="P116" i="2"/>
  <c r="P119" i="2" s="1"/>
  <c r="Q115" i="2" s="1"/>
  <c r="F40" i="4"/>
  <c r="F41" i="4" s="1"/>
  <c r="F42" i="4" s="1"/>
  <c r="F33" i="4"/>
  <c r="F35" i="4" s="1"/>
  <c r="F84" i="2"/>
  <c r="G21" i="11"/>
  <c r="H19" i="11" s="1"/>
  <c r="B21" i="3"/>
  <c r="D155" i="2"/>
  <c r="E150" i="2" s="1"/>
  <c r="D160" i="2"/>
  <c r="F129" i="2"/>
  <c r="G125" i="2" s="1"/>
  <c r="H27" i="11"/>
  <c r="I25" i="11" s="1"/>
  <c r="F124" i="2"/>
  <c r="G120" i="2" s="1"/>
  <c r="G24" i="11"/>
  <c r="H22" i="11" s="1"/>
  <c r="G152" i="2" l="1"/>
  <c r="Q116" i="2"/>
  <c r="Q119" i="2" s="1"/>
  <c r="R115" i="2" s="1"/>
  <c r="N111" i="2"/>
  <c r="N114" i="2" s="1"/>
  <c r="O110" i="2" s="1"/>
  <c r="G126" i="2"/>
  <c r="F36" i="4"/>
  <c r="F45" i="4"/>
  <c r="F46" i="4" s="1"/>
  <c r="G101" i="2"/>
  <c r="H98" i="2" s="1"/>
  <c r="I26" i="11"/>
  <c r="I27" i="11" s="1"/>
  <c r="J25" i="11" s="1"/>
  <c r="H23" i="11"/>
  <c r="G121" i="2"/>
  <c r="G123" i="2"/>
  <c r="G83" i="2" s="1"/>
  <c r="F93" i="2"/>
  <c r="F94" i="2" s="1"/>
  <c r="F95" i="2" s="1"/>
  <c r="F86" i="2"/>
  <c r="G147" i="2"/>
  <c r="H145" i="2" s="1"/>
  <c r="E155" i="2"/>
  <c r="E158" i="2"/>
  <c r="E160" i="2" s="1"/>
  <c r="B45" i="3" s="1"/>
  <c r="H20" i="11"/>
  <c r="H81" i="2" s="1"/>
  <c r="G29" i="4"/>
  <c r="G124" i="2" l="1"/>
  <c r="H120" i="2" s="1"/>
  <c r="G128" i="2"/>
  <c r="G82" i="2" s="1"/>
  <c r="G33" i="4" s="1"/>
  <c r="G35" i="4" s="1"/>
  <c r="H121" i="2"/>
  <c r="O111" i="2"/>
  <c r="O114" i="2" s="1"/>
  <c r="P110" i="2" s="1"/>
  <c r="R116" i="2"/>
  <c r="R119" i="2" s="1"/>
  <c r="S115" i="2" s="1"/>
  <c r="J26" i="11"/>
  <c r="J27" i="11" s="1"/>
  <c r="K25" i="11" s="1"/>
  <c r="H21" i="11"/>
  <c r="I19" i="11" s="1"/>
  <c r="H99" i="2"/>
  <c r="B43" i="3"/>
  <c r="F150" i="2"/>
  <c r="H27" i="4"/>
  <c r="H28" i="4" s="1"/>
  <c r="H29" i="4" s="1"/>
  <c r="C28" i="3"/>
  <c r="F151" i="2"/>
  <c r="G40" i="4"/>
  <c r="G41" i="4" s="1"/>
  <c r="G42" i="4" s="1"/>
  <c r="H147" i="2"/>
  <c r="H24" i="11"/>
  <c r="I22" i="11" s="1"/>
  <c r="G129" i="2" l="1"/>
  <c r="H125" i="2" s="1"/>
  <c r="H126" i="2" s="1"/>
  <c r="H128" i="2" s="1"/>
  <c r="H82" i="2" s="1"/>
  <c r="G84" i="2"/>
  <c r="G93" i="2" s="1"/>
  <c r="G94" i="2" s="1"/>
  <c r="G95" i="2" s="1"/>
  <c r="P111" i="2"/>
  <c r="P114" i="2" s="1"/>
  <c r="Q110" i="2" s="1"/>
  <c r="K26" i="11"/>
  <c r="K27" i="11" s="1"/>
  <c r="L25" i="11" s="1"/>
  <c r="S116" i="2"/>
  <c r="S119" i="2" s="1"/>
  <c r="T115" i="2" s="1"/>
  <c r="H33" i="4"/>
  <c r="H35" i="4" s="1"/>
  <c r="C29" i="3"/>
  <c r="G86" i="2"/>
  <c r="H100" i="2"/>
  <c r="H101" i="2" s="1"/>
  <c r="G45" i="4"/>
  <c r="G46" i="4" s="1"/>
  <c r="H123" i="2"/>
  <c r="H83" i="2" s="1"/>
  <c r="I23" i="11"/>
  <c r="I24" i="11" s="1"/>
  <c r="J22" i="11" s="1"/>
  <c r="F155" i="2"/>
  <c r="G150" i="2" s="1"/>
  <c r="F158" i="2"/>
  <c r="F160" i="2" s="1"/>
  <c r="I20" i="11"/>
  <c r="I81" i="2" s="1"/>
  <c r="H129" i="2"/>
  <c r="I125" i="2" s="1"/>
  <c r="C42" i="3"/>
  <c r="I145" i="2"/>
  <c r="G36" i="4"/>
  <c r="H36" i="4" l="1"/>
  <c r="H124" i="2"/>
  <c r="C38" i="3" s="1"/>
  <c r="T116" i="2"/>
  <c r="T119" i="2" s="1"/>
  <c r="U115" i="2" s="1"/>
  <c r="L26" i="11"/>
  <c r="C34" i="3"/>
  <c r="I98" i="2"/>
  <c r="Q111" i="2"/>
  <c r="Q114" i="2" s="1"/>
  <c r="R110" i="2" s="1"/>
  <c r="G158" i="2"/>
  <c r="J23" i="11"/>
  <c r="J24" i="11"/>
  <c r="K22" i="11" s="1"/>
  <c r="I126" i="2"/>
  <c r="H152" i="2"/>
  <c r="C33" i="3"/>
  <c r="G151" i="2"/>
  <c r="G155" i="2" s="1"/>
  <c r="H150" i="2" s="1"/>
  <c r="I120" i="2"/>
  <c r="H40" i="4"/>
  <c r="H41" i="4" s="1"/>
  <c r="H84" i="2"/>
  <c r="C30" i="3"/>
  <c r="I27" i="4"/>
  <c r="I28" i="4" s="1"/>
  <c r="I147" i="2"/>
  <c r="J145" i="2" s="1"/>
  <c r="I21" i="11"/>
  <c r="J19" i="11" s="1"/>
  <c r="H158" i="2" l="1"/>
  <c r="U116" i="2"/>
  <c r="U119" i="2" s="1"/>
  <c r="V115" i="2" s="1"/>
  <c r="I121" i="2"/>
  <c r="I123" i="2" s="1"/>
  <c r="I83" i="2" s="1"/>
  <c r="I128" i="2"/>
  <c r="I82" i="2" s="1"/>
  <c r="I99" i="2"/>
  <c r="I100" i="2" s="1"/>
  <c r="I29" i="4"/>
  <c r="R111" i="2"/>
  <c r="R114" i="2" s="1"/>
  <c r="S110" i="2" s="1"/>
  <c r="G160" i="2"/>
  <c r="L27" i="11"/>
  <c r="M25" i="11" s="1"/>
  <c r="J147" i="2"/>
  <c r="K145" i="2" s="1"/>
  <c r="H93" i="2"/>
  <c r="H94" i="2" s="1"/>
  <c r="H95" i="2" s="1"/>
  <c r="H86" i="2"/>
  <c r="C20" i="3"/>
  <c r="K23" i="11"/>
  <c r="J20" i="11"/>
  <c r="J81" i="2" s="1"/>
  <c r="H42" i="4"/>
  <c r="H45" i="4"/>
  <c r="H46" i="4" s="1"/>
  <c r="J21" i="11" l="1"/>
  <c r="K19" i="11" s="1"/>
  <c r="I101" i="2"/>
  <c r="J98" i="2" s="1"/>
  <c r="I124" i="2"/>
  <c r="J120" i="2" s="1"/>
  <c r="I129" i="2"/>
  <c r="J125" i="2" s="1"/>
  <c r="J99" i="2"/>
  <c r="J100" i="2"/>
  <c r="J152" i="2" s="1"/>
  <c r="J121" i="2"/>
  <c r="V116" i="2"/>
  <c r="V119" i="2" s="1"/>
  <c r="W115" i="2" s="1"/>
  <c r="H151" i="2"/>
  <c r="H155" i="2" s="1"/>
  <c r="C21" i="3"/>
  <c r="K147" i="2"/>
  <c r="C23" i="3"/>
  <c r="J27" i="4"/>
  <c r="J28" i="4" s="1"/>
  <c r="I152" i="2"/>
  <c r="J126" i="2"/>
  <c r="J128" i="2" s="1"/>
  <c r="J82" i="2" s="1"/>
  <c r="J33" i="4" s="1"/>
  <c r="J35" i="4" s="1"/>
  <c r="I40" i="4"/>
  <c r="I41" i="4" s="1"/>
  <c r="I42" i="4" s="1"/>
  <c r="I84" i="2"/>
  <c r="M26" i="11"/>
  <c r="M27" i="11" s="1"/>
  <c r="N25" i="11" s="1"/>
  <c r="S111" i="2"/>
  <c r="S114" i="2" s="1"/>
  <c r="T110" i="2" s="1"/>
  <c r="K20" i="11"/>
  <c r="K81" i="2" s="1"/>
  <c r="D28" i="3" s="1"/>
  <c r="K24" i="11"/>
  <c r="L22" i="11" s="1"/>
  <c r="I33" i="4"/>
  <c r="I35" i="4" s="1"/>
  <c r="H160" i="2" l="1"/>
  <c r="C45" i="3" s="1"/>
  <c r="J129" i="2"/>
  <c r="K125" i="2" s="1"/>
  <c r="J101" i="2"/>
  <c r="K98" i="2" s="1"/>
  <c r="K126" i="2"/>
  <c r="T111" i="2"/>
  <c r="T114" i="2" s="1"/>
  <c r="U110" i="2" s="1"/>
  <c r="K99" i="2"/>
  <c r="W116" i="2"/>
  <c r="W119" i="2" s="1"/>
  <c r="X115" i="2" s="1"/>
  <c r="B28" i="1"/>
  <c r="L145" i="2"/>
  <c r="D42" i="3"/>
  <c r="B42" i="1"/>
  <c r="J123" i="2"/>
  <c r="J83" i="2" s="1"/>
  <c r="K21" i="11"/>
  <c r="L19" i="11" s="1"/>
  <c r="N26" i="11"/>
  <c r="K27" i="4"/>
  <c r="K28" i="4" s="1"/>
  <c r="I36" i="4"/>
  <c r="J36" i="4" s="1"/>
  <c r="I45" i="4"/>
  <c r="I46" i="4" s="1"/>
  <c r="L23" i="11"/>
  <c r="L24" i="11" s="1"/>
  <c r="M22" i="11" s="1"/>
  <c r="J29" i="4"/>
  <c r="I93" i="2"/>
  <c r="I94" i="2" s="1"/>
  <c r="I95" i="2" s="1"/>
  <c r="I86" i="2"/>
  <c r="C43" i="3"/>
  <c r="I150" i="2"/>
  <c r="K100" i="2" l="1"/>
  <c r="B33" i="1" s="1"/>
  <c r="J124" i="2"/>
  <c r="K120" i="2" s="1"/>
  <c r="M23" i="11"/>
  <c r="M24" i="11" s="1"/>
  <c r="N22" i="11" s="1"/>
  <c r="U111" i="2"/>
  <c r="U114" i="2" s="1"/>
  <c r="V110" i="2" s="1"/>
  <c r="B52" i="5"/>
  <c r="B71" i="5"/>
  <c r="I155" i="2"/>
  <c r="J150" i="2" s="1"/>
  <c r="I158" i="2"/>
  <c r="I160" i="2" s="1"/>
  <c r="L20" i="11"/>
  <c r="L81" i="2" s="1"/>
  <c r="K128" i="2"/>
  <c r="K82" i="2" s="1"/>
  <c r="K29" i="4"/>
  <c r="X116" i="2"/>
  <c r="X119" i="2" s="1"/>
  <c r="Y115" i="2" s="1"/>
  <c r="I151" i="2"/>
  <c r="D33" i="3"/>
  <c r="K121" i="2"/>
  <c r="K123" i="2" s="1"/>
  <c r="K83" i="2" s="1"/>
  <c r="D30" i="3" s="1"/>
  <c r="L147" i="2"/>
  <c r="M145" i="2" s="1"/>
  <c r="N27" i="11"/>
  <c r="O25" i="11" s="1"/>
  <c r="J40" i="4"/>
  <c r="J41" i="4" s="1"/>
  <c r="J84" i="2"/>
  <c r="K124" i="2" l="1"/>
  <c r="L120" i="2" s="1"/>
  <c r="B30" i="1"/>
  <c r="L21" i="11"/>
  <c r="M19" i="11" s="1"/>
  <c r="M20" i="11" s="1"/>
  <c r="M81" i="2" s="1"/>
  <c r="K152" i="2"/>
  <c r="K101" i="2"/>
  <c r="Y116" i="2"/>
  <c r="Y119" i="2" s="1"/>
  <c r="Z115" i="2" s="1"/>
  <c r="N23" i="11"/>
  <c r="N24" i="11" s="1"/>
  <c r="O22" i="11" s="1"/>
  <c r="J93" i="2"/>
  <c r="J94" i="2" s="1"/>
  <c r="J95" i="2" s="1"/>
  <c r="J86" i="2"/>
  <c r="K40" i="4"/>
  <c r="K41" i="4" s="1"/>
  <c r="K84" i="2"/>
  <c r="B20" i="1" s="1"/>
  <c r="B46" i="5" s="1"/>
  <c r="K33" i="4"/>
  <c r="K35" i="4" s="1"/>
  <c r="B29" i="1"/>
  <c r="D29" i="3"/>
  <c r="K129" i="2"/>
  <c r="L125" i="2" s="1"/>
  <c r="O26" i="11"/>
  <c r="J158" i="2"/>
  <c r="J42" i="4"/>
  <c r="J45" i="4"/>
  <c r="J46" i="4" s="1"/>
  <c r="L27" i="4"/>
  <c r="L28" i="4" s="1"/>
  <c r="L29" i="4" s="1"/>
  <c r="M147" i="2"/>
  <c r="N145" i="2" s="1"/>
  <c r="V111" i="2"/>
  <c r="V114" i="2" s="1"/>
  <c r="W110" i="2" s="1"/>
  <c r="K42" i="4" l="1"/>
  <c r="D20" i="3"/>
  <c r="D34" i="3"/>
  <c r="L98" i="2"/>
  <c r="L99" i="2" s="1"/>
  <c r="L100" i="2" s="1"/>
  <c r="L152" i="2" s="1"/>
  <c r="B34" i="1"/>
  <c r="O23" i="11"/>
  <c r="O24" i="11" s="1"/>
  <c r="P22" i="11" s="1"/>
  <c r="M27" i="4"/>
  <c r="M28" i="4" s="1"/>
  <c r="K36" i="4"/>
  <c r="K45" i="4"/>
  <c r="K46" i="4" s="1"/>
  <c r="J151" i="2"/>
  <c r="J155" i="2" s="1"/>
  <c r="K150" i="2" s="1"/>
  <c r="N147" i="2"/>
  <c r="K93" i="2"/>
  <c r="K94" i="2" s="1"/>
  <c r="K95" i="2" s="1"/>
  <c r="M106" i="2" s="1"/>
  <c r="K86" i="2"/>
  <c r="K151" i="2" s="1"/>
  <c r="B38" i="1"/>
  <c r="O27" i="11"/>
  <c r="P25" i="11" s="1"/>
  <c r="D38" i="3"/>
  <c r="M21" i="11"/>
  <c r="N19" i="11" s="1"/>
  <c r="W111" i="2"/>
  <c r="W114" i="2" s="1"/>
  <c r="L126" i="2"/>
  <c r="L121" i="2"/>
  <c r="Z116" i="2"/>
  <c r="Z119" i="2" s="1"/>
  <c r="AA115" i="2" s="1"/>
  <c r="L101" i="2" l="1"/>
  <c r="M98" i="2" s="1"/>
  <c r="B21" i="1"/>
  <c r="D21" i="3"/>
  <c r="D23" i="3"/>
  <c r="J160" i="2"/>
  <c r="B23" i="1"/>
  <c r="AA116" i="2"/>
  <c r="AA119" i="2" s="1"/>
  <c r="AB115" i="2" s="1"/>
  <c r="L129" i="2"/>
  <c r="M125" i="2" s="1"/>
  <c r="L123" i="2"/>
  <c r="L83" i="2" s="1"/>
  <c r="P23" i="11"/>
  <c r="P24" i="11" s="1"/>
  <c r="Q22" i="11" s="1"/>
  <c r="L128" i="2"/>
  <c r="L82" i="2" s="1"/>
  <c r="P26" i="11"/>
  <c r="P27" i="11" s="1"/>
  <c r="Q25" i="11" s="1"/>
  <c r="K155" i="2"/>
  <c r="K158" i="2"/>
  <c r="K160" i="2" s="1"/>
  <c r="E35" i="3"/>
  <c r="M153" i="2"/>
  <c r="C35" i="1"/>
  <c r="M107" i="2"/>
  <c r="N105" i="2" s="1"/>
  <c r="N107" i="2" s="1"/>
  <c r="N20" i="11"/>
  <c r="N81" i="2" s="1"/>
  <c r="N159" i="2"/>
  <c r="M99" i="2"/>
  <c r="X110" i="2"/>
  <c r="E42" i="3"/>
  <c r="O145" i="2"/>
  <c r="M29" i="4"/>
  <c r="Q26" i="11" l="1"/>
  <c r="M100" i="2"/>
  <c r="Q23" i="11"/>
  <c r="Q24" i="11" s="1"/>
  <c r="R22" i="11" s="1"/>
  <c r="O147" i="2"/>
  <c r="P145" i="2" s="1"/>
  <c r="E44" i="3"/>
  <c r="C44" i="1"/>
  <c r="L40" i="4"/>
  <c r="L41" i="4" s="1"/>
  <c r="L42" i="4" s="1"/>
  <c r="L84" i="2"/>
  <c r="D45" i="3"/>
  <c r="B45" i="1"/>
  <c r="N27" i="4"/>
  <c r="N28" i="4" s="1"/>
  <c r="N29" i="4" s="1"/>
  <c r="E28" i="3"/>
  <c r="D43" i="3"/>
  <c r="L150" i="2"/>
  <c r="B43" i="1"/>
  <c r="L124" i="2"/>
  <c r="M120" i="2" s="1"/>
  <c r="X111" i="2"/>
  <c r="X114" i="2" s="1"/>
  <c r="Y110" i="2" s="1"/>
  <c r="N21" i="11"/>
  <c r="O19" i="11" s="1"/>
  <c r="M126" i="2"/>
  <c r="E36" i="3"/>
  <c r="O105" i="2"/>
  <c r="O107" i="2" s="1"/>
  <c r="P105" i="2" s="1"/>
  <c r="P107" i="2" s="1"/>
  <c r="Q105" i="2" s="1"/>
  <c r="Q107" i="2" s="1"/>
  <c r="L33" i="4"/>
  <c r="L35" i="4" s="1"/>
  <c r="AB116" i="2"/>
  <c r="AB119" i="2" s="1"/>
  <c r="AC115" i="2" s="1"/>
  <c r="Y111" i="2" l="1"/>
  <c r="Y114" i="2" s="1"/>
  <c r="Z110" i="2" s="1"/>
  <c r="M128" i="2"/>
  <c r="M82" i="2" s="1"/>
  <c r="AC116" i="2"/>
  <c r="AC119" i="2"/>
  <c r="AD115" i="2" s="1"/>
  <c r="M152" i="2"/>
  <c r="L93" i="2"/>
  <c r="L94" i="2" s="1"/>
  <c r="L95" i="2" s="1"/>
  <c r="L86" i="2"/>
  <c r="R23" i="11"/>
  <c r="R24" i="11" s="1"/>
  <c r="S22" i="11" s="1"/>
  <c r="F36" i="3"/>
  <c r="R105" i="2"/>
  <c r="R107" i="2" s="1"/>
  <c r="S105" i="2" s="1"/>
  <c r="S107" i="2" s="1"/>
  <c r="T105" i="2" s="1"/>
  <c r="T107" i="2" s="1"/>
  <c r="P147" i="2"/>
  <c r="Q145" i="2" s="1"/>
  <c r="Q27" i="11"/>
  <c r="R25" i="11" s="1"/>
  <c r="L158" i="2"/>
  <c r="O20" i="11"/>
  <c r="O81" i="2" s="1"/>
  <c r="L45" i="4"/>
  <c r="L46" i="4" s="1"/>
  <c r="L36" i="4"/>
  <c r="M121" i="2"/>
  <c r="M123" i="2" s="1"/>
  <c r="M83" i="2" s="1"/>
  <c r="B50" i="5"/>
  <c r="B100" i="5"/>
  <c r="B102" i="5" s="1"/>
  <c r="B103" i="5" s="1"/>
  <c r="B72" i="5"/>
  <c r="M101" i="2"/>
  <c r="N98" i="2" s="1"/>
  <c r="Z111" i="2" l="1"/>
  <c r="Z114" i="2" s="1"/>
  <c r="AA110" i="2" s="1"/>
  <c r="M40" i="4"/>
  <c r="M41" i="4" s="1"/>
  <c r="M42" i="4" s="1"/>
  <c r="M84" i="2"/>
  <c r="Q147" i="2"/>
  <c r="AD116" i="2"/>
  <c r="AD119" i="2" s="1"/>
  <c r="AE115" i="2" s="1"/>
  <c r="O27" i="4"/>
  <c r="O28" i="4" s="1"/>
  <c r="N99" i="2"/>
  <c r="N100" i="2" s="1"/>
  <c r="G36" i="3"/>
  <c r="U105" i="2"/>
  <c r="U107" i="2" s="1"/>
  <c r="V105" i="2" s="1"/>
  <c r="V107" i="2" s="1"/>
  <c r="W105" i="2" s="1"/>
  <c r="W107" i="2" s="1"/>
  <c r="L151" i="2"/>
  <c r="L155" i="2" s="1"/>
  <c r="M150" i="2" s="1"/>
  <c r="M33" i="4"/>
  <c r="M35" i="4" s="1"/>
  <c r="M45" i="4" s="1"/>
  <c r="M46" i="4" s="1"/>
  <c r="L160" i="2"/>
  <c r="S23" i="11"/>
  <c r="S24" i="11" s="1"/>
  <c r="T22" i="11" s="1"/>
  <c r="O21" i="11"/>
  <c r="P19" i="11" s="1"/>
  <c r="M124" i="2"/>
  <c r="N120" i="2" s="1"/>
  <c r="R26" i="11"/>
  <c r="R27" i="11" s="1"/>
  <c r="S25" i="11" s="1"/>
  <c r="M129" i="2"/>
  <c r="N125" i="2" s="1"/>
  <c r="AE116" i="2" l="1"/>
  <c r="AE119" i="2" s="1"/>
  <c r="AF115" i="2" s="1"/>
  <c r="T23" i="11"/>
  <c r="T24" i="11" s="1"/>
  <c r="U22" i="11" s="1"/>
  <c r="N126" i="2"/>
  <c r="E38" i="3" s="1"/>
  <c r="M158" i="2"/>
  <c r="M36" i="4"/>
  <c r="F42" i="3"/>
  <c r="R145" i="2"/>
  <c r="N152" i="2"/>
  <c r="E33" i="3"/>
  <c r="H36" i="3"/>
  <c r="X105" i="2"/>
  <c r="X107" i="2" s="1"/>
  <c r="Y105" i="2" s="1"/>
  <c r="C36" i="1"/>
  <c r="N121" i="2"/>
  <c r="N123" i="2" s="1"/>
  <c r="N83" i="2" s="1"/>
  <c r="P20" i="11"/>
  <c r="P81" i="2" s="1"/>
  <c r="O29" i="4"/>
  <c r="M93" i="2"/>
  <c r="M94" i="2" s="1"/>
  <c r="M95" i="2" s="1"/>
  <c r="M86" i="2"/>
  <c r="S26" i="11"/>
  <c r="S27" i="11" s="1"/>
  <c r="T25" i="11" s="1"/>
  <c r="N101" i="2"/>
  <c r="AA111" i="2"/>
  <c r="AA114" i="2" s="1"/>
  <c r="AB110" i="2" s="1"/>
  <c r="N128" i="2" l="1"/>
  <c r="N82" i="2" s="1"/>
  <c r="AB111" i="2"/>
  <c r="AB114" i="2" s="1"/>
  <c r="AC110" i="2" s="1"/>
  <c r="N40" i="4"/>
  <c r="N41" i="4" s="1"/>
  <c r="N42" i="4" s="1"/>
  <c r="E30" i="3"/>
  <c r="AF116" i="2"/>
  <c r="AF119" i="2" s="1"/>
  <c r="AG115" i="2" s="1"/>
  <c r="U23" i="11"/>
  <c r="U24" i="11" s="1"/>
  <c r="V22" i="11" s="1"/>
  <c r="M151" i="2"/>
  <c r="M155" i="2" s="1"/>
  <c r="N150" i="2" s="1"/>
  <c r="N124" i="2"/>
  <c r="O120" i="2" s="1"/>
  <c r="N129" i="2"/>
  <c r="O125" i="2" s="1"/>
  <c r="R147" i="2"/>
  <c r="S145" i="2" s="1"/>
  <c r="E34" i="3"/>
  <c r="O98" i="2"/>
  <c r="P27" i="4"/>
  <c r="P28" i="4" s="1"/>
  <c r="P29" i="4" s="1"/>
  <c r="N33" i="4"/>
  <c r="N35" i="4" s="1"/>
  <c r="N84" i="2"/>
  <c r="E29" i="3"/>
  <c r="T26" i="11"/>
  <c r="P21" i="11"/>
  <c r="Q19" i="11" s="1"/>
  <c r="M160" i="2" l="1"/>
  <c r="N45" i="4"/>
  <c r="N46" i="4" s="1"/>
  <c r="AG116" i="2"/>
  <c r="AG119" i="2" s="1"/>
  <c r="AH115" i="2" s="1"/>
  <c r="V23" i="11"/>
  <c r="Q20" i="11"/>
  <c r="Q81" i="2" s="1"/>
  <c r="O126" i="2"/>
  <c r="O128" i="2" s="1"/>
  <c r="O82" i="2" s="1"/>
  <c r="O121" i="2"/>
  <c r="O123" i="2" s="1"/>
  <c r="O83" i="2" s="1"/>
  <c r="T27" i="11"/>
  <c r="U25" i="11" s="1"/>
  <c r="O99" i="2"/>
  <c r="O100" i="2" s="1"/>
  <c r="S147" i="2"/>
  <c r="T145" i="2" s="1"/>
  <c r="N93" i="2"/>
  <c r="N94" i="2" s="1"/>
  <c r="N95" i="2" s="1"/>
  <c r="N86" i="2"/>
  <c r="E20" i="3"/>
  <c r="N158" i="2"/>
  <c r="N36" i="4"/>
  <c r="AC111" i="2"/>
  <c r="AC114" i="2" s="1"/>
  <c r="AD110" i="2" s="1"/>
  <c r="Q21" i="11" l="1"/>
  <c r="R19" i="11" s="1"/>
  <c r="O129" i="2"/>
  <c r="P125" i="2" s="1"/>
  <c r="O101" i="2"/>
  <c r="P98" i="2" s="1"/>
  <c r="O124" i="2"/>
  <c r="P120" i="2" s="1"/>
  <c r="P121" i="2"/>
  <c r="P123" i="2" s="1"/>
  <c r="P83" i="2" s="1"/>
  <c r="P126" i="2"/>
  <c r="P128" i="2" s="1"/>
  <c r="P82" i="2" s="1"/>
  <c r="P99" i="2"/>
  <c r="P100" i="2" s="1"/>
  <c r="AD111" i="2"/>
  <c r="AD114" i="2" s="1"/>
  <c r="AE110" i="2" s="1"/>
  <c r="N151" i="2"/>
  <c r="N155" i="2" s="1"/>
  <c r="E21" i="3"/>
  <c r="R20" i="11"/>
  <c r="R81" i="2" s="1"/>
  <c r="U26" i="11"/>
  <c r="O40" i="4"/>
  <c r="O41" i="4" s="1"/>
  <c r="O42" i="4" s="1"/>
  <c r="O84" i="2"/>
  <c r="T147" i="2"/>
  <c r="V24" i="11"/>
  <c r="W22" i="11" s="1"/>
  <c r="E23" i="3"/>
  <c r="Q27" i="4"/>
  <c r="Q28" i="4" s="1"/>
  <c r="F28" i="3"/>
  <c r="O152" i="2"/>
  <c r="O33" i="4"/>
  <c r="O35" i="4" s="1"/>
  <c r="O45" i="4" s="1"/>
  <c r="O46" i="4" s="1"/>
  <c r="AH116" i="2"/>
  <c r="AH119" i="2" s="1"/>
  <c r="AI115" i="2" s="1"/>
  <c r="N160" i="2" l="1"/>
  <c r="E45" i="3" s="1"/>
  <c r="P124" i="2"/>
  <c r="Q120" i="2" s="1"/>
  <c r="AI116" i="2"/>
  <c r="AI119" i="2" s="1"/>
  <c r="AJ115" i="2" s="1"/>
  <c r="P152" i="2"/>
  <c r="AE111" i="2"/>
  <c r="AE114" i="2" s="1"/>
  <c r="AF110" i="2" s="1"/>
  <c r="P33" i="4"/>
  <c r="P35" i="4" s="1"/>
  <c r="Q29" i="4"/>
  <c r="O36" i="4"/>
  <c r="P101" i="2"/>
  <c r="Q98" i="2" s="1"/>
  <c r="R27" i="4"/>
  <c r="R28" i="4" s="1"/>
  <c r="O93" i="2"/>
  <c r="O94" i="2" s="1"/>
  <c r="O95" i="2" s="1"/>
  <c r="O86" i="2"/>
  <c r="P129" i="2"/>
  <c r="Q125" i="2" s="1"/>
  <c r="W23" i="11"/>
  <c r="W24" i="11" s="1"/>
  <c r="X22" i="11" s="1"/>
  <c r="P40" i="4"/>
  <c r="P41" i="4" s="1"/>
  <c r="P42" i="4" s="1"/>
  <c r="P84" i="2"/>
  <c r="E43" i="3"/>
  <c r="O150" i="2"/>
  <c r="U27" i="11"/>
  <c r="V25" i="11" s="1"/>
  <c r="U145" i="2"/>
  <c r="G42" i="3"/>
  <c r="R21" i="11"/>
  <c r="S19" i="11" s="1"/>
  <c r="Q121" i="2"/>
  <c r="P45" i="4" l="1"/>
  <c r="P46" i="4" s="1"/>
  <c r="Q123" i="2"/>
  <c r="Q83" i="2" s="1"/>
  <c r="F30" i="3" s="1"/>
  <c r="AF111" i="2"/>
  <c r="AF114" i="2" s="1"/>
  <c r="AG110" i="2" s="1"/>
  <c r="X23" i="11"/>
  <c r="X24" i="11" s="1"/>
  <c r="Y22" i="11" s="1"/>
  <c r="V26" i="11"/>
  <c r="V27" i="11" s="1"/>
  <c r="W25" i="11" s="1"/>
  <c r="Q126" i="2"/>
  <c r="F38" i="3" s="1"/>
  <c r="Q40" i="4"/>
  <c r="Q41" i="4" s="1"/>
  <c r="Q42" i="4" s="1"/>
  <c r="O158" i="2"/>
  <c r="Q99" i="2"/>
  <c r="P36" i="4"/>
  <c r="P93" i="2"/>
  <c r="P94" i="2" s="1"/>
  <c r="P95" i="2" s="1"/>
  <c r="P86" i="2"/>
  <c r="P151" i="2" s="1"/>
  <c r="R29" i="4"/>
  <c r="O151" i="2"/>
  <c r="O155" i="2" s="1"/>
  <c r="P150" i="2" s="1"/>
  <c r="S20" i="11"/>
  <c r="S81" i="2" s="1"/>
  <c r="U147" i="2"/>
  <c r="V145" i="2" s="1"/>
  <c r="AJ116" i="2"/>
  <c r="AJ119" i="2" s="1"/>
  <c r="AK115" i="2" s="1"/>
  <c r="Q100" i="2" l="1"/>
  <c r="Q101" i="2" s="1"/>
  <c r="Q124" i="2"/>
  <c r="R120" i="2" s="1"/>
  <c r="R121" i="2" s="1"/>
  <c r="R123" i="2" s="1"/>
  <c r="R83" i="2" s="1"/>
  <c r="AK116" i="2"/>
  <c r="AK119" i="2" s="1"/>
  <c r="AL115" i="2" s="1"/>
  <c r="Y23" i="11"/>
  <c r="Y24" i="11" s="1"/>
  <c r="Z22" i="11" s="1"/>
  <c r="P155" i="2"/>
  <c r="Q150" i="2" s="1"/>
  <c r="P158" i="2"/>
  <c r="P160" i="2" s="1"/>
  <c r="V147" i="2"/>
  <c r="W145" i="2" s="1"/>
  <c r="Q152" i="2"/>
  <c r="F33" i="3"/>
  <c r="Q128" i="2"/>
  <c r="Q82" i="2" s="1"/>
  <c r="O160" i="2"/>
  <c r="AG111" i="2"/>
  <c r="AG114" i="2" s="1"/>
  <c r="AH110" i="2" s="1"/>
  <c r="S27" i="4"/>
  <c r="S28" i="4" s="1"/>
  <c r="S29" i="4" s="1"/>
  <c r="S21" i="11"/>
  <c r="T19" i="11" s="1"/>
  <c r="W26" i="11"/>
  <c r="W27" i="11" s="1"/>
  <c r="X25" i="11" s="1"/>
  <c r="F34" i="3" l="1"/>
  <c r="R98" i="2"/>
  <c r="R124" i="2"/>
  <c r="S120" i="2" s="1"/>
  <c r="S121" i="2" s="1"/>
  <c r="S123" i="2" s="1"/>
  <c r="S83" i="2" s="1"/>
  <c r="X26" i="11"/>
  <c r="X27" i="11" s="1"/>
  <c r="Y25" i="11" s="1"/>
  <c r="AL116" i="2"/>
  <c r="AL119" i="2" s="1"/>
  <c r="AM115" i="2" s="1"/>
  <c r="Z23" i="11"/>
  <c r="Z24" i="11" s="1"/>
  <c r="AA22" i="11" s="1"/>
  <c r="W147" i="2"/>
  <c r="R40" i="4"/>
  <c r="R41" i="4" s="1"/>
  <c r="R42" i="4" s="1"/>
  <c r="Q33" i="4"/>
  <c r="Q35" i="4" s="1"/>
  <c r="Q84" i="2"/>
  <c r="F29" i="3"/>
  <c r="R99" i="2"/>
  <c r="Q129" i="2"/>
  <c r="R125" i="2" s="1"/>
  <c r="T20" i="11"/>
  <c r="T81" i="2" s="1"/>
  <c r="AH111" i="2"/>
  <c r="AH114" i="2" s="1"/>
  <c r="AI110" i="2" s="1"/>
  <c r="Q158" i="2"/>
  <c r="R100" i="2" l="1"/>
  <c r="R101" i="2" s="1"/>
  <c r="S98" i="2" s="1"/>
  <c r="AI111" i="2"/>
  <c r="AI114" i="2" s="1"/>
  <c r="Y26" i="11"/>
  <c r="Y27" i="11" s="1"/>
  <c r="Z25" i="11" s="1"/>
  <c r="AA23" i="11"/>
  <c r="AA24" i="11" s="1"/>
  <c r="AB22" i="11" s="1"/>
  <c r="S124" i="2"/>
  <c r="T120" i="2" s="1"/>
  <c r="S40" i="4"/>
  <c r="S41" i="4" s="1"/>
  <c r="S42" i="4" s="1"/>
  <c r="T27" i="4"/>
  <c r="T28" i="4" s="1"/>
  <c r="G28" i="3"/>
  <c r="T21" i="11"/>
  <c r="U19" i="11" s="1"/>
  <c r="Q93" i="2"/>
  <c r="Q94" i="2" s="1"/>
  <c r="Q95" i="2" s="1"/>
  <c r="Q86" i="2"/>
  <c r="F20" i="3"/>
  <c r="H42" i="3"/>
  <c r="X145" i="2"/>
  <c r="C42" i="1"/>
  <c r="AM116" i="2"/>
  <c r="AM119" i="2" s="1"/>
  <c r="AN115" i="2" s="1"/>
  <c r="Q45" i="4"/>
  <c r="Q46" i="4" s="1"/>
  <c r="Q36" i="4"/>
  <c r="R126" i="2"/>
  <c r="R128" i="2"/>
  <c r="R82" i="2" s="1"/>
  <c r="S99" i="2" l="1"/>
  <c r="S100" i="2" s="1"/>
  <c r="S152" i="2" s="1"/>
  <c r="R129" i="2"/>
  <c r="S125" i="2" s="1"/>
  <c r="R152" i="2"/>
  <c r="AN116" i="2"/>
  <c r="AN119" i="2" s="1"/>
  <c r="AO115" i="2" s="1"/>
  <c r="S126" i="2"/>
  <c r="S128" i="2" s="1"/>
  <c r="S82" i="2" s="1"/>
  <c r="R33" i="4"/>
  <c r="R35" i="4" s="1"/>
  <c r="R45" i="4" s="1"/>
  <c r="R46" i="4" s="1"/>
  <c r="R84" i="2"/>
  <c r="U20" i="11"/>
  <c r="U81" i="2" s="1"/>
  <c r="AB23" i="11"/>
  <c r="C52" i="5"/>
  <c r="C71" i="5"/>
  <c r="X147" i="2"/>
  <c r="Y145" i="2" s="1"/>
  <c r="AJ110" i="2"/>
  <c r="T29" i="4"/>
  <c r="Z26" i="11"/>
  <c r="Q151" i="2"/>
  <c r="F21" i="3"/>
  <c r="T121" i="2"/>
  <c r="T123" i="2" s="1"/>
  <c r="F23" i="3"/>
  <c r="R36" i="4" l="1"/>
  <c r="S101" i="2"/>
  <c r="T98" i="2" s="1"/>
  <c r="T99" i="2" s="1"/>
  <c r="T100" i="2" s="1"/>
  <c r="T152" i="2" s="1"/>
  <c r="S33" i="4"/>
  <c r="S35" i="4" s="1"/>
  <c r="S45" i="4" s="1"/>
  <c r="S46" i="4" s="1"/>
  <c r="S84" i="2"/>
  <c r="T83" i="2"/>
  <c r="T124" i="2"/>
  <c r="U120" i="2" s="1"/>
  <c r="AO116" i="2"/>
  <c r="AO119" i="2" s="1"/>
  <c r="AP115" i="2" s="1"/>
  <c r="AJ111" i="2"/>
  <c r="AJ114" i="2" s="1"/>
  <c r="AK110" i="2" s="1"/>
  <c r="U21" i="11"/>
  <c r="V19" i="11" s="1"/>
  <c r="Y147" i="2"/>
  <c r="Z145" i="2" s="1"/>
  <c r="Q155" i="2"/>
  <c r="Q160" i="2"/>
  <c r="F45" i="3" s="1"/>
  <c r="S129" i="2"/>
  <c r="T125" i="2" s="1"/>
  <c r="U27" i="4"/>
  <c r="U28" i="4" s="1"/>
  <c r="R93" i="2"/>
  <c r="R94" i="2" s="1"/>
  <c r="R95" i="2" s="1"/>
  <c r="R86" i="2"/>
  <c r="Z27" i="11"/>
  <c r="AA25" i="11" s="1"/>
  <c r="AB24" i="11"/>
  <c r="AC22" i="11" s="1"/>
  <c r="T101" i="2" l="1"/>
  <c r="G33" i="3"/>
  <c r="AK111" i="2"/>
  <c r="AK114" i="2" s="1"/>
  <c r="AL110" i="2" s="1"/>
  <c r="AP116" i="2"/>
  <c r="AP119" i="2" s="1"/>
  <c r="AQ115" i="2" s="1"/>
  <c r="G34" i="3"/>
  <c r="U98" i="2"/>
  <c r="AA26" i="11"/>
  <c r="T40" i="4"/>
  <c r="T41" i="4" s="1"/>
  <c r="T42" i="4" s="1"/>
  <c r="G30" i="3"/>
  <c r="R151" i="2"/>
  <c r="F43" i="3"/>
  <c r="R150" i="2"/>
  <c r="V20" i="11"/>
  <c r="V81" i="2" s="1"/>
  <c r="S93" i="2"/>
  <c r="S94" i="2" s="1"/>
  <c r="S95" i="2" s="1"/>
  <c r="S86" i="2"/>
  <c r="S151" i="2" s="1"/>
  <c r="AC23" i="11"/>
  <c r="T126" i="2"/>
  <c r="G38" i="3" s="1"/>
  <c r="Z147" i="2"/>
  <c r="U29" i="4"/>
  <c r="S36" i="4"/>
  <c r="U121" i="2"/>
  <c r="U123" i="2" s="1"/>
  <c r="U83" i="2" s="1"/>
  <c r="V21" i="11" l="1"/>
  <c r="W19" i="11" s="1"/>
  <c r="AQ116" i="2"/>
  <c r="AQ119" i="2" s="1"/>
  <c r="AR115" i="2" s="1"/>
  <c r="U40" i="4"/>
  <c r="U41" i="4" s="1"/>
  <c r="U42" i="4" s="1"/>
  <c r="AL111" i="2"/>
  <c r="AL114" i="2" s="1"/>
  <c r="AM110" i="2" s="1"/>
  <c r="R155" i="2"/>
  <c r="S150" i="2" s="1"/>
  <c r="R158" i="2"/>
  <c r="R160" i="2" s="1"/>
  <c r="U99" i="2"/>
  <c r="U100" i="2" s="1"/>
  <c r="U124" i="2"/>
  <c r="V120" i="2" s="1"/>
  <c r="I42" i="3"/>
  <c r="AA145" i="2"/>
  <c r="W20" i="11"/>
  <c r="W81" i="2" s="1"/>
  <c r="C28" i="1" s="1"/>
  <c r="T128" i="2"/>
  <c r="T82" i="2" s="1"/>
  <c r="AC24" i="11"/>
  <c r="AD22" i="11" s="1"/>
  <c r="V27" i="4"/>
  <c r="V28" i="4" s="1"/>
  <c r="H28" i="3"/>
  <c r="AA27" i="11"/>
  <c r="AB25" i="11" s="1"/>
  <c r="U152" i="2" l="1"/>
  <c r="AR116" i="2"/>
  <c r="AR119" i="2" s="1"/>
  <c r="AS115" i="2" s="1"/>
  <c r="T33" i="4"/>
  <c r="T35" i="4" s="1"/>
  <c r="G29" i="3"/>
  <c r="T84" i="2"/>
  <c r="W27" i="4"/>
  <c r="W28" i="4" s="1"/>
  <c r="AA147" i="2"/>
  <c r="AB145" i="2" s="1"/>
  <c r="AM111" i="2"/>
  <c r="AM114" i="2" s="1"/>
  <c r="AN110" i="2" s="1"/>
  <c r="U101" i="2"/>
  <c r="V98" i="2" s="1"/>
  <c r="W21" i="11"/>
  <c r="X19" i="11" s="1"/>
  <c r="S155" i="2"/>
  <c r="T150" i="2" s="1"/>
  <c r="S158" i="2"/>
  <c r="S160" i="2" s="1"/>
  <c r="AD23" i="11"/>
  <c r="AD24" i="11" s="1"/>
  <c r="AE22" i="11" s="1"/>
  <c r="V121" i="2"/>
  <c r="V123" i="2" s="1"/>
  <c r="V83" i="2" s="1"/>
  <c r="AB26" i="11"/>
  <c r="V29" i="4"/>
  <c r="T129" i="2"/>
  <c r="U125" i="2" s="1"/>
  <c r="V124" i="2" l="1"/>
  <c r="W120" i="2" s="1"/>
  <c r="W29" i="4"/>
  <c r="AE23" i="11"/>
  <c r="AE24" i="11" s="1"/>
  <c r="AF22" i="11" s="1"/>
  <c r="AN111" i="2"/>
  <c r="AN114" i="2"/>
  <c r="AO110" i="2" s="1"/>
  <c r="U126" i="2"/>
  <c r="U128" i="2" s="1"/>
  <c r="AS116" i="2"/>
  <c r="AS119" i="2" s="1"/>
  <c r="AT115" i="2" s="1"/>
  <c r="X20" i="11"/>
  <c r="X81" i="2" s="1"/>
  <c r="T93" i="2"/>
  <c r="T94" i="2" s="1"/>
  <c r="T95" i="2" s="1"/>
  <c r="T86" i="2"/>
  <c r="G20" i="3"/>
  <c r="W121" i="2"/>
  <c r="W123" i="2"/>
  <c r="W83" i="2" s="1"/>
  <c r="W40" i="4" s="1"/>
  <c r="W41" i="4" s="1"/>
  <c r="V40" i="4"/>
  <c r="V41" i="4" s="1"/>
  <c r="V42" i="4" s="1"/>
  <c r="H30" i="3"/>
  <c r="T45" i="4"/>
  <c r="T46" i="4" s="1"/>
  <c r="T36" i="4"/>
  <c r="AB147" i="2"/>
  <c r="AC145" i="2" s="1"/>
  <c r="AB27" i="11"/>
  <c r="AC25" i="11" s="1"/>
  <c r="T158" i="2"/>
  <c r="V99" i="2"/>
  <c r="W42" i="4" l="1"/>
  <c r="W124" i="2"/>
  <c r="C30" i="1"/>
  <c r="X21" i="11"/>
  <c r="Y19" i="11" s="1"/>
  <c r="AT116" i="2"/>
  <c r="AT119" i="2" s="1"/>
  <c r="AU115" i="2" s="1"/>
  <c r="X120" i="2"/>
  <c r="V101" i="2"/>
  <c r="W98" i="2" s="1"/>
  <c r="U82" i="2"/>
  <c r="U129" i="2"/>
  <c r="V125" i="2" s="1"/>
  <c r="AF23" i="11"/>
  <c r="AC26" i="11"/>
  <c r="AC27" i="11" s="1"/>
  <c r="AD25" i="11" s="1"/>
  <c r="T151" i="2"/>
  <c r="T155" i="2" s="1"/>
  <c r="G21" i="3"/>
  <c r="AC147" i="2"/>
  <c r="Y20" i="11"/>
  <c r="Y81" i="2" s="1"/>
  <c r="G23" i="3"/>
  <c r="X27" i="4"/>
  <c r="X28" i="4" s="1"/>
  <c r="V100" i="2"/>
  <c r="AO111" i="2"/>
  <c r="AO114" i="2" s="1"/>
  <c r="AP110" i="2" s="1"/>
  <c r="T160" i="2" l="1"/>
  <c r="G45" i="3" s="1"/>
  <c r="Y21" i="11"/>
  <c r="Z19" i="11" s="1"/>
  <c r="AP111" i="2"/>
  <c r="AP114" i="2" s="1"/>
  <c r="AQ110" i="2" s="1"/>
  <c r="AD26" i="11"/>
  <c r="AU116" i="2"/>
  <c r="AU119" i="2" s="1"/>
  <c r="AV115" i="2" s="1"/>
  <c r="V126" i="2"/>
  <c r="V128" i="2" s="1"/>
  <c r="V82" i="2" s="1"/>
  <c r="U33" i="4"/>
  <c r="U35" i="4" s="1"/>
  <c r="U84" i="2"/>
  <c r="G43" i="3"/>
  <c r="U150" i="2"/>
  <c r="Z20" i="11"/>
  <c r="Z81" i="2" s="1"/>
  <c r="Z21" i="11"/>
  <c r="AA19" i="11" s="1"/>
  <c r="X121" i="2"/>
  <c r="X123" i="2" s="1"/>
  <c r="X83" i="2" s="1"/>
  <c r="V152" i="2"/>
  <c r="Y27" i="4"/>
  <c r="Y28" i="4" s="1"/>
  <c r="X29" i="4"/>
  <c r="W99" i="2"/>
  <c r="J42" i="3"/>
  <c r="AD145" i="2"/>
  <c r="AF24" i="11"/>
  <c r="AG22" i="11" s="1"/>
  <c r="X124" i="2" l="1"/>
  <c r="Y120" i="2" s="1"/>
  <c r="W100" i="2"/>
  <c r="W152" i="2" s="1"/>
  <c r="Y29" i="4"/>
  <c r="Y121" i="2"/>
  <c r="Y123" i="2" s="1"/>
  <c r="AV116" i="2"/>
  <c r="AV119" i="2" s="1"/>
  <c r="AW115" i="2" s="1"/>
  <c r="U158" i="2"/>
  <c r="V129" i="2"/>
  <c r="W125" i="2" s="1"/>
  <c r="V33" i="4"/>
  <c r="V35" i="4" s="1"/>
  <c r="V45" i="4" s="1"/>
  <c r="V84" i="2"/>
  <c r="X40" i="4"/>
  <c r="X41" i="4" s="1"/>
  <c r="X42" i="4" s="1"/>
  <c r="U93" i="2"/>
  <c r="U94" i="2" s="1"/>
  <c r="U95" i="2" s="1"/>
  <c r="U86" i="2"/>
  <c r="AD147" i="2"/>
  <c r="AE145" i="2" s="1"/>
  <c r="AD27" i="11"/>
  <c r="AE25" i="11" s="1"/>
  <c r="AQ111" i="2"/>
  <c r="AQ114" i="2" s="1"/>
  <c r="AR110" i="2" s="1"/>
  <c r="AG23" i="11"/>
  <c r="AA20" i="11"/>
  <c r="AA81" i="2" s="1"/>
  <c r="U45" i="4"/>
  <c r="U46" i="4" s="1"/>
  <c r="U36" i="4"/>
  <c r="Z27" i="4"/>
  <c r="Z28" i="4" s="1"/>
  <c r="I28" i="3"/>
  <c r="AA21" i="11" l="1"/>
  <c r="AB19" i="11" s="1"/>
  <c r="H33" i="3"/>
  <c r="V36" i="4"/>
  <c r="C33" i="1"/>
  <c r="W101" i="2"/>
  <c r="AW116" i="2"/>
  <c r="AW119" i="2" s="1"/>
  <c r="AX115" i="2" s="1"/>
  <c r="AR111" i="2"/>
  <c r="AR114" i="2" s="1"/>
  <c r="AS110" i="2" s="1"/>
  <c r="Y83" i="2"/>
  <c r="Y124" i="2"/>
  <c r="Z120" i="2" s="1"/>
  <c r="V93" i="2"/>
  <c r="V94" i="2" s="1"/>
  <c r="V95" i="2" s="1"/>
  <c r="V86" i="2"/>
  <c r="V151" i="2" s="1"/>
  <c r="W126" i="2"/>
  <c r="H38" i="3" s="1"/>
  <c r="AE26" i="11"/>
  <c r="AE27" i="11" s="1"/>
  <c r="AF25" i="11" s="1"/>
  <c r="AB20" i="11"/>
  <c r="AB81" i="2" s="1"/>
  <c r="Z29" i="4"/>
  <c r="U151" i="2"/>
  <c r="U155" i="2" s="1"/>
  <c r="V150" i="2" s="1"/>
  <c r="V46" i="4"/>
  <c r="AA27" i="4"/>
  <c r="AA28" i="4" s="1"/>
  <c r="AE147" i="2"/>
  <c r="AF145" i="2" s="1"/>
  <c r="AG24" i="11"/>
  <c r="AH22" i="11" s="1"/>
  <c r="C34" i="1" l="1"/>
  <c r="X98" i="2"/>
  <c r="H34" i="3"/>
  <c r="AB21" i="11"/>
  <c r="AC19" i="11" s="1"/>
  <c r="AC20" i="11" s="1"/>
  <c r="AC81" i="2" s="1"/>
  <c r="J28" i="3" s="1"/>
  <c r="AS111" i="2"/>
  <c r="AS114" i="2" s="1"/>
  <c r="AT110" i="2" s="1"/>
  <c r="AF26" i="11"/>
  <c r="AF27" i="11" s="1"/>
  <c r="AG25" i="11" s="1"/>
  <c r="AX116" i="2"/>
  <c r="AX119" i="2" s="1"/>
  <c r="AY115" i="2" s="1"/>
  <c r="Z121" i="2"/>
  <c r="AH23" i="11"/>
  <c r="Y40" i="4"/>
  <c r="Y41" i="4" s="1"/>
  <c r="Y42" i="4" s="1"/>
  <c r="AB27" i="4"/>
  <c r="AB28" i="4" s="1"/>
  <c r="AF147" i="2"/>
  <c r="V155" i="2"/>
  <c r="W150" i="2" s="1"/>
  <c r="V158" i="2"/>
  <c r="V160" i="2" s="1"/>
  <c r="U160" i="2"/>
  <c r="AA29" i="4"/>
  <c r="W128" i="2"/>
  <c r="AB29" i="4" l="1"/>
  <c r="X99" i="2"/>
  <c r="AG26" i="11"/>
  <c r="AY116" i="2"/>
  <c r="AY119" i="2" s="1"/>
  <c r="AZ115" i="2" s="1"/>
  <c r="AT111" i="2"/>
  <c r="AT114" i="2" s="1"/>
  <c r="AU110" i="2" s="1"/>
  <c r="Z123" i="2"/>
  <c r="Z83" i="2" s="1"/>
  <c r="AC27" i="4"/>
  <c r="AC28" i="4" s="1"/>
  <c r="W158" i="2"/>
  <c r="AC21" i="11"/>
  <c r="AD19" i="11" s="1"/>
  <c r="K42" i="3"/>
  <c r="AG145" i="2"/>
  <c r="W82" i="2"/>
  <c r="W129" i="2"/>
  <c r="AH24" i="11"/>
  <c r="AI22" i="11" s="1"/>
  <c r="X100" i="2" l="1"/>
  <c r="X152" i="2" s="1"/>
  <c r="AU111" i="2"/>
  <c r="AU114" i="2" s="1"/>
  <c r="AZ116" i="2"/>
  <c r="AZ119" i="2" s="1"/>
  <c r="BA115" i="2" s="1"/>
  <c r="X125" i="2"/>
  <c r="C38" i="1"/>
  <c r="W33" i="4"/>
  <c r="W35" i="4" s="1"/>
  <c r="W84" i="2"/>
  <c r="H29" i="3"/>
  <c r="C29" i="1"/>
  <c r="AG147" i="2"/>
  <c r="AH145" i="2" s="1"/>
  <c r="AD20" i="11"/>
  <c r="AD81" i="2" s="1"/>
  <c r="Z40" i="4"/>
  <c r="Z41" i="4" s="1"/>
  <c r="Z42" i="4" s="1"/>
  <c r="I30" i="3"/>
  <c r="AG27" i="11"/>
  <c r="AH25" i="11" s="1"/>
  <c r="AI23" i="11"/>
  <c r="AC29" i="4"/>
  <c r="Z124" i="2"/>
  <c r="AA120" i="2" s="1"/>
  <c r="X101" i="2" l="1"/>
  <c r="Y98" i="2" s="1"/>
  <c r="BA116" i="2"/>
  <c r="BA119" i="2" s="1"/>
  <c r="BB115" i="2" s="1"/>
  <c r="AV110" i="2"/>
  <c r="W45" i="4"/>
  <c r="W46" i="4" s="1"/>
  <c r="W36" i="4"/>
  <c r="AA121" i="2"/>
  <c r="AA123" i="2" s="1"/>
  <c r="W93" i="2"/>
  <c r="W94" i="2" s="1"/>
  <c r="W95" i="2" s="1"/>
  <c r="W86" i="2"/>
  <c r="H20" i="3"/>
  <c r="C20" i="1"/>
  <c r="C46" i="5" s="1"/>
  <c r="X126" i="2"/>
  <c r="X128" i="2" s="1"/>
  <c r="AH147" i="2"/>
  <c r="AI145" i="2" s="1"/>
  <c r="AD21" i="11"/>
  <c r="AE19" i="11" s="1"/>
  <c r="AD27" i="4"/>
  <c r="AD28" i="4" s="1"/>
  <c r="AI24" i="11"/>
  <c r="AJ22" i="11" s="1"/>
  <c r="AH26" i="11"/>
  <c r="X82" i="2" l="1"/>
  <c r="X129" i="2"/>
  <c r="Y125" i="2" s="1"/>
  <c r="Y99" i="2"/>
  <c r="Y100" i="2"/>
  <c r="Y101" i="2"/>
  <c r="Z98" i="2" s="1"/>
  <c r="AA83" i="2"/>
  <c r="AA124" i="2"/>
  <c r="AB120" i="2" s="1"/>
  <c r="BB116" i="2"/>
  <c r="BB119" i="2" s="1"/>
  <c r="BC115" i="2" s="1"/>
  <c r="AV111" i="2"/>
  <c r="AV114" i="2" s="1"/>
  <c r="AW110" i="2" s="1"/>
  <c r="Y106" i="2"/>
  <c r="H23" i="3"/>
  <c r="Z159" i="2"/>
  <c r="C23" i="1"/>
  <c r="AJ23" i="11"/>
  <c r="AJ24" i="11" s="1"/>
  <c r="AK22" i="11" s="1"/>
  <c r="AI147" i="2"/>
  <c r="W151" i="2"/>
  <c r="C21" i="1"/>
  <c r="H21" i="3"/>
  <c r="Y126" i="2"/>
  <c r="AE20" i="11"/>
  <c r="AE81" i="2" s="1"/>
  <c r="AH27" i="11"/>
  <c r="AI25" i="11" s="1"/>
  <c r="AD29" i="4"/>
  <c r="X33" i="4"/>
  <c r="X35" i="4" s="1"/>
  <c r="X45" i="4" s="1"/>
  <c r="X46" i="4" s="1"/>
  <c r="X84" i="2"/>
  <c r="Z99" i="2" l="1"/>
  <c r="Y152" i="2"/>
  <c r="AW111" i="2"/>
  <c r="AW114" i="2" s="1"/>
  <c r="AX110" i="2" s="1"/>
  <c r="BC116" i="2"/>
  <c r="BC119" i="2" s="1"/>
  <c r="BD115" i="2" s="1"/>
  <c r="AK23" i="11"/>
  <c r="L42" i="3"/>
  <c r="AJ145" i="2"/>
  <c r="D42" i="1"/>
  <c r="D52" i="5" s="1"/>
  <c r="W155" i="2"/>
  <c r="W160" i="2"/>
  <c r="Y128" i="2"/>
  <c r="Y82" i="2" s="1"/>
  <c r="AI26" i="11"/>
  <c r="AI27" i="11" s="1"/>
  <c r="AJ25" i="11" s="1"/>
  <c r="X93" i="2"/>
  <c r="X94" i="2" s="1"/>
  <c r="X95" i="2" s="1"/>
  <c r="X86" i="2"/>
  <c r="X36" i="4"/>
  <c r="AE21" i="11"/>
  <c r="AF19" i="11" s="1"/>
  <c r="AB121" i="2"/>
  <c r="AB123" i="2" s="1"/>
  <c r="AB83" i="2" s="1"/>
  <c r="Y153" i="2"/>
  <c r="I35" i="3"/>
  <c r="D35" i="1"/>
  <c r="Y107" i="2"/>
  <c r="Z105" i="2" s="1"/>
  <c r="Z107" i="2" s="1"/>
  <c r="AE27" i="4"/>
  <c r="AE28" i="4" s="1"/>
  <c r="AE29" i="4" s="1"/>
  <c r="I44" i="3"/>
  <c r="D44" i="1"/>
  <c r="AA40" i="4"/>
  <c r="AA41" i="4" s="1"/>
  <c r="AA42" i="4" s="1"/>
  <c r="Z100" i="2" l="1"/>
  <c r="AJ26" i="11"/>
  <c r="AJ27" i="11" s="1"/>
  <c r="AK25" i="11" s="1"/>
  <c r="BD116" i="2"/>
  <c r="BD119" i="2" s="1"/>
  <c r="BE115" i="2" s="1"/>
  <c r="AX111" i="2"/>
  <c r="AX114" i="2"/>
  <c r="AY110" i="2" s="1"/>
  <c r="AB40" i="4"/>
  <c r="AB41" i="4" s="1"/>
  <c r="AB42" i="4" s="1"/>
  <c r="AJ147" i="2"/>
  <c r="AK145" i="2" s="1"/>
  <c r="AB124" i="2"/>
  <c r="AC120" i="2" s="1"/>
  <c r="AF20" i="11"/>
  <c r="AF81" i="2" s="1"/>
  <c r="Y129" i="2"/>
  <c r="Z125" i="2" s="1"/>
  <c r="I36" i="3"/>
  <c r="AA105" i="2"/>
  <c r="AA107" i="2" s="1"/>
  <c r="AB105" i="2" s="1"/>
  <c r="AB107" i="2" s="1"/>
  <c r="AC105" i="2" s="1"/>
  <c r="AC107" i="2" s="1"/>
  <c r="AK24" i="11"/>
  <c r="AL22" i="11" s="1"/>
  <c r="Y33" i="4"/>
  <c r="Y35" i="4" s="1"/>
  <c r="Y45" i="4" s="1"/>
  <c r="Y46" i="4" s="1"/>
  <c r="Y84" i="2"/>
  <c r="X151" i="2"/>
  <c r="H45" i="3"/>
  <c r="C45" i="1"/>
  <c r="X150" i="2"/>
  <c r="H43" i="3"/>
  <c r="C43" i="1"/>
  <c r="AF21" i="11" l="1"/>
  <c r="AG19" i="11" s="1"/>
  <c r="Z152" i="2"/>
  <c r="I33" i="3"/>
  <c r="Z101" i="2"/>
  <c r="BE116" i="2"/>
  <c r="BE119" i="2" s="1"/>
  <c r="BF115" i="2" s="1"/>
  <c r="AK26" i="11"/>
  <c r="AK27" i="11" s="1"/>
  <c r="AL25" i="11" s="1"/>
  <c r="Y93" i="2"/>
  <c r="Y94" i="2" s="1"/>
  <c r="Y95" i="2" s="1"/>
  <c r="Y86" i="2"/>
  <c r="AY111" i="2"/>
  <c r="AY114" i="2" s="1"/>
  <c r="AZ110" i="2" s="1"/>
  <c r="AC121" i="2"/>
  <c r="AC123" i="2" s="1"/>
  <c r="AC83" i="2" s="1"/>
  <c r="AL23" i="11"/>
  <c r="AL24" i="11" s="1"/>
  <c r="AM22" i="11" s="1"/>
  <c r="Z126" i="2"/>
  <c r="I38" i="3" s="1"/>
  <c r="X155" i="2"/>
  <c r="Y150" i="2" s="1"/>
  <c r="X158" i="2"/>
  <c r="X160" i="2" s="1"/>
  <c r="C50" i="5"/>
  <c r="C100" i="5"/>
  <c r="C102" i="5" s="1"/>
  <c r="C103" i="5" s="1"/>
  <c r="C72" i="5"/>
  <c r="Y36" i="4"/>
  <c r="AG20" i="11"/>
  <c r="AG81" i="2" s="1"/>
  <c r="AK147" i="2"/>
  <c r="AL145" i="2" s="1"/>
  <c r="J36" i="3"/>
  <c r="AD105" i="2"/>
  <c r="AD107" i="2" s="1"/>
  <c r="AE105" i="2" s="1"/>
  <c r="AE107" i="2" s="1"/>
  <c r="AF105" i="2" s="1"/>
  <c r="AF107" i="2" s="1"/>
  <c r="AF27" i="4"/>
  <c r="AF28" i="4" s="1"/>
  <c r="K28" i="3"/>
  <c r="I34" i="3" l="1"/>
  <c r="AA98" i="2"/>
  <c r="AG21" i="11"/>
  <c r="AH19" i="11" s="1"/>
  <c r="AH20" i="11" s="1"/>
  <c r="AC40" i="4"/>
  <c r="AC41" i="4" s="1"/>
  <c r="AC42" i="4" s="1"/>
  <c r="J30" i="3"/>
  <c r="AZ111" i="2"/>
  <c r="AZ114" i="2" s="1"/>
  <c r="BA110" i="2" s="1"/>
  <c r="AL26" i="11"/>
  <c r="AM23" i="11"/>
  <c r="AM24" i="11" s="1"/>
  <c r="AN22" i="11" s="1"/>
  <c r="BF116" i="2"/>
  <c r="BF119" i="2" s="1"/>
  <c r="BG115" i="2" s="1"/>
  <c r="K36" i="3"/>
  <c r="AG105" i="2"/>
  <c r="AG107" i="2" s="1"/>
  <c r="AH105" i="2" s="1"/>
  <c r="AH107" i="2" s="1"/>
  <c r="AI105" i="2" s="1"/>
  <c r="AI107" i="2" s="1"/>
  <c r="AG27" i="4"/>
  <c r="AG28" i="4" s="1"/>
  <c r="Z128" i="2"/>
  <c r="Z82" i="2" s="1"/>
  <c r="AF29" i="4"/>
  <c r="Y151" i="2"/>
  <c r="Y155" i="2" s="1"/>
  <c r="Z150" i="2" s="1"/>
  <c r="AC124" i="2"/>
  <c r="AD120" i="2" s="1"/>
  <c r="AL147" i="2"/>
  <c r="Y158" i="2"/>
  <c r="Y160" i="2" l="1"/>
  <c r="AH81" i="2"/>
  <c r="AH21" i="11"/>
  <c r="AI19" i="11" s="1"/>
  <c r="AI20" i="11" s="1"/>
  <c r="AG29" i="4"/>
  <c r="AA99" i="2"/>
  <c r="AA100" i="2" s="1"/>
  <c r="AA152" i="2" s="1"/>
  <c r="BG116" i="2"/>
  <c r="BG119" i="2" s="1"/>
  <c r="BH115" i="2" s="1"/>
  <c r="AH27" i="4"/>
  <c r="AH28" i="4" s="1"/>
  <c r="BA111" i="2"/>
  <c r="BA114" i="2" s="1"/>
  <c r="BB110" i="2" s="1"/>
  <c r="M42" i="3"/>
  <c r="AM145" i="2"/>
  <c r="Z33" i="4"/>
  <c r="Z35" i="4" s="1"/>
  <c r="Z84" i="2"/>
  <c r="I29" i="3"/>
  <c r="AL27" i="11"/>
  <c r="AM25" i="11" s="1"/>
  <c r="Z129" i="2"/>
  <c r="AA125" i="2" s="1"/>
  <c r="Z158" i="2"/>
  <c r="AN23" i="11"/>
  <c r="AN24" i="11" s="1"/>
  <c r="AO22" i="11" s="1"/>
  <c r="AD121" i="2"/>
  <c r="AD123" i="2" s="1"/>
  <c r="AD83" i="2" s="1"/>
  <c r="L36" i="3"/>
  <c r="AJ105" i="2"/>
  <c r="AJ107" i="2" s="1"/>
  <c r="AK105" i="2" s="1"/>
  <c r="D36" i="1"/>
  <c r="AI81" i="2" l="1"/>
  <c r="L28" i="3" s="1"/>
  <c r="AI21" i="11"/>
  <c r="AJ19" i="11" s="1"/>
  <c r="AJ20" i="11" s="1"/>
  <c r="AJ81" i="2" s="1"/>
  <c r="AA101" i="2"/>
  <c r="AB98" i="2" s="1"/>
  <c r="AB99" i="2"/>
  <c r="AB100" i="2" s="1"/>
  <c r="AB101" i="2" s="1"/>
  <c r="AC98" i="2" s="1"/>
  <c r="BB111" i="2"/>
  <c r="BB114" i="2" s="1"/>
  <c r="BC110" i="2" s="1"/>
  <c r="AD40" i="4"/>
  <c r="AD41" i="4" s="1"/>
  <c r="AD42" i="4" s="1"/>
  <c r="BH116" i="2"/>
  <c r="BH119" i="2" s="1"/>
  <c r="BI115" i="2" s="1"/>
  <c r="AM147" i="2"/>
  <c r="AN145" i="2" s="1"/>
  <c r="AD124" i="2"/>
  <c r="AE120" i="2" s="1"/>
  <c r="Z45" i="4"/>
  <c r="Z46" i="4" s="1"/>
  <c r="Z36" i="4"/>
  <c r="AO23" i="11"/>
  <c r="AO24" i="11" s="1"/>
  <c r="AP22" i="11" s="1"/>
  <c r="AA126" i="2"/>
  <c r="AM26" i="11"/>
  <c r="AM27" i="11" s="1"/>
  <c r="AN25" i="11" s="1"/>
  <c r="AH29" i="4"/>
  <c r="Z93" i="2"/>
  <c r="Z94" i="2" s="1"/>
  <c r="Z95" i="2" s="1"/>
  <c r="Z86" i="2"/>
  <c r="I20" i="3"/>
  <c r="D28" i="1" l="1"/>
  <c r="AI27" i="4"/>
  <c r="AI28" i="4" s="1"/>
  <c r="AI29" i="4" s="1"/>
  <c r="AC99" i="2"/>
  <c r="AC100" i="2" s="1"/>
  <c r="AC152" i="2" s="1"/>
  <c r="AB152" i="2"/>
  <c r="J33" i="3"/>
  <c r="AN26" i="11"/>
  <c r="AP23" i="11"/>
  <c r="AP24" i="11" s="1"/>
  <c r="AQ22" i="11" s="1"/>
  <c r="BC111" i="2"/>
  <c r="BC114" i="2" s="1"/>
  <c r="BD110" i="2" s="1"/>
  <c r="AJ27" i="4"/>
  <c r="AJ28" i="4" s="1"/>
  <c r="AE121" i="2"/>
  <c r="AA128" i="2"/>
  <c r="AA82" i="2" s="1"/>
  <c r="AJ21" i="11"/>
  <c r="AK19" i="11" s="1"/>
  <c r="Z151" i="2"/>
  <c r="I21" i="3"/>
  <c r="BI116" i="2"/>
  <c r="BI119" i="2" s="1"/>
  <c r="BJ115" i="2" s="1"/>
  <c r="AN147" i="2"/>
  <c r="AO145" i="2" s="1"/>
  <c r="I23" i="3"/>
  <c r="AC101" i="2" l="1"/>
  <c r="BD111" i="2"/>
  <c r="BD114" i="2" s="1"/>
  <c r="BE110" i="2" s="1"/>
  <c r="AK20" i="11"/>
  <c r="AK81" i="2" s="1"/>
  <c r="AE123" i="2"/>
  <c r="AE83" i="2" s="1"/>
  <c r="AO147" i="2"/>
  <c r="AQ23" i="11"/>
  <c r="AA33" i="4"/>
  <c r="AA35" i="4" s="1"/>
  <c r="AA84" i="2"/>
  <c r="BJ116" i="2"/>
  <c r="BJ119" i="2"/>
  <c r="BK115" i="2" s="1"/>
  <c r="AA129" i="2"/>
  <c r="AB125" i="2" s="1"/>
  <c r="AJ29" i="4"/>
  <c r="Z155" i="2"/>
  <c r="Z160" i="2"/>
  <c r="I45" i="3" s="1"/>
  <c r="AN27" i="11"/>
  <c r="AO25" i="11" s="1"/>
  <c r="AD98" i="2" l="1"/>
  <c r="J34" i="3"/>
  <c r="BE111" i="2"/>
  <c r="BE114" i="2" s="1"/>
  <c r="BF110" i="2" s="1"/>
  <c r="AA45" i="4"/>
  <c r="AA46" i="4" s="1"/>
  <c r="AA36" i="4"/>
  <c r="AK21" i="11"/>
  <c r="AL19" i="11" s="1"/>
  <c r="AK27" i="4"/>
  <c r="AK28" i="4" s="1"/>
  <c r="AK29" i="4" s="1"/>
  <c r="AE40" i="4"/>
  <c r="AE41" i="4" s="1"/>
  <c r="AE42" i="4" s="1"/>
  <c r="AA93" i="2"/>
  <c r="AA94" i="2" s="1"/>
  <c r="AA95" i="2" s="1"/>
  <c r="AA86" i="2"/>
  <c r="AB126" i="2"/>
  <c r="AO26" i="11"/>
  <c r="N42" i="3"/>
  <c r="AP145" i="2"/>
  <c r="AE124" i="2"/>
  <c r="AF120" i="2" s="1"/>
  <c r="I43" i="3"/>
  <c r="AA150" i="2"/>
  <c r="BK116" i="2"/>
  <c r="BK119" i="2" s="1"/>
  <c r="BL115" i="2" s="1"/>
  <c r="AQ24" i="11"/>
  <c r="AR22" i="11" s="1"/>
  <c r="AD99" i="2" l="1"/>
  <c r="AD100" i="2" s="1"/>
  <c r="AD152" i="2" s="1"/>
  <c r="BF111" i="2"/>
  <c r="BF114" i="2" s="1"/>
  <c r="BG110" i="2" s="1"/>
  <c r="AF121" i="2"/>
  <c r="AL20" i="11"/>
  <c r="AL81" i="2" s="1"/>
  <c r="AA158" i="2"/>
  <c r="AR23" i="11"/>
  <c r="AB128" i="2"/>
  <c r="AB82" i="2" s="1"/>
  <c r="AP147" i="2"/>
  <c r="AQ145" i="2" s="1"/>
  <c r="BL116" i="2"/>
  <c r="BL119" i="2" s="1"/>
  <c r="BM115" i="2" s="1"/>
  <c r="AO27" i="11"/>
  <c r="AP25" i="11" s="1"/>
  <c r="AA151" i="2"/>
  <c r="AA155" i="2" s="1"/>
  <c r="AB150" i="2" s="1"/>
  <c r="AL21" i="11" l="1"/>
  <c r="AM19" i="11" s="1"/>
  <c r="AA160" i="2"/>
  <c r="AD101" i="2"/>
  <c r="AE98" i="2" s="1"/>
  <c r="AE99" i="2" s="1"/>
  <c r="AE100" i="2" s="1"/>
  <c r="AE152" i="2" s="1"/>
  <c r="BM116" i="2"/>
  <c r="BM119" i="2" s="1"/>
  <c r="BN115" i="2" s="1"/>
  <c r="AF123" i="2"/>
  <c r="AF83" i="2" s="1"/>
  <c r="AM20" i="11"/>
  <c r="AM81" i="2" s="1"/>
  <c r="BG111" i="2"/>
  <c r="BG114" i="2" s="1"/>
  <c r="AP26" i="11"/>
  <c r="AP27" i="11" s="1"/>
  <c r="AQ25" i="11" s="1"/>
  <c r="AQ147" i="2"/>
  <c r="AR145" i="2" s="1"/>
  <c r="AB33" i="4"/>
  <c r="AB35" i="4" s="1"/>
  <c r="AB84" i="2"/>
  <c r="AE101" i="2"/>
  <c r="AF98" i="2" s="1"/>
  <c r="AB158" i="2"/>
  <c r="AR24" i="11"/>
  <c r="AS22" i="11" s="1"/>
  <c r="AL27" i="4"/>
  <c r="AL28" i="4" s="1"/>
  <c r="M28" i="3"/>
  <c r="AB129" i="2"/>
  <c r="AC125" i="2" s="1"/>
  <c r="AM21" i="11" l="1"/>
  <c r="AN19" i="11" s="1"/>
  <c r="AQ26" i="11"/>
  <c r="AQ27" i="11" s="1"/>
  <c r="AR25" i="11" s="1"/>
  <c r="BH110" i="2"/>
  <c r="BN116" i="2"/>
  <c r="BN119" i="2" s="1"/>
  <c r="BO115" i="2" s="1"/>
  <c r="AS23" i="11"/>
  <c r="AR147" i="2"/>
  <c r="AF99" i="2"/>
  <c r="AC126" i="2"/>
  <c r="J38" i="3" s="1"/>
  <c r="AN20" i="11"/>
  <c r="AN81" i="2" s="1"/>
  <c r="AF124" i="2"/>
  <c r="AG120" i="2" s="1"/>
  <c r="AB93" i="2"/>
  <c r="AB94" i="2" s="1"/>
  <c r="AB95" i="2" s="1"/>
  <c r="AB86" i="2"/>
  <c r="AF40" i="4"/>
  <c r="AF41" i="4" s="1"/>
  <c r="AF42" i="4" s="1"/>
  <c r="K30" i="3"/>
  <c r="AL29" i="4"/>
  <c r="AB45" i="4"/>
  <c r="AB46" i="4" s="1"/>
  <c r="AB36" i="4"/>
  <c r="AM27" i="4"/>
  <c r="AM28" i="4" s="1"/>
  <c r="AN21" i="11" l="1"/>
  <c r="AO19" i="11" s="1"/>
  <c r="AM29" i="4"/>
  <c r="AF100" i="2"/>
  <c r="AF101" i="2" s="1"/>
  <c r="BO116" i="2"/>
  <c r="BO119" i="2" s="1"/>
  <c r="BP115" i="2" s="1"/>
  <c r="AG121" i="2"/>
  <c r="AB151" i="2"/>
  <c r="AS24" i="11"/>
  <c r="AT22" i="11" s="1"/>
  <c r="AO20" i="11"/>
  <c r="AO81" i="2" s="1"/>
  <c r="AN27" i="4"/>
  <c r="AN28" i="4" s="1"/>
  <c r="O42" i="3"/>
  <c r="AS145" i="2"/>
  <c r="BH111" i="2"/>
  <c r="BH114" i="2" s="1"/>
  <c r="BI110" i="2" s="1"/>
  <c r="AR26" i="11"/>
  <c r="AC128" i="2"/>
  <c r="AO21" i="11" l="1"/>
  <c r="AP19" i="11" s="1"/>
  <c r="K33" i="3"/>
  <c r="AF152" i="2"/>
  <c r="K34" i="3"/>
  <c r="AG98" i="2"/>
  <c r="AG123" i="2"/>
  <c r="AG83" i="2" s="1"/>
  <c r="AG40" i="4" s="1"/>
  <c r="AG41" i="4" s="1"/>
  <c r="AG42" i="4" s="1"/>
  <c r="BP116" i="2"/>
  <c r="BP119" i="2" s="1"/>
  <c r="BQ115" i="2" s="1"/>
  <c r="AP20" i="11"/>
  <c r="AP81" i="2" s="1"/>
  <c r="AO27" i="4"/>
  <c r="AO28" i="4" s="1"/>
  <c r="N28" i="3"/>
  <c r="BI111" i="2"/>
  <c r="BI114" i="2" s="1"/>
  <c r="BJ110" i="2" s="1"/>
  <c r="AS147" i="2"/>
  <c r="AT145" i="2" s="1"/>
  <c r="AT23" i="11"/>
  <c r="AR27" i="11"/>
  <c r="AS25" i="11" s="1"/>
  <c r="AG99" i="2"/>
  <c r="AG100" i="2" s="1"/>
  <c r="AC82" i="2"/>
  <c r="AC129" i="2"/>
  <c r="AD125" i="2" s="1"/>
  <c r="AN29" i="4"/>
  <c r="AB155" i="2"/>
  <c r="AC150" i="2" s="1"/>
  <c r="AB160" i="2"/>
  <c r="AO29" i="4" l="1"/>
  <c r="AG124" i="2"/>
  <c r="AH120" i="2" s="1"/>
  <c r="AG152" i="2"/>
  <c r="AP21" i="11"/>
  <c r="AQ19" i="11" s="1"/>
  <c r="AP27" i="4"/>
  <c r="AP28" i="4" s="1"/>
  <c r="AP29" i="4" s="1"/>
  <c r="BJ111" i="2"/>
  <c r="BJ114" i="2" s="1"/>
  <c r="BK110" i="2" s="1"/>
  <c r="AS26" i="11"/>
  <c r="AT24" i="11"/>
  <c r="AU22" i="11" s="1"/>
  <c r="AD126" i="2"/>
  <c r="AD128" i="2" s="1"/>
  <c r="AD82" i="2" s="1"/>
  <c r="AG101" i="2"/>
  <c r="AH98" i="2" s="1"/>
  <c r="BQ116" i="2"/>
  <c r="BQ119" i="2" s="1"/>
  <c r="BR115" i="2" s="1"/>
  <c r="AC33" i="4"/>
  <c r="AC35" i="4" s="1"/>
  <c r="AC84" i="2"/>
  <c r="J29" i="3"/>
  <c r="AC158" i="2"/>
  <c r="AT147" i="2"/>
  <c r="AU145" i="2" s="1"/>
  <c r="AD129" i="2" l="1"/>
  <c r="AE125" i="2" s="1"/>
  <c r="AH121" i="2"/>
  <c r="AH123" i="2" s="1"/>
  <c r="AH83" i="2" s="1"/>
  <c r="AH40" i="4" s="1"/>
  <c r="AH41" i="4" s="1"/>
  <c r="AH42" i="4" s="1"/>
  <c r="BK111" i="2"/>
  <c r="BK114" i="2" s="1"/>
  <c r="BL110" i="2" s="1"/>
  <c r="BR116" i="2"/>
  <c r="BR119" i="2" s="1"/>
  <c r="BS115" i="2" s="1"/>
  <c r="AE126" i="2"/>
  <c r="AE128" i="2" s="1"/>
  <c r="AE82" i="2" s="1"/>
  <c r="AH99" i="2"/>
  <c r="AH100" i="2" s="1"/>
  <c r="AS27" i="11"/>
  <c r="AT25" i="11" s="1"/>
  <c r="AU23" i="11"/>
  <c r="AU24" i="11" s="1"/>
  <c r="AV22" i="11" s="1"/>
  <c r="AC45" i="4"/>
  <c r="AC46" i="4" s="1"/>
  <c r="AC36" i="4"/>
  <c r="AC93" i="2"/>
  <c r="AC94" i="2" s="1"/>
  <c r="AC95" i="2" s="1"/>
  <c r="AC86" i="2"/>
  <c r="J20" i="3"/>
  <c r="AU147" i="2"/>
  <c r="AQ20" i="11"/>
  <c r="AQ81" i="2" s="1"/>
  <c r="AD33" i="4"/>
  <c r="AD35" i="4" s="1"/>
  <c r="AD45" i="4" s="1"/>
  <c r="AD84" i="2"/>
  <c r="AQ21" i="11" l="1"/>
  <c r="AR19" i="11" s="1"/>
  <c r="AH101" i="2"/>
  <c r="AI98" i="2" s="1"/>
  <c r="AH124" i="2"/>
  <c r="AI120" i="2" s="1"/>
  <c r="AE33" i="4"/>
  <c r="AE35" i="4" s="1"/>
  <c r="AE45" i="4" s="1"/>
  <c r="AE84" i="2"/>
  <c r="AI99" i="2"/>
  <c r="AI100" i="2" s="1"/>
  <c r="BL111" i="2"/>
  <c r="BL114" i="2" s="1"/>
  <c r="BM110" i="2" s="1"/>
  <c r="AQ27" i="4"/>
  <c r="AQ28" i="4" s="1"/>
  <c r="AD36" i="4"/>
  <c r="AH152" i="2"/>
  <c r="P42" i="3"/>
  <c r="AV145" i="2"/>
  <c r="E42" i="1"/>
  <c r="BS116" i="2"/>
  <c r="BS119" i="2" s="1"/>
  <c r="BT115" i="2" s="1"/>
  <c r="AV23" i="11"/>
  <c r="J23" i="3"/>
  <c r="AE129" i="2"/>
  <c r="AF125" i="2" s="1"/>
  <c r="AR20" i="11"/>
  <c r="AR81" i="2" s="1"/>
  <c r="AD46" i="4"/>
  <c r="AD93" i="2"/>
  <c r="AD94" i="2" s="1"/>
  <c r="AD95" i="2" s="1"/>
  <c r="AD86" i="2"/>
  <c r="AC151" i="2"/>
  <c r="J21" i="3"/>
  <c r="AT26" i="11"/>
  <c r="AE46" i="4" l="1"/>
  <c r="AR21" i="11"/>
  <c r="AS19" i="11" s="1"/>
  <c r="AI121" i="2"/>
  <c r="AI123" i="2" s="1"/>
  <c r="AI83" i="2" s="1"/>
  <c r="AE36" i="4"/>
  <c r="AI152" i="2"/>
  <c r="L33" i="3"/>
  <c r="D33" i="1"/>
  <c r="AC155" i="2"/>
  <c r="AC160" i="2"/>
  <c r="J45" i="3" s="1"/>
  <c r="O28" i="3"/>
  <c r="AI101" i="2"/>
  <c r="D71" i="5"/>
  <c r="E52" i="5"/>
  <c r="AD151" i="2"/>
  <c r="AV147" i="2"/>
  <c r="AW145" i="2" s="1"/>
  <c r="BT116" i="2"/>
  <c r="BT119" i="2" s="1"/>
  <c r="BU115" i="2" s="1"/>
  <c r="AT27" i="11"/>
  <c r="AU25" i="11" s="1"/>
  <c r="AR27" i="4"/>
  <c r="AR28" i="4" s="1"/>
  <c r="AQ29" i="4"/>
  <c r="AR29" i="4" s="1"/>
  <c r="AS20" i="11"/>
  <c r="AS81" i="2" s="1"/>
  <c r="BM111" i="2"/>
  <c r="BM114" i="2" s="1"/>
  <c r="BN110" i="2" s="1"/>
  <c r="AE93" i="2"/>
  <c r="AE94" i="2" s="1"/>
  <c r="AE95" i="2" s="1"/>
  <c r="AE86" i="2"/>
  <c r="AE151" i="2" s="1"/>
  <c r="AF126" i="2"/>
  <c r="K38" i="3" s="1"/>
  <c r="AV24" i="11"/>
  <c r="AW22" i="11" s="1"/>
  <c r="AI124" i="2" l="1"/>
  <c r="AJ120" i="2" s="1"/>
  <c r="AJ121" i="2" s="1"/>
  <c r="AJ123" i="2" s="1"/>
  <c r="AJ124" i="2" s="1"/>
  <c r="AK120" i="2" s="1"/>
  <c r="AI40" i="4"/>
  <c r="AI41" i="4" s="1"/>
  <c r="AI42" i="4" s="1"/>
  <c r="D30" i="1"/>
  <c r="L30" i="3"/>
  <c r="AJ83" i="2"/>
  <c r="BU116" i="2"/>
  <c r="BU119" i="2" s="1"/>
  <c r="BV115" i="2" s="1"/>
  <c r="J43" i="3"/>
  <c r="AD150" i="2"/>
  <c r="BN111" i="2"/>
  <c r="BN114" i="2" s="1"/>
  <c r="BO110" i="2" s="1"/>
  <c r="AW147" i="2"/>
  <c r="AX145" i="2" s="1"/>
  <c r="AW23" i="11"/>
  <c r="AW24" i="11" s="1"/>
  <c r="AX22" i="11" s="1"/>
  <c r="AS27" i="4"/>
  <c r="AS28" i="4" s="1"/>
  <c r="L34" i="3"/>
  <c r="AJ98" i="2"/>
  <c r="D34" i="1"/>
  <c r="AF128" i="2"/>
  <c r="AF82" i="2" s="1"/>
  <c r="AS21" i="11"/>
  <c r="AT19" i="11" s="1"/>
  <c r="AU26" i="11"/>
  <c r="BO111" i="2" l="1"/>
  <c r="BO114" i="2" s="1"/>
  <c r="BP110" i="2" s="1"/>
  <c r="BV116" i="2"/>
  <c r="BV119" i="2" s="1"/>
  <c r="BW115" i="2" s="1"/>
  <c r="AF129" i="2"/>
  <c r="AG125" i="2" s="1"/>
  <c r="AF33" i="4"/>
  <c r="AF35" i="4" s="1"/>
  <c r="AF84" i="2"/>
  <c r="K29" i="3"/>
  <c r="AX23" i="11"/>
  <c r="AX24" i="11" s="1"/>
  <c r="AY22" i="11" s="1"/>
  <c r="AX147" i="2"/>
  <c r="AD155" i="2"/>
  <c r="AE150" i="2" s="1"/>
  <c r="AD158" i="2"/>
  <c r="AD160" i="2" s="1"/>
  <c r="AS29" i="4"/>
  <c r="AK121" i="2"/>
  <c r="AK123" i="2" s="1"/>
  <c r="AK83" i="2" s="1"/>
  <c r="AJ99" i="2"/>
  <c r="AJ100" i="2" s="1"/>
  <c r="AU27" i="11"/>
  <c r="AV25" i="11" s="1"/>
  <c r="AT20" i="11"/>
  <c r="AT81" i="2" s="1"/>
  <c r="AJ40" i="4"/>
  <c r="AJ41" i="4" s="1"/>
  <c r="AJ42" i="4" s="1"/>
  <c r="AJ101" i="2" l="1"/>
  <c r="AK98" i="2" s="1"/>
  <c r="AK40" i="4"/>
  <c r="AK41" i="4" s="1"/>
  <c r="BW116" i="2"/>
  <c r="BW119" i="2" s="1"/>
  <c r="BX115" i="2" s="1"/>
  <c r="BP111" i="2"/>
  <c r="BP114" i="2" s="1"/>
  <c r="BQ110" i="2" s="1"/>
  <c r="AF45" i="4"/>
  <c r="AF46" i="4" s="1"/>
  <c r="AF36" i="4"/>
  <c r="AG126" i="2"/>
  <c r="AG128" i="2" s="1"/>
  <c r="AG82" i="2" s="1"/>
  <c r="AK42" i="4"/>
  <c r="AF93" i="2"/>
  <c r="AF94" i="2" s="1"/>
  <c r="AF95" i="2" s="1"/>
  <c r="AF86" i="2"/>
  <c r="K20" i="3"/>
  <c r="AT27" i="4"/>
  <c r="AT28" i="4" s="1"/>
  <c r="AY23" i="11"/>
  <c r="AK99" i="2"/>
  <c r="AK100" i="2" s="1"/>
  <c r="AJ152" i="2"/>
  <c r="AE155" i="2"/>
  <c r="AF150" i="2" s="1"/>
  <c r="AE158" i="2"/>
  <c r="AE160" i="2" s="1"/>
  <c r="Q42" i="3"/>
  <c r="AY145" i="2"/>
  <c r="AK124" i="2"/>
  <c r="AL120" i="2" s="1"/>
  <c r="AT21" i="11"/>
  <c r="AU19" i="11" s="1"/>
  <c r="AV26" i="11"/>
  <c r="AT29" i="4"/>
  <c r="AK152" i="2" l="1"/>
  <c r="AG33" i="4"/>
  <c r="AG35" i="4" s="1"/>
  <c r="AG45" i="4" s="1"/>
  <c r="AG46" i="4" s="1"/>
  <c r="AG84" i="2"/>
  <c r="BQ111" i="2"/>
  <c r="BQ114" i="2" s="1"/>
  <c r="BR110" i="2" s="1"/>
  <c r="BX116" i="2"/>
  <c r="BX119" i="2"/>
  <c r="BY115" i="2" s="1"/>
  <c r="AF158" i="2"/>
  <c r="AY24" i="11"/>
  <c r="AZ22" i="11" s="1"/>
  <c r="K23" i="3"/>
  <c r="AG129" i="2"/>
  <c r="AH125" i="2" s="1"/>
  <c r="AV27" i="11"/>
  <c r="AW25" i="11" s="1"/>
  <c r="AK101" i="2"/>
  <c r="AL98" i="2" s="1"/>
  <c r="AF151" i="2"/>
  <c r="AF155" i="2" s="1"/>
  <c r="K21" i="3"/>
  <c r="AU20" i="11"/>
  <c r="AU81" i="2" s="1"/>
  <c r="AL121" i="2"/>
  <c r="AL123" i="2" s="1"/>
  <c r="AL83" i="2" s="1"/>
  <c r="AY147" i="2"/>
  <c r="AZ145" i="2" s="1"/>
  <c r="AG36" i="4"/>
  <c r="AL124" i="2" l="1"/>
  <c r="AM120" i="2" s="1"/>
  <c r="AU21" i="11"/>
  <c r="AV19" i="11" s="1"/>
  <c r="AF160" i="2"/>
  <c r="K45" i="3" s="1"/>
  <c r="AM121" i="2"/>
  <c r="AZ23" i="11"/>
  <c r="AU27" i="4"/>
  <c r="AU28" i="4" s="1"/>
  <c r="P28" i="3"/>
  <c r="E28" i="1"/>
  <c r="AW26" i="11"/>
  <c r="AW27" i="11" s="1"/>
  <c r="AX25" i="11" s="1"/>
  <c r="AG93" i="2"/>
  <c r="AG94" i="2" s="1"/>
  <c r="AG95" i="2" s="1"/>
  <c r="AG86" i="2"/>
  <c r="AL99" i="2"/>
  <c r="AL100" i="2" s="1"/>
  <c r="AH126" i="2"/>
  <c r="AH128" i="2" s="1"/>
  <c r="AH82" i="2" s="1"/>
  <c r="BR111" i="2"/>
  <c r="BR114" i="2" s="1"/>
  <c r="BS110" i="2" s="1"/>
  <c r="BY116" i="2"/>
  <c r="BY119" i="2" s="1"/>
  <c r="BZ115" i="2" s="1"/>
  <c r="AL40" i="4"/>
  <c r="AL41" i="4" s="1"/>
  <c r="AL42" i="4" s="1"/>
  <c r="M30" i="3"/>
  <c r="AV20" i="11"/>
  <c r="AV81" i="2" s="1"/>
  <c r="AG150" i="2"/>
  <c r="K43" i="3"/>
  <c r="AZ147" i="2"/>
  <c r="BA145" i="2" s="1"/>
  <c r="AH129" i="2" l="1"/>
  <c r="AI125" i="2" s="1"/>
  <c r="AI126" i="2" s="1"/>
  <c r="L38" i="3" s="1"/>
  <c r="AL152" i="2"/>
  <c r="M33" i="3"/>
  <c r="BS111" i="2"/>
  <c r="BS114" i="2" s="1"/>
  <c r="AH33" i="4"/>
  <c r="AH35" i="4" s="1"/>
  <c r="AH84" i="2"/>
  <c r="AV27" i="4"/>
  <c r="AV28" i="4" s="1"/>
  <c r="AG151" i="2"/>
  <c r="AG155" i="2" s="1"/>
  <c r="AH150" i="2" s="1"/>
  <c r="AZ24" i="11"/>
  <c r="BA22" i="11" s="1"/>
  <c r="AU29" i="4"/>
  <c r="AM123" i="2"/>
  <c r="AM83" i="2" s="1"/>
  <c r="BZ116" i="2"/>
  <c r="BZ119" i="2" s="1"/>
  <c r="CA115" i="2" s="1"/>
  <c r="AX26" i="11"/>
  <c r="AX27" i="11" s="1"/>
  <c r="AY25" i="11" s="1"/>
  <c r="BA147" i="2"/>
  <c r="AL101" i="2"/>
  <c r="AG158" i="2"/>
  <c r="AV21" i="11"/>
  <c r="AW19" i="11" s="1"/>
  <c r="AG160" i="2" l="1"/>
  <c r="AY26" i="11"/>
  <c r="BT110" i="2"/>
  <c r="AW20" i="11"/>
  <c r="AW81" i="2" s="1"/>
  <c r="BA23" i="11"/>
  <c r="BA24" i="11" s="1"/>
  <c r="BB22" i="11" s="1"/>
  <c r="AH158" i="2"/>
  <c r="AV29" i="4"/>
  <c r="AM40" i="4"/>
  <c r="AM41" i="4" s="1"/>
  <c r="AM42" i="4" s="1"/>
  <c r="AH93" i="2"/>
  <c r="AH94" i="2" s="1"/>
  <c r="AH95" i="2" s="1"/>
  <c r="AH86" i="2"/>
  <c r="AI128" i="2"/>
  <c r="AI82" i="2" s="1"/>
  <c r="CA116" i="2"/>
  <c r="CA119" i="2" s="1"/>
  <c r="CB115" i="2" s="1"/>
  <c r="M34" i="3"/>
  <c r="AM98" i="2"/>
  <c r="AH45" i="4"/>
  <c r="AH46" i="4" s="1"/>
  <c r="AH36" i="4"/>
  <c r="R42" i="3"/>
  <c r="BB145" i="2"/>
  <c r="AM124" i="2"/>
  <c r="AN120" i="2" s="1"/>
  <c r="AI129" i="2"/>
  <c r="BB23" i="11" l="1"/>
  <c r="AN121" i="2"/>
  <c r="AN123" i="2" s="1"/>
  <c r="AN83" i="2" s="1"/>
  <c r="AJ125" i="2"/>
  <c r="D38" i="1"/>
  <c r="AW21" i="11"/>
  <c r="AX19" i="11" s="1"/>
  <c r="BB147" i="2"/>
  <c r="BC145" i="2" s="1"/>
  <c r="CB116" i="2"/>
  <c r="CB119" i="2" s="1"/>
  <c r="CC115" i="2" s="1"/>
  <c r="BT111" i="2"/>
  <c r="BT114" i="2" s="1"/>
  <c r="BU110" i="2" s="1"/>
  <c r="AI33" i="4"/>
  <c r="AI35" i="4" s="1"/>
  <c r="AI45" i="4" s="1"/>
  <c r="AI84" i="2"/>
  <c r="D29" i="1"/>
  <c r="L29" i="3"/>
  <c r="AI46" i="4"/>
  <c r="AH151" i="2"/>
  <c r="AH155" i="2" s="1"/>
  <c r="AI150" i="2" s="1"/>
  <c r="AW27" i="4"/>
  <c r="AW28" i="4" s="1"/>
  <c r="AM99" i="2"/>
  <c r="AM100" i="2" s="1"/>
  <c r="AY27" i="11"/>
  <c r="AZ25" i="11" s="1"/>
  <c r="AN124" i="2" l="1"/>
  <c r="AO120" i="2" s="1"/>
  <c r="AM101" i="2"/>
  <c r="AN98" i="2" s="1"/>
  <c r="AH160" i="2"/>
  <c r="CC116" i="2"/>
  <c r="CC119" i="2" s="1"/>
  <c r="CD115" i="2" s="1"/>
  <c r="AN99" i="2"/>
  <c r="AN100" i="2"/>
  <c r="AN152" i="2" s="1"/>
  <c r="AO121" i="2"/>
  <c r="AO123" i="2" s="1"/>
  <c r="AO83" i="2" s="1"/>
  <c r="AO40" i="4" s="1"/>
  <c r="AO41" i="4" s="1"/>
  <c r="BU111" i="2"/>
  <c r="BU114" i="2" s="1"/>
  <c r="BV110" i="2" s="1"/>
  <c r="AZ26" i="11"/>
  <c r="AN40" i="4"/>
  <c r="AN41" i="4" s="1"/>
  <c r="AN42" i="4" s="1"/>
  <c r="AI93" i="2"/>
  <c r="AI94" i="2" s="1"/>
  <c r="AI95" i="2" s="1"/>
  <c r="AI86" i="2"/>
  <c r="D20" i="1"/>
  <c r="D46" i="5" s="1"/>
  <c r="L20" i="3"/>
  <c r="AI36" i="4"/>
  <c r="AX20" i="11"/>
  <c r="AX81" i="2" s="1"/>
  <c r="AW29" i="4"/>
  <c r="AJ126" i="2"/>
  <c r="AM152" i="2"/>
  <c r="AI158" i="2"/>
  <c r="BC147" i="2"/>
  <c r="BD145" i="2" s="1"/>
  <c r="BB24" i="11"/>
  <c r="BC22" i="11" s="1"/>
  <c r="AO124" i="2" l="1"/>
  <c r="AP120" i="2" s="1"/>
  <c r="AN101" i="2"/>
  <c r="AO98" i="2" s="1"/>
  <c r="BV111" i="2"/>
  <c r="BV114" i="2" s="1"/>
  <c r="BW110" i="2" s="1"/>
  <c r="AP121" i="2"/>
  <c r="AO99" i="2"/>
  <c r="AO100" i="2" s="1"/>
  <c r="CD116" i="2"/>
  <c r="CD119" i="2" s="1"/>
  <c r="CE115" i="2" s="1"/>
  <c r="BC23" i="11"/>
  <c r="BC24" i="11" s="1"/>
  <c r="BD22" i="11" s="1"/>
  <c r="AJ128" i="2"/>
  <c r="AJ82" i="2" s="1"/>
  <c r="AX27" i="4"/>
  <c r="AX28" i="4" s="1"/>
  <c r="Q28" i="3"/>
  <c r="N30" i="3"/>
  <c r="AO42" i="4"/>
  <c r="AZ27" i="11"/>
  <c r="BA25" i="11" s="1"/>
  <c r="AK106" i="2"/>
  <c r="AL159" i="2"/>
  <c r="L23" i="3"/>
  <c r="D23" i="1"/>
  <c r="AX21" i="11"/>
  <c r="AY19" i="11" s="1"/>
  <c r="BD147" i="2"/>
  <c r="AI151" i="2"/>
  <c r="AI155" i="2" s="1"/>
  <c r="L21" i="3"/>
  <c r="D21" i="1"/>
  <c r="AI160" i="2" l="1"/>
  <c r="CE116" i="2"/>
  <c r="CE119" i="2" s="1"/>
  <c r="CF115" i="2" s="1"/>
  <c r="AO152" i="2"/>
  <c r="N33" i="3"/>
  <c r="S42" i="3"/>
  <c r="BE145" i="2"/>
  <c r="L45" i="3"/>
  <c r="D45" i="1"/>
  <c r="AO101" i="2"/>
  <c r="AJ33" i="4"/>
  <c r="AJ35" i="4" s="1"/>
  <c r="AJ84" i="2"/>
  <c r="AP123" i="2"/>
  <c r="AP83" i="2" s="1"/>
  <c r="BW111" i="2"/>
  <c r="BW114" i="2" s="1"/>
  <c r="BX110" i="2" s="1"/>
  <c r="AY20" i="11"/>
  <c r="AY81" i="2" s="1"/>
  <c r="AY21" i="11"/>
  <c r="AZ19" i="11" s="1"/>
  <c r="BA27" i="11"/>
  <c r="BB25" i="11" s="1"/>
  <c r="BA26" i="11"/>
  <c r="BD23" i="11"/>
  <c r="BD24" i="11" s="1"/>
  <c r="BE22" i="11" s="1"/>
  <c r="AX29" i="4"/>
  <c r="M44" i="3"/>
  <c r="E44" i="1"/>
  <c r="L43" i="3"/>
  <c r="AJ150" i="2"/>
  <c r="D43" i="1"/>
  <c r="M35" i="3"/>
  <c r="AK153" i="2"/>
  <c r="E35" i="1"/>
  <c r="AK107" i="2"/>
  <c r="AL105" i="2" s="1"/>
  <c r="AL107" i="2" s="1"/>
  <c r="AJ129" i="2"/>
  <c r="AK125" i="2" s="1"/>
  <c r="BE23" i="11" l="1"/>
  <c r="BE24" i="11" s="1"/>
  <c r="BF22" i="11" s="1"/>
  <c r="BX111" i="2"/>
  <c r="BX114" i="2" s="1"/>
  <c r="BY110" i="2" s="1"/>
  <c r="CF116" i="2"/>
  <c r="CF119" i="2" s="1"/>
  <c r="CG115" i="2" s="1"/>
  <c r="AZ20" i="11"/>
  <c r="AZ81" i="2" s="1"/>
  <c r="AJ93" i="2"/>
  <c r="AJ94" i="2" s="1"/>
  <c r="AJ95" i="2" s="1"/>
  <c r="AJ86" i="2"/>
  <c r="BB26" i="11"/>
  <c r="BE147" i="2"/>
  <c r="BF145" i="2" s="1"/>
  <c r="AY27" i="4"/>
  <c r="AY28" i="4" s="1"/>
  <c r="AJ158" i="2"/>
  <c r="M36" i="3"/>
  <c r="AM105" i="2"/>
  <c r="AM107" i="2" s="1"/>
  <c r="AN105" i="2" s="1"/>
  <c r="AN107" i="2" s="1"/>
  <c r="AO105" i="2" s="1"/>
  <c r="AO107" i="2" s="1"/>
  <c r="N34" i="3"/>
  <c r="AP98" i="2"/>
  <c r="AP124" i="2"/>
  <c r="AQ120" i="2" s="1"/>
  <c r="AK126" i="2"/>
  <c r="AP40" i="4"/>
  <c r="AP41" i="4" s="1"/>
  <c r="AP42" i="4" s="1"/>
  <c r="AJ45" i="4"/>
  <c r="AJ46" i="4" s="1"/>
  <c r="AJ36" i="4"/>
  <c r="D100" i="5"/>
  <c r="D102" i="5" s="1"/>
  <c r="D103" i="5" s="1"/>
  <c r="D50" i="5"/>
  <c r="BY111" i="2" l="1"/>
  <c r="BY114" i="2" s="1"/>
  <c r="BZ110" i="2" s="1"/>
  <c r="CG116" i="2"/>
  <c r="CG119" i="2"/>
  <c r="CH115" i="2" s="1"/>
  <c r="AZ21" i="11"/>
  <c r="BA19" i="11" s="1"/>
  <c r="AZ27" i="4"/>
  <c r="AZ28" i="4" s="1"/>
  <c r="AK128" i="2"/>
  <c r="AK82" i="2" s="1"/>
  <c r="N36" i="3"/>
  <c r="AP105" i="2"/>
  <c r="AP107" i="2" s="1"/>
  <c r="AQ105" i="2" s="1"/>
  <c r="AQ107" i="2" s="1"/>
  <c r="AR105" i="2" s="1"/>
  <c r="AR107" i="2" s="1"/>
  <c r="BB27" i="11"/>
  <c r="BC25" i="11" s="1"/>
  <c r="AJ151" i="2"/>
  <c r="AJ155" i="2" s="1"/>
  <c r="AK150" i="2" s="1"/>
  <c r="BF147" i="2"/>
  <c r="BG145" i="2" s="1"/>
  <c r="AQ121" i="2"/>
  <c r="AQ123" i="2"/>
  <c r="AQ83" i="2" s="1"/>
  <c r="AP99" i="2"/>
  <c r="BF23" i="11"/>
  <c r="BF24" i="11" s="1"/>
  <c r="BG22" i="11" s="1"/>
  <c r="AY29" i="4"/>
  <c r="AQ124" i="2" l="1"/>
  <c r="AR120" i="2" s="1"/>
  <c r="AK129" i="2"/>
  <c r="AL125" i="2" s="1"/>
  <c r="AL126" i="2" s="1"/>
  <c r="M38" i="3" s="1"/>
  <c r="AJ160" i="2"/>
  <c r="BZ111" i="2"/>
  <c r="BZ114" i="2" s="1"/>
  <c r="CA110" i="2" s="1"/>
  <c r="BG147" i="2"/>
  <c r="O36" i="3"/>
  <c r="AS105" i="2"/>
  <c r="AS107" i="2" s="1"/>
  <c r="AT105" i="2" s="1"/>
  <c r="AT107" i="2" s="1"/>
  <c r="AU105" i="2" s="1"/>
  <c r="AU107" i="2" s="1"/>
  <c r="BA20" i="11"/>
  <c r="BA81" i="2" s="1"/>
  <c r="AP100" i="2"/>
  <c r="CH116" i="2"/>
  <c r="CH119" i="2" s="1"/>
  <c r="AK33" i="4"/>
  <c r="AK35" i="4" s="1"/>
  <c r="AK84" i="2"/>
  <c r="AZ29" i="4"/>
  <c r="BG23" i="11"/>
  <c r="BC26" i="11"/>
  <c r="BC27" i="11" s="1"/>
  <c r="BD25" i="11" s="1"/>
  <c r="AR121" i="2"/>
  <c r="AR123" i="2" s="1"/>
  <c r="AR83" i="2" s="1"/>
  <c r="AQ40" i="4"/>
  <c r="AQ41" i="4" s="1"/>
  <c r="AQ42" i="4" s="1"/>
  <c r="AK158" i="2"/>
  <c r="AL128" i="2" l="1"/>
  <c r="AL82" i="2" s="1"/>
  <c r="BA21" i="11"/>
  <c r="BB19" i="11" s="1"/>
  <c r="AR40" i="4"/>
  <c r="AR41" i="4" s="1"/>
  <c r="AR42" i="4" s="1"/>
  <c r="O30" i="3"/>
  <c r="CA111" i="2"/>
  <c r="CA114" i="2" s="1"/>
  <c r="CB110" i="2" s="1"/>
  <c r="P36" i="3"/>
  <c r="AV105" i="2"/>
  <c r="AV107" i="2" s="1"/>
  <c r="AW105" i="2" s="1"/>
  <c r="E36" i="1"/>
  <c r="BD26" i="11"/>
  <c r="BG24" i="11"/>
  <c r="BH22" i="11" s="1"/>
  <c r="BB20" i="11"/>
  <c r="BB81" i="2" s="1"/>
  <c r="AL33" i="4"/>
  <c r="AL35" i="4" s="1"/>
  <c r="AL45" i="4" s="1"/>
  <c r="AL84" i="2"/>
  <c r="T42" i="3"/>
  <c r="BH145" i="2"/>
  <c r="F42" i="1"/>
  <c r="F52" i="5" s="1"/>
  <c r="AR124" i="2"/>
  <c r="AS120" i="2" s="1"/>
  <c r="AL129" i="2"/>
  <c r="AM125" i="2" s="1"/>
  <c r="M29" i="3"/>
  <c r="AP152" i="2"/>
  <c r="AK93" i="2"/>
  <c r="AK94" i="2" s="1"/>
  <c r="AK95" i="2" s="1"/>
  <c r="AK86" i="2"/>
  <c r="M20" i="3"/>
  <c r="AK45" i="4"/>
  <c r="AK46" i="4" s="1"/>
  <c r="AK36" i="4"/>
  <c r="BA27" i="4"/>
  <c r="BA28" i="4" s="1"/>
  <c r="R28" i="3"/>
  <c r="AP101" i="2"/>
  <c r="AQ98" i="2" s="1"/>
  <c r="AL36" i="4" l="1"/>
  <c r="BB21" i="11"/>
  <c r="BC19" i="11" s="1"/>
  <c r="BC20" i="11" s="1"/>
  <c r="BC81" i="2" s="1"/>
  <c r="AL46" i="4"/>
  <c r="CB111" i="2"/>
  <c r="CB114" i="2" s="1"/>
  <c r="CC110" i="2" s="1"/>
  <c r="BH147" i="2"/>
  <c r="BI145" i="2" s="1"/>
  <c r="BH23" i="11"/>
  <c r="AS121" i="2"/>
  <c r="AS123" i="2" s="1"/>
  <c r="AS83" i="2" s="1"/>
  <c r="BA29" i="4"/>
  <c r="AL93" i="2"/>
  <c r="AL94" i="2" s="1"/>
  <c r="AL95" i="2" s="1"/>
  <c r="AL86" i="2"/>
  <c r="AL151" i="2" s="1"/>
  <c r="BD27" i="11"/>
  <c r="BE25" i="11" s="1"/>
  <c r="AK151" i="2"/>
  <c r="M21" i="3"/>
  <c r="AQ99" i="2"/>
  <c r="AQ100" i="2" s="1"/>
  <c r="AM126" i="2"/>
  <c r="BB27" i="4"/>
  <c r="BB28" i="4" s="1"/>
  <c r="BB29" i="4" l="1"/>
  <c r="AQ101" i="2"/>
  <c r="AR98" i="2" s="1"/>
  <c r="AS124" i="2"/>
  <c r="AT120" i="2" s="1"/>
  <c r="AR99" i="2"/>
  <c r="AR100" i="2" s="1"/>
  <c r="AT121" i="2"/>
  <c r="BH24" i="11"/>
  <c r="BI22" i="11" s="1"/>
  <c r="AM128" i="2"/>
  <c r="AM82" i="2" s="1"/>
  <c r="AQ152" i="2"/>
  <c r="BI147" i="2"/>
  <c r="BJ145" i="2" s="1"/>
  <c r="AK155" i="2"/>
  <c r="AL150" i="2" s="1"/>
  <c r="AK160" i="2"/>
  <c r="AS40" i="4"/>
  <c r="AS41" i="4" s="1"/>
  <c r="AS42" i="4" s="1"/>
  <c r="M23" i="3"/>
  <c r="BC27" i="4"/>
  <c r="BC28" i="4" s="1"/>
  <c r="BC29" i="4" s="1"/>
  <c r="BE26" i="11"/>
  <c r="BE27" i="11" s="1"/>
  <c r="BF25" i="11" s="1"/>
  <c r="CC111" i="2"/>
  <c r="CC114" i="2" s="1"/>
  <c r="CD110" i="2" s="1"/>
  <c r="BC21" i="11"/>
  <c r="BD19" i="11" s="1"/>
  <c r="AM129" i="2" l="1"/>
  <c r="AN125" i="2" s="1"/>
  <c r="BF26" i="11"/>
  <c r="AR152" i="2"/>
  <c r="O33" i="3"/>
  <c r="AR101" i="2"/>
  <c r="AN126" i="2"/>
  <c r="AT123" i="2"/>
  <c r="AT83" i="2" s="1"/>
  <c r="AL155" i="2"/>
  <c r="AL158" i="2"/>
  <c r="AL160" i="2" s="1"/>
  <c r="M45" i="3" s="1"/>
  <c r="AM33" i="4"/>
  <c r="AM35" i="4" s="1"/>
  <c r="AM84" i="2"/>
  <c r="BI23" i="11"/>
  <c r="CD111" i="2"/>
  <c r="CD114" i="2" s="1"/>
  <c r="CE110" i="2" s="1"/>
  <c r="BD20" i="11"/>
  <c r="BD81" i="2" s="1"/>
  <c r="BJ147" i="2"/>
  <c r="AN128" i="2" l="1"/>
  <c r="AN82" i="2" s="1"/>
  <c r="O34" i="3"/>
  <c r="AS98" i="2"/>
  <c r="AN33" i="4"/>
  <c r="AN35" i="4" s="1"/>
  <c r="AN45" i="4" s="1"/>
  <c r="AN84" i="2"/>
  <c r="BK145" i="2"/>
  <c r="U42" i="3"/>
  <c r="AT40" i="4"/>
  <c r="AT41" i="4" s="1"/>
  <c r="AT42" i="4" s="1"/>
  <c r="CE111" i="2"/>
  <c r="CE114" i="2" s="1"/>
  <c r="BD27" i="4"/>
  <c r="BD28" i="4" s="1"/>
  <c r="S28" i="3"/>
  <c r="AM45" i="4"/>
  <c r="AM46" i="4" s="1"/>
  <c r="AN46" i="4" s="1"/>
  <c r="AM36" i="4"/>
  <c r="AN36" i="4" s="1"/>
  <c r="BI24" i="11"/>
  <c r="BJ22" i="11" s="1"/>
  <c r="BD21" i="11"/>
  <c r="BE19" i="11" s="1"/>
  <c r="BF27" i="11"/>
  <c r="BG25" i="11" s="1"/>
  <c r="M43" i="3"/>
  <c r="AM150" i="2"/>
  <c r="AM93" i="2"/>
  <c r="AM94" i="2" s="1"/>
  <c r="AM95" i="2" s="1"/>
  <c r="AM86" i="2"/>
  <c r="AT124" i="2"/>
  <c r="AU120" i="2" s="1"/>
  <c r="AN129" i="2" l="1"/>
  <c r="AO125" i="2" s="1"/>
  <c r="AO126" i="2" s="1"/>
  <c r="N38" i="3" s="1"/>
  <c r="CF110" i="2"/>
  <c r="AN93" i="2"/>
  <c r="AN94" i="2" s="1"/>
  <c r="AN95" i="2" s="1"/>
  <c r="AN86" i="2"/>
  <c r="AN151" i="2" s="1"/>
  <c r="AU121" i="2"/>
  <c r="AU123" i="2" s="1"/>
  <c r="AU83" i="2" s="1"/>
  <c r="BJ23" i="11"/>
  <c r="BJ24" i="11" s="1"/>
  <c r="BK22" i="11" s="1"/>
  <c r="AM158" i="2"/>
  <c r="AS99" i="2"/>
  <c r="AS100" i="2" s="1"/>
  <c r="BG26" i="11"/>
  <c r="BG27" i="11" s="1"/>
  <c r="BH25" i="11" s="1"/>
  <c r="AM151" i="2"/>
  <c r="AM155" i="2" s="1"/>
  <c r="AN150" i="2" s="1"/>
  <c r="BE20" i="11"/>
  <c r="BE81" i="2" s="1"/>
  <c r="BD29" i="4"/>
  <c r="BK147" i="2"/>
  <c r="BL145" i="2" s="1"/>
  <c r="AO128" i="2"/>
  <c r="AO82" i="2" s="1"/>
  <c r="BE21" i="11" l="1"/>
  <c r="BF19" i="11" s="1"/>
  <c r="AU124" i="2"/>
  <c r="AS152" i="2"/>
  <c r="AS101" i="2"/>
  <c r="AT98" i="2" s="1"/>
  <c r="AV120" i="2"/>
  <c r="BK23" i="11"/>
  <c r="BK24" i="11"/>
  <c r="BL22" i="11" s="1"/>
  <c r="AN155" i="2"/>
  <c r="AO150" i="2" s="1"/>
  <c r="AN158" i="2"/>
  <c r="AN160" i="2" s="1"/>
  <c r="BH26" i="11"/>
  <c r="BH27" i="11" s="1"/>
  <c r="BI25" i="11" s="1"/>
  <c r="AU40" i="4"/>
  <c r="AU41" i="4" s="1"/>
  <c r="AU42" i="4" s="1"/>
  <c r="E30" i="1"/>
  <c r="P30" i="3"/>
  <c r="BE27" i="4"/>
  <c r="BE28" i="4" s="1"/>
  <c r="AO33" i="4"/>
  <c r="AO35" i="4" s="1"/>
  <c r="AO84" i="2"/>
  <c r="N29" i="3"/>
  <c r="BF20" i="11"/>
  <c r="BF81" i="2" s="1"/>
  <c r="BL147" i="2"/>
  <c r="BM145" i="2" s="1"/>
  <c r="AM160" i="2"/>
  <c r="AO129" i="2"/>
  <c r="AP125" i="2" s="1"/>
  <c r="CF111" i="2"/>
  <c r="CF114" i="2" s="1"/>
  <c r="CG110" i="2" s="1"/>
  <c r="BI26" i="11" l="1"/>
  <c r="CG111" i="2"/>
  <c r="CG114" i="2" s="1"/>
  <c r="CH110" i="2" s="1"/>
  <c r="BF27" i="4"/>
  <c r="BF28" i="4" s="1"/>
  <c r="AP126" i="2"/>
  <c r="BL23" i="11"/>
  <c r="BL24" i="11" s="1"/>
  <c r="BM22" i="11" s="1"/>
  <c r="AV121" i="2"/>
  <c r="AV123" i="2" s="1"/>
  <c r="AV83" i="2" s="1"/>
  <c r="AO93" i="2"/>
  <c r="AO94" i="2" s="1"/>
  <c r="AO95" i="2" s="1"/>
  <c r="AO86" i="2"/>
  <c r="N20" i="3"/>
  <c r="BF21" i="11"/>
  <c r="BG19" i="11" s="1"/>
  <c r="BE29" i="4"/>
  <c r="AT99" i="2"/>
  <c r="AT100" i="2" s="1"/>
  <c r="BM147" i="2"/>
  <c r="AO45" i="4"/>
  <c r="AO46" i="4" s="1"/>
  <c r="AO36" i="4"/>
  <c r="AO158" i="2"/>
  <c r="AV40" i="4" l="1"/>
  <c r="AV41" i="4" s="1"/>
  <c r="AV42" i="4" s="1"/>
  <c r="AT152" i="2"/>
  <c r="CH111" i="2"/>
  <c r="CH114" i="2" s="1"/>
  <c r="BM23" i="11"/>
  <c r="BM24" i="11" s="1"/>
  <c r="BN22" i="11" s="1"/>
  <c r="BG20" i="11"/>
  <c r="BG81" i="2" s="1"/>
  <c r="V42" i="3"/>
  <c r="BN145" i="2"/>
  <c r="AT101" i="2"/>
  <c r="AU98" i="2" s="1"/>
  <c r="AO151" i="2"/>
  <c r="AO155" i="2" s="1"/>
  <c r="N21" i="3"/>
  <c r="AP128" i="2"/>
  <c r="AP82" i="2" s="1"/>
  <c r="AV124" i="2"/>
  <c r="AW120" i="2" s="1"/>
  <c r="N23" i="3"/>
  <c r="BF29" i="4"/>
  <c r="BI27" i="11"/>
  <c r="BJ25" i="11" s="1"/>
  <c r="BN23" i="11" l="1"/>
  <c r="BN24" i="11" s="1"/>
  <c r="BO22" i="11" s="1"/>
  <c r="BG27" i="4"/>
  <c r="BG28" i="4" s="1"/>
  <c r="BG29" i="4" s="1"/>
  <c r="F28" i="1"/>
  <c r="T28" i="3"/>
  <c r="AP33" i="4"/>
  <c r="AP35" i="4" s="1"/>
  <c r="AP84" i="2"/>
  <c r="N43" i="3"/>
  <c r="AP150" i="2"/>
  <c r="AP129" i="2"/>
  <c r="AQ125" i="2" s="1"/>
  <c r="BG21" i="11"/>
  <c r="BH19" i="11" s="1"/>
  <c r="AU99" i="2"/>
  <c r="AU100" i="2" s="1"/>
  <c r="AW121" i="2"/>
  <c r="AW123" i="2" s="1"/>
  <c r="AW83" i="2" s="1"/>
  <c r="AO160" i="2"/>
  <c r="N45" i="3" s="1"/>
  <c r="BN147" i="2"/>
  <c r="BO145" i="2" s="1"/>
  <c r="BJ26" i="11"/>
  <c r="AW40" i="4" l="1"/>
  <c r="AW41" i="4" s="1"/>
  <c r="AW42" i="4" s="1"/>
  <c r="AU152" i="2"/>
  <c r="P33" i="3"/>
  <c r="E33" i="1"/>
  <c r="AQ126" i="2"/>
  <c r="AQ128" i="2" s="1"/>
  <c r="AQ82" i="2" s="1"/>
  <c r="BO23" i="11"/>
  <c r="AP45" i="4"/>
  <c r="AP46" i="4" s="1"/>
  <c r="AP36" i="4"/>
  <c r="AW124" i="2"/>
  <c r="AX120" i="2" s="1"/>
  <c r="BJ27" i="11"/>
  <c r="BK25" i="11" s="1"/>
  <c r="BO147" i="2"/>
  <c r="BP145" i="2" s="1"/>
  <c r="BH20" i="11"/>
  <c r="BH81" i="2" s="1"/>
  <c r="AP158" i="2"/>
  <c r="AU101" i="2"/>
  <c r="AP93" i="2"/>
  <c r="AP94" i="2" s="1"/>
  <c r="AP95" i="2" s="1"/>
  <c r="AP86" i="2"/>
  <c r="AQ129" i="2" l="1"/>
  <c r="AR125" i="2" s="1"/>
  <c r="AR126" i="2" s="1"/>
  <c r="O38" i="3" s="1"/>
  <c r="BH27" i="4"/>
  <c r="BH28" i="4" s="1"/>
  <c r="BP147" i="2"/>
  <c r="P34" i="3"/>
  <c r="AV98" i="2"/>
  <c r="E34" i="1"/>
  <c r="BH21" i="11"/>
  <c r="BI19" i="11" s="1"/>
  <c r="AQ33" i="4"/>
  <c r="AQ35" i="4" s="1"/>
  <c r="AQ45" i="4" s="1"/>
  <c r="AQ46" i="4" s="1"/>
  <c r="AQ84" i="2"/>
  <c r="AP151" i="2"/>
  <c r="AP155" i="2" s="1"/>
  <c r="AQ150" i="2" s="1"/>
  <c r="BO24" i="11"/>
  <c r="BP22" i="11" s="1"/>
  <c r="BK26" i="11"/>
  <c r="BK27" i="11" s="1"/>
  <c r="BL25" i="11" s="1"/>
  <c r="AX121" i="2"/>
  <c r="AX123" i="2" s="1"/>
  <c r="AX83" i="2" s="1"/>
  <c r="AQ36" i="4" l="1"/>
  <c r="AR128" i="2"/>
  <c r="AR82" i="2" s="1"/>
  <c r="BL26" i="11"/>
  <c r="AX40" i="4"/>
  <c r="AX41" i="4" s="1"/>
  <c r="AX42" i="4" s="1"/>
  <c r="Q30" i="3"/>
  <c r="AR33" i="4"/>
  <c r="AR35" i="4" s="1"/>
  <c r="AR45" i="4" s="1"/>
  <c r="AR46" i="4" s="1"/>
  <c r="AR84" i="2"/>
  <c r="O20" i="3" s="1"/>
  <c r="AX124" i="2"/>
  <c r="AY120" i="2" s="1"/>
  <c r="AQ158" i="2"/>
  <c r="AP160" i="2"/>
  <c r="AR129" i="2"/>
  <c r="AS125" i="2" s="1"/>
  <c r="AV99" i="2"/>
  <c r="AV100" i="2"/>
  <c r="BQ145" i="2"/>
  <c r="W42" i="3"/>
  <c r="AQ93" i="2"/>
  <c r="AQ94" i="2" s="1"/>
  <c r="AQ95" i="2" s="1"/>
  <c r="AQ86" i="2"/>
  <c r="BI20" i="11"/>
  <c r="BI81" i="2" s="1"/>
  <c r="O29" i="3"/>
  <c r="BP23" i="11"/>
  <c r="BH29" i="4"/>
  <c r="AV101" i="2" l="1"/>
  <c r="AW98" i="2" s="1"/>
  <c r="AW99" i="2" s="1"/>
  <c r="BP24" i="11"/>
  <c r="BQ22" i="11" s="1"/>
  <c r="BQ147" i="2"/>
  <c r="BR145" i="2" s="1"/>
  <c r="AS126" i="2"/>
  <c r="AV152" i="2"/>
  <c r="AR36" i="4"/>
  <c r="AY121" i="2"/>
  <c r="AY123" i="2" s="1"/>
  <c r="AY83" i="2" s="1"/>
  <c r="AQ151" i="2"/>
  <c r="AQ155" i="2" s="1"/>
  <c r="AR150" i="2" s="1"/>
  <c r="BI27" i="4"/>
  <c r="BI28" i="4" s="1"/>
  <c r="BI21" i="11"/>
  <c r="BJ19" i="11" s="1"/>
  <c r="AR93" i="2"/>
  <c r="AR94" i="2" s="1"/>
  <c r="AR95" i="2" s="1"/>
  <c r="O23" i="3" s="1"/>
  <c r="AR86" i="2"/>
  <c r="AR151" i="2" s="1"/>
  <c r="BL27" i="11"/>
  <c r="BM25" i="11" s="1"/>
  <c r="O21" i="3" l="1"/>
  <c r="BJ20" i="11"/>
  <c r="BJ81" i="2" s="1"/>
  <c r="BQ23" i="11"/>
  <c r="BQ24" i="11" s="1"/>
  <c r="BR22" i="11" s="1"/>
  <c r="AW100" i="2"/>
  <c r="AW101" i="2" s="1"/>
  <c r="AX98" i="2" s="1"/>
  <c r="AR155" i="2"/>
  <c r="AR158" i="2"/>
  <c r="AR160" i="2" s="1"/>
  <c r="O45" i="3" s="1"/>
  <c r="BM26" i="11"/>
  <c r="BM27" i="11" s="1"/>
  <c r="BN25" i="11" s="1"/>
  <c r="BR147" i="2"/>
  <c r="BS145" i="2" s="1"/>
  <c r="AY124" i="2"/>
  <c r="AZ120" i="2" s="1"/>
  <c r="AS128" i="2"/>
  <c r="AS82" i="2" s="1"/>
  <c r="AY40" i="4"/>
  <c r="AY41" i="4" s="1"/>
  <c r="AY42" i="4" s="1"/>
  <c r="BI29" i="4"/>
  <c r="AQ160" i="2"/>
  <c r="BN26" i="11" l="1"/>
  <c r="BN27" i="11" s="1"/>
  <c r="BO25" i="11" s="1"/>
  <c r="AX99" i="2"/>
  <c r="AX100" i="2" s="1"/>
  <c r="AX152" i="2" s="1"/>
  <c r="AZ121" i="2"/>
  <c r="AZ123" i="2" s="1"/>
  <c r="BS147" i="2"/>
  <c r="BJ21" i="11"/>
  <c r="BK19" i="11" s="1"/>
  <c r="BJ27" i="4"/>
  <c r="BJ28" i="4" s="1"/>
  <c r="U28" i="3"/>
  <c r="AW152" i="2"/>
  <c r="BR23" i="11"/>
  <c r="BR24" i="11" s="1"/>
  <c r="BS22" i="11" s="1"/>
  <c r="AS33" i="4"/>
  <c r="AS35" i="4" s="1"/>
  <c r="AS84" i="2"/>
  <c r="O43" i="3"/>
  <c r="AS150" i="2"/>
  <c r="AS129" i="2"/>
  <c r="AT125" i="2" s="1"/>
  <c r="AX101" i="2" l="1"/>
  <c r="BS23" i="11"/>
  <c r="BS24" i="11" s="1"/>
  <c r="BT22" i="11" s="1"/>
  <c r="AZ83" i="2"/>
  <c r="AZ124" i="2"/>
  <c r="BA120" i="2" s="1"/>
  <c r="Q34" i="3"/>
  <c r="AY98" i="2"/>
  <c r="AT126" i="2"/>
  <c r="AT128" i="2" s="1"/>
  <c r="AT82" i="2" s="1"/>
  <c r="AS158" i="2"/>
  <c r="AS93" i="2"/>
  <c r="AS94" i="2" s="1"/>
  <c r="AS95" i="2" s="1"/>
  <c r="AS86" i="2"/>
  <c r="BO26" i="11"/>
  <c r="BO27" i="11"/>
  <c r="BP25" i="11" s="1"/>
  <c r="BK20" i="11"/>
  <c r="BK81" i="2" s="1"/>
  <c r="Q33" i="3"/>
  <c r="X42" i="3"/>
  <c r="BT145" i="2"/>
  <c r="G42" i="1"/>
  <c r="AS45" i="4"/>
  <c r="AS46" i="4" s="1"/>
  <c r="AS36" i="4"/>
  <c r="BJ29" i="4"/>
  <c r="AT33" i="4" l="1"/>
  <c r="AT35" i="4" s="1"/>
  <c r="AT45" i="4" s="1"/>
  <c r="AT84" i="2"/>
  <c r="BT23" i="11"/>
  <c r="BT24" i="11" s="1"/>
  <c r="BU22" i="11" s="1"/>
  <c r="AS151" i="2"/>
  <c r="AS155" i="2" s="1"/>
  <c r="AT150" i="2" s="1"/>
  <c r="AT129" i="2"/>
  <c r="AU125" i="2" s="1"/>
  <c r="AY99" i="2"/>
  <c r="AY100" i="2" s="1"/>
  <c r="BA121" i="2"/>
  <c r="BA123" i="2" s="1"/>
  <c r="BA83" i="2" s="1"/>
  <c r="AZ40" i="4"/>
  <c r="AZ41" i="4" s="1"/>
  <c r="AZ42" i="4" s="1"/>
  <c r="BK27" i="4"/>
  <c r="BK28" i="4" s="1"/>
  <c r="BP26" i="11"/>
  <c r="BP27" i="11" s="1"/>
  <c r="BQ25" i="11" s="1"/>
  <c r="AT46" i="4"/>
  <c r="E71" i="5"/>
  <c r="G52" i="5"/>
  <c r="BK21" i="11"/>
  <c r="BL19" i="11" s="1"/>
  <c r="AT36" i="4"/>
  <c r="BT147" i="2"/>
  <c r="BU145" i="2" s="1"/>
  <c r="AY101" i="2" l="1"/>
  <c r="AZ98" i="2" s="1"/>
  <c r="AS160" i="2"/>
  <c r="BA40" i="4"/>
  <c r="BA41" i="4" s="1"/>
  <c r="BA42" i="4" s="1"/>
  <c r="R30" i="3"/>
  <c r="AZ99" i="2"/>
  <c r="AZ100" i="2" s="1"/>
  <c r="AZ152" i="2" s="1"/>
  <c r="BQ26" i="11"/>
  <c r="BQ27" i="11" s="1"/>
  <c r="BR25" i="11" s="1"/>
  <c r="BU23" i="11"/>
  <c r="BU24" i="11" s="1"/>
  <c r="BV22" i="11" s="1"/>
  <c r="AT158" i="2"/>
  <c r="AY152" i="2"/>
  <c r="BA124" i="2"/>
  <c r="BB120" i="2" s="1"/>
  <c r="AU126" i="2"/>
  <c r="P38" i="3" s="1"/>
  <c r="AT93" i="2"/>
  <c r="AT94" i="2" s="1"/>
  <c r="AT95" i="2" s="1"/>
  <c r="AT86" i="2"/>
  <c r="BU147" i="2"/>
  <c r="BV145" i="2" s="1"/>
  <c r="BL20" i="11"/>
  <c r="BL81" i="2" s="1"/>
  <c r="BK29" i="4"/>
  <c r="AZ101" i="2" l="1"/>
  <c r="BA98" i="2" s="1"/>
  <c r="AU128" i="2"/>
  <c r="AU82" i="2" s="1"/>
  <c r="AU33" i="4" s="1"/>
  <c r="AU35" i="4" s="1"/>
  <c r="BR26" i="11"/>
  <c r="BL27" i="4"/>
  <c r="BL28" i="4" s="1"/>
  <c r="BL29" i="4" s="1"/>
  <c r="BL21" i="11"/>
  <c r="BM19" i="11" s="1"/>
  <c r="AU129" i="2"/>
  <c r="BB121" i="2"/>
  <c r="BB123" i="2" s="1"/>
  <c r="BB83" i="2" s="1"/>
  <c r="P29" i="3"/>
  <c r="BV23" i="11"/>
  <c r="BV24" i="11"/>
  <c r="BW22" i="11" s="1"/>
  <c r="BV147" i="2"/>
  <c r="BA99" i="2"/>
  <c r="BA100" i="2" s="1"/>
  <c r="AT151" i="2"/>
  <c r="AT155" i="2" s="1"/>
  <c r="AU150" i="2" s="1"/>
  <c r="E29" i="1" l="1"/>
  <c r="AU84" i="2"/>
  <c r="AU93" i="2" s="1"/>
  <c r="AU94" i="2" s="1"/>
  <c r="AU95" i="2" s="1"/>
  <c r="BB124" i="2"/>
  <c r="BC120" i="2" s="1"/>
  <c r="BA152" i="2"/>
  <c r="R33" i="3"/>
  <c r="BC121" i="2"/>
  <c r="AT160" i="2"/>
  <c r="BW23" i="11"/>
  <c r="BW24" i="11" s="1"/>
  <c r="BX22" i="11" s="1"/>
  <c r="AU158" i="2"/>
  <c r="AU86" i="2"/>
  <c r="P20" i="3"/>
  <c r="E20" i="1"/>
  <c r="E46" i="5" s="1"/>
  <c r="BM20" i="11"/>
  <c r="BM81" i="2" s="1"/>
  <c r="BA101" i="2"/>
  <c r="AU45" i="4"/>
  <c r="AU46" i="4" s="1"/>
  <c r="AU36" i="4"/>
  <c r="BB40" i="4"/>
  <c r="BB41" i="4" s="1"/>
  <c r="BB42" i="4" s="1"/>
  <c r="Y42" i="3"/>
  <c r="BW145" i="2"/>
  <c r="AV125" i="2"/>
  <c r="E38" i="1"/>
  <c r="BR27" i="11"/>
  <c r="BS25" i="11" s="1"/>
  <c r="AU151" i="2" l="1"/>
  <c r="AU155" i="2" s="1"/>
  <c r="E21" i="1"/>
  <c r="P21" i="3"/>
  <c r="AV126" i="2"/>
  <c r="AV128" i="2" s="1"/>
  <c r="AV82" i="2" s="1"/>
  <c r="AW106" i="2"/>
  <c r="P23" i="3"/>
  <c r="E23" i="1"/>
  <c r="AX159" i="2"/>
  <c r="BC123" i="2"/>
  <c r="BC83" i="2" s="1"/>
  <c r="BS26" i="11"/>
  <c r="BW147" i="2"/>
  <c r="BX145" i="2" s="1"/>
  <c r="BM27" i="4"/>
  <c r="BM28" i="4" s="1"/>
  <c r="V28" i="3"/>
  <c r="BM21" i="11"/>
  <c r="BN19" i="11" s="1"/>
  <c r="R34" i="3"/>
  <c r="BB98" i="2"/>
  <c r="AU160" i="2"/>
  <c r="BX23" i="11"/>
  <c r="BC124" i="2" l="1"/>
  <c r="BD120" i="2" s="1"/>
  <c r="AV33" i="4"/>
  <c r="AV35" i="4" s="1"/>
  <c r="AV84" i="2"/>
  <c r="BN20" i="11"/>
  <c r="BN81" i="2" s="1"/>
  <c r="BS27" i="11"/>
  <c r="BT25" i="11" s="1"/>
  <c r="AV129" i="2"/>
  <c r="AW125" i="2" s="1"/>
  <c r="BC40" i="4"/>
  <c r="BC41" i="4" s="1"/>
  <c r="BC42" i="4" s="1"/>
  <c r="P45" i="3"/>
  <c r="E45" i="1"/>
  <c r="P43" i="3"/>
  <c r="AV150" i="2"/>
  <c r="E43" i="1"/>
  <c r="BD121" i="2"/>
  <c r="BX24" i="11"/>
  <c r="BY22" i="11" s="1"/>
  <c r="Q44" i="3"/>
  <c r="F44" i="1"/>
  <c r="BM29" i="4"/>
  <c r="BB99" i="2"/>
  <c r="BX147" i="2"/>
  <c r="BY145" i="2" s="1"/>
  <c r="AW153" i="2"/>
  <c r="Q35" i="3"/>
  <c r="F35" i="1"/>
  <c r="AW107" i="2"/>
  <c r="AX105" i="2" s="1"/>
  <c r="AX107" i="2" s="1"/>
  <c r="BN27" i="4" l="1"/>
  <c r="BN28" i="4" s="1"/>
  <c r="BD123" i="2"/>
  <c r="BD83" i="2" s="1"/>
  <c r="BN21" i="11"/>
  <c r="BO19" i="11" s="1"/>
  <c r="BY147" i="2"/>
  <c r="BB100" i="2"/>
  <c r="AV93" i="2"/>
  <c r="AV94" i="2" s="1"/>
  <c r="AV95" i="2" s="1"/>
  <c r="AV86" i="2"/>
  <c r="D72" i="5"/>
  <c r="E100" i="5"/>
  <c r="E102" i="5" s="1"/>
  <c r="E103" i="5" s="1"/>
  <c r="E50" i="5"/>
  <c r="BT26" i="11"/>
  <c r="BT27" i="11" s="1"/>
  <c r="BU25" i="11" s="1"/>
  <c r="Q36" i="3"/>
  <c r="AY105" i="2"/>
  <c r="AY107" i="2" s="1"/>
  <c r="AZ105" i="2" s="1"/>
  <c r="AZ107" i="2" s="1"/>
  <c r="BA105" i="2" s="1"/>
  <c r="BA107" i="2" s="1"/>
  <c r="BN29" i="4"/>
  <c r="AV158" i="2"/>
  <c r="BY23" i="11"/>
  <c r="AW126" i="2"/>
  <c r="AW128" i="2" s="1"/>
  <c r="AW82" i="2" s="1"/>
  <c r="AV45" i="4"/>
  <c r="AV46" i="4" s="1"/>
  <c r="AV36" i="4"/>
  <c r="BU26" i="11" l="1"/>
  <c r="BU27" i="11" s="1"/>
  <c r="BV25" i="11" s="1"/>
  <c r="AW33" i="4"/>
  <c r="AW35" i="4" s="1"/>
  <c r="AW45" i="4" s="1"/>
  <c r="AW84" i="2"/>
  <c r="AW46" i="4"/>
  <c r="BD40" i="4"/>
  <c r="BD41" i="4" s="1"/>
  <c r="BD42" i="4" s="1"/>
  <c r="S30" i="3"/>
  <c r="AV151" i="2"/>
  <c r="AV155" i="2" s="1"/>
  <c r="AW150" i="2" s="1"/>
  <c r="AW129" i="2"/>
  <c r="AX125" i="2" s="1"/>
  <c r="BO20" i="11"/>
  <c r="BO81" i="2" s="1"/>
  <c r="BO21" i="11"/>
  <c r="BP19" i="11" s="1"/>
  <c r="R36" i="3"/>
  <c r="BB105" i="2"/>
  <c r="BB107" i="2" s="1"/>
  <c r="BC105" i="2" s="1"/>
  <c r="BC107" i="2" s="1"/>
  <c r="BD105" i="2" s="1"/>
  <c r="BD107" i="2" s="1"/>
  <c r="BY24" i="11"/>
  <c r="BZ22" i="11" s="1"/>
  <c r="BB152" i="2"/>
  <c r="Z42" i="3"/>
  <c r="BZ145" i="2"/>
  <c r="BB101" i="2"/>
  <c r="BC98" i="2" s="1"/>
  <c r="AW36" i="4"/>
  <c r="BD124" i="2"/>
  <c r="BE120" i="2" s="1"/>
  <c r="AV160" i="2" l="1"/>
  <c r="AX126" i="2"/>
  <c r="Q38" i="3" s="1"/>
  <c r="S36" i="3"/>
  <c r="BE105" i="2"/>
  <c r="BE107" i="2" s="1"/>
  <c r="BF105" i="2" s="1"/>
  <c r="BF107" i="2" s="1"/>
  <c r="BG105" i="2" s="1"/>
  <c r="BG107" i="2" s="1"/>
  <c r="AW93" i="2"/>
  <c r="AW94" i="2" s="1"/>
  <c r="AW95" i="2" s="1"/>
  <c r="AW86" i="2"/>
  <c r="BE121" i="2"/>
  <c r="AW158" i="2"/>
  <c r="BP20" i="11"/>
  <c r="BP81" i="2" s="1"/>
  <c r="W28" i="3" s="1"/>
  <c r="BO27" i="4"/>
  <c r="BO28" i="4" s="1"/>
  <c r="BZ147" i="2"/>
  <c r="CA145" i="2" s="1"/>
  <c r="BC99" i="2"/>
  <c r="BC100" i="2" s="1"/>
  <c r="BZ23" i="11"/>
  <c r="BZ24" i="11" s="1"/>
  <c r="CA22" i="11" s="1"/>
  <c r="BV26" i="11"/>
  <c r="BV27" i="11" s="1"/>
  <c r="BW25" i="11" s="1"/>
  <c r="AX128" i="2" l="1"/>
  <c r="AX82" i="2" s="1"/>
  <c r="BP21" i="11"/>
  <c r="BQ19" i="11" s="1"/>
  <c r="BE123" i="2"/>
  <c r="BE83" i="2" s="1"/>
  <c r="BE40" i="4" s="1"/>
  <c r="BE41" i="4" s="1"/>
  <c r="BE42" i="4" s="1"/>
  <c r="BC152" i="2"/>
  <c r="T36" i="3"/>
  <c r="BH105" i="2"/>
  <c r="BH107" i="2" s="1"/>
  <c r="BI105" i="2" s="1"/>
  <c r="F36" i="1"/>
  <c r="CA23" i="11"/>
  <c r="CA24" i="11" s="1"/>
  <c r="CB22" i="11" s="1"/>
  <c r="AX33" i="4"/>
  <c r="AX35" i="4" s="1"/>
  <c r="AX84" i="2"/>
  <c r="Q29" i="3"/>
  <c r="BW26" i="11"/>
  <c r="BC101" i="2"/>
  <c r="BD98" i="2" s="1"/>
  <c r="BQ20" i="11"/>
  <c r="BQ81" i="2" s="1"/>
  <c r="BO29" i="4"/>
  <c r="CA147" i="2"/>
  <c r="CB145" i="2" s="1"/>
  <c r="BP27" i="4"/>
  <c r="BP28" i="4" s="1"/>
  <c r="AW151" i="2"/>
  <c r="AW155" i="2" s="1"/>
  <c r="AX150" i="2" s="1"/>
  <c r="AX129" i="2"/>
  <c r="AY125" i="2" s="1"/>
  <c r="BP29" i="4" l="1"/>
  <c r="BE124" i="2"/>
  <c r="BF120" i="2" s="1"/>
  <c r="BF121" i="2" s="1"/>
  <c r="CB23" i="11"/>
  <c r="CB24" i="11" s="1"/>
  <c r="CC22" i="11" s="1"/>
  <c r="AW160" i="2"/>
  <c r="BF123" i="2"/>
  <c r="BF83" i="2" s="1"/>
  <c r="BQ21" i="11"/>
  <c r="BR19" i="11" s="1"/>
  <c r="AY126" i="2"/>
  <c r="BQ27" i="4"/>
  <c r="BQ28" i="4" s="1"/>
  <c r="AX158" i="2"/>
  <c r="AX93" i="2"/>
  <c r="AX94" i="2" s="1"/>
  <c r="AX95" i="2" s="1"/>
  <c r="AX86" i="2"/>
  <c r="Q20" i="3"/>
  <c r="AX45" i="4"/>
  <c r="AX46" i="4" s="1"/>
  <c r="AX36" i="4"/>
  <c r="CB147" i="2"/>
  <c r="BD99" i="2"/>
  <c r="BD100" i="2" s="1"/>
  <c r="BW27" i="11"/>
  <c r="BX25" i="11" s="1"/>
  <c r="BD152" i="2" l="1"/>
  <c r="S33" i="3"/>
  <c r="CC23" i="11"/>
  <c r="CC24" i="11"/>
  <c r="CD22" i="11" s="1"/>
  <c r="BF40" i="4"/>
  <c r="BF41" i="4" s="1"/>
  <c r="BF42" i="4" s="1"/>
  <c r="Q23" i="3"/>
  <c r="AX151" i="2"/>
  <c r="AX155" i="2" s="1"/>
  <c r="Q21" i="3"/>
  <c r="AA42" i="3"/>
  <c r="CC145" i="2"/>
  <c r="BD101" i="2"/>
  <c r="AY128" i="2"/>
  <c r="AY82" i="2" s="1"/>
  <c r="BQ29" i="4"/>
  <c r="BF124" i="2"/>
  <c r="BG120" i="2" s="1"/>
  <c r="BX26" i="11"/>
  <c r="BX27" i="11" s="1"/>
  <c r="BY25" i="11" s="1"/>
  <c r="BR20" i="11"/>
  <c r="BR81" i="2" s="1"/>
  <c r="CD23" i="11" l="1"/>
  <c r="CD24" i="11" s="1"/>
  <c r="CE22" i="11" s="1"/>
  <c r="BR21" i="11"/>
  <c r="BS19" i="11" s="1"/>
  <c r="AX160" i="2"/>
  <c r="Q45" i="3" s="1"/>
  <c r="BR27" i="4"/>
  <c r="BR28" i="4" s="1"/>
  <c r="Q43" i="3"/>
  <c r="AY150" i="2"/>
  <c r="BY26" i="11"/>
  <c r="BY27" i="11" s="1"/>
  <c r="BZ25" i="11" s="1"/>
  <c r="AY33" i="4"/>
  <c r="AY35" i="4" s="1"/>
  <c r="AY84" i="2"/>
  <c r="S34" i="3"/>
  <c r="BE98" i="2"/>
  <c r="CC147" i="2"/>
  <c r="CD145" i="2" s="1"/>
  <c r="BG121" i="2"/>
  <c r="BG123" i="2" s="1"/>
  <c r="AY129" i="2"/>
  <c r="AZ125" i="2" s="1"/>
  <c r="BG83" i="2" l="1"/>
  <c r="BG124" i="2"/>
  <c r="BZ26" i="11"/>
  <c r="AY45" i="4"/>
  <c r="AY46" i="4" s="1"/>
  <c r="AY36" i="4"/>
  <c r="CD147" i="2"/>
  <c r="CE145" i="2" s="1"/>
  <c r="BE99" i="2"/>
  <c r="BE100" i="2" s="1"/>
  <c r="AY158" i="2"/>
  <c r="CE23" i="11"/>
  <c r="AZ126" i="2"/>
  <c r="AZ128" i="2" s="1"/>
  <c r="AZ82" i="2" s="1"/>
  <c r="BS20" i="11"/>
  <c r="BS81" i="2" s="1"/>
  <c r="BH120" i="2"/>
  <c r="AY93" i="2"/>
  <c r="AY94" i="2" s="1"/>
  <c r="AY95" i="2" s="1"/>
  <c r="AY86" i="2"/>
  <c r="BR29" i="4"/>
  <c r="BG40" i="4"/>
  <c r="BG41" i="4" s="1"/>
  <c r="BG42" i="4" s="1"/>
  <c r="T30" i="3"/>
  <c r="F30" i="1"/>
  <c r="BE101" i="2" l="1"/>
  <c r="BF98" i="2" s="1"/>
  <c r="AZ33" i="4"/>
  <c r="AZ35" i="4" s="1"/>
  <c r="AZ45" i="4" s="1"/>
  <c r="AZ84" i="2"/>
  <c r="CE147" i="2"/>
  <c r="BF99" i="2"/>
  <c r="BF100" i="2" s="1"/>
  <c r="BF152" i="2" s="1"/>
  <c r="BS27" i="4"/>
  <c r="BS28" i="4" s="1"/>
  <c r="BS29" i="4" s="1"/>
  <c r="G28" i="1"/>
  <c r="X28" i="3"/>
  <c r="BH121" i="2"/>
  <c r="BH123" i="2" s="1"/>
  <c r="BH83" i="2" s="1"/>
  <c r="AZ36" i="4"/>
  <c r="AZ46" i="4"/>
  <c r="BS21" i="11"/>
  <c r="BT19" i="11" s="1"/>
  <c r="BE152" i="2"/>
  <c r="AZ129" i="2"/>
  <c r="BA125" i="2" s="1"/>
  <c r="CE24" i="11"/>
  <c r="CF22" i="11" s="1"/>
  <c r="AY151" i="2"/>
  <c r="AY155" i="2" s="1"/>
  <c r="AZ150" i="2" s="1"/>
  <c r="BZ27" i="11"/>
  <c r="CA25" i="11" s="1"/>
  <c r="BF101" i="2" l="1"/>
  <c r="BG98" i="2" s="1"/>
  <c r="AY160" i="2"/>
  <c r="BH40" i="4"/>
  <c r="BH41" i="4" s="1"/>
  <c r="BH42" i="4" s="1"/>
  <c r="AB42" i="3"/>
  <c r="CF145" i="2"/>
  <c r="H42" i="1"/>
  <c r="H52" i="5" s="1"/>
  <c r="CF23" i="11"/>
  <c r="BG99" i="2"/>
  <c r="BG100" i="2" s="1"/>
  <c r="BA126" i="2"/>
  <c r="R38" i="3" s="1"/>
  <c r="BH124" i="2"/>
  <c r="BI120" i="2" s="1"/>
  <c r="BT20" i="11"/>
  <c r="BT81" i="2" s="1"/>
  <c r="AZ93" i="2"/>
  <c r="AZ94" i="2" s="1"/>
  <c r="AZ95" i="2" s="1"/>
  <c r="AZ86" i="2"/>
  <c r="CA26" i="11"/>
  <c r="AZ158" i="2"/>
  <c r="BG101" i="2" l="1"/>
  <c r="AZ151" i="2"/>
  <c r="AZ155" i="2" s="1"/>
  <c r="BA150" i="2" s="1"/>
  <c r="BG152" i="2"/>
  <c r="T33" i="3"/>
  <c r="F33" i="1"/>
  <c r="BT27" i="4"/>
  <c r="BT28" i="4" s="1"/>
  <c r="AZ160" i="2"/>
  <c r="CA27" i="11"/>
  <c r="CB25" i="11" s="1"/>
  <c r="BI121" i="2"/>
  <c r="BI123" i="2" s="1"/>
  <c r="BI83" i="2" s="1"/>
  <c r="CF24" i="11"/>
  <c r="CG22" i="11" s="1"/>
  <c r="T34" i="3"/>
  <c r="BH98" i="2"/>
  <c r="F34" i="1"/>
  <c r="BA128" i="2"/>
  <c r="BT21" i="11"/>
  <c r="BU19" i="11" s="1"/>
  <c r="CF147" i="2"/>
  <c r="CG145" i="2" s="1"/>
  <c r="BI40" i="4" l="1"/>
  <c r="BI41" i="4" s="1"/>
  <c r="BI42" i="4" s="1"/>
  <c r="BT29" i="4"/>
  <c r="BU20" i="11"/>
  <c r="BU81" i="2" s="1"/>
  <c r="BH99" i="2"/>
  <c r="BH100" i="2" s="1"/>
  <c r="CG147" i="2"/>
  <c r="CH145" i="2" s="1"/>
  <c r="CB26" i="11"/>
  <c r="CB27" i="11" s="1"/>
  <c r="CC25" i="11" s="1"/>
  <c r="CG23" i="11"/>
  <c r="CG24" i="11" s="1"/>
  <c r="CH22" i="11" s="1"/>
  <c r="BI124" i="2"/>
  <c r="BJ120" i="2" s="1"/>
  <c r="BA82" i="2"/>
  <c r="BA129" i="2"/>
  <c r="BB125" i="2" s="1"/>
  <c r="BA158" i="2"/>
  <c r="BH152" i="2" l="1"/>
  <c r="CC26" i="11"/>
  <c r="CH23" i="11"/>
  <c r="CH24" i="11" s="1"/>
  <c r="BU21" i="11"/>
  <c r="BV19" i="11" s="1"/>
  <c r="CH147" i="2"/>
  <c r="BB126" i="2"/>
  <c r="BB128" i="2" s="1"/>
  <c r="BB82" i="2" s="1"/>
  <c r="BA33" i="4"/>
  <c r="BA35" i="4" s="1"/>
  <c r="BA84" i="2"/>
  <c r="R29" i="3"/>
  <c r="BJ121" i="2"/>
  <c r="BJ123" i="2" s="1"/>
  <c r="BJ83" i="2" s="1"/>
  <c r="BH101" i="2"/>
  <c r="BI98" i="2" s="1"/>
  <c r="BU27" i="4"/>
  <c r="BU28" i="4" s="1"/>
  <c r="BB33" i="4" l="1"/>
  <c r="BB35" i="4" s="1"/>
  <c r="BB45" i="4" s="1"/>
  <c r="BB84" i="2"/>
  <c r="BJ40" i="4"/>
  <c r="BJ41" i="4" s="1"/>
  <c r="BJ42" i="4" s="1"/>
  <c r="U30" i="3"/>
  <c r="BU29" i="4"/>
  <c r="BA45" i="4"/>
  <c r="BA46" i="4" s="1"/>
  <c r="BA36" i="4"/>
  <c r="BB36" i="4" s="1"/>
  <c r="BJ124" i="2"/>
  <c r="BK120" i="2" s="1"/>
  <c r="BB129" i="2"/>
  <c r="BC125" i="2" s="1"/>
  <c r="CC27" i="11"/>
  <c r="CD25" i="11" s="1"/>
  <c r="BI99" i="2"/>
  <c r="BI100" i="2" s="1"/>
  <c r="AC42" i="3"/>
  <c r="I42" i="1"/>
  <c r="BA93" i="2"/>
  <c r="BA94" i="2" s="1"/>
  <c r="BA95" i="2" s="1"/>
  <c r="BA86" i="2"/>
  <c r="R20" i="3"/>
  <c r="BV20" i="11"/>
  <c r="BV81" i="2" s="1"/>
  <c r="BB46" i="4" l="1"/>
  <c r="BI152" i="2"/>
  <c r="BA151" i="2"/>
  <c r="R21" i="3"/>
  <c r="BC126" i="2"/>
  <c r="F71" i="5"/>
  <c r="I52" i="5"/>
  <c r="BV21" i="11"/>
  <c r="BW19" i="11" s="1"/>
  <c r="BB93" i="2"/>
  <c r="BB94" i="2" s="1"/>
  <c r="BB95" i="2" s="1"/>
  <c r="BB86" i="2"/>
  <c r="CD26" i="11"/>
  <c r="CD27" i="11" s="1"/>
  <c r="CE25" i="11" s="1"/>
  <c r="BK121" i="2"/>
  <c r="BI101" i="2"/>
  <c r="BJ98" i="2" s="1"/>
  <c r="R23" i="3"/>
  <c r="BV27" i="4"/>
  <c r="BV28" i="4" s="1"/>
  <c r="Y28" i="3"/>
  <c r="BJ99" i="2" l="1"/>
  <c r="BC128" i="2"/>
  <c r="BC82" i="2" s="1"/>
  <c r="BK123" i="2"/>
  <c r="BK83" i="2" s="1"/>
  <c r="BA155" i="2"/>
  <c r="BA160" i="2"/>
  <c r="R45" i="3" s="1"/>
  <c r="BW20" i="11"/>
  <c r="BW81" i="2" s="1"/>
  <c r="CE26" i="11"/>
  <c r="CE27" i="11" s="1"/>
  <c r="CF25" i="11" s="1"/>
  <c r="BV29" i="4"/>
  <c r="BB151" i="2"/>
  <c r="CF26" i="11" l="1"/>
  <c r="BC33" i="4"/>
  <c r="BC35" i="4" s="1"/>
  <c r="BC84" i="2"/>
  <c r="BW21" i="11"/>
  <c r="BX19" i="11" s="1"/>
  <c r="BJ100" i="2"/>
  <c r="BK40" i="4"/>
  <c r="BK41" i="4" s="1"/>
  <c r="BK42" i="4" s="1"/>
  <c r="BC129" i="2"/>
  <c r="BD125" i="2" s="1"/>
  <c r="BW27" i="4"/>
  <c r="BW28" i="4" s="1"/>
  <c r="R43" i="3"/>
  <c r="BB150" i="2"/>
  <c r="BK124" i="2"/>
  <c r="BL120" i="2" s="1"/>
  <c r="BD126" i="2" l="1"/>
  <c r="S38" i="3" s="1"/>
  <c r="BC93" i="2"/>
  <c r="BC94" i="2" s="1"/>
  <c r="BC95" i="2" s="1"/>
  <c r="BC86" i="2"/>
  <c r="BL121" i="2"/>
  <c r="BL123" i="2" s="1"/>
  <c r="BL83" i="2" s="1"/>
  <c r="BB155" i="2"/>
  <c r="BC150" i="2" s="1"/>
  <c r="BB158" i="2"/>
  <c r="BB160" i="2" s="1"/>
  <c r="BC45" i="4"/>
  <c r="BC46" i="4" s="1"/>
  <c r="BC36" i="4"/>
  <c r="CF27" i="11"/>
  <c r="CG25" i="11" s="1"/>
  <c r="BX20" i="11"/>
  <c r="BX81" i="2" s="1"/>
  <c r="BJ152" i="2"/>
  <c r="U33" i="3"/>
  <c r="BW29" i="4"/>
  <c r="BJ101" i="2"/>
  <c r="BX21" i="11" l="1"/>
  <c r="BY19" i="11" s="1"/>
  <c r="BL124" i="2"/>
  <c r="BM120" i="2" s="1"/>
  <c r="BM121" i="2" s="1"/>
  <c r="BC151" i="2"/>
  <c r="BL40" i="4"/>
  <c r="BL41" i="4" s="1"/>
  <c r="BL42" i="4" s="1"/>
  <c r="BX27" i="4"/>
  <c r="BX28" i="4" s="1"/>
  <c r="BX29" i="4" s="1"/>
  <c r="BD128" i="2"/>
  <c r="BC155" i="2"/>
  <c r="BD150" i="2" s="1"/>
  <c r="BC158" i="2"/>
  <c r="BC160" i="2" s="1"/>
  <c r="BY20" i="11"/>
  <c r="BY81" i="2" s="1"/>
  <c r="U34" i="3"/>
  <c r="BK98" i="2"/>
  <c r="CG26" i="11"/>
  <c r="CG27" i="11" s="1"/>
  <c r="CH25" i="11" s="1"/>
  <c r="BY21" i="11" l="1"/>
  <c r="BZ19" i="11" s="1"/>
  <c r="BZ20" i="11" s="1"/>
  <c r="BZ81" i="2" s="1"/>
  <c r="CH26" i="11"/>
  <c r="BM123" i="2"/>
  <c r="BM83" i="2" s="1"/>
  <c r="BY27" i="4"/>
  <c r="BY28" i="4" s="1"/>
  <c r="BY29" i="4" s="1"/>
  <c r="BK99" i="2"/>
  <c r="BK100" i="2" s="1"/>
  <c r="BD158" i="2"/>
  <c r="BD82" i="2"/>
  <c r="BD129" i="2"/>
  <c r="BE125" i="2" s="1"/>
  <c r="Z28" i="3"/>
  <c r="BK152" i="2" l="1"/>
  <c r="BM40" i="4"/>
  <c r="BM41" i="4" s="1"/>
  <c r="BM42" i="4" s="1"/>
  <c r="V30" i="3"/>
  <c r="BK101" i="2"/>
  <c r="BL98" i="2" s="1"/>
  <c r="BZ27" i="4"/>
  <c r="BZ28" i="4" s="1"/>
  <c r="BZ29" i="4" s="1"/>
  <c r="BM124" i="2"/>
  <c r="BN120" i="2" s="1"/>
  <c r="BZ21" i="11"/>
  <c r="CA19" i="11" s="1"/>
  <c r="BE126" i="2"/>
  <c r="BE128" i="2" s="1"/>
  <c r="BE82" i="2" s="1"/>
  <c r="BD33" i="4"/>
  <c r="BD35" i="4" s="1"/>
  <c r="BD84" i="2"/>
  <c r="S29" i="3"/>
  <c r="CH27" i="11"/>
  <c r="C53" i="11" s="1"/>
  <c r="BE33" i="4" l="1"/>
  <c r="BE35" i="4" s="1"/>
  <c r="BE45" i="4" s="1"/>
  <c r="BE84" i="2"/>
  <c r="CA20" i="11"/>
  <c r="CA81" i="2" s="1"/>
  <c r="BE129" i="2"/>
  <c r="BF125" i="2" s="1"/>
  <c r="BN121" i="2"/>
  <c r="BN123" i="2" s="1"/>
  <c r="BN83" i="2" s="1"/>
  <c r="BD93" i="2"/>
  <c r="BD94" i="2" s="1"/>
  <c r="BD95" i="2" s="1"/>
  <c r="BD86" i="2"/>
  <c r="S20" i="3"/>
  <c r="BD45" i="4"/>
  <c r="BD46" i="4" s="1"/>
  <c r="BD36" i="4"/>
  <c r="BE36" i="4" s="1"/>
  <c r="D53" i="11"/>
  <c r="C54" i="11" s="1"/>
  <c r="BL99" i="2"/>
  <c r="BL100" i="2" s="1"/>
  <c r="BN124" i="2" l="1"/>
  <c r="BO120" i="2" s="1"/>
  <c r="BO121" i="2" s="1"/>
  <c r="BL152" i="2"/>
  <c r="S23" i="3"/>
  <c r="CA21" i="11"/>
  <c r="CB19" i="11" s="1"/>
  <c r="CA27" i="4"/>
  <c r="CA28" i="4" s="1"/>
  <c r="BD151" i="2"/>
  <c r="S21" i="3"/>
  <c r="BL101" i="2"/>
  <c r="BM98" i="2" s="1"/>
  <c r="BN40" i="4"/>
  <c r="BN41" i="4" s="1"/>
  <c r="BN42" i="4" s="1"/>
  <c r="BE93" i="2"/>
  <c r="BE94" i="2" s="1"/>
  <c r="BE95" i="2" s="1"/>
  <c r="BE86" i="2"/>
  <c r="BE46" i="4"/>
  <c r="D54" i="11"/>
  <c r="C55" i="11" s="1"/>
  <c r="BF126" i="2"/>
  <c r="BF128" i="2" s="1"/>
  <c r="BF82" i="2" s="1"/>
  <c r="BO123" i="2" l="1"/>
  <c r="BO83" i="2" s="1"/>
  <c r="BF33" i="4"/>
  <c r="BF35" i="4" s="1"/>
  <c r="BF84" i="2"/>
  <c r="D55" i="11"/>
  <c r="C56" i="11" s="1"/>
  <c r="BO124" i="2"/>
  <c r="BP120" i="2" s="1"/>
  <c r="BO40" i="4"/>
  <c r="BO41" i="4" s="1"/>
  <c r="BO42" i="4" s="1"/>
  <c r="BD155" i="2"/>
  <c r="BD160" i="2"/>
  <c r="S45" i="3" s="1"/>
  <c r="BE151" i="2"/>
  <c r="CB20" i="11"/>
  <c r="CB81" i="2" s="1"/>
  <c r="BF129" i="2"/>
  <c r="BG125" i="2" s="1"/>
  <c r="BM99" i="2"/>
  <c r="BM100" i="2" s="1"/>
  <c r="CA29" i="4"/>
  <c r="CB21" i="11" l="1"/>
  <c r="CC19" i="11" s="1"/>
  <c r="BM152" i="2"/>
  <c r="V33" i="3"/>
  <c r="BG126" i="2"/>
  <c r="T38" i="3" s="1"/>
  <c r="CB27" i="4"/>
  <c r="CB28" i="4" s="1"/>
  <c r="CB29" i="4" s="1"/>
  <c r="AA28" i="3"/>
  <c r="BM101" i="2"/>
  <c r="CC20" i="11"/>
  <c r="CC81" i="2" s="1"/>
  <c r="D56" i="11"/>
  <c r="C57" i="11" s="1"/>
  <c r="BF93" i="2"/>
  <c r="BF94" i="2" s="1"/>
  <c r="BF95" i="2" s="1"/>
  <c r="BF86" i="2"/>
  <c r="BP121" i="2"/>
  <c r="S43" i="3"/>
  <c r="BE150" i="2"/>
  <c r="BF45" i="4"/>
  <c r="BF46" i="4" s="1"/>
  <c r="BF36" i="4"/>
  <c r="D57" i="11" l="1"/>
  <c r="C58" i="11" s="1"/>
  <c r="BP123" i="2"/>
  <c r="BP83" i="2" s="1"/>
  <c r="CC21" i="11"/>
  <c r="CD19" i="11" s="1"/>
  <c r="BG128" i="2"/>
  <c r="BG82" i="2" s="1"/>
  <c r="V34" i="3"/>
  <c r="BN98" i="2"/>
  <c r="CC27" i="4"/>
  <c r="CC28" i="4" s="1"/>
  <c r="CC29" i="4" s="1"/>
  <c r="BF151" i="2"/>
  <c r="BE155" i="2"/>
  <c r="BF150" i="2" s="1"/>
  <c r="BE158" i="2"/>
  <c r="BE160" i="2" s="1"/>
  <c r="D58" i="11" l="1"/>
  <c r="C59" i="11" s="1"/>
  <c r="BG33" i="4"/>
  <c r="BG35" i="4" s="1"/>
  <c r="BG84" i="2"/>
  <c r="T29" i="3"/>
  <c r="F29" i="1"/>
  <c r="BG129" i="2"/>
  <c r="BP40" i="4"/>
  <c r="BP41" i="4" s="1"/>
  <c r="BP42" i="4" s="1"/>
  <c r="W30" i="3"/>
  <c r="CD20" i="11"/>
  <c r="CD81" i="2" s="1"/>
  <c r="BF155" i="2"/>
  <c r="BG150" i="2" s="1"/>
  <c r="BF158" i="2"/>
  <c r="BF160" i="2" s="1"/>
  <c r="BP124" i="2"/>
  <c r="BQ120" i="2" s="1"/>
  <c r="BN99" i="2"/>
  <c r="BN100" i="2"/>
  <c r="BN101" i="2" l="1"/>
  <c r="BO98" i="2" s="1"/>
  <c r="BO99" i="2" s="1"/>
  <c r="D59" i="11"/>
  <c r="C60" i="11" s="1"/>
  <c r="BN152" i="2"/>
  <c r="CD21" i="11"/>
  <c r="CE19" i="11" s="1"/>
  <c r="BG93" i="2"/>
  <c r="BG94" i="2" s="1"/>
  <c r="BG95" i="2" s="1"/>
  <c r="BG86" i="2"/>
  <c r="T20" i="3"/>
  <c r="F20" i="1"/>
  <c r="F46" i="5" s="1"/>
  <c r="BG158" i="2"/>
  <c r="BG45" i="4"/>
  <c r="BG46" i="4" s="1"/>
  <c r="BG36" i="4"/>
  <c r="CD27" i="4"/>
  <c r="CD28" i="4" s="1"/>
  <c r="BH125" i="2"/>
  <c r="F38" i="1"/>
  <c r="BQ121" i="2"/>
  <c r="BQ123" i="2" s="1"/>
  <c r="BQ83" i="2" s="1"/>
  <c r="BO100" i="2" l="1"/>
  <c r="BO152" i="2" s="1"/>
  <c r="BQ40" i="4"/>
  <c r="BQ41" i="4" s="1"/>
  <c r="BQ42" i="4" s="1"/>
  <c r="BG151" i="2"/>
  <c r="BG155" i="2" s="1"/>
  <c r="F21" i="1"/>
  <c r="T21" i="3"/>
  <c r="BH126" i="2"/>
  <c r="BH128" i="2" s="1"/>
  <c r="BH82" i="2" s="1"/>
  <c r="CD29" i="4"/>
  <c r="CE20" i="11"/>
  <c r="CE81" i="2" s="1"/>
  <c r="D60" i="11"/>
  <c r="C61" i="11" s="1"/>
  <c r="BI106" i="2"/>
  <c r="BJ159" i="2"/>
  <c r="T23" i="3"/>
  <c r="F23" i="1"/>
  <c r="BQ124" i="2"/>
  <c r="BR120" i="2" s="1"/>
  <c r="CE21" i="11" l="1"/>
  <c r="CF19" i="11" s="1"/>
  <c r="CF20" i="11" s="1"/>
  <c r="CF81" i="2" s="1"/>
  <c r="BO101" i="2"/>
  <c r="BP98" i="2" s="1"/>
  <c r="BP99" i="2" s="1"/>
  <c r="BP100" i="2" s="1"/>
  <c r="BP152" i="2" s="1"/>
  <c r="D61" i="11"/>
  <c r="C62" i="11" s="1"/>
  <c r="W33" i="3"/>
  <c r="U44" i="3"/>
  <c r="G44" i="1"/>
  <c r="T43" i="3"/>
  <c r="BH150" i="2"/>
  <c r="F43" i="1"/>
  <c r="F50" i="5" s="1"/>
  <c r="U35" i="3"/>
  <c r="BI153" i="2"/>
  <c r="G35" i="1"/>
  <c r="BI107" i="2"/>
  <c r="BJ105" i="2" s="1"/>
  <c r="BJ107" i="2" s="1"/>
  <c r="BG160" i="2"/>
  <c r="BP101" i="2"/>
  <c r="BH33" i="4"/>
  <c r="BH35" i="4" s="1"/>
  <c r="BH84" i="2"/>
  <c r="BH129" i="2"/>
  <c r="BI125" i="2" s="1"/>
  <c r="BR121" i="2"/>
  <c r="BR123" i="2" s="1"/>
  <c r="BR83" i="2" s="1"/>
  <c r="CE27" i="4"/>
  <c r="CE28" i="4" s="1"/>
  <c r="AB28" i="3"/>
  <c r="H28" i="1"/>
  <c r="BR40" i="4" l="1"/>
  <c r="BR41" i="4" s="1"/>
  <c r="BR42" i="4" s="1"/>
  <c r="D62" i="11"/>
  <c r="C63" i="11" s="1"/>
  <c r="W34" i="3"/>
  <c r="BQ98" i="2"/>
  <c r="BI126" i="2"/>
  <c r="BI128" i="2" s="1"/>
  <c r="BI82" i="2" s="1"/>
  <c r="U36" i="3"/>
  <c r="BK105" i="2"/>
  <c r="BK107" i="2" s="1"/>
  <c r="BL105" i="2" s="1"/>
  <c r="BL107" i="2" s="1"/>
  <c r="BM105" i="2" s="1"/>
  <c r="BM107" i="2" s="1"/>
  <c r="CF27" i="4"/>
  <c r="CF28" i="4" s="1"/>
  <c r="T45" i="3"/>
  <c r="F45" i="1"/>
  <c r="BH93" i="2"/>
  <c r="BH94" i="2" s="1"/>
  <c r="BH95" i="2" s="1"/>
  <c r="BH86" i="2"/>
  <c r="BH45" i="4"/>
  <c r="BH46" i="4" s="1"/>
  <c r="BH36" i="4"/>
  <c r="BR124" i="2"/>
  <c r="BS120" i="2" s="1"/>
  <c r="CF21" i="11"/>
  <c r="CG19" i="11" s="1"/>
  <c r="CE29" i="4"/>
  <c r="BH158" i="2"/>
  <c r="CF29" i="4" l="1"/>
  <c r="D63" i="11"/>
  <c r="C64" i="11" s="1"/>
  <c r="BH151" i="2"/>
  <c r="BH155" i="2" s="1"/>
  <c r="BI150" i="2" s="1"/>
  <c r="BQ99" i="2"/>
  <c r="BQ100" i="2" s="1"/>
  <c r="BI33" i="4"/>
  <c r="BI35" i="4" s="1"/>
  <c r="BI45" i="4" s="1"/>
  <c r="BI46" i="4" s="1"/>
  <c r="BI84" i="2"/>
  <c r="CG20" i="11"/>
  <c r="CG81" i="2" s="1"/>
  <c r="BS121" i="2"/>
  <c r="BS123" i="2" s="1"/>
  <c r="BS83" i="2" s="1"/>
  <c r="V36" i="3"/>
  <c r="BN105" i="2"/>
  <c r="BN107" i="2" s="1"/>
  <c r="BO105" i="2" s="1"/>
  <c r="BO107" i="2" s="1"/>
  <c r="BP105" i="2" s="1"/>
  <c r="BP107" i="2" s="1"/>
  <c r="BI129" i="2"/>
  <c r="BJ125" i="2" s="1"/>
  <c r="BI36" i="4" l="1"/>
  <c r="BQ152" i="2"/>
  <c r="D64" i="11"/>
  <c r="C65" i="11" s="1"/>
  <c r="BQ101" i="2"/>
  <c r="BR98" i="2" s="1"/>
  <c r="BS40" i="4"/>
  <c r="BS41" i="4" s="1"/>
  <c r="BS42" i="4" s="1"/>
  <c r="G30" i="1"/>
  <c r="X30" i="3"/>
  <c r="BS124" i="2"/>
  <c r="BI93" i="2"/>
  <c r="BI94" i="2" s="1"/>
  <c r="BI95" i="2" s="1"/>
  <c r="BI86" i="2"/>
  <c r="CG27" i="4"/>
  <c r="CG28" i="4" s="1"/>
  <c r="CG21" i="11"/>
  <c r="CH19" i="11" s="1"/>
  <c r="BJ126" i="2"/>
  <c r="U38" i="3" s="1"/>
  <c r="W36" i="3"/>
  <c r="BQ105" i="2"/>
  <c r="BQ107" i="2" s="1"/>
  <c r="BR105" i="2" s="1"/>
  <c r="BR107" i="2" s="1"/>
  <c r="BS105" i="2" s="1"/>
  <c r="BS107" i="2" s="1"/>
  <c r="BI158" i="2"/>
  <c r="BH160" i="2"/>
  <c r="D65" i="11" l="1"/>
  <c r="C66" i="11" s="1"/>
  <c r="BT120" i="2"/>
  <c r="BR99" i="2"/>
  <c r="CH20" i="11"/>
  <c r="CH81" i="2" s="1"/>
  <c r="BI151" i="2"/>
  <c r="BI155" i="2" s="1"/>
  <c r="BJ150" i="2" s="1"/>
  <c r="X36" i="3"/>
  <c r="BT105" i="2"/>
  <c r="BT107" i="2" s="1"/>
  <c r="BU105" i="2" s="1"/>
  <c r="G36" i="1"/>
  <c r="BJ128" i="2"/>
  <c r="BJ82" i="2" s="1"/>
  <c r="CG29" i="4"/>
  <c r="D66" i="11" l="1"/>
  <c r="C67" i="11" s="1"/>
  <c r="CH21" i="11"/>
  <c r="BI160" i="2"/>
  <c r="BJ158" i="2"/>
  <c r="BJ129" i="2"/>
  <c r="BK125" i="2" s="1"/>
  <c r="BR100" i="2"/>
  <c r="BJ33" i="4"/>
  <c r="BJ35" i="4" s="1"/>
  <c r="BJ84" i="2"/>
  <c r="U29" i="3"/>
  <c r="CH27" i="4"/>
  <c r="CH28" i="4" s="1"/>
  <c r="CH29" i="4" s="1"/>
  <c r="I28" i="1"/>
  <c r="AC28" i="3"/>
  <c r="BT121" i="2"/>
  <c r="D67" i="11" l="1"/>
  <c r="C68" i="11" s="1"/>
  <c r="BJ93" i="2"/>
  <c r="BJ94" i="2" s="1"/>
  <c r="BJ95" i="2" s="1"/>
  <c r="BJ86" i="2"/>
  <c r="U20" i="3"/>
  <c r="BJ45" i="4"/>
  <c r="BJ46" i="4" s="1"/>
  <c r="BJ36" i="4"/>
  <c r="BT123" i="2"/>
  <c r="BT83" i="2" s="1"/>
  <c r="BR152" i="2"/>
  <c r="BK126" i="2"/>
  <c r="BK128" i="2" s="1"/>
  <c r="BK82" i="2" s="1"/>
  <c r="BR101" i="2"/>
  <c r="BS98" i="2" s="1"/>
  <c r="D68" i="11" l="1"/>
  <c r="C69" i="11" s="1"/>
  <c r="BT40" i="4"/>
  <c r="BT41" i="4" s="1"/>
  <c r="BT42" i="4" s="1"/>
  <c r="BJ151" i="2"/>
  <c r="U21" i="3"/>
  <c r="BS99" i="2"/>
  <c r="BS100" i="2" s="1"/>
  <c r="BK33" i="4"/>
  <c r="BK35" i="4" s="1"/>
  <c r="BK45" i="4" s="1"/>
  <c r="BK46" i="4" s="1"/>
  <c r="BK84" i="2"/>
  <c r="U23" i="3"/>
  <c r="BK129" i="2"/>
  <c r="BL125" i="2" s="1"/>
  <c r="BT124" i="2"/>
  <c r="BU120" i="2" s="1"/>
  <c r="BK36" i="4" l="1"/>
  <c r="BS152" i="2"/>
  <c r="G33" i="1"/>
  <c r="X33" i="3"/>
  <c r="BL126" i="2"/>
  <c r="BL128" i="2" s="1"/>
  <c r="BK93" i="2"/>
  <c r="BK94" i="2" s="1"/>
  <c r="BK95" i="2" s="1"/>
  <c r="BK86" i="2"/>
  <c r="BJ155" i="2"/>
  <c r="BJ160" i="2"/>
  <c r="U45" i="3" s="1"/>
  <c r="BS101" i="2"/>
  <c r="D69" i="11"/>
  <c r="C70" i="11" s="1"/>
  <c r="BU121" i="2"/>
  <c r="BU123" i="2" s="1"/>
  <c r="BU83" i="2" s="1"/>
  <c r="BU124" i="2" l="1"/>
  <c r="BV120" i="2" s="1"/>
  <c r="BV121" i="2" s="1"/>
  <c r="BL82" i="2"/>
  <c r="BL129" i="2"/>
  <c r="BM125" i="2" s="1"/>
  <c r="X34" i="3"/>
  <c r="BT98" i="2"/>
  <c r="G34" i="1"/>
  <c r="BU40" i="4"/>
  <c r="BU41" i="4" s="1"/>
  <c r="BU42" i="4" s="1"/>
  <c r="D70" i="11"/>
  <c r="C71" i="11" s="1"/>
  <c r="U43" i="3"/>
  <c r="BK150" i="2"/>
  <c r="BK151" i="2"/>
  <c r="D71" i="11" l="1"/>
  <c r="C72" i="11" s="1"/>
  <c r="BM126" i="2"/>
  <c r="V38" i="3" s="1"/>
  <c r="BV123" i="2"/>
  <c r="BV83" i="2" s="1"/>
  <c r="BL33" i="4"/>
  <c r="BL35" i="4" s="1"/>
  <c r="BL84" i="2"/>
  <c r="BK155" i="2"/>
  <c r="BL150" i="2" s="1"/>
  <c r="BK158" i="2"/>
  <c r="BK160" i="2" s="1"/>
  <c r="BT99" i="2"/>
  <c r="D72" i="11" l="1"/>
  <c r="C73" i="11" s="1"/>
  <c r="BL45" i="4"/>
  <c r="BL46" i="4" s="1"/>
  <c r="BL36" i="4"/>
  <c r="BM128" i="2"/>
  <c r="BM82" i="2" s="1"/>
  <c r="BT100" i="2"/>
  <c r="BV40" i="4"/>
  <c r="BV41" i="4" s="1"/>
  <c r="BV42" i="4" s="1"/>
  <c r="Y30" i="3"/>
  <c r="BL158" i="2"/>
  <c r="BL93" i="2"/>
  <c r="BL94" i="2" s="1"/>
  <c r="BL95" i="2" s="1"/>
  <c r="BL86" i="2"/>
  <c r="BV124" i="2"/>
  <c r="BW120" i="2" s="1"/>
  <c r="D73" i="11" l="1"/>
  <c r="C74" i="11" s="1"/>
  <c r="BL151" i="2"/>
  <c r="BL155" i="2" s="1"/>
  <c r="BM150" i="2" s="1"/>
  <c r="BT152" i="2"/>
  <c r="BL160" i="2"/>
  <c r="BW121" i="2"/>
  <c r="BW123" i="2" s="1"/>
  <c r="BW83" i="2" s="1"/>
  <c r="BM33" i="4"/>
  <c r="BM35" i="4" s="1"/>
  <c r="BM45" i="4" s="1"/>
  <c r="BM46" i="4" s="1"/>
  <c r="BM84" i="2"/>
  <c r="V29" i="3"/>
  <c r="BM129" i="2"/>
  <c r="BN125" i="2" s="1"/>
  <c r="BT101" i="2"/>
  <c r="BU98" i="2" s="1"/>
  <c r="BM36" i="4" l="1"/>
  <c r="BW40" i="4"/>
  <c r="BW41" i="4" s="1"/>
  <c r="BW42" i="4" s="1"/>
  <c r="BM93" i="2"/>
  <c r="BM94" i="2" s="1"/>
  <c r="BM95" i="2" s="1"/>
  <c r="BM86" i="2"/>
  <c r="V20" i="3"/>
  <c r="BN126" i="2"/>
  <c r="BN128" i="2" s="1"/>
  <c r="BN82" i="2" s="1"/>
  <c r="BM158" i="2"/>
  <c r="BW124" i="2"/>
  <c r="BX120" i="2" s="1"/>
  <c r="BU99" i="2"/>
  <c r="BU100" i="2"/>
  <c r="D74" i="11"/>
  <c r="C75" i="11" s="1"/>
  <c r="BU101" i="2" l="1"/>
  <c r="BV98" i="2" s="1"/>
  <c r="BV99" i="2" s="1"/>
  <c r="BX121" i="2"/>
  <c r="BX123" i="2" s="1"/>
  <c r="V23" i="3"/>
  <c r="D75" i="11"/>
  <c r="C76" i="11" s="1"/>
  <c r="BM151" i="2"/>
  <c r="BM155" i="2" s="1"/>
  <c r="V21" i="3"/>
  <c r="BN33" i="4"/>
  <c r="BN35" i="4" s="1"/>
  <c r="BN84" i="2"/>
  <c r="BU152" i="2"/>
  <c r="BN129" i="2"/>
  <c r="BO125" i="2" s="1"/>
  <c r="BV100" i="2" l="1"/>
  <c r="BX83" i="2"/>
  <c r="BX124" i="2"/>
  <c r="BY120" i="2" s="1"/>
  <c r="BN45" i="4"/>
  <c r="BN46" i="4" s="1"/>
  <c r="BN36" i="4"/>
  <c r="BM160" i="2"/>
  <c r="V45" i="3" s="1"/>
  <c r="BO126" i="2"/>
  <c r="BO128" i="2" s="1"/>
  <c r="BO82" i="2" s="1"/>
  <c r="D76" i="11"/>
  <c r="C77" i="11" s="1"/>
  <c r="BN93" i="2"/>
  <c r="BN94" i="2" s="1"/>
  <c r="BN95" i="2" s="1"/>
  <c r="BN86" i="2"/>
  <c r="V43" i="3"/>
  <c r="BN150" i="2"/>
  <c r="BV101" i="2"/>
  <c r="BV152" i="2" l="1"/>
  <c r="Y33" i="3"/>
  <c r="D77" i="11"/>
  <c r="C78" i="11" s="1"/>
  <c r="BO33" i="4"/>
  <c r="BO35" i="4" s="1"/>
  <c r="BO45" i="4" s="1"/>
  <c r="BO46" i="4" s="1"/>
  <c r="BO84" i="2"/>
  <c r="BO129" i="2"/>
  <c r="BP125" i="2" s="1"/>
  <c r="BO36" i="4"/>
  <c r="BN158" i="2"/>
  <c r="BN151" i="2"/>
  <c r="BN155" i="2" s="1"/>
  <c r="BO150" i="2" s="1"/>
  <c r="BY121" i="2"/>
  <c r="BY123" i="2" s="1"/>
  <c r="Y34" i="3"/>
  <c r="BW98" i="2"/>
  <c r="BX40" i="4"/>
  <c r="BX41" i="4" s="1"/>
  <c r="BX42" i="4" s="1"/>
  <c r="BO158" i="2" l="1"/>
  <c r="BY83" i="2"/>
  <c r="BY124" i="2"/>
  <c r="BZ120" i="2" s="1"/>
  <c r="D78" i="11"/>
  <c r="C79" i="11" s="1"/>
  <c r="BN160" i="2"/>
  <c r="BO93" i="2"/>
  <c r="BO94" i="2" s="1"/>
  <c r="BO95" i="2" s="1"/>
  <c r="BO86" i="2"/>
  <c r="BP126" i="2"/>
  <c r="W38" i="3" s="1"/>
  <c r="BW99" i="2"/>
  <c r="BW100" i="2" s="1"/>
  <c r="BW101" i="2" l="1"/>
  <c r="BX98" i="2" s="1"/>
  <c r="BP128" i="2"/>
  <c r="BP82" i="2" s="1"/>
  <c r="BP33" i="4" s="1"/>
  <c r="BP35" i="4" s="1"/>
  <c r="D79" i="11"/>
  <c r="C80" i="11" s="1"/>
  <c r="BX99" i="2"/>
  <c r="BX100" i="2" s="1"/>
  <c r="BY40" i="4"/>
  <c r="BY41" i="4" s="1"/>
  <c r="BY42" i="4" s="1"/>
  <c r="Z30" i="3"/>
  <c r="BP129" i="2"/>
  <c r="BQ125" i="2" s="1"/>
  <c r="BO151" i="2"/>
  <c r="BO155" i="2" s="1"/>
  <c r="BP150" i="2" s="1"/>
  <c r="BZ121" i="2"/>
  <c r="BZ123" i="2" s="1"/>
  <c r="BZ83" i="2" s="1"/>
  <c r="BW152" i="2"/>
  <c r="W29" i="3" l="1"/>
  <c r="BP84" i="2"/>
  <c r="BP93" i="2" s="1"/>
  <c r="BP94" i="2" s="1"/>
  <c r="BP95" i="2" s="1"/>
  <c r="BO160" i="2"/>
  <c r="BZ40" i="4"/>
  <c r="BZ41" i="4" s="1"/>
  <c r="BZ42" i="4" s="1"/>
  <c r="BX152" i="2"/>
  <c r="BX101" i="2"/>
  <c r="BY98" i="2" s="1"/>
  <c r="D80" i="11"/>
  <c r="C81" i="11" s="1"/>
  <c r="BP45" i="4"/>
  <c r="BP46" i="4" s="1"/>
  <c r="BP36" i="4"/>
  <c r="BP86" i="2"/>
  <c r="W20" i="3"/>
  <c r="BZ124" i="2"/>
  <c r="CA120" i="2" s="1"/>
  <c r="BQ126" i="2"/>
  <c r="BP158" i="2"/>
  <c r="BQ128" i="2" l="1"/>
  <c r="BQ82" i="2" s="1"/>
  <c r="BQ33" i="4" s="1"/>
  <c r="BQ35" i="4" s="1"/>
  <c r="BQ45" i="4" s="1"/>
  <c r="BQ46" i="4" s="1"/>
  <c r="D81" i="11"/>
  <c r="C82" i="11" s="1"/>
  <c r="BP151" i="2"/>
  <c r="BP155" i="2" s="1"/>
  <c r="W21" i="3"/>
  <c r="W23" i="3"/>
  <c r="BQ84" i="2"/>
  <c r="CA121" i="2"/>
  <c r="CA123" i="2" s="1"/>
  <c r="CA83" i="2" s="1"/>
  <c r="BY99" i="2"/>
  <c r="CA124" i="2" l="1"/>
  <c r="CB120" i="2" s="1"/>
  <c r="BQ129" i="2"/>
  <c r="BR125" i="2" s="1"/>
  <c r="D82" i="11"/>
  <c r="C83" i="11"/>
  <c r="CB121" i="2"/>
  <c r="CA40" i="4"/>
  <c r="CA41" i="4" s="1"/>
  <c r="CA42" i="4" s="1"/>
  <c r="W43" i="3"/>
  <c r="BQ150" i="2"/>
  <c r="BQ93" i="2"/>
  <c r="BQ94" i="2" s="1"/>
  <c r="BQ95" i="2" s="1"/>
  <c r="BQ86" i="2"/>
  <c r="BQ36" i="4"/>
  <c r="BY100" i="2"/>
  <c r="BP160" i="2"/>
  <c r="W45" i="3" s="1"/>
  <c r="BR126" i="2" l="1"/>
  <c r="BR128" i="2"/>
  <c r="BR82" i="2" s="1"/>
  <c r="BY152" i="2"/>
  <c r="Z33" i="3"/>
  <c r="CB123" i="2"/>
  <c r="CB83" i="2" s="1"/>
  <c r="D83" i="11"/>
  <c r="C84" i="11" s="1"/>
  <c r="BQ158" i="2"/>
  <c r="BQ151" i="2"/>
  <c r="BQ155" i="2" s="1"/>
  <c r="BR150" i="2" s="1"/>
  <c r="BY101" i="2"/>
  <c r="BQ160" i="2" l="1"/>
  <c r="BR33" i="4"/>
  <c r="BR35" i="4" s="1"/>
  <c r="BR84" i="2"/>
  <c r="BR129" i="2"/>
  <c r="BS125" i="2" s="1"/>
  <c r="BR158" i="2"/>
  <c r="D84" i="11"/>
  <c r="C85" i="11" s="1"/>
  <c r="CB40" i="4"/>
  <c r="CB41" i="4" s="1"/>
  <c r="CB42" i="4" s="1"/>
  <c r="AA30" i="3"/>
  <c r="Z34" i="3"/>
  <c r="BZ98" i="2"/>
  <c r="CB124" i="2"/>
  <c r="CC120" i="2" s="1"/>
  <c r="BS126" i="2" l="1"/>
  <c r="X38" i="3" s="1"/>
  <c r="BR86" i="2"/>
  <c r="BR151" i="2" s="1"/>
  <c r="BR155" i="2" s="1"/>
  <c r="BS150" i="2" s="1"/>
  <c r="BS158" i="2" s="1"/>
  <c r="BR93" i="2"/>
  <c r="BR94" i="2" s="1"/>
  <c r="BR95" i="2" s="1"/>
  <c r="BR160" i="2"/>
  <c r="BR45" i="4"/>
  <c r="BR46" i="4" s="1"/>
  <c r="BR36" i="4"/>
  <c r="D85" i="11"/>
  <c r="C86" i="11" s="1"/>
  <c r="BZ99" i="2"/>
  <c r="BZ100" i="2" s="1"/>
  <c r="CC121" i="2"/>
  <c r="BS128" i="2" l="1"/>
  <c r="BZ152" i="2"/>
  <c r="D86" i="11"/>
  <c r="C87" i="11" s="1"/>
  <c r="CC123" i="2"/>
  <c r="CC83" i="2" s="1"/>
  <c r="BZ101" i="2"/>
  <c r="CA98" i="2" s="1"/>
  <c r="BS82" i="2" l="1"/>
  <c r="BS129" i="2"/>
  <c r="CC40" i="4"/>
  <c r="CC41" i="4" s="1"/>
  <c r="CC42" i="4" s="1"/>
  <c r="D87" i="11"/>
  <c r="C88" i="11" s="1"/>
  <c r="CC124" i="2"/>
  <c r="CD120" i="2" s="1"/>
  <c r="CA99" i="2"/>
  <c r="CA100" i="2" s="1"/>
  <c r="BT125" i="2" l="1"/>
  <c r="G38" i="1"/>
  <c r="G29" i="1"/>
  <c r="BS33" i="4"/>
  <c r="BS35" i="4" s="1"/>
  <c r="BS84" i="2"/>
  <c r="X29" i="3"/>
  <c r="CA152" i="2"/>
  <c r="D88" i="11"/>
  <c r="C89" i="11" s="1"/>
  <c r="CA101" i="2"/>
  <c r="CB98" i="2" s="1"/>
  <c r="CD121" i="2"/>
  <c r="CD123" i="2" s="1"/>
  <c r="CD83" i="2" s="1"/>
  <c r="X20" i="3" l="1"/>
  <c r="BS86" i="2"/>
  <c r="BS93" i="2"/>
  <c r="BS94" i="2" s="1"/>
  <c r="BS95" i="2" s="1"/>
  <c r="G20" i="1"/>
  <c r="G46" i="5" s="1"/>
  <c r="BS45" i="4"/>
  <c r="BS46" i="4" s="1"/>
  <c r="BS36" i="4"/>
  <c r="BT126" i="2"/>
  <c r="CD40" i="4"/>
  <c r="CD41" i="4" s="1"/>
  <c r="CD42" i="4" s="1"/>
  <c r="CD124" i="2"/>
  <c r="CE120" i="2" s="1"/>
  <c r="CB99" i="2"/>
  <c r="CB100" i="2" s="1"/>
  <c r="D89" i="11"/>
  <c r="C90" i="11" s="1"/>
  <c r="BT128" i="2" l="1"/>
  <c r="BT82" i="2" s="1"/>
  <c r="BS151" i="2"/>
  <c r="G21" i="1"/>
  <c r="X21" i="3"/>
  <c r="BU106" i="2"/>
  <c r="G23" i="1"/>
  <c r="BV159" i="2"/>
  <c r="X23" i="3"/>
  <c r="CB152" i="2"/>
  <c r="AA33" i="3"/>
  <c r="D90" i="11"/>
  <c r="C91" i="11" s="1"/>
  <c r="CB101" i="2"/>
  <c r="CE121" i="2"/>
  <c r="CE123" i="2" s="1"/>
  <c r="CE83" i="2" s="1"/>
  <c r="BS155" i="2" l="1"/>
  <c r="BS160" i="2"/>
  <c r="BU107" i="2"/>
  <c r="BV105" i="2" s="1"/>
  <c r="BV107" i="2" s="1"/>
  <c r="Y35" i="3"/>
  <c r="BU153" i="2"/>
  <c r="H35" i="1"/>
  <c r="BT33" i="4"/>
  <c r="BT35" i="4" s="1"/>
  <c r="BT84" i="2"/>
  <c r="H44" i="1"/>
  <c r="Y44" i="3"/>
  <c r="BT129" i="2"/>
  <c r="BU125" i="2" s="1"/>
  <c r="CE40" i="4"/>
  <c r="CE41" i="4" s="1"/>
  <c r="CE42" i="4" s="1"/>
  <c r="AB30" i="3"/>
  <c r="H30" i="1"/>
  <c r="CE124" i="2"/>
  <c r="D91" i="11"/>
  <c r="C92" i="11" s="1"/>
  <c r="D92" i="11" s="1"/>
  <c r="D93" i="11" s="1"/>
  <c r="AA34" i="3"/>
  <c r="CC98" i="2"/>
  <c r="BT86" i="2" l="1"/>
  <c r="BT151" i="2" s="1"/>
  <c r="BT93" i="2"/>
  <c r="BT94" i="2" s="1"/>
  <c r="BT95" i="2" s="1"/>
  <c r="BT45" i="4"/>
  <c r="BT46" i="4" s="1"/>
  <c r="BT36" i="4"/>
  <c r="BU126" i="2"/>
  <c r="BU128" i="2" s="1"/>
  <c r="BU82" i="2" s="1"/>
  <c r="BW105" i="2"/>
  <c r="BW107" i="2" s="1"/>
  <c r="BX105" i="2" s="1"/>
  <c r="BX107" i="2" s="1"/>
  <c r="BY105" i="2" s="1"/>
  <c r="BY107" i="2" s="1"/>
  <c r="Y36" i="3"/>
  <c r="X45" i="3"/>
  <c r="G45" i="1"/>
  <c r="G43" i="1"/>
  <c r="X43" i="3"/>
  <c r="BT150" i="2"/>
  <c r="CF120" i="2"/>
  <c r="CC99" i="2"/>
  <c r="CC100" i="2" l="1"/>
  <c r="CC101" i="2" s="1"/>
  <c r="CD98" i="2" s="1"/>
  <c r="Z36" i="3"/>
  <c r="BZ105" i="2"/>
  <c r="BZ107" i="2" s="1"/>
  <c r="CA105" i="2" s="1"/>
  <c r="CA107" i="2" s="1"/>
  <c r="CB105" i="2" s="1"/>
  <c r="CB107" i="2" s="1"/>
  <c r="BU129" i="2"/>
  <c r="BV125" i="2" s="1"/>
  <c r="BT158" i="2"/>
  <c r="BT160" i="2" s="1"/>
  <c r="BT155" i="2"/>
  <c r="BU150" i="2" s="1"/>
  <c r="BU33" i="4"/>
  <c r="BU35" i="4" s="1"/>
  <c r="BU45" i="4" s="1"/>
  <c r="BU46" i="4" s="1"/>
  <c r="BU84" i="2"/>
  <c r="G50" i="5"/>
  <c r="E72" i="5"/>
  <c r="CC152" i="2"/>
  <c r="CF121" i="2"/>
  <c r="CF123" i="2" s="1"/>
  <c r="BU36" i="4" l="1"/>
  <c r="CD99" i="2"/>
  <c r="CD100" i="2" s="1"/>
  <c r="CD152" i="2" s="1"/>
  <c r="BU158" i="2"/>
  <c r="AA36" i="3"/>
  <c r="CC105" i="2"/>
  <c r="CC107" i="2" s="1"/>
  <c r="CD105" i="2" s="1"/>
  <c r="CD107" i="2" s="1"/>
  <c r="CE105" i="2" s="1"/>
  <c r="CE107" i="2" s="1"/>
  <c r="BV126" i="2"/>
  <c r="Y38" i="3" s="1"/>
  <c r="BU86" i="2"/>
  <c r="BU151" i="2" s="1"/>
  <c r="BU155" i="2" s="1"/>
  <c r="BV150" i="2" s="1"/>
  <c r="BV158" i="2" s="1"/>
  <c r="BU93" i="2"/>
  <c r="BU94" i="2" s="1"/>
  <c r="BU95" i="2" s="1"/>
  <c r="CF83" i="2"/>
  <c r="CF124" i="2"/>
  <c r="CG120" i="2" s="1"/>
  <c r="BU160" i="2" l="1"/>
  <c r="H36" i="1"/>
  <c r="AB36" i="3"/>
  <c r="CF105" i="2"/>
  <c r="CF107" i="2" s="1"/>
  <c r="CG105" i="2" s="1"/>
  <c r="CD101" i="2"/>
  <c r="CE98" i="2" s="1"/>
  <c r="CE99" i="2" s="1"/>
  <c r="CE100" i="2" s="1"/>
  <c r="H33" i="1" s="1"/>
  <c r="BV128" i="2"/>
  <c r="BV82" i="2" s="1"/>
  <c r="CG121" i="2"/>
  <c r="CG123" i="2" s="1"/>
  <c r="CG83" i="2" s="1"/>
  <c r="CF40" i="4"/>
  <c r="CF41" i="4" s="1"/>
  <c r="CF42" i="4" s="1"/>
  <c r="CE152" i="2" l="1"/>
  <c r="AB33" i="3"/>
  <c r="BV129" i="2"/>
  <c r="BW125" i="2" s="1"/>
  <c r="CE101" i="2"/>
  <c r="AB34" i="3" s="1"/>
  <c r="BV33" i="4"/>
  <c r="BV35" i="4" s="1"/>
  <c r="BV84" i="2"/>
  <c r="Y29" i="3"/>
  <c r="CG40" i="4"/>
  <c r="CG41" i="4" s="1"/>
  <c r="CG42" i="4" s="1"/>
  <c r="CG124" i="2"/>
  <c r="CH120" i="2" s="1"/>
  <c r="H34" i="1" l="1"/>
  <c r="CF98" i="2"/>
  <c r="BV86" i="2"/>
  <c r="BV93" i="2"/>
  <c r="BV94" i="2" s="1"/>
  <c r="BV95" i="2" s="1"/>
  <c r="Y23" i="3" s="1"/>
  <c r="Y20" i="3"/>
  <c r="BV45" i="4"/>
  <c r="BV46" i="4" s="1"/>
  <c r="BV36" i="4"/>
  <c r="BW126" i="2"/>
  <c r="BW128" i="2" s="1"/>
  <c r="BW82" i="2" s="1"/>
  <c r="CH121" i="2"/>
  <c r="B16" i="13" s="1"/>
  <c r="CF99" i="2"/>
  <c r="CF100" i="2" s="1"/>
  <c r="BW84" i="2" l="1"/>
  <c r="BW33" i="4"/>
  <c r="BW35" i="4" s="1"/>
  <c r="BW45" i="4" s="1"/>
  <c r="BW46" i="4"/>
  <c r="BW129" i="2"/>
  <c r="BX125" i="2" s="1"/>
  <c r="BV151" i="2"/>
  <c r="Y21" i="3"/>
  <c r="CF152" i="2"/>
  <c r="CF101" i="2"/>
  <c r="CG98" i="2" s="1"/>
  <c r="B17" i="13"/>
  <c r="CH123" i="2"/>
  <c r="CH83" i="2" s="1"/>
  <c r="BX126" i="2" l="1"/>
  <c r="BX128" i="2" s="1"/>
  <c r="BX82" i="2" s="1"/>
  <c r="BV155" i="2"/>
  <c r="BV160" i="2"/>
  <c r="Y45" i="3" s="1"/>
  <c r="BW93" i="2"/>
  <c r="BW94" i="2" s="1"/>
  <c r="BW95" i="2" s="1"/>
  <c r="BW86" i="2"/>
  <c r="BW151" i="2" s="1"/>
  <c r="BW36" i="4"/>
  <c r="CG99" i="2"/>
  <c r="CG100" i="2" s="1"/>
  <c r="CH40" i="4"/>
  <c r="CH41" i="4" s="1"/>
  <c r="CH42" i="4" s="1"/>
  <c r="AC30" i="3"/>
  <c r="I30" i="1"/>
  <c r="CH124" i="2"/>
  <c r="BX33" i="4" l="1"/>
  <c r="BX35" i="4" s="1"/>
  <c r="BX45" i="4" s="1"/>
  <c r="BX46" i="4" s="1"/>
  <c r="BX84" i="2"/>
  <c r="BX36" i="4"/>
  <c r="Y43" i="3"/>
  <c r="BW150" i="2"/>
  <c r="BX129" i="2"/>
  <c r="BY125" i="2" s="1"/>
  <c r="CG152" i="2"/>
  <c r="CG101" i="2"/>
  <c r="CH98" i="2" s="1"/>
  <c r="E53" i="11"/>
  <c r="BY126" i="2" l="1"/>
  <c r="Z38" i="3" s="1"/>
  <c r="BW155" i="2"/>
  <c r="BX150" i="2" s="1"/>
  <c r="BX158" i="2" s="1"/>
  <c r="BW158" i="2"/>
  <c r="BW160" i="2" s="1"/>
  <c r="BX86" i="2"/>
  <c r="BX151" i="2" s="1"/>
  <c r="BX93" i="2"/>
  <c r="BX94" i="2" s="1"/>
  <c r="BX95" i="2" s="1"/>
  <c r="F53" i="11"/>
  <c r="CH99" i="2"/>
  <c r="CH100" i="2" s="1"/>
  <c r="BY128" i="2" l="1"/>
  <c r="BY82" i="2" s="1"/>
  <c r="BX155" i="2"/>
  <c r="BY150" i="2" s="1"/>
  <c r="BY158" i="2" s="1"/>
  <c r="BY129" i="2"/>
  <c r="BZ125" i="2" s="1"/>
  <c r="BX160" i="2"/>
  <c r="BZ126" i="2"/>
  <c r="BZ128" i="2" s="1"/>
  <c r="BZ82" i="2" s="1"/>
  <c r="BY33" i="4"/>
  <c r="BY35" i="4" s="1"/>
  <c r="BY84" i="2"/>
  <c r="Z29" i="3"/>
  <c r="CH152" i="2"/>
  <c r="AC33" i="3"/>
  <c r="I33" i="1"/>
  <c r="CH101" i="2"/>
  <c r="G53" i="11"/>
  <c r="BZ129" i="2" l="1"/>
  <c r="CA125" i="2" s="1"/>
  <c r="BY45" i="4"/>
  <c r="BY46" i="4" s="1"/>
  <c r="BY36" i="4"/>
  <c r="BY86" i="2"/>
  <c r="Z20" i="3"/>
  <c r="BY93" i="2"/>
  <c r="BY94" i="2" s="1"/>
  <c r="BY95" i="2" s="1"/>
  <c r="Z23" i="3" s="1"/>
  <c r="BZ84" i="2"/>
  <c r="BZ33" i="4"/>
  <c r="BZ35" i="4" s="1"/>
  <c r="BZ45" i="4" s="1"/>
  <c r="E54" i="11"/>
  <c r="AC34" i="3"/>
  <c r="I34" i="1"/>
  <c r="BZ93" i="2" l="1"/>
  <c r="BZ94" i="2" s="1"/>
  <c r="BZ95" i="2" s="1"/>
  <c r="BZ86" i="2"/>
  <c r="BZ151" i="2" s="1"/>
  <c r="BY151" i="2"/>
  <c r="Z21" i="3"/>
  <c r="BZ36" i="4"/>
  <c r="BZ46" i="4"/>
  <c r="CA126" i="2"/>
  <c r="F54" i="11"/>
  <c r="CA128" i="2" l="1"/>
  <c r="CA82" i="2" s="1"/>
  <c r="BY160" i="2"/>
  <c r="Z45" i="3" s="1"/>
  <c r="BY155" i="2"/>
  <c r="G54" i="11"/>
  <c r="BZ150" i="2" l="1"/>
  <c r="Z43" i="3"/>
  <c r="CA84" i="2"/>
  <c r="CA33" i="4"/>
  <c r="CA35" i="4" s="1"/>
  <c r="CA129" i="2"/>
  <c r="CB125" i="2" s="1"/>
  <c r="E55" i="11"/>
  <c r="CB126" i="2" l="1"/>
  <c r="AA38" i="3" s="1"/>
  <c r="CA45" i="4"/>
  <c r="CA46" i="4" s="1"/>
  <c r="CA36" i="4"/>
  <c r="CA93" i="2"/>
  <c r="CA94" i="2" s="1"/>
  <c r="CA95" i="2" s="1"/>
  <c r="CA86" i="2"/>
  <c r="CA151" i="2" s="1"/>
  <c r="BZ155" i="2"/>
  <c r="CA150" i="2" s="1"/>
  <c r="BZ158" i="2"/>
  <c r="BZ160" i="2" s="1"/>
  <c r="F55" i="11"/>
  <c r="CB128" i="2" l="1"/>
  <c r="CA155" i="2"/>
  <c r="CB150" i="2" s="1"/>
  <c r="CB158" i="2" s="1"/>
  <c r="CA158" i="2"/>
  <c r="CA160" i="2" s="1"/>
  <c r="G55" i="11"/>
  <c r="E56" i="11" s="1"/>
  <c r="CB82" i="2" l="1"/>
  <c r="CB129" i="2"/>
  <c r="CC125" i="2" s="1"/>
  <c r="F56" i="11"/>
  <c r="G56" i="11" s="1"/>
  <c r="CC126" i="2" l="1"/>
  <c r="CC128" i="2" s="1"/>
  <c r="CB33" i="4"/>
  <c r="CB35" i="4" s="1"/>
  <c r="CB84" i="2"/>
  <c r="AA29" i="3"/>
  <c r="E57" i="11"/>
  <c r="CC82" i="2" l="1"/>
  <c r="CC129" i="2"/>
  <c r="CD125" i="2" s="1"/>
  <c r="CB45" i="4"/>
  <c r="CB46" i="4" s="1"/>
  <c r="CB36" i="4"/>
  <c r="CD126" i="2"/>
  <c r="CD128" i="2" s="1"/>
  <c r="CD82" i="2" s="1"/>
  <c r="CB86" i="2"/>
  <c r="CB93" i="2"/>
  <c r="CB94" i="2" s="1"/>
  <c r="CB95" i="2" s="1"/>
  <c r="AA23" i="3" s="1"/>
  <c r="AA20" i="3"/>
  <c r="CC84" i="2"/>
  <c r="CC33" i="4"/>
  <c r="CC35" i="4" s="1"/>
  <c r="CC45" i="4" s="1"/>
  <c r="F57" i="11"/>
  <c r="G57" i="11" s="1"/>
  <c r="E58" i="11" s="1"/>
  <c r="CD129" i="2" l="1"/>
  <c r="CE125" i="2" s="1"/>
  <c r="CE126" i="2" s="1"/>
  <c r="AB38" i="3" s="1"/>
  <c r="CB151" i="2"/>
  <c r="AA21" i="3"/>
  <c r="CD84" i="2"/>
  <c r="CD33" i="4"/>
  <c r="CD35" i="4" s="1"/>
  <c r="CD45" i="4" s="1"/>
  <c r="CD46" i="4" s="1"/>
  <c r="CC36" i="4"/>
  <c r="CC93" i="2"/>
  <c r="CC94" i="2" s="1"/>
  <c r="CC95" i="2" s="1"/>
  <c r="CC86" i="2"/>
  <c r="CC151" i="2" s="1"/>
  <c r="CC46" i="4"/>
  <c r="F58" i="11"/>
  <c r="CE128" i="2" l="1"/>
  <c r="CE82" i="2" s="1"/>
  <c r="CE84" i="2" s="1"/>
  <c r="AB29" i="3"/>
  <c r="CB155" i="2"/>
  <c r="CB160" i="2"/>
  <c r="AA45" i="3" s="1"/>
  <c r="CD36" i="4"/>
  <c r="CD93" i="2"/>
  <c r="CD94" i="2" s="1"/>
  <c r="CD95" i="2" s="1"/>
  <c r="CD86" i="2"/>
  <c r="CD151" i="2" s="1"/>
  <c r="H29" i="1"/>
  <c r="CE129" i="2"/>
  <c r="CE93" i="2"/>
  <c r="CE94" i="2" s="1"/>
  <c r="CE95" i="2" s="1"/>
  <c r="CE86" i="2"/>
  <c r="AB20" i="3"/>
  <c r="H20" i="1"/>
  <c r="H46" i="5" s="1"/>
  <c r="G58" i="11"/>
  <c r="E59" i="11" s="1"/>
  <c r="CE33" i="4" l="1"/>
  <c r="CE35" i="4" s="1"/>
  <c r="CE45" i="4" s="1"/>
  <c r="CE46" i="4" s="1"/>
  <c r="CC150" i="2"/>
  <c r="AA43" i="3"/>
  <c r="H38" i="1"/>
  <c r="CF125" i="2"/>
  <c r="CF126" i="2" s="1"/>
  <c r="CF128" i="2" s="1"/>
  <c r="CF82" i="2" s="1"/>
  <c r="F59" i="11"/>
  <c r="G59" i="11" s="1"/>
  <c r="CE151" i="2"/>
  <c r="AB21" i="3"/>
  <c r="H21" i="1"/>
  <c r="CG106" i="2"/>
  <c r="CH159" i="2"/>
  <c r="AB23" i="3"/>
  <c r="H23" i="1"/>
  <c r="CE36" i="4" l="1"/>
  <c r="E60" i="11"/>
  <c r="CC158" i="2"/>
  <c r="CC160" i="2" s="1"/>
  <c r="CC155" i="2"/>
  <c r="CD150" i="2" s="1"/>
  <c r="CF129" i="2"/>
  <c r="CG125" i="2" s="1"/>
  <c r="CG126" i="2" s="1"/>
  <c r="F60" i="11"/>
  <c r="G60" i="11" s="1"/>
  <c r="E61" i="11" s="1"/>
  <c r="AC44" i="3"/>
  <c r="I44" i="1"/>
  <c r="AC35" i="3"/>
  <c r="CG153" i="2"/>
  <c r="I35" i="1"/>
  <c r="CG107" i="2"/>
  <c r="CH105" i="2" s="1"/>
  <c r="CH107" i="2" s="1"/>
  <c r="CF33" i="4"/>
  <c r="CF35" i="4" s="1"/>
  <c r="CF84" i="2"/>
  <c r="CD158" i="2" l="1"/>
  <c r="CD160" i="2" s="1"/>
  <c r="CD155" i="2"/>
  <c r="CE150" i="2" s="1"/>
  <c r="F61" i="11"/>
  <c r="AC36" i="3"/>
  <c r="I36" i="1"/>
  <c r="CF45" i="4"/>
  <c r="CF46" i="4" s="1"/>
  <c r="CF36" i="4"/>
  <c r="CG128" i="2"/>
  <c r="CG82" i="2" s="1"/>
  <c r="CF93" i="2"/>
  <c r="CF94" i="2" s="1"/>
  <c r="CF95" i="2" s="1"/>
  <c r="CF86" i="2"/>
  <c r="CE158" i="2" l="1"/>
  <c r="CE160" i="2" s="1"/>
  <c r="CE155" i="2"/>
  <c r="G61" i="11"/>
  <c r="E62" i="11" s="1"/>
  <c r="CF151" i="2"/>
  <c r="CG33" i="4"/>
  <c r="CG35" i="4" s="1"/>
  <c r="CG45" i="4" s="1"/>
  <c r="CG46" i="4" s="1"/>
  <c r="CG84" i="2"/>
  <c r="CG129" i="2"/>
  <c r="CH125" i="2" s="1"/>
  <c r="CG36" i="4" l="1"/>
  <c r="H43" i="1"/>
  <c r="H50" i="5" s="1"/>
  <c r="AB43" i="3"/>
  <c r="CF150" i="2"/>
  <c r="CF158" i="2" s="1"/>
  <c r="CF160" i="2" s="1"/>
  <c r="AB45" i="3"/>
  <c r="H45" i="1"/>
  <c r="F62" i="11"/>
  <c r="CH126" i="2"/>
  <c r="CG93" i="2"/>
  <c r="CG94" i="2" s="1"/>
  <c r="CG95" i="2" s="1"/>
  <c r="CG86" i="2"/>
  <c r="CF155" i="2" l="1"/>
  <c r="CG150" i="2" s="1"/>
  <c r="CG158" i="2" s="1"/>
  <c r="AC38" i="3"/>
  <c r="B23" i="13"/>
  <c r="G62" i="11"/>
  <c r="E63" i="11" s="1"/>
  <c r="CG151" i="2"/>
  <c r="CG155" i="2" s="1"/>
  <c r="CH150" i="2" s="1"/>
  <c r="CH128" i="2"/>
  <c r="CH82" i="2" s="1"/>
  <c r="F63" i="11" l="1"/>
  <c r="G63" i="11" s="1"/>
  <c r="E64" i="11" s="1"/>
  <c r="CH158" i="2"/>
  <c r="D23" i="13"/>
  <c r="D24" i="13" s="1"/>
  <c r="B24" i="13"/>
  <c r="B31" i="13" s="1"/>
  <c r="B30" i="13"/>
  <c r="CH33" i="4"/>
  <c r="CH35" i="4" s="1"/>
  <c r="CH84" i="2"/>
  <c r="I29" i="1"/>
  <c r="AC29" i="3"/>
  <c r="CH129" i="2"/>
  <c r="I38" i="1" s="1"/>
  <c r="CG160" i="2"/>
  <c r="F64" i="11" l="1"/>
  <c r="CH93" i="2"/>
  <c r="CH94" i="2" s="1"/>
  <c r="CH95" i="2" s="1"/>
  <c r="CH86" i="2"/>
  <c r="I20" i="1"/>
  <c r="I46" i="5" s="1"/>
  <c r="AC20" i="3"/>
  <c r="CH45" i="4"/>
  <c r="CH46" i="4" s="1"/>
  <c r="CH36" i="4"/>
  <c r="G64" i="11" l="1"/>
  <c r="E65" i="11" s="1"/>
  <c r="F65" i="11" s="1"/>
  <c r="CH151" i="2"/>
  <c r="I21" i="1"/>
  <c r="AC21" i="3"/>
  <c r="AC23" i="3"/>
  <c r="I23" i="1"/>
  <c r="CH155" i="2" l="1"/>
  <c r="CH160" i="2"/>
  <c r="G65" i="11"/>
  <c r="E66" i="11" s="1"/>
  <c r="F66" i="11" l="1"/>
  <c r="AC43" i="3"/>
  <c r="I43" i="1"/>
  <c r="AC45" i="3"/>
  <c r="I45" i="1"/>
  <c r="I50" i="5" l="1"/>
  <c r="F72" i="5"/>
  <c r="G66" i="11"/>
  <c r="E67" i="11" s="1"/>
  <c r="F67" i="11" l="1"/>
  <c r="G67" i="11" l="1"/>
  <c r="E68" i="11" s="1"/>
  <c r="F68" i="11" s="1"/>
  <c r="G68" i="11" s="1"/>
  <c r="E69" i="11" s="1"/>
  <c r="F69" i="11" l="1"/>
  <c r="G69" i="11" s="1"/>
  <c r="E70" i="11" l="1"/>
  <c r="F70" i="11" l="1"/>
  <c r="G70" i="11" l="1"/>
  <c r="E71" i="11" s="1"/>
  <c r="F71" i="11" l="1"/>
  <c r="G71" i="11" s="1"/>
  <c r="E72" i="11" s="1"/>
  <c r="F72" i="11" l="1"/>
  <c r="G72" i="11" s="1"/>
  <c r="E73" i="11" s="1"/>
  <c r="F73" i="11" l="1"/>
  <c r="G73" i="11" l="1"/>
  <c r="E74" i="11" s="1"/>
  <c r="F74" i="11" l="1"/>
  <c r="G74" i="11" s="1"/>
  <c r="E75" i="11" s="1"/>
  <c r="F75" i="11" l="1"/>
  <c r="G75" i="11" s="1"/>
  <c r="E76" i="11" s="1"/>
  <c r="F76" i="11" l="1"/>
  <c r="G76" i="11" l="1"/>
  <c r="E77" i="11" s="1"/>
  <c r="F77" i="11" l="1"/>
  <c r="G77" i="11" s="1"/>
  <c r="E78" i="11" s="1"/>
  <c r="F78" i="11" s="1"/>
  <c r="G78" i="11" s="1"/>
  <c r="E79" i="11" s="1"/>
  <c r="F79" i="11" l="1"/>
  <c r="G79" i="11" l="1"/>
  <c r="E80" i="11" s="1"/>
  <c r="F80" i="11" l="1"/>
  <c r="G80" i="11" s="1"/>
  <c r="E81" i="11" s="1"/>
  <c r="F81" i="11" l="1"/>
  <c r="G81" i="11" l="1"/>
  <c r="E82" i="11" s="1"/>
  <c r="F82" i="11" l="1"/>
  <c r="G82" i="11" l="1"/>
  <c r="E83" i="11" s="1"/>
  <c r="F83" i="11" l="1"/>
  <c r="G83" i="11" s="1"/>
  <c r="E84" i="11" s="1"/>
  <c r="F84" i="11" l="1"/>
  <c r="G84" i="11" s="1"/>
  <c r="E85" i="11" l="1"/>
  <c r="F85" i="11" l="1"/>
  <c r="G85" i="11" s="1"/>
  <c r="E86" i="11" s="1"/>
  <c r="F86" i="11" l="1"/>
  <c r="G86" i="11" s="1"/>
  <c r="E87" i="11" s="1"/>
  <c r="F87" i="11" l="1"/>
  <c r="G87" i="11" l="1"/>
  <c r="E88" i="11" s="1"/>
  <c r="F88" i="11" l="1"/>
  <c r="G88" i="11" l="1"/>
  <c r="E89" i="11" s="1"/>
  <c r="F89" i="11" s="1"/>
  <c r="G89" i="11" s="1"/>
  <c r="E90" i="11" l="1"/>
  <c r="F90" i="11" l="1"/>
  <c r="G90" i="11" l="1"/>
  <c r="E91" i="11" s="1"/>
  <c r="F91" i="11" l="1"/>
  <c r="G91" i="11" l="1"/>
  <c r="E92" i="11" s="1"/>
  <c r="F92" i="11" l="1"/>
  <c r="F93" i="11" s="1"/>
  <c r="C16" i="13" s="1"/>
  <c r="C30" i="13" l="1"/>
  <c r="C17" i="13"/>
  <c r="C31" i="13" s="1"/>
  <c r="D16" i="13"/>
  <c r="G92" i="11"/>
  <c r="G93" i="11" s="1"/>
  <c r="D30" i="13" l="1"/>
  <c r="D17" i="13"/>
  <c r="D31" i="13" s="1"/>
</calcChain>
</file>

<file path=xl/sharedStrings.xml><?xml version="1.0" encoding="utf-8"?>
<sst xmlns="http://schemas.openxmlformats.org/spreadsheetml/2006/main" count="1173" uniqueCount="696">
  <si>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</si>
  <si>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</si>
  <si>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</si>
  <si>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</si>
  <si>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</si>
  <si>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</si>
  <si>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</si>
  <si>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</si>
  <si>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</si>
  <si>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Grady LaKamp</t>
  </si>
  <si>
    <t>Executive</t>
  </si>
  <si>
    <t>GC</t>
  </si>
  <si>
    <t>Yes</t>
  </si>
  <si>
    <t>Joe LaKamp</t>
  </si>
  <si>
    <t>Pedro Rosalas</t>
  </si>
  <si>
    <t>Project Manager</t>
  </si>
  <si>
    <t>Greg Smith</t>
  </si>
  <si>
    <t>New Hire - PM</t>
  </si>
  <si>
    <t>Dorian Puentes</t>
  </si>
  <si>
    <t>Asst Project Manager</t>
  </si>
  <si>
    <t>Roy Torries</t>
  </si>
  <si>
    <t>Lucy Mohler</t>
  </si>
  <si>
    <t>New Hire - APM 2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</si>
  <si>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</si>
  <si>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</si>
  <si>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</si>
  <si>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</si>
  <si>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</si>
  <si>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</si>
  <si>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</si>
  <si>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</si>
  <si>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</si>
  <si>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</si>
  <si>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</si>
  <si>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</si>
  <si>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</si>
  <si>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</si>
  <si>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</si>
  <si>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</si>
  <si>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Kim Moreno</t>
  </si>
  <si>
    <t>Project Coordinator/Admin</t>
  </si>
  <si>
    <t>Alina Akopian</t>
  </si>
  <si>
    <t>New Hire - Admin</t>
  </si>
  <si>
    <t>Six Peak Capital Personnel</t>
  </si>
  <si>
    <t>Chris Aiello</t>
  </si>
  <si>
    <t>Partner</t>
  </si>
  <si>
    <t>SixPeak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</si>
  <si>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</si>
  <si>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</si>
  <si>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</si>
  <si>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</si>
  <si>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</si>
  <si>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</si>
  <si>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</si>
  <si>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</si>
  <si>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</si>
  <si>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</si>
  <si>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</si>
  <si>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</si>
  <si>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</si>
  <si>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</si>
  <si>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</si>
  <si>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</si>
  <si>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</si>
  <si>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</si>
  <si>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</si>
  <si>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</si>
  <si>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</si>
  <si>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</si>
  <si>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</si>
  <si>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</si>
  <si>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</si>
  <si>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</si>
  <si>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</si>
  <si>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</si>
  <si>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</si>
  <si>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</si>
  <si>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</si>
  <si>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</si>
  <si>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</si>
  <si>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</si>
  <si>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</si>
  <si>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</si>
  <si>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</si>
  <si>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</si>
  <si>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</si>
  <si>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</si>
  <si>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</si>
  <si>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</si>
  <si>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</si>
  <si>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</si>
  <si>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</si>
  <si>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</si>
  <si>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</si>
  <si>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</si>
  <si>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</si>
  <si>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</si>
  <si>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</si>
  <si>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</si>
  <si>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</si>
  <si>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</si>
  <si>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</si>
  <si>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</si>
  <si>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</si>
  <si>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</si>
  <si>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</si>
  <si>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</si>
  <si>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</si>
  <si>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</si>
  <si>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</si>
  <si>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</si>
  <si>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</si>
  <si>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</si>
  <si>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</si>
  <si>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</si>
  <si>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</si>
  <si>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</si>
  <si>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</si>
  <si>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</si>
  <si>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</si>
  <si>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</si>
  <si>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Personnel Costs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</si>
  <si>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</si>
  <si>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</si>
  <si>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</si>
  <si>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</si>
  <si>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</si>
  <si>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</si>
  <si>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</si>
  <si>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</si>
  <si>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</si>
  <si>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</si>
  <si>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</si>
  <si>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</si>
  <si>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</si>
  <si>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</si>
  <si>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</si>
  <si>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</si>
  <si>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</si>
  <si>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</si>
  <si>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</si>
  <si>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</si>
  <si>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</si>
  <si>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</si>
  <si>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</si>
  <si>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</si>
  <si>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</si>
  <si>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</si>
  <si>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</si>
  <si>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</si>
  <si>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</si>
  <si>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</si>
  <si>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</si>
  <si>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</si>
  <si>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</si>
  <si>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</si>
  <si>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</si>
  <si>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</si>
  <si>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</si>
  <si>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</si>
  <si>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</si>
  <si>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</si>
  <si>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</si>
  <si>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</si>
  <si>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</si>
  <si>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</si>
  <si>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</si>
  <si>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</si>
  <si>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</si>
  <si>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</si>
  <si>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</si>
  <si>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</si>
  <si>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</si>
  <si>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</si>
  <si>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</si>
  <si>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</si>
  <si>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</si>
  <si>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</si>
  <si>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PIC (from LIHTC Revenue)</t>
  </si>
  <si>
    <t>Reseda Steyn Fee + PIC (from LIHTC Revenue)</t>
  </si>
  <si>
    <t>3rd St Steyn Fee + PIC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</si>
  <si>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</si>
  <si>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</si>
  <si>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</si>
  <si>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</si>
  <si>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</si>
  <si>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</si>
  <si>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</si>
  <si>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</si>
  <si>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</si>
  <si>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</si>
  <si>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</si>
  <si>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</si>
  <si>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</si>
  <si>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</si>
  <si>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</si>
  <si>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PIC Payment (LIHTC)</t>
  </si>
  <si>
    <t>Klump - Ending Balance</t>
  </si>
  <si>
    <t>Scott - Beginning Balance</t>
  </si>
  <si>
    <t>Scott - Quarterly Interest</t>
  </si>
  <si>
    <t>Scott - Deal Distribution</t>
  </si>
  <si>
    <t>Scott - PIC Payment (LIHTC)</t>
  </si>
  <si>
    <t>Scott - Ending Balance</t>
  </si>
  <si>
    <t>3rd St - Beginning Balance</t>
  </si>
  <si>
    <t>3rd St - Quarterly Interest</t>
  </si>
  <si>
    <t>3rd St - Deal Distribution</t>
  </si>
  <si>
    <t>3rd St - PIC Payment (LIHTC)</t>
  </si>
  <si>
    <t>3rd St - Ending Balance</t>
  </si>
  <si>
    <t>Reseda - Beginning Balance</t>
  </si>
  <si>
    <t>Reseda - Quarterly Interest</t>
  </si>
  <si>
    <t>Reseda - Deal Distribution</t>
  </si>
  <si>
    <t>Reseda - PIC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</si>
  <si>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</si>
  <si>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</si>
  <si>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</si>
  <si>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</si>
  <si>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</si>
  <si>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</si>
  <si>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</si>
  <si>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</si>
  <si>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</si>
  <si>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</si>
  <si>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</si>
  <si>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</si>
  <si>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</si>
  <si>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</si>
  <si>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</si>
  <si>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</si>
  <si>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PIC Repayment (included in SP Expenses above)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</si>
  <si>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</si>
  <si>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</si>
  <si>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</si>
  <si>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</si>
  <si>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</si>
  <si>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PIC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</si>
  <si>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</si>
  <si>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</si>
  <si>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</si>
  <si>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</si>
  <si>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</si>
  <si>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</si>
  <si>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</si>
  <si>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</si>
  <si>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</si>
  <si>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</si>
  <si>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</si>
  <si>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</si>
  <si>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</si>
  <si>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</si>
  <si>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</si>
  <si>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</si>
  <si>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</si>
  <si>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</si>
  <si>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</si>
  <si>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</si>
  <si>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</si>
  <si>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</si>
  <si>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</si>
  <si>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</si>
  <si>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</si>
  <si>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</si>
  <si>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</si>
  <si>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</si>
  <si>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</si>
  <si>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</si>
  <si>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</si>
  <si>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</si>
  <si>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</si>
  <si>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</si>
  <si>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</si>
  <si>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</si>
  <si>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</si>
  <si>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</si>
  <si>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</si>
  <si>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</si>
  <si>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</si>
  <si>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</si>
  <si>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</si>
  <si>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</si>
  <si>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</si>
  <si>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</si>
  <si>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</si>
  <si>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</si>
  <si>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</si>
  <si>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</si>
  <si>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</si>
  <si>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</si>
  <si>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</si>
  <si>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</si>
  <si>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</si>
  <si>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</si>
  <si>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</si>
  <si>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</si>
  <si>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</si>
  <si>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</si>
  <si>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</si>
  <si>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</si>
  <si>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</si>
  <si>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</si>
  <si>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</si>
  <si>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</si>
  <si>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</si>
  <si>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</si>
  <si>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</si>
  <si>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</si>
  <si>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</si>
  <si>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</si>
  <si>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</si>
  <si>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</si>
  <si>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</si>
  <si>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</si>
  <si>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</si>
  <si>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</si>
  <si>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</si>
  <si>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</si>
  <si>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PIC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</si>
  <si>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</si>
  <si>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</si>
  <si>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</si>
  <si>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</si>
  <si>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</si>
  <si>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</si>
  <si>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</si>
  <si>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</si>
  <si>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</si>
  <si>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</si>
  <si>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</si>
  <si>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</si>
  <si>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</si>
  <si>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</si>
  <si>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</si>
  <si>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</si>
  <si>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</si>
  <si>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</si>
  <si>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</si>
  <si>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</si>
  <si>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</si>
  <si>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</si>
  <si>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</si>
  <si>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</si>
  <si>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</si>
  <si>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</si>
  <si>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</si>
  <si>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</si>
  <si>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PIC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</si>
  <si>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</si>
  <si>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</si>
  <si>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</si>
  <si>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</si>
  <si>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</si>
  <si>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</si>
  <si>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</si>
  <si>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</si>
  <si>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</si>
  <si>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</si>
  <si>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</si>
  <si>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</si>
  <si>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</si>
  <si>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</si>
  <si>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</si>
  <si>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</si>
  <si>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PIC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</si>
  <si>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</si>
  <si>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</si>
  <si>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</si>
  <si>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</si>
  <si>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</si>
  <si>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</si>
  <si>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</si>
  <si>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</si>
  <si>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</si>
  <si>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</si>
  <si>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</si>
  <si>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</si>
  <si>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</si>
  <si>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</si>
  <si>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</si>
  <si>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</si>
  <si>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</si>
  <si>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</si>
  <si>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</si>
  <si>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</si>
  <si>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</si>
  <si>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</si>
  <si>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</si>
  <si>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</si>
  <si>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</si>
  <si>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</si>
  <si>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</si>
  <si>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</si>
  <si>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</si>
  <si>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</si>
  <si>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</si>
  <si>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</si>
  <si>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</si>
  <si>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(PIC) — PAYOFF &amp; STEYN RETURNS</t>
  </si>
  <si>
    <t>Reseda is the only active PIC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</si>
  <si>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</si>
  <si>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</si>
  <si>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</si>
  <si>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</si>
  <si>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</si>
  <si>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</si>
  <si>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</si>
  <si>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</si>
  <si>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</si>
  <si>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</si>
  <si>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</si>
  <si>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PIC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</si>
  <si>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</si>
  <si>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</si>
  <si>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</si>
  <si>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</si>
  <si>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</si>
  <si>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</si>
  <si>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</si>
  <si>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</si>
  <si>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</si>
  <si>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</si>
  <si>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</si>
  <si>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</si>
  <si>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</si>
  <si>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</si>
  <si>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</si>
  <si>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</si>
  <si>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</si>
  <si>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</si>
  <si>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</si>
  <si>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</si>
  <si>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</si>
  <si>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</si>
  <si>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</si>
  <si>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</si>
  <si>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</si>
  <si>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</si>
  <si>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</si>
  <si>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</si>
  <si>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</si>
  <si>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</si>
  <si>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</si>
  <si>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</si>
  <si>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</si>
  <si>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</si>
  <si>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</si>
  <si>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</si>
  <si>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</si>
  <si>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</si>
  <si>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</si>
  <si>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</si>
  <si>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</si>
  <si>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</si>
  <si>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</si>
  <si>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</si>
  <si>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</si>
  <si>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</si>
  <si>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</si>
  <si>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</si>
  <si>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</si>
  <si>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</si>
  <si>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</si>
  <si>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</si>
  <si>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</si>
  <si>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</si>
  <si>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</si>
  <si>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</si>
  <si>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</si>
  <si>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</si>
  <si>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</si>
  <si>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</si>
  <si>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</si>
  <si>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</si>
  <si>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</si>
  <si>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</si>
  <si>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</si>
  <si>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</si>
  <si>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</si>
  <si>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</si>
  <si>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</si>
  <si>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</si>
  <si>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</si>
  <si>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</si>
  <si>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</si>
  <si>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</si>
  <si>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</si>
  <si>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</si>
  <si>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</si>
  <si>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</si>
  <si>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</si>
  <si>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</si>
  <si>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</si>
  <si>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</si>
  <si>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</si>
  <si>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</si>
  <si>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</si>
  <si>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</si>
  <si>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</si>
  <si>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</si>
  <si>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</si>
  <si>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</si>
  <si>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</si>
  <si>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</si>
  <si>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</si>
  <si>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</si>
  <si>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</si>
  <si>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</si>
  <si>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</si>
  <si>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</si>
  <si>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</si>
  <si>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PIC Detail Parameters</t>
  </si>
  <si>
    <t>Reseda - Initial PIC Balance</t>
  </si>
  <si>
    <t>Reseda - Monthly PIC Ramp</t>
  </si>
  <si>
    <t>Reseda - PIC Ramp Until Month</t>
  </si>
  <si>
    <t>3rd St - Initial PIC Balance</t>
  </si>
  <si>
    <t>3rd St - Monthly PIC Ramp</t>
  </si>
  <si>
    <t>Contract Value</t>
  </si>
  <si>
    <t>Bonded</t>
  </si>
  <si>
    <t>Bond Tier</t>
  </si>
  <si>
    <t>Bond Cost Rate</t>
  </si>
  <si>
    <t>Steyn Guaranty</t>
  </si>
  <si>
    <t>GC + Developer</t>
  </si>
  <si>
    <t>3rd Party GC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</si>
  <si>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</si>
  <si>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</si>
  <si>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</si>
  <si>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</si>
  <si>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</si>
  <si>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</si>
  <si>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</si>
  <si>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</si>
  <si>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</si>
  <si>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</si>
  <si>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</si>
  <si>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</si>
  <si>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</si>
  <si>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</si>
  <si>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</si>
  <si>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</si>
  <si>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</si>
  <si>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</si>
  <si>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</si>
  <si>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</si>
  <si>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</si>
  <si>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</si>
  <si>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PIC AMORTIZATION</t>
  </si>
  <si>
    <t>Quarter</t>
  </si>
  <si>
    <t>LIHTC Rev</t>
  </si>
  <si>
    <t>Steyn Bal</t>
  </si>
  <si>
    <t>Steyn Pmt</t>
  </si>
  <si>
    <t>PIC Bal</t>
  </si>
  <si>
    <t>PIC Interest</t>
  </si>
  <si>
    <t>PIC Pmt</t>
  </si>
  <si>
    <t>TOTALS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</si>
  <si>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</si>
  <si>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</si>
  <si>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</si>
  <si>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</si>
  <si>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</si>
  <si>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</si>
  <si>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</si>
  <si>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</si>
  <si>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</si>
  <si>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</si>
  <si>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</si>
  <si>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Total Fee Revenue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</si>
  <si>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</si>
  <si>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</si>
  <si>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</si>
  <si>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</si>
  <si>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</si>
  <si>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</si>
  <si>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</si>
  <si>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</si>
  <si>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</si>
  <si>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</si>
  <si>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</si>
  <si>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</si>
  <si>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</si>
  <si>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</si>
  <si>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</si>
  <si>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</si>
  <si>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</si>
  <si>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</si>
  <si>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</si>
  <si>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</si>
  <si>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</si>
  <si>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</si>
  <si>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</si>
  <si>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</si>
  <si>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</si>
  <si>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</si>
  <si>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</si>
  <si>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</si>
  <si>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</si>
  <si>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</si>
  <si>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</si>
  <si>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</si>
  <si>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</si>
  <si>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</si>
  <si>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</si>
  <si>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</si>
  <si>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</si>
  <si>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</si>
  <si>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</si>
  <si>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</si>
  <si>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</si>
  <si>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</si>
  <si>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</si>
  <si>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</si>
  <si>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</si>
  <si>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</si>
  <si>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</si>
  <si>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</si>
  <si>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</si>
  <si>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</si>
  <si>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</si>
  <si>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</si>
  <si>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</si>
  <si>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</si>
  <si>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</si>
  <si>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Accountant</t>
  </si>
  <si>
    <t>Mo 57</t>
  </si>
  <si>
    <t>Project Coordinator</t>
  </si>
  <si>
    <t>Project Manager 1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</si>
  <si>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</si>
  <si>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</si>
  <si>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</si>
  <si>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</si>
  <si>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</si>
  <si>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</si>
  <si>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</si>
  <si>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</si>
  <si>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</si>
  <si>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</si>
  <si>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</si>
  <si>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</si>
  <si>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</si>
  <si>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of Revenue)</t>
  </si>
  <si>
    <t>Schuyler Bonus (40% of Net)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</si>
  <si>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</si>
  <si>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</si>
  <si>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</si>
  <si>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</si>
  <si>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</si>
  <si>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</si>
  <si>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</si>
  <si>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</si>
  <si>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</si>
  <si>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</si>
  <si>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</si>
  <si>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</si>
  <si>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</si>
  <si>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</si>
  <si>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</si>
  <si>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</si>
  <si>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</si>
  <si>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</si>
  <si>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</si>
  <si>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</si>
  <si>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</si>
  <si>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</si>
  <si>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</si>
  <si>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retained by Six Peak as management fee.</t>
  </si>
  <si>
    <t>6.</t>
  </si>
  <si>
    <t>Schuyler bonus is 40% of net income after overhead, staffing, and other opex. Paid on positive months only.</t>
  </si>
  <si>
    <t>7.</t>
  </si>
  <si>
    <t>Staffing: Accountant ($110K) &amp; PC ($90K) start Mo 10; two PMs ($125K each) start Mo 16.</t>
  </si>
  <si>
    <t>8.</t>
  </si>
  <si>
    <t>Other OpEx: Acctg/Audit/Tax ($40K/yr), Insurance ($40K/yr),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</si>
  <si>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</si>
  <si>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</si>
  <si>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</si>
  <si>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</si>
  <si>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SP INTEGRATION ASSUMPTIONS</t>
  </si>
  <si>
    <t>SP Overhead Rate</t>
  </si>
  <si>
    <t>Schuyler Bonus Rate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</si>
  <si>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</si>
  <si>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</si>
  <si>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</si>
  <si>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</si>
  <si>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</si>
  <si>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</si>
  <si>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</si>
  <si>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</si>
  <si>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</si>
  <si>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</si>
  <si>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</si>
  <si>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</si>
  <si>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</si>
  <si>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</si>
  <si>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PIC Interest</t>
  </si>
  <si>
    <t>Combined Net Income to Six Peak</t>
  </si>
  <si>
    <t>Interest Carry = Steyn balance accrual (GMP + Liquidity unpaid balance interest)</t>
  </si>
  <si>
    <t>PIC Interest = 15% annual (3.75% quarterly) on Project Investment Capital</t>
  </si>
  <si>
    <t>3rd St: 36 remaining quarterly LIHTC payments at $73,155; PIC balance of $570K fully repaid post-model</t>
  </si>
  <si>
    <t>Reseda: 28 remaining quarterly LIHTC payments at $81,362; PIC and Steyn fully repaid in-model</t>
  </si>
  <si>
    <t>Reseda: 28 post-model quarterly LIHTC payments at $81,362; PIC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</si>
</sst>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_);[Red]_(\$* \(#,##0\);_(\$* \-_);_(@_)"/>
    <numFmt numFmtId="165" formatCode="0.0%"/>
    <numFmt numFmtId="166" formatCode="0.0000"/>
    <numFmt numFmtId="167" formatCode="[$$-409]#,##0.00;[Red]\-[$$-409]#,##0.00"/>
  </numFmts>
  <fonts count="39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1"/>
      <color rgb="FFF8FAFC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FFF"/>
        <bgColor rgb="FFF8FAFC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theme="0"/>
        <bgColor rgb="FF1E2C4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CE6F1"/>
      </patternFill>
    </fill>
  </fills>
  <borders count="9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/>
      <right/>
      <top style="thick">
        <color rgb="FF000000"/>
      </top>
      <bottom/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0" borderId="0" xfId="0" applyFont="1"/>
    <xf numFmtId="164" fontId="4" fillId="2" borderId="0" xfId="0" applyNumberFormat="1" applyFont="1" applyFill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15" fillId="0" borderId="0" xfId="0" applyFont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9" borderId="0" xfId="0" applyNumberFormat="1" applyFont="1" applyFill="1"/>
    <xf numFmtId="10" fontId="11" fillId="2" borderId="0" xfId="0" applyNumberFormat="1" applyFont="1" applyFill="1"/>
    <xf numFmtId="164" fontId="24" fillId="9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9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9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9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0" borderId="0" xfId="0" applyFont="1" applyFill="1"/>
    <xf numFmtId="0" fontId="18" fillId="11" borderId="2" xfId="0" applyFont="1" applyFill="1" applyBorder="1"/>
    <xf numFmtId="164" fontId="18" fillId="11" borderId="2" xfId="0" applyNumberFormat="1" applyFont="1" applyFill="1" applyBorder="1" applyAlignment="1">
      <alignment horizontal="right"/>
    </xf>
    <xf numFmtId="0" fontId="18" fillId="12" borderId="2" xfId="0" applyFont="1" applyFill="1" applyBorder="1"/>
    <xf numFmtId="164" fontId="18" fillId="12" borderId="2" xfId="0" applyNumberFormat="1" applyFont="1" applyFill="1" applyBorder="1" applyAlignment="1">
      <alignment horizontal="right"/>
    </xf>
    <xf numFmtId="3" fontId="18" fillId="11" borderId="2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8" fillId="9" borderId="0" xfId="0" applyFont="1" applyFill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3" xfId="0" applyNumberFormat="1" applyFont="1" applyBorder="1"/>
    <xf numFmtId="0" fontId="30" fillId="0" borderId="0" xfId="0" applyFont="1"/>
    <xf numFmtId="0" fontId="31" fillId="4" borderId="0" xfId="0" applyFont="1" applyFill="1"/>
    <xf numFmtId="3" fontId="18" fillId="0" borderId="0" xfId="0" applyNumberFormat="1" applyFont="1"/>
    <xf numFmtId="0" fontId="31" fillId="13" borderId="0" xfId="0" applyFont="1" applyFill="1"/>
    <xf numFmtId="0" fontId="28" fillId="14" borderId="0" xfId="0" applyFont="1" applyFill="1"/>
    <xf numFmtId="0" fontId="3" fillId="15" borderId="4" xfId="0" applyFont="1" applyFill="1" applyBorder="1"/>
    <xf numFmtId="164" fontId="3" fillId="16" borderId="4" xfId="0" applyNumberFormat="1" applyFont="1" applyFill="1" applyBorder="1"/>
    <xf numFmtId="0" fontId="3" fillId="15" borderId="5" xfId="0" applyFont="1" applyFill="1" applyBorder="1"/>
    <xf numFmtId="164" fontId="3" fillId="16" borderId="5" xfId="0" applyNumberFormat="1" applyFont="1" applyFill="1" applyBorder="1"/>
    <xf numFmtId="0" fontId="31" fillId="17" borderId="0" xfId="0" applyFont="1" applyFill="1"/>
    <xf numFmtId="0" fontId="3" fillId="15" borderId="0" xfId="0" applyFont="1" applyFill="1"/>
    <xf numFmtId="0" fontId="32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1" fillId="18" borderId="0" xfId="0" applyFont="1" applyFill="1"/>
    <xf numFmtId="0" fontId="3" fillId="19" borderId="0" xfId="0" applyFont="1" applyFill="1"/>
    <xf numFmtId="0" fontId="33" fillId="0" borderId="0" xfId="0" applyFont="1"/>
    <xf numFmtId="164" fontId="3" fillId="19" borderId="0" xfId="0" applyNumberFormat="1" applyFont="1" applyFill="1"/>
    <xf numFmtId="0" fontId="31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1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1" fillId="3" borderId="0" xfId="0" applyFont="1" applyFill="1"/>
    <xf numFmtId="0" fontId="31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4" fillId="0" borderId="0" xfId="0" applyFont="1"/>
    <xf numFmtId="0" fontId="5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4" fillId="0" borderId="0" xfId="0" applyNumberFormat="1" applyFont="1"/>
    <xf numFmtId="0" fontId="35" fillId="0" borderId="0" xfId="0" applyFont="1"/>
    <xf numFmtId="0" fontId="18" fillId="0" borderId="0" xfId="0" applyFont="1" applyAlignment="1">
      <alignment horizontal="center"/>
    </xf>
    <xf numFmtId="0" fontId="18" fillId="0" borderId="6" xfId="0" applyFont="1" applyBorder="1"/>
    <xf numFmtId="0" fontId="3" fillId="0" borderId="6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1" borderId="0" xfId="0" applyFont="1" applyFill="1"/>
    <xf numFmtId="164" fontId="18" fillId="11" borderId="0" xfId="0" applyNumberFormat="1" applyFont="1" applyFill="1"/>
    <xf numFmtId="0" fontId="5" fillId="0" borderId="3" xfId="0" applyFont="1" applyBorder="1"/>
    <xf numFmtId="164" fontId="5" fillId="0" borderId="3" xfId="0" applyNumberFormat="1" applyFont="1" applyBorder="1"/>
    <xf numFmtId="164" fontId="27" fillId="10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3" xfId="0" applyFont="1" applyFill="1" applyBorder="1"/>
    <xf numFmtId="164" fontId="27" fillId="25" borderId="3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3" xfId="0" applyFont="1" applyBorder="1"/>
    <xf numFmtId="164" fontId="18" fillId="0" borderId="3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6" fillId="0" borderId="0" xfId="0" applyFont="1"/>
    <xf numFmtId="0" fontId="37" fillId="0" borderId="0" xfId="0" applyFont="1"/>
    <xf numFmtId="0" fontId="38" fillId="3" borderId="7" xfId="0" applyFont="1" applyFill="1" applyBorder="1" applyAlignment="1">
      <alignment horizontal="center" wrapText="1"/>
    </xf>
    <xf numFmtId="0" fontId="2" fillId="3" borderId="7" xfId="0" applyFont="1" applyFill="1" applyBorder="1" applyAlignment="1">
      <alignment horizontal="center" wrapText="1"/>
    </xf>
    <xf numFmtId="0" fontId="1" fillId="2" borderId="0" xfId="0" applyFont="1" applyFill="1"/>
    <xf numFmtId="0" fontId="0" fillId="0" borderId="0" xfId="0"/>
    <xf numFmtId="0" fontId="1" fillId="0" borderId="0" xfId="0" applyFont="1"/>
    <xf numFmtId="0" fontId="33" fillId="0" borderId="0" xfId="0" applyFont="1" applyAlignment="1">
      <alignment wrapText="1"/>
    </xf>
    <xf numFmtId="0" fontId="10" fillId="0" borderId="0" xfId="0" applyFont="1" applyBorder="1"/>
    <xf numFmtId="0" fontId="0" fillId="0" borderId="0" xfId="0" applyBorder="1"/>
    <xf numFmtId="0" fontId="2" fillId="27" borderId="0" xfId="0" applyFont="1" applyFill="1" applyAlignment="1">
      <alignment horizontal="center" wrapText="1"/>
    </xf>
    <xf numFmtId="0" fontId="10" fillId="28" borderId="0" xfId="0" applyFont="1" applyFill="1"/>
    <xf numFmtId="0" fontId="15" fillId="28" borderId="0" xfId="0" applyFont="1" applyFill="1"/>
    <xf numFmtId="0" fontId="0" fillId="28" borderId="0" xfId="0" applyFill="1"/>
    <xf numFmtId="0" fontId="5" fillId="29" borderId="0" xfId="0" applyFont="1" applyFill="1" applyBorder="1"/>
    <xf numFmtId="0" fontId="4" fillId="29" borderId="0" xfId="0" applyFont="1" applyFill="1" applyBorder="1"/>
    <xf numFmtId="164" fontId="5" fillId="29" borderId="0" xfId="0" applyNumberFormat="1" applyFont="1" applyFill="1" applyBorder="1" applyAlignment="1">
      <alignment horizontal="right"/>
    </xf>
    <xf numFmtId="0" fontId="4" fillId="2" borderId="4" xfId="0" applyFont="1" applyFill="1" applyBorder="1"/>
    <xf numFmtId="164" fontId="4" fillId="2" borderId="4" xfId="0" applyNumberFormat="1" applyFont="1" applyFill="1" applyBorder="1" applyAlignment="1">
      <alignment horizontal="right"/>
    </xf>
    <xf numFmtId="0" fontId="5" fillId="8" borderId="8" xfId="0" applyFont="1" applyFill="1" applyBorder="1"/>
    <xf numFmtId="0" fontId="4" fillId="8" borderId="8" xfId="0" applyFont="1" applyFill="1" applyBorder="1"/>
    <xf numFmtId="164" fontId="5" fillId="8" borderId="8" xfId="0" applyNumberFormat="1" applyFont="1" applyFill="1" applyBorder="1" applyAlignment="1">
      <alignment horizontal="right"/>
    </xf>
    <xf numFmtId="0" fontId="4" fillId="5" borderId="4" xfId="0" applyFont="1" applyFill="1" applyBorder="1"/>
    <xf numFmtId="164" fontId="4" fillId="5" borderId="4" xfId="0" applyNumberFormat="1" applyFont="1" applyFill="1" applyBorder="1" applyAlignment="1">
      <alignment horizontal="right"/>
    </xf>
    <xf numFmtId="0" fontId="5" fillId="8" borderId="4" xfId="0" applyFont="1" applyFill="1" applyBorder="1"/>
    <xf numFmtId="0" fontId="4" fillId="8" borderId="4" xfId="0" applyFont="1" applyFill="1" applyBorder="1"/>
    <xf numFmtId="164" fontId="5" fillId="8" borderId="4" xfId="0" applyNumberFormat="1" applyFont="1" applyFill="1" applyBorder="1" applyAlignment="1">
      <alignment horizontal="right"/>
    </xf>
    <xf numFmtId="0" fontId="4" fillId="28" borderId="0" xfId="0" applyFont="1" applyFill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18" sqref="A18"/>
      <selection pane="bottomRight" activeCell="P13" sqref="P13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180" t="s">
        <v>58</v>
      </c>
      <c r="B1" s="181"/>
      <c r="C1" s="181"/>
      <c r="D1" s="181"/>
      <c r="E1" s="181"/>
      <c r="F1" s="1"/>
      <c r="G1" s="1"/>
      <c r="H1" s="1"/>
      <c r="I1" s="1"/>
    </row>
    <row r="2" spans="1:9" ht="15" customHeight="1" x14ac:dyDescent="0.25">
      <c r="A2" s="2"/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  <c r="G2" s="3" t="s">
        <v>64</v>
      </c>
      <c r="H2" s="3" t="s">
        <v>65</v>
      </c>
      <c r="I2" s="3" t="s">
        <v>66</v>
      </c>
    </row>
    <row r="3" spans="1:9" ht="15" customHeight="1" x14ac:dyDescent="0.25">
      <c r="A3" s="4" t="s">
        <v>67</v>
      </c>
      <c r="B3" s="5">
        <f>Model!C7+Model!D7+Model!E7+Model!F7+Model!G7+Model!H7+Model!I7+Model!J7+Model!K7</f>
        <v>52795129.6815072</v>
      </c>
      <c r="C3" s="5">
        <f>Model!L7+Model!M7+Model!N7+Model!O7+Model!P7+Model!Q7+Model!R7+Model!S7+Model!T7+Model!U7+Model!V7+Model!W7</f>
        <v>100032817.64507881</v>
      </c>
      <c r="D3" s="5">
        <f>Model!X7+Model!Y7+Model!Z7+Model!AA7+Model!AB7+Model!AC7+Model!AD7+Model!AE7+Model!AF7+Model!AG7+Model!AH7+Model!AI7</f>
        <v>52988676.793636002</v>
      </c>
      <c r="E3" s="5">
        <f>Model!AJ7+Model!AK7+Model!AL7+Model!AM7+Model!AN7+Model!AO7+Model!AP7+Model!AQ7+Model!AR7+Model!AS7+Model!AT7+Model!AU7</f>
        <v>32893826.824765999</v>
      </c>
      <c r="F3" s="5">
        <f>Model!AV7+Model!AW7+Model!AX7+Model!AY7+Model!AZ7+Model!BA7+Model!BB7+Model!BC7+Model!BD7+Model!BE7+Model!BF7+Model!BG7</f>
        <v>13258749.920151999</v>
      </c>
      <c r="G3" s="5">
        <f>Model!BH7+Model!BI7+Model!BJ7+Model!BK7+Model!BL7+Model!BM7+Model!BN7+Model!BO7+Model!BP7+Model!BQ7+Model!BR7+Model!BS7</f>
        <v>0</v>
      </c>
      <c r="H3" s="5">
        <f>Model!BT7+Model!BU7+Model!BV7+Model!BW7+Model!BX7+Model!BY7+Model!BZ7+Model!CA7+Model!CB7+Model!CC7+Model!CD7+Model!CE7</f>
        <v>0</v>
      </c>
      <c r="I3" s="5">
        <f>Model!CF7+Model!CG7+Model!CH7</f>
        <v>0</v>
      </c>
    </row>
    <row r="4" spans="1:9" ht="15" customHeight="1" x14ac:dyDescent="0.25">
      <c r="A4" s="6" t="s">
        <v>68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69</v>
      </c>
      <c r="B5" s="8">
        <f>Model!C8+Model!D8+Model!E8+Model!F8+Model!G8+Model!H8+Model!I8+Model!J8+Model!K8</f>
        <v>2432750.5511790835</v>
      </c>
      <c r="C5" s="8">
        <f>Model!L8+Model!M8+Model!N8+Model!O8+Model!P8+Model!Q8+Model!R8+Model!S8+Model!T8+Model!U8+Model!V8+Model!W8</f>
        <v>4278346.6172676012</v>
      </c>
      <c r="D5" s="8">
        <f>Model!X8+Model!Y8+Model!Z8+Model!AA8+Model!AB8+Model!AC8+Model!AD8+Model!AE8+Model!AF8+Model!AG8+Model!AH8+Model!AI8</f>
        <v>3175775.3948650025</v>
      </c>
      <c r="E5" s="8">
        <f>Model!AJ8+Model!AK8+Model!AL8+Model!AM8+Model!AN8+Model!AO8+Model!AP8+Model!AQ8+Model!AR8+Model!AS8+Model!AT8+Model!AU8</f>
        <v>1544141.4983766237</v>
      </c>
      <c r="F5" s="8">
        <f>Model!AV8+Model!AW8+Model!AX8+Model!AY8+Model!AZ8+Model!BA8+Model!BB8+Model!BC8+Model!BD8+Model!BE8+Model!BF8+Model!BG8</f>
        <v>738475.57142857136</v>
      </c>
      <c r="G5" s="8">
        <f>Model!BH8+Model!BI8+Model!BJ8+Model!BK8+Model!BL8+Model!BM8+Model!BN8+Model!BO8+Model!BP8+Model!BQ8+Model!BR8+Model!BS8</f>
        <v>0</v>
      </c>
      <c r="H5" s="8">
        <f>Model!BT8+Model!BU8+Model!BV8+Model!BW8+Model!BX8+Model!BY8+Model!BZ8+Model!CA8+Model!CB8+Model!CC8+Model!CD8+Model!CE8</f>
        <v>0</v>
      </c>
      <c r="I5" s="8">
        <f>Model!CF8+Model!CG8+Model!CH8</f>
        <v>0</v>
      </c>
    </row>
    <row r="6" spans="1:9" ht="15" customHeight="1" x14ac:dyDescent="0.25">
      <c r="A6" s="7" t="s">
        <v>70</v>
      </c>
      <c r="B6" s="8">
        <f>Model!C9+Model!D9+Model!E9+Model!F9+Model!G9+Model!H9+Model!I9+Model!J9+Model!K9</f>
        <v>2557274.7090738206</v>
      </c>
      <c r="C6" s="8">
        <f>Model!L9+Model!M9+Model!N9+Model!O9+Model!P9+Model!Q9+Model!R9+Model!S9+Model!T9+Model!U9+Model!V9+Model!W9</f>
        <v>4350699.4593728641</v>
      </c>
      <c r="D6" s="8">
        <f>Model!X9+Model!Y9+Model!Z9+Model!AA9+Model!AB9+Model!AC9+Model!AD9+Model!AE9+Model!AF9+Model!AG9+Model!AH9+Model!AI9</f>
        <v>3175775.3948650025</v>
      </c>
      <c r="E6" s="8">
        <f>Model!AJ9+Model!AK9+Model!AL9+Model!AM9+Model!AN9+Model!AO9+Model!AP9+Model!AQ9+Model!AR9+Model!AS9+Model!AT9+Model!AU9</f>
        <v>1544141.4983766237</v>
      </c>
      <c r="F6" s="8">
        <f>Model!AV9+Model!AW9+Model!AX9+Model!AY9+Model!AZ9+Model!BA9+Model!BB9+Model!BC9+Model!BD9+Model!BE9+Model!BF9+Model!BG9</f>
        <v>738475.57142857136</v>
      </c>
      <c r="G6" s="8">
        <f>Model!BH9+Model!BI9+Model!BJ9+Model!BK9+Model!BL9+Model!BM9+Model!BN9+Model!BO9+Model!BP9+Model!BQ9+Model!BR9+Model!BS9</f>
        <v>0</v>
      </c>
      <c r="H6" s="8">
        <f>Model!BT9+Model!BU9+Model!BV9+Model!BW9+Model!BX9+Model!BY9+Model!BZ9+Model!CA9+Model!CB9+Model!CC9+Model!CD9+Model!CE9</f>
        <v>0</v>
      </c>
      <c r="I6" s="8">
        <f>Model!CF9+Model!CG9+Model!CH9</f>
        <v>0</v>
      </c>
    </row>
    <row r="7" spans="1:9" ht="15" customHeight="1" x14ac:dyDescent="0.25">
      <c r="A7" s="7" t="s">
        <v>71</v>
      </c>
      <c r="B7" s="8">
        <f>Model!C10+Model!D10+Model!E10+Model!F10+Model!G10+Model!H10+Model!I10+Model!J10+Model!K10</f>
        <v>686417.86903337913</v>
      </c>
      <c r="C7" s="8">
        <f>Model!L10+Model!M10+Model!N10+Model!O10+Model!P10+Model!Q10+Model!R10+Model!S10+Model!T10+Model!U10+Model!V10+Model!W10</f>
        <v>1330897.1871155163</v>
      </c>
      <c r="D7" s="8">
        <f>Model!X10+Model!Y10+Model!Z10+Model!AA10+Model!AB10+Model!AC10+Model!AD10+Model!AE10+Model!AF10+Model!AG10+Model!AH10+Model!AI10</f>
        <v>1058591.7982883349</v>
      </c>
      <c r="E7" s="8">
        <f>Model!AJ10+Model!AK10+Model!AL10+Model!AM10+Model!AN10+Model!AO10+Model!AP10+Model!AQ10+Model!AR10+Model!AS10+Model!AT10+Model!AU10</f>
        <v>514713.83279220789</v>
      </c>
      <c r="F7" s="8">
        <f>Model!AV10+Model!AW10+Model!AX10+Model!AY10+Model!AZ10+Model!BA10+Model!BB10+Model!BC10+Model!BD10+Model!BE10+Model!BF10+Model!BG10</f>
        <v>246158.5238095239</v>
      </c>
      <c r="G7" s="8">
        <f>Model!BH10+Model!BI10+Model!BJ10+Model!BK10+Model!BL10+Model!BM10+Model!BN10+Model!BO10+Model!BP10+Model!BQ10+Model!BR10+Model!BS10</f>
        <v>0</v>
      </c>
      <c r="H7" s="8">
        <f>Model!BT10+Model!BU10+Model!BV10+Model!BW10+Model!BX10+Model!BY10+Model!BZ10+Model!CA10+Model!CB10+Model!CC10+Model!CD10+Model!CE10</f>
        <v>0</v>
      </c>
      <c r="I7" s="8">
        <f>Model!CF10+Model!CG10+Model!CH10</f>
        <v>0</v>
      </c>
    </row>
    <row r="8" spans="1:9" ht="15" customHeight="1" x14ac:dyDescent="0.25">
      <c r="A8" s="7" t="s">
        <v>72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73</v>
      </c>
      <c r="B9" s="10">
        <f>Model!C12+Model!D12+Model!E12+Model!F12+Model!G12+Model!H12+Model!I12+Model!J12+Model!K12</f>
        <v>7081980.7492862837</v>
      </c>
      <c r="C9" s="10">
        <f>Model!L12+Model!M12+Model!N12+Model!O12+Model!P12+Model!Q12+Model!R12+Model!S12+Model!T12+Model!U12+Model!V12+Model!W12</f>
        <v>10638944.81375598</v>
      </c>
      <c r="D9" s="10">
        <f>Model!X12+Model!Y12+Model!Z12+Model!AA12+Model!AB12+Model!AC12+Model!AD12+Model!AE12+Model!AF12+Model!AG12+Model!AH12+Model!AI12</f>
        <v>8030462.0680183414</v>
      </c>
      <c r="E9" s="10">
        <f>Model!AJ12+Model!AK12+Model!AL12+Model!AM12+Model!AN12+Model!AO12+Model!AP12+Model!AQ12+Model!AR12+Model!AS12+Model!AT12+Model!AU12</f>
        <v>3602996.8295454546</v>
      </c>
      <c r="F9" s="10">
        <f>Model!AV12+Model!AW12+Model!AX12+Model!AY12+Model!AZ12+Model!BA12+Model!BB12+Model!BC12+Model!BD12+Model!BE12+Model!BF12+Model!BG12</f>
        <v>1723109.6666666665</v>
      </c>
      <c r="G9" s="10">
        <f>Model!BH12+Model!BI12+Model!BJ12+Model!BK12+Model!BL12+Model!BM12+Model!BN12+Model!BO12+Model!BP12+Model!BQ12+Model!BR12+Model!BS12</f>
        <v>0</v>
      </c>
      <c r="H9" s="10">
        <f>Model!BT12+Model!BU12+Model!BV12+Model!BW12+Model!BX12+Model!BY12+Model!BZ12+Model!CA12+Model!CB12+Model!CC12+Model!CD12+Model!CE12</f>
        <v>0</v>
      </c>
      <c r="I9" s="10">
        <f>Model!CF12+Model!CG12+Model!CH12</f>
        <v>0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74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75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76</v>
      </c>
      <c r="B13" s="8">
        <f>Model!C16+Model!D16+Model!E16+Model!F16+Model!G16+Model!H16+Model!I16+Model!J16+Model!K16</f>
        <v>-2333502.333333333</v>
      </c>
      <c r="C13" s="8">
        <f>Model!L16+Model!M16+Model!N16+Model!O16+Model!P16+Model!Q16+Model!R16+Model!S16+Model!T16+Model!U16+Model!V16+Model!W16</f>
        <v>-3386945.3799999994</v>
      </c>
      <c r="D13" s="8">
        <f>Model!X16+Model!Y16+Model!Z16+Model!AA16+Model!AB16+Model!AC16+Model!AD16+Model!AE16+Model!AF16+Model!AG16+Model!AH16+Model!AI16</f>
        <v>-3454684.2876000009</v>
      </c>
      <c r="E13" s="8">
        <f>Model!AJ16+Model!AK16+Model!AL16+Model!AM16+Model!AN16+Model!AO16+Model!AP16+Model!AQ16+Model!AR16+Model!AS16+Model!AT16+Model!AU16</f>
        <v>-3523777.9733519997</v>
      </c>
      <c r="F13" s="8">
        <f>Model!AV16+Model!AW16+Model!AX16+Model!AY16+Model!AZ16+Model!BA16+Model!BB16+Model!BC16+Model!BD16+Model!BE16+Model!BF16+Model!BG16</f>
        <v>-3594253.5328190406</v>
      </c>
      <c r="G13" s="8">
        <f>Model!BH16+Model!BI16+Model!BJ16+Model!BK16+Model!BL16+Model!BM16+Model!BN16+Model!BO16+Model!BP16+Model!BQ16+Model!BR16+Model!BS16</f>
        <v>-3666138.6034754212</v>
      </c>
      <c r="H13" s="8">
        <f>Model!BT16+Model!BU16+Model!BV16+Model!BW16+Model!BX16+Model!BY16+Model!BZ16+Model!CA16+Model!CB16+Model!CC16+Model!CD16+Model!CE16</f>
        <v>-3739461.3755449299</v>
      </c>
      <c r="I13" s="8">
        <f>Model!CF16+Model!CG16+Model!CH16</f>
        <v>-939470.59188567195</v>
      </c>
    </row>
    <row r="14" spans="1:9" ht="15" customHeight="1" x14ac:dyDescent="0.25">
      <c r="A14" s="7" t="s">
        <v>77</v>
      </c>
      <c r="B14" s="8">
        <f>Model!C17+Model!D17+Model!E17+Model!F17+Model!G17+Model!H17+Model!I17+Model!J17+Model!K17</f>
        <v>-491249.99999999994</v>
      </c>
      <c r="C14" s="8">
        <f>Model!L17+Model!M17+Model!N17+Model!O17+Model!P17+Model!Q17+Model!R17+Model!S17+Model!T17+Model!U17+Model!V17+Model!W17</f>
        <v>-664825</v>
      </c>
      <c r="D14" s="8">
        <f>Model!X17+Model!Y17+Model!Z17+Model!AA17+Model!AB17+Model!AC17+Model!AD17+Model!AE17+Model!AF17+Model!AG17+Model!AH17+Model!AI17</f>
        <v>-678121.5</v>
      </c>
      <c r="E14" s="8">
        <f>Model!AJ17+Model!AK17+Model!AL17+Model!AM17+Model!AN17+Model!AO17+Model!AP17+Model!AQ17+Model!AR17+Model!AS17+Model!AT17+Model!AU17</f>
        <v>-691683.93</v>
      </c>
      <c r="F14" s="8">
        <f>Model!AV17+Model!AW17+Model!AX17+Model!AY17+Model!AZ17+Model!BA17+Model!BB17+Model!BC17+Model!BD17+Model!BE17+Model!BF17+Model!BG17</f>
        <v>-705517.60860000015</v>
      </c>
      <c r="G14" s="8">
        <f>Model!BH17+Model!BI17+Model!BJ17+Model!BK17+Model!BL17+Model!BM17+Model!BN17+Model!BO17+Model!BP17+Model!BQ17+Model!BR17+Model!BS17</f>
        <v>-719627.96077200025</v>
      </c>
      <c r="H14" s="8">
        <f>Model!BT17+Model!BU17+Model!BV17+Model!BW17+Model!BX17+Model!BY17+Model!BZ17+Model!CA17+Model!CB17+Model!CC17+Model!CD17+Model!CE17</f>
        <v>-734020.51998744009</v>
      </c>
      <c r="I14" s="8">
        <f>Model!CF17+Model!CG17+Model!CH17</f>
        <v>-184409.09615448001</v>
      </c>
    </row>
    <row r="15" spans="1:9" ht="15" customHeight="1" x14ac:dyDescent="0.25">
      <c r="A15" s="9" t="s">
        <v>78</v>
      </c>
      <c r="B15" s="10">
        <f>Model!C38+Model!D38+Model!E38+Model!F38+Model!G38+Model!H38+Model!I38+Model!J38+Model!K38</f>
        <v>-4486236.7075333335</v>
      </c>
      <c r="C15" s="10">
        <f>Model!L38+Model!M38+Model!N38+Model!O38+Model!P38+Model!Q38+Model!R38+Model!S38+Model!T38+Model!U38+Model!V38+Model!W38</f>
        <v>-6898330.7912999988</v>
      </c>
      <c r="D15" s="10">
        <f>Model!X38+Model!Y38+Model!Z38+Model!AA38+Model!AB38+Model!AC38+Model!AD38+Model!AE38+Model!AF38+Model!AG38+Model!AH38+Model!AI38</f>
        <v>-6879729.5216259984</v>
      </c>
      <c r="E15" s="10">
        <f>Model!AJ38+Model!AK38+Model!AL38+Model!AM38+Model!AN38+Model!AO38+Model!AP38+Model!AQ38+Model!AR38+Model!AS38+Model!AT38+Model!AU38</f>
        <v>-5646418.0612585209</v>
      </c>
      <c r="F15" s="10">
        <f>Model!AV38+Model!AW38+Model!AX38+Model!AY38+Model!AZ38+Model!BA38+Model!BB38+Model!BC38+Model!BD38+Model!BE38+Model!BF38+Model!BG38</f>
        <v>-5759346.422483691</v>
      </c>
      <c r="G15" s="10">
        <f>Model!BH38+Model!BI38+Model!BJ38+Model!BK38+Model!BL38+Model!BM38+Model!BN38+Model!BO38+Model!BP38+Model!BQ38+Model!BR38+Model!BS38</f>
        <v>-5874533.3509333637</v>
      </c>
      <c r="H15" s="10">
        <f>Model!BT38+Model!BU38+Model!BV38+Model!BW38+Model!BX38+Model!BY38+Model!BZ38+Model!CA38+Model!CB38+Model!CC38+Model!CD38+Model!CE38</f>
        <v>-5992024.0179520305</v>
      </c>
      <c r="I15" s="10">
        <f>Model!CF38+Model!CG38+Model!CH38</f>
        <v>-1505385.3444115941</v>
      </c>
    </row>
    <row r="16" spans="1:9" ht="15" customHeight="1" x14ac:dyDescent="0.25">
      <c r="A16" s="13" t="s">
        <v>79</v>
      </c>
      <c r="B16" s="14">
        <f>Model!C40+Model!D40+Model!E40+Model!F40+Model!G40+Model!H40+Model!I40+Model!J40+Model!K40</f>
        <v>2595744.0417529508</v>
      </c>
      <c r="C16" s="14">
        <f>Model!L40+Model!M40+Model!N40+Model!O40+Model!P40+Model!Q40+Model!R40+Model!S40+Model!T40+Model!U40+Model!V40+Model!W40</f>
        <v>3740614.0224559801</v>
      </c>
      <c r="D16" s="14">
        <f>Model!X40+Model!Y40+Model!Z40+Model!AA40+Model!AB40+Model!AC40+Model!AD40+Model!AE40+Model!AF40+Model!AG40+Model!AH40+Model!AI40</f>
        <v>1150732.5463923416</v>
      </c>
      <c r="E16" s="14">
        <f>Model!AJ40+Model!AK40+Model!AL40+Model!AM40+Model!AN40+Model!AO40+Model!AP40+Model!AQ40+Model!AR40+Model!AS40+Model!AT40+Model!AU40</f>
        <v>-2043421.2317130654</v>
      </c>
      <c r="F16" s="14">
        <f>Model!AV40+Model!AW40+Model!AX40+Model!AY40+Model!AZ40+Model!BA40+Model!BB40+Model!BC40+Model!BD40+Model!BE40+Model!BF40+Model!BG40</f>
        <v>-4036236.7558170226</v>
      </c>
      <c r="G16" s="14">
        <f>Model!BH40+Model!BI40+Model!BJ40+Model!BK40+Model!BL40+Model!BM40+Model!BN40+Model!BO40+Model!BP40+Model!BQ40+Model!BR40+Model!BS40</f>
        <v>-5874533.3509333637</v>
      </c>
      <c r="H16" s="14">
        <f>Model!BT40+Model!BU40+Model!BV40+Model!BW40+Model!BX40+Model!BY40+Model!BZ40+Model!CA40+Model!CB40+Model!CC40+Model!CD40+Model!CE40</f>
        <v>-5992024.0179520305</v>
      </c>
      <c r="I16" s="14">
        <f>Model!CF40+Model!CG40+Model!CH40</f>
        <v>-1505385.3444115941</v>
      </c>
    </row>
    <row r="17" spans="1:9" ht="15" customHeight="1" x14ac:dyDescent="0.25">
      <c r="A17" s="7" t="s">
        <v>80</v>
      </c>
      <c r="B17" s="15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0.36652797199632992</v>
      </c>
      <c r="C17" s="15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0.35159633666107826</v>
      </c>
      <c r="D17" s="15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0.14329593199564233</v>
      </c>
      <c r="E17" s="15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-0.5671448875437558</v>
      </c>
      <c r="F17" s="15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-2.3424143186574251</v>
      </c>
      <c r="G17" s="15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5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5">
        <f>IF((Model!CF12+Model!CG12+Model!CH12)&lt;&gt;0,(Model!CF40+Model!CG40+Model!CH40)/(Model!CF12+Model!CG12+Model!CH12),0)</f>
        <v>0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81</v>
      </c>
      <c r="B19" s="17">
        <f>Model!C63+Model!D63+Model!E63+Model!F63+Model!G63+Model!H63+Model!I63+Model!J63+Model!K63</f>
        <v>913541.32</v>
      </c>
      <c r="C19" s="17">
        <f>Model!L63+Model!M63+Model!N63+Model!O63+Model!P63+Model!Q63+Model!R63+Model!S63+Model!T63+Model!U63+Model!V63+Model!W63</f>
        <v>599023.02000000014</v>
      </c>
      <c r="D19" s="17">
        <f>Model!X63+Model!Y63+Model!Z63+Model!AA63+Model!AB63+Model!AC63+Model!AD63+Model!AE63+Model!AF63+Model!AG63+Model!AH63+Model!AI63</f>
        <v>258671.05</v>
      </c>
      <c r="E19" s="17">
        <f>Model!AJ63+Model!AK63+Model!AL63+Model!AM63+Model!AN63+Model!AO63+Model!AP63+Model!AQ63+Model!AR63+Model!AS63+Model!AT63+Model!AU63</f>
        <v>163365</v>
      </c>
      <c r="F19" s="17">
        <f>Model!AV63+Model!AW63+Model!AX63+Model!AY63+Model!AZ63+Model!BA63+Model!BB63+Model!BC63+Model!BD63+Model!BE63+Model!BF63+Model!BG63</f>
        <v>1276957</v>
      </c>
      <c r="G19" s="17">
        <f>Model!BH63+Model!BI63+Model!BJ63+Model!BK63+Model!BL63+Model!BM63+Model!BN63+Model!BO63+Model!BP63+Model!BQ63+Model!BR63+Model!BS63</f>
        <v>546560</v>
      </c>
      <c r="H19" s="17">
        <f>Model!BT63+Model!BU63+Model!BV63+Model!BW63+Model!BX63+Model!BY63+Model!BZ63+Model!CA63+Model!CB63+Model!CC63+Model!CD63+Model!CE63</f>
        <v>819993</v>
      </c>
      <c r="I19" s="17">
        <f>Model!CF63+Model!CG63+Model!CH63</f>
        <v>231016</v>
      </c>
    </row>
    <row r="20" spans="1:9" ht="15" customHeight="1" x14ac:dyDescent="0.25">
      <c r="A20" s="7" t="s">
        <v>82</v>
      </c>
      <c r="B20" s="8">
        <f>Model!C84+Model!D84+Model!E84+Model!F84+Model!G84+Model!H84+Model!I84+Model!J84+Model!K84</f>
        <v>-1411304.3699999996</v>
      </c>
      <c r="C20" s="8">
        <f>Model!L84+Model!M84+Model!N84+Model!O84+Model!P84+Model!Q84+Model!R84+Model!S84+Model!T84+Model!U84+Model!V84+Model!W84</f>
        <v>-1501176.625</v>
      </c>
      <c r="D20" s="8">
        <f>Model!X84+Model!Y84+Model!Z84+Model!AA84+Model!AB84+Model!AC84+Model!AD84+Model!AE84+Model!AF84+Model!AG84+Model!AH84+Model!AI84</f>
        <v>-1531200.1575</v>
      </c>
      <c r="E20" s="8">
        <f>Model!AJ84+Model!AK84+Model!AL84+Model!AM84+Model!AN84+Model!AO84+Model!AP84+Model!AQ84+Model!AR84+Model!AS84+Model!AT84+Model!AU84</f>
        <v>-1725189.16065</v>
      </c>
      <c r="F20" s="8">
        <f>Model!AV84+Model!AW84+Model!AX84+Model!AY84+Model!AZ84+Model!BA84+Model!BB84+Model!BC84+Model!BD84+Model!BE84+Model!BF84+Model!BG84</f>
        <v>-2870017.643863</v>
      </c>
      <c r="G20" s="8">
        <f>Model!BH84+Model!BI84+Model!BJ84+Model!BK84+Model!BL84+Model!BM84+Model!BN84+Model!BO84+Model!BP84+Model!BQ84+Model!BR84+Model!BS84</f>
        <v>-2052206.3367402598</v>
      </c>
      <c r="H20" s="8">
        <f>Model!BT84+Model!BU84+Model!BV84+Model!BW84+Model!BX84+Model!BY84+Model!BZ84+Model!CA84+Model!CB84+Model!CC84+Model!CD84+Model!CE84</f>
        <v>-2188891.2938750656</v>
      </c>
      <c r="I20" s="8">
        <f>Model!CF84+Model!CG84+Model!CH84</f>
        <v>-551856.39466839726</v>
      </c>
    </row>
    <row r="21" spans="1:9" ht="15" customHeight="1" x14ac:dyDescent="0.25">
      <c r="A21" s="13" t="s">
        <v>83</v>
      </c>
      <c r="B21" s="14">
        <f>Model!C86+Model!D86+Model!E86+Model!F86+Model!G86+Model!H86+Model!I86+Model!J86+Model!K86</f>
        <v>-497763.04999999981</v>
      </c>
      <c r="C21" s="14">
        <f>Model!L86+Model!M86+Model!N86+Model!O86+Model!P86+Model!Q86+Model!R86+Model!S86+Model!T86+Model!U86+Model!V86+Model!W86</f>
        <v>-902153.6050000001</v>
      </c>
      <c r="D21" s="14">
        <f>Model!X86+Model!Y86+Model!Z86+Model!AA86+Model!AB86+Model!AC86+Model!AD86+Model!AE86+Model!AF86+Model!AG86+Model!AH86+Model!AI86</f>
        <v>-1272529.1074999999</v>
      </c>
      <c r="E21" s="14">
        <f>Model!AJ86+Model!AK86+Model!AL86+Model!AM86+Model!AN86+Model!AO86+Model!AP86+Model!AQ86+Model!AR86+Model!AS86+Model!AT86+Model!AU86</f>
        <v>-1561824.16065</v>
      </c>
      <c r="F21" s="14">
        <f>Model!AV86+Model!AW86+Model!AX86+Model!AY86+Model!AZ86+Model!BA86+Model!BB86+Model!BC86+Model!BD86+Model!BE86+Model!BF86+Model!BG86</f>
        <v>-1593060.6438629995</v>
      </c>
      <c r="G21" s="14">
        <f>Model!BH86+Model!BI86+Model!BJ86+Model!BK86+Model!BL86+Model!BM86+Model!BN86+Model!BO86+Model!BP86+Model!BQ86+Model!BR86+Model!BS86</f>
        <v>-1505646.33674026</v>
      </c>
      <c r="H21" s="14">
        <f>Model!BT86+Model!BU86+Model!BV86+Model!BW86+Model!BX86+Model!BY86+Model!BZ86+Model!CA86+Model!CB86+Model!CC86+Model!CD86+Model!CE86</f>
        <v>-1368898.2938750654</v>
      </c>
      <c r="I21" s="14">
        <f>Model!CF86+Model!CG86+Model!CH86</f>
        <v>-320840.3946683972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84</v>
      </c>
      <c r="B23" s="14">
        <f>Model!C95+Model!D95+Model!E95+Model!F95+Model!G95+Model!H95+Model!I95+Model!J95+Model!K95</f>
        <v>2097980.9917529509</v>
      </c>
      <c r="C23" s="14">
        <f>Model!L95+Model!M95+Model!N95+Model!O95+Model!P95+Model!Q95+Model!R95+Model!S95+Model!T95+Model!U95+Model!V95+Model!W95</f>
        <v>2838460.4174559796</v>
      </c>
      <c r="D23" s="14">
        <f>Model!X95+Model!Y95+Model!Z95+Model!AA95+Model!AB95+Model!AC95+Model!AD95+Model!AE95+Model!AF95+Model!AG95+Model!AH95+Model!AI95</f>
        <v>-121796.56110765866</v>
      </c>
      <c r="E23" s="14">
        <f>Model!AJ95+Model!AK95+Model!AL95+Model!AM95+Model!AN95+Model!AO95+Model!AP95+Model!AQ95+Model!AR95+Model!AS95+Model!AT95+Model!AU95</f>
        <v>-3605245.3923630659</v>
      </c>
      <c r="F23" s="14">
        <f>Model!AV95+Model!AW95+Model!AX95+Model!AY95+Model!AZ95+Model!BA95+Model!BB95+Model!BC95+Model!BD95+Model!BE95+Model!BF95+Model!BG95</f>
        <v>-5629297.3996800231</v>
      </c>
      <c r="G23" s="14">
        <f>Model!BH95+Model!BI95+Model!BJ95+Model!BK95+Model!BL95+Model!BM95+Model!BN95+Model!BO95+Model!BP95+Model!BQ95+Model!BR95+Model!BS95</f>
        <v>-7380179.6876736237</v>
      </c>
      <c r="H23" s="14">
        <f>Model!BT95+Model!BU95+Model!BV95+Model!BW95+Model!BX95+Model!BY95+Model!BZ95+Model!CA95+Model!CB95+Model!CC95+Model!CD95+Model!CE95</f>
        <v>-7360922.3118270962</v>
      </c>
      <c r="I23" s="14">
        <f>Model!CF95+Model!CG95+Model!CH95</f>
        <v>-1826225.7390799914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85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86</v>
      </c>
      <c r="B26" s="8">
        <f>Model!C79+Model!D79+Model!E79+Model!F79+Model!G79+Model!H79+Model!I79+Model!J79+Model!K79</f>
        <v>-171223.12</v>
      </c>
      <c r="C26" s="8">
        <f>Model!L79+Model!M79+Model!N79+Model!O79+Model!P79+Model!Q79+Model!R79+Model!S79+Model!T79+Model!U79+Model!V79+Model!W79</f>
        <v>0</v>
      </c>
      <c r="D26" s="8">
        <f>Model!X79+Model!Y79+Model!Z79+Model!AA79+Model!AB79+Model!AC79+Model!AD79+Model!AE79+Model!AF79+Model!AG79+Model!AH79+Model!AI79</f>
        <v>0</v>
      </c>
      <c r="E26" s="8">
        <f>Model!AJ79+Model!AK79+Model!AL79+Model!AM79+Model!AN79+Model!AO79+Model!AP79+Model!AQ79+Model!AR79+Model!AS79+Model!AT79+Model!AU79</f>
        <v>0</v>
      </c>
      <c r="F26" s="8">
        <f>Model!AV79+Model!AW79+Model!AX79+Model!AY79+Model!AZ79+Model!BA79+Model!BB79+Model!BC79+Model!BD79+Model!BE79+Model!BF79+Model!BG79</f>
        <v>0</v>
      </c>
      <c r="G26" s="8">
        <f>Model!BH79+Model!BI79+Model!BJ79+Model!BK79+Model!BL79+Model!BM79+Model!BN79+Model!BO79+Model!BP79+Model!BQ79+Model!BR79+Model!BS79</f>
        <v>0</v>
      </c>
      <c r="H26" s="8">
        <f>Model!BT79+Model!BU79+Model!BV79+Model!BW79+Model!BX79+Model!BY79+Model!BZ79+Model!CA79+Model!CB79+Model!CC79+Model!CD79+Model!CE79</f>
        <v>0</v>
      </c>
      <c r="I26" s="8">
        <f>Model!CF79+Model!CG79+Model!CH79</f>
        <v>0</v>
      </c>
    </row>
    <row r="27" spans="1:9" ht="15" customHeight="1" x14ac:dyDescent="0.25">
      <c r="A27" s="7" t="s">
        <v>87</v>
      </c>
      <c r="B27" s="8">
        <f>Model!C80+Model!D80+Model!E80+Model!F80+Model!G80+Model!H80+Model!I80+Model!J80+Model!K80</f>
        <v>-120000</v>
      </c>
      <c r="C27" s="8">
        <f>Model!L80+Model!M80+Model!N80+Model!O80+Model!P80+Model!Q80+Model!R80+Model!S80+Model!T80+Model!U80+Model!V80+Model!W80</f>
        <v>0</v>
      </c>
      <c r="D27" s="8">
        <f>Model!X80+Model!Y80+Model!Z80+Model!AA80+Model!AB80+Model!AC80+Model!AD80+Model!AE80+Model!AF80+Model!AG80+Model!AH80+Model!AI80</f>
        <v>0</v>
      </c>
      <c r="E27" s="8">
        <f>Model!AJ80+Model!AK80+Model!AL80+Model!AM80+Model!AN80+Model!AO80+Model!AP80+Model!AQ80+Model!AR80+Model!AS80+Model!AT80+Model!AU80</f>
        <v>0</v>
      </c>
      <c r="F27" s="8">
        <f>Model!AV80+Model!AW80+Model!AX80+Model!AY80+Model!AZ80+Model!BA80+Model!BB80+Model!BC80+Model!BD80+Model!BE80+Model!BF80+Model!BG80</f>
        <v>0</v>
      </c>
      <c r="G27" s="8">
        <f>Model!BH80+Model!BI80+Model!BJ80+Model!BK80+Model!BL80+Model!BM80+Model!BN80+Model!BO80+Model!BP80+Model!BQ80+Model!BR80+Model!BS80</f>
        <v>0</v>
      </c>
      <c r="H27" s="8">
        <f>Model!BT80+Model!BU80+Model!BV80+Model!BW80+Model!BX80+Model!BY80+Model!BZ80+Model!CA80+Model!CB80+Model!CC80+Model!CD80+Model!CE80</f>
        <v>0</v>
      </c>
      <c r="I27" s="8">
        <f>Model!CF80+Model!CG80+Model!CH80</f>
        <v>0</v>
      </c>
    </row>
    <row r="28" spans="1:9" ht="15" customHeight="1" x14ac:dyDescent="0.25">
      <c r="A28" s="7" t="s">
        <v>88</v>
      </c>
      <c r="B28" s="8">
        <f>Model!C81+Model!D81+Model!E81+Model!F81+Model!G81+Model!H81+Model!I81+Model!J81+Model!K81</f>
        <v>0</v>
      </c>
      <c r="C28" s="8">
        <f>Model!L81+Model!M81+Model!N81+Model!O81+Model!P81+Model!Q81+Model!R81+Model!S81+Model!T81+Model!U81+Model!V81+Model!W81</f>
        <v>0</v>
      </c>
      <c r="D28" s="8">
        <f>Model!X81+Model!Y81+Model!Z81+Model!AA81+Model!AB81+Model!AC81+Model!AD81+Model!AE81+Model!AF81+Model!AG81+Model!AH81+Model!AI81</f>
        <v>0</v>
      </c>
      <c r="E28" s="8">
        <f>Model!AJ81+Model!AK81+Model!AL81+Model!AM81+Model!AN81+Model!AO81+Model!AP81+Model!AQ81+Model!AR81+Model!AS81+Model!AT81+Model!AU81</f>
        <v>-163365</v>
      </c>
      <c r="F28" s="8">
        <f>Model!AV81+Model!AW81+Model!AX81+Model!AY81+Model!AZ81+Model!BA81+Model!BB81+Model!BC81+Model!BD81+Model!BE81+Model!BF81+Model!BG81</f>
        <v>-281718</v>
      </c>
      <c r="G28" s="8">
        <f>Model!BH81+Model!BI81+Model!BJ81+Model!BK81+Model!BL81+Model!BM81+Model!BN81+Model!BO81+Model!BP81+Model!BQ81+Model!BR81+Model!BS81</f>
        <v>-134601.47999999998</v>
      </c>
      <c r="H28" s="8">
        <f>Model!BT81+Model!BU81+Model!BV81+Model!BW81+Model!BX81+Model!BY81+Model!BZ81+Model!CA81+Model!CB81+Model!CC81+Model!CD81+Model!CE81</f>
        <v>0</v>
      </c>
      <c r="I28" s="8">
        <f>Model!CF81+Model!CG81+Model!CH81</f>
        <v>0</v>
      </c>
    </row>
    <row r="29" spans="1:9" ht="15" customHeight="1" x14ac:dyDescent="0.25">
      <c r="A29" s="7" t="s">
        <v>89</v>
      </c>
      <c r="B29" s="8">
        <f>Model!C82+Model!D82+Model!E82+Model!F82+Model!G82+Model!H82+Model!I82+Model!J82+Model!K82</f>
        <v>0</v>
      </c>
      <c r="C29" s="8">
        <f>Model!L82+Model!M82+Model!N82+Model!O82+Model!P82+Model!Q82+Model!R82+Model!S82+Model!T82+Model!U82+Model!V82+Model!W82</f>
        <v>0</v>
      </c>
      <c r="D29" s="8">
        <f>Model!X82+Model!Y82+Model!Z82+Model!AA82+Model!AB82+Model!AC82+Model!AD82+Model!AE82+Model!AF82+Model!AG82+Model!AH82+Model!AI82</f>
        <v>0</v>
      </c>
      <c r="E29" s="8">
        <f>Model!AJ82+Model!AK82+Model!AL82+Model!AM82+Model!AN82+Model!AO82+Model!AP82+Model!AQ82+Model!AR82+Model!AS82+Model!AT82+Model!AU82</f>
        <v>0</v>
      </c>
      <c r="F29" s="8">
        <f>Model!AV82+Model!AW82+Model!AX82+Model!AY82+Model!AZ82+Model!BA82+Model!BB82+Model!BC82+Model!BD82+Model!BE82+Model!BF82+Model!BG82</f>
        <v>-995239</v>
      </c>
      <c r="G29" s="8">
        <f>Model!BH82+Model!BI82+Model!BJ82+Model!BK82+Model!BL82+Model!BM82+Model!BN82+Model!BO82+Model!BP82+Model!BQ82+Model!BR82+Model!BS82</f>
        <v>-292683</v>
      </c>
      <c r="H29" s="8">
        <f>Model!BT82+Model!BU82+Model!BV82+Model!BW82+Model!BX82+Model!BY82+Model!BZ82+Model!CA82+Model!CB82+Model!CC82+Model!CD82+Model!CE82</f>
        <v>-312005</v>
      </c>
      <c r="I29" s="8">
        <f>Model!CF82+Model!CG82+Model!CH82</f>
        <v>-74753.973393520777</v>
      </c>
    </row>
    <row r="30" spans="1:9" ht="15" customHeight="1" x14ac:dyDescent="0.25">
      <c r="A30" s="7" t="s">
        <v>90</v>
      </c>
      <c r="B30" s="8">
        <f>Model!C83+Model!D83+Model!E83+Model!F83+Model!G83+Model!H83+Model!I83+Model!J83+Model!K83</f>
        <v>0</v>
      </c>
      <c r="C30" s="8">
        <f>Model!L83+Model!M83+Model!N83+Model!O83+Model!P83+Model!Q83+Model!R83+Model!S83+Model!T83+Model!U83+Model!V83+Model!W83</f>
        <v>0</v>
      </c>
      <c r="D30" s="8">
        <f>Model!X83+Model!Y83+Model!Z83+Model!AA83+Model!AB83+Model!AC83+Model!AD83+Model!AE83+Model!AF83+Model!AG83+Model!AH83+Model!AI83</f>
        <v>0</v>
      </c>
      <c r="E30" s="8">
        <f>Model!AJ83+Model!AK83+Model!AL83+Model!AM83+Model!AN83+Model!AO83+Model!AP83+Model!AQ83+Model!AR83+Model!AS83+Model!AT83+Model!AU83</f>
        <v>0</v>
      </c>
      <c r="F30" s="8">
        <f>Model!AV83+Model!AW83+Model!AX83+Model!AY83+Model!AZ83+Model!BA83+Model!BB83+Model!BC83+Model!BD83+Model!BE83+Model!BF83+Model!BG83</f>
        <v>0</v>
      </c>
      <c r="G30" s="8">
        <f>Model!BH83+Model!BI83+Model!BJ83+Model!BK83+Model!BL83+Model!BM83+Model!BN83+Model!BO83+Model!BP83+Model!BQ83+Model!BR83+Model!BS83</f>
        <v>0</v>
      </c>
      <c r="H30" s="8">
        <f>Model!BT83+Model!BU83+Model!BV83+Model!BW83+Model!BX83+Model!BY83+Model!BZ83+Model!CA83+Model!CB83+Model!CC83+Model!CD83+Model!CE83</f>
        <v>-219466</v>
      </c>
      <c r="I30" s="8">
        <f>Model!CF83+Model!CG83+Model!CH83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91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92</v>
      </c>
      <c r="B33" s="8">
        <f>Model!C100+Model!D100+Model!E100+Model!F100+Model!G100+Model!H100+Model!I100+Model!J100+Model!K100</f>
        <v>-390000</v>
      </c>
      <c r="C33" s="8">
        <f>Model!L100+Model!M100+Model!N100+Model!O100+Model!P100+Model!Q100+Model!R100+Model!S100+Model!T100+Model!U100+Model!V100+Model!W100</f>
        <v>-1495969.243285445</v>
      </c>
      <c r="D33" s="8">
        <f>Model!X100+Model!Y100+Model!Z100+Model!AA100+Model!AB100+Model!AC100+Model!AD100+Model!AE100+Model!AF100+Model!AG100+Model!AH100+Model!AI100</f>
        <v>0</v>
      </c>
      <c r="E33" s="8">
        <f>Model!AJ100+Model!AK100+Model!AL100+Model!AM100+Model!AN100+Model!AO100+Model!AP100+Model!AQ100+Model!AR100+Model!AS100+Model!AT100+Model!AU100</f>
        <v>0</v>
      </c>
      <c r="F33" s="8">
        <f>Model!AV100+Model!AW100+Model!AX100+Model!AY100+Model!AZ100+Model!BA100+Model!BB100+Model!BC100+Model!BD100+Model!BE100+Model!BF100+Model!BG100</f>
        <v>0</v>
      </c>
      <c r="G33" s="8">
        <f>Model!BH100+Model!BI100+Model!BJ100+Model!BK100+Model!BL100+Model!BM100+Model!BN100+Model!BO100+Model!BP100+Model!BQ100+Model!BR100+Model!BS100</f>
        <v>0</v>
      </c>
      <c r="H33" s="8">
        <f>Model!BT100+Model!BU100+Model!BV100+Model!BW100+Model!BX100+Model!BY100+Model!BZ100+Model!CA100+Model!CB100+Model!CC100+Model!CD100+Model!CE100</f>
        <v>0</v>
      </c>
      <c r="I33" s="8">
        <f>Model!CF100+Model!CG100+Model!CH100</f>
        <v>0</v>
      </c>
    </row>
    <row r="34" spans="1:9" ht="15" customHeight="1" x14ac:dyDescent="0.25">
      <c r="A34" s="7" t="s">
        <v>93</v>
      </c>
      <c r="B34" s="8">
        <f>Model!K101</f>
        <v>1404377.581435547</v>
      </c>
      <c r="C34" s="8">
        <f>Model!W101</f>
        <v>0</v>
      </c>
      <c r="D34" s="8">
        <f>Model!AI101</f>
        <v>0</v>
      </c>
      <c r="E34" s="8">
        <f>Model!AU101</f>
        <v>0</v>
      </c>
      <c r="F34" s="8">
        <f>Model!BG101</f>
        <v>0</v>
      </c>
      <c r="G34" s="8">
        <f>Model!BS101</f>
        <v>0</v>
      </c>
      <c r="H34" s="8">
        <f>Model!CE101</f>
        <v>0</v>
      </c>
      <c r="I34" s="8">
        <f>Model!CH101</f>
        <v>0</v>
      </c>
    </row>
    <row r="35" spans="1:9" ht="15" customHeight="1" x14ac:dyDescent="0.25">
      <c r="A35" s="7" t="s">
        <v>94</v>
      </c>
      <c r="B35" s="8">
        <f>Model!C106+Model!D106+Model!E106+Model!F106+Model!G106+Model!H106+Model!I106+Model!J106+Model!K106</f>
        <v>0</v>
      </c>
      <c r="C35" s="8">
        <f>Model!L106+Model!M106+Model!N106+Model!O106+Model!P106+Model!Q106+Model!R106+Model!S106+Model!T106+Model!U106+Model!V106+Model!W106</f>
        <v>-250000</v>
      </c>
      <c r="D35" s="8">
        <f>Model!X106+Model!Y106+Model!Z106+Model!AA106+Model!AB106+Model!AC106+Model!AD106+Model!AE106+Model!AF106+Model!AG106+Model!AH106+Model!AI106</f>
        <v>-250000</v>
      </c>
      <c r="E35" s="8">
        <f>Model!AJ106+Model!AK106+Model!AL106+Model!AM106+Model!AN106+Model!AO106+Model!AP106+Model!AQ106+Model!AR106+Model!AS106+Model!AT106+Model!AU106</f>
        <v>0</v>
      </c>
      <c r="F35" s="8">
        <f>Model!AV106+Model!AW106+Model!AX106+Model!AY106+Model!AZ106+Model!BA106+Model!BB106+Model!BC106+Model!BD106+Model!BE106+Model!BF106+Model!BG106</f>
        <v>0</v>
      </c>
      <c r="G35" s="8">
        <f>Model!BH106+Model!BI106+Model!BJ106+Model!BK106+Model!BL106+Model!BM106+Model!BN106+Model!BO106+Model!BP106+Model!BQ106+Model!BR106+Model!BS106</f>
        <v>0</v>
      </c>
      <c r="H35" s="8">
        <f>Model!BT106+Model!BU106+Model!BV106+Model!BW106+Model!BX106+Model!BY106+Model!BZ106+Model!CA106+Model!CB106+Model!CC106+Model!CD106+Model!CE106</f>
        <v>0</v>
      </c>
      <c r="I35" s="8">
        <f>Model!CF106+Model!CG106+Model!CH106</f>
        <v>0</v>
      </c>
    </row>
    <row r="36" spans="1:9" ht="15" customHeight="1" x14ac:dyDescent="0.25">
      <c r="A36" s="7" t="s">
        <v>95</v>
      </c>
      <c r="B36" s="8">
        <f>Model!K107</f>
        <v>1000000</v>
      </c>
      <c r="C36" s="8">
        <f>Model!W107</f>
        <v>750000</v>
      </c>
      <c r="D36" s="8">
        <f>Model!AI107</f>
        <v>500000</v>
      </c>
      <c r="E36" s="8">
        <f>Model!AU107</f>
        <v>500000</v>
      </c>
      <c r="F36" s="8">
        <f>Model!BG107</f>
        <v>500000</v>
      </c>
      <c r="G36" s="8">
        <f>Model!BS107</f>
        <v>500000</v>
      </c>
      <c r="H36" s="8">
        <f>Model!CE107</f>
        <v>500000</v>
      </c>
      <c r="I36" s="8">
        <f>Model!CH107</f>
        <v>500000</v>
      </c>
    </row>
    <row r="37" spans="1:9" ht="15" customHeight="1" x14ac:dyDescent="0.25">
      <c r="A37" s="7" t="s">
        <v>96</v>
      </c>
      <c r="B37" s="8">
        <f>Model!C154+Model!D154+Model!E154+Model!F154+Model!G154+Model!H154+Model!I154+Model!J154+Model!K154</f>
        <v>0</v>
      </c>
      <c r="C37" s="8">
        <f>Model!L154+Model!M154+Model!N154+Model!O154+Model!P154+Model!Q154+Model!R154+Model!S154+Model!T154+Model!U154+Model!V154+Model!W154</f>
        <v>0</v>
      </c>
      <c r="D37" s="8">
        <f>Model!X154+Model!Y154+Model!Z154+Model!AA154+Model!AB154+Model!AC154+Model!AD154+Model!AE154+Model!AF154+Model!AG154+Model!AH154+Model!AI154</f>
        <v>0</v>
      </c>
      <c r="E37" s="8">
        <f>Model!AJ154+Model!AK154+Model!AL154+Model!AM154+Model!AN154+Model!AO154+Model!AP154+Model!AQ154+Model!AR154+Model!AS154+Model!AT154+Model!AU154</f>
        <v>0</v>
      </c>
      <c r="F37" s="8">
        <f>Model!AV154+Model!AW154+Model!AX154+Model!AY154+Model!AZ154+Model!BA154+Model!BB154+Model!BC154+Model!BD154+Model!BE154+Model!BF154+Model!BG154</f>
        <v>0</v>
      </c>
      <c r="G37" s="8">
        <f>Model!BH154+Model!BI154+Model!BJ154+Model!BK154+Model!BL154+Model!BM154+Model!BN154+Model!BO154+Model!BP154+Model!BQ154+Model!BR154+Model!BS154</f>
        <v>0</v>
      </c>
      <c r="H37" s="8">
        <f>Model!BT154+Model!BU154+Model!BV154+Model!BW154+Model!BX154+Model!BY154+Model!BZ154+Model!CA154+Model!CB154+Model!CC154+Model!CD154+Model!CE154</f>
        <v>0</v>
      </c>
      <c r="I37" s="8">
        <f>Model!CF154+Model!CG154+Model!CH154</f>
        <v>0</v>
      </c>
    </row>
    <row r="38" spans="1:9" ht="15" customHeight="1" x14ac:dyDescent="0.25">
      <c r="A38" s="7" t="s">
        <v>97</v>
      </c>
      <c r="B38" s="8">
        <f>Model!K114+Model!K119+Model!K124+Model!K129</f>
        <v>2378399.9201831054</v>
      </c>
      <c r="C38" s="8">
        <f>Model!W114+Model!W119+Model!W124+Model!W129</f>
        <v>1714451.0986600891</v>
      </c>
      <c r="D38" s="8">
        <f>Model!AI114+Model!AI119+Model!AI124+Model!AI129</f>
        <v>1035128.5155491498</v>
      </c>
      <c r="E38" s="8">
        <f>Model!AU114+Model!AU119+Model!AU124+Model!AU129</f>
        <v>1199352.084159791</v>
      </c>
      <c r="F38" s="8">
        <f>Model!BG114+Model!BG119+Model!BG124+Model!BG129</f>
        <v>975331.49544908153</v>
      </c>
      <c r="G38" s="8">
        <f>Model!BS114+Model!BS119+Model!BS124+Model!BS129</f>
        <v>820735.28594806022</v>
      </c>
      <c r="H38" s="8">
        <f>Model!CE114+Model!CE119+Model!CE124+Model!CE129</f>
        <v>621470.38110717363</v>
      </c>
      <c r="I38" s="8">
        <f>Model!CH114+Model!CH119+Model!CH124+Model!CH129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98</v>
      </c>
      <c r="B40" s="8">
        <f>Model!K140</f>
        <v>89880219.287110507</v>
      </c>
      <c r="C40" s="8">
        <f>Model!W140</f>
        <v>56473335.557831988</v>
      </c>
      <c r="D40" s="8">
        <f>Model!AI140</f>
        <v>46152166.879777998</v>
      </c>
      <c r="E40" s="8">
        <f>Model!AU140</f>
        <v>13258584.501624003</v>
      </c>
      <c r="F40" s="8">
        <f>Model!BG140</f>
        <v>0</v>
      </c>
      <c r="G40" s="8">
        <f>Model!BS140</f>
        <v>0</v>
      </c>
      <c r="H40" s="8">
        <f>Model!CE140</f>
        <v>0</v>
      </c>
      <c r="I40" s="8">
        <f>Model!CH140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99</v>
      </c>
      <c r="B42" s="19">
        <f>Model!K147</f>
        <v>4247659.7317529507</v>
      </c>
      <c r="C42" s="19">
        <f>Model!W147</f>
        <v>7988273.7542089317</v>
      </c>
      <c r="D42" s="19">
        <f>Model!AI147</f>
        <v>9139006.3006012756</v>
      </c>
      <c r="E42" s="19">
        <f>Model!AU147</f>
        <v>7095585.0688882098</v>
      </c>
      <c r="F42" s="19">
        <f>Model!BG147</f>
        <v>3059348.3130711862</v>
      </c>
      <c r="G42" s="19">
        <f>Model!BS147</f>
        <v>-2815185.0378621784</v>
      </c>
      <c r="H42" s="19">
        <f>Model!CE147</f>
        <v>-8807209.0558142103</v>
      </c>
      <c r="I42" s="19">
        <f>Model!CH147</f>
        <v>-10312594.400225807</v>
      </c>
    </row>
    <row r="43" spans="1:9" ht="15" customHeight="1" x14ac:dyDescent="0.25">
      <c r="A43" s="18" t="s">
        <v>100</v>
      </c>
      <c r="B43" s="19">
        <f>Model!K155</f>
        <v>-436131.8899999999</v>
      </c>
      <c r="C43" s="19">
        <f>Model!W155</f>
        <v>-3084254.7382854451</v>
      </c>
      <c r="D43" s="19">
        <f>Model!AI155</f>
        <v>-4606783.8457854455</v>
      </c>
      <c r="E43" s="19">
        <f>Model!AU155</f>
        <v>-6168608.0064354474</v>
      </c>
      <c r="F43" s="19">
        <f>Model!BG155</f>
        <v>-7761668.6502984464</v>
      </c>
      <c r="G43" s="19">
        <f>Model!BS155</f>
        <v>-9267314.9870387036</v>
      </c>
      <c r="H43" s="19">
        <f>Model!CE155</f>
        <v>-10636213.280913772</v>
      </c>
      <c r="I43" s="19">
        <f>Model!CH155</f>
        <v>-10957053.67558217</v>
      </c>
    </row>
    <row r="44" spans="1:9" ht="15" customHeight="1" x14ac:dyDescent="0.25">
      <c r="A44" s="18" t="s">
        <v>101</v>
      </c>
      <c r="B44" s="19">
        <f>Model!C159+Model!D159+Model!E159+Model!F159+Model!G159+Model!H159+Model!I159+Model!J159+Model!K159</f>
        <v>0</v>
      </c>
      <c r="C44" s="19">
        <f>Model!L159+Model!M159+Model!N159+Model!O159+Model!P159+Model!Q159+Model!R159+Model!S159+Model!T159+Model!U159+Model!V159+Model!W159</f>
        <v>-629394.29752588528</v>
      </c>
      <c r="D44" s="19">
        <f>Model!X159+Model!Y159+Model!Z159+Model!AA159+Model!AB159+Model!AC159+Model!AD159+Model!AE159+Model!AF159+Model!AG159+Model!AH159+Model!AI159</f>
        <v>-851538.12523679389</v>
      </c>
      <c r="E44" s="19">
        <f>Model!AJ159+Model!AK159+Model!AL159+Model!AM159+Model!AN159+Model!AO159+Model!AP159+Model!AQ159+Model!AR159+Model!AS159+Model!AT159+Model!AU159</f>
        <v>0</v>
      </c>
      <c r="F44" s="19">
        <f>Model!AV159+Model!AW159+Model!AX159+Model!AY159+Model!AZ159+Model!BA159+Model!BB159+Model!BC159+Model!BD159+Model!BE159+Model!BF159+Model!BG159</f>
        <v>0</v>
      </c>
      <c r="G44" s="19">
        <f>Model!BH159+Model!BI159+Model!BJ159+Model!BK159+Model!BL159+Model!BM159+Model!BN159+Model!BO159+Model!BP159+Model!BQ159+Model!BR159+Model!BS159</f>
        <v>0</v>
      </c>
      <c r="H44" s="19">
        <f>Model!BT159+Model!BU159+Model!BV159+Model!BW159+Model!BX159+Model!BY159+Model!BZ159+Model!CA159+Model!CB159+Model!CC159+Model!CD159+Model!CE159</f>
        <v>0</v>
      </c>
      <c r="I44" s="19">
        <f>Model!CF159+Model!CG159+Model!CH159</f>
        <v>0</v>
      </c>
    </row>
    <row r="45" spans="1:9" ht="15" customHeight="1" x14ac:dyDescent="0.25">
      <c r="A45" s="20" t="s">
        <v>102</v>
      </c>
      <c r="B45" s="21">
        <f>Model!K160</f>
        <v>3811527.8417529506</v>
      </c>
      <c r="C45" s="21">
        <f>Model!W160</f>
        <v>4904019.0159234861</v>
      </c>
      <c r="D45" s="21">
        <f>Model!AI160</f>
        <v>4532222.4548158292</v>
      </c>
      <c r="E45" s="21">
        <f>Model!AU160</f>
        <v>926977.06245276204</v>
      </c>
      <c r="F45" s="21">
        <f>Model!BG160</f>
        <v>-4702320.3372272607</v>
      </c>
      <c r="G45" s="21">
        <f>Model!BS160</f>
        <v>-12082500.024900882</v>
      </c>
      <c r="H45" s="21">
        <f>Model!CE160</f>
        <v>-19443422.336727981</v>
      </c>
      <c r="I45" s="21">
        <f>Model!CH160</f>
        <v>-21269648.075807977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67"/>
  <sheetViews>
    <sheetView zoomScaleNormal="100" workbookViewId="0">
      <pane xSplit="2" ySplit="5" topLeftCell="C6" activePane="bottomRight" state="frozen"/>
      <selection pane="topRight" activeCell="C1" sqref="C1"/>
      <selection pane="bottomLeft" activeCell="A118" sqref="A118"/>
      <selection pane="bottomRight" activeCell="E150" sqref="E150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180" t="s">
        <v>103</v>
      </c>
      <c r="B1" s="181"/>
      <c r="C1" s="181"/>
      <c r="D1" s="181"/>
      <c r="E1" s="181"/>
      <c r="F1" s="181"/>
      <c r="G1" s="181"/>
      <c r="H1" s="181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104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105</v>
      </c>
      <c r="B5" s="26"/>
      <c r="C5" s="27" t="s">
        <v>106</v>
      </c>
      <c r="D5" s="26"/>
      <c r="E5" s="26"/>
      <c r="F5" s="27" t="s">
        <v>107</v>
      </c>
      <c r="G5" s="27" t="s">
        <v>108</v>
      </c>
      <c r="H5" s="27" t="s">
        <v>109</v>
      </c>
      <c r="I5" s="27" t="s">
        <v>110</v>
      </c>
      <c r="J5" s="27" t="s">
        <v>111</v>
      </c>
      <c r="K5" s="26"/>
      <c r="L5" s="26"/>
      <c r="M5" s="26"/>
      <c r="N5" s="26"/>
      <c r="O5" s="27" t="s">
        <v>112</v>
      </c>
      <c r="P5" s="26"/>
      <c r="Q5" s="26"/>
      <c r="R5" s="27" t="s">
        <v>113</v>
      </c>
      <c r="S5" s="26"/>
      <c r="T5" s="26"/>
      <c r="U5" s="27" t="s">
        <v>114</v>
      </c>
      <c r="V5" s="26"/>
      <c r="W5" s="26"/>
      <c r="X5" s="26"/>
      <c r="Y5" s="26"/>
      <c r="Z5" s="26"/>
      <c r="AA5" s="26"/>
      <c r="AB5" s="26"/>
      <c r="AC5" s="27" t="s">
        <v>115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68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67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4059879.7962952275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4269889.0005298276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4427240.7758682305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5401705.687400056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5842555.6495506149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6224505.7887833221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7005744.6852885047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7793910.2778304713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7769698.019960939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8077841.4278115248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8317755.7466262924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8479600.9154877923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9282712.0828937255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9370707.5610902309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9364417.7392982859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8644039.1338279787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8113949.6853799997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8026947.6823029993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7825890.7523739999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7442459.6337219998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7086495.2842640001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6672855.2409630008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6223765.8339849999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5559276.5383620001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4254502.3354639998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3521789.4714789996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3458324.4702149997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3407772.1144419997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3343852.4738270002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1882173.3662159999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1636485.4975040001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1541245.7800079999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1097345.1601199999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983123.66653599998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872045.12498400011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765805.07537600002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665850.92983200005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3"/>
    </row>
    <row r="8" spans="1:87" ht="15" customHeight="1" x14ac:dyDescent="0.25">
      <c r="A8" s="7" t="s">
        <v>116</v>
      </c>
      <c r="B8" s="22"/>
      <c r="C8" s="8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174472.30421223512</v>
      </c>
      <c r="D8" s="8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174472.30421223512</v>
      </c>
      <c r="E8" s="8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174472.30421223512</v>
      </c>
      <c r="F8" s="8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244226.27823820914</v>
      </c>
      <c r="G8" s="8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268774.5754015721</v>
      </c>
      <c r="H8" s="8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288114.63777341077</v>
      </c>
      <c r="I8" s="8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348762.78686773748</v>
      </c>
      <c r="J8" s="8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391910.9301307245</v>
      </c>
      <c r="K8" s="8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367544.4301307245</v>
      </c>
      <c r="L8" s="8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367544.4301307245</v>
      </c>
      <c r="M8" s="8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367544.4301307245</v>
      </c>
      <c r="N8" s="8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367544.4301307245</v>
      </c>
      <c r="O8" s="8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441029.44636449072</v>
      </c>
      <c r="P8" s="8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441029.44636449072</v>
      </c>
      <c r="Q8" s="8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441029.44636449072</v>
      </c>
      <c r="R8" s="8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359322.56649436086</v>
      </c>
      <c r="S8" s="8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303818.37899436092</v>
      </c>
      <c r="T8" s="8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303818.37899436092</v>
      </c>
      <c r="U8" s="8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303818.37899436092</v>
      </c>
      <c r="V8" s="8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290923.64215225563</v>
      </c>
      <c r="W8" s="8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290923.64215225563</v>
      </c>
      <c r="X8" s="8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290923.64215225563</v>
      </c>
      <c r="Y8" s="8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290923.64215225563</v>
      </c>
      <c r="Z8" s="8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266375.34498889267</v>
      </c>
      <c r="AA8" s="8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247035.28261705395</v>
      </c>
      <c r="AB8" s="8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212109.34618506493</v>
      </c>
      <c r="AC8" s="8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279243.48904220777</v>
      </c>
      <c r="AD8" s="8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279243.48904220777</v>
      </c>
      <c r="AE8" s="8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279243.48904220777</v>
      </c>
      <c r="AF8" s="8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279243.48904220777</v>
      </c>
      <c r="AG8" s="8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279243.48904220777</v>
      </c>
      <c r="AH8" s="8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236095.34577922075</v>
      </c>
      <c r="AI8" s="8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236095.34577922075</v>
      </c>
      <c r="AJ8" s="8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166341.37175324676</v>
      </c>
      <c r="AK8" s="8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166341.37175324676</v>
      </c>
      <c r="AL8" s="8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166341.37175324676</v>
      </c>
      <c r="AM8" s="8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140619.15909090909</v>
      </c>
      <c r="AN8" s="8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140619.15909090909</v>
      </c>
      <c r="AO8" s="8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140619.15909090909</v>
      </c>
      <c r="AP8" s="8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140619.15909090909</v>
      </c>
      <c r="AQ8" s="8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140619.15909090909</v>
      </c>
      <c r="AR8" s="8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140619.15909090909</v>
      </c>
      <c r="AS8" s="8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67134.142857142855</v>
      </c>
      <c r="AT8" s="8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67134.142857142855</v>
      </c>
      <c r="AU8" s="8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67134.142857142855</v>
      </c>
      <c r="AV8" s="8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67134.142857142855</v>
      </c>
      <c r="AW8" s="8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67134.142857142855</v>
      </c>
      <c r="AX8" s="8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67134.142857142855</v>
      </c>
      <c r="AY8" s="8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67134.142857142855</v>
      </c>
      <c r="AZ8" s="8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67134.142857142855</v>
      </c>
      <c r="BA8" s="8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67134.142857142855</v>
      </c>
      <c r="BB8" s="8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67134.142857142855</v>
      </c>
      <c r="BC8" s="8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67134.142857142855</v>
      </c>
      <c r="BD8" s="8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67134.142857142855</v>
      </c>
      <c r="BE8" s="8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67134.142857142855</v>
      </c>
      <c r="BF8" s="8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67134.142857142855</v>
      </c>
      <c r="BG8" s="8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8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8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8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8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8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8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8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8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8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8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8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8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8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8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8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8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8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8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8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8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8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8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8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8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8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8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8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3"/>
    </row>
    <row r="9" spans="1:87" ht="15" customHeight="1" x14ac:dyDescent="0.25">
      <c r="A9" s="7" t="s">
        <v>117</v>
      </c>
      <c r="B9" s="22"/>
      <c r="C9" s="8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188987.61342276144</v>
      </c>
      <c r="D9" s="8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188987.61342276144</v>
      </c>
      <c r="E9" s="8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188987.61342276144</v>
      </c>
      <c r="F9" s="8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258741.58744873546</v>
      </c>
      <c r="G9" s="8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283289.88461209839</v>
      </c>
      <c r="H9" s="8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302629.94698393706</v>
      </c>
      <c r="I9" s="8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363278.09607826377</v>
      </c>
      <c r="J9" s="8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406426.2393412508</v>
      </c>
      <c r="K9" s="8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375946.1143412508</v>
      </c>
      <c r="L9" s="8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375946.1143412508</v>
      </c>
      <c r="M9" s="8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375946.1143412508</v>
      </c>
      <c r="N9" s="8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375946.1143412508</v>
      </c>
      <c r="O9" s="8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449431.13057501701</v>
      </c>
      <c r="P9" s="8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449431.13057501701</v>
      </c>
      <c r="Q9" s="8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449431.13057501701</v>
      </c>
      <c r="R9" s="8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367724.25070488715</v>
      </c>
      <c r="S9" s="8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308332.06320488721</v>
      </c>
      <c r="T9" s="8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308332.06320488721</v>
      </c>
      <c r="U9" s="8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308332.06320488721</v>
      </c>
      <c r="V9" s="8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290923.64215225563</v>
      </c>
      <c r="W9" s="8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290923.64215225563</v>
      </c>
      <c r="X9" s="8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290923.64215225563</v>
      </c>
      <c r="Y9" s="8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290923.64215225563</v>
      </c>
      <c r="Z9" s="8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266375.34498889267</v>
      </c>
      <c r="AA9" s="8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247035.28261705395</v>
      </c>
      <c r="AB9" s="8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212109.34618506493</v>
      </c>
      <c r="AC9" s="8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279243.48904220777</v>
      </c>
      <c r="AD9" s="8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279243.48904220777</v>
      </c>
      <c r="AE9" s="8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279243.48904220777</v>
      </c>
      <c r="AF9" s="8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279243.48904220777</v>
      </c>
      <c r="AG9" s="8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279243.48904220777</v>
      </c>
      <c r="AH9" s="8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236095.34577922075</v>
      </c>
      <c r="AI9" s="8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236095.34577922075</v>
      </c>
      <c r="AJ9" s="8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166341.37175324676</v>
      </c>
      <c r="AK9" s="8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166341.37175324676</v>
      </c>
      <c r="AL9" s="8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166341.37175324676</v>
      </c>
      <c r="AM9" s="8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140619.15909090909</v>
      </c>
      <c r="AN9" s="8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140619.15909090909</v>
      </c>
      <c r="AO9" s="8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140619.15909090909</v>
      </c>
      <c r="AP9" s="8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140619.15909090909</v>
      </c>
      <c r="AQ9" s="8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140619.15909090909</v>
      </c>
      <c r="AR9" s="8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140619.15909090909</v>
      </c>
      <c r="AS9" s="8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67134.142857142855</v>
      </c>
      <c r="AT9" s="8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67134.142857142855</v>
      </c>
      <c r="AU9" s="8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67134.142857142855</v>
      </c>
      <c r="AV9" s="8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67134.142857142855</v>
      </c>
      <c r="AW9" s="8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67134.142857142855</v>
      </c>
      <c r="AX9" s="8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67134.142857142855</v>
      </c>
      <c r="AY9" s="8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67134.142857142855</v>
      </c>
      <c r="AZ9" s="8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67134.142857142855</v>
      </c>
      <c r="BA9" s="8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67134.142857142855</v>
      </c>
      <c r="BB9" s="8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67134.142857142855</v>
      </c>
      <c r="BC9" s="8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67134.142857142855</v>
      </c>
      <c r="BD9" s="8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67134.142857142855</v>
      </c>
      <c r="BE9" s="8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67134.142857142855</v>
      </c>
      <c r="BF9" s="8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67134.142857142855</v>
      </c>
      <c r="BG9" s="8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8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8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8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8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8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8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8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8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8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8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8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8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8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8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8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8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8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8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8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8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8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8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8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8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8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8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8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3"/>
    </row>
    <row r="10" spans="1:87" ht="15" customHeight="1" x14ac:dyDescent="0.25">
      <c r="A10" s="7" t="s">
        <v>118</v>
      </c>
      <c r="B10" s="22"/>
      <c r="C10" s="8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44065.126623376629</v>
      </c>
      <c r="D10" s="8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44065.126623376629</v>
      </c>
      <c r="E10" s="8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44065.126623376629</v>
      </c>
      <c r="F10" s="8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67316.451298701315</v>
      </c>
      <c r="G10" s="8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75499.217019822303</v>
      </c>
      <c r="H10" s="8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81945.904477101867</v>
      </c>
      <c r="I10" s="8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102161.95417521078</v>
      </c>
      <c r="J10" s="8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116544.66859620645</v>
      </c>
      <c r="K10" s="8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110754.29359620645</v>
      </c>
      <c r="L10" s="8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110754.29359620645</v>
      </c>
      <c r="M10" s="8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110754.29359620645</v>
      </c>
      <c r="N10" s="8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110754.29359620645</v>
      </c>
      <c r="O10" s="8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135249.29900746187</v>
      </c>
      <c r="P10" s="8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135249.29900746187</v>
      </c>
      <c r="Q10" s="8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135249.29900746187</v>
      </c>
      <c r="R10" s="8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108013.67238408522</v>
      </c>
      <c r="S10" s="8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96974.547384085221</v>
      </c>
      <c r="T10" s="8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96974.547384085221</v>
      </c>
      <c r="U10" s="8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96974.547384085221</v>
      </c>
      <c r="V10" s="8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96974.547384085221</v>
      </c>
      <c r="W10" s="8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96974.547384085221</v>
      </c>
      <c r="X10" s="8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96974.547384085221</v>
      </c>
      <c r="Y10" s="8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96974.547384085221</v>
      </c>
      <c r="Z10" s="8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88791.781662964233</v>
      </c>
      <c r="AA10" s="8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82345.094205684669</v>
      </c>
      <c r="AB10" s="8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70703.115395021654</v>
      </c>
      <c r="AC10" s="8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93081.163014069272</v>
      </c>
      <c r="AD10" s="8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93081.163014069272</v>
      </c>
      <c r="AE10" s="8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93081.163014069272</v>
      </c>
      <c r="AF10" s="8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93081.163014069272</v>
      </c>
      <c r="AG10" s="8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93081.163014069272</v>
      </c>
      <c r="AH10" s="8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78698.448593073597</v>
      </c>
      <c r="AI10" s="8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78698.448593073597</v>
      </c>
      <c r="AJ10" s="8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55447.123917748919</v>
      </c>
      <c r="AK10" s="8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55447.123917748919</v>
      </c>
      <c r="AL10" s="8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55447.123917748919</v>
      </c>
      <c r="AM10" s="8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46873.053030303039</v>
      </c>
      <c r="AN10" s="8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46873.053030303039</v>
      </c>
      <c r="AO10" s="8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46873.053030303039</v>
      </c>
      <c r="AP10" s="8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46873.053030303039</v>
      </c>
      <c r="AQ10" s="8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46873.053030303039</v>
      </c>
      <c r="AR10" s="8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46873.053030303039</v>
      </c>
      <c r="AS10" s="8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22378.047619047622</v>
      </c>
      <c r="AT10" s="8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22378.047619047622</v>
      </c>
      <c r="AU10" s="8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22378.047619047622</v>
      </c>
      <c r="AV10" s="8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22378.047619047622</v>
      </c>
      <c r="AW10" s="8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22378.047619047622</v>
      </c>
      <c r="AX10" s="8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22378.047619047622</v>
      </c>
      <c r="AY10" s="8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22378.047619047622</v>
      </c>
      <c r="AZ10" s="8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22378.047619047622</v>
      </c>
      <c r="BA10" s="8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22378.047619047622</v>
      </c>
      <c r="BB10" s="8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22378.047619047622</v>
      </c>
      <c r="BC10" s="8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22378.047619047622</v>
      </c>
      <c r="BD10" s="8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22378.047619047622</v>
      </c>
      <c r="BE10" s="8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22378.047619047622</v>
      </c>
      <c r="BF10" s="8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22378.047619047622</v>
      </c>
      <c r="BG10" s="8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8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8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8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8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8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8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8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8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8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8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8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8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8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8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8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8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8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8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8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8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8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8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8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8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8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8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8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3"/>
    </row>
    <row r="11" spans="1:87" ht="15" customHeight="1" x14ac:dyDescent="0.25">
      <c r="A11" s="7" t="s">
        <v>119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73</v>
      </c>
      <c r="B12" s="28"/>
      <c r="C12" s="10">
        <f t="shared" ref="C12:AH12" si="0">C8+C9+C10+C11</f>
        <v>407525.04425837321</v>
      </c>
      <c r="D12" s="10">
        <f t="shared" si="0"/>
        <v>407525.04425837321</v>
      </c>
      <c r="E12" s="10">
        <f t="shared" si="0"/>
        <v>407525.04425837321</v>
      </c>
      <c r="F12" s="10">
        <f t="shared" si="0"/>
        <v>1214811.036985646</v>
      </c>
      <c r="G12" s="10">
        <f t="shared" si="0"/>
        <v>627563.67703349283</v>
      </c>
      <c r="H12" s="10">
        <f t="shared" si="0"/>
        <v>672690.48923444969</v>
      </c>
      <c r="I12" s="10">
        <f t="shared" si="0"/>
        <v>1256262.6621212121</v>
      </c>
      <c r="J12" s="10">
        <f t="shared" si="0"/>
        <v>1233832.9130681818</v>
      </c>
      <c r="K12" s="10">
        <f t="shared" si="0"/>
        <v>854244.83806818177</v>
      </c>
      <c r="L12" s="10">
        <f t="shared" si="0"/>
        <v>854244.83806818177</v>
      </c>
      <c r="M12" s="10">
        <f t="shared" si="0"/>
        <v>854244.83806818177</v>
      </c>
      <c r="N12" s="10">
        <f t="shared" si="0"/>
        <v>854244.83806818177</v>
      </c>
      <c r="O12" s="10">
        <f t="shared" si="0"/>
        <v>1704711.4259469695</v>
      </c>
      <c r="P12" s="10">
        <f t="shared" si="0"/>
        <v>1025709.8759469696</v>
      </c>
      <c r="Q12" s="10">
        <f t="shared" si="0"/>
        <v>1025709.8759469696</v>
      </c>
      <c r="R12" s="10">
        <f t="shared" si="0"/>
        <v>835060.48958333326</v>
      </c>
      <c r="S12" s="10">
        <f t="shared" si="0"/>
        <v>709124.98958333337</v>
      </c>
      <c r="T12" s="10">
        <f t="shared" si="0"/>
        <v>709124.98958333337</v>
      </c>
      <c r="U12" s="10">
        <f t="shared" si="0"/>
        <v>709124.98958333337</v>
      </c>
      <c r="V12" s="10">
        <f t="shared" si="0"/>
        <v>678821.83168859652</v>
      </c>
      <c r="W12" s="10">
        <f t="shared" si="0"/>
        <v>678821.83168859652</v>
      </c>
      <c r="X12" s="10">
        <f t="shared" si="0"/>
        <v>678821.83168859652</v>
      </c>
      <c r="Y12" s="10">
        <f t="shared" si="0"/>
        <v>678821.83168859652</v>
      </c>
      <c r="Z12" s="10">
        <f t="shared" si="0"/>
        <v>621542.4716407496</v>
      </c>
      <c r="AA12" s="10">
        <f t="shared" si="0"/>
        <v>576415.65943979262</v>
      </c>
      <c r="AB12" s="10">
        <f t="shared" si="0"/>
        <v>494921.80776515149</v>
      </c>
      <c r="AC12" s="10">
        <f t="shared" si="0"/>
        <v>1271887.6210984848</v>
      </c>
      <c r="AD12" s="10">
        <f t="shared" si="0"/>
        <v>651568.14109848486</v>
      </c>
      <c r="AE12" s="10">
        <f t="shared" si="0"/>
        <v>651568.14109848486</v>
      </c>
      <c r="AF12" s="10">
        <f t="shared" si="0"/>
        <v>651568.14109848486</v>
      </c>
      <c r="AG12" s="10">
        <f t="shared" si="0"/>
        <v>651568.14109848486</v>
      </c>
      <c r="AH12" s="10">
        <f t="shared" si="0"/>
        <v>550889.14015151514</v>
      </c>
      <c r="AI12" s="10">
        <f t="shared" ref="AI12:BN12" si="1">AI8+AI9+AI10+AI11</f>
        <v>550889.14015151514</v>
      </c>
      <c r="AJ12" s="10">
        <f t="shared" si="1"/>
        <v>388129.86742424243</v>
      </c>
      <c r="AK12" s="10">
        <f t="shared" si="1"/>
        <v>388129.86742424243</v>
      </c>
      <c r="AL12" s="10">
        <f t="shared" si="1"/>
        <v>388129.86742424243</v>
      </c>
      <c r="AM12" s="10">
        <f t="shared" si="1"/>
        <v>328111.37121212122</v>
      </c>
      <c r="AN12" s="10">
        <f t="shared" si="1"/>
        <v>328111.37121212122</v>
      </c>
      <c r="AO12" s="10">
        <f t="shared" si="1"/>
        <v>328111.37121212122</v>
      </c>
      <c r="AP12" s="10">
        <f t="shared" si="1"/>
        <v>328111.37121212122</v>
      </c>
      <c r="AQ12" s="10">
        <f t="shared" si="1"/>
        <v>328111.37121212122</v>
      </c>
      <c r="AR12" s="10">
        <f t="shared" si="1"/>
        <v>328111.37121212122</v>
      </c>
      <c r="AS12" s="10">
        <f t="shared" si="1"/>
        <v>156646.33333333334</v>
      </c>
      <c r="AT12" s="10">
        <f t="shared" si="1"/>
        <v>156646.33333333334</v>
      </c>
      <c r="AU12" s="10">
        <f t="shared" si="1"/>
        <v>156646.33333333334</v>
      </c>
      <c r="AV12" s="10">
        <f t="shared" si="1"/>
        <v>156646.33333333334</v>
      </c>
      <c r="AW12" s="10">
        <f t="shared" si="1"/>
        <v>156646.33333333334</v>
      </c>
      <c r="AX12" s="10">
        <f t="shared" si="1"/>
        <v>156646.33333333334</v>
      </c>
      <c r="AY12" s="10">
        <f t="shared" si="1"/>
        <v>156646.33333333334</v>
      </c>
      <c r="AZ12" s="10">
        <f t="shared" si="1"/>
        <v>156646.33333333334</v>
      </c>
      <c r="BA12" s="10">
        <f t="shared" si="1"/>
        <v>156646.33333333334</v>
      </c>
      <c r="BB12" s="10">
        <f t="shared" si="1"/>
        <v>156646.33333333334</v>
      </c>
      <c r="BC12" s="10">
        <f t="shared" si="1"/>
        <v>156646.33333333334</v>
      </c>
      <c r="BD12" s="10">
        <f t="shared" si="1"/>
        <v>156646.33333333334</v>
      </c>
      <c r="BE12" s="10">
        <f t="shared" si="1"/>
        <v>156646.33333333334</v>
      </c>
      <c r="BF12" s="10">
        <f t="shared" si="1"/>
        <v>156646.33333333334</v>
      </c>
      <c r="BG12" s="10">
        <f t="shared" si="1"/>
        <v>0</v>
      </c>
      <c r="BH12" s="10">
        <f t="shared" si="1"/>
        <v>0</v>
      </c>
      <c r="BI12" s="10">
        <f t="shared" si="1"/>
        <v>0</v>
      </c>
      <c r="BJ12" s="10">
        <f t="shared" si="1"/>
        <v>0</v>
      </c>
      <c r="BK12" s="10">
        <f t="shared" si="1"/>
        <v>0</v>
      </c>
      <c r="BL12" s="10">
        <f t="shared" si="1"/>
        <v>0</v>
      </c>
      <c r="BM12" s="10">
        <f t="shared" si="1"/>
        <v>0</v>
      </c>
      <c r="BN12" s="10">
        <f t="shared" si="1"/>
        <v>0</v>
      </c>
      <c r="BO12" s="10">
        <f t="shared" ref="BO12:CH12" si="2">BO8+BO9+BO10+BO11</f>
        <v>0</v>
      </c>
      <c r="BP12" s="10">
        <f t="shared" si="2"/>
        <v>0</v>
      </c>
      <c r="BQ12" s="10">
        <f t="shared" si="2"/>
        <v>0</v>
      </c>
      <c r="BR12" s="10">
        <f t="shared" si="2"/>
        <v>0</v>
      </c>
      <c r="BS12" s="10">
        <f t="shared" si="2"/>
        <v>0</v>
      </c>
      <c r="BT12" s="10">
        <f t="shared" si="2"/>
        <v>0</v>
      </c>
      <c r="BU12" s="10">
        <f t="shared" si="2"/>
        <v>0</v>
      </c>
      <c r="BV12" s="10">
        <f t="shared" si="2"/>
        <v>0</v>
      </c>
      <c r="BW12" s="10">
        <f t="shared" si="2"/>
        <v>0</v>
      </c>
      <c r="BX12" s="10">
        <f t="shared" si="2"/>
        <v>0</v>
      </c>
      <c r="BY12" s="10">
        <f t="shared" si="2"/>
        <v>0</v>
      </c>
      <c r="BZ12" s="10">
        <f t="shared" si="2"/>
        <v>0</v>
      </c>
      <c r="CA12" s="10">
        <f t="shared" si="2"/>
        <v>0</v>
      </c>
      <c r="CB12" s="10">
        <f t="shared" si="2"/>
        <v>0</v>
      </c>
      <c r="CC12" s="10">
        <f t="shared" si="2"/>
        <v>0</v>
      </c>
      <c r="CD12" s="10">
        <f t="shared" si="2"/>
        <v>0</v>
      </c>
      <c r="CE12" s="10">
        <f t="shared" si="2"/>
        <v>0</v>
      </c>
      <c r="CF12" s="10">
        <f t="shared" si="2"/>
        <v>0</v>
      </c>
      <c r="CG12" s="10">
        <f t="shared" si="2"/>
        <v>0</v>
      </c>
      <c r="CH12" s="10">
        <f t="shared" si="2"/>
        <v>0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74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120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121</v>
      </c>
      <c r="B16" s="22"/>
      <c r="C16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-190991.00000000003</v>
      </c>
      <c r="D16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-267657.66666666663</v>
      </c>
      <c r="G16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-278074.33333333331</v>
      </c>
      <c r="H16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-278074.33333333331</v>
      </c>
      <c r="I16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-278074.33333333331</v>
      </c>
      <c r="J16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-278074.33333333331</v>
      </c>
      <c r="K16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-278074.33333333331</v>
      </c>
      <c r="L16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-278074.33333333331</v>
      </c>
      <c r="M16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-278074.33333333331</v>
      </c>
      <c r="N16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-278074.33333333331</v>
      </c>
      <c r="O16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-289308.53639999998</v>
      </c>
      <c r="AB16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-289308.53639999998</v>
      </c>
      <c r="AC16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-289308.53639999998</v>
      </c>
      <c r="AD16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-289308.53639999998</v>
      </c>
      <c r="AE16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-289308.53639999998</v>
      </c>
      <c r="AF16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-289308.53639999998</v>
      </c>
      <c r="AG16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-289308.53639999998</v>
      </c>
      <c r="AH16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-289308.53639999998</v>
      </c>
      <c r="AI16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-289308.53639999998</v>
      </c>
      <c r="AJ16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-289308.53639999998</v>
      </c>
      <c r="AK16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-289308.53639999998</v>
      </c>
      <c r="AL16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-289308.53639999998</v>
      </c>
      <c r="AM16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-295094.70712799998</v>
      </c>
      <c r="AN16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-295094.70712799998</v>
      </c>
      <c r="AO16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-295094.70712799998</v>
      </c>
      <c r="AP16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-295094.70712799998</v>
      </c>
      <c r="AQ16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-295094.70712799998</v>
      </c>
      <c r="AR16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-295094.70712799998</v>
      </c>
      <c r="AS16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-295094.70712799998</v>
      </c>
      <c r="AT16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-295094.70712799998</v>
      </c>
      <c r="AU16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-295094.70712799998</v>
      </c>
      <c r="AV16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-295094.70712799998</v>
      </c>
      <c r="AW16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-295094.70712799998</v>
      </c>
      <c r="AX16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-295094.70712799998</v>
      </c>
      <c r="AY16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-307016.53329597117</v>
      </c>
      <c r="BL16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-307016.53329597117</v>
      </c>
      <c r="BM16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-307016.53329597117</v>
      </c>
      <c r="BN16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-307016.53329597117</v>
      </c>
      <c r="BO16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-307016.53329597117</v>
      </c>
      <c r="BP16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-307016.53329597117</v>
      </c>
      <c r="BQ16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-307016.53329597117</v>
      </c>
      <c r="BR16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-307016.53329597117</v>
      </c>
      <c r="BS16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-307016.53329597117</v>
      </c>
      <c r="BT16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-307016.53329597117</v>
      </c>
      <c r="BU16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-307016.53329597117</v>
      </c>
      <c r="BV16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-307016.53329597117</v>
      </c>
      <c r="BW16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-313156.86396189063</v>
      </c>
      <c r="BX16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-313156.86396189063</v>
      </c>
      <c r="BY16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-313156.86396189063</v>
      </c>
      <c r="BZ16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-313156.86396189063</v>
      </c>
      <c r="CA16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-313156.86396189063</v>
      </c>
      <c r="CB16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-313156.86396189063</v>
      </c>
      <c r="CC16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-313156.86396189063</v>
      </c>
      <c r="CD16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-313156.86396189063</v>
      </c>
      <c r="CE16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-313156.86396189063</v>
      </c>
      <c r="CF16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-313156.86396189063</v>
      </c>
      <c r="CG16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-313156.86396189063</v>
      </c>
      <c r="CH16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-313156.86396189063</v>
      </c>
      <c r="CI16" s="23"/>
    </row>
    <row r="17" spans="1:87" ht="15" customHeight="1" x14ac:dyDescent="0.25">
      <c r="A17" s="7" t="s">
        <v>122</v>
      </c>
      <c r="B17" s="22"/>
      <c r="C17" s="8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-54583.333333333336</v>
      </c>
      <c r="D17" s="8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-54583.333333333336</v>
      </c>
      <c r="E17" s="8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-54583.333333333336</v>
      </c>
      <c r="F17" s="8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-54583.333333333336</v>
      </c>
      <c r="G17" s="8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-54583.333333333336</v>
      </c>
      <c r="H17" s="8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-54583.333333333336</v>
      </c>
      <c r="I17" s="8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-54583.333333333336</v>
      </c>
      <c r="J17" s="8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-54583.333333333336</v>
      </c>
      <c r="K17" s="8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-54583.333333333336</v>
      </c>
      <c r="L17" s="8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-54583.333333333336</v>
      </c>
      <c r="M17" s="8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-54583.333333333336</v>
      </c>
      <c r="N17" s="8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-54583.333333333336</v>
      </c>
      <c r="O17" s="8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8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8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8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8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8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8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8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8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8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8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8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8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8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8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8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8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8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8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8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8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8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8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8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8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8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8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8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8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8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8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8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8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8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8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8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8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-59082.755400000002</v>
      </c>
      <c r="AZ17" s="8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-59082.755400000002</v>
      </c>
      <c r="BA17" s="8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-59082.755400000002</v>
      </c>
      <c r="BB17" s="8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-59082.755400000002</v>
      </c>
      <c r="BC17" s="8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-59082.755400000002</v>
      </c>
      <c r="BD17" s="8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-59082.755400000002</v>
      </c>
      <c r="BE17" s="8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-59082.755400000002</v>
      </c>
      <c r="BF17" s="8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-59082.755400000002</v>
      </c>
      <c r="BG17" s="8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-59082.755400000002</v>
      </c>
      <c r="BH17" s="8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-59082.755400000002</v>
      </c>
      <c r="BI17" s="8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-59082.755400000002</v>
      </c>
      <c r="BJ17" s="8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-59082.755400000002</v>
      </c>
      <c r="BK17" s="8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-60264.410508000001</v>
      </c>
      <c r="BL17" s="8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-60264.410508000001</v>
      </c>
      <c r="BM17" s="8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-60264.410508000001</v>
      </c>
      <c r="BN17" s="8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-60264.410508000001</v>
      </c>
      <c r="BO17" s="8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-60264.410508000001</v>
      </c>
      <c r="BP17" s="8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-60264.410508000001</v>
      </c>
      <c r="BQ17" s="8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-60264.410508000001</v>
      </c>
      <c r="BR17" s="8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-60264.410508000001</v>
      </c>
      <c r="BS17" s="8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-60264.410508000001</v>
      </c>
      <c r="BT17" s="8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-60264.410508000001</v>
      </c>
      <c r="BU17" s="8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-60264.410508000001</v>
      </c>
      <c r="BV17" s="8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-60264.410508000001</v>
      </c>
      <c r="BW17" s="8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-61469.698718160005</v>
      </c>
      <c r="BX17" s="8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-61469.698718160005</v>
      </c>
      <c r="BY17" s="8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-61469.698718160005</v>
      </c>
      <c r="BZ17" s="8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-61469.698718160005</v>
      </c>
      <c r="CA17" s="8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-61469.698718160005</v>
      </c>
      <c r="CB17" s="8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-61469.698718160005</v>
      </c>
      <c r="CC17" s="8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-61469.698718160005</v>
      </c>
      <c r="CD17" s="8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-61469.698718160005</v>
      </c>
      <c r="CE17" s="8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-61469.698718160005</v>
      </c>
      <c r="CF17" s="8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-61469.698718160005</v>
      </c>
      <c r="CG17" s="8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-61469.698718160005</v>
      </c>
      <c r="CH17" s="8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-61469.698718160005</v>
      </c>
      <c r="CI17" s="23"/>
    </row>
    <row r="18" spans="1:87" ht="15" customHeight="1" x14ac:dyDescent="0.25">
      <c r="A18" s="7" t="s">
        <v>123</v>
      </c>
      <c r="B18" s="22"/>
      <c r="C18" s="8">
        <f>-Helpers!C4*Assumptions!$B$20</f>
        <v>-29273.65</v>
      </c>
      <c r="D18" s="8">
        <f>-Helpers!D4*Assumptions!$B$20</f>
        <v>-34711.15</v>
      </c>
      <c r="E18" s="8">
        <f>-Helpers!E4*Assumptions!$B$20</f>
        <v>-39211.15</v>
      </c>
      <c r="F18" s="8">
        <f>-Helpers!F4*Assumptions!$B$20</f>
        <v>-40773.65</v>
      </c>
      <c r="G18" s="8">
        <f>-Helpers!G4*Assumptions!$B$20</f>
        <v>-42336.15</v>
      </c>
      <c r="H18" s="8">
        <f>-Helpers!H4*Assumptions!$B$20</f>
        <v>-42336.15</v>
      </c>
      <c r="I18" s="8">
        <f>-Helpers!I4*Assumptions!$B$20</f>
        <v>-42336.15</v>
      </c>
      <c r="J18" s="8">
        <f>-Helpers!J4*Assumptions!$B$20</f>
        <v>-42336.15</v>
      </c>
      <c r="K18" s="8">
        <f>-Helpers!K4*Assumptions!$B$20</f>
        <v>-42336.15</v>
      </c>
      <c r="L18" s="8">
        <f>-Helpers!L4*Assumptions!$B$20</f>
        <v>-42336.15</v>
      </c>
      <c r="M18" s="8">
        <f>-Helpers!M4*Assumptions!$B$20</f>
        <v>-42336.15</v>
      </c>
      <c r="N18" s="8">
        <f>-Helpers!N4*Assumptions!$B$20</f>
        <v>-42336.15</v>
      </c>
      <c r="O18" s="8">
        <f>-Helpers!O4*Assumptions!$B$20</f>
        <v>-43182.873</v>
      </c>
      <c r="P18" s="8">
        <f>-Helpers!P4*Assumptions!$B$20</f>
        <v>-43182.873</v>
      </c>
      <c r="Q18" s="8">
        <f>-Helpers!Q4*Assumptions!$B$20</f>
        <v>-43182.873</v>
      </c>
      <c r="R18" s="8">
        <f>-Helpers!R4*Assumptions!$B$20</f>
        <v>-43182.873</v>
      </c>
      <c r="S18" s="8">
        <f>-Helpers!S4*Assumptions!$B$20</f>
        <v>-43182.873</v>
      </c>
      <c r="T18" s="8">
        <f>-Helpers!T4*Assumptions!$B$20</f>
        <v>-43182.873</v>
      </c>
      <c r="U18" s="8">
        <f>-Helpers!U4*Assumptions!$B$20</f>
        <v>-43182.873</v>
      </c>
      <c r="V18" s="8">
        <f>-Helpers!V4*Assumptions!$B$20</f>
        <v>-43182.873</v>
      </c>
      <c r="W18" s="8">
        <f>-Helpers!W4*Assumptions!$B$20</f>
        <v>-43182.873</v>
      </c>
      <c r="X18" s="8">
        <f>-Helpers!X4*Assumptions!$B$20</f>
        <v>-43182.873</v>
      </c>
      <c r="Y18" s="8">
        <f>-Helpers!Y4*Assumptions!$B$20</f>
        <v>-43182.873</v>
      </c>
      <c r="Z18" s="8">
        <f>-Helpers!Z4*Assumptions!$B$20</f>
        <v>-43182.873</v>
      </c>
      <c r="AA18" s="8">
        <f>-Helpers!AA4*Assumptions!$B$20</f>
        <v>-44046.530459999994</v>
      </c>
      <c r="AB18" s="8">
        <f>-Helpers!AB4*Assumptions!$B$20</f>
        <v>-44046.530459999994</v>
      </c>
      <c r="AC18" s="8">
        <f>-Helpers!AC4*Assumptions!$B$20</f>
        <v>-44046.530459999994</v>
      </c>
      <c r="AD18" s="8">
        <f>-Helpers!AD4*Assumptions!$B$20</f>
        <v>-44046.530459999994</v>
      </c>
      <c r="AE18" s="8">
        <f>-Helpers!AE4*Assumptions!$B$20</f>
        <v>-44046.530459999994</v>
      </c>
      <c r="AF18" s="8">
        <f>-Helpers!AF4*Assumptions!$B$20</f>
        <v>-44046.530459999994</v>
      </c>
      <c r="AG18" s="8">
        <f>-Helpers!AG4*Assumptions!$B$20</f>
        <v>-44046.530459999994</v>
      </c>
      <c r="AH18" s="8">
        <f>-Helpers!AH4*Assumptions!$B$20</f>
        <v>-44046.530459999994</v>
      </c>
      <c r="AI18" s="8">
        <f>-Helpers!AI4*Assumptions!$B$20</f>
        <v>-44046.530459999994</v>
      </c>
      <c r="AJ18" s="8">
        <f>-Helpers!AJ4*Assumptions!$B$20</f>
        <v>-44046.530459999994</v>
      </c>
      <c r="AK18" s="8">
        <f>-Helpers!AK4*Assumptions!$B$20</f>
        <v>-44046.530459999994</v>
      </c>
      <c r="AL18" s="8">
        <f>-Helpers!AL4*Assumptions!$B$20</f>
        <v>-44046.530459999994</v>
      </c>
      <c r="AM18" s="8">
        <f>-Helpers!AM4*Assumptions!$B$20</f>
        <v>-44927.461069199999</v>
      </c>
      <c r="AN18" s="8">
        <f>-Helpers!AN4*Assumptions!$B$20</f>
        <v>-44927.461069199999</v>
      </c>
      <c r="AO18" s="8">
        <f>-Helpers!AO4*Assumptions!$B$20</f>
        <v>-44927.461069199999</v>
      </c>
      <c r="AP18" s="8">
        <f>-Helpers!AP4*Assumptions!$B$20</f>
        <v>-44927.461069199999</v>
      </c>
      <c r="AQ18" s="8">
        <f>-Helpers!AQ4*Assumptions!$B$20</f>
        <v>-44927.461069199999</v>
      </c>
      <c r="AR18" s="8">
        <f>-Helpers!AR4*Assumptions!$B$20</f>
        <v>-44927.461069199999</v>
      </c>
      <c r="AS18" s="8">
        <f>-Helpers!AS4*Assumptions!$B$20</f>
        <v>-44927.461069199999</v>
      </c>
      <c r="AT18" s="8">
        <f>-Helpers!AT4*Assumptions!$B$20</f>
        <v>-44927.461069199999</v>
      </c>
      <c r="AU18" s="8">
        <f>-Helpers!AU4*Assumptions!$B$20</f>
        <v>-44927.461069199999</v>
      </c>
      <c r="AV18" s="8">
        <f>-Helpers!AV4*Assumptions!$B$20</f>
        <v>-44927.461069199999</v>
      </c>
      <c r="AW18" s="8">
        <f>-Helpers!AW4*Assumptions!$B$20</f>
        <v>-44927.461069199999</v>
      </c>
      <c r="AX18" s="8">
        <f>-Helpers!AX4*Assumptions!$B$20</f>
        <v>-44927.461069199999</v>
      </c>
      <c r="AY18" s="8">
        <f>-Helpers!AY4*Assumptions!$B$20</f>
        <v>-45826.010290584003</v>
      </c>
      <c r="AZ18" s="8">
        <f>-Helpers!AZ4*Assumptions!$B$20</f>
        <v>-45826.010290584003</v>
      </c>
      <c r="BA18" s="8">
        <f>-Helpers!BA4*Assumptions!$B$20</f>
        <v>-45826.010290584003</v>
      </c>
      <c r="BB18" s="8">
        <f>-Helpers!BB4*Assumptions!$B$20</f>
        <v>-45826.010290584003</v>
      </c>
      <c r="BC18" s="8">
        <f>-Helpers!BC4*Assumptions!$B$20</f>
        <v>-45826.010290584003</v>
      </c>
      <c r="BD18" s="8">
        <f>-Helpers!BD4*Assumptions!$B$20</f>
        <v>-45826.010290584003</v>
      </c>
      <c r="BE18" s="8">
        <f>-Helpers!BE4*Assumptions!$B$20</f>
        <v>-45826.010290584003</v>
      </c>
      <c r="BF18" s="8">
        <f>-Helpers!BF4*Assumptions!$B$20</f>
        <v>-45826.010290584003</v>
      </c>
      <c r="BG18" s="8">
        <f>-Helpers!BG4*Assumptions!$B$20</f>
        <v>-45826.010290584003</v>
      </c>
      <c r="BH18" s="8">
        <f>-Helpers!BH4*Assumptions!$B$20</f>
        <v>-45826.010290584003</v>
      </c>
      <c r="BI18" s="8">
        <f>-Helpers!BI4*Assumptions!$B$20</f>
        <v>-45826.010290584003</v>
      </c>
      <c r="BJ18" s="8">
        <f>-Helpers!BJ4*Assumptions!$B$20</f>
        <v>-45826.010290584003</v>
      </c>
      <c r="BK18" s="8">
        <f>-Helpers!BK4*Assumptions!$B$20</f>
        <v>-46742.530496395681</v>
      </c>
      <c r="BL18" s="8">
        <f>-Helpers!BL4*Assumptions!$B$20</f>
        <v>-46742.530496395681</v>
      </c>
      <c r="BM18" s="8">
        <f>-Helpers!BM4*Assumptions!$B$20</f>
        <v>-46742.530496395681</v>
      </c>
      <c r="BN18" s="8">
        <f>-Helpers!BN4*Assumptions!$B$20</f>
        <v>-46742.530496395681</v>
      </c>
      <c r="BO18" s="8">
        <f>-Helpers!BO4*Assumptions!$B$20</f>
        <v>-46742.530496395681</v>
      </c>
      <c r="BP18" s="8">
        <f>-Helpers!BP4*Assumptions!$B$20</f>
        <v>-46742.530496395681</v>
      </c>
      <c r="BQ18" s="8">
        <f>-Helpers!BQ4*Assumptions!$B$20</f>
        <v>-46742.530496395681</v>
      </c>
      <c r="BR18" s="8">
        <f>-Helpers!BR4*Assumptions!$B$20</f>
        <v>-46742.530496395681</v>
      </c>
      <c r="BS18" s="8">
        <f>-Helpers!BS4*Assumptions!$B$20</f>
        <v>-46742.530496395681</v>
      </c>
      <c r="BT18" s="8">
        <f>-Helpers!BT4*Assumptions!$B$20</f>
        <v>-46742.530496395681</v>
      </c>
      <c r="BU18" s="8">
        <f>-Helpers!BU4*Assumptions!$B$20</f>
        <v>-46742.530496395681</v>
      </c>
      <c r="BV18" s="8">
        <f>-Helpers!BV4*Assumptions!$B$20</f>
        <v>-46742.530496395681</v>
      </c>
      <c r="BW18" s="8">
        <f>-Helpers!BW4*Assumptions!$B$20</f>
        <v>-47677.381106323592</v>
      </c>
      <c r="BX18" s="8">
        <f>-Helpers!BX4*Assumptions!$B$20</f>
        <v>-47677.381106323592</v>
      </c>
      <c r="BY18" s="8">
        <f>-Helpers!BY4*Assumptions!$B$20</f>
        <v>-47677.381106323592</v>
      </c>
      <c r="BZ18" s="8">
        <f>-Helpers!BZ4*Assumptions!$B$20</f>
        <v>-47677.381106323592</v>
      </c>
      <c r="CA18" s="8">
        <f>-Helpers!CA4*Assumptions!$B$20</f>
        <v>-47677.381106323592</v>
      </c>
      <c r="CB18" s="8">
        <f>-Helpers!CB4*Assumptions!$B$20</f>
        <v>-47677.381106323592</v>
      </c>
      <c r="CC18" s="8">
        <f>-Helpers!CC4*Assumptions!$B$20</f>
        <v>-47677.381106323592</v>
      </c>
      <c r="CD18" s="8">
        <f>-Helpers!CD4*Assumptions!$B$20</f>
        <v>-47677.381106323592</v>
      </c>
      <c r="CE18" s="8">
        <f>-Helpers!CE4*Assumptions!$B$20</f>
        <v>-47677.381106323592</v>
      </c>
      <c r="CF18" s="8">
        <f>-Helpers!CF4*Assumptions!$B$20</f>
        <v>-47677.381106323592</v>
      </c>
      <c r="CG18" s="8">
        <f>-Helpers!CG4*Assumptions!$B$20</f>
        <v>-47677.381106323592</v>
      </c>
      <c r="CH18" s="8">
        <f>-Helpers!CH4*Assumptions!$B$20</f>
        <v>-47677.381106323592</v>
      </c>
      <c r="CI18" s="23"/>
    </row>
    <row r="19" spans="1:87" ht="15" customHeight="1" x14ac:dyDescent="0.25">
      <c r="A19" s="7" t="s">
        <v>124</v>
      </c>
      <c r="B19" s="22"/>
      <c r="C19" s="8">
        <f>-Helpers!C4*Assumptions!$B$21</f>
        <v>-975.78833333333341</v>
      </c>
      <c r="D19" s="8">
        <f>-Helpers!D4*Assumptions!$B$21</f>
        <v>-1157.0383333333334</v>
      </c>
      <c r="E19" s="8">
        <f>-Helpers!E4*Assumptions!$B$21</f>
        <v>-1307.0383333333334</v>
      </c>
      <c r="F19" s="8">
        <f>-Helpers!F4*Assumptions!$B$21</f>
        <v>-1359.1216666666669</v>
      </c>
      <c r="G19" s="8">
        <f>-Helpers!G4*Assumptions!$B$21</f>
        <v>-1411.2049999999999</v>
      </c>
      <c r="H19" s="8">
        <f>-Helpers!H4*Assumptions!$B$21</f>
        <v>-1411.2049999999999</v>
      </c>
      <c r="I19" s="8">
        <f>-Helpers!I4*Assumptions!$B$21</f>
        <v>-1411.2049999999999</v>
      </c>
      <c r="J19" s="8">
        <f>-Helpers!J4*Assumptions!$B$21</f>
        <v>-1411.2049999999999</v>
      </c>
      <c r="K19" s="8">
        <f>-Helpers!K4*Assumptions!$B$21</f>
        <v>-1411.2049999999999</v>
      </c>
      <c r="L19" s="8">
        <f>-Helpers!L4*Assumptions!$B$21</f>
        <v>-1411.2049999999999</v>
      </c>
      <c r="M19" s="8">
        <f>-Helpers!M4*Assumptions!$B$21</f>
        <v>-1411.2049999999999</v>
      </c>
      <c r="N19" s="8">
        <f>-Helpers!N4*Assumptions!$B$21</f>
        <v>-1411.2049999999999</v>
      </c>
      <c r="O19" s="8">
        <f>-Helpers!O4*Assumptions!$B$21</f>
        <v>-1439.4291000000001</v>
      </c>
      <c r="P19" s="8">
        <f>-Helpers!P4*Assumptions!$B$21</f>
        <v>-1439.4291000000001</v>
      </c>
      <c r="Q19" s="8">
        <f>-Helpers!Q4*Assumptions!$B$21</f>
        <v>-1439.4291000000001</v>
      </c>
      <c r="R19" s="8">
        <f>-Helpers!R4*Assumptions!$B$21</f>
        <v>-1439.4291000000001</v>
      </c>
      <c r="S19" s="8">
        <f>-Helpers!S4*Assumptions!$B$21</f>
        <v>-1439.4291000000001</v>
      </c>
      <c r="T19" s="8">
        <f>-Helpers!T4*Assumptions!$B$21</f>
        <v>-1439.4291000000001</v>
      </c>
      <c r="U19" s="8">
        <f>-Helpers!U4*Assumptions!$B$21</f>
        <v>-1439.4291000000001</v>
      </c>
      <c r="V19" s="8">
        <f>-Helpers!V4*Assumptions!$B$21</f>
        <v>-1439.4291000000001</v>
      </c>
      <c r="W19" s="8">
        <f>-Helpers!W4*Assumptions!$B$21</f>
        <v>-1439.4291000000001</v>
      </c>
      <c r="X19" s="8">
        <f>-Helpers!X4*Assumptions!$B$21</f>
        <v>-1439.4291000000001</v>
      </c>
      <c r="Y19" s="8">
        <f>-Helpers!Y4*Assumptions!$B$21</f>
        <v>-1439.4291000000001</v>
      </c>
      <c r="Z19" s="8">
        <f>-Helpers!Z4*Assumptions!$B$21</f>
        <v>-1439.4291000000001</v>
      </c>
      <c r="AA19" s="8">
        <f>-Helpers!AA4*Assumptions!$B$21</f>
        <v>-1468.217682</v>
      </c>
      <c r="AB19" s="8">
        <f>-Helpers!AB4*Assumptions!$B$21</f>
        <v>-1468.217682</v>
      </c>
      <c r="AC19" s="8">
        <f>-Helpers!AC4*Assumptions!$B$21</f>
        <v>-1468.217682</v>
      </c>
      <c r="AD19" s="8">
        <f>-Helpers!AD4*Assumptions!$B$21</f>
        <v>-1468.217682</v>
      </c>
      <c r="AE19" s="8">
        <f>-Helpers!AE4*Assumptions!$B$21</f>
        <v>-1468.217682</v>
      </c>
      <c r="AF19" s="8">
        <f>-Helpers!AF4*Assumptions!$B$21</f>
        <v>-1468.217682</v>
      </c>
      <c r="AG19" s="8">
        <f>-Helpers!AG4*Assumptions!$B$21</f>
        <v>-1468.217682</v>
      </c>
      <c r="AH19" s="8">
        <f>-Helpers!AH4*Assumptions!$B$21</f>
        <v>-1468.217682</v>
      </c>
      <c r="AI19" s="8">
        <f>-Helpers!AI4*Assumptions!$B$21</f>
        <v>-1468.217682</v>
      </c>
      <c r="AJ19" s="8">
        <f>-Helpers!AJ4*Assumptions!$B$21</f>
        <v>-1468.217682</v>
      </c>
      <c r="AK19" s="8">
        <f>-Helpers!AK4*Assumptions!$B$21</f>
        <v>-1468.217682</v>
      </c>
      <c r="AL19" s="8">
        <f>-Helpers!AL4*Assumptions!$B$21</f>
        <v>-1468.217682</v>
      </c>
      <c r="AM19" s="8">
        <f>-Helpers!AM4*Assumptions!$B$21</f>
        <v>-1497.58203564</v>
      </c>
      <c r="AN19" s="8">
        <f>-Helpers!AN4*Assumptions!$B$21</f>
        <v>-1497.58203564</v>
      </c>
      <c r="AO19" s="8">
        <f>-Helpers!AO4*Assumptions!$B$21</f>
        <v>-1497.58203564</v>
      </c>
      <c r="AP19" s="8">
        <f>-Helpers!AP4*Assumptions!$B$21</f>
        <v>-1497.58203564</v>
      </c>
      <c r="AQ19" s="8">
        <f>-Helpers!AQ4*Assumptions!$B$21</f>
        <v>-1497.58203564</v>
      </c>
      <c r="AR19" s="8">
        <f>-Helpers!AR4*Assumptions!$B$21</f>
        <v>-1497.58203564</v>
      </c>
      <c r="AS19" s="8">
        <f>-Helpers!AS4*Assumptions!$B$21</f>
        <v>-1497.58203564</v>
      </c>
      <c r="AT19" s="8">
        <f>-Helpers!AT4*Assumptions!$B$21</f>
        <v>-1497.58203564</v>
      </c>
      <c r="AU19" s="8">
        <f>-Helpers!AU4*Assumptions!$B$21</f>
        <v>-1497.58203564</v>
      </c>
      <c r="AV19" s="8">
        <f>-Helpers!AV4*Assumptions!$B$21</f>
        <v>-1497.58203564</v>
      </c>
      <c r="AW19" s="8">
        <f>-Helpers!AW4*Assumptions!$B$21</f>
        <v>-1497.58203564</v>
      </c>
      <c r="AX19" s="8">
        <f>-Helpers!AX4*Assumptions!$B$21</f>
        <v>-1497.58203564</v>
      </c>
      <c r="AY19" s="8">
        <f>-Helpers!AY4*Assumptions!$B$21</f>
        <v>-1527.5336763528001</v>
      </c>
      <c r="AZ19" s="8">
        <f>-Helpers!AZ4*Assumptions!$B$21</f>
        <v>-1527.5336763528001</v>
      </c>
      <c r="BA19" s="8">
        <f>-Helpers!BA4*Assumptions!$B$21</f>
        <v>-1527.5336763528001</v>
      </c>
      <c r="BB19" s="8">
        <f>-Helpers!BB4*Assumptions!$B$21</f>
        <v>-1527.5336763528001</v>
      </c>
      <c r="BC19" s="8">
        <f>-Helpers!BC4*Assumptions!$B$21</f>
        <v>-1527.5336763528001</v>
      </c>
      <c r="BD19" s="8">
        <f>-Helpers!BD4*Assumptions!$B$21</f>
        <v>-1527.5336763528001</v>
      </c>
      <c r="BE19" s="8">
        <f>-Helpers!BE4*Assumptions!$B$21</f>
        <v>-1527.5336763528001</v>
      </c>
      <c r="BF19" s="8">
        <f>-Helpers!BF4*Assumptions!$B$21</f>
        <v>-1527.5336763528001</v>
      </c>
      <c r="BG19" s="8">
        <f>-Helpers!BG4*Assumptions!$B$21</f>
        <v>-1527.5336763528001</v>
      </c>
      <c r="BH19" s="8">
        <f>-Helpers!BH4*Assumptions!$B$21</f>
        <v>-1527.5336763528001</v>
      </c>
      <c r="BI19" s="8">
        <f>-Helpers!BI4*Assumptions!$B$21</f>
        <v>-1527.5336763528001</v>
      </c>
      <c r="BJ19" s="8">
        <f>-Helpers!BJ4*Assumptions!$B$21</f>
        <v>-1527.5336763528001</v>
      </c>
      <c r="BK19" s="8">
        <f>-Helpers!BK4*Assumptions!$B$21</f>
        <v>-1558.0843498798563</v>
      </c>
      <c r="BL19" s="8">
        <f>-Helpers!BL4*Assumptions!$B$21</f>
        <v>-1558.0843498798563</v>
      </c>
      <c r="BM19" s="8">
        <f>-Helpers!BM4*Assumptions!$B$21</f>
        <v>-1558.0843498798563</v>
      </c>
      <c r="BN19" s="8">
        <f>-Helpers!BN4*Assumptions!$B$21</f>
        <v>-1558.0843498798563</v>
      </c>
      <c r="BO19" s="8">
        <f>-Helpers!BO4*Assumptions!$B$21</f>
        <v>-1558.0843498798563</v>
      </c>
      <c r="BP19" s="8">
        <f>-Helpers!BP4*Assumptions!$B$21</f>
        <v>-1558.0843498798563</v>
      </c>
      <c r="BQ19" s="8">
        <f>-Helpers!BQ4*Assumptions!$B$21</f>
        <v>-1558.0843498798563</v>
      </c>
      <c r="BR19" s="8">
        <f>-Helpers!BR4*Assumptions!$B$21</f>
        <v>-1558.0843498798563</v>
      </c>
      <c r="BS19" s="8">
        <f>-Helpers!BS4*Assumptions!$B$21</f>
        <v>-1558.0843498798563</v>
      </c>
      <c r="BT19" s="8">
        <f>-Helpers!BT4*Assumptions!$B$21</f>
        <v>-1558.0843498798563</v>
      </c>
      <c r="BU19" s="8">
        <f>-Helpers!BU4*Assumptions!$B$21</f>
        <v>-1558.0843498798563</v>
      </c>
      <c r="BV19" s="8">
        <f>-Helpers!BV4*Assumptions!$B$21</f>
        <v>-1558.0843498798563</v>
      </c>
      <c r="BW19" s="8">
        <f>-Helpers!BW4*Assumptions!$B$21</f>
        <v>-1589.2460368774532</v>
      </c>
      <c r="BX19" s="8">
        <f>-Helpers!BX4*Assumptions!$B$21</f>
        <v>-1589.2460368774532</v>
      </c>
      <c r="BY19" s="8">
        <f>-Helpers!BY4*Assumptions!$B$21</f>
        <v>-1589.2460368774532</v>
      </c>
      <c r="BZ19" s="8">
        <f>-Helpers!BZ4*Assumptions!$B$21</f>
        <v>-1589.2460368774532</v>
      </c>
      <c r="CA19" s="8">
        <f>-Helpers!CA4*Assumptions!$B$21</f>
        <v>-1589.2460368774532</v>
      </c>
      <c r="CB19" s="8">
        <f>-Helpers!CB4*Assumptions!$B$21</f>
        <v>-1589.2460368774532</v>
      </c>
      <c r="CC19" s="8">
        <f>-Helpers!CC4*Assumptions!$B$21</f>
        <v>-1589.2460368774532</v>
      </c>
      <c r="CD19" s="8">
        <f>-Helpers!CD4*Assumptions!$B$21</f>
        <v>-1589.2460368774532</v>
      </c>
      <c r="CE19" s="8">
        <f>-Helpers!CE4*Assumptions!$B$21</f>
        <v>-1589.2460368774532</v>
      </c>
      <c r="CF19" s="8">
        <f>-Helpers!CF4*Assumptions!$B$21</f>
        <v>-1589.2460368774532</v>
      </c>
      <c r="CG19" s="8">
        <f>-Helpers!CG4*Assumptions!$B$21</f>
        <v>-1589.2460368774532</v>
      </c>
      <c r="CH19" s="8">
        <f>-Helpers!CH4*Assumptions!$B$21</f>
        <v>-1589.2460368774532</v>
      </c>
      <c r="CI19" s="23"/>
    </row>
    <row r="20" spans="1:87" ht="15" customHeight="1" x14ac:dyDescent="0.25">
      <c r="A20" s="7" t="s">
        <v>125</v>
      </c>
      <c r="B20" s="22"/>
      <c r="C20" s="8">
        <f>-Helpers!C4*Assumptions!$B$22</f>
        <v>-23614.077666666668</v>
      </c>
      <c r="D20" s="8">
        <f>-Helpers!D4*Assumptions!$B$22</f>
        <v>-28000.327666666668</v>
      </c>
      <c r="E20" s="8">
        <f>-Helpers!E4*Assumptions!$B$22</f>
        <v>-31630.327666666668</v>
      </c>
      <c r="F20" s="8">
        <f>-Helpers!F4*Assumptions!$B$22</f>
        <v>-32890.744333333336</v>
      </c>
      <c r="G20" s="8">
        <f>-Helpers!G4*Assumptions!$B$22</f>
        <v>-34151.161</v>
      </c>
      <c r="H20" s="8">
        <f>-Helpers!H4*Assumptions!$B$22</f>
        <v>-34151.161</v>
      </c>
      <c r="I20" s="8">
        <f>-Helpers!I4*Assumptions!$B$22</f>
        <v>-34151.161</v>
      </c>
      <c r="J20" s="8">
        <f>-Helpers!J4*Assumptions!$B$22</f>
        <v>-34151.161</v>
      </c>
      <c r="K20" s="8">
        <f>-Helpers!K4*Assumptions!$B$22</f>
        <v>-34151.161</v>
      </c>
      <c r="L20" s="8">
        <f>-Helpers!L4*Assumptions!$B$22</f>
        <v>-34151.161</v>
      </c>
      <c r="M20" s="8">
        <f>-Helpers!M4*Assumptions!$B$22</f>
        <v>-34151.161</v>
      </c>
      <c r="N20" s="8">
        <f>-Helpers!N4*Assumptions!$B$22</f>
        <v>-34151.161</v>
      </c>
      <c r="O20" s="8">
        <f>-Helpers!O4*Assumptions!$B$22</f>
        <v>-34834.184220000003</v>
      </c>
      <c r="P20" s="8">
        <f>-Helpers!P4*Assumptions!$B$22</f>
        <v>-34834.184220000003</v>
      </c>
      <c r="Q20" s="8">
        <f>-Helpers!Q4*Assumptions!$B$22</f>
        <v>-34834.184220000003</v>
      </c>
      <c r="R20" s="8">
        <f>-Helpers!R4*Assumptions!$B$22</f>
        <v>-34834.184220000003</v>
      </c>
      <c r="S20" s="8">
        <f>-Helpers!S4*Assumptions!$B$22</f>
        <v>-34834.184220000003</v>
      </c>
      <c r="T20" s="8">
        <f>-Helpers!T4*Assumptions!$B$22</f>
        <v>-34834.184220000003</v>
      </c>
      <c r="U20" s="8">
        <f>-Helpers!U4*Assumptions!$B$22</f>
        <v>-34834.184220000003</v>
      </c>
      <c r="V20" s="8">
        <f>-Helpers!V4*Assumptions!$B$22</f>
        <v>-34834.184220000003</v>
      </c>
      <c r="W20" s="8">
        <f>-Helpers!W4*Assumptions!$B$22</f>
        <v>-34834.184220000003</v>
      </c>
      <c r="X20" s="8">
        <f>-Helpers!X4*Assumptions!$B$22</f>
        <v>-34834.184220000003</v>
      </c>
      <c r="Y20" s="8">
        <f>-Helpers!Y4*Assumptions!$B$22</f>
        <v>-34834.184220000003</v>
      </c>
      <c r="Z20" s="8">
        <f>-Helpers!Z4*Assumptions!$B$22</f>
        <v>-34834.184220000003</v>
      </c>
      <c r="AA20" s="8">
        <f>-Helpers!AA4*Assumptions!$B$22</f>
        <v>-35530.867904399995</v>
      </c>
      <c r="AB20" s="8">
        <f>-Helpers!AB4*Assumptions!$B$22</f>
        <v>-35530.867904399995</v>
      </c>
      <c r="AC20" s="8">
        <f>-Helpers!AC4*Assumptions!$B$22</f>
        <v>-35530.867904399995</v>
      </c>
      <c r="AD20" s="8">
        <f>-Helpers!AD4*Assumptions!$B$22</f>
        <v>-35530.867904399995</v>
      </c>
      <c r="AE20" s="8">
        <f>-Helpers!AE4*Assumptions!$B$22</f>
        <v>-35530.867904399995</v>
      </c>
      <c r="AF20" s="8">
        <f>-Helpers!AF4*Assumptions!$B$22</f>
        <v>-35530.867904399995</v>
      </c>
      <c r="AG20" s="8">
        <f>-Helpers!AG4*Assumptions!$B$22</f>
        <v>-35530.867904399995</v>
      </c>
      <c r="AH20" s="8">
        <f>-Helpers!AH4*Assumptions!$B$22</f>
        <v>-35530.867904399995</v>
      </c>
      <c r="AI20" s="8">
        <f>-Helpers!AI4*Assumptions!$B$22</f>
        <v>-35530.867904399995</v>
      </c>
      <c r="AJ20" s="8">
        <f>-Helpers!AJ4*Assumptions!$B$22</f>
        <v>-35530.867904399995</v>
      </c>
      <c r="AK20" s="8">
        <f>-Helpers!AK4*Assumptions!$B$22</f>
        <v>-35530.867904399995</v>
      </c>
      <c r="AL20" s="8">
        <f>-Helpers!AL4*Assumptions!$B$22</f>
        <v>-35530.867904399995</v>
      </c>
      <c r="AM20" s="8">
        <f>-Helpers!AM4*Assumptions!$B$22</f>
        <v>-36241.485262488</v>
      </c>
      <c r="AN20" s="8">
        <f>-Helpers!AN4*Assumptions!$B$22</f>
        <v>-36241.485262488</v>
      </c>
      <c r="AO20" s="8">
        <f>-Helpers!AO4*Assumptions!$B$22</f>
        <v>-36241.485262488</v>
      </c>
      <c r="AP20" s="8">
        <f>-Helpers!AP4*Assumptions!$B$22</f>
        <v>-36241.485262488</v>
      </c>
      <c r="AQ20" s="8">
        <f>-Helpers!AQ4*Assumptions!$B$22</f>
        <v>-36241.485262488</v>
      </c>
      <c r="AR20" s="8">
        <f>-Helpers!AR4*Assumptions!$B$22</f>
        <v>-36241.485262488</v>
      </c>
      <c r="AS20" s="8">
        <f>-Helpers!AS4*Assumptions!$B$22</f>
        <v>-36241.485262488</v>
      </c>
      <c r="AT20" s="8">
        <f>-Helpers!AT4*Assumptions!$B$22</f>
        <v>-36241.485262488</v>
      </c>
      <c r="AU20" s="8">
        <f>-Helpers!AU4*Assumptions!$B$22</f>
        <v>-36241.485262488</v>
      </c>
      <c r="AV20" s="8">
        <f>-Helpers!AV4*Assumptions!$B$22</f>
        <v>-36241.485262488</v>
      </c>
      <c r="AW20" s="8">
        <f>-Helpers!AW4*Assumptions!$B$22</f>
        <v>-36241.485262488</v>
      </c>
      <c r="AX20" s="8">
        <f>-Helpers!AX4*Assumptions!$B$22</f>
        <v>-36241.485262488</v>
      </c>
      <c r="AY20" s="8">
        <f>-Helpers!AY4*Assumptions!$B$22</f>
        <v>-36966.314967737759</v>
      </c>
      <c r="AZ20" s="8">
        <f>-Helpers!AZ4*Assumptions!$B$22</f>
        <v>-36966.314967737759</v>
      </c>
      <c r="BA20" s="8">
        <f>-Helpers!BA4*Assumptions!$B$22</f>
        <v>-36966.314967737759</v>
      </c>
      <c r="BB20" s="8">
        <f>-Helpers!BB4*Assumptions!$B$22</f>
        <v>-36966.314967737759</v>
      </c>
      <c r="BC20" s="8">
        <f>-Helpers!BC4*Assumptions!$B$22</f>
        <v>-36966.314967737759</v>
      </c>
      <c r="BD20" s="8">
        <f>-Helpers!BD4*Assumptions!$B$22</f>
        <v>-36966.314967737759</v>
      </c>
      <c r="BE20" s="8">
        <f>-Helpers!BE4*Assumptions!$B$22</f>
        <v>-36966.314967737759</v>
      </c>
      <c r="BF20" s="8">
        <f>-Helpers!BF4*Assumptions!$B$22</f>
        <v>-36966.314967737759</v>
      </c>
      <c r="BG20" s="8">
        <f>-Helpers!BG4*Assumptions!$B$22</f>
        <v>-36966.314967737759</v>
      </c>
      <c r="BH20" s="8">
        <f>-Helpers!BH4*Assumptions!$B$22</f>
        <v>-36966.314967737759</v>
      </c>
      <c r="BI20" s="8">
        <f>-Helpers!BI4*Assumptions!$B$22</f>
        <v>-36966.314967737759</v>
      </c>
      <c r="BJ20" s="8">
        <f>-Helpers!BJ4*Assumptions!$B$22</f>
        <v>-36966.314967737759</v>
      </c>
      <c r="BK20" s="8">
        <f>-Helpers!BK4*Assumptions!$B$22</f>
        <v>-37705.64126709252</v>
      </c>
      <c r="BL20" s="8">
        <f>-Helpers!BL4*Assumptions!$B$22</f>
        <v>-37705.64126709252</v>
      </c>
      <c r="BM20" s="8">
        <f>-Helpers!BM4*Assumptions!$B$22</f>
        <v>-37705.64126709252</v>
      </c>
      <c r="BN20" s="8">
        <f>-Helpers!BN4*Assumptions!$B$22</f>
        <v>-37705.64126709252</v>
      </c>
      <c r="BO20" s="8">
        <f>-Helpers!BO4*Assumptions!$B$22</f>
        <v>-37705.64126709252</v>
      </c>
      <c r="BP20" s="8">
        <f>-Helpers!BP4*Assumptions!$B$22</f>
        <v>-37705.64126709252</v>
      </c>
      <c r="BQ20" s="8">
        <f>-Helpers!BQ4*Assumptions!$B$22</f>
        <v>-37705.64126709252</v>
      </c>
      <c r="BR20" s="8">
        <f>-Helpers!BR4*Assumptions!$B$22</f>
        <v>-37705.64126709252</v>
      </c>
      <c r="BS20" s="8">
        <f>-Helpers!BS4*Assumptions!$B$22</f>
        <v>-37705.64126709252</v>
      </c>
      <c r="BT20" s="8">
        <f>-Helpers!BT4*Assumptions!$B$22</f>
        <v>-37705.64126709252</v>
      </c>
      <c r="BU20" s="8">
        <f>-Helpers!BU4*Assumptions!$B$22</f>
        <v>-37705.64126709252</v>
      </c>
      <c r="BV20" s="8">
        <f>-Helpers!BV4*Assumptions!$B$22</f>
        <v>-37705.64126709252</v>
      </c>
      <c r="BW20" s="8">
        <f>-Helpers!BW4*Assumptions!$B$22</f>
        <v>-38459.754092434363</v>
      </c>
      <c r="BX20" s="8">
        <f>-Helpers!BX4*Assumptions!$B$22</f>
        <v>-38459.754092434363</v>
      </c>
      <c r="BY20" s="8">
        <f>-Helpers!BY4*Assumptions!$B$22</f>
        <v>-38459.754092434363</v>
      </c>
      <c r="BZ20" s="8">
        <f>-Helpers!BZ4*Assumptions!$B$22</f>
        <v>-38459.754092434363</v>
      </c>
      <c r="CA20" s="8">
        <f>-Helpers!CA4*Assumptions!$B$22</f>
        <v>-38459.754092434363</v>
      </c>
      <c r="CB20" s="8">
        <f>-Helpers!CB4*Assumptions!$B$22</f>
        <v>-38459.754092434363</v>
      </c>
      <c r="CC20" s="8">
        <f>-Helpers!CC4*Assumptions!$B$22</f>
        <v>-38459.754092434363</v>
      </c>
      <c r="CD20" s="8">
        <f>-Helpers!CD4*Assumptions!$B$22</f>
        <v>-38459.754092434363</v>
      </c>
      <c r="CE20" s="8">
        <f>-Helpers!CE4*Assumptions!$B$22</f>
        <v>-38459.754092434363</v>
      </c>
      <c r="CF20" s="8">
        <f>-Helpers!CF4*Assumptions!$B$22</f>
        <v>-38459.754092434363</v>
      </c>
      <c r="CG20" s="8">
        <f>-Helpers!CG4*Assumptions!$B$22</f>
        <v>-38459.754092434363</v>
      </c>
      <c r="CH20" s="8">
        <f>-Helpers!CH4*Assumptions!$B$22</f>
        <v>-38459.754092434363</v>
      </c>
      <c r="CI20" s="23"/>
    </row>
    <row r="21" spans="1:87" ht="15" customHeight="1" x14ac:dyDescent="0.25">
      <c r="A21" s="7" t="s">
        <v>126</v>
      </c>
      <c r="B21" s="22"/>
      <c r="C21" s="8">
        <f>-Helpers!C4*Assumptions!$B$23</f>
        <v>-1756.4190000000001</v>
      </c>
      <c r="D21" s="8">
        <f>-Helpers!D4*Assumptions!$B$23</f>
        <v>-2082.6689999999999</v>
      </c>
      <c r="E21" s="8">
        <f>-Helpers!E4*Assumptions!$B$23</f>
        <v>-2352.6689999999999</v>
      </c>
      <c r="F21" s="8">
        <f>-Helpers!F4*Assumptions!$B$23</f>
        <v>-2446.4190000000003</v>
      </c>
      <c r="G21" s="8">
        <f>-Helpers!G4*Assumptions!$B$23</f>
        <v>-2540.1689999999999</v>
      </c>
      <c r="H21" s="8">
        <f>-Helpers!H4*Assumptions!$B$23</f>
        <v>-2540.1689999999999</v>
      </c>
      <c r="I21" s="8">
        <f>-Helpers!I4*Assumptions!$B$23</f>
        <v>-2540.1689999999999</v>
      </c>
      <c r="J21" s="8">
        <f>-Helpers!J4*Assumptions!$B$23</f>
        <v>-2540.1689999999999</v>
      </c>
      <c r="K21" s="8">
        <f>-Helpers!K4*Assumptions!$B$23</f>
        <v>-2540.1689999999999</v>
      </c>
      <c r="L21" s="8">
        <f>-Helpers!L4*Assumptions!$B$23</f>
        <v>-2540.1689999999999</v>
      </c>
      <c r="M21" s="8">
        <f>-Helpers!M4*Assumptions!$B$23</f>
        <v>-2540.1689999999999</v>
      </c>
      <c r="N21" s="8">
        <f>-Helpers!N4*Assumptions!$B$23</f>
        <v>-2540.1689999999999</v>
      </c>
      <c r="O21" s="8">
        <f>-Helpers!O4*Assumptions!$B$23</f>
        <v>-2590.9723799999997</v>
      </c>
      <c r="P21" s="8">
        <f>-Helpers!P4*Assumptions!$B$23</f>
        <v>-2590.9723799999997</v>
      </c>
      <c r="Q21" s="8">
        <f>-Helpers!Q4*Assumptions!$B$23</f>
        <v>-2590.9723799999997</v>
      </c>
      <c r="R21" s="8">
        <f>-Helpers!R4*Assumptions!$B$23</f>
        <v>-2590.9723799999997</v>
      </c>
      <c r="S21" s="8">
        <f>-Helpers!S4*Assumptions!$B$23</f>
        <v>-2590.9723799999997</v>
      </c>
      <c r="T21" s="8">
        <f>-Helpers!T4*Assumptions!$B$23</f>
        <v>-2590.9723799999997</v>
      </c>
      <c r="U21" s="8">
        <f>-Helpers!U4*Assumptions!$B$23</f>
        <v>-2590.9723799999997</v>
      </c>
      <c r="V21" s="8">
        <f>-Helpers!V4*Assumptions!$B$23</f>
        <v>-2590.9723799999997</v>
      </c>
      <c r="W21" s="8">
        <f>-Helpers!W4*Assumptions!$B$23</f>
        <v>-2590.9723799999997</v>
      </c>
      <c r="X21" s="8">
        <f>-Helpers!X4*Assumptions!$B$23</f>
        <v>-2590.9723799999997</v>
      </c>
      <c r="Y21" s="8">
        <f>-Helpers!Y4*Assumptions!$B$23</f>
        <v>-2590.9723799999997</v>
      </c>
      <c r="Z21" s="8">
        <f>-Helpers!Z4*Assumptions!$B$23</f>
        <v>-2590.9723799999997</v>
      </c>
      <c r="AA21" s="8">
        <f>-Helpers!AA4*Assumptions!$B$23</f>
        <v>-2642.7918275999996</v>
      </c>
      <c r="AB21" s="8">
        <f>-Helpers!AB4*Assumptions!$B$23</f>
        <v>-2642.7918275999996</v>
      </c>
      <c r="AC21" s="8">
        <f>-Helpers!AC4*Assumptions!$B$23</f>
        <v>-2642.7918275999996</v>
      </c>
      <c r="AD21" s="8">
        <f>-Helpers!AD4*Assumptions!$B$23</f>
        <v>-2642.7918275999996</v>
      </c>
      <c r="AE21" s="8">
        <f>-Helpers!AE4*Assumptions!$B$23</f>
        <v>-2642.7918275999996</v>
      </c>
      <c r="AF21" s="8">
        <f>-Helpers!AF4*Assumptions!$B$23</f>
        <v>-2642.7918275999996</v>
      </c>
      <c r="AG21" s="8">
        <f>-Helpers!AG4*Assumptions!$B$23</f>
        <v>-2642.7918275999996</v>
      </c>
      <c r="AH21" s="8">
        <f>-Helpers!AH4*Assumptions!$B$23</f>
        <v>-2642.7918275999996</v>
      </c>
      <c r="AI21" s="8">
        <f>-Helpers!AI4*Assumptions!$B$23</f>
        <v>-2642.7918275999996</v>
      </c>
      <c r="AJ21" s="8">
        <f>-Helpers!AJ4*Assumptions!$B$23</f>
        <v>-2642.7918275999996</v>
      </c>
      <c r="AK21" s="8">
        <f>-Helpers!AK4*Assumptions!$B$23</f>
        <v>-2642.7918275999996</v>
      </c>
      <c r="AL21" s="8">
        <f>-Helpers!AL4*Assumptions!$B$23</f>
        <v>-2642.7918275999996</v>
      </c>
      <c r="AM21" s="8">
        <f>-Helpers!AM4*Assumptions!$B$23</f>
        <v>-2695.6476641519998</v>
      </c>
      <c r="AN21" s="8">
        <f>-Helpers!AN4*Assumptions!$B$23</f>
        <v>-2695.6476641519998</v>
      </c>
      <c r="AO21" s="8">
        <f>-Helpers!AO4*Assumptions!$B$23</f>
        <v>-2695.6476641519998</v>
      </c>
      <c r="AP21" s="8">
        <f>-Helpers!AP4*Assumptions!$B$23</f>
        <v>-2695.6476641519998</v>
      </c>
      <c r="AQ21" s="8">
        <f>-Helpers!AQ4*Assumptions!$B$23</f>
        <v>-2695.6476641519998</v>
      </c>
      <c r="AR21" s="8">
        <f>-Helpers!AR4*Assumptions!$B$23</f>
        <v>-2695.6476641519998</v>
      </c>
      <c r="AS21" s="8">
        <f>-Helpers!AS4*Assumptions!$B$23</f>
        <v>-2695.6476641519998</v>
      </c>
      <c r="AT21" s="8">
        <f>-Helpers!AT4*Assumptions!$B$23</f>
        <v>-2695.6476641519998</v>
      </c>
      <c r="AU21" s="8">
        <f>-Helpers!AU4*Assumptions!$B$23</f>
        <v>-2695.6476641519998</v>
      </c>
      <c r="AV21" s="8">
        <f>-Helpers!AV4*Assumptions!$B$23</f>
        <v>-2695.6476641519998</v>
      </c>
      <c r="AW21" s="8">
        <f>-Helpers!AW4*Assumptions!$B$23</f>
        <v>-2695.6476641519998</v>
      </c>
      <c r="AX21" s="8">
        <f>-Helpers!AX4*Assumptions!$B$23</f>
        <v>-2695.6476641519998</v>
      </c>
      <c r="AY21" s="8">
        <f>-Helpers!AY4*Assumptions!$B$23</f>
        <v>-2749.5606174350401</v>
      </c>
      <c r="AZ21" s="8">
        <f>-Helpers!AZ4*Assumptions!$B$23</f>
        <v>-2749.5606174350401</v>
      </c>
      <c r="BA21" s="8">
        <f>-Helpers!BA4*Assumptions!$B$23</f>
        <v>-2749.5606174350401</v>
      </c>
      <c r="BB21" s="8">
        <f>-Helpers!BB4*Assumptions!$B$23</f>
        <v>-2749.5606174350401</v>
      </c>
      <c r="BC21" s="8">
        <f>-Helpers!BC4*Assumptions!$B$23</f>
        <v>-2749.5606174350401</v>
      </c>
      <c r="BD21" s="8">
        <f>-Helpers!BD4*Assumptions!$B$23</f>
        <v>-2749.5606174350401</v>
      </c>
      <c r="BE21" s="8">
        <f>-Helpers!BE4*Assumptions!$B$23</f>
        <v>-2749.5606174350401</v>
      </c>
      <c r="BF21" s="8">
        <f>-Helpers!BF4*Assumptions!$B$23</f>
        <v>-2749.5606174350401</v>
      </c>
      <c r="BG21" s="8">
        <f>-Helpers!BG4*Assumptions!$B$23</f>
        <v>-2749.5606174350401</v>
      </c>
      <c r="BH21" s="8">
        <f>-Helpers!BH4*Assumptions!$B$23</f>
        <v>-2749.5606174350401</v>
      </c>
      <c r="BI21" s="8">
        <f>-Helpers!BI4*Assumptions!$B$23</f>
        <v>-2749.5606174350401</v>
      </c>
      <c r="BJ21" s="8">
        <f>-Helpers!BJ4*Assumptions!$B$23</f>
        <v>-2749.5606174350401</v>
      </c>
      <c r="BK21" s="8">
        <f>-Helpers!BK4*Assumptions!$B$23</f>
        <v>-2804.5518297837407</v>
      </c>
      <c r="BL21" s="8">
        <f>-Helpers!BL4*Assumptions!$B$23</f>
        <v>-2804.5518297837407</v>
      </c>
      <c r="BM21" s="8">
        <f>-Helpers!BM4*Assumptions!$B$23</f>
        <v>-2804.5518297837407</v>
      </c>
      <c r="BN21" s="8">
        <f>-Helpers!BN4*Assumptions!$B$23</f>
        <v>-2804.5518297837407</v>
      </c>
      <c r="BO21" s="8">
        <f>-Helpers!BO4*Assumptions!$B$23</f>
        <v>-2804.5518297837407</v>
      </c>
      <c r="BP21" s="8">
        <f>-Helpers!BP4*Assumptions!$B$23</f>
        <v>-2804.5518297837407</v>
      </c>
      <c r="BQ21" s="8">
        <f>-Helpers!BQ4*Assumptions!$B$23</f>
        <v>-2804.5518297837407</v>
      </c>
      <c r="BR21" s="8">
        <f>-Helpers!BR4*Assumptions!$B$23</f>
        <v>-2804.5518297837407</v>
      </c>
      <c r="BS21" s="8">
        <f>-Helpers!BS4*Assumptions!$B$23</f>
        <v>-2804.5518297837407</v>
      </c>
      <c r="BT21" s="8">
        <f>-Helpers!BT4*Assumptions!$B$23</f>
        <v>-2804.5518297837407</v>
      </c>
      <c r="BU21" s="8">
        <f>-Helpers!BU4*Assumptions!$B$23</f>
        <v>-2804.5518297837407</v>
      </c>
      <c r="BV21" s="8">
        <f>-Helpers!BV4*Assumptions!$B$23</f>
        <v>-2804.5518297837407</v>
      </c>
      <c r="BW21" s="8">
        <f>-Helpers!BW4*Assumptions!$B$23</f>
        <v>-2860.6428663794154</v>
      </c>
      <c r="BX21" s="8">
        <f>-Helpers!BX4*Assumptions!$B$23</f>
        <v>-2860.6428663794154</v>
      </c>
      <c r="BY21" s="8">
        <f>-Helpers!BY4*Assumptions!$B$23</f>
        <v>-2860.6428663794154</v>
      </c>
      <c r="BZ21" s="8">
        <f>-Helpers!BZ4*Assumptions!$B$23</f>
        <v>-2860.6428663794154</v>
      </c>
      <c r="CA21" s="8">
        <f>-Helpers!CA4*Assumptions!$B$23</f>
        <v>-2860.6428663794154</v>
      </c>
      <c r="CB21" s="8">
        <f>-Helpers!CB4*Assumptions!$B$23</f>
        <v>-2860.6428663794154</v>
      </c>
      <c r="CC21" s="8">
        <f>-Helpers!CC4*Assumptions!$B$23</f>
        <v>-2860.6428663794154</v>
      </c>
      <c r="CD21" s="8">
        <f>-Helpers!CD4*Assumptions!$B$23</f>
        <v>-2860.6428663794154</v>
      </c>
      <c r="CE21" s="8">
        <f>-Helpers!CE4*Assumptions!$B$23</f>
        <v>-2860.6428663794154</v>
      </c>
      <c r="CF21" s="8">
        <f>-Helpers!CF4*Assumptions!$B$23</f>
        <v>-2860.6428663794154</v>
      </c>
      <c r="CG21" s="8">
        <f>-Helpers!CG4*Assumptions!$B$23</f>
        <v>-2860.6428663794154</v>
      </c>
      <c r="CH21" s="8">
        <f>-Helpers!CH4*Assumptions!$B$23</f>
        <v>-2860.6428663794154</v>
      </c>
      <c r="CI21" s="23"/>
    </row>
    <row r="22" spans="1:87" ht="15" customHeight="1" x14ac:dyDescent="0.25">
      <c r="A22" s="7" t="s">
        <v>127</v>
      </c>
      <c r="B22" s="22"/>
      <c r="C22" s="8">
        <f>-10000*Escalation!$B$2</f>
        <v>-10000</v>
      </c>
      <c r="D22" s="8">
        <f>-10000*Escalation!$B$3</f>
        <v>-10000</v>
      </c>
      <c r="E22" s="8">
        <f>-10000*Escalation!$B$4</f>
        <v>-10000</v>
      </c>
      <c r="F22" s="8">
        <f>-10000*Escalation!$B$5</f>
        <v>-10000</v>
      </c>
      <c r="G22" s="8">
        <f>-10000*Escalation!$B$6</f>
        <v>-10000</v>
      </c>
      <c r="H22" s="8">
        <f>-10000*Escalation!$B$7</f>
        <v>-10000</v>
      </c>
      <c r="I22" s="8">
        <f>-10000*Escalation!$B$8</f>
        <v>-10000</v>
      </c>
      <c r="J22" s="8">
        <f>-10000*Escalation!$B$9</f>
        <v>-10000</v>
      </c>
      <c r="K22" s="8">
        <f>-10000*Escalation!$B$10</f>
        <v>-10000</v>
      </c>
      <c r="L22" s="8">
        <f>-10000*Escalation!$B$11</f>
        <v>-10000</v>
      </c>
      <c r="M22" s="8">
        <f>-10000*Escalation!$B$12</f>
        <v>-10000</v>
      </c>
      <c r="N22" s="8">
        <f>-10000*Escalation!$B$13</f>
        <v>-10000</v>
      </c>
      <c r="O22" s="8">
        <f>-10000*Escalation!$B$14</f>
        <v>-10200</v>
      </c>
      <c r="P22" s="8">
        <f>-10000*Escalation!$B$15</f>
        <v>-10200</v>
      </c>
      <c r="Q22" s="8">
        <f>-10000*Escalation!$B$16</f>
        <v>-10200</v>
      </c>
      <c r="R22" s="8">
        <f>-10000*Escalation!$B$17</f>
        <v>-10200</v>
      </c>
      <c r="S22" s="8">
        <f>-10000*Escalation!$B$18</f>
        <v>-10200</v>
      </c>
      <c r="T22" s="8">
        <f>-10000*Escalation!$B$19</f>
        <v>-10200</v>
      </c>
      <c r="U22" s="8">
        <f>-10000*Escalation!$B$20</f>
        <v>-10200</v>
      </c>
      <c r="V22" s="8">
        <f>-10000*Escalation!$B$21</f>
        <v>-10200</v>
      </c>
      <c r="W22" s="8">
        <f>-10000*Escalation!$B$22</f>
        <v>-10200</v>
      </c>
      <c r="X22" s="8">
        <f>-10000*Escalation!$B$23</f>
        <v>-10200</v>
      </c>
      <c r="Y22" s="8">
        <f>-10000*Escalation!$B$24</f>
        <v>-10200</v>
      </c>
      <c r="Z22" s="8">
        <f>-10000*Escalation!$B$25</f>
        <v>-10200</v>
      </c>
      <c r="AA22" s="8">
        <f>-10000*Escalation!$B$26</f>
        <v>-10404</v>
      </c>
      <c r="AB22" s="8">
        <f>-10000*Escalation!$B$27</f>
        <v>-10404</v>
      </c>
      <c r="AC22" s="8">
        <f>-10000*Escalation!$B$28</f>
        <v>-10404</v>
      </c>
      <c r="AD22" s="8">
        <f>-10000*Escalation!$B$29</f>
        <v>-10404</v>
      </c>
      <c r="AE22" s="8">
        <f>-10000*Escalation!$B$30</f>
        <v>-10404</v>
      </c>
      <c r="AF22" s="8">
        <f>-10000*Escalation!$B$31</f>
        <v>-10404</v>
      </c>
      <c r="AG22" s="8">
        <f>-10000*Escalation!$B$32</f>
        <v>-10404</v>
      </c>
      <c r="AH22" s="8">
        <f>-10000*Escalation!$B$33</f>
        <v>-10404</v>
      </c>
      <c r="AI22" s="8">
        <f>-10000*Escalation!$B$34</f>
        <v>-10404</v>
      </c>
      <c r="AJ22" s="8">
        <f>-10000*Escalation!$B$35</f>
        <v>-10404</v>
      </c>
      <c r="AK22" s="8">
        <f>-10000*Escalation!$B$36</f>
        <v>-10404</v>
      </c>
      <c r="AL22" s="8">
        <f>-10000*Escalation!$B$37</f>
        <v>-10404</v>
      </c>
      <c r="AM22" s="8">
        <f>-10000*Escalation!$B$38</f>
        <v>-10612.08</v>
      </c>
      <c r="AN22" s="8">
        <f>-10000*Escalation!$B$39</f>
        <v>-10612.08</v>
      </c>
      <c r="AO22" s="8">
        <f>-10000*Escalation!$B$40</f>
        <v>-10612.08</v>
      </c>
      <c r="AP22" s="8">
        <f>-10000*Escalation!$B$41</f>
        <v>-10612.08</v>
      </c>
      <c r="AQ22" s="8">
        <f>-10000*Escalation!$B$42</f>
        <v>-10612.08</v>
      </c>
      <c r="AR22" s="8">
        <f>-10000*Escalation!$B$43</f>
        <v>-10612.08</v>
      </c>
      <c r="AS22" s="8">
        <f>-10000*Escalation!$B$44</f>
        <v>-10612.08</v>
      </c>
      <c r="AT22" s="8">
        <f>-10000*Escalation!$B$45</f>
        <v>-10612.08</v>
      </c>
      <c r="AU22" s="8">
        <f>-10000*Escalation!$B$46</f>
        <v>-10612.08</v>
      </c>
      <c r="AV22" s="8">
        <f>-10000*Escalation!$B$47</f>
        <v>-10612.08</v>
      </c>
      <c r="AW22" s="8">
        <f>-10000*Escalation!$B$48</f>
        <v>-10612.08</v>
      </c>
      <c r="AX22" s="8">
        <f>-10000*Escalation!$B$49</f>
        <v>-10612.08</v>
      </c>
      <c r="AY22" s="8">
        <f>-10000*Escalation!$B$50</f>
        <v>-10824.321599999999</v>
      </c>
      <c r="AZ22" s="8">
        <f>-10000*Escalation!$B$51</f>
        <v>-10824.321599999999</v>
      </c>
      <c r="BA22" s="8">
        <f>-10000*Escalation!$B$52</f>
        <v>-10824.321599999999</v>
      </c>
      <c r="BB22" s="8">
        <f>-10000*Escalation!$B$53</f>
        <v>-10824.321599999999</v>
      </c>
      <c r="BC22" s="8">
        <f>-10000*Escalation!$B$54</f>
        <v>-10824.321599999999</v>
      </c>
      <c r="BD22" s="8">
        <f>-10000*Escalation!$B$55</f>
        <v>-10824.321599999999</v>
      </c>
      <c r="BE22" s="8">
        <f>-10000*Escalation!$B$56</f>
        <v>-10824.321599999999</v>
      </c>
      <c r="BF22" s="8">
        <f>-10000*Escalation!$B$57</f>
        <v>-10824.321599999999</v>
      </c>
      <c r="BG22" s="8">
        <f>-10000*Escalation!$B$58</f>
        <v>-10824.321599999999</v>
      </c>
      <c r="BH22" s="8">
        <f>-10000*Escalation!$B$59</f>
        <v>-10824.321599999999</v>
      </c>
      <c r="BI22" s="8">
        <f>-10000*Escalation!$B$60</f>
        <v>-10824.321599999999</v>
      </c>
      <c r="BJ22" s="8">
        <f>-10000*Escalation!$B$61</f>
        <v>-10824.321599999999</v>
      </c>
      <c r="BK22" s="8">
        <f>-10000*Escalation!$B$62</f>
        <v>-11040.808032000001</v>
      </c>
      <c r="BL22" s="8">
        <f>-10000*Escalation!$B$63</f>
        <v>-11040.808032000001</v>
      </c>
      <c r="BM22" s="8">
        <f>-10000*Escalation!$B$64</f>
        <v>-11040.808032000001</v>
      </c>
      <c r="BN22" s="8">
        <f>-10000*Escalation!$B$65</f>
        <v>-11040.808032000001</v>
      </c>
      <c r="BO22" s="8">
        <f>-10000*Escalation!$B$66</f>
        <v>-11040.808032000001</v>
      </c>
      <c r="BP22" s="8">
        <f>-10000*Escalation!$B$67</f>
        <v>-11040.808032000001</v>
      </c>
      <c r="BQ22" s="8">
        <f>-10000*Escalation!$B$68</f>
        <v>-11040.808032000001</v>
      </c>
      <c r="BR22" s="8">
        <f>-10000*Escalation!$B$69</f>
        <v>-11040.808032000001</v>
      </c>
      <c r="BS22" s="8">
        <f>-10000*Escalation!$B$70</f>
        <v>-11040.808032000001</v>
      </c>
      <c r="BT22" s="8">
        <f>-10000*Escalation!$B$71</f>
        <v>-11040.808032000001</v>
      </c>
      <c r="BU22" s="8">
        <f>-10000*Escalation!$B$72</f>
        <v>-11040.808032000001</v>
      </c>
      <c r="BV22" s="8">
        <f>-10000*Escalation!$B$73</f>
        <v>-11040.808032000001</v>
      </c>
      <c r="BW22" s="8">
        <f>-10000*Escalation!$B$74</f>
        <v>-11261.62419264</v>
      </c>
      <c r="BX22" s="8">
        <f>-10000*Escalation!$B$75</f>
        <v>-11261.62419264</v>
      </c>
      <c r="BY22" s="8">
        <f>-10000*Escalation!$B$76</f>
        <v>-11261.62419264</v>
      </c>
      <c r="BZ22" s="8">
        <f>-10000*Escalation!$B$77</f>
        <v>-11261.62419264</v>
      </c>
      <c r="CA22" s="8">
        <f>-10000*Escalation!$B$78</f>
        <v>-11261.62419264</v>
      </c>
      <c r="CB22" s="8">
        <f>-10000*Escalation!$B$79</f>
        <v>-11261.62419264</v>
      </c>
      <c r="CC22" s="8">
        <f>-10000*Escalation!$B$80</f>
        <v>-11261.62419264</v>
      </c>
      <c r="CD22" s="8">
        <f>-10000*Escalation!$B$81</f>
        <v>-11261.62419264</v>
      </c>
      <c r="CE22" s="8">
        <f>-10000*Escalation!$B$82</f>
        <v>-11261.62419264</v>
      </c>
      <c r="CF22" s="8">
        <f>-10000*Escalation!$B$83</f>
        <v>-11261.62419264</v>
      </c>
      <c r="CG22" s="8">
        <f>-10000*Escalation!$B$84</f>
        <v>-11261.62419264</v>
      </c>
      <c r="CH22" s="8">
        <f>-10000*Escalation!$B$85</f>
        <v>-11261.62419264</v>
      </c>
      <c r="CI22" s="23"/>
    </row>
    <row r="23" spans="1:87" ht="15" customHeight="1" x14ac:dyDescent="0.25">
      <c r="A23" s="7" t="s">
        <v>128</v>
      </c>
      <c r="B23" s="22"/>
      <c r="C23" s="8">
        <f>-2500*Escalation!$B$2</f>
        <v>-2500</v>
      </c>
      <c r="D23" s="8">
        <f>-2500*Escalation!$B$3</f>
        <v>-2500</v>
      </c>
      <c r="E23" s="8">
        <f>-2500*Escalation!$B$4</f>
        <v>-2500</v>
      </c>
      <c r="F23" s="8">
        <f>-2500*Escalation!$B$5</f>
        <v>-2500</v>
      </c>
      <c r="G23" s="8">
        <f>-2500*Escalation!$B$6</f>
        <v>-2500</v>
      </c>
      <c r="H23" s="8">
        <f>-2500*Escalation!$B$7</f>
        <v>-2500</v>
      </c>
      <c r="I23" s="8">
        <f>-2500*Escalation!$B$8</f>
        <v>-2500</v>
      </c>
      <c r="J23" s="8">
        <f>-2500*Escalation!$B$9</f>
        <v>-2500</v>
      </c>
      <c r="K23" s="8">
        <f>-2500*Escalation!$B$10</f>
        <v>-2500</v>
      </c>
      <c r="L23" s="8">
        <f>-2500*Escalation!$B$11</f>
        <v>-2500</v>
      </c>
      <c r="M23" s="8">
        <f>-2500*Escalation!$B$12</f>
        <v>-2500</v>
      </c>
      <c r="N23" s="8">
        <f>-2500*Escalation!$B$13</f>
        <v>-2500</v>
      </c>
      <c r="O23" s="8">
        <f>-2500*Escalation!$B$14</f>
        <v>-2550</v>
      </c>
      <c r="P23" s="8">
        <f>-2500*Escalation!$B$15</f>
        <v>-2550</v>
      </c>
      <c r="Q23" s="8">
        <f>-2500*Escalation!$B$16</f>
        <v>-2550</v>
      </c>
      <c r="R23" s="8">
        <f>-2500*Escalation!$B$17</f>
        <v>-2550</v>
      </c>
      <c r="S23" s="8">
        <f>-2500*Escalation!$B$18</f>
        <v>-2550</v>
      </c>
      <c r="T23" s="8">
        <f>-2500*Escalation!$B$19</f>
        <v>-2550</v>
      </c>
      <c r="U23" s="8">
        <f>-2500*Escalation!$B$20</f>
        <v>-2550</v>
      </c>
      <c r="V23" s="8">
        <f>-2500*Escalation!$B$21</f>
        <v>-2550</v>
      </c>
      <c r="W23" s="8">
        <f>-2500*Escalation!$B$22</f>
        <v>-2550</v>
      </c>
      <c r="X23" s="8">
        <f>-2500*Escalation!$B$23</f>
        <v>-2550</v>
      </c>
      <c r="Y23" s="8">
        <f>-2500*Escalation!$B$24</f>
        <v>-2550</v>
      </c>
      <c r="Z23" s="8">
        <f>-2500*Escalation!$B$25</f>
        <v>-2550</v>
      </c>
      <c r="AA23" s="8">
        <f>-2500*Escalation!$B$26</f>
        <v>-2601</v>
      </c>
      <c r="AB23" s="8">
        <f>-2500*Escalation!$B$27</f>
        <v>-2601</v>
      </c>
      <c r="AC23" s="8">
        <f>-2500*Escalation!$B$28</f>
        <v>-2601</v>
      </c>
      <c r="AD23" s="8">
        <f>-2500*Escalation!$B$29</f>
        <v>-2601</v>
      </c>
      <c r="AE23" s="8">
        <f>-2500*Escalation!$B$30</f>
        <v>-2601</v>
      </c>
      <c r="AF23" s="8">
        <f>-2500*Escalation!$B$31</f>
        <v>-2601</v>
      </c>
      <c r="AG23" s="8">
        <f>-2500*Escalation!$B$32</f>
        <v>-2601</v>
      </c>
      <c r="AH23" s="8">
        <f>-2500*Escalation!$B$33</f>
        <v>-2601</v>
      </c>
      <c r="AI23" s="8">
        <f>-2500*Escalation!$B$34</f>
        <v>-2601</v>
      </c>
      <c r="AJ23" s="8">
        <f>-2500*Escalation!$B$35</f>
        <v>-2601</v>
      </c>
      <c r="AK23" s="8">
        <f>-2500*Escalation!$B$36</f>
        <v>-2601</v>
      </c>
      <c r="AL23" s="8">
        <f>-2500*Escalation!$B$37</f>
        <v>-2601</v>
      </c>
      <c r="AM23" s="8">
        <f>-2500*Escalation!$B$38</f>
        <v>-2653.02</v>
      </c>
      <c r="AN23" s="8">
        <f>-2500*Escalation!$B$39</f>
        <v>-2653.02</v>
      </c>
      <c r="AO23" s="8">
        <f>-2500*Escalation!$B$40</f>
        <v>-2653.02</v>
      </c>
      <c r="AP23" s="8">
        <f>-2500*Escalation!$B$41</f>
        <v>-2653.02</v>
      </c>
      <c r="AQ23" s="8">
        <f>-2500*Escalation!$B$42</f>
        <v>-2653.02</v>
      </c>
      <c r="AR23" s="8">
        <f>-2500*Escalation!$B$43</f>
        <v>-2653.02</v>
      </c>
      <c r="AS23" s="8">
        <f>-2500*Escalation!$B$44</f>
        <v>-2653.02</v>
      </c>
      <c r="AT23" s="8">
        <f>-2500*Escalation!$B$45</f>
        <v>-2653.02</v>
      </c>
      <c r="AU23" s="8">
        <f>-2500*Escalation!$B$46</f>
        <v>-2653.02</v>
      </c>
      <c r="AV23" s="8">
        <f>-2500*Escalation!$B$47</f>
        <v>-2653.02</v>
      </c>
      <c r="AW23" s="8">
        <f>-2500*Escalation!$B$48</f>
        <v>-2653.02</v>
      </c>
      <c r="AX23" s="8">
        <f>-2500*Escalation!$B$49</f>
        <v>-2653.02</v>
      </c>
      <c r="AY23" s="8">
        <f>-2500*Escalation!$B$50</f>
        <v>-2706.0803999999998</v>
      </c>
      <c r="AZ23" s="8">
        <f>-2500*Escalation!$B$51</f>
        <v>-2706.0803999999998</v>
      </c>
      <c r="BA23" s="8">
        <f>-2500*Escalation!$B$52</f>
        <v>-2706.0803999999998</v>
      </c>
      <c r="BB23" s="8">
        <f>-2500*Escalation!$B$53</f>
        <v>-2706.0803999999998</v>
      </c>
      <c r="BC23" s="8">
        <f>-2500*Escalation!$B$54</f>
        <v>-2706.0803999999998</v>
      </c>
      <c r="BD23" s="8">
        <f>-2500*Escalation!$B$55</f>
        <v>-2706.0803999999998</v>
      </c>
      <c r="BE23" s="8">
        <f>-2500*Escalation!$B$56</f>
        <v>-2706.0803999999998</v>
      </c>
      <c r="BF23" s="8">
        <f>-2500*Escalation!$B$57</f>
        <v>-2706.0803999999998</v>
      </c>
      <c r="BG23" s="8">
        <f>-2500*Escalation!$B$58</f>
        <v>-2706.0803999999998</v>
      </c>
      <c r="BH23" s="8">
        <f>-2500*Escalation!$B$59</f>
        <v>-2706.0803999999998</v>
      </c>
      <c r="BI23" s="8">
        <f>-2500*Escalation!$B$60</f>
        <v>-2706.0803999999998</v>
      </c>
      <c r="BJ23" s="8">
        <f>-2500*Escalation!$B$61</f>
        <v>-2706.0803999999998</v>
      </c>
      <c r="BK23" s="8">
        <f>-2500*Escalation!$B$62</f>
        <v>-2760.2020080000002</v>
      </c>
      <c r="BL23" s="8">
        <f>-2500*Escalation!$B$63</f>
        <v>-2760.2020080000002</v>
      </c>
      <c r="BM23" s="8">
        <f>-2500*Escalation!$B$64</f>
        <v>-2760.2020080000002</v>
      </c>
      <c r="BN23" s="8">
        <f>-2500*Escalation!$B$65</f>
        <v>-2760.2020080000002</v>
      </c>
      <c r="BO23" s="8">
        <f>-2500*Escalation!$B$66</f>
        <v>-2760.2020080000002</v>
      </c>
      <c r="BP23" s="8">
        <f>-2500*Escalation!$B$67</f>
        <v>-2760.2020080000002</v>
      </c>
      <c r="BQ23" s="8">
        <f>-2500*Escalation!$B$68</f>
        <v>-2760.2020080000002</v>
      </c>
      <c r="BR23" s="8">
        <f>-2500*Escalation!$B$69</f>
        <v>-2760.2020080000002</v>
      </c>
      <c r="BS23" s="8">
        <f>-2500*Escalation!$B$70</f>
        <v>-2760.2020080000002</v>
      </c>
      <c r="BT23" s="8">
        <f>-2500*Escalation!$B$71</f>
        <v>-2760.2020080000002</v>
      </c>
      <c r="BU23" s="8">
        <f>-2500*Escalation!$B$72</f>
        <v>-2760.2020080000002</v>
      </c>
      <c r="BV23" s="8">
        <f>-2500*Escalation!$B$73</f>
        <v>-2760.2020080000002</v>
      </c>
      <c r="BW23" s="8">
        <f>-2500*Escalation!$B$74</f>
        <v>-2815.40604816</v>
      </c>
      <c r="BX23" s="8">
        <f>-2500*Escalation!$B$75</f>
        <v>-2815.40604816</v>
      </c>
      <c r="BY23" s="8">
        <f>-2500*Escalation!$B$76</f>
        <v>-2815.40604816</v>
      </c>
      <c r="BZ23" s="8">
        <f>-2500*Escalation!$B$77</f>
        <v>-2815.40604816</v>
      </c>
      <c r="CA23" s="8">
        <f>-2500*Escalation!$B$78</f>
        <v>-2815.40604816</v>
      </c>
      <c r="CB23" s="8">
        <f>-2500*Escalation!$B$79</f>
        <v>-2815.40604816</v>
      </c>
      <c r="CC23" s="8">
        <f>-2500*Escalation!$B$80</f>
        <v>-2815.40604816</v>
      </c>
      <c r="CD23" s="8">
        <f>-2500*Escalation!$B$81</f>
        <v>-2815.40604816</v>
      </c>
      <c r="CE23" s="8">
        <f>-2500*Escalation!$B$82</f>
        <v>-2815.40604816</v>
      </c>
      <c r="CF23" s="8">
        <f>-2500*Escalation!$B$83</f>
        <v>-2815.40604816</v>
      </c>
      <c r="CG23" s="8">
        <f>-2500*Escalation!$B$84</f>
        <v>-2815.40604816</v>
      </c>
      <c r="CH23" s="8">
        <f>-2500*Escalation!$B$85</f>
        <v>-2815.40604816</v>
      </c>
      <c r="CI23" s="23"/>
    </row>
    <row r="24" spans="1:87" ht="15" customHeight="1" x14ac:dyDescent="0.25">
      <c r="A24" s="7" t="s">
        <v>129</v>
      </c>
      <c r="B24" s="22"/>
      <c r="C24" s="8">
        <f>-300*Escalation!$B$2</f>
        <v>-300</v>
      </c>
      <c r="D24" s="8">
        <f>-300*Escalation!$B$3</f>
        <v>-300</v>
      </c>
      <c r="E24" s="8">
        <f>-300*Escalation!$B$4</f>
        <v>-300</v>
      </c>
      <c r="F24" s="8">
        <f>-300*Escalation!$B$5</f>
        <v>-300</v>
      </c>
      <c r="G24" s="8">
        <f>-300*Escalation!$B$6</f>
        <v>-300</v>
      </c>
      <c r="H24" s="8">
        <f>-300*Escalation!$B$7</f>
        <v>-300</v>
      </c>
      <c r="I24" s="8">
        <f>-300*Escalation!$B$8</f>
        <v>-300</v>
      </c>
      <c r="J24" s="8">
        <f>-300*Escalation!$B$9</f>
        <v>-300</v>
      </c>
      <c r="K24" s="8">
        <f>-300*Escalation!$B$10</f>
        <v>-300</v>
      </c>
      <c r="L24" s="8">
        <f>-300*Escalation!$B$11</f>
        <v>-300</v>
      </c>
      <c r="M24" s="8">
        <f>-300*Escalation!$B$12</f>
        <v>-300</v>
      </c>
      <c r="N24" s="8">
        <f>-300*Escalation!$B$13</f>
        <v>-300</v>
      </c>
      <c r="O24" s="8">
        <f>-300*Escalation!$B$14</f>
        <v>-306</v>
      </c>
      <c r="P24" s="8">
        <f>-300*Escalation!$B$15</f>
        <v>-306</v>
      </c>
      <c r="Q24" s="8">
        <f>-300*Escalation!$B$16</f>
        <v>-306</v>
      </c>
      <c r="R24" s="8">
        <f>-300*Escalation!$B$17</f>
        <v>-306</v>
      </c>
      <c r="S24" s="8">
        <f>-300*Escalation!$B$18</f>
        <v>-306</v>
      </c>
      <c r="T24" s="8">
        <f>-300*Escalation!$B$19</f>
        <v>-306</v>
      </c>
      <c r="U24" s="8">
        <f>-300*Escalation!$B$20</f>
        <v>-306</v>
      </c>
      <c r="V24" s="8">
        <f>-300*Escalation!$B$21</f>
        <v>-306</v>
      </c>
      <c r="W24" s="8">
        <f>-300*Escalation!$B$22</f>
        <v>-306</v>
      </c>
      <c r="X24" s="8">
        <f>-300*Escalation!$B$23</f>
        <v>-306</v>
      </c>
      <c r="Y24" s="8">
        <f>-300*Escalation!$B$24</f>
        <v>-306</v>
      </c>
      <c r="Z24" s="8">
        <f>-300*Escalation!$B$25</f>
        <v>-306</v>
      </c>
      <c r="AA24" s="8">
        <f>-300*Escalation!$B$26</f>
        <v>-312.12</v>
      </c>
      <c r="AB24" s="8">
        <f>-300*Escalation!$B$27</f>
        <v>-312.12</v>
      </c>
      <c r="AC24" s="8">
        <f>-300*Escalation!$B$28</f>
        <v>-312.12</v>
      </c>
      <c r="AD24" s="8">
        <f>-300*Escalation!$B$29</f>
        <v>-312.12</v>
      </c>
      <c r="AE24" s="8">
        <f>-300*Escalation!$B$30</f>
        <v>-312.12</v>
      </c>
      <c r="AF24" s="8">
        <f>-300*Escalation!$B$31</f>
        <v>-312.12</v>
      </c>
      <c r="AG24" s="8">
        <f>-300*Escalation!$B$32</f>
        <v>-312.12</v>
      </c>
      <c r="AH24" s="8">
        <f>-300*Escalation!$B$33</f>
        <v>-312.12</v>
      </c>
      <c r="AI24" s="8">
        <f>-300*Escalation!$B$34</f>
        <v>-312.12</v>
      </c>
      <c r="AJ24" s="8">
        <f>-300*Escalation!$B$35</f>
        <v>-312.12</v>
      </c>
      <c r="AK24" s="8">
        <f>-300*Escalation!$B$36</f>
        <v>-312.12</v>
      </c>
      <c r="AL24" s="8">
        <f>-300*Escalation!$B$37</f>
        <v>-312.12</v>
      </c>
      <c r="AM24" s="8">
        <f>-300*Escalation!$B$38</f>
        <v>-318.36239999999998</v>
      </c>
      <c r="AN24" s="8">
        <f>-300*Escalation!$B$39</f>
        <v>-318.36239999999998</v>
      </c>
      <c r="AO24" s="8">
        <f>-300*Escalation!$B$40</f>
        <v>-318.36239999999998</v>
      </c>
      <c r="AP24" s="8">
        <f>-300*Escalation!$B$41</f>
        <v>-318.36239999999998</v>
      </c>
      <c r="AQ24" s="8">
        <f>-300*Escalation!$B$42</f>
        <v>-318.36239999999998</v>
      </c>
      <c r="AR24" s="8">
        <f>-300*Escalation!$B$43</f>
        <v>-318.36239999999998</v>
      </c>
      <c r="AS24" s="8">
        <f>-300*Escalation!$B$44</f>
        <v>-318.36239999999998</v>
      </c>
      <c r="AT24" s="8">
        <f>-300*Escalation!$B$45</f>
        <v>-318.36239999999998</v>
      </c>
      <c r="AU24" s="8">
        <f>-300*Escalation!$B$46</f>
        <v>-318.36239999999998</v>
      </c>
      <c r="AV24" s="8">
        <f>-300*Escalation!$B$47</f>
        <v>-318.36239999999998</v>
      </c>
      <c r="AW24" s="8">
        <f>-300*Escalation!$B$48</f>
        <v>-318.36239999999998</v>
      </c>
      <c r="AX24" s="8">
        <f>-300*Escalation!$B$49</f>
        <v>-318.36239999999998</v>
      </c>
      <c r="AY24" s="8">
        <f>-300*Escalation!$B$50</f>
        <v>-324.729648</v>
      </c>
      <c r="AZ24" s="8">
        <f>-300*Escalation!$B$51</f>
        <v>-324.729648</v>
      </c>
      <c r="BA24" s="8">
        <f>-300*Escalation!$B$52</f>
        <v>-324.729648</v>
      </c>
      <c r="BB24" s="8">
        <f>-300*Escalation!$B$53</f>
        <v>-324.729648</v>
      </c>
      <c r="BC24" s="8">
        <f>-300*Escalation!$B$54</f>
        <v>-324.729648</v>
      </c>
      <c r="BD24" s="8">
        <f>-300*Escalation!$B$55</f>
        <v>-324.729648</v>
      </c>
      <c r="BE24" s="8">
        <f>-300*Escalation!$B$56</f>
        <v>-324.729648</v>
      </c>
      <c r="BF24" s="8">
        <f>-300*Escalation!$B$57</f>
        <v>-324.729648</v>
      </c>
      <c r="BG24" s="8">
        <f>-300*Escalation!$B$58</f>
        <v>-324.729648</v>
      </c>
      <c r="BH24" s="8">
        <f>-300*Escalation!$B$59</f>
        <v>-324.729648</v>
      </c>
      <c r="BI24" s="8">
        <f>-300*Escalation!$B$60</f>
        <v>-324.729648</v>
      </c>
      <c r="BJ24" s="8">
        <f>-300*Escalation!$B$61</f>
        <v>-324.729648</v>
      </c>
      <c r="BK24" s="8">
        <f>-300*Escalation!$B$62</f>
        <v>-331.22424096000003</v>
      </c>
      <c r="BL24" s="8">
        <f>-300*Escalation!$B$63</f>
        <v>-331.22424096000003</v>
      </c>
      <c r="BM24" s="8">
        <f>-300*Escalation!$B$64</f>
        <v>-331.22424096000003</v>
      </c>
      <c r="BN24" s="8">
        <f>-300*Escalation!$B$65</f>
        <v>-331.22424096000003</v>
      </c>
      <c r="BO24" s="8">
        <f>-300*Escalation!$B$66</f>
        <v>-331.22424096000003</v>
      </c>
      <c r="BP24" s="8">
        <f>-300*Escalation!$B$67</f>
        <v>-331.22424096000003</v>
      </c>
      <c r="BQ24" s="8">
        <f>-300*Escalation!$B$68</f>
        <v>-331.22424096000003</v>
      </c>
      <c r="BR24" s="8">
        <f>-300*Escalation!$B$69</f>
        <v>-331.22424096000003</v>
      </c>
      <c r="BS24" s="8">
        <f>-300*Escalation!$B$70</f>
        <v>-331.22424096000003</v>
      </c>
      <c r="BT24" s="8">
        <f>-300*Escalation!$B$71</f>
        <v>-331.22424096000003</v>
      </c>
      <c r="BU24" s="8">
        <f>-300*Escalation!$B$72</f>
        <v>-331.22424096000003</v>
      </c>
      <c r="BV24" s="8">
        <f>-300*Escalation!$B$73</f>
        <v>-331.22424096000003</v>
      </c>
      <c r="BW24" s="8">
        <f>-300*Escalation!$B$74</f>
        <v>-337.84872577920004</v>
      </c>
      <c r="BX24" s="8">
        <f>-300*Escalation!$B$75</f>
        <v>-337.84872577920004</v>
      </c>
      <c r="BY24" s="8">
        <f>-300*Escalation!$B$76</f>
        <v>-337.84872577920004</v>
      </c>
      <c r="BZ24" s="8">
        <f>-300*Escalation!$B$77</f>
        <v>-337.84872577920004</v>
      </c>
      <c r="CA24" s="8">
        <f>-300*Escalation!$B$78</f>
        <v>-337.84872577920004</v>
      </c>
      <c r="CB24" s="8">
        <f>-300*Escalation!$B$79</f>
        <v>-337.84872577920004</v>
      </c>
      <c r="CC24" s="8">
        <f>-300*Escalation!$B$80</f>
        <v>-337.84872577920004</v>
      </c>
      <c r="CD24" s="8">
        <f>-300*Escalation!$B$81</f>
        <v>-337.84872577920004</v>
      </c>
      <c r="CE24" s="8">
        <f>-300*Escalation!$B$82</f>
        <v>-337.84872577920004</v>
      </c>
      <c r="CF24" s="8">
        <f>-300*Escalation!$B$83</f>
        <v>-337.84872577920004</v>
      </c>
      <c r="CG24" s="8">
        <f>-300*Escalation!$B$84</f>
        <v>-337.84872577920004</v>
      </c>
      <c r="CH24" s="8">
        <f>-300*Escalation!$B$85</f>
        <v>-337.84872577920004</v>
      </c>
      <c r="CI24" s="23"/>
    </row>
    <row r="25" spans="1:87" ht="15" customHeight="1" x14ac:dyDescent="0.25">
      <c r="A25" s="7" t="s">
        <v>130</v>
      </c>
      <c r="B25" s="22"/>
      <c r="C25" s="8">
        <f>-3000*Escalation!$B$2</f>
        <v>-3000</v>
      </c>
      <c r="D25" s="8">
        <f>-3000*Escalation!$B$3</f>
        <v>-3000</v>
      </c>
      <c r="E25" s="8">
        <f>-3000*Escalation!$B$4</f>
        <v>-3000</v>
      </c>
      <c r="F25" s="8">
        <f>-3000*Escalation!$B$5</f>
        <v>-3000</v>
      </c>
      <c r="G25" s="8">
        <f>-3000*Escalation!$B$6</f>
        <v>-3000</v>
      </c>
      <c r="H25" s="8">
        <f>-3000*Escalation!$B$7</f>
        <v>-3000</v>
      </c>
      <c r="I25" s="8">
        <f>-3000*Escalation!$B$8</f>
        <v>-3000</v>
      </c>
      <c r="J25" s="8">
        <f>-3000*Escalation!$B$9</f>
        <v>-3000</v>
      </c>
      <c r="K25" s="8">
        <f>-3000*Escalation!$B$10</f>
        <v>-3000</v>
      </c>
      <c r="L25" s="8">
        <f>-3000*Escalation!$B$11</f>
        <v>-3000</v>
      </c>
      <c r="M25" s="8">
        <f>-3000*Escalation!$B$12</f>
        <v>-3000</v>
      </c>
      <c r="N25" s="8">
        <f>-3000*Escalation!$B$13</f>
        <v>-3000</v>
      </c>
      <c r="O25" s="8">
        <f>-3000*Escalation!$B$14</f>
        <v>-3060</v>
      </c>
      <c r="P25" s="8">
        <f>-3000*Escalation!$B$15</f>
        <v>-3060</v>
      </c>
      <c r="Q25" s="8">
        <f>-3000*Escalation!$B$16</f>
        <v>-3060</v>
      </c>
      <c r="R25" s="8">
        <f>-3000*Escalation!$B$17</f>
        <v>-3060</v>
      </c>
      <c r="S25" s="8">
        <f>-3000*Escalation!$B$18</f>
        <v>-3060</v>
      </c>
      <c r="T25" s="8">
        <f>-3000*Escalation!$B$19</f>
        <v>-3060</v>
      </c>
      <c r="U25" s="8">
        <f>-3000*Escalation!$B$20</f>
        <v>-3060</v>
      </c>
      <c r="V25" s="8">
        <f>-3000*Escalation!$B$21</f>
        <v>-3060</v>
      </c>
      <c r="W25" s="8">
        <f>-3000*Escalation!$B$22</f>
        <v>-3060</v>
      </c>
      <c r="X25" s="8">
        <f>-3000*Escalation!$B$23</f>
        <v>-3060</v>
      </c>
      <c r="Y25" s="8">
        <f>-3000*Escalation!$B$24</f>
        <v>-3060</v>
      </c>
      <c r="Z25" s="8">
        <f>-3000*Escalation!$B$25</f>
        <v>-3060</v>
      </c>
      <c r="AA25" s="8">
        <f>-3000*Escalation!$B$26</f>
        <v>-3121.2</v>
      </c>
      <c r="AB25" s="8">
        <f>-3000*Escalation!$B$27</f>
        <v>-3121.2</v>
      </c>
      <c r="AC25" s="8">
        <f>-3000*Escalation!$B$28</f>
        <v>-3121.2</v>
      </c>
      <c r="AD25" s="8">
        <f>-3000*Escalation!$B$29</f>
        <v>-3121.2</v>
      </c>
      <c r="AE25" s="8">
        <f>-3000*Escalation!$B$30</f>
        <v>-3121.2</v>
      </c>
      <c r="AF25" s="8">
        <f>-3000*Escalation!$B$31</f>
        <v>-3121.2</v>
      </c>
      <c r="AG25" s="8">
        <f>-3000*Escalation!$B$32</f>
        <v>-3121.2</v>
      </c>
      <c r="AH25" s="8">
        <f>-3000*Escalation!$B$33</f>
        <v>-3121.2</v>
      </c>
      <c r="AI25" s="8">
        <f>-3000*Escalation!$B$34</f>
        <v>-3121.2</v>
      </c>
      <c r="AJ25" s="8">
        <f>-3000*Escalation!$B$35</f>
        <v>-3121.2</v>
      </c>
      <c r="AK25" s="8">
        <f>-3000*Escalation!$B$36</f>
        <v>-3121.2</v>
      </c>
      <c r="AL25" s="8">
        <f>-3000*Escalation!$B$37</f>
        <v>-3121.2</v>
      </c>
      <c r="AM25" s="8">
        <f>-3000*Escalation!$B$38</f>
        <v>-3183.6239999999998</v>
      </c>
      <c r="AN25" s="8">
        <f>-3000*Escalation!$B$39</f>
        <v>-3183.6239999999998</v>
      </c>
      <c r="AO25" s="8">
        <f>-3000*Escalation!$B$40</f>
        <v>-3183.6239999999998</v>
      </c>
      <c r="AP25" s="8">
        <f>-3000*Escalation!$B$41</f>
        <v>-3183.6239999999998</v>
      </c>
      <c r="AQ25" s="8">
        <f>-3000*Escalation!$B$42</f>
        <v>-3183.6239999999998</v>
      </c>
      <c r="AR25" s="8">
        <f>-3000*Escalation!$B$43</f>
        <v>-3183.6239999999998</v>
      </c>
      <c r="AS25" s="8">
        <f>-3000*Escalation!$B$44</f>
        <v>-3183.6239999999998</v>
      </c>
      <c r="AT25" s="8">
        <f>-3000*Escalation!$B$45</f>
        <v>-3183.6239999999998</v>
      </c>
      <c r="AU25" s="8">
        <f>-3000*Escalation!$B$46</f>
        <v>-3183.6239999999998</v>
      </c>
      <c r="AV25" s="8">
        <f>-3000*Escalation!$B$47</f>
        <v>-3183.6239999999998</v>
      </c>
      <c r="AW25" s="8">
        <f>-3000*Escalation!$B$48</f>
        <v>-3183.6239999999998</v>
      </c>
      <c r="AX25" s="8">
        <f>-3000*Escalation!$B$49</f>
        <v>-3183.6239999999998</v>
      </c>
      <c r="AY25" s="8">
        <f>-3000*Escalation!$B$50</f>
        <v>-3247.29648</v>
      </c>
      <c r="AZ25" s="8">
        <f>-3000*Escalation!$B$51</f>
        <v>-3247.29648</v>
      </c>
      <c r="BA25" s="8">
        <f>-3000*Escalation!$B$52</f>
        <v>-3247.29648</v>
      </c>
      <c r="BB25" s="8">
        <f>-3000*Escalation!$B$53</f>
        <v>-3247.29648</v>
      </c>
      <c r="BC25" s="8">
        <f>-3000*Escalation!$B$54</f>
        <v>-3247.29648</v>
      </c>
      <c r="BD25" s="8">
        <f>-3000*Escalation!$B$55</f>
        <v>-3247.29648</v>
      </c>
      <c r="BE25" s="8">
        <f>-3000*Escalation!$B$56</f>
        <v>-3247.29648</v>
      </c>
      <c r="BF25" s="8">
        <f>-3000*Escalation!$B$57</f>
        <v>-3247.29648</v>
      </c>
      <c r="BG25" s="8">
        <f>-3000*Escalation!$B$58</f>
        <v>-3247.29648</v>
      </c>
      <c r="BH25" s="8">
        <f>-3000*Escalation!$B$59</f>
        <v>-3247.29648</v>
      </c>
      <c r="BI25" s="8">
        <f>-3000*Escalation!$B$60</f>
        <v>-3247.29648</v>
      </c>
      <c r="BJ25" s="8">
        <f>-3000*Escalation!$B$61</f>
        <v>-3247.29648</v>
      </c>
      <c r="BK25" s="8">
        <f>-3000*Escalation!$B$62</f>
        <v>-3312.2424096</v>
      </c>
      <c r="BL25" s="8">
        <f>-3000*Escalation!$B$63</f>
        <v>-3312.2424096</v>
      </c>
      <c r="BM25" s="8">
        <f>-3000*Escalation!$B$64</f>
        <v>-3312.2424096</v>
      </c>
      <c r="BN25" s="8">
        <f>-3000*Escalation!$B$65</f>
        <v>-3312.2424096</v>
      </c>
      <c r="BO25" s="8">
        <f>-3000*Escalation!$B$66</f>
        <v>-3312.2424096</v>
      </c>
      <c r="BP25" s="8">
        <f>-3000*Escalation!$B$67</f>
        <v>-3312.2424096</v>
      </c>
      <c r="BQ25" s="8">
        <f>-3000*Escalation!$B$68</f>
        <v>-3312.2424096</v>
      </c>
      <c r="BR25" s="8">
        <f>-3000*Escalation!$B$69</f>
        <v>-3312.2424096</v>
      </c>
      <c r="BS25" s="8">
        <f>-3000*Escalation!$B$70</f>
        <v>-3312.2424096</v>
      </c>
      <c r="BT25" s="8">
        <f>-3000*Escalation!$B$71</f>
        <v>-3312.2424096</v>
      </c>
      <c r="BU25" s="8">
        <f>-3000*Escalation!$B$72</f>
        <v>-3312.2424096</v>
      </c>
      <c r="BV25" s="8">
        <f>-3000*Escalation!$B$73</f>
        <v>-3312.2424096</v>
      </c>
      <c r="BW25" s="8">
        <f>-3000*Escalation!$B$74</f>
        <v>-3378.487257792</v>
      </c>
      <c r="BX25" s="8">
        <f>-3000*Escalation!$B$75</f>
        <v>-3378.487257792</v>
      </c>
      <c r="BY25" s="8">
        <f>-3000*Escalation!$B$76</f>
        <v>-3378.487257792</v>
      </c>
      <c r="BZ25" s="8">
        <f>-3000*Escalation!$B$77</f>
        <v>-3378.487257792</v>
      </c>
      <c r="CA25" s="8">
        <f>-3000*Escalation!$B$78</f>
        <v>-3378.487257792</v>
      </c>
      <c r="CB25" s="8">
        <f>-3000*Escalation!$B$79</f>
        <v>-3378.487257792</v>
      </c>
      <c r="CC25" s="8">
        <f>-3000*Escalation!$B$80</f>
        <v>-3378.487257792</v>
      </c>
      <c r="CD25" s="8">
        <f>-3000*Escalation!$B$81</f>
        <v>-3378.487257792</v>
      </c>
      <c r="CE25" s="8">
        <f>-3000*Escalation!$B$82</f>
        <v>-3378.487257792</v>
      </c>
      <c r="CF25" s="8">
        <f>-3000*Escalation!$B$83</f>
        <v>-3378.487257792</v>
      </c>
      <c r="CG25" s="8">
        <f>-3000*Escalation!$B$84</f>
        <v>-3378.487257792</v>
      </c>
      <c r="CH25" s="8">
        <f>-3000*Escalation!$B$85</f>
        <v>-3378.487257792</v>
      </c>
      <c r="CI25" s="23"/>
    </row>
    <row r="26" spans="1:87" ht="15" customHeight="1" x14ac:dyDescent="0.25">
      <c r="A26" s="7" t="s">
        <v>131</v>
      </c>
      <c r="B26" s="22"/>
      <c r="C26" s="8">
        <f>-300*Escalation!$B$2</f>
        <v>-300</v>
      </c>
      <c r="D26" s="8">
        <f>-300*Escalation!$B$3</f>
        <v>-300</v>
      </c>
      <c r="E26" s="8">
        <f>-300*Escalation!$B$4</f>
        <v>-300</v>
      </c>
      <c r="F26" s="8">
        <f>-300*Escalation!$B$5</f>
        <v>-300</v>
      </c>
      <c r="G26" s="8">
        <f>-300*Escalation!$B$6</f>
        <v>-300</v>
      </c>
      <c r="H26" s="8">
        <f>-300*Escalation!$B$7</f>
        <v>-300</v>
      </c>
      <c r="I26" s="8">
        <f>-300*Escalation!$B$8</f>
        <v>-300</v>
      </c>
      <c r="J26" s="8">
        <f>-300*Escalation!$B$9</f>
        <v>-300</v>
      </c>
      <c r="K26" s="8">
        <f>-300*Escalation!$B$10</f>
        <v>-300</v>
      </c>
      <c r="L26" s="8">
        <f>-300*Escalation!$B$11</f>
        <v>-300</v>
      </c>
      <c r="M26" s="8">
        <f>-300*Escalation!$B$12</f>
        <v>-300</v>
      </c>
      <c r="N26" s="8">
        <f>-300*Escalation!$B$13</f>
        <v>-300</v>
      </c>
      <c r="O26" s="8">
        <f>-300*Escalation!$B$14</f>
        <v>-306</v>
      </c>
      <c r="P26" s="8">
        <f>-300*Escalation!$B$15</f>
        <v>-306</v>
      </c>
      <c r="Q26" s="8">
        <f>-300*Escalation!$B$16</f>
        <v>-306</v>
      </c>
      <c r="R26" s="8">
        <f>-300*Escalation!$B$17</f>
        <v>-306</v>
      </c>
      <c r="S26" s="8">
        <f>-300*Escalation!$B$18</f>
        <v>-306</v>
      </c>
      <c r="T26" s="8">
        <f>-300*Escalation!$B$19</f>
        <v>-306</v>
      </c>
      <c r="U26" s="8">
        <f>-300*Escalation!$B$20</f>
        <v>-306</v>
      </c>
      <c r="V26" s="8">
        <f>-300*Escalation!$B$21</f>
        <v>-306</v>
      </c>
      <c r="W26" s="8">
        <f>-300*Escalation!$B$22</f>
        <v>-306</v>
      </c>
      <c r="X26" s="8">
        <f>-300*Escalation!$B$23</f>
        <v>-306</v>
      </c>
      <c r="Y26" s="8">
        <f>-300*Escalation!$B$24</f>
        <v>-306</v>
      </c>
      <c r="Z26" s="8">
        <f>-300*Escalation!$B$25</f>
        <v>-306</v>
      </c>
      <c r="AA26" s="8">
        <f>-300*Escalation!$B$26</f>
        <v>-312.12</v>
      </c>
      <c r="AB26" s="8">
        <f>-300*Escalation!$B$27</f>
        <v>-312.12</v>
      </c>
      <c r="AC26" s="8">
        <f>-300*Escalation!$B$28</f>
        <v>-312.12</v>
      </c>
      <c r="AD26" s="8">
        <f>-300*Escalation!$B$29</f>
        <v>-312.12</v>
      </c>
      <c r="AE26" s="8">
        <f>-300*Escalation!$B$30</f>
        <v>-312.12</v>
      </c>
      <c r="AF26" s="8">
        <f>-300*Escalation!$B$31</f>
        <v>-312.12</v>
      </c>
      <c r="AG26" s="8">
        <f>-300*Escalation!$B$32</f>
        <v>-312.12</v>
      </c>
      <c r="AH26" s="8">
        <f>-300*Escalation!$B$33</f>
        <v>-312.12</v>
      </c>
      <c r="AI26" s="8">
        <f>-300*Escalation!$B$34</f>
        <v>-312.12</v>
      </c>
      <c r="AJ26" s="8">
        <f>-300*Escalation!$B$35</f>
        <v>-312.12</v>
      </c>
      <c r="AK26" s="8">
        <f>-300*Escalation!$B$36</f>
        <v>-312.12</v>
      </c>
      <c r="AL26" s="8">
        <f>-300*Escalation!$B$37</f>
        <v>-312.12</v>
      </c>
      <c r="AM26" s="8">
        <f>-300*Escalation!$B$38</f>
        <v>-318.36239999999998</v>
      </c>
      <c r="AN26" s="8">
        <f>-300*Escalation!$B$39</f>
        <v>-318.36239999999998</v>
      </c>
      <c r="AO26" s="8">
        <f>-300*Escalation!$B$40</f>
        <v>-318.36239999999998</v>
      </c>
      <c r="AP26" s="8">
        <f>-300*Escalation!$B$41</f>
        <v>-318.36239999999998</v>
      </c>
      <c r="AQ26" s="8">
        <f>-300*Escalation!$B$42</f>
        <v>-318.36239999999998</v>
      </c>
      <c r="AR26" s="8">
        <f>-300*Escalation!$B$43</f>
        <v>-318.36239999999998</v>
      </c>
      <c r="AS26" s="8">
        <f>-300*Escalation!$B$44</f>
        <v>-318.36239999999998</v>
      </c>
      <c r="AT26" s="8">
        <f>-300*Escalation!$B$45</f>
        <v>-318.36239999999998</v>
      </c>
      <c r="AU26" s="8">
        <f>-300*Escalation!$B$46</f>
        <v>-318.36239999999998</v>
      </c>
      <c r="AV26" s="8">
        <f>-300*Escalation!$B$47</f>
        <v>-318.36239999999998</v>
      </c>
      <c r="AW26" s="8">
        <f>-300*Escalation!$B$48</f>
        <v>-318.36239999999998</v>
      </c>
      <c r="AX26" s="8">
        <f>-300*Escalation!$B$49</f>
        <v>-318.36239999999998</v>
      </c>
      <c r="AY26" s="8">
        <f>-300*Escalation!$B$50</f>
        <v>-324.729648</v>
      </c>
      <c r="AZ26" s="8">
        <f>-300*Escalation!$B$51</f>
        <v>-324.729648</v>
      </c>
      <c r="BA26" s="8">
        <f>-300*Escalation!$B$52</f>
        <v>-324.729648</v>
      </c>
      <c r="BB26" s="8">
        <f>-300*Escalation!$B$53</f>
        <v>-324.729648</v>
      </c>
      <c r="BC26" s="8">
        <f>-300*Escalation!$B$54</f>
        <v>-324.729648</v>
      </c>
      <c r="BD26" s="8">
        <f>-300*Escalation!$B$55</f>
        <v>-324.729648</v>
      </c>
      <c r="BE26" s="8">
        <f>-300*Escalation!$B$56</f>
        <v>-324.729648</v>
      </c>
      <c r="BF26" s="8">
        <f>-300*Escalation!$B$57</f>
        <v>-324.729648</v>
      </c>
      <c r="BG26" s="8">
        <f>-300*Escalation!$B$58</f>
        <v>-324.729648</v>
      </c>
      <c r="BH26" s="8">
        <f>-300*Escalation!$B$59</f>
        <v>-324.729648</v>
      </c>
      <c r="BI26" s="8">
        <f>-300*Escalation!$B$60</f>
        <v>-324.729648</v>
      </c>
      <c r="BJ26" s="8">
        <f>-300*Escalation!$B$61</f>
        <v>-324.729648</v>
      </c>
      <c r="BK26" s="8">
        <f>-300*Escalation!$B$62</f>
        <v>-331.22424096000003</v>
      </c>
      <c r="BL26" s="8">
        <f>-300*Escalation!$B$63</f>
        <v>-331.22424096000003</v>
      </c>
      <c r="BM26" s="8">
        <f>-300*Escalation!$B$64</f>
        <v>-331.22424096000003</v>
      </c>
      <c r="BN26" s="8">
        <f>-300*Escalation!$B$65</f>
        <v>-331.22424096000003</v>
      </c>
      <c r="BO26" s="8">
        <f>-300*Escalation!$B$66</f>
        <v>-331.22424096000003</v>
      </c>
      <c r="BP26" s="8">
        <f>-300*Escalation!$B$67</f>
        <v>-331.22424096000003</v>
      </c>
      <c r="BQ26" s="8">
        <f>-300*Escalation!$B$68</f>
        <v>-331.22424096000003</v>
      </c>
      <c r="BR26" s="8">
        <f>-300*Escalation!$B$69</f>
        <v>-331.22424096000003</v>
      </c>
      <c r="BS26" s="8">
        <f>-300*Escalation!$B$70</f>
        <v>-331.22424096000003</v>
      </c>
      <c r="BT26" s="8">
        <f>-300*Escalation!$B$71</f>
        <v>-331.22424096000003</v>
      </c>
      <c r="BU26" s="8">
        <f>-300*Escalation!$B$72</f>
        <v>-331.22424096000003</v>
      </c>
      <c r="BV26" s="8">
        <f>-300*Escalation!$B$73</f>
        <v>-331.22424096000003</v>
      </c>
      <c r="BW26" s="8">
        <f>-300*Escalation!$B$74</f>
        <v>-337.84872577920004</v>
      </c>
      <c r="BX26" s="8">
        <f>-300*Escalation!$B$75</f>
        <v>-337.84872577920004</v>
      </c>
      <c r="BY26" s="8">
        <f>-300*Escalation!$B$76</f>
        <v>-337.84872577920004</v>
      </c>
      <c r="BZ26" s="8">
        <f>-300*Escalation!$B$77</f>
        <v>-337.84872577920004</v>
      </c>
      <c r="CA26" s="8">
        <f>-300*Escalation!$B$78</f>
        <v>-337.84872577920004</v>
      </c>
      <c r="CB26" s="8">
        <f>-300*Escalation!$B$79</f>
        <v>-337.84872577920004</v>
      </c>
      <c r="CC26" s="8">
        <f>-300*Escalation!$B$80</f>
        <v>-337.84872577920004</v>
      </c>
      <c r="CD26" s="8">
        <f>-300*Escalation!$B$81</f>
        <v>-337.84872577920004</v>
      </c>
      <c r="CE26" s="8">
        <f>-300*Escalation!$B$82</f>
        <v>-337.84872577920004</v>
      </c>
      <c r="CF26" s="8">
        <f>-300*Escalation!$B$83</f>
        <v>-337.84872577920004</v>
      </c>
      <c r="CG26" s="8">
        <f>-300*Escalation!$B$84</f>
        <v>-337.84872577920004</v>
      </c>
      <c r="CH26" s="8">
        <f>-300*Escalation!$B$85</f>
        <v>-337.84872577920004</v>
      </c>
      <c r="CI26" s="23"/>
    </row>
    <row r="27" spans="1:87" ht="15" customHeight="1" x14ac:dyDescent="0.25">
      <c r="A27" s="7" t="s">
        <v>132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133</v>
      </c>
      <c r="B28" s="22"/>
      <c r="C28" s="8">
        <f>-1500*Escalation!$B$2</f>
        <v>-1500</v>
      </c>
      <c r="D28" s="8">
        <f>-1500*Escalation!$B$3</f>
        <v>-1500</v>
      </c>
      <c r="E28" s="8">
        <f>-1500*Escalation!$B$4</f>
        <v>-1500</v>
      </c>
      <c r="F28" s="8">
        <f>-1500*Escalation!$B$5</f>
        <v>-1500</v>
      </c>
      <c r="G28" s="8">
        <f>-1500*Escalation!$B$6</f>
        <v>-1500</v>
      </c>
      <c r="H28" s="8">
        <f>-1500*Escalation!$B$7</f>
        <v>-1500</v>
      </c>
      <c r="I28" s="8">
        <f>-1500*Escalation!$B$8</f>
        <v>-1500</v>
      </c>
      <c r="J28" s="8">
        <f>-1500*Escalation!$B$9</f>
        <v>-1500</v>
      </c>
      <c r="K28" s="8">
        <f>-1500*Escalation!$B$10</f>
        <v>-1500</v>
      </c>
      <c r="L28" s="8">
        <f>-1500*Escalation!$B$11</f>
        <v>-1500</v>
      </c>
      <c r="M28" s="8">
        <f>-1500*Escalation!$B$12</f>
        <v>-1500</v>
      </c>
      <c r="N28" s="8">
        <f>-1500*Escalation!$B$13</f>
        <v>-1500</v>
      </c>
      <c r="O28" s="8">
        <f>-1500*Escalation!$B$14</f>
        <v>-1530</v>
      </c>
      <c r="P28" s="8">
        <f>-1500*Escalation!$B$15</f>
        <v>-1530</v>
      </c>
      <c r="Q28" s="8">
        <f>-1500*Escalation!$B$16</f>
        <v>-1530</v>
      </c>
      <c r="R28" s="8">
        <f>-1500*Escalation!$B$17</f>
        <v>-1530</v>
      </c>
      <c r="S28" s="8">
        <f>-1500*Escalation!$B$18</f>
        <v>-1530</v>
      </c>
      <c r="T28" s="8">
        <f>-1500*Escalation!$B$19</f>
        <v>-1530</v>
      </c>
      <c r="U28" s="8">
        <f>-1500*Escalation!$B$20</f>
        <v>-1530</v>
      </c>
      <c r="V28" s="8">
        <f>-1500*Escalation!$B$21</f>
        <v>-1530</v>
      </c>
      <c r="W28" s="8">
        <f>-1500*Escalation!$B$22</f>
        <v>-1530</v>
      </c>
      <c r="X28" s="8">
        <f>-1500*Escalation!$B$23</f>
        <v>-1530</v>
      </c>
      <c r="Y28" s="8">
        <f>-1500*Escalation!$B$24</f>
        <v>-1530</v>
      </c>
      <c r="Z28" s="8">
        <f>-1500*Escalation!$B$25</f>
        <v>-1530</v>
      </c>
      <c r="AA28" s="8">
        <f>-1500*Escalation!$B$26</f>
        <v>-1560.6</v>
      </c>
      <c r="AB28" s="8">
        <f>-1500*Escalation!$B$27</f>
        <v>-1560.6</v>
      </c>
      <c r="AC28" s="8">
        <f>-1500*Escalation!$B$28</f>
        <v>-1560.6</v>
      </c>
      <c r="AD28" s="8">
        <f>-1500*Escalation!$B$29</f>
        <v>-1560.6</v>
      </c>
      <c r="AE28" s="8">
        <f>-1500*Escalation!$B$30</f>
        <v>-1560.6</v>
      </c>
      <c r="AF28" s="8">
        <f>-1500*Escalation!$B$31</f>
        <v>-1560.6</v>
      </c>
      <c r="AG28" s="8">
        <f>-1500*Escalation!$B$32</f>
        <v>-1560.6</v>
      </c>
      <c r="AH28" s="8">
        <f>-1500*Escalation!$B$33</f>
        <v>-1560.6</v>
      </c>
      <c r="AI28" s="8">
        <f>-1500*Escalation!$B$34</f>
        <v>-1560.6</v>
      </c>
      <c r="AJ28" s="8">
        <f>-1500*Escalation!$B$35</f>
        <v>-1560.6</v>
      </c>
      <c r="AK28" s="8">
        <f>-1500*Escalation!$B$36</f>
        <v>-1560.6</v>
      </c>
      <c r="AL28" s="8">
        <f>-1500*Escalation!$B$37</f>
        <v>-1560.6</v>
      </c>
      <c r="AM28" s="8">
        <f>-1500*Escalation!$B$38</f>
        <v>-1591.8119999999999</v>
      </c>
      <c r="AN28" s="8">
        <f>-1500*Escalation!$B$39</f>
        <v>-1591.8119999999999</v>
      </c>
      <c r="AO28" s="8">
        <f>-1500*Escalation!$B$40</f>
        <v>-1591.8119999999999</v>
      </c>
      <c r="AP28" s="8">
        <f>-1500*Escalation!$B$41</f>
        <v>-1591.8119999999999</v>
      </c>
      <c r="AQ28" s="8">
        <f>-1500*Escalation!$B$42</f>
        <v>-1591.8119999999999</v>
      </c>
      <c r="AR28" s="8">
        <f>-1500*Escalation!$B$43</f>
        <v>-1591.8119999999999</v>
      </c>
      <c r="AS28" s="8">
        <f>-1500*Escalation!$B$44</f>
        <v>-1591.8119999999999</v>
      </c>
      <c r="AT28" s="8">
        <f>-1500*Escalation!$B$45</f>
        <v>-1591.8119999999999</v>
      </c>
      <c r="AU28" s="8">
        <f>-1500*Escalation!$B$46</f>
        <v>-1591.8119999999999</v>
      </c>
      <c r="AV28" s="8">
        <f>-1500*Escalation!$B$47</f>
        <v>-1591.8119999999999</v>
      </c>
      <c r="AW28" s="8">
        <f>-1500*Escalation!$B$48</f>
        <v>-1591.8119999999999</v>
      </c>
      <c r="AX28" s="8">
        <f>-1500*Escalation!$B$49</f>
        <v>-1591.8119999999999</v>
      </c>
      <c r="AY28" s="8">
        <f>-1500*Escalation!$B$50</f>
        <v>-1623.64824</v>
      </c>
      <c r="AZ28" s="8">
        <f>-1500*Escalation!$B$51</f>
        <v>-1623.64824</v>
      </c>
      <c r="BA28" s="8">
        <f>-1500*Escalation!$B$52</f>
        <v>-1623.64824</v>
      </c>
      <c r="BB28" s="8">
        <f>-1500*Escalation!$B$53</f>
        <v>-1623.64824</v>
      </c>
      <c r="BC28" s="8">
        <f>-1500*Escalation!$B$54</f>
        <v>-1623.64824</v>
      </c>
      <c r="BD28" s="8">
        <f>-1500*Escalation!$B$55</f>
        <v>-1623.64824</v>
      </c>
      <c r="BE28" s="8">
        <f>-1500*Escalation!$B$56</f>
        <v>-1623.64824</v>
      </c>
      <c r="BF28" s="8">
        <f>-1500*Escalation!$B$57</f>
        <v>-1623.64824</v>
      </c>
      <c r="BG28" s="8">
        <f>-1500*Escalation!$B$58</f>
        <v>-1623.64824</v>
      </c>
      <c r="BH28" s="8">
        <f>-1500*Escalation!$B$59</f>
        <v>-1623.64824</v>
      </c>
      <c r="BI28" s="8">
        <f>-1500*Escalation!$B$60</f>
        <v>-1623.64824</v>
      </c>
      <c r="BJ28" s="8">
        <f>-1500*Escalation!$B$61</f>
        <v>-1623.64824</v>
      </c>
      <c r="BK28" s="8">
        <f>-1500*Escalation!$B$62</f>
        <v>-1656.1212048</v>
      </c>
      <c r="BL28" s="8">
        <f>-1500*Escalation!$B$63</f>
        <v>-1656.1212048</v>
      </c>
      <c r="BM28" s="8">
        <f>-1500*Escalation!$B$64</f>
        <v>-1656.1212048</v>
      </c>
      <c r="BN28" s="8">
        <f>-1500*Escalation!$B$65</f>
        <v>-1656.1212048</v>
      </c>
      <c r="BO28" s="8">
        <f>-1500*Escalation!$B$66</f>
        <v>-1656.1212048</v>
      </c>
      <c r="BP28" s="8">
        <f>-1500*Escalation!$B$67</f>
        <v>-1656.1212048</v>
      </c>
      <c r="BQ28" s="8">
        <f>-1500*Escalation!$B$68</f>
        <v>-1656.1212048</v>
      </c>
      <c r="BR28" s="8">
        <f>-1500*Escalation!$B$69</f>
        <v>-1656.1212048</v>
      </c>
      <c r="BS28" s="8">
        <f>-1500*Escalation!$B$70</f>
        <v>-1656.1212048</v>
      </c>
      <c r="BT28" s="8">
        <f>-1500*Escalation!$B$71</f>
        <v>-1656.1212048</v>
      </c>
      <c r="BU28" s="8">
        <f>-1500*Escalation!$B$72</f>
        <v>-1656.1212048</v>
      </c>
      <c r="BV28" s="8">
        <f>-1500*Escalation!$B$73</f>
        <v>-1656.1212048</v>
      </c>
      <c r="BW28" s="8">
        <f>-1500*Escalation!$B$74</f>
        <v>-1689.243628896</v>
      </c>
      <c r="BX28" s="8">
        <f>-1500*Escalation!$B$75</f>
        <v>-1689.243628896</v>
      </c>
      <c r="BY28" s="8">
        <f>-1500*Escalation!$B$76</f>
        <v>-1689.243628896</v>
      </c>
      <c r="BZ28" s="8">
        <f>-1500*Escalation!$B$77</f>
        <v>-1689.243628896</v>
      </c>
      <c r="CA28" s="8">
        <f>-1500*Escalation!$B$78</f>
        <v>-1689.243628896</v>
      </c>
      <c r="CB28" s="8">
        <f>-1500*Escalation!$B$79</f>
        <v>-1689.243628896</v>
      </c>
      <c r="CC28" s="8">
        <f>-1500*Escalation!$B$80</f>
        <v>-1689.243628896</v>
      </c>
      <c r="CD28" s="8">
        <f>-1500*Escalation!$B$81</f>
        <v>-1689.243628896</v>
      </c>
      <c r="CE28" s="8">
        <f>-1500*Escalation!$B$82</f>
        <v>-1689.243628896</v>
      </c>
      <c r="CF28" s="8">
        <f>-1500*Escalation!$B$83</f>
        <v>-1689.243628896</v>
      </c>
      <c r="CG28" s="8">
        <f>-1500*Escalation!$B$84</f>
        <v>-1689.243628896</v>
      </c>
      <c r="CH28" s="8">
        <f>-1500*Escalation!$B$85</f>
        <v>-1689.243628896</v>
      </c>
      <c r="CI28" s="23"/>
    </row>
    <row r="29" spans="1:87" ht="15" customHeight="1" x14ac:dyDescent="0.25">
      <c r="A29" s="7" t="s">
        <v>134</v>
      </c>
      <c r="B29" s="22"/>
      <c r="C29" s="8">
        <f>-1000*Escalation!$B$2</f>
        <v>-1000</v>
      </c>
      <c r="D29" s="8">
        <f>-1000*Escalation!$B$3</f>
        <v>-1000</v>
      </c>
      <c r="E29" s="8">
        <f>-1000*Escalation!$B$4</f>
        <v>-1000</v>
      </c>
      <c r="F29" s="8">
        <f>-1000*Escalation!$B$5</f>
        <v>-1000</v>
      </c>
      <c r="G29" s="8">
        <f>-1000*Escalation!$B$6</f>
        <v>-1000</v>
      </c>
      <c r="H29" s="8">
        <f>-1000*Escalation!$B$7</f>
        <v>-1000</v>
      </c>
      <c r="I29" s="8">
        <f>-1000*Escalation!$B$8</f>
        <v>-1000</v>
      </c>
      <c r="J29" s="8">
        <f>-1000*Escalation!$B$9</f>
        <v>-1000</v>
      </c>
      <c r="K29" s="8">
        <f>-1000*Escalation!$B$10</f>
        <v>-1000</v>
      </c>
      <c r="L29" s="8">
        <f>-1000*Escalation!$B$11</f>
        <v>-1000</v>
      </c>
      <c r="M29" s="8">
        <f>-1000*Escalation!$B$12</f>
        <v>-1000</v>
      </c>
      <c r="N29" s="8">
        <f>-1000*Escalation!$B$13</f>
        <v>-1000</v>
      </c>
      <c r="O29" s="8">
        <f>-1000*Escalation!$B$14</f>
        <v>-1020</v>
      </c>
      <c r="P29" s="8">
        <f>-1000*Escalation!$B$15</f>
        <v>-1020</v>
      </c>
      <c r="Q29" s="8">
        <f>-1000*Escalation!$B$16</f>
        <v>-1020</v>
      </c>
      <c r="R29" s="8">
        <f>-1000*Escalation!$B$17</f>
        <v>-1020</v>
      </c>
      <c r="S29" s="8">
        <f>-1000*Escalation!$B$18</f>
        <v>-1020</v>
      </c>
      <c r="T29" s="8">
        <f>-1000*Escalation!$B$19</f>
        <v>-1020</v>
      </c>
      <c r="U29" s="8">
        <f>-1000*Escalation!$B$20</f>
        <v>-1020</v>
      </c>
      <c r="V29" s="8">
        <f>-1000*Escalation!$B$21</f>
        <v>-1020</v>
      </c>
      <c r="W29" s="8">
        <f>-1000*Escalation!$B$22</f>
        <v>-1020</v>
      </c>
      <c r="X29" s="8">
        <f>-1000*Escalation!$B$23</f>
        <v>-1020</v>
      </c>
      <c r="Y29" s="8">
        <f>-1000*Escalation!$B$24</f>
        <v>-1020</v>
      </c>
      <c r="Z29" s="8">
        <f>-1000*Escalation!$B$25</f>
        <v>-1020</v>
      </c>
      <c r="AA29" s="8">
        <f>-1000*Escalation!$B$26</f>
        <v>-1040.4000000000001</v>
      </c>
      <c r="AB29" s="8">
        <f>-1000*Escalation!$B$27</f>
        <v>-1040.4000000000001</v>
      </c>
      <c r="AC29" s="8">
        <f>-1000*Escalation!$B$28</f>
        <v>-1040.4000000000001</v>
      </c>
      <c r="AD29" s="8">
        <f>-1000*Escalation!$B$29</f>
        <v>-1040.4000000000001</v>
      </c>
      <c r="AE29" s="8">
        <f>-1000*Escalation!$B$30</f>
        <v>-1040.4000000000001</v>
      </c>
      <c r="AF29" s="8">
        <f>-1000*Escalation!$B$31</f>
        <v>-1040.4000000000001</v>
      </c>
      <c r="AG29" s="8">
        <f>-1000*Escalation!$B$32</f>
        <v>-1040.4000000000001</v>
      </c>
      <c r="AH29" s="8">
        <f>-1000*Escalation!$B$33</f>
        <v>-1040.4000000000001</v>
      </c>
      <c r="AI29" s="8">
        <f>-1000*Escalation!$B$34</f>
        <v>-1040.4000000000001</v>
      </c>
      <c r="AJ29" s="8">
        <f>-1000*Escalation!$B$35</f>
        <v>-1040.4000000000001</v>
      </c>
      <c r="AK29" s="8">
        <f>-1000*Escalation!$B$36</f>
        <v>-1040.4000000000001</v>
      </c>
      <c r="AL29" s="8">
        <f>-1000*Escalation!$B$37</f>
        <v>-1040.4000000000001</v>
      </c>
      <c r="AM29" s="8">
        <f>-1000*Escalation!$B$38</f>
        <v>-1061.2079999999999</v>
      </c>
      <c r="AN29" s="8">
        <f>-1000*Escalation!$B$39</f>
        <v>-1061.2079999999999</v>
      </c>
      <c r="AO29" s="8">
        <f>-1000*Escalation!$B$40</f>
        <v>-1061.2079999999999</v>
      </c>
      <c r="AP29" s="8">
        <f>-1000*Escalation!$B$41</f>
        <v>-1061.2079999999999</v>
      </c>
      <c r="AQ29" s="8">
        <f>-1000*Escalation!$B$42</f>
        <v>-1061.2079999999999</v>
      </c>
      <c r="AR29" s="8">
        <f>-1000*Escalation!$B$43</f>
        <v>-1061.2079999999999</v>
      </c>
      <c r="AS29" s="8">
        <f>-1000*Escalation!$B$44</f>
        <v>-1061.2079999999999</v>
      </c>
      <c r="AT29" s="8">
        <f>-1000*Escalation!$B$45</f>
        <v>-1061.2079999999999</v>
      </c>
      <c r="AU29" s="8">
        <f>-1000*Escalation!$B$46</f>
        <v>-1061.2079999999999</v>
      </c>
      <c r="AV29" s="8">
        <f>-1000*Escalation!$B$47</f>
        <v>-1061.2079999999999</v>
      </c>
      <c r="AW29" s="8">
        <f>-1000*Escalation!$B$48</f>
        <v>-1061.2079999999999</v>
      </c>
      <c r="AX29" s="8">
        <f>-1000*Escalation!$B$49</f>
        <v>-1061.2079999999999</v>
      </c>
      <c r="AY29" s="8">
        <f>-1000*Escalation!$B$50</f>
        <v>-1082.4321600000001</v>
      </c>
      <c r="AZ29" s="8">
        <f>-1000*Escalation!$B$51</f>
        <v>-1082.4321600000001</v>
      </c>
      <c r="BA29" s="8">
        <f>-1000*Escalation!$B$52</f>
        <v>-1082.4321600000001</v>
      </c>
      <c r="BB29" s="8">
        <f>-1000*Escalation!$B$53</f>
        <v>-1082.4321600000001</v>
      </c>
      <c r="BC29" s="8">
        <f>-1000*Escalation!$B$54</f>
        <v>-1082.4321600000001</v>
      </c>
      <c r="BD29" s="8">
        <f>-1000*Escalation!$B$55</f>
        <v>-1082.4321600000001</v>
      </c>
      <c r="BE29" s="8">
        <f>-1000*Escalation!$B$56</f>
        <v>-1082.4321600000001</v>
      </c>
      <c r="BF29" s="8">
        <f>-1000*Escalation!$B$57</f>
        <v>-1082.4321600000001</v>
      </c>
      <c r="BG29" s="8">
        <f>-1000*Escalation!$B$58</f>
        <v>-1082.4321600000001</v>
      </c>
      <c r="BH29" s="8">
        <f>-1000*Escalation!$B$59</f>
        <v>-1082.4321600000001</v>
      </c>
      <c r="BI29" s="8">
        <f>-1000*Escalation!$B$60</f>
        <v>-1082.4321600000001</v>
      </c>
      <c r="BJ29" s="8">
        <f>-1000*Escalation!$B$61</f>
        <v>-1082.4321600000001</v>
      </c>
      <c r="BK29" s="8">
        <f>-1000*Escalation!$B$62</f>
        <v>-1104.0808032</v>
      </c>
      <c r="BL29" s="8">
        <f>-1000*Escalation!$B$63</f>
        <v>-1104.0808032</v>
      </c>
      <c r="BM29" s="8">
        <f>-1000*Escalation!$B$64</f>
        <v>-1104.0808032</v>
      </c>
      <c r="BN29" s="8">
        <f>-1000*Escalation!$B$65</f>
        <v>-1104.0808032</v>
      </c>
      <c r="BO29" s="8">
        <f>-1000*Escalation!$B$66</f>
        <v>-1104.0808032</v>
      </c>
      <c r="BP29" s="8">
        <f>-1000*Escalation!$B$67</f>
        <v>-1104.0808032</v>
      </c>
      <c r="BQ29" s="8">
        <f>-1000*Escalation!$B$68</f>
        <v>-1104.0808032</v>
      </c>
      <c r="BR29" s="8">
        <f>-1000*Escalation!$B$69</f>
        <v>-1104.0808032</v>
      </c>
      <c r="BS29" s="8">
        <f>-1000*Escalation!$B$70</f>
        <v>-1104.0808032</v>
      </c>
      <c r="BT29" s="8">
        <f>-1000*Escalation!$B$71</f>
        <v>-1104.0808032</v>
      </c>
      <c r="BU29" s="8">
        <f>-1000*Escalation!$B$72</f>
        <v>-1104.0808032</v>
      </c>
      <c r="BV29" s="8">
        <f>-1000*Escalation!$B$73</f>
        <v>-1104.0808032</v>
      </c>
      <c r="BW29" s="8">
        <f>-1000*Escalation!$B$74</f>
        <v>-1126.1624192640002</v>
      </c>
      <c r="BX29" s="8">
        <f>-1000*Escalation!$B$75</f>
        <v>-1126.1624192640002</v>
      </c>
      <c r="BY29" s="8">
        <f>-1000*Escalation!$B$76</f>
        <v>-1126.1624192640002</v>
      </c>
      <c r="BZ29" s="8">
        <f>-1000*Escalation!$B$77</f>
        <v>-1126.1624192640002</v>
      </c>
      <c r="CA29" s="8">
        <f>-1000*Escalation!$B$78</f>
        <v>-1126.1624192640002</v>
      </c>
      <c r="CB29" s="8">
        <f>-1000*Escalation!$B$79</f>
        <v>-1126.1624192640002</v>
      </c>
      <c r="CC29" s="8">
        <f>-1000*Escalation!$B$80</f>
        <v>-1126.1624192640002</v>
      </c>
      <c r="CD29" s="8">
        <f>-1000*Escalation!$B$81</f>
        <v>-1126.1624192640002</v>
      </c>
      <c r="CE29" s="8">
        <f>-1000*Escalation!$B$82</f>
        <v>-1126.1624192640002</v>
      </c>
      <c r="CF29" s="8">
        <f>-1000*Escalation!$B$83</f>
        <v>-1126.1624192640002</v>
      </c>
      <c r="CG29" s="8">
        <f>-1000*Escalation!$B$84</f>
        <v>-1126.1624192640002</v>
      </c>
      <c r="CH29" s="8">
        <f>-1000*Escalation!$B$85</f>
        <v>-1126.1624192640002</v>
      </c>
      <c r="CI29" s="23"/>
    </row>
    <row r="30" spans="1:87" ht="15" customHeight="1" x14ac:dyDescent="0.25">
      <c r="A30" s="7" t="s">
        <v>135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136</v>
      </c>
      <c r="B31" s="22"/>
      <c r="C31" s="8">
        <f>-416.67*Escalation!$B$2</f>
        <v>-416.67</v>
      </c>
      <c r="D31" s="8">
        <f>-416.67*Escalation!$B$3</f>
        <v>-416.67</v>
      </c>
      <c r="E31" s="8">
        <f>-416.67*Escalation!$B$4</f>
        <v>-416.67</v>
      </c>
      <c r="F31" s="8">
        <f>-416.67*Escalation!$B$5</f>
        <v>-416.67</v>
      </c>
      <c r="G31" s="8">
        <f>-416.67*Escalation!$B$6</f>
        <v>-416.67</v>
      </c>
      <c r="H31" s="8">
        <f>-416.67*Escalation!$B$7</f>
        <v>-416.67</v>
      </c>
      <c r="I31" s="8">
        <f>-416.67*Escalation!$B$8</f>
        <v>-416.67</v>
      </c>
      <c r="J31" s="8">
        <f>-416.67*Escalation!$B$9</f>
        <v>-416.67</v>
      </c>
      <c r="K31" s="8">
        <f>-416.67*Escalation!$B$10</f>
        <v>-416.67</v>
      </c>
      <c r="L31" s="8">
        <f>-416.67*Escalation!$B$11</f>
        <v>-416.67</v>
      </c>
      <c r="M31" s="8">
        <f>-416.67*Escalation!$B$12</f>
        <v>-416.67</v>
      </c>
      <c r="N31" s="8">
        <f>-416.67*Escalation!$B$13</f>
        <v>-416.67</v>
      </c>
      <c r="O31" s="8">
        <f>-416.67*Escalation!$B$14</f>
        <v>-425.0034</v>
      </c>
      <c r="P31" s="8">
        <f>-416.67*Escalation!$B$15</f>
        <v>-425.0034</v>
      </c>
      <c r="Q31" s="8">
        <f>-416.67*Escalation!$B$16</f>
        <v>-425.0034</v>
      </c>
      <c r="R31" s="8">
        <f>-416.67*Escalation!$B$17</f>
        <v>-425.0034</v>
      </c>
      <c r="S31" s="8">
        <f>-416.67*Escalation!$B$18</f>
        <v>-425.0034</v>
      </c>
      <c r="T31" s="8">
        <f>-416.67*Escalation!$B$19</f>
        <v>-425.0034</v>
      </c>
      <c r="U31" s="8">
        <f>-416.67*Escalation!$B$20</f>
        <v>-425.0034</v>
      </c>
      <c r="V31" s="8">
        <f>-416.67*Escalation!$B$21</f>
        <v>-425.0034</v>
      </c>
      <c r="W31" s="8">
        <f>-416.67*Escalation!$B$22</f>
        <v>-425.0034</v>
      </c>
      <c r="X31" s="8">
        <f>-416.67*Escalation!$B$23</f>
        <v>-425.0034</v>
      </c>
      <c r="Y31" s="8">
        <f>-416.67*Escalation!$B$24</f>
        <v>-425.0034</v>
      </c>
      <c r="Z31" s="8">
        <f>-416.67*Escalation!$B$25</f>
        <v>-425.0034</v>
      </c>
      <c r="AA31" s="8">
        <f>-416.67*Escalation!$B$26</f>
        <v>-433.503468</v>
      </c>
      <c r="AB31" s="8">
        <f>-416.67*Escalation!$B$27</f>
        <v>-433.503468</v>
      </c>
      <c r="AC31" s="8">
        <f>-416.67*Escalation!$B$28</f>
        <v>-433.503468</v>
      </c>
      <c r="AD31" s="8">
        <f>-416.67*Escalation!$B$29</f>
        <v>-433.503468</v>
      </c>
      <c r="AE31" s="8">
        <f>-416.67*Escalation!$B$30</f>
        <v>-433.503468</v>
      </c>
      <c r="AF31" s="8">
        <f>-416.67*Escalation!$B$31</f>
        <v>-433.503468</v>
      </c>
      <c r="AG31" s="8">
        <f>-416.67*Escalation!$B$32</f>
        <v>-433.503468</v>
      </c>
      <c r="AH31" s="8">
        <f>-416.67*Escalation!$B$33</f>
        <v>-433.503468</v>
      </c>
      <c r="AI31" s="8">
        <f>-416.67*Escalation!$B$34</f>
        <v>-433.503468</v>
      </c>
      <c r="AJ31" s="8">
        <f>-416.67*Escalation!$B$35</f>
        <v>-433.503468</v>
      </c>
      <c r="AK31" s="8">
        <f>-416.67*Escalation!$B$36</f>
        <v>-433.503468</v>
      </c>
      <c r="AL31" s="8">
        <f>-416.67*Escalation!$B$37</f>
        <v>-433.503468</v>
      </c>
      <c r="AM31" s="8">
        <f>-416.67*Escalation!$B$38</f>
        <v>-442.17353736000001</v>
      </c>
      <c r="AN31" s="8">
        <f>-416.67*Escalation!$B$39</f>
        <v>-442.17353736000001</v>
      </c>
      <c r="AO31" s="8">
        <f>-416.67*Escalation!$B$40</f>
        <v>-442.17353736000001</v>
      </c>
      <c r="AP31" s="8">
        <f>-416.67*Escalation!$B$41</f>
        <v>-442.17353736000001</v>
      </c>
      <c r="AQ31" s="8">
        <f>-416.67*Escalation!$B$42</f>
        <v>-442.17353736000001</v>
      </c>
      <c r="AR31" s="8">
        <f>-416.67*Escalation!$B$43</f>
        <v>-442.17353736000001</v>
      </c>
      <c r="AS31" s="8">
        <f>-416.67*Escalation!$B$44</f>
        <v>-442.17353736000001</v>
      </c>
      <c r="AT31" s="8">
        <f>-416.67*Escalation!$B$45</f>
        <v>-442.17353736000001</v>
      </c>
      <c r="AU31" s="8">
        <f>-416.67*Escalation!$B$46</f>
        <v>-442.17353736000001</v>
      </c>
      <c r="AV31" s="8">
        <f>-416.67*Escalation!$B$47</f>
        <v>-442.17353736000001</v>
      </c>
      <c r="AW31" s="8">
        <f>-416.67*Escalation!$B$48</f>
        <v>-442.17353736000001</v>
      </c>
      <c r="AX31" s="8">
        <f>-416.67*Escalation!$B$49</f>
        <v>-442.17353736000001</v>
      </c>
      <c r="AY31" s="8">
        <f>-416.67*Escalation!$B$50</f>
        <v>-451.01700810720001</v>
      </c>
      <c r="AZ31" s="8">
        <f>-416.67*Escalation!$B$51</f>
        <v>-451.01700810720001</v>
      </c>
      <c r="BA31" s="8">
        <f>-416.67*Escalation!$B$52</f>
        <v>-451.01700810720001</v>
      </c>
      <c r="BB31" s="8">
        <f>-416.67*Escalation!$B$53</f>
        <v>-451.01700810720001</v>
      </c>
      <c r="BC31" s="8">
        <f>-416.67*Escalation!$B$54</f>
        <v>-451.01700810720001</v>
      </c>
      <c r="BD31" s="8">
        <f>-416.67*Escalation!$B$55</f>
        <v>-451.01700810720001</v>
      </c>
      <c r="BE31" s="8">
        <f>-416.67*Escalation!$B$56</f>
        <v>-451.01700810720001</v>
      </c>
      <c r="BF31" s="8">
        <f>-416.67*Escalation!$B$57</f>
        <v>-451.01700810720001</v>
      </c>
      <c r="BG31" s="8">
        <f>-416.67*Escalation!$B$58</f>
        <v>-451.01700810720001</v>
      </c>
      <c r="BH31" s="8">
        <f>-416.67*Escalation!$B$59</f>
        <v>-451.01700810720001</v>
      </c>
      <c r="BI31" s="8">
        <f>-416.67*Escalation!$B$60</f>
        <v>-451.01700810720001</v>
      </c>
      <c r="BJ31" s="8">
        <f>-416.67*Escalation!$B$61</f>
        <v>-451.01700810720001</v>
      </c>
      <c r="BK31" s="8">
        <f>-416.67*Escalation!$B$62</f>
        <v>-460.03734826934402</v>
      </c>
      <c r="BL31" s="8">
        <f>-416.67*Escalation!$B$63</f>
        <v>-460.03734826934402</v>
      </c>
      <c r="BM31" s="8">
        <f>-416.67*Escalation!$B$64</f>
        <v>-460.03734826934402</v>
      </c>
      <c r="BN31" s="8">
        <f>-416.67*Escalation!$B$65</f>
        <v>-460.03734826934402</v>
      </c>
      <c r="BO31" s="8">
        <f>-416.67*Escalation!$B$66</f>
        <v>-460.03734826934402</v>
      </c>
      <c r="BP31" s="8">
        <f>-416.67*Escalation!$B$67</f>
        <v>-460.03734826934402</v>
      </c>
      <c r="BQ31" s="8">
        <f>-416.67*Escalation!$B$68</f>
        <v>-460.03734826934402</v>
      </c>
      <c r="BR31" s="8">
        <f>-416.67*Escalation!$B$69</f>
        <v>-460.03734826934402</v>
      </c>
      <c r="BS31" s="8">
        <f>-416.67*Escalation!$B$70</f>
        <v>-460.03734826934402</v>
      </c>
      <c r="BT31" s="8">
        <f>-416.67*Escalation!$B$71</f>
        <v>-460.03734826934402</v>
      </c>
      <c r="BU31" s="8">
        <f>-416.67*Escalation!$B$72</f>
        <v>-460.03734826934402</v>
      </c>
      <c r="BV31" s="8">
        <f>-416.67*Escalation!$B$73</f>
        <v>-460.03734826934402</v>
      </c>
      <c r="BW31" s="8">
        <f>-416.67*Escalation!$B$74</f>
        <v>-469.23809523473091</v>
      </c>
      <c r="BX31" s="8">
        <f>-416.67*Escalation!$B$75</f>
        <v>-469.23809523473091</v>
      </c>
      <c r="BY31" s="8">
        <f>-416.67*Escalation!$B$76</f>
        <v>-469.23809523473091</v>
      </c>
      <c r="BZ31" s="8">
        <f>-416.67*Escalation!$B$77</f>
        <v>-469.23809523473091</v>
      </c>
      <c r="CA31" s="8">
        <f>-416.67*Escalation!$B$78</f>
        <v>-469.23809523473091</v>
      </c>
      <c r="CB31" s="8">
        <f>-416.67*Escalation!$B$79</f>
        <v>-469.23809523473091</v>
      </c>
      <c r="CC31" s="8">
        <f>-416.67*Escalation!$B$80</f>
        <v>-469.23809523473091</v>
      </c>
      <c r="CD31" s="8">
        <f>-416.67*Escalation!$B$81</f>
        <v>-469.23809523473091</v>
      </c>
      <c r="CE31" s="8">
        <f>-416.67*Escalation!$B$82</f>
        <v>-469.23809523473091</v>
      </c>
      <c r="CF31" s="8">
        <f>-416.67*Escalation!$B$83</f>
        <v>-469.23809523473091</v>
      </c>
      <c r="CG31" s="8">
        <f>-416.67*Escalation!$B$84</f>
        <v>-469.23809523473091</v>
      </c>
      <c r="CH31" s="8">
        <f>-416.67*Escalation!$B$85</f>
        <v>-469.23809523473091</v>
      </c>
      <c r="CI31" s="23"/>
    </row>
    <row r="32" spans="1:87" ht="15" customHeight="1" x14ac:dyDescent="0.25">
      <c r="A32" s="7" t="s">
        <v>137</v>
      </c>
      <c r="B32" s="22"/>
      <c r="C32" s="8">
        <f>-1666.67*Escalation!$B$2</f>
        <v>-1666.67</v>
      </c>
      <c r="D32" s="8">
        <f>-1666.67*Escalation!$B$3</f>
        <v>-1666.67</v>
      </c>
      <c r="E32" s="8">
        <f>-1666.67*Escalation!$B$4</f>
        <v>-1666.67</v>
      </c>
      <c r="F32" s="8">
        <f>-1666.67*Escalation!$B$5</f>
        <v>-1666.67</v>
      </c>
      <c r="G32" s="8">
        <f>-1666.67*Escalation!$B$6</f>
        <v>-1666.67</v>
      </c>
      <c r="H32" s="8">
        <f>-1666.67*Escalation!$B$7</f>
        <v>-1666.67</v>
      </c>
      <c r="I32" s="8">
        <f>-1666.67*Escalation!$B$8</f>
        <v>-1666.67</v>
      </c>
      <c r="J32" s="8">
        <f>-1666.67*Escalation!$B$9</f>
        <v>-1666.67</v>
      </c>
      <c r="K32" s="8">
        <f>-1666.67*Escalation!$B$10</f>
        <v>-1666.67</v>
      </c>
      <c r="L32" s="8">
        <f>-1666.67*Escalation!$B$11</f>
        <v>-1666.67</v>
      </c>
      <c r="M32" s="8">
        <f>-1666.67*Escalation!$B$12</f>
        <v>-1666.67</v>
      </c>
      <c r="N32" s="8">
        <f>-1666.67*Escalation!$B$13</f>
        <v>-1666.67</v>
      </c>
      <c r="O32" s="8">
        <f>-1666.67*Escalation!$B$14</f>
        <v>-1700.0034000000001</v>
      </c>
      <c r="P32" s="8">
        <f>-1666.67*Escalation!$B$15</f>
        <v>-1700.0034000000001</v>
      </c>
      <c r="Q32" s="8">
        <f>-1666.67*Escalation!$B$16</f>
        <v>-1700.0034000000001</v>
      </c>
      <c r="R32" s="8">
        <f>-1666.67*Escalation!$B$17</f>
        <v>-1700.0034000000001</v>
      </c>
      <c r="S32" s="8">
        <f>-1666.67*Escalation!$B$18</f>
        <v>-1700.0034000000001</v>
      </c>
      <c r="T32" s="8">
        <f>-1666.67*Escalation!$B$19</f>
        <v>-1700.0034000000001</v>
      </c>
      <c r="U32" s="8">
        <f>-1666.67*Escalation!$B$20</f>
        <v>-1700.0034000000001</v>
      </c>
      <c r="V32" s="8">
        <f>-1666.67*Escalation!$B$21</f>
        <v>-1700.0034000000001</v>
      </c>
      <c r="W32" s="8">
        <f>-1666.67*Escalation!$B$22</f>
        <v>-1700.0034000000001</v>
      </c>
      <c r="X32" s="8">
        <f>-1666.67*Escalation!$B$23</f>
        <v>-1700.0034000000001</v>
      </c>
      <c r="Y32" s="8">
        <f>-1666.67*Escalation!$B$24</f>
        <v>-1700.0034000000001</v>
      </c>
      <c r="Z32" s="8">
        <f>-1666.67*Escalation!$B$25</f>
        <v>-1700.0034000000001</v>
      </c>
      <c r="AA32" s="8">
        <f>-1666.67*Escalation!$B$26</f>
        <v>-1734.0034680000001</v>
      </c>
      <c r="AB32" s="8">
        <f>-1666.67*Escalation!$B$27</f>
        <v>-1734.0034680000001</v>
      </c>
      <c r="AC32" s="8">
        <f>-1666.67*Escalation!$B$28</f>
        <v>-1734.0034680000001</v>
      </c>
      <c r="AD32" s="8">
        <f>-1666.67*Escalation!$B$29</f>
        <v>-1734.0034680000001</v>
      </c>
      <c r="AE32" s="8">
        <f>-1666.67*Escalation!$B$30</f>
        <v>-1734.0034680000001</v>
      </c>
      <c r="AF32" s="8">
        <f>-1666.67*Escalation!$B$31</f>
        <v>-1734.0034680000001</v>
      </c>
      <c r="AG32" s="8">
        <f>-1666.67*Escalation!$B$32</f>
        <v>-1734.0034680000001</v>
      </c>
      <c r="AH32" s="8">
        <f>-1666.67*Escalation!$B$33</f>
        <v>-1734.0034680000001</v>
      </c>
      <c r="AI32" s="8">
        <f>-1666.67*Escalation!$B$34</f>
        <v>-1734.0034680000001</v>
      </c>
      <c r="AJ32" s="8">
        <f>-1666.67*Escalation!$B$35</f>
        <v>-1734.0034680000001</v>
      </c>
      <c r="AK32" s="8">
        <f>-1666.67*Escalation!$B$36</f>
        <v>-1734.0034680000001</v>
      </c>
      <c r="AL32" s="8">
        <f>-1666.67*Escalation!$B$37</f>
        <v>-1734.0034680000001</v>
      </c>
      <c r="AM32" s="8">
        <f>-1666.67*Escalation!$B$38</f>
        <v>-1768.6835373599999</v>
      </c>
      <c r="AN32" s="8">
        <f>-1666.67*Escalation!$B$39</f>
        <v>-1768.6835373599999</v>
      </c>
      <c r="AO32" s="8">
        <f>-1666.67*Escalation!$B$40</f>
        <v>-1768.6835373599999</v>
      </c>
      <c r="AP32" s="8">
        <f>-1666.67*Escalation!$B$41</f>
        <v>-1768.6835373599999</v>
      </c>
      <c r="AQ32" s="8">
        <f>-1666.67*Escalation!$B$42</f>
        <v>-1768.6835373599999</v>
      </c>
      <c r="AR32" s="8">
        <f>-1666.67*Escalation!$B$43</f>
        <v>-1768.6835373599999</v>
      </c>
      <c r="AS32" s="8">
        <f>-1666.67*Escalation!$B$44</f>
        <v>-1768.6835373599999</v>
      </c>
      <c r="AT32" s="8">
        <f>-1666.67*Escalation!$B$45</f>
        <v>-1768.6835373599999</v>
      </c>
      <c r="AU32" s="8">
        <f>-1666.67*Escalation!$B$46</f>
        <v>-1768.6835373599999</v>
      </c>
      <c r="AV32" s="8">
        <f>-1666.67*Escalation!$B$47</f>
        <v>-1768.6835373599999</v>
      </c>
      <c r="AW32" s="8">
        <f>-1666.67*Escalation!$B$48</f>
        <v>-1768.6835373599999</v>
      </c>
      <c r="AX32" s="8">
        <f>-1666.67*Escalation!$B$49</f>
        <v>-1768.6835373599999</v>
      </c>
      <c r="AY32" s="8">
        <f>-1666.67*Escalation!$B$50</f>
        <v>-1804.0572081072</v>
      </c>
      <c r="AZ32" s="8">
        <f>-1666.67*Escalation!$B$51</f>
        <v>-1804.0572081072</v>
      </c>
      <c r="BA32" s="8">
        <f>-1666.67*Escalation!$B$52</f>
        <v>-1804.0572081072</v>
      </c>
      <c r="BB32" s="8">
        <f>-1666.67*Escalation!$B$53</f>
        <v>-1804.0572081072</v>
      </c>
      <c r="BC32" s="8">
        <f>-1666.67*Escalation!$B$54</f>
        <v>-1804.0572081072</v>
      </c>
      <c r="BD32" s="8">
        <f>-1666.67*Escalation!$B$55</f>
        <v>-1804.0572081072</v>
      </c>
      <c r="BE32" s="8">
        <f>-1666.67*Escalation!$B$56</f>
        <v>-1804.0572081072</v>
      </c>
      <c r="BF32" s="8">
        <f>-1666.67*Escalation!$B$57</f>
        <v>-1804.0572081072</v>
      </c>
      <c r="BG32" s="8">
        <f>-1666.67*Escalation!$B$58</f>
        <v>-1804.0572081072</v>
      </c>
      <c r="BH32" s="8">
        <f>-1666.67*Escalation!$B$59</f>
        <v>-1804.0572081072</v>
      </c>
      <c r="BI32" s="8">
        <f>-1666.67*Escalation!$B$60</f>
        <v>-1804.0572081072</v>
      </c>
      <c r="BJ32" s="8">
        <f>-1666.67*Escalation!$B$61</f>
        <v>-1804.0572081072</v>
      </c>
      <c r="BK32" s="8">
        <f>-1666.67*Escalation!$B$62</f>
        <v>-1840.1383522693441</v>
      </c>
      <c r="BL32" s="8">
        <f>-1666.67*Escalation!$B$63</f>
        <v>-1840.1383522693441</v>
      </c>
      <c r="BM32" s="8">
        <f>-1666.67*Escalation!$B$64</f>
        <v>-1840.1383522693441</v>
      </c>
      <c r="BN32" s="8">
        <f>-1666.67*Escalation!$B$65</f>
        <v>-1840.1383522693441</v>
      </c>
      <c r="BO32" s="8">
        <f>-1666.67*Escalation!$B$66</f>
        <v>-1840.1383522693441</v>
      </c>
      <c r="BP32" s="8">
        <f>-1666.67*Escalation!$B$67</f>
        <v>-1840.1383522693441</v>
      </c>
      <c r="BQ32" s="8">
        <f>-1666.67*Escalation!$B$68</f>
        <v>-1840.1383522693441</v>
      </c>
      <c r="BR32" s="8">
        <f>-1666.67*Escalation!$B$69</f>
        <v>-1840.1383522693441</v>
      </c>
      <c r="BS32" s="8">
        <f>-1666.67*Escalation!$B$70</f>
        <v>-1840.1383522693441</v>
      </c>
      <c r="BT32" s="8">
        <f>-1666.67*Escalation!$B$71</f>
        <v>-1840.1383522693441</v>
      </c>
      <c r="BU32" s="8">
        <f>-1666.67*Escalation!$B$72</f>
        <v>-1840.1383522693441</v>
      </c>
      <c r="BV32" s="8">
        <f>-1666.67*Escalation!$B$73</f>
        <v>-1840.1383522693441</v>
      </c>
      <c r="BW32" s="8">
        <f>-1666.67*Escalation!$B$74</f>
        <v>-1876.9411193147312</v>
      </c>
      <c r="BX32" s="8">
        <f>-1666.67*Escalation!$B$75</f>
        <v>-1876.9411193147312</v>
      </c>
      <c r="BY32" s="8">
        <f>-1666.67*Escalation!$B$76</f>
        <v>-1876.9411193147312</v>
      </c>
      <c r="BZ32" s="8">
        <f>-1666.67*Escalation!$B$77</f>
        <v>-1876.9411193147312</v>
      </c>
      <c r="CA32" s="8">
        <f>-1666.67*Escalation!$B$78</f>
        <v>-1876.9411193147312</v>
      </c>
      <c r="CB32" s="8">
        <f>-1666.67*Escalation!$B$79</f>
        <v>-1876.9411193147312</v>
      </c>
      <c r="CC32" s="8">
        <f>-1666.67*Escalation!$B$80</f>
        <v>-1876.9411193147312</v>
      </c>
      <c r="CD32" s="8">
        <f>-1666.67*Escalation!$B$81</f>
        <v>-1876.9411193147312</v>
      </c>
      <c r="CE32" s="8">
        <f>-1666.67*Escalation!$B$82</f>
        <v>-1876.9411193147312</v>
      </c>
      <c r="CF32" s="8">
        <f>-1666.67*Escalation!$B$83</f>
        <v>-1876.9411193147312</v>
      </c>
      <c r="CG32" s="8">
        <f>-1666.67*Escalation!$B$84</f>
        <v>-1876.9411193147312</v>
      </c>
      <c r="CH32" s="8">
        <f>-1666.67*Escalation!$B$85</f>
        <v>-1876.9411193147312</v>
      </c>
      <c r="CI32" s="23"/>
    </row>
    <row r="33" spans="1:87" ht="15" customHeight="1" x14ac:dyDescent="0.25">
      <c r="A33" s="7" t="s">
        <v>138</v>
      </c>
      <c r="B33" s="22"/>
      <c r="C33" s="8">
        <f>-1000*Escalation!$B$2</f>
        <v>-1000</v>
      </c>
      <c r="D33" s="8">
        <f>-1000*Escalation!$B$3</f>
        <v>-1000</v>
      </c>
      <c r="E33" s="8">
        <f>-1000*Escalation!$B$4</f>
        <v>-1000</v>
      </c>
      <c r="F33" s="8">
        <f>-1000*Escalation!$B$5</f>
        <v>-1000</v>
      </c>
      <c r="G33" s="8">
        <f>-1000*Escalation!$B$6</f>
        <v>-1000</v>
      </c>
      <c r="H33" s="8">
        <f>-1000*Escalation!$B$7</f>
        <v>-1000</v>
      </c>
      <c r="I33" s="8">
        <f>-1000*Escalation!$B$8</f>
        <v>-1000</v>
      </c>
      <c r="J33" s="8">
        <f>-1000*Escalation!$B$9</f>
        <v>-1000</v>
      </c>
      <c r="K33" s="8">
        <f>-1000*Escalation!$B$10</f>
        <v>-1000</v>
      </c>
      <c r="L33" s="8">
        <f>-1000*Escalation!$B$11</f>
        <v>-1000</v>
      </c>
      <c r="M33" s="8">
        <f>-1000*Escalation!$B$12</f>
        <v>-1000</v>
      </c>
      <c r="N33" s="8">
        <f>-1000*Escalation!$B$13</f>
        <v>-1000</v>
      </c>
      <c r="O33" s="8">
        <f>-1000*Escalation!$B$14</f>
        <v>-1020</v>
      </c>
      <c r="P33" s="8">
        <f>-1000*Escalation!$B$15</f>
        <v>-1020</v>
      </c>
      <c r="Q33" s="8">
        <f>-1000*Escalation!$B$16</f>
        <v>-1020</v>
      </c>
      <c r="R33" s="8">
        <f>-1000*Escalation!$B$17</f>
        <v>-1020</v>
      </c>
      <c r="S33" s="8">
        <f>-1000*Escalation!$B$18</f>
        <v>-1020</v>
      </c>
      <c r="T33" s="8">
        <f>-1000*Escalation!$B$19</f>
        <v>-1020</v>
      </c>
      <c r="U33" s="8">
        <f>-1000*Escalation!$B$20</f>
        <v>-1020</v>
      </c>
      <c r="V33" s="8">
        <f>-1000*Escalation!$B$21</f>
        <v>-1020</v>
      </c>
      <c r="W33" s="8">
        <f>-1000*Escalation!$B$22</f>
        <v>-1020</v>
      </c>
      <c r="X33" s="8">
        <f>-1000*Escalation!$B$23</f>
        <v>-1020</v>
      </c>
      <c r="Y33" s="8">
        <f>-1000*Escalation!$B$24</f>
        <v>-1020</v>
      </c>
      <c r="Z33" s="8">
        <f>-1000*Escalation!$B$25</f>
        <v>-1020</v>
      </c>
      <c r="AA33" s="8">
        <f>-1000*Escalation!$B$26</f>
        <v>-1040.4000000000001</v>
      </c>
      <c r="AB33" s="8">
        <f>-1000*Escalation!$B$27</f>
        <v>-1040.4000000000001</v>
      </c>
      <c r="AC33" s="8">
        <f>-1000*Escalation!$B$28</f>
        <v>-1040.4000000000001</v>
      </c>
      <c r="AD33" s="8">
        <f>-1000*Escalation!$B$29</f>
        <v>-1040.4000000000001</v>
      </c>
      <c r="AE33" s="8">
        <f>-1000*Escalation!$B$30</f>
        <v>-1040.4000000000001</v>
      </c>
      <c r="AF33" s="8">
        <f>-1000*Escalation!$B$31</f>
        <v>-1040.4000000000001</v>
      </c>
      <c r="AG33" s="8">
        <f>-1000*Escalation!$B$32</f>
        <v>-1040.4000000000001</v>
      </c>
      <c r="AH33" s="8">
        <f>-1000*Escalation!$B$33</f>
        <v>-1040.4000000000001</v>
      </c>
      <c r="AI33" s="8">
        <f>-1000*Escalation!$B$34</f>
        <v>-1040.4000000000001</v>
      </c>
      <c r="AJ33" s="8">
        <f>-1000*Escalation!$B$35</f>
        <v>-1040.4000000000001</v>
      </c>
      <c r="AK33" s="8">
        <f>-1000*Escalation!$B$36</f>
        <v>-1040.4000000000001</v>
      </c>
      <c r="AL33" s="8">
        <f>-1000*Escalation!$B$37</f>
        <v>-1040.4000000000001</v>
      </c>
      <c r="AM33" s="8">
        <f>-1000*Escalation!$B$38</f>
        <v>-1061.2079999999999</v>
      </c>
      <c r="AN33" s="8">
        <f>-1000*Escalation!$B$39</f>
        <v>-1061.2079999999999</v>
      </c>
      <c r="AO33" s="8">
        <f>-1000*Escalation!$B$40</f>
        <v>-1061.2079999999999</v>
      </c>
      <c r="AP33" s="8">
        <f>-1000*Escalation!$B$41</f>
        <v>-1061.2079999999999</v>
      </c>
      <c r="AQ33" s="8">
        <f>-1000*Escalation!$B$42</f>
        <v>-1061.2079999999999</v>
      </c>
      <c r="AR33" s="8">
        <f>-1000*Escalation!$B$43</f>
        <v>-1061.2079999999999</v>
      </c>
      <c r="AS33" s="8">
        <f>-1000*Escalation!$B$44</f>
        <v>-1061.2079999999999</v>
      </c>
      <c r="AT33" s="8">
        <f>-1000*Escalation!$B$45</f>
        <v>-1061.2079999999999</v>
      </c>
      <c r="AU33" s="8">
        <f>-1000*Escalation!$B$46</f>
        <v>-1061.2079999999999</v>
      </c>
      <c r="AV33" s="8">
        <f>-1000*Escalation!$B$47</f>
        <v>-1061.2079999999999</v>
      </c>
      <c r="AW33" s="8">
        <f>-1000*Escalation!$B$48</f>
        <v>-1061.2079999999999</v>
      </c>
      <c r="AX33" s="8">
        <f>-1000*Escalation!$B$49</f>
        <v>-1061.2079999999999</v>
      </c>
      <c r="AY33" s="8">
        <f>-1000*Escalation!$B$50</f>
        <v>-1082.4321600000001</v>
      </c>
      <c r="AZ33" s="8">
        <f>-1000*Escalation!$B$51</f>
        <v>-1082.4321600000001</v>
      </c>
      <c r="BA33" s="8">
        <f>-1000*Escalation!$B$52</f>
        <v>-1082.4321600000001</v>
      </c>
      <c r="BB33" s="8">
        <f>-1000*Escalation!$B$53</f>
        <v>-1082.4321600000001</v>
      </c>
      <c r="BC33" s="8">
        <f>-1000*Escalation!$B$54</f>
        <v>-1082.4321600000001</v>
      </c>
      <c r="BD33" s="8">
        <f>-1000*Escalation!$B$55</f>
        <v>-1082.4321600000001</v>
      </c>
      <c r="BE33" s="8">
        <f>-1000*Escalation!$B$56</f>
        <v>-1082.4321600000001</v>
      </c>
      <c r="BF33" s="8">
        <f>-1000*Escalation!$B$57</f>
        <v>-1082.4321600000001</v>
      </c>
      <c r="BG33" s="8">
        <f>-1000*Escalation!$B$58</f>
        <v>-1082.4321600000001</v>
      </c>
      <c r="BH33" s="8">
        <f>-1000*Escalation!$B$59</f>
        <v>-1082.4321600000001</v>
      </c>
      <c r="BI33" s="8">
        <f>-1000*Escalation!$B$60</f>
        <v>-1082.4321600000001</v>
      </c>
      <c r="BJ33" s="8">
        <f>-1000*Escalation!$B$61</f>
        <v>-1082.4321600000001</v>
      </c>
      <c r="BK33" s="8">
        <f>-1000*Escalation!$B$62</f>
        <v>-1104.0808032</v>
      </c>
      <c r="BL33" s="8">
        <f>-1000*Escalation!$B$63</f>
        <v>-1104.0808032</v>
      </c>
      <c r="BM33" s="8">
        <f>-1000*Escalation!$B$64</f>
        <v>-1104.0808032</v>
      </c>
      <c r="BN33" s="8">
        <f>-1000*Escalation!$B$65</f>
        <v>-1104.0808032</v>
      </c>
      <c r="BO33" s="8">
        <f>-1000*Escalation!$B$66</f>
        <v>-1104.0808032</v>
      </c>
      <c r="BP33" s="8">
        <f>-1000*Escalation!$B$67</f>
        <v>-1104.0808032</v>
      </c>
      <c r="BQ33" s="8">
        <f>-1000*Escalation!$B$68</f>
        <v>-1104.0808032</v>
      </c>
      <c r="BR33" s="8">
        <f>-1000*Escalation!$B$69</f>
        <v>-1104.0808032</v>
      </c>
      <c r="BS33" s="8">
        <f>-1000*Escalation!$B$70</f>
        <v>-1104.0808032</v>
      </c>
      <c r="BT33" s="8">
        <f>-1000*Escalation!$B$71</f>
        <v>-1104.0808032</v>
      </c>
      <c r="BU33" s="8">
        <f>-1000*Escalation!$B$72</f>
        <v>-1104.0808032</v>
      </c>
      <c r="BV33" s="8">
        <f>-1000*Escalation!$B$73</f>
        <v>-1104.0808032</v>
      </c>
      <c r="BW33" s="8">
        <f>-1000*Escalation!$B$74</f>
        <v>-1126.1624192640002</v>
      </c>
      <c r="BX33" s="8">
        <f>-1000*Escalation!$B$75</f>
        <v>-1126.1624192640002</v>
      </c>
      <c r="BY33" s="8">
        <f>-1000*Escalation!$B$76</f>
        <v>-1126.1624192640002</v>
      </c>
      <c r="BZ33" s="8">
        <f>-1000*Escalation!$B$77</f>
        <v>-1126.1624192640002</v>
      </c>
      <c r="CA33" s="8">
        <f>-1000*Escalation!$B$78</f>
        <v>-1126.1624192640002</v>
      </c>
      <c r="CB33" s="8">
        <f>-1000*Escalation!$B$79</f>
        <v>-1126.1624192640002</v>
      </c>
      <c r="CC33" s="8">
        <f>-1000*Escalation!$B$80</f>
        <v>-1126.1624192640002</v>
      </c>
      <c r="CD33" s="8">
        <f>-1000*Escalation!$B$81</f>
        <v>-1126.1624192640002</v>
      </c>
      <c r="CE33" s="8">
        <f>-1000*Escalation!$B$82</f>
        <v>-1126.1624192640002</v>
      </c>
      <c r="CF33" s="8">
        <f>-1000*Escalation!$B$83</f>
        <v>-1126.1624192640002</v>
      </c>
      <c r="CG33" s="8">
        <f>-1000*Escalation!$B$84</f>
        <v>-1126.1624192640002</v>
      </c>
      <c r="CH33" s="8">
        <f>-1000*Escalation!$B$85</f>
        <v>-1126.1624192640002</v>
      </c>
      <c r="CI33" s="23"/>
    </row>
    <row r="34" spans="1:87" ht="15" customHeight="1" x14ac:dyDescent="0.25">
      <c r="A34" s="7" t="s">
        <v>139</v>
      </c>
      <c r="B34" s="22"/>
      <c r="C34" s="8">
        <f>-4166.67*Escalation!$B$2</f>
        <v>-4166.67</v>
      </c>
      <c r="D34" s="8">
        <f>-4166.67*Escalation!$B$3</f>
        <v>-4166.67</v>
      </c>
      <c r="E34" s="8">
        <f>-4166.67*Escalation!$B$4</f>
        <v>-4166.67</v>
      </c>
      <c r="F34" s="8">
        <f>-4166.67*Escalation!$B$5</f>
        <v>-4166.67</v>
      </c>
      <c r="G34" s="8">
        <f>-4166.67*Escalation!$B$6</f>
        <v>-4166.67</v>
      </c>
      <c r="H34" s="8">
        <f>-4166.67*Escalation!$B$7</f>
        <v>-4166.67</v>
      </c>
      <c r="I34" s="8">
        <f>-4166.67*Escalation!$B$8</f>
        <v>-4166.67</v>
      </c>
      <c r="J34" s="8">
        <f>-4166.67*Escalation!$B$9</f>
        <v>-4166.67</v>
      </c>
      <c r="K34" s="8">
        <f>-4166.67*Escalation!$B$10</f>
        <v>-4166.67</v>
      </c>
      <c r="L34" s="8">
        <f>-4166.67*Escalation!$B$11</f>
        <v>-4166.67</v>
      </c>
      <c r="M34" s="8">
        <f>-4166.67*Escalation!$B$12</f>
        <v>-4166.67</v>
      </c>
      <c r="N34" s="8">
        <f>-4166.67*Escalation!$B$13</f>
        <v>-4166.67</v>
      </c>
      <c r="O34" s="8">
        <f>-4166.67*Escalation!$B$14</f>
        <v>-4250.0034000000005</v>
      </c>
      <c r="P34" s="8">
        <f>-4166.67*Escalation!$B$15</f>
        <v>-4250.0034000000005</v>
      </c>
      <c r="Q34" s="8">
        <f>-4166.67*Escalation!$B$16</f>
        <v>-4250.0034000000005</v>
      </c>
      <c r="R34" s="8">
        <f>-4166.67*Escalation!$B$17</f>
        <v>-4250.0034000000005</v>
      </c>
      <c r="S34" s="8">
        <f>-4166.67*Escalation!$B$18</f>
        <v>-4250.0034000000005</v>
      </c>
      <c r="T34" s="8">
        <f>-4166.67*Escalation!$B$19</f>
        <v>-4250.0034000000005</v>
      </c>
      <c r="U34" s="8">
        <f>-4166.67*Escalation!$B$20</f>
        <v>-4250.0034000000005</v>
      </c>
      <c r="V34" s="8">
        <f>-4166.67*Escalation!$B$21</f>
        <v>-4250.0034000000005</v>
      </c>
      <c r="W34" s="8">
        <f>-4166.67*Escalation!$B$22</f>
        <v>-4250.0034000000005</v>
      </c>
      <c r="X34" s="8">
        <f>-4166.67*Escalation!$B$23</f>
        <v>-4250.0034000000005</v>
      </c>
      <c r="Y34" s="8">
        <f>-4166.67*Escalation!$B$24</f>
        <v>-4250.0034000000005</v>
      </c>
      <c r="Z34" s="8">
        <f>-4166.67*Escalation!$B$25</f>
        <v>-4250.0034000000005</v>
      </c>
      <c r="AA34" s="8">
        <f>-4166.67*Escalation!$B$26</f>
        <v>-4335.0034679999999</v>
      </c>
      <c r="AB34" s="8">
        <f>-4166.67*Escalation!$B$27</f>
        <v>-4335.0034679999999</v>
      </c>
      <c r="AC34" s="8">
        <f>-4166.67*Escalation!$B$28</f>
        <v>-4335.0034679999999</v>
      </c>
      <c r="AD34" s="8">
        <f>-4166.67*Escalation!$B$29</f>
        <v>-4335.0034679999999</v>
      </c>
      <c r="AE34" s="8">
        <f>-4166.67*Escalation!$B$30</f>
        <v>-4335.0034679999999</v>
      </c>
      <c r="AF34" s="8">
        <f>-4166.67*Escalation!$B$31</f>
        <v>-4335.0034679999999</v>
      </c>
      <c r="AG34" s="8">
        <f>-4166.67*Escalation!$B$32</f>
        <v>-4335.0034679999999</v>
      </c>
      <c r="AH34" s="8">
        <f>-4166.67*Escalation!$B$33</f>
        <v>-4335.0034679999999</v>
      </c>
      <c r="AI34" s="8">
        <f>-4166.67*Escalation!$B$34</f>
        <v>-4335.0034679999999</v>
      </c>
      <c r="AJ34" s="8">
        <f>-4166.67*Escalation!$B$35</f>
        <v>-4335.0034679999999</v>
      </c>
      <c r="AK34" s="8">
        <f>-4166.67*Escalation!$B$36</f>
        <v>-4335.0034679999999</v>
      </c>
      <c r="AL34" s="8">
        <f>-4166.67*Escalation!$B$37</f>
        <v>-4335.0034679999999</v>
      </c>
      <c r="AM34" s="8">
        <f>-4166.67*Escalation!$B$38</f>
        <v>-4421.7035373600002</v>
      </c>
      <c r="AN34" s="8">
        <f>-4166.67*Escalation!$B$39</f>
        <v>-4421.7035373600002</v>
      </c>
      <c r="AO34" s="8">
        <f>-4166.67*Escalation!$B$40</f>
        <v>-4421.7035373600002</v>
      </c>
      <c r="AP34" s="8">
        <f>-4166.67*Escalation!$B$41</f>
        <v>-4421.7035373600002</v>
      </c>
      <c r="AQ34" s="8">
        <f>-4166.67*Escalation!$B$42</f>
        <v>-4421.7035373600002</v>
      </c>
      <c r="AR34" s="8">
        <f>-4166.67*Escalation!$B$43</f>
        <v>-4421.7035373600002</v>
      </c>
      <c r="AS34" s="8">
        <f>-4166.67*Escalation!$B$44</f>
        <v>-4421.7035373600002</v>
      </c>
      <c r="AT34" s="8">
        <f>-4166.67*Escalation!$B$45</f>
        <v>-4421.7035373600002</v>
      </c>
      <c r="AU34" s="8">
        <f>-4166.67*Escalation!$B$46</f>
        <v>-4421.7035373600002</v>
      </c>
      <c r="AV34" s="8">
        <f>-4166.67*Escalation!$B$47</f>
        <v>-4421.7035373600002</v>
      </c>
      <c r="AW34" s="8">
        <f>-4166.67*Escalation!$B$48</f>
        <v>-4421.7035373600002</v>
      </c>
      <c r="AX34" s="8">
        <f>-4166.67*Escalation!$B$49</f>
        <v>-4421.7035373600002</v>
      </c>
      <c r="AY34" s="8">
        <f>-4166.67*Escalation!$B$50</f>
        <v>-4510.1376081072003</v>
      </c>
      <c r="AZ34" s="8">
        <f>-4166.67*Escalation!$B$51</f>
        <v>-4510.1376081072003</v>
      </c>
      <c r="BA34" s="8">
        <f>-4166.67*Escalation!$B$52</f>
        <v>-4510.1376081072003</v>
      </c>
      <c r="BB34" s="8">
        <f>-4166.67*Escalation!$B$53</f>
        <v>-4510.1376081072003</v>
      </c>
      <c r="BC34" s="8">
        <f>-4166.67*Escalation!$B$54</f>
        <v>-4510.1376081072003</v>
      </c>
      <c r="BD34" s="8">
        <f>-4166.67*Escalation!$B$55</f>
        <v>-4510.1376081072003</v>
      </c>
      <c r="BE34" s="8">
        <f>-4166.67*Escalation!$B$56</f>
        <v>-4510.1376081072003</v>
      </c>
      <c r="BF34" s="8">
        <f>-4166.67*Escalation!$B$57</f>
        <v>-4510.1376081072003</v>
      </c>
      <c r="BG34" s="8">
        <f>-4166.67*Escalation!$B$58</f>
        <v>-4510.1376081072003</v>
      </c>
      <c r="BH34" s="8">
        <f>-4166.67*Escalation!$B$59</f>
        <v>-4510.1376081072003</v>
      </c>
      <c r="BI34" s="8">
        <f>-4166.67*Escalation!$B$60</f>
        <v>-4510.1376081072003</v>
      </c>
      <c r="BJ34" s="8">
        <f>-4166.67*Escalation!$B$61</f>
        <v>-4510.1376081072003</v>
      </c>
      <c r="BK34" s="8">
        <f>-4166.67*Escalation!$B$62</f>
        <v>-4600.3403602693443</v>
      </c>
      <c r="BL34" s="8">
        <f>-4166.67*Escalation!$B$63</f>
        <v>-4600.3403602693443</v>
      </c>
      <c r="BM34" s="8">
        <f>-4166.67*Escalation!$B$64</f>
        <v>-4600.3403602693443</v>
      </c>
      <c r="BN34" s="8">
        <f>-4166.67*Escalation!$B$65</f>
        <v>-4600.3403602693443</v>
      </c>
      <c r="BO34" s="8">
        <f>-4166.67*Escalation!$B$66</f>
        <v>-4600.3403602693443</v>
      </c>
      <c r="BP34" s="8">
        <f>-4166.67*Escalation!$B$67</f>
        <v>-4600.3403602693443</v>
      </c>
      <c r="BQ34" s="8">
        <f>-4166.67*Escalation!$B$68</f>
        <v>-4600.3403602693443</v>
      </c>
      <c r="BR34" s="8">
        <f>-4166.67*Escalation!$B$69</f>
        <v>-4600.3403602693443</v>
      </c>
      <c r="BS34" s="8">
        <f>-4166.67*Escalation!$B$70</f>
        <v>-4600.3403602693443</v>
      </c>
      <c r="BT34" s="8">
        <f>-4166.67*Escalation!$B$71</f>
        <v>-4600.3403602693443</v>
      </c>
      <c r="BU34" s="8">
        <f>-4166.67*Escalation!$B$72</f>
        <v>-4600.3403602693443</v>
      </c>
      <c r="BV34" s="8">
        <f>-4166.67*Escalation!$B$73</f>
        <v>-4600.3403602693443</v>
      </c>
      <c r="BW34" s="8">
        <f>-4166.67*Escalation!$B$74</f>
        <v>-4692.3471674747316</v>
      </c>
      <c r="BX34" s="8">
        <f>-4166.67*Escalation!$B$75</f>
        <v>-4692.3471674747316</v>
      </c>
      <c r="BY34" s="8">
        <f>-4166.67*Escalation!$B$76</f>
        <v>-4692.3471674747316</v>
      </c>
      <c r="BZ34" s="8">
        <f>-4166.67*Escalation!$B$77</f>
        <v>-4692.3471674747316</v>
      </c>
      <c r="CA34" s="8">
        <f>-4166.67*Escalation!$B$78</f>
        <v>-4692.3471674747316</v>
      </c>
      <c r="CB34" s="8">
        <f>-4166.67*Escalation!$B$79</f>
        <v>-4692.3471674747316</v>
      </c>
      <c r="CC34" s="8">
        <f>-4166.67*Escalation!$B$80</f>
        <v>-4692.3471674747316</v>
      </c>
      <c r="CD34" s="8">
        <f>-4166.67*Escalation!$B$81</f>
        <v>-4692.3471674747316</v>
      </c>
      <c r="CE34" s="8">
        <f>-4166.67*Escalation!$B$82</f>
        <v>-4692.3471674747316</v>
      </c>
      <c r="CF34" s="8">
        <f>-4166.67*Escalation!$B$83</f>
        <v>-4692.3471674747316</v>
      </c>
      <c r="CG34" s="8">
        <f>-4166.67*Escalation!$B$84</f>
        <v>-4692.3471674747316</v>
      </c>
      <c r="CH34" s="8">
        <f>-4166.67*Escalation!$B$85</f>
        <v>-4692.3471674747316</v>
      </c>
      <c r="CI34" s="23"/>
    </row>
    <row r="35" spans="1:87" ht="15" customHeight="1" x14ac:dyDescent="0.25">
      <c r="A35" s="7" t="s">
        <v>140</v>
      </c>
      <c r="B35" s="22"/>
      <c r="C35" s="8">
        <f>-1000*Escalation!$B$2</f>
        <v>-1000</v>
      </c>
      <c r="D35" s="8">
        <f>-1000*Escalation!$B$3</f>
        <v>-1000</v>
      </c>
      <c r="E35" s="8">
        <f>-1000*Escalation!$B$4</f>
        <v>-1000</v>
      </c>
      <c r="F35" s="8">
        <f>-1000*Escalation!$B$5</f>
        <v>-1000</v>
      </c>
      <c r="G35" s="8">
        <f>-1000*Escalation!$B$6</f>
        <v>-1000</v>
      </c>
      <c r="H35" s="8">
        <f>-1000*Escalation!$B$7</f>
        <v>-1000</v>
      </c>
      <c r="I35" s="8">
        <f>-1000*Escalation!$B$8</f>
        <v>-1000</v>
      </c>
      <c r="J35" s="8">
        <f>-1000*Escalation!$B$9</f>
        <v>-1000</v>
      </c>
      <c r="K35" s="8">
        <f>-1000*Escalation!$B$10</f>
        <v>-1000</v>
      </c>
      <c r="L35" s="8">
        <f>-1000*Escalation!$B$11</f>
        <v>-1000</v>
      </c>
      <c r="M35" s="8">
        <f>-1000*Escalation!$B$12</f>
        <v>-1000</v>
      </c>
      <c r="N35" s="8">
        <f>-1000*Escalation!$B$13</f>
        <v>-1000</v>
      </c>
      <c r="O35" s="8">
        <f>-1000*Escalation!$B$14</f>
        <v>-1020</v>
      </c>
      <c r="P35" s="8">
        <f>-1000*Escalation!$B$15</f>
        <v>-1020</v>
      </c>
      <c r="Q35" s="8">
        <f>-1000*Escalation!$B$16</f>
        <v>-1020</v>
      </c>
      <c r="R35" s="8">
        <f>-1000*Escalation!$B$17</f>
        <v>-1020</v>
      </c>
      <c r="S35" s="8">
        <f>-1000*Escalation!$B$18</f>
        <v>-1020</v>
      </c>
      <c r="T35" s="8">
        <f>-1000*Escalation!$B$19</f>
        <v>-1020</v>
      </c>
      <c r="U35" s="8">
        <f>-1000*Escalation!$B$20</f>
        <v>-1020</v>
      </c>
      <c r="V35" s="8">
        <f>-1000*Escalation!$B$21</f>
        <v>-1020</v>
      </c>
      <c r="W35" s="8">
        <f>-1000*Escalation!$B$22</f>
        <v>-1020</v>
      </c>
      <c r="X35" s="8">
        <f>-1000*Escalation!$B$23</f>
        <v>-1020</v>
      </c>
      <c r="Y35" s="8">
        <f>-1000*Escalation!$B$24</f>
        <v>-1020</v>
      </c>
      <c r="Z35" s="8">
        <f>-1000*Escalation!$B$25</f>
        <v>-1020</v>
      </c>
      <c r="AA35" s="8">
        <f>-1000*Escalation!$B$26</f>
        <v>-1040.4000000000001</v>
      </c>
      <c r="AB35" s="8">
        <f>-1000*Escalation!$B$27</f>
        <v>-1040.4000000000001</v>
      </c>
      <c r="AC35" s="8">
        <f>-1000*Escalation!$B$28</f>
        <v>-1040.4000000000001</v>
      </c>
      <c r="AD35" s="8">
        <f>-1000*Escalation!$B$29</f>
        <v>-1040.4000000000001</v>
      </c>
      <c r="AE35" s="8">
        <f>-1000*Escalation!$B$30</f>
        <v>-1040.4000000000001</v>
      </c>
      <c r="AF35" s="8">
        <f>-1000*Escalation!$B$31</f>
        <v>-1040.4000000000001</v>
      </c>
      <c r="AG35" s="8">
        <f>-1000*Escalation!$B$32</f>
        <v>-1040.4000000000001</v>
      </c>
      <c r="AH35" s="8">
        <f>-1000*Escalation!$B$33</f>
        <v>-1040.4000000000001</v>
      </c>
      <c r="AI35" s="8">
        <f>-1000*Escalation!$B$34</f>
        <v>-1040.4000000000001</v>
      </c>
      <c r="AJ35" s="8">
        <f>-1000*Escalation!$B$35</f>
        <v>-1040.4000000000001</v>
      </c>
      <c r="AK35" s="8">
        <f>-1000*Escalation!$B$36</f>
        <v>-1040.4000000000001</v>
      </c>
      <c r="AL35" s="8">
        <f>-1000*Escalation!$B$37</f>
        <v>-1040.4000000000001</v>
      </c>
      <c r="AM35" s="8">
        <f>-1000*Escalation!$B$38</f>
        <v>-1061.2079999999999</v>
      </c>
      <c r="AN35" s="8">
        <f>-1000*Escalation!$B$39</f>
        <v>-1061.2079999999999</v>
      </c>
      <c r="AO35" s="8">
        <f>-1000*Escalation!$B$40</f>
        <v>-1061.2079999999999</v>
      </c>
      <c r="AP35" s="8">
        <f>-1000*Escalation!$B$41</f>
        <v>-1061.2079999999999</v>
      </c>
      <c r="AQ35" s="8">
        <f>-1000*Escalation!$B$42</f>
        <v>-1061.2079999999999</v>
      </c>
      <c r="AR35" s="8">
        <f>-1000*Escalation!$B$43</f>
        <v>-1061.2079999999999</v>
      </c>
      <c r="AS35" s="8">
        <f>-1000*Escalation!$B$44</f>
        <v>-1061.2079999999999</v>
      </c>
      <c r="AT35" s="8">
        <f>-1000*Escalation!$B$45</f>
        <v>-1061.2079999999999</v>
      </c>
      <c r="AU35" s="8">
        <f>-1000*Escalation!$B$46</f>
        <v>-1061.2079999999999</v>
      </c>
      <c r="AV35" s="8">
        <f>-1000*Escalation!$B$47</f>
        <v>-1061.2079999999999</v>
      </c>
      <c r="AW35" s="8">
        <f>-1000*Escalation!$B$48</f>
        <v>-1061.2079999999999</v>
      </c>
      <c r="AX35" s="8">
        <f>-1000*Escalation!$B$49</f>
        <v>-1061.2079999999999</v>
      </c>
      <c r="AY35" s="8">
        <f>-1000*Escalation!$B$50</f>
        <v>-1082.4321600000001</v>
      </c>
      <c r="AZ35" s="8">
        <f>-1000*Escalation!$B$51</f>
        <v>-1082.4321600000001</v>
      </c>
      <c r="BA35" s="8">
        <f>-1000*Escalation!$B$52</f>
        <v>-1082.4321600000001</v>
      </c>
      <c r="BB35" s="8">
        <f>-1000*Escalation!$B$53</f>
        <v>-1082.4321600000001</v>
      </c>
      <c r="BC35" s="8">
        <f>-1000*Escalation!$B$54</f>
        <v>-1082.4321600000001</v>
      </c>
      <c r="BD35" s="8">
        <f>-1000*Escalation!$B$55</f>
        <v>-1082.4321600000001</v>
      </c>
      <c r="BE35" s="8">
        <f>-1000*Escalation!$B$56</f>
        <v>-1082.4321600000001</v>
      </c>
      <c r="BF35" s="8">
        <f>-1000*Escalation!$B$57</f>
        <v>-1082.4321600000001</v>
      </c>
      <c r="BG35" s="8">
        <f>-1000*Escalation!$B$58</f>
        <v>-1082.4321600000001</v>
      </c>
      <c r="BH35" s="8">
        <f>-1000*Escalation!$B$59</f>
        <v>-1082.4321600000001</v>
      </c>
      <c r="BI35" s="8">
        <f>-1000*Escalation!$B$60</f>
        <v>-1082.4321600000001</v>
      </c>
      <c r="BJ35" s="8">
        <f>-1000*Escalation!$B$61</f>
        <v>-1082.4321600000001</v>
      </c>
      <c r="BK35" s="8">
        <f>-1000*Escalation!$B$62</f>
        <v>-1104.0808032</v>
      </c>
      <c r="BL35" s="8">
        <f>-1000*Escalation!$B$63</f>
        <v>-1104.0808032</v>
      </c>
      <c r="BM35" s="8">
        <f>-1000*Escalation!$B$64</f>
        <v>-1104.0808032</v>
      </c>
      <c r="BN35" s="8">
        <f>-1000*Escalation!$B$65</f>
        <v>-1104.0808032</v>
      </c>
      <c r="BO35" s="8">
        <f>-1000*Escalation!$B$66</f>
        <v>-1104.0808032</v>
      </c>
      <c r="BP35" s="8">
        <f>-1000*Escalation!$B$67</f>
        <v>-1104.0808032</v>
      </c>
      <c r="BQ35" s="8">
        <f>-1000*Escalation!$B$68</f>
        <v>-1104.0808032</v>
      </c>
      <c r="BR35" s="8">
        <f>-1000*Escalation!$B$69</f>
        <v>-1104.0808032</v>
      </c>
      <c r="BS35" s="8">
        <f>-1000*Escalation!$B$70</f>
        <v>-1104.0808032</v>
      </c>
      <c r="BT35" s="8">
        <f>-1000*Escalation!$B$71</f>
        <v>-1104.0808032</v>
      </c>
      <c r="BU35" s="8">
        <f>-1000*Escalation!$B$72</f>
        <v>-1104.0808032</v>
      </c>
      <c r="BV35" s="8">
        <f>-1000*Escalation!$B$73</f>
        <v>-1104.0808032</v>
      </c>
      <c r="BW35" s="8">
        <f>-1000*Escalation!$B$74</f>
        <v>-1126.1624192640002</v>
      </c>
      <c r="BX35" s="8">
        <f>-1000*Escalation!$B$75</f>
        <v>-1126.1624192640002</v>
      </c>
      <c r="BY35" s="8">
        <f>-1000*Escalation!$B$76</f>
        <v>-1126.1624192640002</v>
      </c>
      <c r="BZ35" s="8">
        <f>-1000*Escalation!$B$77</f>
        <v>-1126.1624192640002</v>
      </c>
      <c r="CA35" s="8">
        <f>-1000*Escalation!$B$78</f>
        <v>-1126.1624192640002</v>
      </c>
      <c r="CB35" s="8">
        <f>-1000*Escalation!$B$79</f>
        <v>-1126.1624192640002</v>
      </c>
      <c r="CC35" s="8">
        <f>-1000*Escalation!$B$80</f>
        <v>-1126.1624192640002</v>
      </c>
      <c r="CD35" s="8">
        <f>-1000*Escalation!$B$81</f>
        <v>-1126.1624192640002</v>
      </c>
      <c r="CE35" s="8">
        <f>-1000*Escalation!$B$82</f>
        <v>-1126.1624192640002</v>
      </c>
      <c r="CF35" s="8">
        <f>-1000*Escalation!$B$83</f>
        <v>-1126.1624192640002</v>
      </c>
      <c r="CG35" s="8">
        <f>-1000*Escalation!$B$84</f>
        <v>-1126.1624192640002</v>
      </c>
      <c r="CH35" s="8">
        <f>-1000*Escalation!$B$85</f>
        <v>-1126.1624192640002</v>
      </c>
      <c r="CI35" s="23"/>
    </row>
    <row r="36" spans="1:87" ht="15" customHeight="1" x14ac:dyDescent="0.25">
      <c r="A36" s="7" t="s">
        <v>141</v>
      </c>
      <c r="B36" s="22"/>
      <c r="C36" s="8">
        <f>-166.67*Escalation!$B$2</f>
        <v>-166.67</v>
      </c>
      <c r="D36" s="8">
        <f>-166.67*Escalation!$B$3</f>
        <v>-166.67</v>
      </c>
      <c r="E36" s="8">
        <f>-166.67*Escalation!$B$4</f>
        <v>-166.67</v>
      </c>
      <c r="F36" s="8">
        <f>-166.67*Escalation!$B$5</f>
        <v>-166.67</v>
      </c>
      <c r="G36" s="8">
        <f>-166.67*Escalation!$B$6</f>
        <v>-166.67</v>
      </c>
      <c r="H36" s="8">
        <f>-166.67*Escalation!$B$7</f>
        <v>-166.67</v>
      </c>
      <c r="I36" s="8">
        <f>-166.67*Escalation!$B$8</f>
        <v>-166.67</v>
      </c>
      <c r="J36" s="8">
        <f>-166.67*Escalation!$B$9</f>
        <v>-166.67</v>
      </c>
      <c r="K36" s="8">
        <f>-166.67*Escalation!$B$10</f>
        <v>-166.67</v>
      </c>
      <c r="L36" s="8">
        <f>-166.67*Escalation!$B$11</f>
        <v>-166.67</v>
      </c>
      <c r="M36" s="8">
        <f>-166.67*Escalation!$B$12</f>
        <v>-166.67</v>
      </c>
      <c r="N36" s="8">
        <f>-166.67*Escalation!$B$13</f>
        <v>-166.67</v>
      </c>
      <c r="O36" s="8">
        <f>-166.67*Escalation!$B$14</f>
        <v>-170.0034</v>
      </c>
      <c r="P36" s="8">
        <f>-166.67*Escalation!$B$15</f>
        <v>-170.0034</v>
      </c>
      <c r="Q36" s="8">
        <f>-166.67*Escalation!$B$16</f>
        <v>-170.0034</v>
      </c>
      <c r="R36" s="8">
        <f>-166.67*Escalation!$B$17</f>
        <v>-170.0034</v>
      </c>
      <c r="S36" s="8">
        <f>-166.67*Escalation!$B$18</f>
        <v>-170.0034</v>
      </c>
      <c r="T36" s="8">
        <f>-166.67*Escalation!$B$19</f>
        <v>-170.0034</v>
      </c>
      <c r="U36" s="8">
        <f>-166.67*Escalation!$B$20</f>
        <v>-170.0034</v>
      </c>
      <c r="V36" s="8">
        <f>-166.67*Escalation!$B$21</f>
        <v>-170.0034</v>
      </c>
      <c r="W36" s="8">
        <f>-166.67*Escalation!$B$22</f>
        <v>-170.0034</v>
      </c>
      <c r="X36" s="8">
        <f>-166.67*Escalation!$B$23</f>
        <v>-170.0034</v>
      </c>
      <c r="Y36" s="8">
        <f>-166.67*Escalation!$B$24</f>
        <v>-170.0034</v>
      </c>
      <c r="Z36" s="8">
        <f>-166.67*Escalation!$B$25</f>
        <v>-170.0034</v>
      </c>
      <c r="AA36" s="8">
        <f>-166.67*Escalation!$B$26</f>
        <v>-173.40346799999998</v>
      </c>
      <c r="AB36" s="8">
        <f>-166.67*Escalation!$B$27</f>
        <v>-173.40346799999998</v>
      </c>
      <c r="AC36" s="8">
        <f>-166.67*Escalation!$B$28</f>
        <v>-173.40346799999998</v>
      </c>
      <c r="AD36" s="8">
        <f>-166.67*Escalation!$B$29</f>
        <v>-173.40346799999998</v>
      </c>
      <c r="AE36" s="8">
        <f>-166.67*Escalation!$B$30</f>
        <v>-173.40346799999998</v>
      </c>
      <c r="AF36" s="8">
        <f>-166.67*Escalation!$B$31</f>
        <v>-173.40346799999998</v>
      </c>
      <c r="AG36" s="8">
        <f>-166.67*Escalation!$B$32</f>
        <v>-173.40346799999998</v>
      </c>
      <c r="AH36" s="8">
        <f>-166.67*Escalation!$B$33</f>
        <v>-173.40346799999998</v>
      </c>
      <c r="AI36" s="8">
        <f>-166.67*Escalation!$B$34</f>
        <v>-173.40346799999998</v>
      </c>
      <c r="AJ36" s="8">
        <f>-166.67*Escalation!$B$35</f>
        <v>-173.40346799999998</v>
      </c>
      <c r="AK36" s="8">
        <f>-166.67*Escalation!$B$36</f>
        <v>-173.40346799999998</v>
      </c>
      <c r="AL36" s="8">
        <f>-166.67*Escalation!$B$37</f>
        <v>-173.40346799999998</v>
      </c>
      <c r="AM36" s="8">
        <f>-166.67*Escalation!$B$38</f>
        <v>-176.87153735999996</v>
      </c>
      <c r="AN36" s="8">
        <f>-166.67*Escalation!$B$39</f>
        <v>-176.87153735999996</v>
      </c>
      <c r="AO36" s="8">
        <f>-166.67*Escalation!$B$40</f>
        <v>-176.87153735999996</v>
      </c>
      <c r="AP36" s="8">
        <f>-166.67*Escalation!$B$41</f>
        <v>-176.87153735999996</v>
      </c>
      <c r="AQ36" s="8">
        <f>-166.67*Escalation!$B$42</f>
        <v>-176.87153735999996</v>
      </c>
      <c r="AR36" s="8">
        <f>-166.67*Escalation!$B$43</f>
        <v>-176.87153735999996</v>
      </c>
      <c r="AS36" s="8">
        <f>-166.67*Escalation!$B$44</f>
        <v>-176.87153735999996</v>
      </c>
      <c r="AT36" s="8">
        <f>-166.67*Escalation!$B$45</f>
        <v>-176.87153735999996</v>
      </c>
      <c r="AU36" s="8">
        <f>-166.67*Escalation!$B$46</f>
        <v>-176.87153735999996</v>
      </c>
      <c r="AV36" s="8">
        <f>-166.67*Escalation!$B$47</f>
        <v>-176.87153735999996</v>
      </c>
      <c r="AW36" s="8">
        <f>-166.67*Escalation!$B$48</f>
        <v>-176.87153735999996</v>
      </c>
      <c r="AX36" s="8">
        <f>-166.67*Escalation!$B$49</f>
        <v>-176.87153735999996</v>
      </c>
      <c r="AY36" s="8">
        <f>-166.67*Escalation!$B$50</f>
        <v>-180.4089681072</v>
      </c>
      <c r="AZ36" s="8">
        <f>-166.67*Escalation!$B$51</f>
        <v>-180.4089681072</v>
      </c>
      <c r="BA36" s="8">
        <f>-166.67*Escalation!$B$52</f>
        <v>-180.4089681072</v>
      </c>
      <c r="BB36" s="8">
        <f>-166.67*Escalation!$B$53</f>
        <v>-180.4089681072</v>
      </c>
      <c r="BC36" s="8">
        <f>-166.67*Escalation!$B$54</f>
        <v>-180.4089681072</v>
      </c>
      <c r="BD36" s="8">
        <f>-166.67*Escalation!$B$55</f>
        <v>-180.4089681072</v>
      </c>
      <c r="BE36" s="8">
        <f>-166.67*Escalation!$B$56</f>
        <v>-180.4089681072</v>
      </c>
      <c r="BF36" s="8">
        <f>-166.67*Escalation!$B$57</f>
        <v>-180.4089681072</v>
      </c>
      <c r="BG36" s="8">
        <f>-166.67*Escalation!$B$58</f>
        <v>-180.4089681072</v>
      </c>
      <c r="BH36" s="8">
        <f>-166.67*Escalation!$B$59</f>
        <v>-180.4089681072</v>
      </c>
      <c r="BI36" s="8">
        <f>-166.67*Escalation!$B$60</f>
        <v>-180.4089681072</v>
      </c>
      <c r="BJ36" s="8">
        <f>-166.67*Escalation!$B$61</f>
        <v>-180.4089681072</v>
      </c>
      <c r="BK36" s="8">
        <f>-166.67*Escalation!$B$62</f>
        <v>-184.017147469344</v>
      </c>
      <c r="BL36" s="8">
        <f>-166.67*Escalation!$B$63</f>
        <v>-184.017147469344</v>
      </c>
      <c r="BM36" s="8">
        <f>-166.67*Escalation!$B$64</f>
        <v>-184.017147469344</v>
      </c>
      <c r="BN36" s="8">
        <f>-166.67*Escalation!$B$65</f>
        <v>-184.017147469344</v>
      </c>
      <c r="BO36" s="8">
        <f>-166.67*Escalation!$B$66</f>
        <v>-184.017147469344</v>
      </c>
      <c r="BP36" s="8">
        <f>-166.67*Escalation!$B$67</f>
        <v>-184.017147469344</v>
      </c>
      <c r="BQ36" s="8">
        <f>-166.67*Escalation!$B$68</f>
        <v>-184.017147469344</v>
      </c>
      <c r="BR36" s="8">
        <f>-166.67*Escalation!$B$69</f>
        <v>-184.017147469344</v>
      </c>
      <c r="BS36" s="8">
        <f>-166.67*Escalation!$B$70</f>
        <v>-184.017147469344</v>
      </c>
      <c r="BT36" s="8">
        <f>-166.67*Escalation!$B$71</f>
        <v>-184.017147469344</v>
      </c>
      <c r="BU36" s="8">
        <f>-166.67*Escalation!$B$72</f>
        <v>-184.017147469344</v>
      </c>
      <c r="BV36" s="8">
        <f>-166.67*Escalation!$B$73</f>
        <v>-184.017147469344</v>
      </c>
      <c r="BW36" s="8">
        <f>-166.67*Escalation!$B$74</f>
        <v>-187.69749041873087</v>
      </c>
      <c r="BX36" s="8">
        <f>-166.67*Escalation!$B$75</f>
        <v>-187.69749041873087</v>
      </c>
      <c r="BY36" s="8">
        <f>-166.67*Escalation!$B$76</f>
        <v>-187.69749041873087</v>
      </c>
      <c r="BZ36" s="8">
        <f>-166.67*Escalation!$B$77</f>
        <v>-187.69749041873087</v>
      </c>
      <c r="CA36" s="8">
        <f>-166.67*Escalation!$B$78</f>
        <v>-187.69749041873087</v>
      </c>
      <c r="CB36" s="8">
        <f>-166.67*Escalation!$B$79</f>
        <v>-187.69749041873087</v>
      </c>
      <c r="CC36" s="8">
        <f>-166.67*Escalation!$B$80</f>
        <v>-187.69749041873087</v>
      </c>
      <c r="CD36" s="8">
        <f>-166.67*Escalation!$B$81</f>
        <v>-187.69749041873087</v>
      </c>
      <c r="CE36" s="8">
        <f>-166.67*Escalation!$B$82</f>
        <v>-187.69749041873087</v>
      </c>
      <c r="CF36" s="8">
        <f>-166.67*Escalation!$B$83</f>
        <v>-187.69749041873087</v>
      </c>
      <c r="CG36" s="8">
        <f>-166.67*Escalation!$B$84</f>
        <v>-187.69749041873087</v>
      </c>
      <c r="CH36" s="8">
        <f>-166.67*Escalation!$B$85</f>
        <v>-187.69749041873087</v>
      </c>
      <c r="CI36" s="23"/>
    </row>
    <row r="37" spans="1:87" ht="15" customHeight="1" x14ac:dyDescent="0.25">
      <c r="A37" s="7" t="s">
        <v>142</v>
      </c>
      <c r="B37" s="22"/>
      <c r="C37" s="8">
        <f>-4166.67*Escalation!$B$2</f>
        <v>-4166.67</v>
      </c>
      <c r="D37" s="8">
        <f>-4166.67*Escalation!$B$3</f>
        <v>-4166.67</v>
      </c>
      <c r="E37" s="8">
        <f>-4166.67*Escalation!$B$4</f>
        <v>-4166.67</v>
      </c>
      <c r="F37" s="8">
        <f>-4166.67*Escalation!$B$5</f>
        <v>-4166.67</v>
      </c>
      <c r="G37" s="8">
        <f>-4166.67*Escalation!$B$6</f>
        <v>-4166.67</v>
      </c>
      <c r="H37" s="8">
        <f>-4166.67*Escalation!$B$7</f>
        <v>-4166.67</v>
      </c>
      <c r="I37" s="8">
        <f>-4166.67*Escalation!$B$8</f>
        <v>-4166.67</v>
      </c>
      <c r="J37" s="8">
        <f>-4166.67*Escalation!$B$9</f>
        <v>-4166.67</v>
      </c>
      <c r="K37" s="8">
        <f>-4166.67*Escalation!$B$10</f>
        <v>-4166.67</v>
      </c>
      <c r="L37" s="8">
        <f>-4166.67*Escalation!$B$11</f>
        <v>-4166.67</v>
      </c>
      <c r="M37" s="8">
        <f>-4166.67*Escalation!$B$12</f>
        <v>-4166.67</v>
      </c>
      <c r="N37" s="8">
        <f>-4166.67*Escalation!$B$13</f>
        <v>-4166.67</v>
      </c>
      <c r="O37" s="8">
        <f>-4166.67*Escalation!$B$14</f>
        <v>-4250.0034000000005</v>
      </c>
      <c r="P37" s="8">
        <f>-4166.67*Escalation!$B$15</f>
        <v>-4250.0034000000005</v>
      </c>
      <c r="Q37" s="8">
        <f>-4166.67*Escalation!$B$16</f>
        <v>-4250.0034000000005</v>
      </c>
      <c r="R37" s="8">
        <f>-4166.67*Escalation!$B$17</f>
        <v>-4250.0034000000005</v>
      </c>
      <c r="S37" s="8">
        <f>-4166.67*Escalation!$B$18</f>
        <v>-4250.0034000000005</v>
      </c>
      <c r="T37" s="8">
        <f>-4166.67*Escalation!$B$19</f>
        <v>-4250.0034000000005</v>
      </c>
      <c r="U37" s="8">
        <f>-4166.67*Escalation!$B$20</f>
        <v>-4250.0034000000005</v>
      </c>
      <c r="V37" s="8">
        <f>-4166.67*Escalation!$B$21</f>
        <v>-4250.0034000000005</v>
      </c>
      <c r="W37" s="8">
        <f>-4166.67*Escalation!$B$22</f>
        <v>-4250.0034000000005</v>
      </c>
      <c r="X37" s="8">
        <f>-4166.67*Escalation!$B$23</f>
        <v>-4250.0034000000005</v>
      </c>
      <c r="Y37" s="8">
        <f>-4166.67*Escalation!$B$24</f>
        <v>-4250.0034000000005</v>
      </c>
      <c r="Z37" s="8">
        <f>-4166.67*Escalation!$B$25</f>
        <v>-4250.0034000000005</v>
      </c>
      <c r="AA37" s="8">
        <f>-4166.67*Escalation!$B$26</f>
        <v>-4335.0034679999999</v>
      </c>
      <c r="AB37" s="8">
        <f>-4166.67*Escalation!$B$27</f>
        <v>-4335.0034679999999</v>
      </c>
      <c r="AC37" s="8">
        <f>-4166.67*Escalation!$B$28</f>
        <v>-4335.0034679999999</v>
      </c>
      <c r="AD37" s="8">
        <f>-4166.67*Escalation!$B$29</f>
        <v>-4335.0034679999999</v>
      </c>
      <c r="AE37" s="8">
        <f>-4166.67*Escalation!$B$30</f>
        <v>-4335.0034679999999</v>
      </c>
      <c r="AF37" s="8">
        <f>-4166.67*Escalation!$B$31</f>
        <v>-4335.0034679999999</v>
      </c>
      <c r="AG37" s="8">
        <f>-4166.67*Escalation!$B$32</f>
        <v>-4335.0034679999999</v>
      </c>
      <c r="AH37" s="8">
        <f>-4166.67*Escalation!$B$33</f>
        <v>-4335.0034679999999</v>
      </c>
      <c r="AI37" s="8">
        <f>-4166.67*Escalation!$B$34</f>
        <v>-4335.0034679999999</v>
      </c>
      <c r="AJ37" s="8">
        <f>-4166.67*Escalation!$B$35</f>
        <v>-4335.0034679999999</v>
      </c>
      <c r="AK37" s="8">
        <f>-4166.67*Escalation!$B$36</f>
        <v>-4335.0034679999999</v>
      </c>
      <c r="AL37" s="8">
        <f>-4166.67*Escalation!$B$37</f>
        <v>-4335.0034679999999</v>
      </c>
      <c r="AM37" s="8">
        <f>-4166.67*Escalation!$B$38</f>
        <v>-4421.7035373600002</v>
      </c>
      <c r="AN37" s="8">
        <f>-4166.67*Escalation!$B$39</f>
        <v>-4421.7035373600002</v>
      </c>
      <c r="AO37" s="8">
        <f>-4166.67*Escalation!$B$40</f>
        <v>-4421.7035373600002</v>
      </c>
      <c r="AP37" s="8">
        <f>-4166.67*Escalation!$B$41</f>
        <v>-4421.7035373600002</v>
      </c>
      <c r="AQ37" s="8">
        <f>-4166.67*Escalation!$B$42</f>
        <v>-4421.7035373600002</v>
      </c>
      <c r="AR37" s="8">
        <f>-4166.67*Escalation!$B$43</f>
        <v>-4421.7035373600002</v>
      </c>
      <c r="AS37" s="8">
        <f>-4166.67*Escalation!$B$44</f>
        <v>-4421.7035373600002</v>
      </c>
      <c r="AT37" s="8">
        <f>-4166.67*Escalation!$B$45</f>
        <v>-4421.7035373600002</v>
      </c>
      <c r="AU37" s="8">
        <f>-4166.67*Escalation!$B$46</f>
        <v>-4421.7035373600002</v>
      </c>
      <c r="AV37" s="8">
        <f>-4166.67*Escalation!$B$47</f>
        <v>-4421.7035373600002</v>
      </c>
      <c r="AW37" s="8">
        <f>-4166.67*Escalation!$B$48</f>
        <v>-4421.7035373600002</v>
      </c>
      <c r="AX37" s="8">
        <f>-4166.67*Escalation!$B$49</f>
        <v>-4421.7035373600002</v>
      </c>
      <c r="AY37" s="8">
        <f>-4166.67*Escalation!$B$50</f>
        <v>-4510.1376081072003</v>
      </c>
      <c r="AZ37" s="8">
        <f>-4166.67*Escalation!$B$51</f>
        <v>-4510.1376081072003</v>
      </c>
      <c r="BA37" s="8">
        <f>-4166.67*Escalation!$B$52</f>
        <v>-4510.1376081072003</v>
      </c>
      <c r="BB37" s="8">
        <f>-4166.67*Escalation!$B$53</f>
        <v>-4510.1376081072003</v>
      </c>
      <c r="BC37" s="8">
        <f>-4166.67*Escalation!$B$54</f>
        <v>-4510.1376081072003</v>
      </c>
      <c r="BD37" s="8">
        <f>-4166.67*Escalation!$B$55</f>
        <v>-4510.1376081072003</v>
      </c>
      <c r="BE37" s="8">
        <f>-4166.67*Escalation!$B$56</f>
        <v>-4510.1376081072003</v>
      </c>
      <c r="BF37" s="8">
        <f>-4166.67*Escalation!$B$57</f>
        <v>-4510.1376081072003</v>
      </c>
      <c r="BG37" s="8">
        <f>-4166.67*Escalation!$B$58</f>
        <v>-4510.1376081072003</v>
      </c>
      <c r="BH37" s="8">
        <f>-4166.67*Escalation!$B$59</f>
        <v>-4510.1376081072003</v>
      </c>
      <c r="BI37" s="8">
        <f>-4166.67*Escalation!$B$60</f>
        <v>-4510.1376081072003</v>
      </c>
      <c r="BJ37" s="8">
        <f>-4166.67*Escalation!$B$61</f>
        <v>-4510.1376081072003</v>
      </c>
      <c r="BK37" s="8">
        <f>-4166.67*Escalation!$B$62</f>
        <v>-4600.3403602693443</v>
      </c>
      <c r="BL37" s="8">
        <f>-4166.67*Escalation!$B$63</f>
        <v>-4600.3403602693443</v>
      </c>
      <c r="BM37" s="8">
        <f>-4166.67*Escalation!$B$64</f>
        <v>-4600.3403602693443</v>
      </c>
      <c r="BN37" s="8">
        <f>-4166.67*Escalation!$B$65</f>
        <v>-4600.3403602693443</v>
      </c>
      <c r="BO37" s="8">
        <f>-4166.67*Escalation!$B$66</f>
        <v>-4600.3403602693443</v>
      </c>
      <c r="BP37" s="8">
        <f>-4166.67*Escalation!$B$67</f>
        <v>-4600.3403602693443</v>
      </c>
      <c r="BQ37" s="8">
        <f>-4166.67*Escalation!$B$68</f>
        <v>-4600.3403602693443</v>
      </c>
      <c r="BR37" s="8">
        <f>-4166.67*Escalation!$B$69</f>
        <v>-4600.3403602693443</v>
      </c>
      <c r="BS37" s="8">
        <f>-4166.67*Escalation!$B$70</f>
        <v>-4600.3403602693443</v>
      </c>
      <c r="BT37" s="8">
        <f>-4166.67*Escalation!$B$71</f>
        <v>-4600.3403602693443</v>
      </c>
      <c r="BU37" s="8">
        <f>-4166.67*Escalation!$B$72</f>
        <v>-4600.3403602693443</v>
      </c>
      <c r="BV37" s="8">
        <f>-4166.67*Escalation!$B$73</f>
        <v>-4600.3403602693443</v>
      </c>
      <c r="BW37" s="8">
        <f>-4166.67*Escalation!$B$74</f>
        <v>-4692.3471674747316</v>
      </c>
      <c r="BX37" s="8">
        <f>-4166.67*Escalation!$B$75</f>
        <v>-4692.3471674747316</v>
      </c>
      <c r="BY37" s="8">
        <f>-4166.67*Escalation!$B$76</f>
        <v>-4692.3471674747316</v>
      </c>
      <c r="BZ37" s="8">
        <f>-4166.67*Escalation!$B$77</f>
        <v>-4692.3471674747316</v>
      </c>
      <c r="CA37" s="8">
        <f>-4166.67*Escalation!$B$78</f>
        <v>-4692.3471674747316</v>
      </c>
      <c r="CB37" s="8">
        <f>-4166.67*Escalation!$B$79</f>
        <v>-4692.3471674747316</v>
      </c>
      <c r="CC37" s="8">
        <f>-4166.67*Escalation!$B$80</f>
        <v>-4692.3471674747316</v>
      </c>
      <c r="CD37" s="8">
        <f>-4166.67*Escalation!$B$81</f>
        <v>-4692.3471674747316</v>
      </c>
      <c r="CE37" s="8">
        <f>-4166.67*Escalation!$B$82</f>
        <v>-4692.3471674747316</v>
      </c>
      <c r="CF37" s="8">
        <f>-4166.67*Escalation!$B$83</f>
        <v>-4692.3471674747316</v>
      </c>
      <c r="CG37" s="8">
        <f>-4166.67*Escalation!$B$84</f>
        <v>-4692.3471674747316</v>
      </c>
      <c r="CH37" s="8">
        <f>-4166.67*Escalation!$B$85</f>
        <v>-4692.3471674747316</v>
      </c>
      <c r="CI37" s="23"/>
    </row>
    <row r="38" spans="1:87" ht="15" customHeight="1" x14ac:dyDescent="0.25">
      <c r="A38" s="9" t="s">
        <v>78</v>
      </c>
      <c r="B38" s="28"/>
      <c r="C38" s="10">
        <f t="shared" ref="C38:AH38" si="3">C15+C16+C17+C18+C19+C20+C21+SUM(C22:C37)</f>
        <v>-333677.61833333335</v>
      </c>
      <c r="D38" s="10">
        <f t="shared" si="3"/>
        <v>-380258.86833333329</v>
      </c>
      <c r="E38" s="10">
        <f t="shared" si="3"/>
        <v>-418808.86833333329</v>
      </c>
      <c r="F38" s="10">
        <f t="shared" si="3"/>
        <v>-750160.80020000006</v>
      </c>
      <c r="G38" s="10">
        <f t="shared" si="3"/>
        <v>-445579.70166666666</v>
      </c>
      <c r="H38" s="10">
        <f t="shared" si="3"/>
        <v>-445579.70166666666</v>
      </c>
      <c r="I38" s="10">
        <f t="shared" si="3"/>
        <v>-663662.54866666661</v>
      </c>
      <c r="J38" s="10">
        <f t="shared" si="3"/>
        <v>-602928.89866666647</v>
      </c>
      <c r="K38" s="10">
        <f t="shared" si="3"/>
        <v>-445579.70166666666</v>
      </c>
      <c r="L38" s="10">
        <f t="shared" si="3"/>
        <v>-445579.70166666666</v>
      </c>
      <c r="M38" s="10">
        <f t="shared" si="3"/>
        <v>-445579.70166666666</v>
      </c>
      <c r="N38" s="10">
        <f t="shared" si="3"/>
        <v>-445579.70166666666</v>
      </c>
      <c r="O38" s="10">
        <f t="shared" si="3"/>
        <v>-1925661.3207</v>
      </c>
      <c r="P38" s="10">
        <f t="shared" si="3"/>
        <v>-454491.29570000002</v>
      </c>
      <c r="Q38" s="10">
        <f t="shared" si="3"/>
        <v>-454491.29570000002</v>
      </c>
      <c r="R38" s="10">
        <f t="shared" si="3"/>
        <v>-454491.29570000002</v>
      </c>
      <c r="S38" s="10">
        <f t="shared" si="3"/>
        <v>-454491.29570000002</v>
      </c>
      <c r="T38" s="10">
        <f t="shared" si="3"/>
        <v>-454491.29570000002</v>
      </c>
      <c r="U38" s="10">
        <f t="shared" si="3"/>
        <v>-454491.29570000002</v>
      </c>
      <c r="V38" s="10">
        <f t="shared" si="3"/>
        <v>-454491.29570000002</v>
      </c>
      <c r="W38" s="10">
        <f t="shared" si="3"/>
        <v>-454491.29570000002</v>
      </c>
      <c r="X38" s="10">
        <f t="shared" si="3"/>
        <v>-454491.29570000002</v>
      </c>
      <c r="Y38" s="10">
        <f t="shared" si="3"/>
        <v>-454491.29570000002</v>
      </c>
      <c r="Z38" s="10">
        <f t="shared" si="3"/>
        <v>-454491.29570000002</v>
      </c>
      <c r="AA38" s="10">
        <f t="shared" si="3"/>
        <v>-463581.12161399995</v>
      </c>
      <c r="AB38" s="10">
        <f t="shared" si="3"/>
        <v>-463581.12161399995</v>
      </c>
      <c r="AC38" s="10">
        <f t="shared" si="3"/>
        <v>-1807606.6616140001</v>
      </c>
      <c r="AD38" s="10">
        <f t="shared" si="3"/>
        <v>-463581.12161399995</v>
      </c>
      <c r="AE38" s="10">
        <f t="shared" si="3"/>
        <v>-463581.12161399995</v>
      </c>
      <c r="AF38" s="10">
        <f t="shared" si="3"/>
        <v>-463581.12161399995</v>
      </c>
      <c r="AG38" s="10">
        <f t="shared" si="3"/>
        <v>-463581.12161399995</v>
      </c>
      <c r="AH38" s="10">
        <f t="shared" si="3"/>
        <v>-463581.12161399995</v>
      </c>
      <c r="AI38" s="10">
        <f t="shared" ref="AI38:BN38" si="4">AI15+AI16+AI17+AI18+AI19+AI20+AI21+SUM(AI22:AI37)</f>
        <v>-463581.12161399995</v>
      </c>
      <c r="AJ38" s="10">
        <f t="shared" si="4"/>
        <v>-463581.12161399995</v>
      </c>
      <c r="AK38" s="10">
        <f t="shared" si="4"/>
        <v>-463581.12161399995</v>
      </c>
      <c r="AL38" s="10">
        <f t="shared" si="4"/>
        <v>-463581.12161399995</v>
      </c>
      <c r="AM38" s="10">
        <f t="shared" si="4"/>
        <v>-472852.74404628004</v>
      </c>
      <c r="AN38" s="10">
        <f t="shared" si="4"/>
        <v>-472852.74404628004</v>
      </c>
      <c r="AO38" s="10">
        <f t="shared" si="4"/>
        <v>-472852.74404628004</v>
      </c>
      <c r="AP38" s="10">
        <f t="shared" si="4"/>
        <v>-472852.74404628004</v>
      </c>
      <c r="AQ38" s="10">
        <f t="shared" si="4"/>
        <v>-472852.74404628004</v>
      </c>
      <c r="AR38" s="10">
        <f t="shared" si="4"/>
        <v>-472852.74404628004</v>
      </c>
      <c r="AS38" s="10">
        <f t="shared" si="4"/>
        <v>-472852.74404628004</v>
      </c>
      <c r="AT38" s="10">
        <f t="shared" si="4"/>
        <v>-472852.74404628004</v>
      </c>
      <c r="AU38" s="10">
        <f t="shared" si="4"/>
        <v>-472852.74404628004</v>
      </c>
      <c r="AV38" s="10">
        <f t="shared" si="4"/>
        <v>-472852.74404628004</v>
      </c>
      <c r="AW38" s="10">
        <f t="shared" si="4"/>
        <v>-472852.74404628004</v>
      </c>
      <c r="AX38" s="10">
        <f t="shared" si="4"/>
        <v>-472852.74404628004</v>
      </c>
      <c r="AY38" s="10">
        <f t="shared" si="4"/>
        <v>-482309.79892720561</v>
      </c>
      <c r="AZ38" s="10">
        <f t="shared" si="4"/>
        <v>-482309.79892720561</v>
      </c>
      <c r="BA38" s="10">
        <f t="shared" si="4"/>
        <v>-482309.79892720561</v>
      </c>
      <c r="BB38" s="10">
        <f t="shared" si="4"/>
        <v>-482309.79892720561</v>
      </c>
      <c r="BC38" s="10">
        <f t="shared" si="4"/>
        <v>-482309.79892720561</v>
      </c>
      <c r="BD38" s="10">
        <f t="shared" si="4"/>
        <v>-482309.79892720561</v>
      </c>
      <c r="BE38" s="10">
        <f t="shared" si="4"/>
        <v>-482309.79892720561</v>
      </c>
      <c r="BF38" s="10">
        <f t="shared" si="4"/>
        <v>-482309.79892720561</v>
      </c>
      <c r="BG38" s="10">
        <f t="shared" si="4"/>
        <v>-482309.79892720561</v>
      </c>
      <c r="BH38" s="10">
        <f t="shared" si="4"/>
        <v>-482309.79892720561</v>
      </c>
      <c r="BI38" s="10">
        <f t="shared" si="4"/>
        <v>-482309.79892720561</v>
      </c>
      <c r="BJ38" s="10">
        <f t="shared" si="4"/>
        <v>-482309.79892720561</v>
      </c>
      <c r="BK38" s="10">
        <f t="shared" si="4"/>
        <v>-491955.99490574969</v>
      </c>
      <c r="BL38" s="10">
        <f t="shared" si="4"/>
        <v>-491955.99490574969</v>
      </c>
      <c r="BM38" s="10">
        <f t="shared" si="4"/>
        <v>-491955.99490574969</v>
      </c>
      <c r="BN38" s="10">
        <f t="shared" si="4"/>
        <v>-491955.99490574969</v>
      </c>
      <c r="BO38" s="10">
        <f t="shared" ref="BO38:CH38" si="5">BO15+BO16+BO17+BO18+BO19+BO20+BO21+SUM(BO22:BO37)</f>
        <v>-491955.99490574969</v>
      </c>
      <c r="BP38" s="10">
        <f t="shared" si="5"/>
        <v>-491955.99490574969</v>
      </c>
      <c r="BQ38" s="10">
        <f t="shared" si="5"/>
        <v>-491955.99490574969</v>
      </c>
      <c r="BR38" s="10">
        <f t="shared" si="5"/>
        <v>-491955.99490574969</v>
      </c>
      <c r="BS38" s="10">
        <f t="shared" si="5"/>
        <v>-491955.99490574969</v>
      </c>
      <c r="BT38" s="10">
        <f t="shared" si="5"/>
        <v>-491955.99490574969</v>
      </c>
      <c r="BU38" s="10">
        <f t="shared" si="5"/>
        <v>-491955.99490574969</v>
      </c>
      <c r="BV38" s="10">
        <f t="shared" si="5"/>
        <v>-491955.99490574969</v>
      </c>
      <c r="BW38" s="10">
        <f t="shared" si="5"/>
        <v>-501795.11480386468</v>
      </c>
      <c r="BX38" s="10">
        <f t="shared" si="5"/>
        <v>-501795.11480386468</v>
      </c>
      <c r="BY38" s="10">
        <f t="shared" si="5"/>
        <v>-501795.11480386468</v>
      </c>
      <c r="BZ38" s="10">
        <f t="shared" si="5"/>
        <v>-501795.11480386468</v>
      </c>
      <c r="CA38" s="10">
        <f t="shared" si="5"/>
        <v>-501795.11480386468</v>
      </c>
      <c r="CB38" s="10">
        <f t="shared" si="5"/>
        <v>-501795.11480386468</v>
      </c>
      <c r="CC38" s="10">
        <f t="shared" si="5"/>
        <v>-501795.11480386468</v>
      </c>
      <c r="CD38" s="10">
        <f t="shared" si="5"/>
        <v>-501795.11480386468</v>
      </c>
      <c r="CE38" s="10">
        <f t="shared" si="5"/>
        <v>-501795.11480386468</v>
      </c>
      <c r="CF38" s="10">
        <f t="shared" si="5"/>
        <v>-501795.11480386468</v>
      </c>
      <c r="CG38" s="10">
        <f t="shared" si="5"/>
        <v>-501795.11480386468</v>
      </c>
      <c r="CH38" s="10">
        <f t="shared" si="5"/>
        <v>-501795.11480386468</v>
      </c>
      <c r="CI38" s="23"/>
    </row>
    <row r="39" spans="1:87" ht="15" customHeight="1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3"/>
    </row>
    <row r="40" spans="1:87" ht="15" customHeight="1" x14ac:dyDescent="0.25">
      <c r="A40" s="13" t="s">
        <v>79</v>
      </c>
      <c r="B40" s="29"/>
      <c r="C40" s="14">
        <f t="shared" ref="C40:AH40" si="6">C12+C38</f>
        <v>73847.425925039861</v>
      </c>
      <c r="D40" s="14">
        <f t="shared" si="6"/>
        <v>27266.175925039919</v>
      </c>
      <c r="E40" s="14">
        <f t="shared" si="6"/>
        <v>-11283.824074960081</v>
      </c>
      <c r="F40" s="14">
        <f t="shared" si="6"/>
        <v>464650.23678564595</v>
      </c>
      <c r="G40" s="14">
        <f t="shared" si="6"/>
        <v>181983.97536682617</v>
      </c>
      <c r="H40" s="14">
        <f t="shared" si="6"/>
        <v>227110.78756778303</v>
      </c>
      <c r="I40" s="14">
        <f t="shared" si="6"/>
        <v>592600.1134545455</v>
      </c>
      <c r="J40" s="14">
        <f t="shared" si="6"/>
        <v>630904.01440151536</v>
      </c>
      <c r="K40" s="14">
        <f t="shared" si="6"/>
        <v>408665.1364015151</v>
      </c>
      <c r="L40" s="14">
        <f t="shared" si="6"/>
        <v>408665.1364015151</v>
      </c>
      <c r="M40" s="14">
        <f t="shared" si="6"/>
        <v>408665.1364015151</v>
      </c>
      <c r="N40" s="14">
        <f t="shared" si="6"/>
        <v>408665.1364015151</v>
      </c>
      <c r="O40" s="14">
        <f t="shared" si="6"/>
        <v>-220949.8947530305</v>
      </c>
      <c r="P40" s="14">
        <f t="shared" si="6"/>
        <v>571218.58024696959</v>
      </c>
      <c r="Q40" s="14">
        <f t="shared" si="6"/>
        <v>571218.58024696959</v>
      </c>
      <c r="R40" s="14">
        <f t="shared" si="6"/>
        <v>380569.19388333324</v>
      </c>
      <c r="S40" s="14">
        <f t="shared" si="6"/>
        <v>254633.69388333336</v>
      </c>
      <c r="T40" s="14">
        <f t="shared" si="6"/>
        <v>254633.69388333336</v>
      </c>
      <c r="U40" s="14">
        <f t="shared" si="6"/>
        <v>254633.69388333336</v>
      </c>
      <c r="V40" s="14">
        <f t="shared" si="6"/>
        <v>224330.5359885965</v>
      </c>
      <c r="W40" s="14">
        <f t="shared" si="6"/>
        <v>224330.5359885965</v>
      </c>
      <c r="X40" s="14">
        <f t="shared" si="6"/>
        <v>224330.5359885965</v>
      </c>
      <c r="Y40" s="14">
        <f t="shared" si="6"/>
        <v>224330.5359885965</v>
      </c>
      <c r="Z40" s="14">
        <f t="shared" si="6"/>
        <v>167051.17594074958</v>
      </c>
      <c r="AA40" s="14">
        <f t="shared" si="6"/>
        <v>112834.53782579268</v>
      </c>
      <c r="AB40" s="14">
        <f t="shared" si="6"/>
        <v>31340.686151151545</v>
      </c>
      <c r="AC40" s="14">
        <f t="shared" si="6"/>
        <v>-535719.04051551525</v>
      </c>
      <c r="AD40" s="14">
        <f t="shared" si="6"/>
        <v>187987.01948448492</v>
      </c>
      <c r="AE40" s="14">
        <f t="shared" si="6"/>
        <v>187987.01948448492</v>
      </c>
      <c r="AF40" s="14">
        <f t="shared" si="6"/>
        <v>187987.01948448492</v>
      </c>
      <c r="AG40" s="14">
        <f t="shared" si="6"/>
        <v>187987.01948448492</v>
      </c>
      <c r="AH40" s="14">
        <f t="shared" si="6"/>
        <v>87308.018537515192</v>
      </c>
      <c r="AI40" s="14">
        <f t="shared" ref="AI40:BN40" si="7">AI12+AI38</f>
        <v>87308.018537515192</v>
      </c>
      <c r="AJ40" s="14">
        <f t="shared" si="7"/>
        <v>-75451.254189757514</v>
      </c>
      <c r="AK40" s="14">
        <f t="shared" si="7"/>
        <v>-75451.254189757514</v>
      </c>
      <c r="AL40" s="14">
        <f t="shared" si="7"/>
        <v>-75451.254189757514</v>
      </c>
      <c r="AM40" s="14">
        <f t="shared" si="7"/>
        <v>-144741.37283415883</v>
      </c>
      <c r="AN40" s="14">
        <f t="shared" si="7"/>
        <v>-144741.37283415883</v>
      </c>
      <c r="AO40" s="14">
        <f t="shared" si="7"/>
        <v>-144741.37283415883</v>
      </c>
      <c r="AP40" s="14">
        <f t="shared" si="7"/>
        <v>-144741.37283415883</v>
      </c>
      <c r="AQ40" s="14">
        <f t="shared" si="7"/>
        <v>-144741.37283415883</v>
      </c>
      <c r="AR40" s="14">
        <f t="shared" si="7"/>
        <v>-144741.37283415883</v>
      </c>
      <c r="AS40" s="14">
        <f t="shared" si="7"/>
        <v>-316206.41071294667</v>
      </c>
      <c r="AT40" s="14">
        <f t="shared" si="7"/>
        <v>-316206.41071294667</v>
      </c>
      <c r="AU40" s="14">
        <f t="shared" si="7"/>
        <v>-316206.41071294667</v>
      </c>
      <c r="AV40" s="14">
        <f t="shared" si="7"/>
        <v>-316206.41071294667</v>
      </c>
      <c r="AW40" s="14">
        <f t="shared" si="7"/>
        <v>-316206.41071294667</v>
      </c>
      <c r="AX40" s="14">
        <f t="shared" si="7"/>
        <v>-316206.41071294667</v>
      </c>
      <c r="AY40" s="14">
        <f t="shared" si="7"/>
        <v>-325663.46559387224</v>
      </c>
      <c r="AZ40" s="14">
        <f t="shared" si="7"/>
        <v>-325663.46559387224</v>
      </c>
      <c r="BA40" s="14">
        <f t="shared" si="7"/>
        <v>-325663.46559387224</v>
      </c>
      <c r="BB40" s="14">
        <f t="shared" si="7"/>
        <v>-325663.46559387224</v>
      </c>
      <c r="BC40" s="14">
        <f t="shared" si="7"/>
        <v>-325663.46559387224</v>
      </c>
      <c r="BD40" s="14">
        <f t="shared" si="7"/>
        <v>-325663.46559387224</v>
      </c>
      <c r="BE40" s="14">
        <f t="shared" si="7"/>
        <v>-325663.46559387224</v>
      </c>
      <c r="BF40" s="14">
        <f t="shared" si="7"/>
        <v>-325663.46559387224</v>
      </c>
      <c r="BG40" s="14">
        <f t="shared" si="7"/>
        <v>-482309.79892720561</v>
      </c>
      <c r="BH40" s="14">
        <f t="shared" si="7"/>
        <v>-482309.79892720561</v>
      </c>
      <c r="BI40" s="14">
        <f t="shared" si="7"/>
        <v>-482309.79892720561</v>
      </c>
      <c r="BJ40" s="14">
        <f t="shared" si="7"/>
        <v>-482309.79892720561</v>
      </c>
      <c r="BK40" s="14">
        <f t="shared" si="7"/>
        <v>-491955.99490574969</v>
      </c>
      <c r="BL40" s="14">
        <f t="shared" si="7"/>
        <v>-491955.99490574969</v>
      </c>
      <c r="BM40" s="14">
        <f t="shared" si="7"/>
        <v>-491955.99490574969</v>
      </c>
      <c r="BN40" s="14">
        <f t="shared" si="7"/>
        <v>-491955.99490574969</v>
      </c>
      <c r="BO40" s="14">
        <f t="shared" ref="BO40:CH40" si="8">BO12+BO38</f>
        <v>-491955.99490574969</v>
      </c>
      <c r="BP40" s="14">
        <f t="shared" si="8"/>
        <v>-491955.99490574969</v>
      </c>
      <c r="BQ40" s="14">
        <f t="shared" si="8"/>
        <v>-491955.99490574969</v>
      </c>
      <c r="BR40" s="14">
        <f t="shared" si="8"/>
        <v>-491955.99490574969</v>
      </c>
      <c r="BS40" s="14">
        <f t="shared" si="8"/>
        <v>-491955.99490574969</v>
      </c>
      <c r="BT40" s="14">
        <f t="shared" si="8"/>
        <v>-491955.99490574969</v>
      </c>
      <c r="BU40" s="14">
        <f t="shared" si="8"/>
        <v>-491955.99490574969</v>
      </c>
      <c r="BV40" s="14">
        <f t="shared" si="8"/>
        <v>-491955.99490574969</v>
      </c>
      <c r="BW40" s="14">
        <f t="shared" si="8"/>
        <v>-501795.11480386468</v>
      </c>
      <c r="BX40" s="14">
        <f t="shared" si="8"/>
        <v>-501795.11480386468</v>
      </c>
      <c r="BY40" s="14">
        <f t="shared" si="8"/>
        <v>-501795.11480386468</v>
      </c>
      <c r="BZ40" s="14">
        <f t="shared" si="8"/>
        <v>-501795.11480386468</v>
      </c>
      <c r="CA40" s="14">
        <f t="shared" si="8"/>
        <v>-501795.11480386468</v>
      </c>
      <c r="CB40" s="14">
        <f t="shared" si="8"/>
        <v>-501795.11480386468</v>
      </c>
      <c r="CC40" s="14">
        <f t="shared" si="8"/>
        <v>-501795.11480386468</v>
      </c>
      <c r="CD40" s="14">
        <f t="shared" si="8"/>
        <v>-501795.11480386468</v>
      </c>
      <c r="CE40" s="14">
        <f t="shared" si="8"/>
        <v>-501795.11480386468</v>
      </c>
      <c r="CF40" s="14">
        <f t="shared" si="8"/>
        <v>-501795.11480386468</v>
      </c>
      <c r="CG40" s="14">
        <f t="shared" si="8"/>
        <v>-501795.11480386468</v>
      </c>
      <c r="CH40" s="14">
        <f t="shared" si="8"/>
        <v>-501795.11480386468</v>
      </c>
      <c r="CI40" s="23"/>
    </row>
    <row r="41" spans="1:87" ht="15" customHeight="1" x14ac:dyDescent="0.25">
      <c r="A41" s="7" t="s">
        <v>80</v>
      </c>
      <c r="B41" s="22"/>
      <c r="C41" s="30">
        <f t="shared" ref="C41:AH41" si="9">IF(C12&lt;&gt;0,C40/C12,0)</f>
        <v>0.18120954028587302</v>
      </c>
      <c r="D41" s="30">
        <f t="shared" si="9"/>
        <v>6.6906749190493942E-2</v>
      </c>
      <c r="E41" s="30">
        <f t="shared" si="9"/>
        <v>-2.7688664129819889E-2</v>
      </c>
      <c r="F41" s="30">
        <f t="shared" si="9"/>
        <v>0.38248766486234698</v>
      </c>
      <c r="G41" s="30">
        <f t="shared" si="9"/>
        <v>0.28998487647830157</v>
      </c>
      <c r="H41" s="30">
        <f t="shared" si="9"/>
        <v>0.33761557685503291</v>
      </c>
      <c r="I41" s="30">
        <f t="shared" si="9"/>
        <v>0.47171672877225712</v>
      </c>
      <c r="J41" s="30">
        <f t="shared" si="9"/>
        <v>0.51133667105105951</v>
      </c>
      <c r="K41" s="30">
        <f t="shared" si="9"/>
        <v>0.47839345137359485</v>
      </c>
      <c r="L41" s="30">
        <f t="shared" si="9"/>
        <v>0.47839345137359485</v>
      </c>
      <c r="M41" s="30">
        <f t="shared" si="9"/>
        <v>0.47839345137359485</v>
      </c>
      <c r="N41" s="30">
        <f t="shared" si="9"/>
        <v>0.47839345137359485</v>
      </c>
      <c r="O41" s="30">
        <f t="shared" si="9"/>
        <v>-0.12961131801547732</v>
      </c>
      <c r="P41" s="30">
        <f t="shared" si="9"/>
        <v>0.5569007315246931</v>
      </c>
      <c r="Q41" s="30">
        <f t="shared" si="9"/>
        <v>0.5569007315246931</v>
      </c>
      <c r="R41" s="30">
        <f t="shared" si="9"/>
        <v>0.45573847479387308</v>
      </c>
      <c r="S41" s="30">
        <f t="shared" si="9"/>
        <v>0.3590815408055929</v>
      </c>
      <c r="T41" s="30">
        <f t="shared" si="9"/>
        <v>0.3590815408055929</v>
      </c>
      <c r="U41" s="30">
        <f t="shared" si="9"/>
        <v>0.3590815408055929</v>
      </c>
      <c r="V41" s="30">
        <f t="shared" si="9"/>
        <v>0.33047042024350526</v>
      </c>
      <c r="W41" s="30">
        <f t="shared" si="9"/>
        <v>0.33047042024350526</v>
      </c>
      <c r="X41" s="30">
        <f t="shared" si="9"/>
        <v>0.33047042024350526</v>
      </c>
      <c r="Y41" s="30">
        <f t="shared" si="9"/>
        <v>0.33047042024350526</v>
      </c>
      <c r="Z41" s="30">
        <f t="shared" si="9"/>
        <v>0.268768722272136</v>
      </c>
      <c r="AA41" s="30">
        <f t="shared" si="9"/>
        <v>0.19575203410582984</v>
      </c>
      <c r="AB41" s="30">
        <f t="shared" si="9"/>
        <v>6.3324520478643398E-2</v>
      </c>
      <c r="AC41" s="30">
        <f t="shared" si="9"/>
        <v>-0.42119997995800407</v>
      </c>
      <c r="AD41" s="30">
        <f t="shared" si="9"/>
        <v>0.28851475022636286</v>
      </c>
      <c r="AE41" s="30">
        <f t="shared" si="9"/>
        <v>0.28851475022636286</v>
      </c>
      <c r="AF41" s="30">
        <f t="shared" si="9"/>
        <v>0.28851475022636286</v>
      </c>
      <c r="AG41" s="30">
        <f t="shared" si="9"/>
        <v>0.28851475022636286</v>
      </c>
      <c r="AH41" s="30">
        <f t="shared" si="9"/>
        <v>0.15848564107381427</v>
      </c>
      <c r="AI41" s="30">
        <f t="shared" ref="AI41:BN41" si="10">IF(AI12&lt;&gt;0,AI40/AI12,0)</f>
        <v>0.15848564107381427</v>
      </c>
      <c r="AJ41" s="30">
        <f t="shared" si="10"/>
        <v>-0.19439692876633502</v>
      </c>
      <c r="AK41" s="30">
        <f t="shared" si="10"/>
        <v>-0.19439692876633502</v>
      </c>
      <c r="AL41" s="30">
        <f t="shared" si="10"/>
        <v>-0.19439692876633502</v>
      </c>
      <c r="AM41" s="30">
        <f t="shared" si="10"/>
        <v>-0.4411348875214226</v>
      </c>
      <c r="AN41" s="30">
        <f t="shared" si="10"/>
        <v>-0.4411348875214226</v>
      </c>
      <c r="AO41" s="30">
        <f t="shared" si="10"/>
        <v>-0.4411348875214226</v>
      </c>
      <c r="AP41" s="30">
        <f t="shared" si="10"/>
        <v>-0.4411348875214226</v>
      </c>
      <c r="AQ41" s="30">
        <f t="shared" si="10"/>
        <v>-0.4411348875214226</v>
      </c>
      <c r="AR41" s="30">
        <f t="shared" si="10"/>
        <v>-0.4411348875214226</v>
      </c>
      <c r="AS41" s="30">
        <f t="shared" si="10"/>
        <v>-2.0186007803966897</v>
      </c>
      <c r="AT41" s="30">
        <f t="shared" si="10"/>
        <v>-2.0186007803966897</v>
      </c>
      <c r="AU41" s="30">
        <f t="shared" si="10"/>
        <v>-2.0186007803966897</v>
      </c>
      <c r="AV41" s="30">
        <f t="shared" si="10"/>
        <v>-2.0186007803966897</v>
      </c>
      <c r="AW41" s="30">
        <f t="shared" si="10"/>
        <v>-2.0186007803966897</v>
      </c>
      <c r="AX41" s="30">
        <f t="shared" si="10"/>
        <v>-2.0186007803966897</v>
      </c>
      <c r="AY41" s="30">
        <f t="shared" si="10"/>
        <v>-2.0789727960046234</v>
      </c>
      <c r="AZ41" s="30">
        <f t="shared" si="10"/>
        <v>-2.0789727960046234</v>
      </c>
      <c r="BA41" s="30">
        <f t="shared" si="10"/>
        <v>-2.0789727960046234</v>
      </c>
      <c r="BB41" s="30">
        <f t="shared" si="10"/>
        <v>-2.0789727960046234</v>
      </c>
      <c r="BC41" s="30">
        <f t="shared" si="10"/>
        <v>-2.0789727960046234</v>
      </c>
      <c r="BD41" s="30">
        <f t="shared" si="10"/>
        <v>-2.0789727960046234</v>
      </c>
      <c r="BE41" s="30">
        <f t="shared" si="10"/>
        <v>-2.0789727960046234</v>
      </c>
      <c r="BF41" s="30">
        <f t="shared" si="10"/>
        <v>-2.0789727960046234</v>
      </c>
      <c r="BG41" s="30">
        <f t="shared" si="10"/>
        <v>0</v>
      </c>
      <c r="BH41" s="30">
        <f t="shared" si="10"/>
        <v>0</v>
      </c>
      <c r="BI41" s="30">
        <f t="shared" si="10"/>
        <v>0</v>
      </c>
      <c r="BJ41" s="30">
        <f t="shared" si="10"/>
        <v>0</v>
      </c>
      <c r="BK41" s="30">
        <f t="shared" si="10"/>
        <v>0</v>
      </c>
      <c r="BL41" s="30">
        <f t="shared" si="10"/>
        <v>0</v>
      </c>
      <c r="BM41" s="30">
        <f t="shared" si="10"/>
        <v>0</v>
      </c>
      <c r="BN41" s="30">
        <f t="shared" si="10"/>
        <v>0</v>
      </c>
      <c r="BO41" s="30">
        <f t="shared" ref="BO41:CH41" si="11">IF(BO12&lt;&gt;0,BO40/BO12,0)</f>
        <v>0</v>
      </c>
      <c r="BP41" s="30">
        <f t="shared" si="11"/>
        <v>0</v>
      </c>
      <c r="BQ41" s="30">
        <f t="shared" si="11"/>
        <v>0</v>
      </c>
      <c r="BR41" s="30">
        <f t="shared" si="11"/>
        <v>0</v>
      </c>
      <c r="BS41" s="30">
        <f t="shared" si="11"/>
        <v>0</v>
      </c>
      <c r="BT41" s="30">
        <f t="shared" si="11"/>
        <v>0</v>
      </c>
      <c r="BU41" s="30">
        <f t="shared" si="11"/>
        <v>0</v>
      </c>
      <c r="BV41" s="30">
        <f t="shared" si="11"/>
        <v>0</v>
      </c>
      <c r="BW41" s="30">
        <f t="shared" si="11"/>
        <v>0</v>
      </c>
      <c r="BX41" s="30">
        <f t="shared" si="11"/>
        <v>0</v>
      </c>
      <c r="BY41" s="30">
        <f t="shared" si="11"/>
        <v>0</v>
      </c>
      <c r="BZ41" s="30">
        <f t="shared" si="11"/>
        <v>0</v>
      </c>
      <c r="CA41" s="30">
        <f t="shared" si="11"/>
        <v>0</v>
      </c>
      <c r="CB41" s="30">
        <f t="shared" si="11"/>
        <v>0</v>
      </c>
      <c r="CC41" s="30">
        <f t="shared" si="11"/>
        <v>0</v>
      </c>
      <c r="CD41" s="30">
        <f t="shared" si="11"/>
        <v>0</v>
      </c>
      <c r="CE41" s="30">
        <f t="shared" si="11"/>
        <v>0</v>
      </c>
      <c r="CF41" s="30">
        <f t="shared" si="11"/>
        <v>0</v>
      </c>
      <c r="CG41" s="30">
        <f t="shared" si="11"/>
        <v>0</v>
      </c>
      <c r="CH41" s="30">
        <f t="shared" si="11"/>
        <v>0</v>
      </c>
      <c r="CI41" s="23"/>
    </row>
    <row r="42" spans="1:87" ht="15" customHeight="1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6" t="s">
        <v>143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3"/>
    </row>
    <row r="45" spans="1:87" ht="15" customHeight="1" x14ac:dyDescent="0.25">
      <c r="A45" s="6" t="s">
        <v>81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23"/>
    </row>
    <row r="46" spans="1:87" ht="15" customHeight="1" x14ac:dyDescent="0.25">
      <c r="A46" s="7" t="s">
        <v>144</v>
      </c>
      <c r="B46" s="22"/>
      <c r="C46" s="8">
        <f>IF(1&lt;=Assumptions!$B$68,Assumptions!$B$67,0)</f>
        <v>833.33</v>
      </c>
      <c r="D46" s="8">
        <f>IF(2&lt;=Assumptions!$B$68,Assumptions!$B$67,0)</f>
        <v>833.33</v>
      </c>
      <c r="E46" s="8">
        <f>IF(3&lt;=Assumptions!$B$68,Assumptions!$B$67,0)</f>
        <v>833.33</v>
      </c>
      <c r="F46" s="8">
        <f>IF(4&lt;=Assumptions!$B$68,Assumptions!$B$67,0)</f>
        <v>833.33</v>
      </c>
      <c r="G46" s="8">
        <f>IF(5&lt;=Assumptions!$B$68,Assumptions!$B$67,0)</f>
        <v>833.33</v>
      </c>
      <c r="H46" s="8">
        <f>IF(6&lt;=Assumptions!$B$68,Assumptions!$B$67,0)</f>
        <v>0</v>
      </c>
      <c r="I46" s="8">
        <f>IF(7&lt;=Assumptions!$B$68,Assumptions!$B$67,0)</f>
        <v>0</v>
      </c>
      <c r="J46" s="8">
        <f>IF(8&lt;=Assumptions!$B$68,Assumptions!$B$67,0)</f>
        <v>0</v>
      </c>
      <c r="K46" s="8">
        <f>IF(9&lt;=Assumptions!$B$68,Assumptions!$B$67,0)</f>
        <v>0</v>
      </c>
      <c r="L46" s="8">
        <f>IF(10&lt;=Assumptions!$B$68,Assumptions!$B$67,0)</f>
        <v>0</v>
      </c>
      <c r="M46" s="8">
        <f>IF(11&lt;=Assumptions!$B$68,Assumptions!$B$67,0)</f>
        <v>0</v>
      </c>
      <c r="N46" s="8">
        <f>IF(12&lt;=Assumptions!$B$68,Assumptions!$B$67,0)</f>
        <v>0</v>
      </c>
      <c r="O46" s="8">
        <f>IF(13&lt;=Assumptions!$B$68,Assumptions!$B$67,0)</f>
        <v>0</v>
      </c>
      <c r="P46" s="8">
        <f>IF(14&lt;=Assumptions!$B$68,Assumptions!$B$67,0)</f>
        <v>0</v>
      </c>
      <c r="Q46" s="8">
        <f>IF(15&lt;=Assumptions!$B$68,Assumptions!$B$67,0)</f>
        <v>0</v>
      </c>
      <c r="R46" s="8">
        <f>IF(16&lt;=Assumptions!$B$68,Assumptions!$B$67,0)</f>
        <v>0</v>
      </c>
      <c r="S46" s="8">
        <f>IF(17&lt;=Assumptions!$B$68,Assumptions!$B$67,0)</f>
        <v>0</v>
      </c>
      <c r="T46" s="8">
        <f>IF(18&lt;=Assumptions!$B$68,Assumptions!$B$67,0)</f>
        <v>0</v>
      </c>
      <c r="U46" s="8">
        <f>IF(19&lt;=Assumptions!$B$68,Assumptions!$B$67,0)</f>
        <v>0</v>
      </c>
      <c r="V46" s="8">
        <f>IF(20&lt;=Assumptions!$B$68,Assumptions!$B$67,0)</f>
        <v>0</v>
      </c>
      <c r="W46" s="8">
        <f>IF(21&lt;=Assumptions!$B$68,Assumptions!$B$67,0)</f>
        <v>0</v>
      </c>
      <c r="X46" s="8">
        <f>IF(22&lt;=Assumptions!$B$68,Assumptions!$B$67,0)</f>
        <v>0</v>
      </c>
      <c r="Y46" s="8">
        <f>IF(23&lt;=Assumptions!$B$68,Assumptions!$B$67,0)</f>
        <v>0</v>
      </c>
      <c r="Z46" s="8">
        <f>IF(24&lt;=Assumptions!$B$68,Assumptions!$B$67,0)</f>
        <v>0</v>
      </c>
      <c r="AA46" s="8">
        <f>IF(25&lt;=Assumptions!$B$68,Assumptions!$B$67,0)</f>
        <v>0</v>
      </c>
      <c r="AB46" s="8">
        <f>IF(26&lt;=Assumptions!$B$68,Assumptions!$B$67,0)</f>
        <v>0</v>
      </c>
      <c r="AC46" s="8">
        <f>IF(27&lt;=Assumptions!$B$68,Assumptions!$B$67,0)</f>
        <v>0</v>
      </c>
      <c r="AD46" s="8">
        <f>IF(28&lt;=Assumptions!$B$68,Assumptions!$B$67,0)</f>
        <v>0</v>
      </c>
      <c r="AE46" s="8">
        <f>IF(29&lt;=Assumptions!$B$68,Assumptions!$B$67,0)</f>
        <v>0</v>
      </c>
      <c r="AF46" s="8">
        <f>IF(30&lt;=Assumptions!$B$68,Assumptions!$B$67,0)</f>
        <v>0</v>
      </c>
      <c r="AG46" s="8">
        <f>IF(31&lt;=Assumptions!$B$68,Assumptions!$B$67,0)</f>
        <v>0</v>
      </c>
      <c r="AH46" s="8">
        <f>IF(32&lt;=Assumptions!$B$68,Assumptions!$B$67,0)</f>
        <v>0</v>
      </c>
      <c r="AI46" s="8">
        <f>IF(33&lt;=Assumptions!$B$68,Assumptions!$B$67,0)</f>
        <v>0</v>
      </c>
      <c r="AJ46" s="8">
        <f>IF(34&lt;=Assumptions!$B$68,Assumptions!$B$67,0)</f>
        <v>0</v>
      </c>
      <c r="AK46" s="8">
        <f>IF(35&lt;=Assumptions!$B$68,Assumptions!$B$67,0)</f>
        <v>0</v>
      </c>
      <c r="AL46" s="8">
        <f>IF(36&lt;=Assumptions!$B$68,Assumptions!$B$67,0)</f>
        <v>0</v>
      </c>
      <c r="AM46" s="8">
        <f>IF(37&lt;=Assumptions!$B$68,Assumptions!$B$67,0)</f>
        <v>0</v>
      </c>
      <c r="AN46" s="8">
        <f>IF(38&lt;=Assumptions!$B$68,Assumptions!$B$67,0)</f>
        <v>0</v>
      </c>
      <c r="AO46" s="8">
        <f>IF(39&lt;=Assumptions!$B$68,Assumptions!$B$67,0)</f>
        <v>0</v>
      </c>
      <c r="AP46" s="8">
        <f>IF(40&lt;=Assumptions!$B$68,Assumptions!$B$67,0)</f>
        <v>0</v>
      </c>
      <c r="AQ46" s="8">
        <f>IF(41&lt;=Assumptions!$B$68,Assumptions!$B$67,0)</f>
        <v>0</v>
      </c>
      <c r="AR46" s="8">
        <f>IF(42&lt;=Assumptions!$B$68,Assumptions!$B$67,0)</f>
        <v>0</v>
      </c>
      <c r="AS46" s="8">
        <f>IF(43&lt;=Assumptions!$B$68,Assumptions!$B$67,0)</f>
        <v>0</v>
      </c>
      <c r="AT46" s="8">
        <f>IF(44&lt;=Assumptions!$B$68,Assumptions!$B$67,0)</f>
        <v>0</v>
      </c>
      <c r="AU46" s="8">
        <f>IF(45&lt;=Assumptions!$B$68,Assumptions!$B$67,0)</f>
        <v>0</v>
      </c>
      <c r="AV46" s="8">
        <f>IF(46&lt;=Assumptions!$B$68,Assumptions!$B$67,0)</f>
        <v>0</v>
      </c>
      <c r="AW46" s="8">
        <f>IF(47&lt;=Assumptions!$B$68,Assumptions!$B$67,0)</f>
        <v>0</v>
      </c>
      <c r="AX46" s="8">
        <f>IF(48&lt;=Assumptions!$B$68,Assumptions!$B$67,0)</f>
        <v>0</v>
      </c>
      <c r="AY46" s="8">
        <f>IF(49&lt;=Assumptions!$B$68,Assumptions!$B$67,0)</f>
        <v>0</v>
      </c>
      <c r="AZ46" s="8">
        <f>IF(50&lt;=Assumptions!$B$68,Assumptions!$B$67,0)</f>
        <v>0</v>
      </c>
      <c r="BA46" s="8">
        <f>IF(51&lt;=Assumptions!$B$68,Assumptions!$B$67,0)</f>
        <v>0</v>
      </c>
      <c r="BB46" s="8">
        <f>IF(52&lt;=Assumptions!$B$68,Assumptions!$B$67,0)</f>
        <v>0</v>
      </c>
      <c r="BC46" s="8">
        <f>IF(53&lt;=Assumptions!$B$68,Assumptions!$B$67,0)</f>
        <v>0</v>
      </c>
      <c r="BD46" s="8">
        <f>IF(54&lt;=Assumptions!$B$68,Assumptions!$B$67,0)</f>
        <v>0</v>
      </c>
      <c r="BE46" s="8">
        <f>IF(55&lt;=Assumptions!$B$68,Assumptions!$B$67,0)</f>
        <v>0</v>
      </c>
      <c r="BF46" s="8">
        <f>IF(56&lt;=Assumptions!$B$68,Assumptions!$B$67,0)</f>
        <v>0</v>
      </c>
      <c r="BG46" s="8">
        <f>IF(57&lt;=Assumptions!$B$68,Assumptions!$B$67,0)</f>
        <v>0</v>
      </c>
      <c r="BH46" s="8">
        <f>IF(58&lt;=Assumptions!$B$68,Assumptions!$B$67,0)</f>
        <v>0</v>
      </c>
      <c r="BI46" s="8">
        <f>IF(59&lt;=Assumptions!$B$68,Assumptions!$B$67,0)</f>
        <v>0</v>
      </c>
      <c r="BJ46" s="8">
        <f>IF(60&lt;=Assumptions!$B$68,Assumptions!$B$67,0)</f>
        <v>0</v>
      </c>
      <c r="BK46" s="8">
        <f>IF(61&lt;=Assumptions!$B$68,Assumptions!$B$67,0)</f>
        <v>0</v>
      </c>
      <c r="BL46" s="8">
        <f>IF(62&lt;=Assumptions!$B$68,Assumptions!$B$67,0)</f>
        <v>0</v>
      </c>
      <c r="BM46" s="8">
        <f>IF(63&lt;=Assumptions!$B$68,Assumptions!$B$67,0)</f>
        <v>0</v>
      </c>
      <c r="BN46" s="8">
        <f>IF(64&lt;=Assumptions!$B$68,Assumptions!$B$67,0)</f>
        <v>0</v>
      </c>
      <c r="BO46" s="8">
        <f>IF(65&lt;=Assumptions!$B$68,Assumptions!$B$67,0)</f>
        <v>0</v>
      </c>
      <c r="BP46" s="8">
        <f>IF(66&lt;=Assumptions!$B$68,Assumptions!$B$67,0)</f>
        <v>0</v>
      </c>
      <c r="BQ46" s="8">
        <f>IF(67&lt;=Assumptions!$B$68,Assumptions!$B$67,0)</f>
        <v>0</v>
      </c>
      <c r="BR46" s="8">
        <f>IF(68&lt;=Assumptions!$B$68,Assumptions!$B$67,0)</f>
        <v>0</v>
      </c>
      <c r="BS46" s="8">
        <f>IF(69&lt;=Assumptions!$B$68,Assumptions!$B$67,0)</f>
        <v>0</v>
      </c>
      <c r="BT46" s="8">
        <f>IF(70&lt;=Assumptions!$B$68,Assumptions!$B$67,0)</f>
        <v>0</v>
      </c>
      <c r="BU46" s="8">
        <f>IF(71&lt;=Assumptions!$B$68,Assumptions!$B$67,0)</f>
        <v>0</v>
      </c>
      <c r="BV46" s="8">
        <f>IF(72&lt;=Assumptions!$B$68,Assumptions!$B$67,0)</f>
        <v>0</v>
      </c>
      <c r="BW46" s="8">
        <f>IF(73&lt;=Assumptions!$B$68,Assumptions!$B$67,0)</f>
        <v>0</v>
      </c>
      <c r="BX46" s="8">
        <f>IF(74&lt;=Assumptions!$B$68,Assumptions!$B$67,0)</f>
        <v>0</v>
      </c>
      <c r="BY46" s="8">
        <f>IF(75&lt;=Assumptions!$B$68,Assumptions!$B$67,0)</f>
        <v>0</v>
      </c>
      <c r="BZ46" s="8">
        <f>IF(76&lt;=Assumptions!$B$68,Assumptions!$B$67,0)</f>
        <v>0</v>
      </c>
      <c r="CA46" s="8">
        <f>IF(77&lt;=Assumptions!$B$68,Assumptions!$B$67,0)</f>
        <v>0</v>
      </c>
      <c r="CB46" s="8">
        <f>IF(78&lt;=Assumptions!$B$68,Assumptions!$B$67,0)</f>
        <v>0</v>
      </c>
      <c r="CC46" s="8">
        <f>IF(79&lt;=Assumptions!$B$68,Assumptions!$B$67,0)</f>
        <v>0</v>
      </c>
      <c r="CD46" s="8">
        <f>IF(80&lt;=Assumptions!$B$68,Assumptions!$B$67,0)</f>
        <v>0</v>
      </c>
      <c r="CE46" s="8">
        <f>IF(81&lt;=Assumptions!$B$68,Assumptions!$B$67,0)</f>
        <v>0</v>
      </c>
      <c r="CF46" s="8">
        <f>IF(82&lt;=Assumptions!$B$68,Assumptions!$B$67,0)</f>
        <v>0</v>
      </c>
      <c r="CG46" s="8">
        <f>IF(83&lt;=Assumptions!$B$68,Assumptions!$B$67,0)</f>
        <v>0</v>
      </c>
      <c r="CH46" s="8">
        <f>IF(84&lt;=Assumptions!$B$68,Assumptions!$B$67,0)</f>
        <v>0</v>
      </c>
      <c r="CI46" s="23"/>
    </row>
    <row r="47" spans="1:87" ht="15" customHeight="1" x14ac:dyDescent="0.25">
      <c r="A47" s="7" t="s">
        <v>145</v>
      </c>
      <c r="B47" s="22"/>
      <c r="C47" s="8">
        <f>IF(Projects!$G$3="Yes",23906.25,0)</f>
        <v>23906.25</v>
      </c>
      <c r="D47" s="8">
        <f>IF(Projects!$G$3="Yes",23906.25,0)</f>
        <v>23906.25</v>
      </c>
      <c r="E47" s="8">
        <f>IF(Projects!$G$3="Yes",23906.25,0)</f>
        <v>23906.25</v>
      </c>
      <c r="F47" s="8">
        <f>IF(Projects!$G$3="Yes",23906.25,0)</f>
        <v>23906.25</v>
      </c>
      <c r="G47" s="8">
        <f>IF(Projects!$G$3="Yes",23906.25,0)</f>
        <v>23906.25</v>
      </c>
      <c r="H47" s="8">
        <f>IF(Projects!$G$3="Yes",23906.25,0)</f>
        <v>23906.25</v>
      </c>
      <c r="I47" s="8">
        <f>IF(Projects!$G$3="Yes",23906.25,0)</f>
        <v>23906.25</v>
      </c>
      <c r="J47" s="8">
        <f>IF(Projects!$G$3="Yes",23906.25,0)</f>
        <v>23906.25</v>
      </c>
      <c r="K47" s="8">
        <f>IF(Projects!$G$3="Yes",23906.25,0)</f>
        <v>23906.25</v>
      </c>
      <c r="L47" s="8">
        <f>IF(Projects!$G$3="Yes",23906.25,0)</f>
        <v>23906.25</v>
      </c>
      <c r="M47" s="8">
        <f>IF(Projects!$G$3="Yes",23906.25,0)</f>
        <v>23906.25</v>
      </c>
      <c r="N47" s="8">
        <f>IF(Projects!$G$3="Yes",23906.25,0)</f>
        <v>23906.25</v>
      </c>
      <c r="O47" s="8">
        <f>IF(Projects!$G$3="Yes",23906.25,0)</f>
        <v>23906.25</v>
      </c>
      <c r="P47" s="8">
        <f>IF(Projects!$G$3="Yes",23906.25,0)</f>
        <v>23906.25</v>
      </c>
      <c r="Q47" s="8">
        <f>IF(Projects!$G$3="Yes",23906.25,0)</f>
        <v>23906.25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0</v>
      </c>
      <c r="AY47" s="8">
        <v>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0</v>
      </c>
      <c r="CC47" s="8">
        <v>0</v>
      </c>
      <c r="CD47" s="8">
        <v>0</v>
      </c>
      <c r="CE47" s="8">
        <v>0</v>
      </c>
      <c r="CF47" s="8">
        <v>0</v>
      </c>
      <c r="CG47" s="8">
        <v>0</v>
      </c>
      <c r="CH47" s="8">
        <v>0</v>
      </c>
      <c r="CI47" s="23"/>
    </row>
    <row r="48" spans="1:87" ht="15" customHeight="1" x14ac:dyDescent="0.25">
      <c r="A48" s="7" t="s">
        <v>146</v>
      </c>
      <c r="B48" s="22"/>
      <c r="C48" s="8">
        <v>0</v>
      </c>
      <c r="D48" s="8">
        <v>0</v>
      </c>
      <c r="E48" s="8">
        <v>0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f>IF(Projects!$G$3="Yes",57375,0)</f>
        <v>57375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147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f>IF(Projects!$G$3="Yes",57375,0)</f>
        <v>57375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148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f>IF(Projects!$G$3="Yes",57375,0)</f>
        <v>57375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149</v>
      </c>
      <c r="B51" s="22"/>
      <c r="C51" s="8">
        <f>IF(Projects!$G$2="Yes",9375,0)</f>
        <v>9375</v>
      </c>
      <c r="D51" s="8">
        <f>IF(Projects!$G$2="Yes",9375,0)</f>
        <v>9375</v>
      </c>
      <c r="E51" s="8">
        <f>IF(Projects!$G$2="Yes",9375,0)</f>
        <v>9375</v>
      </c>
      <c r="F51" s="8">
        <f>IF(Projects!$G$2="Yes",9375,0)</f>
        <v>9375</v>
      </c>
      <c r="G51" s="8">
        <f>IF(Projects!$G$2="Yes",9375,0)</f>
        <v>9375</v>
      </c>
      <c r="H51" s="8">
        <f>IF(Projects!$G$2="Yes",9375,0)</f>
        <v>9375</v>
      </c>
      <c r="I51" s="8">
        <f>IF(Projects!$G$2="Yes",9375,0)</f>
        <v>9375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150</v>
      </c>
      <c r="B52" s="22"/>
      <c r="C52" s="8">
        <v>9500</v>
      </c>
      <c r="D52" s="8">
        <v>9500</v>
      </c>
      <c r="E52" s="8">
        <v>9500</v>
      </c>
      <c r="F52" s="8">
        <v>9500</v>
      </c>
      <c r="G52" s="8">
        <v>9500</v>
      </c>
      <c r="H52" s="8">
        <v>9500</v>
      </c>
      <c r="I52" s="8">
        <v>9500</v>
      </c>
      <c r="J52" s="8">
        <v>9500</v>
      </c>
      <c r="K52" s="8">
        <v>9500</v>
      </c>
      <c r="L52" s="8">
        <v>9500</v>
      </c>
      <c r="M52" s="8">
        <v>9500</v>
      </c>
      <c r="N52" s="8">
        <v>9500</v>
      </c>
      <c r="O52" s="8">
        <v>9500</v>
      </c>
      <c r="P52" s="8">
        <v>9500</v>
      </c>
      <c r="Q52" s="8">
        <v>9500</v>
      </c>
      <c r="R52" s="8">
        <v>9500</v>
      </c>
      <c r="S52" s="8">
        <v>9500</v>
      </c>
      <c r="T52" s="8">
        <v>9500</v>
      </c>
      <c r="U52" s="8">
        <v>9500</v>
      </c>
      <c r="V52" s="8">
        <v>9500</v>
      </c>
      <c r="W52" s="8">
        <v>9500</v>
      </c>
      <c r="X52" s="8">
        <v>9500</v>
      </c>
      <c r="Y52" s="8">
        <v>9500</v>
      </c>
      <c r="Z52" s="8">
        <v>9500</v>
      </c>
      <c r="AA52" s="8">
        <v>9500</v>
      </c>
      <c r="AB52" s="8">
        <v>9500</v>
      </c>
      <c r="AC52" s="8">
        <v>9500</v>
      </c>
      <c r="AD52" s="8">
        <v>9500</v>
      </c>
      <c r="AE52" s="8">
        <v>9500</v>
      </c>
      <c r="AF52" s="8">
        <v>9500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151</v>
      </c>
      <c r="B53" s="22"/>
      <c r="C53" s="8">
        <v>0</v>
      </c>
      <c r="D53" s="8">
        <v>0</v>
      </c>
      <c r="E53" s="8">
        <v>0</v>
      </c>
      <c r="F53" s="8">
        <v>0</v>
      </c>
      <c r="G53" s="8">
        <f>IF(Projects!$G$11="Yes",6315.79,0)</f>
        <v>6315.79</v>
      </c>
      <c r="H53" s="8">
        <f>IF(Projects!$G$11="Yes",6315.79,0)</f>
        <v>6315.79</v>
      </c>
      <c r="I53" s="8">
        <f>IF(Projects!$G$11="Yes",6315.79,0)</f>
        <v>6315.79</v>
      </c>
      <c r="J53" s="8">
        <f>IF(Projects!$G$11="Yes",6315.79,0)</f>
        <v>6315.79</v>
      </c>
      <c r="K53" s="8">
        <f>IF(Projects!$G$11="Yes",6315.79,0)</f>
        <v>6315.79</v>
      </c>
      <c r="L53" s="8">
        <f>IF(Projects!$G$11="Yes",6315.79,0)</f>
        <v>6315.79</v>
      </c>
      <c r="M53" s="8">
        <f>IF(Projects!$G$11="Yes",6315.79,0)</f>
        <v>6315.79</v>
      </c>
      <c r="N53" s="8">
        <f>IF(Projects!$G$11="Yes",6315.79,0)</f>
        <v>6315.79</v>
      </c>
      <c r="O53" s="8">
        <f>IF(Projects!$G$11="Yes",6315.79,0)</f>
        <v>6315.79</v>
      </c>
      <c r="P53" s="8">
        <f>IF(Projects!$G$11="Yes",6315.79,0)</f>
        <v>6315.79</v>
      </c>
      <c r="Q53" s="8">
        <f>IF(Projects!$G$11="Yes",6315.79,0)</f>
        <v>6315.79</v>
      </c>
      <c r="R53" s="8">
        <f>IF(Projects!$G$11="Yes",6315.79,0)</f>
        <v>6315.79</v>
      </c>
      <c r="S53" s="8">
        <f>IF(Projects!$G$11="Yes",6315.79,0)</f>
        <v>6315.79</v>
      </c>
      <c r="T53" s="8">
        <f>IF(Projects!$G$11="Yes",6315.79,0)</f>
        <v>6315.79</v>
      </c>
      <c r="U53" s="8">
        <f>IF(Projects!$G$11="Yes",6315.79,0)</f>
        <v>6315.79</v>
      </c>
      <c r="V53" s="8">
        <f>IF(Projects!$G$11="Yes",6315.79,0)</f>
        <v>6315.79</v>
      </c>
      <c r="W53" s="8">
        <f>IF(Projects!$G$11="Yes",6315.79,0)</f>
        <v>6315.79</v>
      </c>
      <c r="X53" s="8">
        <f>IF(Projects!$G$11="Yes",6315.79,0)</f>
        <v>6315.79</v>
      </c>
      <c r="Y53" s="8">
        <f>IF(Projects!$G$11="Yes",6315.79,0)</f>
        <v>6315.79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152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6315.79</v>
      </c>
      <c r="H54" s="8">
        <f>IF(Projects!$G$11="Yes",6315.79,0)</f>
        <v>6315.79</v>
      </c>
      <c r="I54" s="8">
        <f>IF(Projects!$G$11="Yes",6315.79,0)</f>
        <v>6315.79</v>
      </c>
      <c r="J54" s="8">
        <f>IF(Projects!$G$11="Yes",6315.79,0)</f>
        <v>6315.79</v>
      </c>
      <c r="K54" s="8">
        <f>IF(Projects!$G$11="Yes",6315.79,0)</f>
        <v>6315.79</v>
      </c>
      <c r="L54" s="8">
        <f>IF(Projects!$G$11="Yes",6315.79,0)</f>
        <v>6315.79</v>
      </c>
      <c r="M54" s="8">
        <f>IF(Projects!$G$11="Yes",6315.79,0)</f>
        <v>6315.79</v>
      </c>
      <c r="N54" s="8">
        <f>IF(Projects!$G$11="Yes",6315.79,0)</f>
        <v>6315.79</v>
      </c>
      <c r="O54" s="8">
        <f>IF(Projects!$G$11="Yes",6315.79,0)</f>
        <v>6315.79</v>
      </c>
      <c r="P54" s="8">
        <f>IF(Projects!$G$11="Yes",6315.79,0)</f>
        <v>6315.79</v>
      </c>
      <c r="Q54" s="8">
        <f>IF(Projects!$G$11="Yes",6315.79,0)</f>
        <v>6315.79</v>
      </c>
      <c r="R54" s="8">
        <f>IF(Projects!$G$11="Yes",6315.79,0)</f>
        <v>6315.79</v>
      </c>
      <c r="S54" s="8">
        <f>IF(Projects!$G$11="Yes",6315.79,0)</f>
        <v>6315.79</v>
      </c>
      <c r="T54" s="8">
        <f>IF(Projects!$G$11="Yes",6315.79,0)</f>
        <v>6315.79</v>
      </c>
      <c r="U54" s="8">
        <f>IF(Projects!$G$11="Yes",6315.79,0)</f>
        <v>6315.79</v>
      </c>
      <c r="V54" s="8">
        <f>IF(Projects!$G$11="Yes",6315.79,0)</f>
        <v>6315.79</v>
      </c>
      <c r="W54" s="8">
        <f>IF(Projects!$G$11="Yes",6315.79,0)</f>
        <v>6315.79</v>
      </c>
      <c r="X54" s="8">
        <f>IF(Projects!$G$11="Yes",6315.79,0)</f>
        <v>6315.79</v>
      </c>
      <c r="Y54" s="8">
        <f>IF(Projects!$G$11="Yes",6315.79,0)</f>
        <v>6315.79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153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IF(Projects!$G$11="Yes",253980,0)</f>
        <v>253980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154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v>0</v>
      </c>
      <c r="H56" s="8">
        <f>IF(Projects!$G$12="Yes",6315.79,0)</f>
        <v>6315.79</v>
      </c>
      <c r="I56" s="8">
        <f>IF(Projects!$G$12="Yes",6315.79,0)</f>
        <v>6315.79</v>
      </c>
      <c r="J56" s="8">
        <f>IF(Projects!$G$12="Yes",6315.79,0)</f>
        <v>6315.79</v>
      </c>
      <c r="K56" s="8">
        <f>IF(Projects!$G$12="Yes",6315.79,0)</f>
        <v>6315.79</v>
      </c>
      <c r="L56" s="8">
        <f>IF(Projects!$G$12="Yes",6315.79,0)</f>
        <v>6315.79</v>
      </c>
      <c r="M56" s="8">
        <f>IF(Projects!$G$12="Yes",6315.79,0)</f>
        <v>6315.79</v>
      </c>
      <c r="N56" s="8">
        <f>IF(Projects!$G$12="Yes",6315.79,0)</f>
        <v>6315.79</v>
      </c>
      <c r="O56" s="8">
        <f>IF(Projects!$G$12="Yes",6315.79,0)</f>
        <v>6315.79</v>
      </c>
      <c r="P56" s="8">
        <f>IF(Projects!$G$12="Yes",6315.79,0)</f>
        <v>6315.79</v>
      </c>
      <c r="Q56" s="8">
        <f>IF(Projects!$G$12="Yes",6315.79,0)</f>
        <v>6315.79</v>
      </c>
      <c r="R56" s="8">
        <f>IF(Projects!$G$12="Yes",6315.79,0)</f>
        <v>6315.79</v>
      </c>
      <c r="S56" s="8">
        <f>IF(Projects!$G$12="Yes",6315.79,0)</f>
        <v>6315.79</v>
      </c>
      <c r="T56" s="8">
        <f>IF(Projects!$G$12="Yes",6315.79,0)</f>
        <v>6315.79</v>
      </c>
      <c r="U56" s="8">
        <f>IF(Projects!$G$12="Yes",6315.79,0)</f>
        <v>6315.79</v>
      </c>
      <c r="V56" s="8">
        <f>IF(Projects!$G$12="Yes",6315.79,0)</f>
        <v>6315.79</v>
      </c>
      <c r="W56" s="8">
        <f>IF(Projects!$G$12="Yes",6315.79,0)</f>
        <v>6315.79</v>
      </c>
      <c r="X56" s="8">
        <f>IF(Projects!$G$12="Yes",6315.79,0)</f>
        <v>6315.79</v>
      </c>
      <c r="Y56" s="8">
        <f>IF(Projects!$G$12="Yes",6315.79,0)</f>
        <v>6315.79</v>
      </c>
      <c r="Z56" s="8">
        <f>IF(Projects!$G$12="Yes",6315.79,0)</f>
        <v>6315.79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155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IF(Projects!$G$12="Yes",4736.84,0)</f>
        <v>4736.84</v>
      </c>
      <c r="I57" s="8">
        <f>IF(Projects!$G$12="Yes",4736.84,0)</f>
        <v>4736.84</v>
      </c>
      <c r="J57" s="8">
        <f>IF(Projects!$G$12="Yes",4736.84,0)</f>
        <v>4736.84</v>
      </c>
      <c r="K57" s="8">
        <f>IF(Projects!$G$12="Yes",4736.84,0)</f>
        <v>4736.84</v>
      </c>
      <c r="L57" s="8">
        <f>IF(Projects!$G$12="Yes",4736.84,0)</f>
        <v>4736.84</v>
      </c>
      <c r="M57" s="8">
        <f>IF(Projects!$G$12="Yes",4736.84,0)</f>
        <v>4736.84</v>
      </c>
      <c r="N57" s="8">
        <f>IF(Projects!$G$12="Yes",4736.84,0)</f>
        <v>4736.84</v>
      </c>
      <c r="O57" s="8">
        <f>IF(Projects!$G$12="Yes",4736.84,0)</f>
        <v>4736.84</v>
      </c>
      <c r="P57" s="8">
        <f>IF(Projects!$G$12="Yes",4736.84,0)</f>
        <v>4736.84</v>
      </c>
      <c r="Q57" s="8">
        <f>IF(Projects!$G$12="Yes",4736.84,0)</f>
        <v>4736.84</v>
      </c>
      <c r="R57" s="8">
        <f>IF(Projects!$G$12="Yes",4736.84,0)</f>
        <v>4736.84</v>
      </c>
      <c r="S57" s="8">
        <f>IF(Projects!$G$12="Yes",4736.84,0)</f>
        <v>4736.84</v>
      </c>
      <c r="T57" s="8">
        <f>IF(Projects!$G$12="Yes",4736.84,0)</f>
        <v>4736.84</v>
      </c>
      <c r="U57" s="8">
        <f>IF(Projects!$G$12="Yes",4736.84,0)</f>
        <v>4736.84</v>
      </c>
      <c r="V57" s="8">
        <f>IF(Projects!$G$12="Yes",4736.84,0)</f>
        <v>4736.84</v>
      </c>
      <c r="W57" s="8">
        <f>IF(Projects!$G$12="Yes",4736.84,0)</f>
        <v>4736.84</v>
      </c>
      <c r="X57" s="8">
        <f>IF(Projects!$G$12="Yes",4736.84,0)</f>
        <v>4736.84</v>
      </c>
      <c r="Y57" s="8">
        <f>IF(Projects!$G$12="Yes",4736.84,0)</f>
        <v>4736.84</v>
      </c>
      <c r="Z57" s="8">
        <f>IF(Projects!$G$12="Yes",4736.84,0)</f>
        <v>4736.84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156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IF(Projects!$G$12="Yes",181745,0)</f>
        <v>181745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157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f>IF(Projects!$G$7="Yes",81683,0)</f>
        <v>81683</v>
      </c>
      <c r="AS59" s="8">
        <v>0</v>
      </c>
      <c r="AT59" s="8">
        <v>0</v>
      </c>
      <c r="AU59" s="8">
        <f>IF(Projects!$G$7="Yes",81682,0)</f>
        <v>81682</v>
      </c>
      <c r="AV59" s="8">
        <v>0</v>
      </c>
      <c r="AW59" s="8">
        <v>0</v>
      </c>
      <c r="AX59" s="8">
        <f>IF(Projects!$G$7="Yes",81682,0)</f>
        <v>81682</v>
      </c>
      <c r="AY59" s="8">
        <v>0</v>
      </c>
      <c r="AZ59" s="8">
        <v>0</v>
      </c>
      <c r="BA59" s="8">
        <f>IF(Projects!$G$7="Yes",81682,0)</f>
        <v>81682</v>
      </c>
      <c r="BB59" s="8">
        <v>0</v>
      </c>
      <c r="BC59" s="8">
        <v>0</v>
      </c>
      <c r="BD59" s="8">
        <f>IF(Projects!$G$7="Yes",59178,0)</f>
        <v>59178</v>
      </c>
      <c r="BE59" s="8">
        <v>0</v>
      </c>
      <c r="BF59" s="8">
        <v>0</v>
      </c>
      <c r="BG59" s="8">
        <f>IF(Projects!$G$7="Yes",59176,0)</f>
        <v>59176</v>
      </c>
      <c r="BH59" s="8">
        <v>0</v>
      </c>
      <c r="BI59" s="8">
        <v>0</v>
      </c>
      <c r="BJ59" s="8">
        <f>IF(Projects!$G$7="Yes",59176,0)</f>
        <v>59176</v>
      </c>
      <c r="BK59" s="8">
        <v>0</v>
      </c>
      <c r="BL59" s="8">
        <v>0</v>
      </c>
      <c r="BM59" s="8">
        <f>IF(Projects!$G$7="Yes",59176,0)</f>
        <v>59176</v>
      </c>
      <c r="BN59" s="8">
        <v>0</v>
      </c>
      <c r="BO59" s="8">
        <v>0</v>
      </c>
      <c r="BP59" s="8">
        <f>IF(Projects!$G$7="Yes",67763,0)</f>
        <v>67763</v>
      </c>
      <c r="BQ59" s="8">
        <v>0</v>
      </c>
      <c r="BR59" s="8">
        <v>0</v>
      </c>
      <c r="BS59" s="8">
        <f>IF(Projects!$G$7="Yes",67762,0)</f>
        <v>67762</v>
      </c>
      <c r="BT59" s="8">
        <v>0</v>
      </c>
      <c r="BU59" s="8">
        <v>0</v>
      </c>
      <c r="BV59" s="8">
        <f>IF(Projects!$G$7="Yes",67762,0)</f>
        <v>67762</v>
      </c>
      <c r="BW59" s="8">
        <v>0</v>
      </c>
      <c r="BX59" s="8">
        <v>0</v>
      </c>
      <c r="BY59" s="8">
        <f>IF(Projects!$G$7="Yes",67762,0)</f>
        <v>67762</v>
      </c>
      <c r="BZ59" s="8">
        <v>0</v>
      </c>
      <c r="CA59" s="8">
        <v>0</v>
      </c>
      <c r="CB59" s="8">
        <f>IF(Projects!$G$7="Yes",76499,0)</f>
        <v>76499</v>
      </c>
      <c r="CC59" s="8">
        <v>0</v>
      </c>
      <c r="CD59" s="8">
        <v>0</v>
      </c>
      <c r="CE59" s="8">
        <f>IF(Projects!$G$7="Yes",76499,0)</f>
        <v>76499</v>
      </c>
      <c r="CF59" s="8">
        <v>0</v>
      </c>
      <c r="CG59" s="8">
        <v>0</v>
      </c>
      <c r="CH59" s="8">
        <f>IF(Projects!$G$7="Yes",76499,0)</f>
        <v>76499</v>
      </c>
      <c r="CI59" s="23"/>
    </row>
    <row r="60" spans="1:87" ht="15" customHeight="1" x14ac:dyDescent="0.25">
      <c r="A60" s="7" t="s">
        <v>158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>
        <v>0</v>
      </c>
      <c r="AZ60" s="8">
        <v>0</v>
      </c>
      <c r="BA60" s="8">
        <f>IF(Projects!$G$13="Yes",851839,0)</f>
        <v>851839</v>
      </c>
      <c r="BB60" s="8">
        <v>0</v>
      </c>
      <c r="BC60" s="8">
        <v>0</v>
      </c>
      <c r="BD60" s="8">
        <f>IF(Projects!$G$13="Yes",71700,0)</f>
        <v>71700</v>
      </c>
      <c r="BE60" s="8">
        <v>0</v>
      </c>
      <c r="BF60" s="8">
        <v>0</v>
      </c>
      <c r="BG60" s="8">
        <f>IF(Projects!$G$13="Yes",71700,0)</f>
        <v>71700</v>
      </c>
      <c r="BH60" s="8">
        <v>0</v>
      </c>
      <c r="BI60" s="8">
        <v>0</v>
      </c>
      <c r="BJ60" s="8">
        <f>IF(Projects!$G$13="Yes",71700,0)</f>
        <v>71700</v>
      </c>
      <c r="BK60" s="8">
        <v>0</v>
      </c>
      <c r="BL60" s="8">
        <v>0</v>
      </c>
      <c r="BM60" s="8">
        <f>IF(Projects!$G$13="Yes",71700,0)</f>
        <v>71700</v>
      </c>
      <c r="BN60" s="8">
        <v>0</v>
      </c>
      <c r="BO60" s="8">
        <v>0</v>
      </c>
      <c r="BP60" s="8">
        <f>IF(Projects!$G$13="Yes",74643,0)</f>
        <v>74643</v>
      </c>
      <c r="BQ60" s="8">
        <v>0</v>
      </c>
      <c r="BR60" s="8">
        <v>0</v>
      </c>
      <c r="BS60" s="8">
        <f>IF(Projects!$G$13="Yes",74640,0)</f>
        <v>74640</v>
      </c>
      <c r="BT60" s="8">
        <v>0</v>
      </c>
      <c r="BU60" s="8">
        <v>0</v>
      </c>
      <c r="BV60" s="8">
        <f>IF(Projects!$G$13="Yes",74640,0)</f>
        <v>74640</v>
      </c>
      <c r="BW60" s="8">
        <v>0</v>
      </c>
      <c r="BX60" s="8">
        <v>0</v>
      </c>
      <c r="BY60" s="8">
        <f>IF(Projects!$G$13="Yes",74640,0)</f>
        <v>74640</v>
      </c>
      <c r="BZ60" s="8">
        <v>0</v>
      </c>
      <c r="CA60" s="8">
        <v>0</v>
      </c>
      <c r="CB60" s="8">
        <f>IF(Projects!$G$13="Yes",81363,0)</f>
        <v>81363</v>
      </c>
      <c r="CC60" s="8">
        <v>0</v>
      </c>
      <c r="CD60" s="8">
        <v>0</v>
      </c>
      <c r="CE60" s="8">
        <f>IF(Projects!$G$13="Yes",81362,0)</f>
        <v>81362</v>
      </c>
      <c r="CF60" s="8">
        <v>0</v>
      </c>
      <c r="CG60" s="8">
        <v>0</v>
      </c>
      <c r="CH60" s="8">
        <f>IF(Projects!$G$13="Yes",81362,0)</f>
        <v>81362</v>
      </c>
      <c r="CI60" s="23"/>
    </row>
    <row r="61" spans="1:87" ht="15" customHeight="1" x14ac:dyDescent="0.25">
      <c r="A61" s="7" t="s">
        <v>159</v>
      </c>
      <c r="B61" s="7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f>IF(Projects!$G$14="Yes",73156,0)</f>
        <v>73156</v>
      </c>
      <c r="BZ61" s="8">
        <v>0</v>
      </c>
      <c r="CA61" s="8">
        <v>0</v>
      </c>
      <c r="CB61" s="8">
        <f>IF(Projects!$G$14="Yes",73155,0)</f>
        <v>73155</v>
      </c>
      <c r="CC61" s="8">
        <v>0</v>
      </c>
      <c r="CD61" s="8">
        <v>0</v>
      </c>
      <c r="CE61" s="8">
        <f>IF(Projects!$G$14="Yes",73155,0)</f>
        <v>73155</v>
      </c>
      <c r="CF61" s="8">
        <v>0</v>
      </c>
      <c r="CG61" s="8">
        <v>0</v>
      </c>
      <c r="CH61" s="8">
        <f>IF(Projects!$G$14="Yes",73155,0)</f>
        <v>73155</v>
      </c>
      <c r="CI61" s="23"/>
    </row>
    <row r="62" spans="1:87" ht="15" customHeight="1" x14ac:dyDescent="0.25">
      <c r="A62" s="7" t="s">
        <v>160</v>
      </c>
      <c r="B62" s="31"/>
      <c r="C62" s="8">
        <f>IF(Uplifters!$B$2="Yes",Uplifters!C107,0)</f>
        <v>0</v>
      </c>
      <c r="D62" s="8">
        <f>IF(Uplifters!$B$2="Yes",Uplifters!D107,0)</f>
        <v>0</v>
      </c>
      <c r="E62" s="8">
        <f>IF(Uplifters!$B$2="Yes",Uplifters!E107,0)</f>
        <v>0</v>
      </c>
      <c r="F62" s="8">
        <f>IF(Uplifters!$B$2="Yes",Uplifters!F107,0)</f>
        <v>0</v>
      </c>
      <c r="G62" s="8">
        <f>IF(Uplifters!$B$2="Yes",Uplifters!G107,0)</f>
        <v>0</v>
      </c>
      <c r="H62" s="8">
        <f>IF(Uplifters!$B$2="Yes",Uplifters!H107,0)</f>
        <v>0</v>
      </c>
      <c r="I62" s="8">
        <f>IF(Uplifters!$B$2="Yes",Uplifters!I107,0)</f>
        <v>0</v>
      </c>
      <c r="J62" s="8">
        <f>IF(Uplifters!$B$2="Yes",Uplifters!J107,0)</f>
        <v>0</v>
      </c>
      <c r="K62" s="8">
        <f>IF(Uplifters!$B$2="Yes",Uplifters!K107,0)</f>
        <v>0</v>
      </c>
      <c r="L62" s="8">
        <f>IF(Uplifters!$B$2="Yes",Uplifters!L107,0)</f>
        <v>0</v>
      </c>
      <c r="M62" s="8">
        <f>IF(Uplifters!$B$2="Yes",Uplifters!M107,0)</f>
        <v>0</v>
      </c>
      <c r="N62" s="8">
        <f>IF(Uplifters!$B$2="Yes",Uplifters!N107,0)</f>
        <v>0</v>
      </c>
      <c r="O62" s="8">
        <f>IF(Uplifters!$B$2="Yes",Uplifters!O107,0)</f>
        <v>0</v>
      </c>
      <c r="P62" s="8">
        <f>IF(Uplifters!$B$2="Yes",Uplifters!P107,0)</f>
        <v>0</v>
      </c>
      <c r="Q62" s="8">
        <f>IF(Uplifters!$B$2="Yes",Uplifters!Q107,0)</f>
        <v>0</v>
      </c>
      <c r="R62" s="8">
        <f>IF(Uplifters!$B$2="Yes",Uplifters!R107,0)</f>
        <v>0</v>
      </c>
      <c r="S62" s="8">
        <f>IF(Uplifters!$B$2="Yes",Uplifters!S107,0)</f>
        <v>0</v>
      </c>
      <c r="T62" s="8">
        <f>IF(Uplifters!$B$2="Yes",Uplifters!T107,0)</f>
        <v>0</v>
      </c>
      <c r="U62" s="8">
        <f>IF(Uplifters!$B$2="Yes",Uplifters!U107,0)</f>
        <v>0</v>
      </c>
      <c r="V62" s="8">
        <f>IF(Uplifters!$B$2="Yes",Uplifters!V107,0)</f>
        <v>0</v>
      </c>
      <c r="W62" s="8">
        <f>IF(Uplifters!$B$2="Yes",Uplifters!W107,0)</f>
        <v>0</v>
      </c>
      <c r="X62" s="8">
        <f>IF(Uplifters!$B$2="Yes",Uplifters!X107,0)</f>
        <v>0</v>
      </c>
      <c r="Y62" s="8">
        <f>IF(Uplifters!$B$2="Yes",Uplifters!Y107,0)</f>
        <v>0</v>
      </c>
      <c r="Z62" s="8">
        <f>IF(Uplifters!$B$2="Yes",Uplifters!Z107,0)</f>
        <v>0</v>
      </c>
      <c r="AA62" s="8">
        <f>IF(Uplifters!$B$2="Yes",Uplifters!AA107,0)</f>
        <v>0</v>
      </c>
      <c r="AB62" s="8">
        <f>IF(Uplifters!$B$2="Yes",Uplifters!AB107,0)</f>
        <v>0</v>
      </c>
      <c r="AC62" s="8">
        <f>IF(Uplifters!$B$2="Yes",Uplifters!AC107,0)</f>
        <v>0</v>
      </c>
      <c r="AD62" s="8">
        <f>IF(Uplifters!$B$2="Yes",Uplifters!AD107,0)</f>
        <v>0</v>
      </c>
      <c r="AE62" s="8">
        <f>IF(Uplifters!$B$2="Yes",Uplifters!AE107,0)</f>
        <v>0</v>
      </c>
      <c r="AF62" s="8">
        <f>IF(Uplifters!$B$2="Yes",Uplifters!AF107,0)</f>
        <v>0</v>
      </c>
      <c r="AG62" s="8">
        <f>IF(Uplifters!$B$2="Yes",Uplifters!AG107,0)</f>
        <v>0</v>
      </c>
      <c r="AH62" s="8">
        <f>IF(Uplifters!$B$2="Yes",Uplifters!AH107,0)</f>
        <v>0</v>
      </c>
      <c r="AI62" s="8">
        <f>IF(Uplifters!$B$2="Yes",Uplifters!AI107,0)</f>
        <v>0</v>
      </c>
      <c r="AJ62" s="8">
        <f>IF(Uplifters!$B$2="Yes",Uplifters!AJ107,0)</f>
        <v>0</v>
      </c>
      <c r="AK62" s="8">
        <f>IF(Uplifters!$B$2="Yes",Uplifters!AK107,0)</f>
        <v>0</v>
      </c>
      <c r="AL62" s="8">
        <f>IF(Uplifters!$B$2="Yes",Uplifters!AL107,0)</f>
        <v>0</v>
      </c>
      <c r="AM62" s="8">
        <f>IF(Uplifters!$B$2="Yes",Uplifters!AM107,0)</f>
        <v>0</v>
      </c>
      <c r="AN62" s="8">
        <f>IF(Uplifters!$B$2="Yes",Uplifters!AN107,0)</f>
        <v>0</v>
      </c>
      <c r="AO62" s="8">
        <f>IF(Uplifters!$B$2="Yes",Uplifters!AO107,0)</f>
        <v>0</v>
      </c>
      <c r="AP62" s="8">
        <f>IF(Uplifters!$B$2="Yes",Uplifters!AP107,0)</f>
        <v>0</v>
      </c>
      <c r="AQ62" s="8">
        <f>IF(Uplifters!$B$2="Yes",Uplifters!AQ107,0)</f>
        <v>0</v>
      </c>
      <c r="AR62" s="8">
        <f>IF(Uplifters!$B$2="Yes",Uplifters!AR107,0)</f>
        <v>0</v>
      </c>
      <c r="AS62" s="8">
        <f>IF(Uplifters!$B$2="Yes",Uplifters!AS107,0)</f>
        <v>0</v>
      </c>
      <c r="AT62" s="8">
        <f>IF(Uplifters!$B$2="Yes",Uplifters!AT107,0)</f>
        <v>0</v>
      </c>
      <c r="AU62" s="8">
        <f>IF(Uplifters!$B$2="Yes",Uplifters!AU107,0)</f>
        <v>0</v>
      </c>
      <c r="AV62" s="8">
        <f>IF(Uplifters!$B$2="Yes",Uplifters!AV107,0)</f>
        <v>0</v>
      </c>
      <c r="AW62" s="8">
        <f>IF(Uplifters!$B$2="Yes",Uplifters!AW107,0)</f>
        <v>0</v>
      </c>
      <c r="AX62" s="8">
        <f>IF(Uplifters!$B$2="Yes",Uplifters!AX107,0)</f>
        <v>0</v>
      </c>
      <c r="AY62" s="8">
        <f>IF(Uplifters!$B$2="Yes",Uplifters!AY107,0)</f>
        <v>0</v>
      </c>
      <c r="AZ62" s="8">
        <f>IF(Uplifters!$B$2="Yes",Uplifters!AZ107,0)</f>
        <v>0</v>
      </c>
      <c r="BA62" s="8">
        <f>IF(Uplifters!$B$2="Yes",Uplifters!BA107,0)</f>
        <v>0</v>
      </c>
      <c r="BB62" s="8">
        <f>IF(Uplifters!$B$2="Yes",Uplifters!BB107,0)</f>
        <v>0</v>
      </c>
      <c r="BC62" s="8">
        <f>IF(Uplifters!$B$2="Yes",Uplifters!BC107,0)</f>
        <v>0</v>
      </c>
      <c r="BD62" s="8">
        <f>IF(Uplifters!$B$2="Yes",Uplifters!BD107,0)</f>
        <v>0</v>
      </c>
      <c r="BE62" s="8">
        <f>IF(Uplifters!$B$2="Yes",Uplifters!BE107,0)</f>
        <v>0</v>
      </c>
      <c r="BF62" s="8">
        <f>IF(Uplifters!$B$2="Yes",Uplifters!BF107,0)</f>
        <v>0</v>
      </c>
      <c r="BG62" s="8">
        <f>IF(Uplifters!$B$2="Yes",Uplifters!BG107,0)</f>
        <v>0</v>
      </c>
      <c r="BH62" s="8">
        <f>IF(Uplifters!$B$2="Yes",Uplifters!BH107,0)</f>
        <v>0</v>
      </c>
      <c r="BI62" s="8">
        <f>IF(Uplifters!$B$2="Yes",Uplifters!BI107,0)</f>
        <v>0</v>
      </c>
      <c r="BJ62" s="8">
        <f>IF(Uplifters!$B$2="Yes",Uplifters!BJ107,0)</f>
        <v>0</v>
      </c>
      <c r="BK62" s="8">
        <f>IF(Uplifters!$B$2="Yes",Uplifters!BK107,0)</f>
        <v>0</v>
      </c>
      <c r="BL62" s="8">
        <f>IF(Uplifters!$B$2="Yes",Uplifters!BL107,0)</f>
        <v>0</v>
      </c>
      <c r="BM62" s="8">
        <f>IF(Uplifters!$B$2="Yes",Uplifters!BM107,0)</f>
        <v>0</v>
      </c>
      <c r="BN62" s="8">
        <f>IF(Uplifters!$B$2="Yes",Uplifters!BN107,0)</f>
        <v>0</v>
      </c>
      <c r="BO62" s="8">
        <f>IF(Uplifters!$B$2="Yes",Uplifters!BO107,0)</f>
        <v>0</v>
      </c>
      <c r="BP62" s="8">
        <f>IF(Uplifters!$B$2="Yes",Uplifters!BP107,0)</f>
        <v>0</v>
      </c>
      <c r="BQ62" s="8">
        <f>IF(Uplifters!$B$2="Yes",Uplifters!BQ107,0)</f>
        <v>0</v>
      </c>
      <c r="BR62" s="8">
        <f>IF(Uplifters!$B$2="Yes",Uplifters!BR107,0)</f>
        <v>0</v>
      </c>
      <c r="BS62" s="8">
        <f>IF(Uplifters!$B$2="Yes",Uplifters!BS107,0)</f>
        <v>0</v>
      </c>
      <c r="BT62" s="8">
        <f>IF(Uplifters!$B$2="Yes",Uplifters!BT107,0)</f>
        <v>0</v>
      </c>
      <c r="BU62" s="8">
        <f>IF(Uplifters!$B$2="Yes",Uplifters!BU107,0)</f>
        <v>0</v>
      </c>
      <c r="BV62" s="8">
        <f>IF(Uplifters!$B$2="Yes",Uplifters!BV107,0)</f>
        <v>0</v>
      </c>
      <c r="BW62" s="8">
        <f>IF(Uplifters!$B$2="Yes",Uplifters!BW107,0)</f>
        <v>0</v>
      </c>
      <c r="BX62" s="8">
        <f>IF(Uplifters!$B$2="Yes",Uplifters!BX107,0)</f>
        <v>0</v>
      </c>
      <c r="BY62" s="8">
        <f>IF(Uplifters!$B$2="Yes",Uplifters!BY107,0)</f>
        <v>0</v>
      </c>
      <c r="BZ62" s="8">
        <f>IF(Uplifters!$B$2="Yes",Uplifters!BZ107,0)</f>
        <v>0</v>
      </c>
      <c r="CA62" s="8">
        <f>IF(Uplifters!$B$2="Yes",Uplifters!CA107,0)</f>
        <v>0</v>
      </c>
      <c r="CB62" s="8">
        <f>IF(Uplifters!$B$2="Yes",Uplifters!CB107,0)</f>
        <v>0</v>
      </c>
      <c r="CC62" s="8">
        <f>IF(Uplifters!$B$2="Yes",Uplifters!CC107,0)</f>
        <v>0</v>
      </c>
      <c r="CD62" s="8">
        <f>IF(Uplifters!$B$2="Yes",Uplifters!CD107,0)</f>
        <v>0</v>
      </c>
      <c r="CE62" s="8">
        <f>IF(Uplifters!$B$2="Yes",Uplifters!CE107,0)</f>
        <v>0</v>
      </c>
      <c r="CF62" s="8">
        <f>IF(Uplifters!$B$2="Yes",Uplifters!CF107,0)</f>
        <v>0</v>
      </c>
      <c r="CG62" s="8">
        <f>IF(Uplifters!$B$2="Yes",Uplifters!CG107,0)</f>
        <v>0</v>
      </c>
      <c r="CH62" s="8">
        <f>IF(Uplifters!$B$2="Yes",Uplifters!CH107,0)</f>
        <v>0</v>
      </c>
      <c r="CI62" s="23"/>
    </row>
    <row r="63" spans="1:87" ht="15" customHeight="1" x14ac:dyDescent="0.25">
      <c r="A63" s="9" t="s">
        <v>161</v>
      </c>
      <c r="B63" s="28"/>
      <c r="C63" s="32">
        <f t="shared" ref="C63:AH63" si="12">SUM(C46:C62)</f>
        <v>43614.58</v>
      </c>
      <c r="D63" s="32">
        <f t="shared" si="12"/>
        <v>43614.58</v>
      </c>
      <c r="E63" s="32">
        <f t="shared" si="12"/>
        <v>43614.58</v>
      </c>
      <c r="F63" s="32">
        <f t="shared" si="12"/>
        <v>43614.58</v>
      </c>
      <c r="G63" s="32">
        <f t="shared" si="12"/>
        <v>310226.16000000003</v>
      </c>
      <c r="H63" s="32">
        <f t="shared" si="12"/>
        <v>248210.46000000002</v>
      </c>
      <c r="I63" s="32">
        <f t="shared" si="12"/>
        <v>66465.460000000006</v>
      </c>
      <c r="J63" s="32">
        <f t="shared" si="12"/>
        <v>57090.460000000006</v>
      </c>
      <c r="K63" s="32">
        <f t="shared" si="12"/>
        <v>57090.460000000006</v>
      </c>
      <c r="L63" s="32">
        <f t="shared" si="12"/>
        <v>57090.460000000006</v>
      </c>
      <c r="M63" s="32">
        <f t="shared" si="12"/>
        <v>57090.460000000006</v>
      </c>
      <c r="N63" s="32">
        <f t="shared" si="12"/>
        <v>57090.460000000006</v>
      </c>
      <c r="O63" s="32">
        <f t="shared" si="12"/>
        <v>57090.460000000006</v>
      </c>
      <c r="P63" s="32">
        <f t="shared" si="12"/>
        <v>57090.460000000006</v>
      </c>
      <c r="Q63" s="32">
        <f t="shared" si="12"/>
        <v>57090.460000000006</v>
      </c>
      <c r="R63" s="32">
        <f t="shared" si="12"/>
        <v>33184.210000000006</v>
      </c>
      <c r="S63" s="32">
        <f t="shared" si="12"/>
        <v>33184.210000000006</v>
      </c>
      <c r="T63" s="32">
        <f t="shared" si="12"/>
        <v>33184.210000000006</v>
      </c>
      <c r="U63" s="32">
        <f t="shared" si="12"/>
        <v>33184.210000000006</v>
      </c>
      <c r="V63" s="32">
        <f t="shared" si="12"/>
        <v>33184.210000000006</v>
      </c>
      <c r="W63" s="32">
        <f t="shared" si="12"/>
        <v>90559.209999999977</v>
      </c>
      <c r="X63" s="32">
        <f t="shared" si="12"/>
        <v>33184.210000000006</v>
      </c>
      <c r="Y63" s="32">
        <f t="shared" si="12"/>
        <v>33184.210000000006</v>
      </c>
      <c r="Z63" s="32">
        <f t="shared" si="12"/>
        <v>77927.62999999999</v>
      </c>
      <c r="AA63" s="32">
        <f t="shared" si="12"/>
        <v>9500</v>
      </c>
      <c r="AB63" s="32">
        <f t="shared" si="12"/>
        <v>9500</v>
      </c>
      <c r="AC63" s="32">
        <f t="shared" si="12"/>
        <v>66875</v>
      </c>
      <c r="AD63" s="32">
        <f t="shared" si="12"/>
        <v>9500</v>
      </c>
      <c r="AE63" s="32">
        <f t="shared" si="12"/>
        <v>9500</v>
      </c>
      <c r="AF63" s="32">
        <f t="shared" si="12"/>
        <v>9500</v>
      </c>
      <c r="AG63" s="32">
        <f t="shared" si="12"/>
        <v>0</v>
      </c>
      <c r="AH63" s="32">
        <f t="shared" si="12"/>
        <v>0</v>
      </c>
      <c r="AI63" s="32">
        <f t="shared" ref="AI63:BN63" si="13">SUM(AI46:AI62)</f>
        <v>0</v>
      </c>
      <c r="AJ63" s="32">
        <f t="shared" si="13"/>
        <v>0</v>
      </c>
      <c r="AK63" s="32">
        <f t="shared" si="13"/>
        <v>0</v>
      </c>
      <c r="AL63" s="32">
        <f t="shared" si="13"/>
        <v>0</v>
      </c>
      <c r="AM63" s="32">
        <f t="shared" si="13"/>
        <v>0</v>
      </c>
      <c r="AN63" s="32">
        <f t="shared" si="13"/>
        <v>0</v>
      </c>
      <c r="AO63" s="32">
        <f t="shared" si="13"/>
        <v>0</v>
      </c>
      <c r="AP63" s="32">
        <f t="shared" si="13"/>
        <v>0</v>
      </c>
      <c r="AQ63" s="32">
        <f t="shared" si="13"/>
        <v>0</v>
      </c>
      <c r="AR63" s="32">
        <f t="shared" si="13"/>
        <v>81683</v>
      </c>
      <c r="AS63" s="32">
        <f t="shared" si="13"/>
        <v>0</v>
      </c>
      <c r="AT63" s="32">
        <f t="shared" si="13"/>
        <v>0</v>
      </c>
      <c r="AU63" s="32">
        <f t="shared" si="13"/>
        <v>81682</v>
      </c>
      <c r="AV63" s="32">
        <f t="shared" si="13"/>
        <v>0</v>
      </c>
      <c r="AW63" s="32">
        <f t="shared" si="13"/>
        <v>0</v>
      </c>
      <c r="AX63" s="32">
        <f t="shared" si="13"/>
        <v>81682</v>
      </c>
      <c r="AY63" s="32">
        <f t="shared" si="13"/>
        <v>0</v>
      </c>
      <c r="AZ63" s="32">
        <f t="shared" si="13"/>
        <v>0</v>
      </c>
      <c r="BA63" s="32">
        <f t="shared" si="13"/>
        <v>933521</v>
      </c>
      <c r="BB63" s="32">
        <f t="shared" si="13"/>
        <v>0</v>
      </c>
      <c r="BC63" s="32">
        <f t="shared" si="13"/>
        <v>0</v>
      </c>
      <c r="BD63" s="32">
        <f t="shared" si="13"/>
        <v>130878</v>
      </c>
      <c r="BE63" s="32">
        <f t="shared" si="13"/>
        <v>0</v>
      </c>
      <c r="BF63" s="32">
        <f t="shared" si="13"/>
        <v>0</v>
      </c>
      <c r="BG63" s="32">
        <f t="shared" si="13"/>
        <v>130876</v>
      </c>
      <c r="BH63" s="32">
        <f t="shared" si="13"/>
        <v>0</v>
      </c>
      <c r="BI63" s="32">
        <f t="shared" si="13"/>
        <v>0</v>
      </c>
      <c r="BJ63" s="32">
        <f t="shared" si="13"/>
        <v>130876</v>
      </c>
      <c r="BK63" s="32">
        <f t="shared" si="13"/>
        <v>0</v>
      </c>
      <c r="BL63" s="32">
        <f t="shared" si="13"/>
        <v>0</v>
      </c>
      <c r="BM63" s="32">
        <f t="shared" si="13"/>
        <v>130876</v>
      </c>
      <c r="BN63" s="32">
        <f t="shared" si="13"/>
        <v>0</v>
      </c>
      <c r="BO63" s="32">
        <f t="shared" ref="BO63:CH63" si="14">SUM(BO46:BO62)</f>
        <v>0</v>
      </c>
      <c r="BP63" s="32">
        <f t="shared" si="14"/>
        <v>142406</v>
      </c>
      <c r="BQ63" s="32">
        <f t="shared" si="14"/>
        <v>0</v>
      </c>
      <c r="BR63" s="32">
        <f t="shared" si="14"/>
        <v>0</v>
      </c>
      <c r="BS63" s="32">
        <f t="shared" si="14"/>
        <v>142402</v>
      </c>
      <c r="BT63" s="32">
        <f t="shared" si="14"/>
        <v>0</v>
      </c>
      <c r="BU63" s="32">
        <f t="shared" si="14"/>
        <v>0</v>
      </c>
      <c r="BV63" s="32">
        <f t="shared" si="14"/>
        <v>142402</v>
      </c>
      <c r="BW63" s="32">
        <f t="shared" si="14"/>
        <v>0</v>
      </c>
      <c r="BX63" s="32">
        <f t="shared" si="14"/>
        <v>0</v>
      </c>
      <c r="BY63" s="32">
        <f t="shared" si="14"/>
        <v>215558</v>
      </c>
      <c r="BZ63" s="32">
        <f t="shared" si="14"/>
        <v>0</v>
      </c>
      <c r="CA63" s="32">
        <f t="shared" si="14"/>
        <v>0</v>
      </c>
      <c r="CB63" s="32">
        <f t="shared" si="14"/>
        <v>231017</v>
      </c>
      <c r="CC63" s="32">
        <f t="shared" si="14"/>
        <v>0</v>
      </c>
      <c r="CD63" s="32">
        <f t="shared" si="14"/>
        <v>0</v>
      </c>
      <c r="CE63" s="32">
        <f t="shared" si="14"/>
        <v>231016</v>
      </c>
      <c r="CF63" s="32">
        <f t="shared" si="14"/>
        <v>0</v>
      </c>
      <c r="CG63" s="32">
        <f t="shared" si="14"/>
        <v>0</v>
      </c>
      <c r="CH63" s="32">
        <f t="shared" si="14"/>
        <v>231016</v>
      </c>
      <c r="CI63" s="23"/>
    </row>
    <row r="64" spans="1:87" ht="15" customHeight="1" x14ac:dyDescent="0.25">
      <c r="A64" s="6" t="s">
        <v>82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23"/>
    </row>
    <row r="65" spans="1:87" ht="15" customHeight="1" x14ac:dyDescent="0.25">
      <c r="A65" s="7" t="s">
        <v>162</v>
      </c>
      <c r="B65" s="22"/>
      <c r="C65" s="8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-94333.333333333328</v>
      </c>
      <c r="D65" s="8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-94333.333333333328</v>
      </c>
      <c r="E65" s="8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-94333.333333333328</v>
      </c>
      <c r="F65" s="8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-94333.333333333328</v>
      </c>
      <c r="G65" s="8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-94333.333333333328</v>
      </c>
      <c r="H65" s="8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-94333.333333333328</v>
      </c>
      <c r="I65" s="8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-94333.333333333328</v>
      </c>
      <c r="J65" s="8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-94333.333333333328</v>
      </c>
      <c r="K65" s="8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-94333.333333333328</v>
      </c>
      <c r="L65" s="8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-94333.333333333328</v>
      </c>
      <c r="M65" s="8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-94333.333333333328</v>
      </c>
      <c r="N65" s="8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-94333.333333333328</v>
      </c>
      <c r="O65" s="8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8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8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8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8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8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8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8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8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8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8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8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8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8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8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8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8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8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8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8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8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8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8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8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8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-100107.28799999999</v>
      </c>
      <c r="AN65" s="8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-100107.28799999999</v>
      </c>
      <c r="AO65" s="8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-100107.28799999999</v>
      </c>
      <c r="AP65" s="8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-100107.28799999999</v>
      </c>
      <c r="AQ65" s="8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-100107.28799999999</v>
      </c>
      <c r="AR65" s="8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-100107.28799999999</v>
      </c>
      <c r="AS65" s="8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-100107.28799999999</v>
      </c>
      <c r="AT65" s="8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-100107.28799999999</v>
      </c>
      <c r="AU65" s="8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-100107.28799999999</v>
      </c>
      <c r="AV65" s="8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-100107.28799999999</v>
      </c>
      <c r="AW65" s="8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-100107.28799999999</v>
      </c>
      <c r="AX65" s="8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-100107.28799999999</v>
      </c>
      <c r="AY65" s="8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-102109.43375999999</v>
      </c>
      <c r="AZ65" s="8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-102109.43375999999</v>
      </c>
      <c r="BA65" s="8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-102109.43375999999</v>
      </c>
      <c r="BB65" s="8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-102109.43375999999</v>
      </c>
      <c r="BC65" s="8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-102109.43375999999</v>
      </c>
      <c r="BD65" s="8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-102109.43375999999</v>
      </c>
      <c r="BE65" s="8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-102109.43375999999</v>
      </c>
      <c r="BF65" s="8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-102109.43375999999</v>
      </c>
      <c r="BG65" s="8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-102109.43375999999</v>
      </c>
      <c r="BH65" s="8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-102109.43375999999</v>
      </c>
      <c r="BI65" s="8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-102109.43375999999</v>
      </c>
      <c r="BJ65" s="8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-102109.43375999999</v>
      </c>
      <c r="BK65" s="8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8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8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8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8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8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8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8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8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8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8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8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8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8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8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8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8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8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8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8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8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8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8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8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3"/>
    </row>
    <row r="66" spans="1:87" ht="15" customHeight="1" x14ac:dyDescent="0.25">
      <c r="A66" s="7" t="s">
        <v>163</v>
      </c>
      <c r="B66" s="22"/>
      <c r="C66" s="8">
        <f>-Helpers!C5*Assumptions!$B$20</f>
        <v>-3437.4999999999995</v>
      </c>
      <c r="D66" s="8">
        <f>-Helpers!D5*Assumptions!$B$20</f>
        <v>-3437.4999999999995</v>
      </c>
      <c r="E66" s="8">
        <f>-Helpers!E5*Assumptions!$B$20</f>
        <v>-3437.4999999999995</v>
      </c>
      <c r="F66" s="8">
        <f>-Helpers!F5*Assumptions!$B$20</f>
        <v>-3437.4999999999995</v>
      </c>
      <c r="G66" s="8">
        <f>-Helpers!G5*Assumptions!$B$20</f>
        <v>-3437.4999999999995</v>
      </c>
      <c r="H66" s="8">
        <f>-Helpers!H5*Assumptions!$B$20</f>
        <v>-3437.4999999999995</v>
      </c>
      <c r="I66" s="8">
        <f>-Helpers!I5*Assumptions!$B$20</f>
        <v>-3437.4999999999995</v>
      </c>
      <c r="J66" s="8">
        <f>-Helpers!J5*Assumptions!$B$20</f>
        <v>-3437.4999999999995</v>
      </c>
      <c r="K66" s="8">
        <f>-Helpers!K5*Assumptions!$B$20</f>
        <v>-3437.4999999999995</v>
      </c>
      <c r="L66" s="8">
        <f>-Helpers!L5*Assumptions!$B$20</f>
        <v>-3437.4999999999995</v>
      </c>
      <c r="M66" s="8">
        <f>-Helpers!M5*Assumptions!$B$20</f>
        <v>-3437.4999999999995</v>
      </c>
      <c r="N66" s="8">
        <f>-Helpers!N5*Assumptions!$B$20</f>
        <v>-3437.4999999999995</v>
      </c>
      <c r="O66" s="8">
        <f>-Helpers!O5*Assumptions!$B$20</f>
        <v>-3506.2499999999995</v>
      </c>
      <c r="P66" s="8">
        <f>-Helpers!P5*Assumptions!$B$20</f>
        <v>-3506.2499999999995</v>
      </c>
      <c r="Q66" s="8">
        <f>-Helpers!Q5*Assumptions!$B$20</f>
        <v>-3506.2499999999995</v>
      </c>
      <c r="R66" s="8">
        <f>-Helpers!R5*Assumptions!$B$20</f>
        <v>-3506.2499999999995</v>
      </c>
      <c r="S66" s="8">
        <f>-Helpers!S5*Assumptions!$B$20</f>
        <v>-3506.2499999999995</v>
      </c>
      <c r="T66" s="8">
        <f>-Helpers!T5*Assumptions!$B$20</f>
        <v>-3506.2499999999995</v>
      </c>
      <c r="U66" s="8">
        <f>-Helpers!U5*Assumptions!$B$20</f>
        <v>-3506.2499999999995</v>
      </c>
      <c r="V66" s="8">
        <f>-Helpers!V5*Assumptions!$B$20</f>
        <v>-3506.2499999999995</v>
      </c>
      <c r="W66" s="8">
        <f>-Helpers!W5*Assumptions!$B$20</f>
        <v>-3506.2499999999995</v>
      </c>
      <c r="X66" s="8">
        <f>-Helpers!X5*Assumptions!$B$20</f>
        <v>-3506.2499999999995</v>
      </c>
      <c r="Y66" s="8">
        <f>-Helpers!Y5*Assumptions!$B$20</f>
        <v>-3506.2499999999995</v>
      </c>
      <c r="Z66" s="8">
        <f>-Helpers!Z5*Assumptions!$B$20</f>
        <v>-3506.2499999999995</v>
      </c>
      <c r="AA66" s="8">
        <f>-Helpers!AA5*Assumptions!$B$20</f>
        <v>-3576.3749999999995</v>
      </c>
      <c r="AB66" s="8">
        <f>-Helpers!AB5*Assumptions!$B$20</f>
        <v>-3576.3749999999995</v>
      </c>
      <c r="AC66" s="8">
        <f>-Helpers!AC5*Assumptions!$B$20</f>
        <v>-3576.3749999999995</v>
      </c>
      <c r="AD66" s="8">
        <f>-Helpers!AD5*Assumptions!$B$20</f>
        <v>-3576.3749999999995</v>
      </c>
      <c r="AE66" s="8">
        <f>-Helpers!AE5*Assumptions!$B$20</f>
        <v>-3576.3749999999995</v>
      </c>
      <c r="AF66" s="8">
        <f>-Helpers!AF5*Assumptions!$B$20</f>
        <v>-3576.3749999999995</v>
      </c>
      <c r="AG66" s="8">
        <f>-Helpers!AG5*Assumptions!$B$20</f>
        <v>-3576.3749999999995</v>
      </c>
      <c r="AH66" s="8">
        <f>-Helpers!AH5*Assumptions!$B$20</f>
        <v>-3576.3749999999995</v>
      </c>
      <c r="AI66" s="8">
        <f>-Helpers!AI5*Assumptions!$B$20</f>
        <v>-3576.3749999999995</v>
      </c>
      <c r="AJ66" s="8">
        <f>-Helpers!AJ5*Assumptions!$B$20</f>
        <v>-3576.3749999999995</v>
      </c>
      <c r="AK66" s="8">
        <f>-Helpers!AK5*Assumptions!$B$20</f>
        <v>-3576.3749999999995</v>
      </c>
      <c r="AL66" s="8">
        <f>-Helpers!AL5*Assumptions!$B$20</f>
        <v>-3576.3749999999995</v>
      </c>
      <c r="AM66" s="8">
        <f>-Helpers!AM5*Assumptions!$B$20</f>
        <v>-3647.9024999999992</v>
      </c>
      <c r="AN66" s="8">
        <f>-Helpers!AN5*Assumptions!$B$20</f>
        <v>-3647.9024999999992</v>
      </c>
      <c r="AO66" s="8">
        <f>-Helpers!AO5*Assumptions!$B$20</f>
        <v>-3647.9024999999992</v>
      </c>
      <c r="AP66" s="8">
        <f>-Helpers!AP5*Assumptions!$B$20</f>
        <v>-3647.9024999999992</v>
      </c>
      <c r="AQ66" s="8">
        <f>-Helpers!AQ5*Assumptions!$B$20</f>
        <v>-3647.9024999999992</v>
      </c>
      <c r="AR66" s="8">
        <f>-Helpers!AR5*Assumptions!$B$20</f>
        <v>-3647.9024999999992</v>
      </c>
      <c r="AS66" s="8">
        <f>-Helpers!AS5*Assumptions!$B$20</f>
        <v>-3647.9024999999992</v>
      </c>
      <c r="AT66" s="8">
        <f>-Helpers!AT5*Assumptions!$B$20</f>
        <v>-3647.9024999999992</v>
      </c>
      <c r="AU66" s="8">
        <f>-Helpers!AU5*Assumptions!$B$20</f>
        <v>-3647.9024999999992</v>
      </c>
      <c r="AV66" s="8">
        <f>-Helpers!AV5*Assumptions!$B$20</f>
        <v>-3647.9024999999992</v>
      </c>
      <c r="AW66" s="8">
        <f>-Helpers!AW5*Assumptions!$B$20</f>
        <v>-3647.9024999999992</v>
      </c>
      <c r="AX66" s="8">
        <f>-Helpers!AX5*Assumptions!$B$20</f>
        <v>-3647.9024999999992</v>
      </c>
      <c r="AY66" s="8">
        <f>-Helpers!AY5*Assumptions!$B$20</f>
        <v>-3720.8605499999994</v>
      </c>
      <c r="AZ66" s="8">
        <f>-Helpers!AZ5*Assumptions!$B$20</f>
        <v>-3720.8605499999994</v>
      </c>
      <c r="BA66" s="8">
        <f>-Helpers!BA5*Assumptions!$B$20</f>
        <v>-3720.8605499999994</v>
      </c>
      <c r="BB66" s="8">
        <f>-Helpers!BB5*Assumptions!$B$20</f>
        <v>-3720.8605499999994</v>
      </c>
      <c r="BC66" s="8">
        <f>-Helpers!BC5*Assumptions!$B$20</f>
        <v>-3720.8605499999994</v>
      </c>
      <c r="BD66" s="8">
        <f>-Helpers!BD5*Assumptions!$B$20</f>
        <v>-3720.8605499999994</v>
      </c>
      <c r="BE66" s="8">
        <f>-Helpers!BE5*Assumptions!$B$20</f>
        <v>-3720.8605499999994</v>
      </c>
      <c r="BF66" s="8">
        <f>-Helpers!BF5*Assumptions!$B$20</f>
        <v>-3720.8605499999994</v>
      </c>
      <c r="BG66" s="8">
        <f>-Helpers!BG5*Assumptions!$B$20</f>
        <v>-3720.8605499999994</v>
      </c>
      <c r="BH66" s="8">
        <f>-Helpers!BH5*Assumptions!$B$20</f>
        <v>-3720.8605499999994</v>
      </c>
      <c r="BI66" s="8">
        <f>-Helpers!BI5*Assumptions!$B$20</f>
        <v>-3720.8605499999994</v>
      </c>
      <c r="BJ66" s="8">
        <f>-Helpers!BJ5*Assumptions!$B$20</f>
        <v>-3720.8605499999994</v>
      </c>
      <c r="BK66" s="8">
        <f>-Helpers!BK5*Assumptions!$B$20</f>
        <v>-3795.2777609999994</v>
      </c>
      <c r="BL66" s="8">
        <f>-Helpers!BL5*Assumptions!$B$20</f>
        <v>-3795.2777609999994</v>
      </c>
      <c r="BM66" s="8">
        <f>-Helpers!BM5*Assumptions!$B$20</f>
        <v>-3795.2777609999994</v>
      </c>
      <c r="BN66" s="8">
        <f>-Helpers!BN5*Assumptions!$B$20</f>
        <v>-3795.2777609999994</v>
      </c>
      <c r="BO66" s="8">
        <f>-Helpers!BO5*Assumptions!$B$20</f>
        <v>-3795.2777609999994</v>
      </c>
      <c r="BP66" s="8">
        <f>-Helpers!BP5*Assumptions!$B$20</f>
        <v>-3795.2777609999994</v>
      </c>
      <c r="BQ66" s="8">
        <f>-Helpers!BQ5*Assumptions!$B$20</f>
        <v>-3795.2777609999994</v>
      </c>
      <c r="BR66" s="8">
        <f>-Helpers!BR5*Assumptions!$B$20</f>
        <v>-3795.2777609999994</v>
      </c>
      <c r="BS66" s="8">
        <f>-Helpers!BS5*Assumptions!$B$20</f>
        <v>-3795.2777609999994</v>
      </c>
      <c r="BT66" s="8">
        <f>-Helpers!BT5*Assumptions!$B$20</f>
        <v>-3795.2777609999994</v>
      </c>
      <c r="BU66" s="8">
        <f>-Helpers!BU5*Assumptions!$B$20</f>
        <v>-3795.2777609999994</v>
      </c>
      <c r="BV66" s="8">
        <f>-Helpers!BV5*Assumptions!$B$20</f>
        <v>-3795.2777609999994</v>
      </c>
      <c r="BW66" s="8">
        <f>-Helpers!BW5*Assumptions!$B$20</f>
        <v>-3871.1833162199996</v>
      </c>
      <c r="BX66" s="8">
        <f>-Helpers!BX5*Assumptions!$B$20</f>
        <v>-3871.1833162199996</v>
      </c>
      <c r="BY66" s="8">
        <f>-Helpers!BY5*Assumptions!$B$20</f>
        <v>-3871.1833162199996</v>
      </c>
      <c r="BZ66" s="8">
        <f>-Helpers!BZ5*Assumptions!$B$20</f>
        <v>-3871.1833162199996</v>
      </c>
      <c r="CA66" s="8">
        <f>-Helpers!CA5*Assumptions!$B$20</f>
        <v>-3871.1833162199996</v>
      </c>
      <c r="CB66" s="8">
        <f>-Helpers!CB5*Assumptions!$B$20</f>
        <v>-3871.1833162199996</v>
      </c>
      <c r="CC66" s="8">
        <f>-Helpers!CC5*Assumptions!$B$20</f>
        <v>-3871.1833162199996</v>
      </c>
      <c r="CD66" s="8">
        <f>-Helpers!CD5*Assumptions!$B$20</f>
        <v>-3871.1833162199996</v>
      </c>
      <c r="CE66" s="8">
        <f>-Helpers!CE5*Assumptions!$B$20</f>
        <v>-3871.1833162199996</v>
      </c>
      <c r="CF66" s="8">
        <f>-Helpers!CF5*Assumptions!$B$20</f>
        <v>-3871.1833162199996</v>
      </c>
      <c r="CG66" s="8">
        <f>-Helpers!CG5*Assumptions!$B$20</f>
        <v>-3871.1833162199996</v>
      </c>
      <c r="CH66" s="8">
        <f>-Helpers!CH5*Assumptions!$B$20</f>
        <v>-3871.1833162199996</v>
      </c>
      <c r="CI66" s="23"/>
    </row>
    <row r="67" spans="1:87" ht="15" customHeight="1" x14ac:dyDescent="0.25">
      <c r="A67" s="7" t="s">
        <v>164</v>
      </c>
      <c r="B67" s="22"/>
      <c r="C67" s="8">
        <f>-Helpers!C5*Assumptions!$B$21</f>
        <v>-114.58333333333333</v>
      </c>
      <c r="D67" s="8">
        <f>-Helpers!D5*Assumptions!$B$21</f>
        <v>-114.58333333333333</v>
      </c>
      <c r="E67" s="8">
        <f>-Helpers!E5*Assumptions!$B$21</f>
        <v>-114.58333333333333</v>
      </c>
      <c r="F67" s="8">
        <f>-Helpers!F5*Assumptions!$B$21</f>
        <v>-114.58333333333333</v>
      </c>
      <c r="G67" s="8">
        <f>-Helpers!G5*Assumptions!$B$21</f>
        <v>-114.58333333333333</v>
      </c>
      <c r="H67" s="8">
        <f>-Helpers!H5*Assumptions!$B$21</f>
        <v>-114.58333333333333</v>
      </c>
      <c r="I67" s="8">
        <f>-Helpers!I5*Assumptions!$B$21</f>
        <v>-114.58333333333333</v>
      </c>
      <c r="J67" s="8">
        <f>-Helpers!J5*Assumptions!$B$21</f>
        <v>-114.58333333333333</v>
      </c>
      <c r="K67" s="8">
        <f>-Helpers!K5*Assumptions!$B$21</f>
        <v>-114.58333333333333</v>
      </c>
      <c r="L67" s="8">
        <f>-Helpers!L5*Assumptions!$B$21</f>
        <v>-114.58333333333333</v>
      </c>
      <c r="M67" s="8">
        <f>-Helpers!M5*Assumptions!$B$21</f>
        <v>-114.58333333333333</v>
      </c>
      <c r="N67" s="8">
        <f>-Helpers!N5*Assumptions!$B$21</f>
        <v>-114.58333333333333</v>
      </c>
      <c r="O67" s="8">
        <f>-Helpers!O5*Assumptions!$B$21</f>
        <v>-116.87499999999999</v>
      </c>
      <c r="P67" s="8">
        <f>-Helpers!P5*Assumptions!$B$21</f>
        <v>-116.87499999999999</v>
      </c>
      <c r="Q67" s="8">
        <f>-Helpers!Q5*Assumptions!$B$21</f>
        <v>-116.87499999999999</v>
      </c>
      <c r="R67" s="8">
        <f>-Helpers!R5*Assumptions!$B$21</f>
        <v>-116.87499999999999</v>
      </c>
      <c r="S67" s="8">
        <f>-Helpers!S5*Assumptions!$B$21</f>
        <v>-116.87499999999999</v>
      </c>
      <c r="T67" s="8">
        <f>-Helpers!T5*Assumptions!$B$21</f>
        <v>-116.87499999999999</v>
      </c>
      <c r="U67" s="8">
        <f>-Helpers!U5*Assumptions!$B$21</f>
        <v>-116.87499999999999</v>
      </c>
      <c r="V67" s="8">
        <f>-Helpers!V5*Assumptions!$B$21</f>
        <v>-116.87499999999999</v>
      </c>
      <c r="W67" s="8">
        <f>-Helpers!W5*Assumptions!$B$21</f>
        <v>-116.87499999999999</v>
      </c>
      <c r="X67" s="8">
        <f>-Helpers!X5*Assumptions!$B$21</f>
        <v>-116.87499999999999</v>
      </c>
      <c r="Y67" s="8">
        <f>-Helpers!Y5*Assumptions!$B$21</f>
        <v>-116.87499999999999</v>
      </c>
      <c r="Z67" s="8">
        <f>-Helpers!Z5*Assumptions!$B$21</f>
        <v>-116.87499999999999</v>
      </c>
      <c r="AA67" s="8">
        <f>-Helpers!AA5*Assumptions!$B$21</f>
        <v>-119.21249999999998</v>
      </c>
      <c r="AB67" s="8">
        <f>-Helpers!AB5*Assumptions!$B$21</f>
        <v>-119.21249999999998</v>
      </c>
      <c r="AC67" s="8">
        <f>-Helpers!AC5*Assumptions!$B$21</f>
        <v>-119.21249999999998</v>
      </c>
      <c r="AD67" s="8">
        <f>-Helpers!AD5*Assumptions!$B$21</f>
        <v>-119.21249999999998</v>
      </c>
      <c r="AE67" s="8">
        <f>-Helpers!AE5*Assumptions!$B$21</f>
        <v>-119.21249999999998</v>
      </c>
      <c r="AF67" s="8">
        <f>-Helpers!AF5*Assumptions!$B$21</f>
        <v>-119.21249999999998</v>
      </c>
      <c r="AG67" s="8">
        <f>-Helpers!AG5*Assumptions!$B$21</f>
        <v>-119.21249999999998</v>
      </c>
      <c r="AH67" s="8">
        <f>-Helpers!AH5*Assumptions!$B$21</f>
        <v>-119.21249999999998</v>
      </c>
      <c r="AI67" s="8">
        <f>-Helpers!AI5*Assumptions!$B$21</f>
        <v>-119.21249999999998</v>
      </c>
      <c r="AJ67" s="8">
        <f>-Helpers!AJ5*Assumptions!$B$21</f>
        <v>-119.21249999999998</v>
      </c>
      <c r="AK67" s="8">
        <f>-Helpers!AK5*Assumptions!$B$21</f>
        <v>-119.21249999999998</v>
      </c>
      <c r="AL67" s="8">
        <f>-Helpers!AL5*Assumptions!$B$21</f>
        <v>-119.21249999999998</v>
      </c>
      <c r="AM67" s="8">
        <f>-Helpers!AM5*Assumptions!$B$21</f>
        <v>-121.59674999999997</v>
      </c>
      <c r="AN67" s="8">
        <f>-Helpers!AN5*Assumptions!$B$21</f>
        <v>-121.59674999999997</v>
      </c>
      <c r="AO67" s="8">
        <f>-Helpers!AO5*Assumptions!$B$21</f>
        <v>-121.59674999999997</v>
      </c>
      <c r="AP67" s="8">
        <f>-Helpers!AP5*Assumptions!$B$21</f>
        <v>-121.59674999999997</v>
      </c>
      <c r="AQ67" s="8">
        <f>-Helpers!AQ5*Assumptions!$B$21</f>
        <v>-121.59674999999997</v>
      </c>
      <c r="AR67" s="8">
        <f>-Helpers!AR5*Assumptions!$B$21</f>
        <v>-121.59674999999997</v>
      </c>
      <c r="AS67" s="8">
        <f>-Helpers!AS5*Assumptions!$B$21</f>
        <v>-121.59674999999997</v>
      </c>
      <c r="AT67" s="8">
        <f>-Helpers!AT5*Assumptions!$B$21</f>
        <v>-121.59674999999997</v>
      </c>
      <c r="AU67" s="8">
        <f>-Helpers!AU5*Assumptions!$B$21</f>
        <v>-121.59674999999997</v>
      </c>
      <c r="AV67" s="8">
        <f>-Helpers!AV5*Assumptions!$B$21</f>
        <v>-121.59674999999997</v>
      </c>
      <c r="AW67" s="8">
        <f>-Helpers!AW5*Assumptions!$B$21</f>
        <v>-121.59674999999997</v>
      </c>
      <c r="AX67" s="8">
        <f>-Helpers!AX5*Assumptions!$B$21</f>
        <v>-121.59674999999997</v>
      </c>
      <c r="AY67" s="8">
        <f>-Helpers!AY5*Assumptions!$B$21</f>
        <v>-124.028685</v>
      </c>
      <c r="AZ67" s="8">
        <f>-Helpers!AZ5*Assumptions!$B$21</f>
        <v>-124.028685</v>
      </c>
      <c r="BA67" s="8">
        <f>-Helpers!BA5*Assumptions!$B$21</f>
        <v>-124.028685</v>
      </c>
      <c r="BB67" s="8">
        <f>-Helpers!BB5*Assumptions!$B$21</f>
        <v>-124.028685</v>
      </c>
      <c r="BC67" s="8">
        <f>-Helpers!BC5*Assumptions!$B$21</f>
        <v>-124.028685</v>
      </c>
      <c r="BD67" s="8">
        <f>-Helpers!BD5*Assumptions!$B$21</f>
        <v>-124.028685</v>
      </c>
      <c r="BE67" s="8">
        <f>-Helpers!BE5*Assumptions!$B$21</f>
        <v>-124.028685</v>
      </c>
      <c r="BF67" s="8">
        <f>-Helpers!BF5*Assumptions!$B$21</f>
        <v>-124.028685</v>
      </c>
      <c r="BG67" s="8">
        <f>-Helpers!BG5*Assumptions!$B$21</f>
        <v>-124.028685</v>
      </c>
      <c r="BH67" s="8">
        <f>-Helpers!BH5*Assumptions!$B$21</f>
        <v>-124.028685</v>
      </c>
      <c r="BI67" s="8">
        <f>-Helpers!BI5*Assumptions!$B$21</f>
        <v>-124.028685</v>
      </c>
      <c r="BJ67" s="8">
        <f>-Helpers!BJ5*Assumptions!$B$21</f>
        <v>-124.028685</v>
      </c>
      <c r="BK67" s="8">
        <f>-Helpers!BK5*Assumptions!$B$21</f>
        <v>-126.50925869999999</v>
      </c>
      <c r="BL67" s="8">
        <f>-Helpers!BL5*Assumptions!$B$21</f>
        <v>-126.50925869999999</v>
      </c>
      <c r="BM67" s="8">
        <f>-Helpers!BM5*Assumptions!$B$21</f>
        <v>-126.50925869999999</v>
      </c>
      <c r="BN67" s="8">
        <f>-Helpers!BN5*Assumptions!$B$21</f>
        <v>-126.50925869999999</v>
      </c>
      <c r="BO67" s="8">
        <f>-Helpers!BO5*Assumptions!$B$21</f>
        <v>-126.50925869999999</v>
      </c>
      <c r="BP67" s="8">
        <f>-Helpers!BP5*Assumptions!$B$21</f>
        <v>-126.50925869999999</v>
      </c>
      <c r="BQ67" s="8">
        <f>-Helpers!BQ5*Assumptions!$B$21</f>
        <v>-126.50925869999999</v>
      </c>
      <c r="BR67" s="8">
        <f>-Helpers!BR5*Assumptions!$B$21</f>
        <v>-126.50925869999999</v>
      </c>
      <c r="BS67" s="8">
        <f>-Helpers!BS5*Assumptions!$B$21</f>
        <v>-126.50925869999999</v>
      </c>
      <c r="BT67" s="8">
        <f>-Helpers!BT5*Assumptions!$B$21</f>
        <v>-126.50925869999999</v>
      </c>
      <c r="BU67" s="8">
        <f>-Helpers!BU5*Assumptions!$B$21</f>
        <v>-126.50925869999999</v>
      </c>
      <c r="BV67" s="8">
        <f>-Helpers!BV5*Assumptions!$B$21</f>
        <v>-126.50925869999999</v>
      </c>
      <c r="BW67" s="8">
        <f>-Helpers!BW5*Assumptions!$B$21</f>
        <v>-129.039443874</v>
      </c>
      <c r="BX67" s="8">
        <f>-Helpers!BX5*Assumptions!$B$21</f>
        <v>-129.039443874</v>
      </c>
      <c r="BY67" s="8">
        <f>-Helpers!BY5*Assumptions!$B$21</f>
        <v>-129.039443874</v>
      </c>
      <c r="BZ67" s="8">
        <f>-Helpers!BZ5*Assumptions!$B$21</f>
        <v>-129.039443874</v>
      </c>
      <c r="CA67" s="8">
        <f>-Helpers!CA5*Assumptions!$B$21</f>
        <v>-129.039443874</v>
      </c>
      <c r="CB67" s="8">
        <f>-Helpers!CB5*Assumptions!$B$21</f>
        <v>-129.039443874</v>
      </c>
      <c r="CC67" s="8">
        <f>-Helpers!CC5*Assumptions!$B$21</f>
        <v>-129.039443874</v>
      </c>
      <c r="CD67" s="8">
        <f>-Helpers!CD5*Assumptions!$B$21</f>
        <v>-129.039443874</v>
      </c>
      <c r="CE67" s="8">
        <f>-Helpers!CE5*Assumptions!$B$21</f>
        <v>-129.039443874</v>
      </c>
      <c r="CF67" s="8">
        <f>-Helpers!CF5*Assumptions!$B$21</f>
        <v>-129.039443874</v>
      </c>
      <c r="CG67" s="8">
        <f>-Helpers!CG5*Assumptions!$B$21</f>
        <v>-129.039443874</v>
      </c>
      <c r="CH67" s="8">
        <f>-Helpers!CH5*Assumptions!$B$21</f>
        <v>-129.039443874</v>
      </c>
      <c r="CI67" s="23"/>
    </row>
    <row r="68" spans="1:87" ht="15" customHeight="1" x14ac:dyDescent="0.25">
      <c r="A68" s="7" t="s">
        <v>165</v>
      </c>
      <c r="B68" s="22"/>
      <c r="C68" s="8">
        <f>-Helpers!C5*Assumptions!$B$22</f>
        <v>-2772.9166666666665</v>
      </c>
      <c r="D68" s="8">
        <f>-Helpers!D5*Assumptions!$B$22</f>
        <v>-2772.9166666666665</v>
      </c>
      <c r="E68" s="8">
        <f>-Helpers!E5*Assumptions!$B$22</f>
        <v>-2772.9166666666665</v>
      </c>
      <c r="F68" s="8">
        <f>-Helpers!F5*Assumptions!$B$22</f>
        <v>-2772.9166666666665</v>
      </c>
      <c r="G68" s="8">
        <f>-Helpers!G5*Assumptions!$B$22</f>
        <v>-2772.9166666666665</v>
      </c>
      <c r="H68" s="8">
        <f>-Helpers!H5*Assumptions!$B$22</f>
        <v>-2772.9166666666665</v>
      </c>
      <c r="I68" s="8">
        <f>-Helpers!I5*Assumptions!$B$22</f>
        <v>-2772.9166666666665</v>
      </c>
      <c r="J68" s="8">
        <f>-Helpers!J5*Assumptions!$B$22</f>
        <v>-2772.9166666666665</v>
      </c>
      <c r="K68" s="8">
        <f>-Helpers!K5*Assumptions!$B$22</f>
        <v>-2772.9166666666665</v>
      </c>
      <c r="L68" s="8">
        <f>-Helpers!L5*Assumptions!$B$22</f>
        <v>-2772.9166666666665</v>
      </c>
      <c r="M68" s="8">
        <f>-Helpers!M5*Assumptions!$B$22</f>
        <v>-2772.9166666666665</v>
      </c>
      <c r="N68" s="8">
        <f>-Helpers!N5*Assumptions!$B$22</f>
        <v>-2772.9166666666665</v>
      </c>
      <c r="O68" s="8">
        <f>-Helpers!O5*Assumptions!$B$22</f>
        <v>-2828.3749999999995</v>
      </c>
      <c r="P68" s="8">
        <f>-Helpers!P5*Assumptions!$B$22</f>
        <v>-2828.3749999999995</v>
      </c>
      <c r="Q68" s="8">
        <f>-Helpers!Q5*Assumptions!$B$22</f>
        <v>-2828.3749999999995</v>
      </c>
      <c r="R68" s="8">
        <f>-Helpers!R5*Assumptions!$B$22</f>
        <v>-2828.3749999999995</v>
      </c>
      <c r="S68" s="8">
        <f>-Helpers!S5*Assumptions!$B$22</f>
        <v>-2828.3749999999995</v>
      </c>
      <c r="T68" s="8">
        <f>-Helpers!T5*Assumptions!$B$22</f>
        <v>-2828.3749999999995</v>
      </c>
      <c r="U68" s="8">
        <f>-Helpers!U5*Assumptions!$B$22</f>
        <v>-2828.3749999999995</v>
      </c>
      <c r="V68" s="8">
        <f>-Helpers!V5*Assumptions!$B$22</f>
        <v>-2828.3749999999995</v>
      </c>
      <c r="W68" s="8">
        <f>-Helpers!W5*Assumptions!$B$22</f>
        <v>-2828.3749999999995</v>
      </c>
      <c r="X68" s="8">
        <f>-Helpers!X5*Assumptions!$B$22</f>
        <v>-2828.3749999999995</v>
      </c>
      <c r="Y68" s="8">
        <f>-Helpers!Y5*Assumptions!$B$22</f>
        <v>-2828.3749999999995</v>
      </c>
      <c r="Z68" s="8">
        <f>-Helpers!Z5*Assumptions!$B$22</f>
        <v>-2828.3749999999995</v>
      </c>
      <c r="AA68" s="8">
        <f>-Helpers!AA5*Assumptions!$B$22</f>
        <v>-2884.9424999999997</v>
      </c>
      <c r="AB68" s="8">
        <f>-Helpers!AB5*Assumptions!$B$22</f>
        <v>-2884.9424999999997</v>
      </c>
      <c r="AC68" s="8">
        <f>-Helpers!AC5*Assumptions!$B$22</f>
        <v>-2884.9424999999997</v>
      </c>
      <c r="AD68" s="8">
        <f>-Helpers!AD5*Assumptions!$B$22</f>
        <v>-2884.9424999999997</v>
      </c>
      <c r="AE68" s="8">
        <f>-Helpers!AE5*Assumptions!$B$22</f>
        <v>-2884.9424999999997</v>
      </c>
      <c r="AF68" s="8">
        <f>-Helpers!AF5*Assumptions!$B$22</f>
        <v>-2884.9424999999997</v>
      </c>
      <c r="AG68" s="8">
        <f>-Helpers!AG5*Assumptions!$B$22</f>
        <v>-2884.9424999999997</v>
      </c>
      <c r="AH68" s="8">
        <f>-Helpers!AH5*Assumptions!$B$22</f>
        <v>-2884.9424999999997</v>
      </c>
      <c r="AI68" s="8">
        <f>-Helpers!AI5*Assumptions!$B$22</f>
        <v>-2884.9424999999997</v>
      </c>
      <c r="AJ68" s="8">
        <f>-Helpers!AJ5*Assumptions!$B$22</f>
        <v>-2884.9424999999997</v>
      </c>
      <c r="AK68" s="8">
        <f>-Helpers!AK5*Assumptions!$B$22</f>
        <v>-2884.9424999999997</v>
      </c>
      <c r="AL68" s="8">
        <f>-Helpers!AL5*Assumptions!$B$22</f>
        <v>-2884.9424999999997</v>
      </c>
      <c r="AM68" s="8">
        <f>-Helpers!AM5*Assumptions!$B$22</f>
        <v>-2942.6413499999994</v>
      </c>
      <c r="AN68" s="8">
        <f>-Helpers!AN5*Assumptions!$B$22</f>
        <v>-2942.6413499999994</v>
      </c>
      <c r="AO68" s="8">
        <f>-Helpers!AO5*Assumptions!$B$22</f>
        <v>-2942.6413499999994</v>
      </c>
      <c r="AP68" s="8">
        <f>-Helpers!AP5*Assumptions!$B$22</f>
        <v>-2942.6413499999994</v>
      </c>
      <c r="AQ68" s="8">
        <f>-Helpers!AQ5*Assumptions!$B$22</f>
        <v>-2942.6413499999994</v>
      </c>
      <c r="AR68" s="8">
        <f>-Helpers!AR5*Assumptions!$B$22</f>
        <v>-2942.6413499999994</v>
      </c>
      <c r="AS68" s="8">
        <f>-Helpers!AS5*Assumptions!$B$22</f>
        <v>-2942.6413499999994</v>
      </c>
      <c r="AT68" s="8">
        <f>-Helpers!AT5*Assumptions!$B$22</f>
        <v>-2942.6413499999994</v>
      </c>
      <c r="AU68" s="8">
        <f>-Helpers!AU5*Assumptions!$B$22</f>
        <v>-2942.6413499999994</v>
      </c>
      <c r="AV68" s="8">
        <f>-Helpers!AV5*Assumptions!$B$22</f>
        <v>-2942.6413499999994</v>
      </c>
      <c r="AW68" s="8">
        <f>-Helpers!AW5*Assumptions!$B$22</f>
        <v>-2942.6413499999994</v>
      </c>
      <c r="AX68" s="8">
        <f>-Helpers!AX5*Assumptions!$B$22</f>
        <v>-2942.6413499999994</v>
      </c>
      <c r="AY68" s="8">
        <f>-Helpers!AY5*Assumptions!$B$22</f>
        <v>-3001.4941769999996</v>
      </c>
      <c r="AZ68" s="8">
        <f>-Helpers!AZ5*Assumptions!$B$22</f>
        <v>-3001.4941769999996</v>
      </c>
      <c r="BA68" s="8">
        <f>-Helpers!BA5*Assumptions!$B$22</f>
        <v>-3001.4941769999996</v>
      </c>
      <c r="BB68" s="8">
        <f>-Helpers!BB5*Assumptions!$B$22</f>
        <v>-3001.4941769999996</v>
      </c>
      <c r="BC68" s="8">
        <f>-Helpers!BC5*Assumptions!$B$22</f>
        <v>-3001.4941769999996</v>
      </c>
      <c r="BD68" s="8">
        <f>-Helpers!BD5*Assumptions!$B$22</f>
        <v>-3001.4941769999996</v>
      </c>
      <c r="BE68" s="8">
        <f>-Helpers!BE5*Assumptions!$B$22</f>
        <v>-3001.4941769999996</v>
      </c>
      <c r="BF68" s="8">
        <f>-Helpers!BF5*Assumptions!$B$22</f>
        <v>-3001.4941769999996</v>
      </c>
      <c r="BG68" s="8">
        <f>-Helpers!BG5*Assumptions!$B$22</f>
        <v>-3001.4941769999996</v>
      </c>
      <c r="BH68" s="8">
        <f>-Helpers!BH5*Assumptions!$B$22</f>
        <v>-3001.4941769999996</v>
      </c>
      <c r="BI68" s="8">
        <f>-Helpers!BI5*Assumptions!$B$22</f>
        <v>-3001.4941769999996</v>
      </c>
      <c r="BJ68" s="8">
        <f>-Helpers!BJ5*Assumptions!$B$22</f>
        <v>-3001.4941769999996</v>
      </c>
      <c r="BK68" s="8">
        <f>-Helpers!BK5*Assumptions!$B$22</f>
        <v>-3061.5240605399995</v>
      </c>
      <c r="BL68" s="8">
        <f>-Helpers!BL5*Assumptions!$B$22</f>
        <v>-3061.5240605399995</v>
      </c>
      <c r="BM68" s="8">
        <f>-Helpers!BM5*Assumptions!$B$22</f>
        <v>-3061.5240605399995</v>
      </c>
      <c r="BN68" s="8">
        <f>-Helpers!BN5*Assumptions!$B$22</f>
        <v>-3061.5240605399995</v>
      </c>
      <c r="BO68" s="8">
        <f>-Helpers!BO5*Assumptions!$B$22</f>
        <v>-3061.5240605399995</v>
      </c>
      <c r="BP68" s="8">
        <f>-Helpers!BP5*Assumptions!$B$22</f>
        <v>-3061.5240605399995</v>
      </c>
      <c r="BQ68" s="8">
        <f>-Helpers!BQ5*Assumptions!$B$22</f>
        <v>-3061.5240605399995</v>
      </c>
      <c r="BR68" s="8">
        <f>-Helpers!BR5*Assumptions!$B$22</f>
        <v>-3061.5240605399995</v>
      </c>
      <c r="BS68" s="8">
        <f>-Helpers!BS5*Assumptions!$B$22</f>
        <v>-3061.5240605399995</v>
      </c>
      <c r="BT68" s="8">
        <f>-Helpers!BT5*Assumptions!$B$22</f>
        <v>-3061.5240605399995</v>
      </c>
      <c r="BU68" s="8">
        <f>-Helpers!BU5*Assumptions!$B$22</f>
        <v>-3061.5240605399995</v>
      </c>
      <c r="BV68" s="8">
        <f>-Helpers!BV5*Assumptions!$B$22</f>
        <v>-3061.5240605399995</v>
      </c>
      <c r="BW68" s="8">
        <f>-Helpers!BW5*Assumptions!$B$22</f>
        <v>-3122.7545417507995</v>
      </c>
      <c r="BX68" s="8">
        <f>-Helpers!BX5*Assumptions!$B$22</f>
        <v>-3122.7545417507995</v>
      </c>
      <c r="BY68" s="8">
        <f>-Helpers!BY5*Assumptions!$B$22</f>
        <v>-3122.7545417507995</v>
      </c>
      <c r="BZ68" s="8">
        <f>-Helpers!BZ5*Assumptions!$B$22</f>
        <v>-3122.7545417507995</v>
      </c>
      <c r="CA68" s="8">
        <f>-Helpers!CA5*Assumptions!$B$22</f>
        <v>-3122.7545417507995</v>
      </c>
      <c r="CB68" s="8">
        <f>-Helpers!CB5*Assumptions!$B$22</f>
        <v>-3122.7545417507995</v>
      </c>
      <c r="CC68" s="8">
        <f>-Helpers!CC5*Assumptions!$B$22</f>
        <v>-3122.7545417507995</v>
      </c>
      <c r="CD68" s="8">
        <f>-Helpers!CD5*Assumptions!$B$22</f>
        <v>-3122.7545417507995</v>
      </c>
      <c r="CE68" s="8">
        <f>-Helpers!CE5*Assumptions!$B$22</f>
        <v>-3122.7545417507995</v>
      </c>
      <c r="CF68" s="8">
        <f>-Helpers!CF5*Assumptions!$B$22</f>
        <v>-3122.7545417507995</v>
      </c>
      <c r="CG68" s="8">
        <f>-Helpers!CG5*Assumptions!$B$22</f>
        <v>-3122.7545417507995</v>
      </c>
      <c r="CH68" s="8">
        <f>-Helpers!CH5*Assumptions!$B$22</f>
        <v>-3122.7545417507995</v>
      </c>
      <c r="CI68" s="23"/>
    </row>
    <row r="69" spans="1:87" ht="15" customHeight="1" x14ac:dyDescent="0.25">
      <c r="A69" s="7" t="s">
        <v>166</v>
      </c>
      <c r="B69" s="22"/>
      <c r="C69" s="8">
        <f>-Helpers!C5*Assumptions!$B$23</f>
        <v>-206.24999999999997</v>
      </c>
      <c r="D69" s="8">
        <f>-Helpers!D5*Assumptions!$B$23</f>
        <v>-206.24999999999997</v>
      </c>
      <c r="E69" s="8">
        <f>-Helpers!E5*Assumptions!$B$23</f>
        <v>-206.24999999999997</v>
      </c>
      <c r="F69" s="8">
        <f>-Helpers!F5*Assumptions!$B$23</f>
        <v>-206.24999999999997</v>
      </c>
      <c r="G69" s="8">
        <f>-Helpers!G5*Assumptions!$B$23</f>
        <v>-206.24999999999997</v>
      </c>
      <c r="H69" s="8">
        <f>-Helpers!H5*Assumptions!$B$23</f>
        <v>-206.24999999999997</v>
      </c>
      <c r="I69" s="8">
        <f>-Helpers!I5*Assumptions!$B$23</f>
        <v>-206.24999999999997</v>
      </c>
      <c r="J69" s="8">
        <f>-Helpers!J5*Assumptions!$B$23</f>
        <v>-206.24999999999997</v>
      </c>
      <c r="K69" s="8">
        <f>-Helpers!K5*Assumptions!$B$23</f>
        <v>-206.24999999999997</v>
      </c>
      <c r="L69" s="8">
        <f>-Helpers!L5*Assumptions!$B$23</f>
        <v>-206.24999999999997</v>
      </c>
      <c r="M69" s="8">
        <f>-Helpers!M5*Assumptions!$B$23</f>
        <v>-206.24999999999997</v>
      </c>
      <c r="N69" s="8">
        <f>-Helpers!N5*Assumptions!$B$23</f>
        <v>-206.24999999999997</v>
      </c>
      <c r="O69" s="8">
        <f>-Helpers!O5*Assumptions!$B$23</f>
        <v>-210.37499999999994</v>
      </c>
      <c r="P69" s="8">
        <f>-Helpers!P5*Assumptions!$B$23</f>
        <v>-210.37499999999994</v>
      </c>
      <c r="Q69" s="8">
        <f>-Helpers!Q5*Assumptions!$B$23</f>
        <v>-210.37499999999994</v>
      </c>
      <c r="R69" s="8">
        <f>-Helpers!R5*Assumptions!$B$23</f>
        <v>-210.37499999999994</v>
      </c>
      <c r="S69" s="8">
        <f>-Helpers!S5*Assumptions!$B$23</f>
        <v>-210.37499999999994</v>
      </c>
      <c r="T69" s="8">
        <f>-Helpers!T5*Assumptions!$B$23</f>
        <v>-210.37499999999994</v>
      </c>
      <c r="U69" s="8">
        <f>-Helpers!U5*Assumptions!$B$23</f>
        <v>-210.37499999999994</v>
      </c>
      <c r="V69" s="8">
        <f>-Helpers!V5*Assumptions!$B$23</f>
        <v>-210.37499999999994</v>
      </c>
      <c r="W69" s="8">
        <f>-Helpers!W5*Assumptions!$B$23</f>
        <v>-210.37499999999994</v>
      </c>
      <c r="X69" s="8">
        <f>-Helpers!X5*Assumptions!$B$23</f>
        <v>-210.37499999999994</v>
      </c>
      <c r="Y69" s="8">
        <f>-Helpers!Y5*Assumptions!$B$23</f>
        <v>-210.37499999999994</v>
      </c>
      <c r="Z69" s="8">
        <f>-Helpers!Z5*Assumptions!$B$23</f>
        <v>-210.37499999999994</v>
      </c>
      <c r="AA69" s="8">
        <f>-Helpers!AA5*Assumptions!$B$23</f>
        <v>-214.58249999999995</v>
      </c>
      <c r="AB69" s="8">
        <f>-Helpers!AB5*Assumptions!$B$23</f>
        <v>-214.58249999999995</v>
      </c>
      <c r="AC69" s="8">
        <f>-Helpers!AC5*Assumptions!$B$23</f>
        <v>-214.58249999999995</v>
      </c>
      <c r="AD69" s="8">
        <f>-Helpers!AD5*Assumptions!$B$23</f>
        <v>-214.58249999999995</v>
      </c>
      <c r="AE69" s="8">
        <f>-Helpers!AE5*Assumptions!$B$23</f>
        <v>-214.58249999999995</v>
      </c>
      <c r="AF69" s="8">
        <f>-Helpers!AF5*Assumptions!$B$23</f>
        <v>-214.58249999999995</v>
      </c>
      <c r="AG69" s="8">
        <f>-Helpers!AG5*Assumptions!$B$23</f>
        <v>-214.58249999999995</v>
      </c>
      <c r="AH69" s="8">
        <f>-Helpers!AH5*Assumptions!$B$23</f>
        <v>-214.58249999999995</v>
      </c>
      <c r="AI69" s="8">
        <f>-Helpers!AI5*Assumptions!$B$23</f>
        <v>-214.58249999999995</v>
      </c>
      <c r="AJ69" s="8">
        <f>-Helpers!AJ5*Assumptions!$B$23</f>
        <v>-214.58249999999995</v>
      </c>
      <c r="AK69" s="8">
        <f>-Helpers!AK5*Assumptions!$B$23</f>
        <v>-214.58249999999995</v>
      </c>
      <c r="AL69" s="8">
        <f>-Helpers!AL5*Assumptions!$B$23</f>
        <v>-214.58249999999995</v>
      </c>
      <c r="AM69" s="8">
        <f>-Helpers!AM5*Assumptions!$B$23</f>
        <v>-218.87414999999993</v>
      </c>
      <c r="AN69" s="8">
        <f>-Helpers!AN5*Assumptions!$B$23</f>
        <v>-218.87414999999993</v>
      </c>
      <c r="AO69" s="8">
        <f>-Helpers!AO5*Assumptions!$B$23</f>
        <v>-218.87414999999993</v>
      </c>
      <c r="AP69" s="8">
        <f>-Helpers!AP5*Assumptions!$B$23</f>
        <v>-218.87414999999993</v>
      </c>
      <c r="AQ69" s="8">
        <f>-Helpers!AQ5*Assumptions!$B$23</f>
        <v>-218.87414999999993</v>
      </c>
      <c r="AR69" s="8">
        <f>-Helpers!AR5*Assumptions!$B$23</f>
        <v>-218.87414999999993</v>
      </c>
      <c r="AS69" s="8">
        <f>-Helpers!AS5*Assumptions!$B$23</f>
        <v>-218.87414999999993</v>
      </c>
      <c r="AT69" s="8">
        <f>-Helpers!AT5*Assumptions!$B$23</f>
        <v>-218.87414999999993</v>
      </c>
      <c r="AU69" s="8">
        <f>-Helpers!AU5*Assumptions!$B$23</f>
        <v>-218.87414999999993</v>
      </c>
      <c r="AV69" s="8">
        <f>-Helpers!AV5*Assumptions!$B$23</f>
        <v>-218.87414999999993</v>
      </c>
      <c r="AW69" s="8">
        <f>-Helpers!AW5*Assumptions!$B$23</f>
        <v>-218.87414999999993</v>
      </c>
      <c r="AX69" s="8">
        <f>-Helpers!AX5*Assumptions!$B$23</f>
        <v>-218.87414999999993</v>
      </c>
      <c r="AY69" s="8">
        <f>-Helpers!AY5*Assumptions!$B$23</f>
        <v>-223.25163299999997</v>
      </c>
      <c r="AZ69" s="8">
        <f>-Helpers!AZ5*Assumptions!$B$23</f>
        <v>-223.25163299999997</v>
      </c>
      <c r="BA69" s="8">
        <f>-Helpers!BA5*Assumptions!$B$23</f>
        <v>-223.25163299999997</v>
      </c>
      <c r="BB69" s="8">
        <f>-Helpers!BB5*Assumptions!$B$23</f>
        <v>-223.25163299999997</v>
      </c>
      <c r="BC69" s="8">
        <f>-Helpers!BC5*Assumptions!$B$23</f>
        <v>-223.25163299999997</v>
      </c>
      <c r="BD69" s="8">
        <f>-Helpers!BD5*Assumptions!$B$23</f>
        <v>-223.25163299999997</v>
      </c>
      <c r="BE69" s="8">
        <f>-Helpers!BE5*Assumptions!$B$23</f>
        <v>-223.25163299999997</v>
      </c>
      <c r="BF69" s="8">
        <f>-Helpers!BF5*Assumptions!$B$23</f>
        <v>-223.25163299999997</v>
      </c>
      <c r="BG69" s="8">
        <f>-Helpers!BG5*Assumptions!$B$23</f>
        <v>-223.25163299999997</v>
      </c>
      <c r="BH69" s="8">
        <f>-Helpers!BH5*Assumptions!$B$23</f>
        <v>-223.25163299999997</v>
      </c>
      <c r="BI69" s="8">
        <f>-Helpers!BI5*Assumptions!$B$23</f>
        <v>-223.25163299999997</v>
      </c>
      <c r="BJ69" s="8">
        <f>-Helpers!BJ5*Assumptions!$B$23</f>
        <v>-223.25163299999997</v>
      </c>
      <c r="BK69" s="8">
        <f>-Helpers!BK5*Assumptions!$B$23</f>
        <v>-227.71666565999996</v>
      </c>
      <c r="BL69" s="8">
        <f>-Helpers!BL5*Assumptions!$B$23</f>
        <v>-227.71666565999996</v>
      </c>
      <c r="BM69" s="8">
        <f>-Helpers!BM5*Assumptions!$B$23</f>
        <v>-227.71666565999996</v>
      </c>
      <c r="BN69" s="8">
        <f>-Helpers!BN5*Assumptions!$B$23</f>
        <v>-227.71666565999996</v>
      </c>
      <c r="BO69" s="8">
        <f>-Helpers!BO5*Assumptions!$B$23</f>
        <v>-227.71666565999996</v>
      </c>
      <c r="BP69" s="8">
        <f>-Helpers!BP5*Assumptions!$B$23</f>
        <v>-227.71666565999996</v>
      </c>
      <c r="BQ69" s="8">
        <f>-Helpers!BQ5*Assumptions!$B$23</f>
        <v>-227.71666565999996</v>
      </c>
      <c r="BR69" s="8">
        <f>-Helpers!BR5*Assumptions!$B$23</f>
        <v>-227.71666565999996</v>
      </c>
      <c r="BS69" s="8">
        <f>-Helpers!BS5*Assumptions!$B$23</f>
        <v>-227.71666565999996</v>
      </c>
      <c r="BT69" s="8">
        <f>-Helpers!BT5*Assumptions!$B$23</f>
        <v>-227.71666565999996</v>
      </c>
      <c r="BU69" s="8">
        <f>-Helpers!BU5*Assumptions!$B$23</f>
        <v>-227.71666565999996</v>
      </c>
      <c r="BV69" s="8">
        <f>-Helpers!BV5*Assumptions!$B$23</f>
        <v>-227.71666565999996</v>
      </c>
      <c r="BW69" s="8">
        <f>-Helpers!BW5*Assumptions!$B$23</f>
        <v>-232.27099897319997</v>
      </c>
      <c r="BX69" s="8">
        <f>-Helpers!BX5*Assumptions!$B$23</f>
        <v>-232.27099897319997</v>
      </c>
      <c r="BY69" s="8">
        <f>-Helpers!BY5*Assumptions!$B$23</f>
        <v>-232.27099897319997</v>
      </c>
      <c r="BZ69" s="8">
        <f>-Helpers!BZ5*Assumptions!$B$23</f>
        <v>-232.27099897319997</v>
      </c>
      <c r="CA69" s="8">
        <f>-Helpers!CA5*Assumptions!$B$23</f>
        <v>-232.27099897319997</v>
      </c>
      <c r="CB69" s="8">
        <f>-Helpers!CB5*Assumptions!$B$23</f>
        <v>-232.27099897319997</v>
      </c>
      <c r="CC69" s="8">
        <f>-Helpers!CC5*Assumptions!$B$23</f>
        <v>-232.27099897319997</v>
      </c>
      <c r="CD69" s="8">
        <f>-Helpers!CD5*Assumptions!$B$23</f>
        <v>-232.27099897319997</v>
      </c>
      <c r="CE69" s="8">
        <f>-Helpers!CE5*Assumptions!$B$23</f>
        <v>-232.27099897319997</v>
      </c>
      <c r="CF69" s="8">
        <f>-Helpers!CF5*Assumptions!$B$23</f>
        <v>-232.27099897319997</v>
      </c>
      <c r="CG69" s="8">
        <f>-Helpers!CG5*Assumptions!$B$23</f>
        <v>-232.27099897319997</v>
      </c>
      <c r="CH69" s="8">
        <f>-Helpers!CH5*Assumptions!$B$23</f>
        <v>-232.27099897319997</v>
      </c>
      <c r="CI69" s="23"/>
    </row>
    <row r="70" spans="1:87" ht="15" customHeight="1" x14ac:dyDescent="0.25">
      <c r="A70" s="7" t="s">
        <v>167</v>
      </c>
      <c r="B70" s="22"/>
      <c r="C70" s="8">
        <f>-3500*Escalation!$B$2</f>
        <v>-3500</v>
      </c>
      <c r="D70" s="8">
        <f>-3500*Escalation!$B$3</f>
        <v>-3500</v>
      </c>
      <c r="E70" s="8">
        <f>-3500*Escalation!$B$4</f>
        <v>-3500</v>
      </c>
      <c r="F70" s="8">
        <f>-3500*Escalation!$B$5</f>
        <v>-3500</v>
      </c>
      <c r="G70" s="8">
        <f>-3500*Escalation!$B$6</f>
        <v>-3500</v>
      </c>
      <c r="H70" s="8">
        <f>-3500*Escalation!$B$7</f>
        <v>-3500</v>
      </c>
      <c r="I70" s="8">
        <f>-3500*Escalation!$B$8</f>
        <v>-3500</v>
      </c>
      <c r="J70" s="8">
        <f>-3500*Escalation!$B$9</f>
        <v>-3500</v>
      </c>
      <c r="K70" s="8">
        <f>-3500*Escalation!$B$10</f>
        <v>-3500</v>
      </c>
      <c r="L70" s="8">
        <f>-3500*Escalation!$B$11</f>
        <v>-3500</v>
      </c>
      <c r="M70" s="8">
        <f>-3500*Escalation!$B$12</f>
        <v>-3500</v>
      </c>
      <c r="N70" s="8">
        <f>-3500*Escalation!$B$13</f>
        <v>-3500</v>
      </c>
      <c r="O70" s="8">
        <f>-3500*Escalation!$B$14</f>
        <v>-3570</v>
      </c>
      <c r="P70" s="8">
        <f>-3500*Escalation!$B$15</f>
        <v>-3570</v>
      </c>
      <c r="Q70" s="8">
        <f>-3500*Escalation!$B$16</f>
        <v>-3570</v>
      </c>
      <c r="R70" s="8">
        <f>-3500*Escalation!$B$17</f>
        <v>-3570</v>
      </c>
      <c r="S70" s="8">
        <f>-3500*Escalation!$B$18</f>
        <v>-3570</v>
      </c>
      <c r="T70" s="8">
        <f>-3500*Escalation!$B$19</f>
        <v>-3570</v>
      </c>
      <c r="U70" s="8">
        <f>-3500*Escalation!$B$20</f>
        <v>-3570</v>
      </c>
      <c r="V70" s="8">
        <f>-3500*Escalation!$B$21</f>
        <v>-3570</v>
      </c>
      <c r="W70" s="8">
        <f>-3500*Escalation!$B$22</f>
        <v>-3570</v>
      </c>
      <c r="X70" s="8">
        <f>-3500*Escalation!$B$23</f>
        <v>-3570</v>
      </c>
      <c r="Y70" s="8">
        <f>-3500*Escalation!$B$24</f>
        <v>-3570</v>
      </c>
      <c r="Z70" s="8">
        <f>-3500*Escalation!$B$25</f>
        <v>-3570</v>
      </c>
      <c r="AA70" s="8">
        <f>-3500*Escalation!$B$26</f>
        <v>-3641.4</v>
      </c>
      <c r="AB70" s="8">
        <f>-3500*Escalation!$B$27</f>
        <v>-3641.4</v>
      </c>
      <c r="AC70" s="8">
        <f>-3500*Escalation!$B$28</f>
        <v>-3641.4</v>
      </c>
      <c r="AD70" s="8">
        <f>-3500*Escalation!$B$29</f>
        <v>-3641.4</v>
      </c>
      <c r="AE70" s="8">
        <f>-3500*Escalation!$B$30</f>
        <v>-3641.4</v>
      </c>
      <c r="AF70" s="8">
        <f>-3500*Escalation!$B$31</f>
        <v>-3641.4</v>
      </c>
      <c r="AG70" s="8">
        <f>-3500*Escalation!$B$32</f>
        <v>-3641.4</v>
      </c>
      <c r="AH70" s="8">
        <f>-3500*Escalation!$B$33</f>
        <v>-3641.4</v>
      </c>
      <c r="AI70" s="8">
        <f>-3500*Escalation!$B$34</f>
        <v>-3641.4</v>
      </c>
      <c r="AJ70" s="8">
        <f>-3500*Escalation!$B$35</f>
        <v>-3641.4</v>
      </c>
      <c r="AK70" s="8">
        <f>-3500*Escalation!$B$36</f>
        <v>-3641.4</v>
      </c>
      <c r="AL70" s="8">
        <f>-3500*Escalation!$B$37</f>
        <v>-3641.4</v>
      </c>
      <c r="AM70" s="8">
        <f>-3500*Escalation!$B$38</f>
        <v>-3714.2279999999996</v>
      </c>
      <c r="AN70" s="8">
        <f>-3500*Escalation!$B$39</f>
        <v>-3714.2279999999996</v>
      </c>
      <c r="AO70" s="8">
        <f>-3500*Escalation!$B$40</f>
        <v>-3714.2279999999996</v>
      </c>
      <c r="AP70" s="8">
        <f>-3500*Escalation!$B$41</f>
        <v>-3714.2279999999996</v>
      </c>
      <c r="AQ70" s="8">
        <f>-3500*Escalation!$B$42</f>
        <v>-3714.2279999999996</v>
      </c>
      <c r="AR70" s="8">
        <f>-3500*Escalation!$B$43</f>
        <v>-3714.2279999999996</v>
      </c>
      <c r="AS70" s="8">
        <f>-3500*Escalation!$B$44</f>
        <v>-3714.2279999999996</v>
      </c>
      <c r="AT70" s="8">
        <f>-3500*Escalation!$B$45</f>
        <v>-3714.2279999999996</v>
      </c>
      <c r="AU70" s="8">
        <f>-3500*Escalation!$B$46</f>
        <v>-3714.2279999999996</v>
      </c>
      <c r="AV70" s="8">
        <f>-3500*Escalation!$B$47</f>
        <v>-3714.2279999999996</v>
      </c>
      <c r="AW70" s="8">
        <f>-3500*Escalation!$B$48</f>
        <v>-3714.2279999999996</v>
      </c>
      <c r="AX70" s="8">
        <f>-3500*Escalation!$B$49</f>
        <v>-3714.2279999999996</v>
      </c>
      <c r="AY70" s="8">
        <f>-3500*Escalation!$B$50</f>
        <v>-3788.5125600000001</v>
      </c>
      <c r="AZ70" s="8">
        <f>-3500*Escalation!$B$51</f>
        <v>-3788.5125600000001</v>
      </c>
      <c r="BA70" s="8">
        <f>-3500*Escalation!$B$52</f>
        <v>-3788.5125600000001</v>
      </c>
      <c r="BB70" s="8">
        <f>-3500*Escalation!$B$53</f>
        <v>-3788.5125600000001</v>
      </c>
      <c r="BC70" s="8">
        <f>-3500*Escalation!$B$54</f>
        <v>-3788.5125600000001</v>
      </c>
      <c r="BD70" s="8">
        <f>-3500*Escalation!$B$55</f>
        <v>-3788.5125600000001</v>
      </c>
      <c r="BE70" s="8">
        <f>-3500*Escalation!$B$56</f>
        <v>-3788.5125600000001</v>
      </c>
      <c r="BF70" s="8">
        <f>-3500*Escalation!$B$57</f>
        <v>-3788.5125600000001</v>
      </c>
      <c r="BG70" s="8">
        <f>-3500*Escalation!$B$58</f>
        <v>-3788.5125600000001</v>
      </c>
      <c r="BH70" s="8">
        <f>-3500*Escalation!$B$59</f>
        <v>-3788.5125600000001</v>
      </c>
      <c r="BI70" s="8">
        <f>-3500*Escalation!$B$60</f>
        <v>-3788.5125600000001</v>
      </c>
      <c r="BJ70" s="8">
        <f>-3500*Escalation!$B$61</f>
        <v>-3788.5125600000001</v>
      </c>
      <c r="BK70" s="8">
        <f>-3500*Escalation!$B$62</f>
        <v>-3864.2828112000002</v>
      </c>
      <c r="BL70" s="8">
        <f>-3500*Escalation!$B$63</f>
        <v>-3864.2828112000002</v>
      </c>
      <c r="BM70" s="8">
        <f>-3500*Escalation!$B$64</f>
        <v>-3864.2828112000002</v>
      </c>
      <c r="BN70" s="8">
        <f>-3500*Escalation!$B$65</f>
        <v>-3864.2828112000002</v>
      </c>
      <c r="BO70" s="8">
        <f>-3500*Escalation!$B$66</f>
        <v>-3864.2828112000002</v>
      </c>
      <c r="BP70" s="8">
        <f>-3500*Escalation!$B$67</f>
        <v>-3864.2828112000002</v>
      </c>
      <c r="BQ70" s="8">
        <f>-3500*Escalation!$B$68</f>
        <v>-3864.2828112000002</v>
      </c>
      <c r="BR70" s="8">
        <f>-3500*Escalation!$B$69</f>
        <v>-3864.2828112000002</v>
      </c>
      <c r="BS70" s="8">
        <f>-3500*Escalation!$B$70</f>
        <v>-3864.2828112000002</v>
      </c>
      <c r="BT70" s="8">
        <f>-3500*Escalation!$B$71</f>
        <v>-3864.2828112000002</v>
      </c>
      <c r="BU70" s="8">
        <f>-3500*Escalation!$B$72</f>
        <v>-3864.2828112000002</v>
      </c>
      <c r="BV70" s="8">
        <f>-3500*Escalation!$B$73</f>
        <v>-3864.2828112000002</v>
      </c>
      <c r="BW70" s="8">
        <f>-3500*Escalation!$B$74</f>
        <v>-3941.5684674240001</v>
      </c>
      <c r="BX70" s="8">
        <f>-3500*Escalation!$B$75</f>
        <v>-3941.5684674240001</v>
      </c>
      <c r="BY70" s="8">
        <f>-3500*Escalation!$B$76</f>
        <v>-3941.5684674240001</v>
      </c>
      <c r="BZ70" s="8">
        <f>-3500*Escalation!$B$77</f>
        <v>-3941.5684674240001</v>
      </c>
      <c r="CA70" s="8">
        <f>-3500*Escalation!$B$78</f>
        <v>-3941.5684674240001</v>
      </c>
      <c r="CB70" s="8">
        <f>-3500*Escalation!$B$79</f>
        <v>-3941.5684674240001</v>
      </c>
      <c r="CC70" s="8">
        <f>-3500*Escalation!$B$80</f>
        <v>-3941.5684674240001</v>
      </c>
      <c r="CD70" s="8">
        <f>-3500*Escalation!$B$81</f>
        <v>-3941.5684674240001</v>
      </c>
      <c r="CE70" s="8">
        <f>-3500*Escalation!$B$82</f>
        <v>-3941.5684674240001</v>
      </c>
      <c r="CF70" s="8">
        <f>-3500*Escalation!$B$83</f>
        <v>-3941.5684674240001</v>
      </c>
      <c r="CG70" s="8">
        <f>-3500*Escalation!$B$84</f>
        <v>-3941.5684674240001</v>
      </c>
      <c r="CH70" s="8">
        <f>-3500*Escalation!$B$85</f>
        <v>-3941.5684674240001</v>
      </c>
      <c r="CI70" s="23"/>
    </row>
    <row r="71" spans="1:87" ht="15" customHeight="1" x14ac:dyDescent="0.25">
      <c r="A71" s="7" t="s">
        <v>168</v>
      </c>
      <c r="B71" s="22"/>
      <c r="C71" s="8">
        <f>-5000*Escalation!$B$2</f>
        <v>-5000</v>
      </c>
      <c r="D71" s="8">
        <f>-5000*Escalation!$B$3</f>
        <v>-5000</v>
      </c>
      <c r="E71" s="8">
        <f>-5000*Escalation!$B$4</f>
        <v>-5000</v>
      </c>
      <c r="F71" s="8">
        <f>-5000*Escalation!$B$5</f>
        <v>-5000</v>
      </c>
      <c r="G71" s="8">
        <f>-5000*Escalation!$B$6</f>
        <v>-5000</v>
      </c>
      <c r="H71" s="8">
        <f>-5000*Escalation!$B$7</f>
        <v>-5000</v>
      </c>
      <c r="I71" s="8">
        <f>-5000*Escalation!$B$8</f>
        <v>-5000</v>
      </c>
      <c r="J71" s="8">
        <f>-5000*Escalation!$B$9</f>
        <v>-5000</v>
      </c>
      <c r="K71" s="8">
        <f>-5000*Escalation!$B$10</f>
        <v>-5000</v>
      </c>
      <c r="L71" s="8">
        <f>-5000*Escalation!$B$11</f>
        <v>-5000</v>
      </c>
      <c r="M71" s="8">
        <f>-5000*Escalation!$B$12</f>
        <v>-5000</v>
      </c>
      <c r="N71" s="8">
        <f>-5000*Escalation!$B$13</f>
        <v>-5000</v>
      </c>
      <c r="O71" s="8">
        <f>-5000*Escalation!$B$14</f>
        <v>-5100</v>
      </c>
      <c r="P71" s="8">
        <f>-5000*Escalation!$B$15</f>
        <v>-5100</v>
      </c>
      <c r="Q71" s="8">
        <f>-5000*Escalation!$B$16</f>
        <v>-5100</v>
      </c>
      <c r="R71" s="8">
        <f>-5000*Escalation!$B$17</f>
        <v>-5100</v>
      </c>
      <c r="S71" s="8">
        <f>-5000*Escalation!$B$18</f>
        <v>-5100</v>
      </c>
      <c r="T71" s="8">
        <f>-5000*Escalation!$B$19</f>
        <v>-5100</v>
      </c>
      <c r="U71" s="8">
        <f>-5000*Escalation!$B$20</f>
        <v>-5100</v>
      </c>
      <c r="V71" s="8">
        <f>-5000*Escalation!$B$21</f>
        <v>-5100</v>
      </c>
      <c r="W71" s="8">
        <f>-5000*Escalation!$B$22</f>
        <v>-5100</v>
      </c>
      <c r="X71" s="8">
        <f>-5000*Escalation!$B$23</f>
        <v>-5100</v>
      </c>
      <c r="Y71" s="8">
        <f>-5000*Escalation!$B$24</f>
        <v>-5100</v>
      </c>
      <c r="Z71" s="8">
        <f>-5000*Escalation!$B$25</f>
        <v>-5100</v>
      </c>
      <c r="AA71" s="8">
        <f>-5000*Escalation!$B$26</f>
        <v>-5202</v>
      </c>
      <c r="AB71" s="8">
        <f>-5000*Escalation!$B$27</f>
        <v>-5202</v>
      </c>
      <c r="AC71" s="8">
        <f>-5000*Escalation!$B$28</f>
        <v>-5202</v>
      </c>
      <c r="AD71" s="8">
        <f>-5000*Escalation!$B$29</f>
        <v>-5202</v>
      </c>
      <c r="AE71" s="8">
        <f>-5000*Escalation!$B$30</f>
        <v>-5202</v>
      </c>
      <c r="AF71" s="8">
        <f>-5000*Escalation!$B$31</f>
        <v>-5202</v>
      </c>
      <c r="AG71" s="8">
        <f>-5000*Escalation!$B$32</f>
        <v>-5202</v>
      </c>
      <c r="AH71" s="8">
        <f>-5000*Escalation!$B$33</f>
        <v>-5202</v>
      </c>
      <c r="AI71" s="8">
        <f>-5000*Escalation!$B$34</f>
        <v>-5202</v>
      </c>
      <c r="AJ71" s="8">
        <f>-5000*Escalation!$B$35</f>
        <v>-5202</v>
      </c>
      <c r="AK71" s="8">
        <f>-5000*Escalation!$B$36</f>
        <v>-5202</v>
      </c>
      <c r="AL71" s="8">
        <f>-5000*Escalation!$B$37</f>
        <v>-5202</v>
      </c>
      <c r="AM71" s="8">
        <f>-5000*Escalation!$B$38</f>
        <v>-5306.04</v>
      </c>
      <c r="AN71" s="8">
        <f>-5000*Escalation!$B$39</f>
        <v>-5306.04</v>
      </c>
      <c r="AO71" s="8">
        <f>-5000*Escalation!$B$40</f>
        <v>-5306.04</v>
      </c>
      <c r="AP71" s="8">
        <f>-5000*Escalation!$B$41</f>
        <v>-5306.04</v>
      </c>
      <c r="AQ71" s="8">
        <f>-5000*Escalation!$B$42</f>
        <v>-5306.04</v>
      </c>
      <c r="AR71" s="8">
        <f>-5000*Escalation!$B$43</f>
        <v>-5306.04</v>
      </c>
      <c r="AS71" s="8">
        <f>-5000*Escalation!$B$44</f>
        <v>-5306.04</v>
      </c>
      <c r="AT71" s="8">
        <f>-5000*Escalation!$B$45</f>
        <v>-5306.04</v>
      </c>
      <c r="AU71" s="8">
        <f>-5000*Escalation!$B$46</f>
        <v>-5306.04</v>
      </c>
      <c r="AV71" s="8">
        <f>-5000*Escalation!$B$47</f>
        <v>-5306.04</v>
      </c>
      <c r="AW71" s="8">
        <f>-5000*Escalation!$B$48</f>
        <v>-5306.04</v>
      </c>
      <c r="AX71" s="8">
        <f>-5000*Escalation!$B$49</f>
        <v>-5306.04</v>
      </c>
      <c r="AY71" s="8">
        <f>-5000*Escalation!$B$50</f>
        <v>-5412.1607999999997</v>
      </c>
      <c r="AZ71" s="8">
        <f>-5000*Escalation!$B$51</f>
        <v>-5412.1607999999997</v>
      </c>
      <c r="BA71" s="8">
        <f>-5000*Escalation!$B$52</f>
        <v>-5412.1607999999997</v>
      </c>
      <c r="BB71" s="8">
        <f>-5000*Escalation!$B$53</f>
        <v>-5412.1607999999997</v>
      </c>
      <c r="BC71" s="8">
        <f>-5000*Escalation!$B$54</f>
        <v>-5412.1607999999997</v>
      </c>
      <c r="BD71" s="8">
        <f>-5000*Escalation!$B$55</f>
        <v>-5412.1607999999997</v>
      </c>
      <c r="BE71" s="8">
        <f>-5000*Escalation!$B$56</f>
        <v>-5412.1607999999997</v>
      </c>
      <c r="BF71" s="8">
        <f>-5000*Escalation!$B$57</f>
        <v>-5412.1607999999997</v>
      </c>
      <c r="BG71" s="8">
        <f>-5000*Escalation!$B$58</f>
        <v>-5412.1607999999997</v>
      </c>
      <c r="BH71" s="8">
        <f>-5000*Escalation!$B$59</f>
        <v>-5412.1607999999997</v>
      </c>
      <c r="BI71" s="8">
        <f>-5000*Escalation!$B$60</f>
        <v>-5412.1607999999997</v>
      </c>
      <c r="BJ71" s="8">
        <f>-5000*Escalation!$B$61</f>
        <v>-5412.1607999999997</v>
      </c>
      <c r="BK71" s="8">
        <f>-5000*Escalation!$B$62</f>
        <v>-5520.4040160000004</v>
      </c>
      <c r="BL71" s="8">
        <f>-5000*Escalation!$B$63</f>
        <v>-5520.4040160000004</v>
      </c>
      <c r="BM71" s="8">
        <f>-5000*Escalation!$B$64</f>
        <v>-5520.4040160000004</v>
      </c>
      <c r="BN71" s="8">
        <f>-5000*Escalation!$B$65</f>
        <v>-5520.4040160000004</v>
      </c>
      <c r="BO71" s="8">
        <f>-5000*Escalation!$B$66</f>
        <v>-5520.4040160000004</v>
      </c>
      <c r="BP71" s="8">
        <f>-5000*Escalation!$B$67</f>
        <v>-5520.4040160000004</v>
      </c>
      <c r="BQ71" s="8">
        <f>-5000*Escalation!$B$68</f>
        <v>-5520.4040160000004</v>
      </c>
      <c r="BR71" s="8">
        <f>-5000*Escalation!$B$69</f>
        <v>-5520.4040160000004</v>
      </c>
      <c r="BS71" s="8">
        <f>-5000*Escalation!$B$70</f>
        <v>-5520.4040160000004</v>
      </c>
      <c r="BT71" s="8">
        <f>-5000*Escalation!$B$71</f>
        <v>-5520.4040160000004</v>
      </c>
      <c r="BU71" s="8">
        <f>-5000*Escalation!$B$72</f>
        <v>-5520.4040160000004</v>
      </c>
      <c r="BV71" s="8">
        <f>-5000*Escalation!$B$73</f>
        <v>-5520.4040160000004</v>
      </c>
      <c r="BW71" s="8">
        <f>-5000*Escalation!$B$74</f>
        <v>-5630.8120963199999</v>
      </c>
      <c r="BX71" s="8">
        <f>-5000*Escalation!$B$75</f>
        <v>-5630.8120963199999</v>
      </c>
      <c r="BY71" s="8">
        <f>-5000*Escalation!$B$76</f>
        <v>-5630.8120963199999</v>
      </c>
      <c r="BZ71" s="8">
        <f>-5000*Escalation!$B$77</f>
        <v>-5630.8120963199999</v>
      </c>
      <c r="CA71" s="8">
        <f>-5000*Escalation!$B$78</f>
        <v>-5630.8120963199999</v>
      </c>
      <c r="CB71" s="8">
        <f>-5000*Escalation!$B$79</f>
        <v>-5630.8120963199999</v>
      </c>
      <c r="CC71" s="8">
        <f>-5000*Escalation!$B$80</f>
        <v>-5630.8120963199999</v>
      </c>
      <c r="CD71" s="8">
        <f>-5000*Escalation!$B$81</f>
        <v>-5630.8120963199999</v>
      </c>
      <c r="CE71" s="8">
        <f>-5000*Escalation!$B$82</f>
        <v>-5630.8120963199999</v>
      </c>
      <c r="CF71" s="8">
        <f>-5000*Escalation!$B$83</f>
        <v>-5630.8120963199999</v>
      </c>
      <c r="CG71" s="8">
        <f>-5000*Escalation!$B$84</f>
        <v>-5630.8120963199999</v>
      </c>
      <c r="CH71" s="8">
        <f>-5000*Escalation!$B$85</f>
        <v>-5630.8120963199999</v>
      </c>
      <c r="CI71" s="23"/>
    </row>
    <row r="72" spans="1:87" ht="15" customHeight="1" x14ac:dyDescent="0.25">
      <c r="A72" s="7" t="s">
        <v>169</v>
      </c>
      <c r="B72" s="22"/>
      <c r="C72" s="8">
        <f>-100*Escalation!$B$2</f>
        <v>-100</v>
      </c>
      <c r="D72" s="8">
        <f>-100*Escalation!$B$3</f>
        <v>-100</v>
      </c>
      <c r="E72" s="8">
        <f>-100*Escalation!$B$4</f>
        <v>-100</v>
      </c>
      <c r="F72" s="8">
        <f>-100*Escalation!$B$5</f>
        <v>-100</v>
      </c>
      <c r="G72" s="8">
        <f>-100*Escalation!$B$6</f>
        <v>-100</v>
      </c>
      <c r="H72" s="8">
        <f>-100*Escalation!$B$7</f>
        <v>-100</v>
      </c>
      <c r="I72" s="8">
        <f>-100*Escalation!$B$8</f>
        <v>-100</v>
      </c>
      <c r="J72" s="8">
        <f>-100*Escalation!$B$9</f>
        <v>-100</v>
      </c>
      <c r="K72" s="8">
        <f>-100*Escalation!$B$10</f>
        <v>-100</v>
      </c>
      <c r="L72" s="8">
        <f>-100*Escalation!$B$11</f>
        <v>-100</v>
      </c>
      <c r="M72" s="8">
        <f>-100*Escalation!$B$12</f>
        <v>-100</v>
      </c>
      <c r="N72" s="8">
        <f>-100*Escalation!$B$13</f>
        <v>-100</v>
      </c>
      <c r="O72" s="8">
        <f>-100*Escalation!$B$14</f>
        <v>-102</v>
      </c>
      <c r="P72" s="8">
        <f>-100*Escalation!$B$15</f>
        <v>-102</v>
      </c>
      <c r="Q72" s="8">
        <f>-100*Escalation!$B$16</f>
        <v>-102</v>
      </c>
      <c r="R72" s="8">
        <f>-100*Escalation!$B$17</f>
        <v>-102</v>
      </c>
      <c r="S72" s="8">
        <f>-100*Escalation!$B$18</f>
        <v>-102</v>
      </c>
      <c r="T72" s="8">
        <f>-100*Escalation!$B$19</f>
        <v>-102</v>
      </c>
      <c r="U72" s="8">
        <f>-100*Escalation!$B$20</f>
        <v>-102</v>
      </c>
      <c r="V72" s="8">
        <f>-100*Escalation!$B$21</f>
        <v>-102</v>
      </c>
      <c r="W72" s="8">
        <f>-100*Escalation!$B$22</f>
        <v>-102</v>
      </c>
      <c r="X72" s="8">
        <f>-100*Escalation!$B$23</f>
        <v>-102</v>
      </c>
      <c r="Y72" s="8">
        <f>-100*Escalation!$B$24</f>
        <v>-102</v>
      </c>
      <c r="Z72" s="8">
        <f>-100*Escalation!$B$25</f>
        <v>-102</v>
      </c>
      <c r="AA72" s="8">
        <f>-100*Escalation!$B$26</f>
        <v>-104.03999999999999</v>
      </c>
      <c r="AB72" s="8">
        <f>-100*Escalation!$B$27</f>
        <v>-104.03999999999999</v>
      </c>
      <c r="AC72" s="8">
        <f>-100*Escalation!$B$28</f>
        <v>-104.03999999999999</v>
      </c>
      <c r="AD72" s="8">
        <f>-100*Escalation!$B$29</f>
        <v>-104.03999999999999</v>
      </c>
      <c r="AE72" s="8">
        <f>-100*Escalation!$B$30</f>
        <v>-104.03999999999999</v>
      </c>
      <c r="AF72" s="8">
        <f>-100*Escalation!$B$31</f>
        <v>-104.03999999999999</v>
      </c>
      <c r="AG72" s="8">
        <f>-100*Escalation!$B$32</f>
        <v>-104.03999999999999</v>
      </c>
      <c r="AH72" s="8">
        <f>-100*Escalation!$B$33</f>
        <v>-104.03999999999999</v>
      </c>
      <c r="AI72" s="8">
        <f>-100*Escalation!$B$34</f>
        <v>-104.03999999999999</v>
      </c>
      <c r="AJ72" s="8">
        <f>-100*Escalation!$B$35</f>
        <v>-104.03999999999999</v>
      </c>
      <c r="AK72" s="8">
        <f>-100*Escalation!$B$36</f>
        <v>-104.03999999999999</v>
      </c>
      <c r="AL72" s="8">
        <f>-100*Escalation!$B$37</f>
        <v>-104.03999999999999</v>
      </c>
      <c r="AM72" s="8">
        <f>-100*Escalation!$B$38</f>
        <v>-106.12079999999999</v>
      </c>
      <c r="AN72" s="8">
        <f>-100*Escalation!$B$39</f>
        <v>-106.12079999999999</v>
      </c>
      <c r="AO72" s="8">
        <f>-100*Escalation!$B$40</f>
        <v>-106.12079999999999</v>
      </c>
      <c r="AP72" s="8">
        <f>-100*Escalation!$B$41</f>
        <v>-106.12079999999999</v>
      </c>
      <c r="AQ72" s="8">
        <f>-100*Escalation!$B$42</f>
        <v>-106.12079999999999</v>
      </c>
      <c r="AR72" s="8">
        <f>-100*Escalation!$B$43</f>
        <v>-106.12079999999999</v>
      </c>
      <c r="AS72" s="8">
        <f>-100*Escalation!$B$44</f>
        <v>-106.12079999999999</v>
      </c>
      <c r="AT72" s="8">
        <f>-100*Escalation!$B$45</f>
        <v>-106.12079999999999</v>
      </c>
      <c r="AU72" s="8">
        <f>-100*Escalation!$B$46</f>
        <v>-106.12079999999999</v>
      </c>
      <c r="AV72" s="8">
        <f>-100*Escalation!$B$47</f>
        <v>-106.12079999999999</v>
      </c>
      <c r="AW72" s="8">
        <f>-100*Escalation!$B$48</f>
        <v>-106.12079999999999</v>
      </c>
      <c r="AX72" s="8">
        <f>-100*Escalation!$B$49</f>
        <v>-106.12079999999999</v>
      </c>
      <c r="AY72" s="8">
        <f>-100*Escalation!$B$50</f>
        <v>-108.243216</v>
      </c>
      <c r="AZ72" s="8">
        <f>-100*Escalation!$B$51</f>
        <v>-108.243216</v>
      </c>
      <c r="BA72" s="8">
        <f>-100*Escalation!$B$52</f>
        <v>-108.243216</v>
      </c>
      <c r="BB72" s="8">
        <f>-100*Escalation!$B$53</f>
        <v>-108.243216</v>
      </c>
      <c r="BC72" s="8">
        <f>-100*Escalation!$B$54</f>
        <v>-108.243216</v>
      </c>
      <c r="BD72" s="8">
        <f>-100*Escalation!$B$55</f>
        <v>-108.243216</v>
      </c>
      <c r="BE72" s="8">
        <f>-100*Escalation!$B$56</f>
        <v>-108.243216</v>
      </c>
      <c r="BF72" s="8">
        <f>-100*Escalation!$B$57</f>
        <v>-108.243216</v>
      </c>
      <c r="BG72" s="8">
        <f>-100*Escalation!$B$58</f>
        <v>-108.243216</v>
      </c>
      <c r="BH72" s="8">
        <f>-100*Escalation!$B$59</f>
        <v>-108.243216</v>
      </c>
      <c r="BI72" s="8">
        <f>-100*Escalation!$B$60</f>
        <v>-108.243216</v>
      </c>
      <c r="BJ72" s="8">
        <f>-100*Escalation!$B$61</f>
        <v>-108.243216</v>
      </c>
      <c r="BK72" s="8">
        <f>-100*Escalation!$B$62</f>
        <v>-110.40808032</v>
      </c>
      <c r="BL72" s="8">
        <f>-100*Escalation!$B$63</f>
        <v>-110.40808032</v>
      </c>
      <c r="BM72" s="8">
        <f>-100*Escalation!$B$64</f>
        <v>-110.40808032</v>
      </c>
      <c r="BN72" s="8">
        <f>-100*Escalation!$B$65</f>
        <v>-110.40808032</v>
      </c>
      <c r="BO72" s="8">
        <f>-100*Escalation!$B$66</f>
        <v>-110.40808032</v>
      </c>
      <c r="BP72" s="8">
        <f>-100*Escalation!$B$67</f>
        <v>-110.40808032</v>
      </c>
      <c r="BQ72" s="8">
        <f>-100*Escalation!$B$68</f>
        <v>-110.40808032</v>
      </c>
      <c r="BR72" s="8">
        <f>-100*Escalation!$B$69</f>
        <v>-110.40808032</v>
      </c>
      <c r="BS72" s="8">
        <f>-100*Escalation!$B$70</f>
        <v>-110.40808032</v>
      </c>
      <c r="BT72" s="8">
        <f>-100*Escalation!$B$71</f>
        <v>-110.40808032</v>
      </c>
      <c r="BU72" s="8">
        <f>-100*Escalation!$B$72</f>
        <v>-110.40808032</v>
      </c>
      <c r="BV72" s="8">
        <f>-100*Escalation!$B$73</f>
        <v>-110.40808032</v>
      </c>
      <c r="BW72" s="8">
        <f>-100*Escalation!$B$74</f>
        <v>-112.61624192640001</v>
      </c>
      <c r="BX72" s="8">
        <f>-100*Escalation!$B$75</f>
        <v>-112.61624192640001</v>
      </c>
      <c r="BY72" s="8">
        <f>-100*Escalation!$B$76</f>
        <v>-112.61624192640001</v>
      </c>
      <c r="BZ72" s="8">
        <f>-100*Escalation!$B$77</f>
        <v>-112.61624192640001</v>
      </c>
      <c r="CA72" s="8">
        <f>-100*Escalation!$B$78</f>
        <v>-112.61624192640001</v>
      </c>
      <c r="CB72" s="8">
        <f>-100*Escalation!$B$79</f>
        <v>-112.61624192640001</v>
      </c>
      <c r="CC72" s="8">
        <f>-100*Escalation!$B$80</f>
        <v>-112.61624192640001</v>
      </c>
      <c r="CD72" s="8">
        <f>-100*Escalation!$B$81</f>
        <v>-112.61624192640001</v>
      </c>
      <c r="CE72" s="8">
        <f>-100*Escalation!$B$82</f>
        <v>-112.61624192640001</v>
      </c>
      <c r="CF72" s="8">
        <f>-100*Escalation!$B$83</f>
        <v>-112.61624192640001</v>
      </c>
      <c r="CG72" s="8">
        <f>-100*Escalation!$B$84</f>
        <v>-112.61624192640001</v>
      </c>
      <c r="CH72" s="8">
        <f>-100*Escalation!$B$85</f>
        <v>-112.61624192640001</v>
      </c>
      <c r="CI72" s="23"/>
    </row>
    <row r="73" spans="1:87" ht="15" customHeight="1" x14ac:dyDescent="0.25">
      <c r="A73" s="7" t="s">
        <v>170</v>
      </c>
      <c r="B73" s="22"/>
      <c r="C73" s="8">
        <f>-3000*Escalation!$B$2</f>
        <v>-3000</v>
      </c>
      <c r="D73" s="8">
        <f>-3000*Escalation!$B$3</f>
        <v>-3000</v>
      </c>
      <c r="E73" s="8">
        <f>-3000*Escalation!$B$4</f>
        <v>-3000</v>
      </c>
      <c r="F73" s="8">
        <f>-3000*Escalation!$B$5</f>
        <v>-3000</v>
      </c>
      <c r="G73" s="8">
        <f>-3000*Escalation!$B$6</f>
        <v>-3000</v>
      </c>
      <c r="H73" s="8">
        <f>-3000*Escalation!$B$7</f>
        <v>-3000</v>
      </c>
      <c r="I73" s="8">
        <f>-3000*Escalation!$B$8</f>
        <v>-3000</v>
      </c>
      <c r="J73" s="8">
        <f>-3000*Escalation!$B$9</f>
        <v>-3000</v>
      </c>
      <c r="K73" s="8">
        <f>-3000*Escalation!$B$10</f>
        <v>-3000</v>
      </c>
      <c r="L73" s="8">
        <f>-3000*Escalation!$B$11</f>
        <v>-3000</v>
      </c>
      <c r="M73" s="8">
        <f>-3000*Escalation!$B$12</f>
        <v>-3000</v>
      </c>
      <c r="N73" s="8">
        <f>-3000*Escalation!$B$13</f>
        <v>-3000</v>
      </c>
      <c r="O73" s="8">
        <f>-3000*Escalation!$B$14</f>
        <v>-3060</v>
      </c>
      <c r="P73" s="8">
        <f>-3000*Escalation!$B$15</f>
        <v>-3060</v>
      </c>
      <c r="Q73" s="8">
        <f>-3000*Escalation!$B$16</f>
        <v>-3060</v>
      </c>
      <c r="R73" s="8">
        <f>-3000*Escalation!$B$17</f>
        <v>-3060</v>
      </c>
      <c r="S73" s="8">
        <f>-3000*Escalation!$B$18</f>
        <v>-3060</v>
      </c>
      <c r="T73" s="8">
        <f>-3000*Escalation!$B$19</f>
        <v>-3060</v>
      </c>
      <c r="U73" s="8">
        <f>-3000*Escalation!$B$20</f>
        <v>-3060</v>
      </c>
      <c r="V73" s="8">
        <f>-3000*Escalation!$B$21</f>
        <v>-3060</v>
      </c>
      <c r="W73" s="8">
        <f>-3000*Escalation!$B$22</f>
        <v>-3060</v>
      </c>
      <c r="X73" s="8">
        <f>-3000*Escalation!$B$23</f>
        <v>-3060</v>
      </c>
      <c r="Y73" s="8">
        <f>-3000*Escalation!$B$24</f>
        <v>-3060</v>
      </c>
      <c r="Z73" s="8">
        <f>-3000*Escalation!$B$25</f>
        <v>-3060</v>
      </c>
      <c r="AA73" s="8">
        <f>-3000*Escalation!$B$26</f>
        <v>-3121.2</v>
      </c>
      <c r="AB73" s="8">
        <f>-3000*Escalation!$B$27</f>
        <v>-3121.2</v>
      </c>
      <c r="AC73" s="8">
        <f>-3000*Escalation!$B$28</f>
        <v>-3121.2</v>
      </c>
      <c r="AD73" s="8">
        <f>-3000*Escalation!$B$29</f>
        <v>-3121.2</v>
      </c>
      <c r="AE73" s="8">
        <f>-3000*Escalation!$B$30</f>
        <v>-3121.2</v>
      </c>
      <c r="AF73" s="8">
        <f>-3000*Escalation!$B$31</f>
        <v>-3121.2</v>
      </c>
      <c r="AG73" s="8">
        <f>-3000*Escalation!$B$32</f>
        <v>-3121.2</v>
      </c>
      <c r="AH73" s="8">
        <f>-3000*Escalation!$B$33</f>
        <v>-3121.2</v>
      </c>
      <c r="AI73" s="8">
        <f>-3000*Escalation!$B$34</f>
        <v>-3121.2</v>
      </c>
      <c r="AJ73" s="8">
        <f>-3000*Escalation!$B$35</f>
        <v>-3121.2</v>
      </c>
      <c r="AK73" s="8">
        <f>-3000*Escalation!$B$36</f>
        <v>-3121.2</v>
      </c>
      <c r="AL73" s="8">
        <f>-3000*Escalation!$B$37</f>
        <v>-3121.2</v>
      </c>
      <c r="AM73" s="8">
        <f>-3000*Escalation!$B$38</f>
        <v>-3183.6239999999998</v>
      </c>
      <c r="AN73" s="8">
        <f>-3000*Escalation!$B$39</f>
        <v>-3183.6239999999998</v>
      </c>
      <c r="AO73" s="8">
        <f>-3000*Escalation!$B$40</f>
        <v>-3183.6239999999998</v>
      </c>
      <c r="AP73" s="8">
        <f>-3000*Escalation!$B$41</f>
        <v>-3183.6239999999998</v>
      </c>
      <c r="AQ73" s="8">
        <f>-3000*Escalation!$B$42</f>
        <v>-3183.6239999999998</v>
      </c>
      <c r="AR73" s="8">
        <f>-3000*Escalation!$B$43</f>
        <v>-3183.6239999999998</v>
      </c>
      <c r="AS73" s="8">
        <f>-3000*Escalation!$B$44</f>
        <v>-3183.6239999999998</v>
      </c>
      <c r="AT73" s="8">
        <f>-3000*Escalation!$B$45</f>
        <v>-3183.6239999999998</v>
      </c>
      <c r="AU73" s="8">
        <f>-3000*Escalation!$B$46</f>
        <v>-3183.6239999999998</v>
      </c>
      <c r="AV73" s="8">
        <f>-3000*Escalation!$B$47</f>
        <v>-3183.6239999999998</v>
      </c>
      <c r="AW73" s="8">
        <f>-3000*Escalation!$B$48</f>
        <v>-3183.6239999999998</v>
      </c>
      <c r="AX73" s="8">
        <f>-3000*Escalation!$B$49</f>
        <v>-3183.6239999999998</v>
      </c>
      <c r="AY73" s="8">
        <f>-3000*Escalation!$B$50</f>
        <v>-3247.29648</v>
      </c>
      <c r="AZ73" s="8">
        <f>-3000*Escalation!$B$51</f>
        <v>-3247.29648</v>
      </c>
      <c r="BA73" s="8">
        <f>-3000*Escalation!$B$52</f>
        <v>-3247.29648</v>
      </c>
      <c r="BB73" s="8">
        <f>-3000*Escalation!$B$53</f>
        <v>-3247.29648</v>
      </c>
      <c r="BC73" s="8">
        <f>-3000*Escalation!$B$54</f>
        <v>-3247.29648</v>
      </c>
      <c r="BD73" s="8">
        <f>-3000*Escalation!$B$55</f>
        <v>-3247.29648</v>
      </c>
      <c r="BE73" s="8">
        <f>-3000*Escalation!$B$56</f>
        <v>-3247.29648</v>
      </c>
      <c r="BF73" s="8">
        <f>-3000*Escalation!$B$57</f>
        <v>-3247.29648</v>
      </c>
      <c r="BG73" s="8">
        <f>-3000*Escalation!$B$58</f>
        <v>-3247.29648</v>
      </c>
      <c r="BH73" s="8">
        <f>-3000*Escalation!$B$59</f>
        <v>-3247.29648</v>
      </c>
      <c r="BI73" s="8">
        <f>-3000*Escalation!$B$60</f>
        <v>-3247.29648</v>
      </c>
      <c r="BJ73" s="8">
        <f>-3000*Escalation!$B$61</f>
        <v>-3247.29648</v>
      </c>
      <c r="BK73" s="8">
        <f>-3000*Escalation!$B$62</f>
        <v>-3312.2424096</v>
      </c>
      <c r="BL73" s="8">
        <f>-3000*Escalation!$B$63</f>
        <v>-3312.2424096</v>
      </c>
      <c r="BM73" s="8">
        <f>-3000*Escalation!$B$64</f>
        <v>-3312.2424096</v>
      </c>
      <c r="BN73" s="8">
        <f>-3000*Escalation!$B$65</f>
        <v>-3312.2424096</v>
      </c>
      <c r="BO73" s="8">
        <f>-3000*Escalation!$B$66</f>
        <v>-3312.2424096</v>
      </c>
      <c r="BP73" s="8">
        <f>-3000*Escalation!$B$67</f>
        <v>-3312.2424096</v>
      </c>
      <c r="BQ73" s="8">
        <f>-3000*Escalation!$B$68</f>
        <v>-3312.2424096</v>
      </c>
      <c r="BR73" s="8">
        <f>-3000*Escalation!$B$69</f>
        <v>-3312.2424096</v>
      </c>
      <c r="BS73" s="8">
        <f>-3000*Escalation!$B$70</f>
        <v>-3312.2424096</v>
      </c>
      <c r="BT73" s="8">
        <f>-3000*Escalation!$B$71</f>
        <v>-3312.2424096</v>
      </c>
      <c r="BU73" s="8">
        <f>-3000*Escalation!$B$72</f>
        <v>-3312.2424096</v>
      </c>
      <c r="BV73" s="8">
        <f>-3000*Escalation!$B$73</f>
        <v>-3312.2424096</v>
      </c>
      <c r="BW73" s="8">
        <f>-3000*Escalation!$B$74</f>
        <v>-3378.487257792</v>
      </c>
      <c r="BX73" s="8">
        <f>-3000*Escalation!$B$75</f>
        <v>-3378.487257792</v>
      </c>
      <c r="BY73" s="8">
        <f>-3000*Escalation!$B$76</f>
        <v>-3378.487257792</v>
      </c>
      <c r="BZ73" s="8">
        <f>-3000*Escalation!$B$77</f>
        <v>-3378.487257792</v>
      </c>
      <c r="CA73" s="8">
        <f>-3000*Escalation!$B$78</f>
        <v>-3378.487257792</v>
      </c>
      <c r="CB73" s="8">
        <f>-3000*Escalation!$B$79</f>
        <v>-3378.487257792</v>
      </c>
      <c r="CC73" s="8">
        <f>-3000*Escalation!$B$80</f>
        <v>-3378.487257792</v>
      </c>
      <c r="CD73" s="8">
        <f>-3000*Escalation!$B$81</f>
        <v>-3378.487257792</v>
      </c>
      <c r="CE73" s="8">
        <f>-3000*Escalation!$B$82</f>
        <v>-3378.487257792</v>
      </c>
      <c r="CF73" s="8">
        <f>-3000*Escalation!$B$83</f>
        <v>-3378.487257792</v>
      </c>
      <c r="CG73" s="8">
        <f>-3000*Escalation!$B$84</f>
        <v>-3378.487257792</v>
      </c>
      <c r="CH73" s="8">
        <f>-3000*Escalation!$B$85</f>
        <v>-3378.487257792</v>
      </c>
      <c r="CI73" s="23"/>
    </row>
    <row r="74" spans="1:87" ht="15" customHeight="1" x14ac:dyDescent="0.25">
      <c r="A74" s="7" t="s">
        <v>171</v>
      </c>
      <c r="B74" s="22"/>
      <c r="C74" s="8">
        <f>-2500*Escalation!$B$2</f>
        <v>-2500</v>
      </c>
      <c r="D74" s="8">
        <f>-2500*Escalation!$B$3</f>
        <v>-2500</v>
      </c>
      <c r="E74" s="8">
        <f>-2500*Escalation!$B$4</f>
        <v>-2500</v>
      </c>
      <c r="F74" s="8">
        <f>-2500*Escalation!$B$5</f>
        <v>-2500</v>
      </c>
      <c r="G74" s="8">
        <f>-2500*Escalation!$B$6</f>
        <v>-2500</v>
      </c>
      <c r="H74" s="8">
        <f>-2500*Escalation!$B$7</f>
        <v>-2500</v>
      </c>
      <c r="I74" s="8">
        <f>-2500*Escalation!$B$8</f>
        <v>-2500</v>
      </c>
      <c r="J74" s="8">
        <f>-2500*Escalation!$B$9</f>
        <v>-2500</v>
      </c>
      <c r="K74" s="8">
        <f>-2500*Escalation!$B$10</f>
        <v>-2500</v>
      </c>
      <c r="L74" s="8">
        <f>-2500*Escalation!$B$11</f>
        <v>-2500</v>
      </c>
      <c r="M74" s="8">
        <f>-2500*Escalation!$B$12</f>
        <v>-2500</v>
      </c>
      <c r="N74" s="8">
        <f>-2500*Escalation!$B$13</f>
        <v>-2500</v>
      </c>
      <c r="O74" s="8">
        <f>-2500*Escalation!$B$14</f>
        <v>-2550</v>
      </c>
      <c r="P74" s="8">
        <f>-2500*Escalation!$B$15</f>
        <v>-2550</v>
      </c>
      <c r="Q74" s="8">
        <f>-2500*Escalation!$B$16</f>
        <v>-2550</v>
      </c>
      <c r="R74" s="8">
        <f>-2500*Escalation!$B$17</f>
        <v>-2550</v>
      </c>
      <c r="S74" s="8">
        <f>-2500*Escalation!$B$18</f>
        <v>-2550</v>
      </c>
      <c r="T74" s="8">
        <f>-2500*Escalation!$B$19</f>
        <v>-2550</v>
      </c>
      <c r="U74" s="8">
        <f>-2500*Escalation!$B$20</f>
        <v>-2550</v>
      </c>
      <c r="V74" s="8">
        <f>-2500*Escalation!$B$21</f>
        <v>-2550</v>
      </c>
      <c r="W74" s="8">
        <f>-2500*Escalation!$B$22</f>
        <v>-2550</v>
      </c>
      <c r="X74" s="8">
        <f>-2500*Escalation!$B$23</f>
        <v>-2550</v>
      </c>
      <c r="Y74" s="8">
        <f>-2500*Escalation!$B$24</f>
        <v>-2550</v>
      </c>
      <c r="Z74" s="8">
        <f>-2500*Escalation!$B$25</f>
        <v>-2550</v>
      </c>
      <c r="AA74" s="8">
        <f>-2500*Escalation!$B$26</f>
        <v>-2601</v>
      </c>
      <c r="AB74" s="8">
        <f>-2500*Escalation!$B$27</f>
        <v>-2601</v>
      </c>
      <c r="AC74" s="8">
        <f>-2500*Escalation!$B$28</f>
        <v>-2601</v>
      </c>
      <c r="AD74" s="8">
        <f>-2500*Escalation!$B$29</f>
        <v>-2601</v>
      </c>
      <c r="AE74" s="8">
        <f>-2500*Escalation!$B$30</f>
        <v>-2601</v>
      </c>
      <c r="AF74" s="8">
        <f>-2500*Escalation!$B$31</f>
        <v>-2601</v>
      </c>
      <c r="AG74" s="8">
        <f>-2500*Escalation!$B$32</f>
        <v>-2601</v>
      </c>
      <c r="AH74" s="8">
        <f>-2500*Escalation!$B$33</f>
        <v>-2601</v>
      </c>
      <c r="AI74" s="8">
        <f>-2500*Escalation!$B$34</f>
        <v>-2601</v>
      </c>
      <c r="AJ74" s="8">
        <f>-2500*Escalation!$B$35</f>
        <v>-2601</v>
      </c>
      <c r="AK74" s="8">
        <f>-2500*Escalation!$B$36</f>
        <v>-2601</v>
      </c>
      <c r="AL74" s="8">
        <f>-2500*Escalation!$B$37</f>
        <v>-2601</v>
      </c>
      <c r="AM74" s="8">
        <f>-2500*Escalation!$B$38</f>
        <v>-2653.02</v>
      </c>
      <c r="AN74" s="8">
        <f>-2500*Escalation!$B$39</f>
        <v>-2653.02</v>
      </c>
      <c r="AO74" s="8">
        <f>-2500*Escalation!$B$40</f>
        <v>-2653.02</v>
      </c>
      <c r="AP74" s="8">
        <f>-2500*Escalation!$B$41</f>
        <v>-2653.02</v>
      </c>
      <c r="AQ74" s="8">
        <f>-2500*Escalation!$B$42</f>
        <v>-2653.02</v>
      </c>
      <c r="AR74" s="8">
        <f>-2500*Escalation!$B$43</f>
        <v>-2653.02</v>
      </c>
      <c r="AS74" s="8">
        <f>-2500*Escalation!$B$44</f>
        <v>-2653.02</v>
      </c>
      <c r="AT74" s="8">
        <f>-2500*Escalation!$B$45</f>
        <v>-2653.02</v>
      </c>
      <c r="AU74" s="8">
        <f>-2500*Escalation!$B$46</f>
        <v>-2653.02</v>
      </c>
      <c r="AV74" s="8">
        <f>-2500*Escalation!$B$47</f>
        <v>-2653.02</v>
      </c>
      <c r="AW74" s="8">
        <f>-2500*Escalation!$B$48</f>
        <v>-2653.02</v>
      </c>
      <c r="AX74" s="8">
        <f>-2500*Escalation!$B$49</f>
        <v>-2653.02</v>
      </c>
      <c r="AY74" s="8">
        <f>-2500*Escalation!$B$50</f>
        <v>-2706.0803999999998</v>
      </c>
      <c r="AZ74" s="8">
        <f>-2500*Escalation!$B$51</f>
        <v>-2706.0803999999998</v>
      </c>
      <c r="BA74" s="8">
        <f>-2500*Escalation!$B$52</f>
        <v>-2706.0803999999998</v>
      </c>
      <c r="BB74" s="8">
        <f>-2500*Escalation!$B$53</f>
        <v>-2706.0803999999998</v>
      </c>
      <c r="BC74" s="8">
        <f>-2500*Escalation!$B$54</f>
        <v>-2706.0803999999998</v>
      </c>
      <c r="BD74" s="8">
        <f>-2500*Escalation!$B$55</f>
        <v>-2706.0803999999998</v>
      </c>
      <c r="BE74" s="8">
        <f>-2500*Escalation!$B$56</f>
        <v>-2706.0803999999998</v>
      </c>
      <c r="BF74" s="8">
        <f>-2500*Escalation!$B$57</f>
        <v>-2706.0803999999998</v>
      </c>
      <c r="BG74" s="8">
        <f>-2500*Escalation!$B$58</f>
        <v>-2706.0803999999998</v>
      </c>
      <c r="BH74" s="8">
        <f>-2500*Escalation!$B$59</f>
        <v>-2706.0803999999998</v>
      </c>
      <c r="BI74" s="8">
        <f>-2500*Escalation!$B$60</f>
        <v>-2706.0803999999998</v>
      </c>
      <c r="BJ74" s="8">
        <f>-2500*Escalation!$B$61</f>
        <v>-2706.0803999999998</v>
      </c>
      <c r="BK74" s="8">
        <f>-2500*Escalation!$B$62</f>
        <v>-2760.2020080000002</v>
      </c>
      <c r="BL74" s="8">
        <f>-2500*Escalation!$B$63</f>
        <v>-2760.2020080000002</v>
      </c>
      <c r="BM74" s="8">
        <f>-2500*Escalation!$B$64</f>
        <v>-2760.2020080000002</v>
      </c>
      <c r="BN74" s="8">
        <f>-2500*Escalation!$B$65</f>
        <v>-2760.2020080000002</v>
      </c>
      <c r="BO74" s="8">
        <f>-2500*Escalation!$B$66</f>
        <v>-2760.2020080000002</v>
      </c>
      <c r="BP74" s="8">
        <f>-2500*Escalation!$B$67</f>
        <v>-2760.2020080000002</v>
      </c>
      <c r="BQ74" s="8">
        <f>-2500*Escalation!$B$68</f>
        <v>-2760.2020080000002</v>
      </c>
      <c r="BR74" s="8">
        <f>-2500*Escalation!$B$69</f>
        <v>-2760.2020080000002</v>
      </c>
      <c r="BS74" s="8">
        <f>-2500*Escalation!$B$70</f>
        <v>-2760.2020080000002</v>
      </c>
      <c r="BT74" s="8">
        <f>-2500*Escalation!$B$71</f>
        <v>-2760.2020080000002</v>
      </c>
      <c r="BU74" s="8">
        <f>-2500*Escalation!$B$72</f>
        <v>-2760.2020080000002</v>
      </c>
      <c r="BV74" s="8">
        <f>-2500*Escalation!$B$73</f>
        <v>-2760.2020080000002</v>
      </c>
      <c r="BW74" s="8">
        <f>-2500*Escalation!$B$74</f>
        <v>-2815.40604816</v>
      </c>
      <c r="BX74" s="8">
        <f>-2500*Escalation!$B$75</f>
        <v>-2815.40604816</v>
      </c>
      <c r="BY74" s="8">
        <f>-2500*Escalation!$B$76</f>
        <v>-2815.40604816</v>
      </c>
      <c r="BZ74" s="8">
        <f>-2500*Escalation!$B$77</f>
        <v>-2815.40604816</v>
      </c>
      <c r="CA74" s="8">
        <f>-2500*Escalation!$B$78</f>
        <v>-2815.40604816</v>
      </c>
      <c r="CB74" s="8">
        <f>-2500*Escalation!$B$79</f>
        <v>-2815.40604816</v>
      </c>
      <c r="CC74" s="8">
        <f>-2500*Escalation!$B$80</f>
        <v>-2815.40604816</v>
      </c>
      <c r="CD74" s="8">
        <f>-2500*Escalation!$B$81</f>
        <v>-2815.40604816</v>
      </c>
      <c r="CE74" s="8">
        <f>-2500*Escalation!$B$82</f>
        <v>-2815.40604816</v>
      </c>
      <c r="CF74" s="8">
        <f>-2500*Escalation!$B$83</f>
        <v>-2815.40604816</v>
      </c>
      <c r="CG74" s="8">
        <f>-2500*Escalation!$B$84</f>
        <v>-2815.40604816</v>
      </c>
      <c r="CH74" s="8">
        <f>-2500*Escalation!$B$85</f>
        <v>-2815.40604816</v>
      </c>
      <c r="CI74" s="23"/>
    </row>
    <row r="75" spans="1:87" ht="15" customHeight="1" x14ac:dyDescent="0.25">
      <c r="A75" s="7" t="s">
        <v>172</v>
      </c>
      <c r="B75" s="22"/>
      <c r="C75" s="8">
        <f>-2100*Escalation!$B$2</f>
        <v>-2100</v>
      </c>
      <c r="D75" s="8">
        <f>-2100*Escalation!$B$3</f>
        <v>-2100</v>
      </c>
      <c r="E75" s="8">
        <f>-2100*Escalation!$B$4</f>
        <v>-2100</v>
      </c>
      <c r="F75" s="8">
        <f>-2100*Escalation!$B$5</f>
        <v>-2100</v>
      </c>
      <c r="G75" s="8">
        <f>-2100*Escalation!$B$6</f>
        <v>-2100</v>
      </c>
      <c r="H75" s="8">
        <f>-2100*Escalation!$B$7</f>
        <v>-2100</v>
      </c>
      <c r="I75" s="8">
        <f>-2100*Escalation!$B$8</f>
        <v>-2100</v>
      </c>
      <c r="J75" s="8">
        <f>-2100*Escalation!$B$9</f>
        <v>-2100</v>
      </c>
      <c r="K75" s="8">
        <f>-2100*Escalation!$B$10</f>
        <v>-2100</v>
      </c>
      <c r="L75" s="8">
        <f>-2100*Escalation!$B$11</f>
        <v>-2100</v>
      </c>
      <c r="M75" s="8">
        <f>-2100*Escalation!$B$12</f>
        <v>-2100</v>
      </c>
      <c r="N75" s="8">
        <f>-2100*Escalation!$B$13</f>
        <v>-2100</v>
      </c>
      <c r="O75" s="8">
        <f>-2100*Escalation!$B$14</f>
        <v>-2142</v>
      </c>
      <c r="P75" s="8">
        <f>-2100*Escalation!$B$15</f>
        <v>-2142</v>
      </c>
      <c r="Q75" s="8">
        <f>-2100*Escalation!$B$16</f>
        <v>-2142</v>
      </c>
      <c r="R75" s="8">
        <f>-2100*Escalation!$B$17</f>
        <v>-2142</v>
      </c>
      <c r="S75" s="8">
        <f>-2100*Escalation!$B$18</f>
        <v>-2142</v>
      </c>
      <c r="T75" s="8">
        <f>-2100*Escalation!$B$19</f>
        <v>-2142</v>
      </c>
      <c r="U75" s="8">
        <f>-2100*Escalation!$B$20</f>
        <v>-2142</v>
      </c>
      <c r="V75" s="8">
        <f>-2100*Escalation!$B$21</f>
        <v>-2142</v>
      </c>
      <c r="W75" s="8">
        <f>-2100*Escalation!$B$22</f>
        <v>-2142</v>
      </c>
      <c r="X75" s="8">
        <f>-2100*Escalation!$B$23</f>
        <v>-2142</v>
      </c>
      <c r="Y75" s="8">
        <f>-2100*Escalation!$B$24</f>
        <v>-2142</v>
      </c>
      <c r="Z75" s="8">
        <f>-2100*Escalation!$B$25</f>
        <v>-2142</v>
      </c>
      <c r="AA75" s="8">
        <f>-2100*Escalation!$B$26</f>
        <v>-2184.84</v>
      </c>
      <c r="AB75" s="8">
        <f>-2100*Escalation!$B$27</f>
        <v>-2184.84</v>
      </c>
      <c r="AC75" s="8">
        <f>-2100*Escalation!$B$28</f>
        <v>-2184.84</v>
      </c>
      <c r="AD75" s="8">
        <f>-2100*Escalation!$B$29</f>
        <v>-2184.84</v>
      </c>
      <c r="AE75" s="8">
        <f>-2100*Escalation!$B$30</f>
        <v>-2184.84</v>
      </c>
      <c r="AF75" s="8">
        <f>-2100*Escalation!$B$31</f>
        <v>-2184.84</v>
      </c>
      <c r="AG75" s="8">
        <f>-2100*Escalation!$B$32</f>
        <v>-2184.84</v>
      </c>
      <c r="AH75" s="8">
        <f>-2100*Escalation!$B$33</f>
        <v>-2184.84</v>
      </c>
      <c r="AI75" s="8">
        <f>-2100*Escalation!$B$34</f>
        <v>-2184.84</v>
      </c>
      <c r="AJ75" s="8">
        <f>-2100*Escalation!$B$35</f>
        <v>-2184.84</v>
      </c>
      <c r="AK75" s="8">
        <f>-2100*Escalation!$B$36</f>
        <v>-2184.84</v>
      </c>
      <c r="AL75" s="8">
        <f>-2100*Escalation!$B$37</f>
        <v>-2184.84</v>
      </c>
      <c r="AM75" s="8">
        <f>-2100*Escalation!$B$38</f>
        <v>-2228.5367999999999</v>
      </c>
      <c r="AN75" s="8">
        <f>-2100*Escalation!$B$39</f>
        <v>-2228.5367999999999</v>
      </c>
      <c r="AO75" s="8">
        <f>-2100*Escalation!$B$40</f>
        <v>-2228.5367999999999</v>
      </c>
      <c r="AP75" s="8">
        <f>-2100*Escalation!$B$41</f>
        <v>-2228.5367999999999</v>
      </c>
      <c r="AQ75" s="8">
        <f>-2100*Escalation!$B$42</f>
        <v>-2228.5367999999999</v>
      </c>
      <c r="AR75" s="8">
        <f>-2100*Escalation!$B$43</f>
        <v>-2228.5367999999999</v>
      </c>
      <c r="AS75" s="8">
        <f>-2100*Escalation!$B$44</f>
        <v>-2228.5367999999999</v>
      </c>
      <c r="AT75" s="8">
        <f>-2100*Escalation!$B$45</f>
        <v>-2228.5367999999999</v>
      </c>
      <c r="AU75" s="8">
        <f>-2100*Escalation!$B$46</f>
        <v>-2228.5367999999999</v>
      </c>
      <c r="AV75" s="8">
        <f>-2100*Escalation!$B$47</f>
        <v>-2228.5367999999999</v>
      </c>
      <c r="AW75" s="8">
        <f>-2100*Escalation!$B$48</f>
        <v>-2228.5367999999999</v>
      </c>
      <c r="AX75" s="8">
        <f>-2100*Escalation!$B$49</f>
        <v>-2228.5367999999999</v>
      </c>
      <c r="AY75" s="8">
        <f>-2100*Escalation!$B$50</f>
        <v>-2273.107536</v>
      </c>
      <c r="AZ75" s="8">
        <f>-2100*Escalation!$B$51</f>
        <v>-2273.107536</v>
      </c>
      <c r="BA75" s="8">
        <f>-2100*Escalation!$B$52</f>
        <v>-2273.107536</v>
      </c>
      <c r="BB75" s="8">
        <f>-2100*Escalation!$B$53</f>
        <v>-2273.107536</v>
      </c>
      <c r="BC75" s="8">
        <f>-2100*Escalation!$B$54</f>
        <v>-2273.107536</v>
      </c>
      <c r="BD75" s="8">
        <f>-2100*Escalation!$B$55</f>
        <v>-2273.107536</v>
      </c>
      <c r="BE75" s="8">
        <f>-2100*Escalation!$B$56</f>
        <v>-2273.107536</v>
      </c>
      <c r="BF75" s="8">
        <f>-2100*Escalation!$B$57</f>
        <v>-2273.107536</v>
      </c>
      <c r="BG75" s="8">
        <f>-2100*Escalation!$B$58</f>
        <v>-2273.107536</v>
      </c>
      <c r="BH75" s="8">
        <f>-2100*Escalation!$B$59</f>
        <v>-2273.107536</v>
      </c>
      <c r="BI75" s="8">
        <f>-2100*Escalation!$B$60</f>
        <v>-2273.107536</v>
      </c>
      <c r="BJ75" s="8">
        <f>-2100*Escalation!$B$61</f>
        <v>-2273.107536</v>
      </c>
      <c r="BK75" s="8">
        <f>-2100*Escalation!$B$62</f>
        <v>-2318.5696867199999</v>
      </c>
      <c r="BL75" s="8">
        <f>-2100*Escalation!$B$63</f>
        <v>-2318.5696867199999</v>
      </c>
      <c r="BM75" s="8">
        <f>-2100*Escalation!$B$64</f>
        <v>-2318.5696867199999</v>
      </c>
      <c r="BN75" s="8">
        <f>-2100*Escalation!$B$65</f>
        <v>-2318.5696867199999</v>
      </c>
      <c r="BO75" s="8">
        <f>-2100*Escalation!$B$66</f>
        <v>-2318.5696867199999</v>
      </c>
      <c r="BP75" s="8">
        <f>-2100*Escalation!$B$67</f>
        <v>-2318.5696867199999</v>
      </c>
      <c r="BQ75" s="8">
        <f>-2100*Escalation!$B$68</f>
        <v>-2318.5696867199999</v>
      </c>
      <c r="BR75" s="8">
        <f>-2100*Escalation!$B$69</f>
        <v>-2318.5696867199999</v>
      </c>
      <c r="BS75" s="8">
        <f>-2100*Escalation!$B$70</f>
        <v>-2318.5696867199999</v>
      </c>
      <c r="BT75" s="8">
        <f>-2100*Escalation!$B$71</f>
        <v>-2318.5696867199999</v>
      </c>
      <c r="BU75" s="8">
        <f>-2100*Escalation!$B$72</f>
        <v>-2318.5696867199999</v>
      </c>
      <c r="BV75" s="8">
        <f>-2100*Escalation!$B$73</f>
        <v>-2318.5696867199999</v>
      </c>
      <c r="BW75" s="8">
        <f>-2100*Escalation!$B$74</f>
        <v>-2364.9410804544</v>
      </c>
      <c r="BX75" s="8">
        <f>-2100*Escalation!$B$75</f>
        <v>-2364.9410804544</v>
      </c>
      <c r="BY75" s="8">
        <f>-2100*Escalation!$B$76</f>
        <v>-2364.9410804544</v>
      </c>
      <c r="BZ75" s="8">
        <f>-2100*Escalation!$B$77</f>
        <v>-2364.9410804544</v>
      </c>
      <c r="CA75" s="8">
        <f>-2100*Escalation!$B$78</f>
        <v>-2364.9410804544</v>
      </c>
      <c r="CB75" s="8">
        <f>-2100*Escalation!$B$79</f>
        <v>-2364.9410804544</v>
      </c>
      <c r="CC75" s="8">
        <f>-2100*Escalation!$B$80</f>
        <v>-2364.9410804544</v>
      </c>
      <c r="CD75" s="8">
        <f>-2100*Escalation!$B$81</f>
        <v>-2364.9410804544</v>
      </c>
      <c r="CE75" s="8">
        <f>-2100*Escalation!$B$82</f>
        <v>-2364.9410804544</v>
      </c>
      <c r="CF75" s="8">
        <f>-2100*Escalation!$B$83</f>
        <v>-2364.9410804544</v>
      </c>
      <c r="CG75" s="8">
        <f>-2100*Escalation!$B$84</f>
        <v>-2364.9410804544</v>
      </c>
      <c r="CH75" s="8">
        <f>-2100*Escalation!$B$85</f>
        <v>-2364.9410804544</v>
      </c>
      <c r="CI75" s="23"/>
    </row>
    <row r="76" spans="1:87" ht="15" customHeight="1" x14ac:dyDescent="0.25">
      <c r="A76" s="7" t="s">
        <v>173</v>
      </c>
      <c r="B76" s="22"/>
      <c r="C76" s="8">
        <f>-2500*Escalation!$B$2</f>
        <v>-2500</v>
      </c>
      <c r="D76" s="8">
        <f>-2500*Escalation!$B$3</f>
        <v>-2500</v>
      </c>
      <c r="E76" s="8">
        <f>-2500*Escalation!$B$4</f>
        <v>-2500</v>
      </c>
      <c r="F76" s="8">
        <f>-2500*Escalation!$B$5</f>
        <v>-2500</v>
      </c>
      <c r="G76" s="8">
        <f>-2500*Escalation!$B$6</f>
        <v>-2500</v>
      </c>
      <c r="H76" s="8">
        <f>-2500*Escalation!$B$7</f>
        <v>-2500</v>
      </c>
      <c r="I76" s="8">
        <f>-2500*Escalation!$B$8</f>
        <v>-2500</v>
      </c>
      <c r="J76" s="8">
        <f>-2500*Escalation!$B$9</f>
        <v>-2500</v>
      </c>
      <c r="K76" s="8">
        <f>-2500*Escalation!$B$10</f>
        <v>-2500</v>
      </c>
      <c r="L76" s="8">
        <f>-2500*Escalation!$B$11</f>
        <v>-2500</v>
      </c>
      <c r="M76" s="8">
        <f>-2500*Escalation!$B$12</f>
        <v>-2500</v>
      </c>
      <c r="N76" s="8">
        <f>-2500*Escalation!$B$13</f>
        <v>-2500</v>
      </c>
      <c r="O76" s="8">
        <f>-2500*Escalation!$B$14</f>
        <v>-2550</v>
      </c>
      <c r="P76" s="8">
        <f>-2500*Escalation!$B$15</f>
        <v>-2550</v>
      </c>
      <c r="Q76" s="8">
        <f>-2500*Escalation!$B$16</f>
        <v>-2550</v>
      </c>
      <c r="R76" s="8">
        <f>-2500*Escalation!$B$17</f>
        <v>-2550</v>
      </c>
      <c r="S76" s="8">
        <f>-2500*Escalation!$B$18</f>
        <v>-2550</v>
      </c>
      <c r="T76" s="8">
        <f>-2500*Escalation!$B$19</f>
        <v>-2550</v>
      </c>
      <c r="U76" s="8">
        <f>-2500*Escalation!$B$20</f>
        <v>-2550</v>
      </c>
      <c r="V76" s="8">
        <f>-2500*Escalation!$B$21</f>
        <v>-2550</v>
      </c>
      <c r="W76" s="8">
        <f>-2500*Escalation!$B$22</f>
        <v>-2550</v>
      </c>
      <c r="X76" s="8">
        <f>-2500*Escalation!$B$23</f>
        <v>-2550</v>
      </c>
      <c r="Y76" s="8">
        <f>-2500*Escalation!$B$24</f>
        <v>-2550</v>
      </c>
      <c r="Z76" s="8">
        <f>-2500*Escalation!$B$25</f>
        <v>-2550</v>
      </c>
      <c r="AA76" s="8">
        <f>-2500*Escalation!$B$26</f>
        <v>-2601</v>
      </c>
      <c r="AB76" s="8">
        <f>-2500*Escalation!$B$27</f>
        <v>-2601</v>
      </c>
      <c r="AC76" s="8">
        <f>-2500*Escalation!$B$28</f>
        <v>-2601</v>
      </c>
      <c r="AD76" s="8">
        <f>-2500*Escalation!$B$29</f>
        <v>-2601</v>
      </c>
      <c r="AE76" s="8">
        <f>-2500*Escalation!$B$30</f>
        <v>-2601</v>
      </c>
      <c r="AF76" s="8">
        <f>-2500*Escalation!$B$31</f>
        <v>-2601</v>
      </c>
      <c r="AG76" s="8">
        <f>-2500*Escalation!$B$32</f>
        <v>-2601</v>
      </c>
      <c r="AH76" s="8">
        <f>-2500*Escalation!$B$33</f>
        <v>-2601</v>
      </c>
      <c r="AI76" s="8">
        <f>-2500*Escalation!$B$34</f>
        <v>-2601</v>
      </c>
      <c r="AJ76" s="8">
        <f>-2500*Escalation!$B$35</f>
        <v>-2601</v>
      </c>
      <c r="AK76" s="8">
        <f>-2500*Escalation!$B$36</f>
        <v>-2601</v>
      </c>
      <c r="AL76" s="8">
        <f>-2500*Escalation!$B$37</f>
        <v>-2601</v>
      </c>
      <c r="AM76" s="8">
        <f>-2500*Escalation!$B$38</f>
        <v>-2653.02</v>
      </c>
      <c r="AN76" s="8">
        <f>-2500*Escalation!$B$39</f>
        <v>-2653.02</v>
      </c>
      <c r="AO76" s="8">
        <f>-2500*Escalation!$B$40</f>
        <v>-2653.02</v>
      </c>
      <c r="AP76" s="8">
        <f>-2500*Escalation!$B$41</f>
        <v>-2653.02</v>
      </c>
      <c r="AQ76" s="8">
        <f>-2500*Escalation!$B$42</f>
        <v>-2653.02</v>
      </c>
      <c r="AR76" s="8">
        <f>-2500*Escalation!$B$43</f>
        <v>-2653.02</v>
      </c>
      <c r="AS76" s="8">
        <f>-2500*Escalation!$B$44</f>
        <v>-2653.02</v>
      </c>
      <c r="AT76" s="8">
        <f>-2500*Escalation!$B$45</f>
        <v>-2653.02</v>
      </c>
      <c r="AU76" s="8">
        <f>-2500*Escalation!$B$46</f>
        <v>-2653.02</v>
      </c>
      <c r="AV76" s="8">
        <f>-2500*Escalation!$B$47</f>
        <v>-2653.02</v>
      </c>
      <c r="AW76" s="8">
        <f>-2500*Escalation!$B$48</f>
        <v>-2653.02</v>
      </c>
      <c r="AX76" s="8">
        <f>-2500*Escalation!$B$49</f>
        <v>-2653.02</v>
      </c>
      <c r="AY76" s="8">
        <f>-2500*Escalation!$B$50</f>
        <v>-2706.0803999999998</v>
      </c>
      <c r="AZ76" s="8">
        <f>-2500*Escalation!$B$51</f>
        <v>-2706.0803999999998</v>
      </c>
      <c r="BA76" s="8">
        <f>-2500*Escalation!$B$52</f>
        <v>-2706.0803999999998</v>
      </c>
      <c r="BB76" s="8">
        <f>-2500*Escalation!$B$53</f>
        <v>-2706.0803999999998</v>
      </c>
      <c r="BC76" s="8">
        <f>-2500*Escalation!$B$54</f>
        <v>-2706.0803999999998</v>
      </c>
      <c r="BD76" s="8">
        <f>-2500*Escalation!$B$55</f>
        <v>-2706.0803999999998</v>
      </c>
      <c r="BE76" s="8">
        <f>-2500*Escalation!$B$56</f>
        <v>-2706.0803999999998</v>
      </c>
      <c r="BF76" s="8">
        <f>-2500*Escalation!$B$57</f>
        <v>-2706.0803999999998</v>
      </c>
      <c r="BG76" s="8">
        <f>-2500*Escalation!$B$58</f>
        <v>-2706.0803999999998</v>
      </c>
      <c r="BH76" s="8">
        <f>-2500*Escalation!$B$59</f>
        <v>-2706.0803999999998</v>
      </c>
      <c r="BI76" s="8">
        <f>-2500*Escalation!$B$60</f>
        <v>-2706.0803999999998</v>
      </c>
      <c r="BJ76" s="8">
        <f>-2500*Escalation!$B$61</f>
        <v>-2706.0803999999998</v>
      </c>
      <c r="BK76" s="8">
        <f>-2500*Escalation!$B$62</f>
        <v>-2760.2020080000002</v>
      </c>
      <c r="BL76" s="8">
        <f>-2500*Escalation!$B$63</f>
        <v>-2760.2020080000002</v>
      </c>
      <c r="BM76" s="8">
        <f>-2500*Escalation!$B$64</f>
        <v>-2760.2020080000002</v>
      </c>
      <c r="BN76" s="8">
        <f>-2500*Escalation!$B$65</f>
        <v>-2760.2020080000002</v>
      </c>
      <c r="BO76" s="8">
        <f>-2500*Escalation!$B$66</f>
        <v>-2760.2020080000002</v>
      </c>
      <c r="BP76" s="8">
        <f>-2500*Escalation!$B$67</f>
        <v>-2760.2020080000002</v>
      </c>
      <c r="BQ76" s="8">
        <f>-2500*Escalation!$B$68</f>
        <v>-2760.2020080000002</v>
      </c>
      <c r="BR76" s="8">
        <f>-2500*Escalation!$B$69</f>
        <v>-2760.2020080000002</v>
      </c>
      <c r="BS76" s="8">
        <f>-2500*Escalation!$B$70</f>
        <v>-2760.2020080000002</v>
      </c>
      <c r="BT76" s="8">
        <f>-2500*Escalation!$B$71</f>
        <v>-2760.2020080000002</v>
      </c>
      <c r="BU76" s="8">
        <f>-2500*Escalation!$B$72</f>
        <v>-2760.2020080000002</v>
      </c>
      <c r="BV76" s="8">
        <f>-2500*Escalation!$B$73</f>
        <v>-2760.2020080000002</v>
      </c>
      <c r="BW76" s="8">
        <f>-2500*Escalation!$B$74</f>
        <v>-2815.40604816</v>
      </c>
      <c r="BX76" s="8">
        <f>-2500*Escalation!$B$75</f>
        <v>-2815.40604816</v>
      </c>
      <c r="BY76" s="8">
        <f>-2500*Escalation!$B$76</f>
        <v>-2815.40604816</v>
      </c>
      <c r="BZ76" s="8">
        <f>-2500*Escalation!$B$77</f>
        <v>-2815.40604816</v>
      </c>
      <c r="CA76" s="8">
        <f>-2500*Escalation!$B$78</f>
        <v>-2815.40604816</v>
      </c>
      <c r="CB76" s="8">
        <f>-2500*Escalation!$B$79</f>
        <v>-2815.40604816</v>
      </c>
      <c r="CC76" s="8">
        <f>-2500*Escalation!$B$80</f>
        <v>-2815.40604816</v>
      </c>
      <c r="CD76" s="8">
        <f>-2500*Escalation!$B$81</f>
        <v>-2815.40604816</v>
      </c>
      <c r="CE76" s="8">
        <f>-2500*Escalation!$B$82</f>
        <v>-2815.40604816</v>
      </c>
      <c r="CF76" s="8">
        <f>-2500*Escalation!$B$83</f>
        <v>-2815.40604816</v>
      </c>
      <c r="CG76" s="8">
        <f>-2500*Escalation!$B$84</f>
        <v>-2815.40604816</v>
      </c>
      <c r="CH76" s="8">
        <f>-2500*Escalation!$B$85</f>
        <v>-2815.40604816</v>
      </c>
      <c r="CI76" s="23"/>
    </row>
    <row r="77" spans="1:87" ht="15" customHeight="1" x14ac:dyDescent="0.25">
      <c r="A77" s="7" t="s">
        <v>174</v>
      </c>
      <c r="B77" s="22"/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f>-21000*Escalation!$B$10</f>
        <v>-21000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f>-21000*Escalation!$B$22</f>
        <v>-21420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f>-21000*Escalation!$B$34</f>
        <v>-21848.400000000001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f>-21000*Escalation!$B$46</f>
        <v>-22285.367999999999</v>
      </c>
      <c r="AV77" s="8">
        <v>0</v>
      </c>
      <c r="AW77" s="8">
        <v>0</v>
      </c>
      <c r="AX77" s="8">
        <v>0</v>
      </c>
      <c r="AY77" s="8">
        <v>0</v>
      </c>
      <c r="AZ77" s="8">
        <v>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8">
        <v>0</v>
      </c>
      <c r="BG77" s="8">
        <f>-21000*Escalation!$B$58</f>
        <v>-22731.075359999999</v>
      </c>
      <c r="BH77" s="8">
        <v>0</v>
      </c>
      <c r="BI77" s="8">
        <v>0</v>
      </c>
      <c r="BJ77" s="8">
        <v>0</v>
      </c>
      <c r="BK77" s="8">
        <v>0</v>
      </c>
      <c r="BL77" s="8">
        <v>0</v>
      </c>
      <c r="BM77" s="8">
        <v>0</v>
      </c>
      <c r="BN77" s="8">
        <v>0</v>
      </c>
      <c r="BO77" s="8">
        <v>0</v>
      </c>
      <c r="BP77" s="8">
        <v>0</v>
      </c>
      <c r="BQ77" s="8">
        <v>0</v>
      </c>
      <c r="BR77" s="8">
        <v>0</v>
      </c>
      <c r="BS77" s="8">
        <f>-21000*Escalation!$B$70</f>
        <v>-23185.6968672</v>
      </c>
      <c r="BT77" s="8">
        <v>0</v>
      </c>
      <c r="BU77" s="8">
        <v>0</v>
      </c>
      <c r="BV77" s="8">
        <v>0</v>
      </c>
      <c r="BW77" s="8">
        <v>0</v>
      </c>
      <c r="BX77" s="8">
        <v>0</v>
      </c>
      <c r="BY77" s="8">
        <v>0</v>
      </c>
      <c r="BZ77" s="8">
        <v>0</v>
      </c>
      <c r="CA77" s="8">
        <v>0</v>
      </c>
      <c r="CB77" s="8">
        <v>0</v>
      </c>
      <c r="CC77" s="8">
        <v>0</v>
      </c>
      <c r="CD77" s="8">
        <v>0</v>
      </c>
      <c r="CE77" s="8">
        <f>-21000*Escalation!$B$82</f>
        <v>-23649.410804544001</v>
      </c>
      <c r="CF77" s="8">
        <v>0</v>
      </c>
      <c r="CG77" s="8">
        <v>0</v>
      </c>
      <c r="CH77" s="8">
        <v>0</v>
      </c>
      <c r="CI77" s="23"/>
    </row>
    <row r="78" spans="1:87" ht="15" customHeight="1" x14ac:dyDescent="0.25">
      <c r="A78" s="7" t="s">
        <v>175</v>
      </c>
      <c r="B78" s="22"/>
      <c r="C78" s="8">
        <v>0</v>
      </c>
      <c r="D78" s="8">
        <v>0</v>
      </c>
      <c r="E78" s="8">
        <v>0</v>
      </c>
      <c r="F78" s="8">
        <f>-23000*Escalation!$B$5</f>
        <v>-23000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f>-23000*Escalation!$B$17</f>
        <v>-23460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f>-23000*Escalation!$B$29</f>
        <v>-23929.200000000001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f>-23000*Escalation!$B$41</f>
        <v>-24407.784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f>-23000*Escalation!$B$53</f>
        <v>-24895.939679999999</v>
      </c>
      <c r="BC78" s="8">
        <v>0</v>
      </c>
      <c r="BD78" s="8">
        <v>0</v>
      </c>
      <c r="BE78" s="8">
        <v>0</v>
      </c>
      <c r="BF78" s="8">
        <v>0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f>-23000*Escalation!$B$65</f>
        <v>-25393.858473600001</v>
      </c>
      <c r="BO78" s="8">
        <v>0</v>
      </c>
      <c r="BP78" s="8">
        <v>0</v>
      </c>
      <c r="BQ78" s="8">
        <v>0</v>
      </c>
      <c r="BR78" s="8">
        <v>0</v>
      </c>
      <c r="BS78" s="8">
        <v>0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f>-23000*Escalation!$B$77</f>
        <v>-25901.735643072003</v>
      </c>
      <c r="CA78" s="8">
        <v>0</v>
      </c>
      <c r="CB78" s="8">
        <v>0</v>
      </c>
      <c r="CC78" s="8">
        <v>0</v>
      </c>
      <c r="CD78" s="8">
        <v>0</v>
      </c>
      <c r="CE78" s="8">
        <v>0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176</v>
      </c>
      <c r="B79" s="22"/>
      <c r="C79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79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79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79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79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79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79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79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79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79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79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79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79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79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79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79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79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79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79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79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79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79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79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79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79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79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79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79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79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79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79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79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79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79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79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79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79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79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79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79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79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79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79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79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79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79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79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79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79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79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79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79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79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79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79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79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79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79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79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79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79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79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79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79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79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79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79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79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79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79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79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79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79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79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79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79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79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79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79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79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79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79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79" s="23"/>
    </row>
    <row r="80" spans="1:87" ht="15" customHeight="1" x14ac:dyDescent="0.25">
      <c r="A80" s="7" t="s">
        <v>177</v>
      </c>
      <c r="B80" s="22"/>
      <c r="C80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0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0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0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0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0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0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0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0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0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0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0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0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0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0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0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0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0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0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0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0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0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0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0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0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0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0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0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0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0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0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0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0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0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0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0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0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0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0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0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0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0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0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0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0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0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0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0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0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0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0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0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0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0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0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0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0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0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0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0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0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0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0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0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0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0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0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0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0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0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0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0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0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0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0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0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0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0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0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0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0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0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0" s="23"/>
    </row>
    <row r="81" spans="1:87" ht="15" customHeight="1" x14ac:dyDescent="0.25">
      <c r="A81" s="7" t="s">
        <v>178</v>
      </c>
      <c r="B81" s="22"/>
      <c r="C81" s="8">
        <f>-Helpers!C20</f>
        <v>0</v>
      </c>
      <c r="D81" s="8">
        <f>-Helpers!D20</f>
        <v>0</v>
      </c>
      <c r="E81" s="8">
        <f>-Helpers!E20</f>
        <v>0</v>
      </c>
      <c r="F81" s="8">
        <f>-Helpers!F20</f>
        <v>0</v>
      </c>
      <c r="G81" s="8">
        <f>-Helpers!G20</f>
        <v>0</v>
      </c>
      <c r="H81" s="8">
        <f>-Helpers!H20</f>
        <v>0</v>
      </c>
      <c r="I81" s="8">
        <f>-Helpers!I20</f>
        <v>0</v>
      </c>
      <c r="J81" s="8">
        <f>-Helpers!J20</f>
        <v>0</v>
      </c>
      <c r="K81" s="8">
        <f>-Helpers!K20</f>
        <v>0</v>
      </c>
      <c r="L81" s="8">
        <f>-Helpers!L20</f>
        <v>0</v>
      </c>
      <c r="M81" s="8">
        <f>-Helpers!M20</f>
        <v>0</v>
      </c>
      <c r="N81" s="8">
        <f>-Helpers!N20</f>
        <v>0</v>
      </c>
      <c r="O81" s="8">
        <f>-Helpers!O20</f>
        <v>0</v>
      </c>
      <c r="P81" s="8">
        <f>-Helpers!P20</f>
        <v>0</v>
      </c>
      <c r="Q81" s="8">
        <f>-Helpers!Q20</f>
        <v>0</v>
      </c>
      <c r="R81" s="8">
        <f>-Helpers!R20</f>
        <v>0</v>
      </c>
      <c r="S81" s="8">
        <f>-Helpers!S20</f>
        <v>0</v>
      </c>
      <c r="T81" s="8">
        <f>-Helpers!T20</f>
        <v>0</v>
      </c>
      <c r="U81" s="8">
        <f>-Helpers!U20</f>
        <v>0</v>
      </c>
      <c r="V81" s="8">
        <f>-Helpers!V20</f>
        <v>0</v>
      </c>
      <c r="W81" s="8">
        <f>-Helpers!W20</f>
        <v>0</v>
      </c>
      <c r="X81" s="8">
        <f>-Helpers!X20</f>
        <v>0</v>
      </c>
      <c r="Y81" s="8">
        <f>-Helpers!Y20</f>
        <v>0</v>
      </c>
      <c r="Z81" s="8">
        <f>-Helpers!Z20</f>
        <v>0</v>
      </c>
      <c r="AA81" s="8">
        <f>-Helpers!AA20</f>
        <v>0</v>
      </c>
      <c r="AB81" s="8">
        <f>-Helpers!AB20</f>
        <v>0</v>
      </c>
      <c r="AC81" s="8">
        <f>-Helpers!AC20</f>
        <v>0</v>
      </c>
      <c r="AD81" s="8">
        <f>-Helpers!AD20</f>
        <v>0</v>
      </c>
      <c r="AE81" s="8">
        <f>-Helpers!AE20</f>
        <v>0</v>
      </c>
      <c r="AF81" s="8">
        <f>-Helpers!AF20</f>
        <v>0</v>
      </c>
      <c r="AG81" s="8">
        <f>-Helpers!AG20</f>
        <v>0</v>
      </c>
      <c r="AH81" s="8">
        <f>-Helpers!AH20</f>
        <v>0</v>
      </c>
      <c r="AI81" s="8">
        <f>-Helpers!AI20</f>
        <v>0</v>
      </c>
      <c r="AJ81" s="8">
        <f>-Helpers!AJ20</f>
        <v>0</v>
      </c>
      <c r="AK81" s="8">
        <f>-Helpers!AK20</f>
        <v>0</v>
      </c>
      <c r="AL81" s="8">
        <f>-Helpers!AL20</f>
        <v>0</v>
      </c>
      <c r="AM81" s="8">
        <f>-Helpers!AM20</f>
        <v>0</v>
      </c>
      <c r="AN81" s="8">
        <f>-Helpers!AN20</f>
        <v>0</v>
      </c>
      <c r="AO81" s="8">
        <f>-Helpers!AO20</f>
        <v>0</v>
      </c>
      <c r="AP81" s="8">
        <f>-Helpers!AP20</f>
        <v>0</v>
      </c>
      <c r="AQ81" s="8">
        <f>-Helpers!AQ20</f>
        <v>0</v>
      </c>
      <c r="AR81" s="8">
        <f>-Helpers!AR20</f>
        <v>-81683</v>
      </c>
      <c r="AS81" s="8">
        <f>-Helpers!AS20</f>
        <v>0</v>
      </c>
      <c r="AT81" s="8">
        <f>-Helpers!AT20</f>
        <v>0</v>
      </c>
      <c r="AU81" s="8">
        <f>-Helpers!AU20</f>
        <v>-81682</v>
      </c>
      <c r="AV81" s="8">
        <f>-Helpers!AV20</f>
        <v>0</v>
      </c>
      <c r="AW81" s="8">
        <f>-Helpers!AW20</f>
        <v>0</v>
      </c>
      <c r="AX81" s="8">
        <f>-Helpers!AX20</f>
        <v>-81682</v>
      </c>
      <c r="AY81" s="8">
        <f>-Helpers!AY20</f>
        <v>0</v>
      </c>
      <c r="AZ81" s="8">
        <f>-Helpers!AZ20</f>
        <v>0</v>
      </c>
      <c r="BA81" s="8">
        <f>-Helpers!BA20</f>
        <v>-81682</v>
      </c>
      <c r="BB81" s="8">
        <f>-Helpers!BB20</f>
        <v>0</v>
      </c>
      <c r="BC81" s="8">
        <f>-Helpers!BC20</f>
        <v>0</v>
      </c>
      <c r="BD81" s="8">
        <f>-Helpers!BD20</f>
        <v>-59178</v>
      </c>
      <c r="BE81" s="8">
        <f>-Helpers!BE20</f>
        <v>0</v>
      </c>
      <c r="BF81" s="8">
        <f>-Helpers!BF20</f>
        <v>0</v>
      </c>
      <c r="BG81" s="8">
        <f>-Helpers!BG20</f>
        <v>-59176</v>
      </c>
      <c r="BH81" s="8">
        <f>-Helpers!BH20</f>
        <v>0</v>
      </c>
      <c r="BI81" s="8">
        <f>-Helpers!BI20</f>
        <v>0</v>
      </c>
      <c r="BJ81" s="8">
        <f>-Helpers!BJ20</f>
        <v>-59176</v>
      </c>
      <c r="BK81" s="8">
        <f>-Helpers!BK20</f>
        <v>0</v>
      </c>
      <c r="BL81" s="8">
        <f>-Helpers!BL20</f>
        <v>0</v>
      </c>
      <c r="BM81" s="8">
        <f>-Helpers!BM20</f>
        <v>-59176</v>
      </c>
      <c r="BN81" s="8">
        <f>-Helpers!BN20</f>
        <v>0</v>
      </c>
      <c r="BO81" s="8">
        <f>-Helpers!BO20</f>
        <v>0</v>
      </c>
      <c r="BP81" s="8">
        <f>-Helpers!BP20</f>
        <v>-16249.479999999981</v>
      </c>
      <c r="BQ81" s="8">
        <f>-Helpers!BQ20</f>
        <v>0</v>
      </c>
      <c r="BR81" s="8">
        <f>-Helpers!BR20</f>
        <v>0</v>
      </c>
      <c r="BS81" s="8">
        <f>-Helpers!BS20</f>
        <v>0</v>
      </c>
      <c r="BT81" s="8">
        <f>-Helpers!BT20</f>
        <v>0</v>
      </c>
      <c r="BU81" s="8">
        <f>-Helpers!BU20</f>
        <v>0</v>
      </c>
      <c r="BV81" s="8">
        <f>-Helpers!BV20</f>
        <v>0</v>
      </c>
      <c r="BW81" s="8">
        <f>-Helpers!BW20</f>
        <v>0</v>
      </c>
      <c r="BX81" s="8">
        <f>-Helpers!BX20</f>
        <v>0</v>
      </c>
      <c r="BY81" s="8">
        <f>-Helpers!BY20</f>
        <v>0</v>
      </c>
      <c r="BZ81" s="8">
        <f>-Helpers!BZ20</f>
        <v>0</v>
      </c>
      <c r="CA81" s="8">
        <f>-Helpers!CA20</f>
        <v>0</v>
      </c>
      <c r="CB81" s="8">
        <f>-Helpers!CB20</f>
        <v>0</v>
      </c>
      <c r="CC81" s="8">
        <f>-Helpers!CC20</f>
        <v>0</v>
      </c>
      <c r="CD81" s="8">
        <f>-Helpers!CD20</f>
        <v>0</v>
      </c>
      <c r="CE81" s="8">
        <f>-Helpers!CE20</f>
        <v>0</v>
      </c>
      <c r="CF81" s="8">
        <f>-Helpers!CF20</f>
        <v>0</v>
      </c>
      <c r="CG81" s="8">
        <f>-Helpers!CG20</f>
        <v>0</v>
      </c>
      <c r="CH81" s="8">
        <f>-Helpers!CH20</f>
        <v>0</v>
      </c>
      <c r="CI81" s="23"/>
    </row>
    <row r="82" spans="1:87" ht="15" customHeight="1" x14ac:dyDescent="0.25">
      <c r="A82" s="7" t="s">
        <v>179</v>
      </c>
      <c r="B82" s="22"/>
      <c r="C82" s="8">
        <f>-Helpers!C23+C128</f>
        <v>0</v>
      </c>
      <c r="D82" s="8">
        <f>-Helpers!D23+D128</f>
        <v>0</v>
      </c>
      <c r="E82" s="8">
        <f>-Helpers!E23+E128</f>
        <v>0</v>
      </c>
      <c r="F82" s="8">
        <f>-Helpers!F23+F128</f>
        <v>0</v>
      </c>
      <c r="G82" s="8">
        <f>-Helpers!G23+G128</f>
        <v>0</v>
      </c>
      <c r="H82" s="8">
        <f>-Helpers!H23+H128</f>
        <v>0</v>
      </c>
      <c r="I82" s="8">
        <f>-Helpers!I23+I128</f>
        <v>0</v>
      </c>
      <c r="J82" s="8">
        <f>-Helpers!J23+J128</f>
        <v>0</v>
      </c>
      <c r="K82" s="8">
        <f>-Helpers!K23+K128</f>
        <v>0</v>
      </c>
      <c r="L82" s="8">
        <f>-Helpers!L23+L128</f>
        <v>0</v>
      </c>
      <c r="M82" s="8">
        <f>-Helpers!M23+M128</f>
        <v>0</v>
      </c>
      <c r="N82" s="8">
        <f>-Helpers!N23+N128</f>
        <v>0</v>
      </c>
      <c r="O82" s="8">
        <f>-Helpers!O23+O128</f>
        <v>0</v>
      </c>
      <c r="P82" s="8">
        <f>-Helpers!P23+P128</f>
        <v>0</v>
      </c>
      <c r="Q82" s="8">
        <f>-Helpers!Q23+Q128</f>
        <v>0</v>
      </c>
      <c r="R82" s="8">
        <f>-Helpers!R23+R128</f>
        <v>0</v>
      </c>
      <c r="S82" s="8">
        <f>-Helpers!S23+S128</f>
        <v>0</v>
      </c>
      <c r="T82" s="8">
        <f>-Helpers!T23+T128</f>
        <v>0</v>
      </c>
      <c r="U82" s="8">
        <f>-Helpers!U23+U128</f>
        <v>0</v>
      </c>
      <c r="V82" s="8">
        <f>-Helpers!V23+V128</f>
        <v>0</v>
      </c>
      <c r="W82" s="8">
        <f>-Helpers!W23+W128</f>
        <v>0</v>
      </c>
      <c r="X82" s="8">
        <f>-Helpers!X23+X128</f>
        <v>0</v>
      </c>
      <c r="Y82" s="8">
        <f>-Helpers!Y23+Y128</f>
        <v>0</v>
      </c>
      <c r="Z82" s="8">
        <f>-Helpers!Z23+Z128</f>
        <v>0</v>
      </c>
      <c r="AA82" s="8">
        <f>-Helpers!AA23+AA128</f>
        <v>0</v>
      </c>
      <c r="AB82" s="8">
        <f>-Helpers!AB23+AB128</f>
        <v>0</v>
      </c>
      <c r="AC82" s="8">
        <f>-Helpers!AC23+AC128</f>
        <v>0</v>
      </c>
      <c r="AD82" s="8">
        <f>-Helpers!AD23+AD128</f>
        <v>0</v>
      </c>
      <c r="AE82" s="8">
        <f>-Helpers!AE23+AE128</f>
        <v>0</v>
      </c>
      <c r="AF82" s="8">
        <f>-Helpers!AF23+AF128</f>
        <v>0</v>
      </c>
      <c r="AG82" s="8">
        <f>-Helpers!AG23+AG128</f>
        <v>0</v>
      </c>
      <c r="AH82" s="8">
        <f>-Helpers!AH23+AH128</f>
        <v>0</v>
      </c>
      <c r="AI82" s="8">
        <f>-Helpers!AI23+AI128</f>
        <v>0</v>
      </c>
      <c r="AJ82" s="8">
        <f>-Helpers!AJ23+AJ128</f>
        <v>0</v>
      </c>
      <c r="AK82" s="8">
        <f>-Helpers!AK23+AK128</f>
        <v>0</v>
      </c>
      <c r="AL82" s="8">
        <f>-Helpers!AL23+AL128</f>
        <v>0</v>
      </c>
      <c r="AM82" s="8">
        <f>-Helpers!AM23+AM128</f>
        <v>0</v>
      </c>
      <c r="AN82" s="8">
        <f>-Helpers!AN23+AN128</f>
        <v>0</v>
      </c>
      <c r="AO82" s="8">
        <f>-Helpers!AO23+AO128</f>
        <v>0</v>
      </c>
      <c r="AP82" s="8">
        <f>-Helpers!AP23+AP128</f>
        <v>0</v>
      </c>
      <c r="AQ82" s="8">
        <f>-Helpers!AQ23+AQ128</f>
        <v>0</v>
      </c>
      <c r="AR82" s="8">
        <f>-Helpers!AR23+AR128</f>
        <v>0</v>
      </c>
      <c r="AS82" s="8">
        <f>-Helpers!AS23+AS128</f>
        <v>0</v>
      </c>
      <c r="AT82" s="8">
        <f>-Helpers!AT23+AT128</f>
        <v>0</v>
      </c>
      <c r="AU82" s="8">
        <f>-Helpers!AU23+AU128</f>
        <v>0</v>
      </c>
      <c r="AV82" s="8">
        <f>-Helpers!AV23+AV128</f>
        <v>0</v>
      </c>
      <c r="AW82" s="8">
        <f>-Helpers!AW23+AW128</f>
        <v>0</v>
      </c>
      <c r="AX82" s="8">
        <f>-Helpers!AX23+AX128</f>
        <v>0</v>
      </c>
      <c r="AY82" s="8">
        <f>-Helpers!AY23+AY128</f>
        <v>0</v>
      </c>
      <c r="AZ82" s="8">
        <f>-Helpers!AZ23+AZ128</f>
        <v>0</v>
      </c>
      <c r="BA82" s="8">
        <f>-Helpers!BA23+BA128</f>
        <v>-851839</v>
      </c>
      <c r="BB82" s="8">
        <f>-Helpers!BB23+BB128</f>
        <v>0</v>
      </c>
      <c r="BC82" s="8">
        <f>-Helpers!BC23+BC128</f>
        <v>0</v>
      </c>
      <c r="BD82" s="8">
        <f>-Helpers!BD23+BD128</f>
        <v>-71700</v>
      </c>
      <c r="BE82" s="8">
        <f>-Helpers!BE23+BE128</f>
        <v>0</v>
      </c>
      <c r="BF82" s="8">
        <f>-Helpers!BF23+BF128</f>
        <v>0</v>
      </c>
      <c r="BG82" s="8">
        <f>-Helpers!BG23+BG128</f>
        <v>-71700</v>
      </c>
      <c r="BH82" s="8">
        <f>-Helpers!BH23+BH128</f>
        <v>0</v>
      </c>
      <c r="BI82" s="8">
        <f>-Helpers!BI23+BI128</f>
        <v>0</v>
      </c>
      <c r="BJ82" s="8">
        <f>-Helpers!BJ23+BJ128</f>
        <v>-71700</v>
      </c>
      <c r="BK82" s="8">
        <f>-Helpers!BK23+BK128</f>
        <v>0</v>
      </c>
      <c r="BL82" s="8">
        <f>-Helpers!BL23+BL128</f>
        <v>0</v>
      </c>
      <c r="BM82" s="8">
        <f>-Helpers!BM23+BM128</f>
        <v>-71700</v>
      </c>
      <c r="BN82" s="8">
        <f>-Helpers!BN23+BN128</f>
        <v>0</v>
      </c>
      <c r="BO82" s="8">
        <f>-Helpers!BO23+BO128</f>
        <v>0</v>
      </c>
      <c r="BP82" s="8">
        <f>-Helpers!BP23+BP128</f>
        <v>-74643</v>
      </c>
      <c r="BQ82" s="8">
        <f>-Helpers!BQ23+BQ128</f>
        <v>0</v>
      </c>
      <c r="BR82" s="8">
        <f>-Helpers!BR23+BR128</f>
        <v>0</v>
      </c>
      <c r="BS82" s="8">
        <f>-Helpers!BS23+BS128</f>
        <v>-74640</v>
      </c>
      <c r="BT82" s="8">
        <f>-Helpers!BT23+BT128</f>
        <v>0</v>
      </c>
      <c r="BU82" s="8">
        <f>-Helpers!BU23+BU128</f>
        <v>0</v>
      </c>
      <c r="BV82" s="8">
        <f>-Helpers!BV23+BV128</f>
        <v>-74640</v>
      </c>
      <c r="BW82" s="8">
        <f>-Helpers!BW23+BW128</f>
        <v>0</v>
      </c>
      <c r="BX82" s="8">
        <f>-Helpers!BX23+BX128</f>
        <v>0</v>
      </c>
      <c r="BY82" s="8">
        <f>-Helpers!BY23+BY128</f>
        <v>-74640</v>
      </c>
      <c r="BZ82" s="8">
        <f>-Helpers!BZ23+BZ128</f>
        <v>0</v>
      </c>
      <c r="CA82" s="8">
        <f>-Helpers!CA23+CA128</f>
        <v>0</v>
      </c>
      <c r="CB82" s="8">
        <f>-Helpers!CB23+CB128</f>
        <v>-81363</v>
      </c>
      <c r="CC82" s="8">
        <f>-Helpers!CC23+CC128</f>
        <v>0</v>
      </c>
      <c r="CD82" s="8">
        <f>-Helpers!CD23+CD128</f>
        <v>0</v>
      </c>
      <c r="CE82" s="8">
        <f>-Helpers!CE23+CE128</f>
        <v>-81362</v>
      </c>
      <c r="CF82" s="8">
        <f>-Helpers!CF23+CF128</f>
        <v>0</v>
      </c>
      <c r="CG82" s="8">
        <f>-Helpers!CG23+CG128</f>
        <v>0</v>
      </c>
      <c r="CH82" s="8">
        <f>-Helpers!CH23+CH128</f>
        <v>-74753.973393520777</v>
      </c>
      <c r="CI82" s="23"/>
    </row>
    <row r="83" spans="1:87" ht="15" customHeight="1" x14ac:dyDescent="0.25">
      <c r="A83" s="7" t="s">
        <v>180</v>
      </c>
      <c r="B83" s="22"/>
      <c r="C83" s="8">
        <f>-Helpers!C26+C123</f>
        <v>0</v>
      </c>
      <c r="D83" s="8">
        <f>-Helpers!D26+D123</f>
        <v>0</v>
      </c>
      <c r="E83" s="8">
        <f>-Helpers!E26+E123</f>
        <v>0</v>
      </c>
      <c r="F83" s="8">
        <f>-Helpers!F26+F123</f>
        <v>0</v>
      </c>
      <c r="G83" s="8">
        <f>-Helpers!G26+G123</f>
        <v>0</v>
      </c>
      <c r="H83" s="8">
        <f>-Helpers!H26+H123</f>
        <v>0</v>
      </c>
      <c r="I83" s="8">
        <f>-Helpers!I26+I123</f>
        <v>0</v>
      </c>
      <c r="J83" s="8">
        <f>-Helpers!J26+J123</f>
        <v>0</v>
      </c>
      <c r="K83" s="8">
        <f>-Helpers!K26+K123</f>
        <v>0</v>
      </c>
      <c r="L83" s="8">
        <f>-Helpers!L26+L123</f>
        <v>0</v>
      </c>
      <c r="M83" s="8">
        <f>-Helpers!M26+M123</f>
        <v>0</v>
      </c>
      <c r="N83" s="8">
        <f>-Helpers!N26+N123</f>
        <v>0</v>
      </c>
      <c r="O83" s="8">
        <f>-Helpers!O26+O123</f>
        <v>0</v>
      </c>
      <c r="P83" s="8">
        <f>-Helpers!P26+P123</f>
        <v>0</v>
      </c>
      <c r="Q83" s="8">
        <f>-Helpers!Q26+Q123</f>
        <v>0</v>
      </c>
      <c r="R83" s="8">
        <f>-Helpers!R26+R123</f>
        <v>0</v>
      </c>
      <c r="S83" s="8">
        <f>-Helpers!S26+S123</f>
        <v>0</v>
      </c>
      <c r="T83" s="8">
        <f>-Helpers!T26+T123</f>
        <v>0</v>
      </c>
      <c r="U83" s="8">
        <f>-Helpers!U26+U123</f>
        <v>0</v>
      </c>
      <c r="V83" s="8">
        <f>-Helpers!V26+V123</f>
        <v>0</v>
      </c>
      <c r="W83" s="8">
        <f>-Helpers!W26+W123</f>
        <v>0</v>
      </c>
      <c r="X83" s="8">
        <f>-Helpers!X26+X123</f>
        <v>0</v>
      </c>
      <c r="Y83" s="8">
        <f>-Helpers!Y26+Y123</f>
        <v>0</v>
      </c>
      <c r="Z83" s="8">
        <f>-Helpers!Z26+Z123</f>
        <v>0</v>
      </c>
      <c r="AA83" s="8">
        <f>-Helpers!AA26+AA123</f>
        <v>0</v>
      </c>
      <c r="AB83" s="8">
        <f>-Helpers!AB26+AB123</f>
        <v>0</v>
      </c>
      <c r="AC83" s="8">
        <f>-Helpers!AC26+AC123</f>
        <v>0</v>
      </c>
      <c r="AD83" s="8">
        <f>-Helpers!AD26+AD123</f>
        <v>0</v>
      </c>
      <c r="AE83" s="8">
        <f>-Helpers!AE26+AE123</f>
        <v>0</v>
      </c>
      <c r="AF83" s="8">
        <f>-Helpers!AF26+AF123</f>
        <v>0</v>
      </c>
      <c r="AG83" s="8">
        <f>-Helpers!AG26+AG123</f>
        <v>0</v>
      </c>
      <c r="AH83" s="8">
        <f>-Helpers!AH26+AH123</f>
        <v>0</v>
      </c>
      <c r="AI83" s="8">
        <f>-Helpers!AI26+AI123</f>
        <v>0</v>
      </c>
      <c r="AJ83" s="8">
        <f>-Helpers!AJ26+AJ123</f>
        <v>0</v>
      </c>
      <c r="AK83" s="8">
        <f>-Helpers!AK26+AK123</f>
        <v>0</v>
      </c>
      <c r="AL83" s="8">
        <f>-Helpers!AL26+AL123</f>
        <v>0</v>
      </c>
      <c r="AM83" s="8">
        <f>-Helpers!AM26+AM123</f>
        <v>0</v>
      </c>
      <c r="AN83" s="8">
        <f>-Helpers!AN26+AN123</f>
        <v>0</v>
      </c>
      <c r="AO83" s="8">
        <f>-Helpers!AO26+AO123</f>
        <v>0</v>
      </c>
      <c r="AP83" s="8">
        <f>-Helpers!AP26+AP123</f>
        <v>0</v>
      </c>
      <c r="AQ83" s="8">
        <f>-Helpers!AQ26+AQ123</f>
        <v>0</v>
      </c>
      <c r="AR83" s="8">
        <f>-Helpers!AR26+AR123</f>
        <v>0</v>
      </c>
      <c r="AS83" s="8">
        <f>-Helpers!AS26+AS123</f>
        <v>0</v>
      </c>
      <c r="AT83" s="8">
        <f>-Helpers!AT26+AT123</f>
        <v>0</v>
      </c>
      <c r="AU83" s="8">
        <f>-Helpers!AU26+AU123</f>
        <v>0</v>
      </c>
      <c r="AV83" s="8">
        <f>-Helpers!AV26+AV123</f>
        <v>0</v>
      </c>
      <c r="AW83" s="8">
        <f>-Helpers!AW26+AW123</f>
        <v>0</v>
      </c>
      <c r="AX83" s="8">
        <f>-Helpers!AX26+AX123</f>
        <v>0</v>
      </c>
      <c r="AY83" s="8">
        <f>-Helpers!AY26+AY123</f>
        <v>0</v>
      </c>
      <c r="AZ83" s="8">
        <f>-Helpers!AZ26+AZ123</f>
        <v>0</v>
      </c>
      <c r="BA83" s="8">
        <f>-Helpers!BA26+BA123</f>
        <v>0</v>
      </c>
      <c r="BB83" s="8">
        <f>-Helpers!BB26+BB123</f>
        <v>0</v>
      </c>
      <c r="BC83" s="8">
        <f>-Helpers!BC26+BC123</f>
        <v>0</v>
      </c>
      <c r="BD83" s="8">
        <f>-Helpers!BD26+BD123</f>
        <v>0</v>
      </c>
      <c r="BE83" s="8">
        <f>-Helpers!BE26+BE123</f>
        <v>0</v>
      </c>
      <c r="BF83" s="8">
        <f>-Helpers!BF26+BF123</f>
        <v>0</v>
      </c>
      <c r="BG83" s="8">
        <f>-Helpers!BG26+BG123</f>
        <v>0</v>
      </c>
      <c r="BH83" s="8">
        <f>-Helpers!BH26+BH123</f>
        <v>0</v>
      </c>
      <c r="BI83" s="8">
        <f>-Helpers!BI26+BI123</f>
        <v>0</v>
      </c>
      <c r="BJ83" s="8">
        <f>-Helpers!BJ26+BJ123</f>
        <v>0</v>
      </c>
      <c r="BK83" s="8">
        <f>-Helpers!BK26+BK123</f>
        <v>0</v>
      </c>
      <c r="BL83" s="8">
        <f>-Helpers!BL26+BL123</f>
        <v>0</v>
      </c>
      <c r="BM83" s="8">
        <f>-Helpers!BM26+BM123</f>
        <v>0</v>
      </c>
      <c r="BN83" s="8">
        <f>-Helpers!BN26+BN123</f>
        <v>0</v>
      </c>
      <c r="BO83" s="8">
        <f>-Helpers!BO26+BO123</f>
        <v>0</v>
      </c>
      <c r="BP83" s="8">
        <f>-Helpers!BP26+BP123</f>
        <v>0</v>
      </c>
      <c r="BQ83" s="8">
        <f>-Helpers!BQ26+BQ123</f>
        <v>0</v>
      </c>
      <c r="BR83" s="8">
        <f>-Helpers!BR26+BR123</f>
        <v>0</v>
      </c>
      <c r="BS83" s="8">
        <f>-Helpers!BS26+BS123</f>
        <v>0</v>
      </c>
      <c r="BT83" s="8">
        <f>-Helpers!BT26+BT123</f>
        <v>0</v>
      </c>
      <c r="BU83" s="8">
        <f>-Helpers!BU26+BU123</f>
        <v>0</v>
      </c>
      <c r="BV83" s="8">
        <f>-Helpers!BV26+BV123</f>
        <v>0</v>
      </c>
      <c r="BW83" s="8">
        <f>-Helpers!BW26+BW123</f>
        <v>0</v>
      </c>
      <c r="BX83" s="8">
        <f>-Helpers!BX26+BX123</f>
        <v>0</v>
      </c>
      <c r="BY83" s="8">
        <f>-Helpers!BY26+BY123</f>
        <v>-73156</v>
      </c>
      <c r="BZ83" s="8">
        <f>-Helpers!BZ26+BZ123</f>
        <v>0</v>
      </c>
      <c r="CA83" s="8">
        <f>-Helpers!CA26+CA123</f>
        <v>0</v>
      </c>
      <c r="CB83" s="8">
        <f>-Helpers!CB26+CB123</f>
        <v>-73155</v>
      </c>
      <c r="CC83" s="8">
        <f>-Helpers!CC26+CC123</f>
        <v>0</v>
      </c>
      <c r="CD83" s="8">
        <f>-Helpers!CD26+CD123</f>
        <v>0</v>
      </c>
      <c r="CE83" s="8">
        <f>-Helpers!CE26+CE123</f>
        <v>-73155</v>
      </c>
      <c r="CF83" s="8">
        <f>-Helpers!CF26+CF123</f>
        <v>0</v>
      </c>
      <c r="CG83" s="8">
        <f>-Helpers!CG26+CG123</f>
        <v>0</v>
      </c>
      <c r="CH83" s="8">
        <f>-Helpers!CH26+CH123</f>
        <v>-73155</v>
      </c>
      <c r="CI83" s="23"/>
    </row>
    <row r="84" spans="1:87" ht="15" customHeight="1" x14ac:dyDescent="0.25">
      <c r="A84" s="9" t="s">
        <v>181</v>
      </c>
      <c r="B84" s="28"/>
      <c r="C84" s="10">
        <f t="shared" ref="C84:AH84" si="15">C65+C66+C67+C68+C69+SUM(C70:C83)</f>
        <v>-119564.58333333333</v>
      </c>
      <c r="D84" s="10">
        <f t="shared" si="15"/>
        <v>-119564.58333333333</v>
      </c>
      <c r="E84" s="10">
        <f t="shared" si="15"/>
        <v>-119564.58333333333</v>
      </c>
      <c r="F84" s="10">
        <f t="shared" si="15"/>
        <v>-142564.58333333331</v>
      </c>
      <c r="G84" s="10">
        <f t="shared" si="15"/>
        <v>-275335.67333333334</v>
      </c>
      <c r="H84" s="10">
        <f t="shared" si="15"/>
        <v>-255016.61333333334</v>
      </c>
      <c r="I84" s="10">
        <f t="shared" si="15"/>
        <v>-119564.58333333333</v>
      </c>
      <c r="J84" s="10">
        <f t="shared" si="15"/>
        <v>-119564.58333333333</v>
      </c>
      <c r="K84" s="10">
        <f t="shared" si="15"/>
        <v>-140564.58333333331</v>
      </c>
      <c r="L84" s="10">
        <f t="shared" si="15"/>
        <v>-119564.58333333333</v>
      </c>
      <c r="M84" s="10">
        <f t="shared" si="15"/>
        <v>-119564.58333333333</v>
      </c>
      <c r="N84" s="10">
        <f t="shared" si="15"/>
        <v>-119564.58333333333</v>
      </c>
      <c r="O84" s="10">
        <f t="shared" si="15"/>
        <v>-121955.875</v>
      </c>
      <c r="P84" s="10">
        <f t="shared" si="15"/>
        <v>-121955.875</v>
      </c>
      <c r="Q84" s="10">
        <f t="shared" si="15"/>
        <v>-121955.875</v>
      </c>
      <c r="R84" s="10">
        <f t="shared" si="15"/>
        <v>-145415.875</v>
      </c>
      <c r="S84" s="10">
        <f t="shared" si="15"/>
        <v>-121955.875</v>
      </c>
      <c r="T84" s="10">
        <f t="shared" si="15"/>
        <v>-121955.875</v>
      </c>
      <c r="U84" s="10">
        <f t="shared" si="15"/>
        <v>-121955.875</v>
      </c>
      <c r="V84" s="10">
        <f t="shared" si="15"/>
        <v>-121955.875</v>
      </c>
      <c r="W84" s="10">
        <f t="shared" si="15"/>
        <v>-143375.875</v>
      </c>
      <c r="X84" s="10">
        <f t="shared" si="15"/>
        <v>-121955.875</v>
      </c>
      <c r="Y84" s="10">
        <f t="shared" si="15"/>
        <v>-121955.875</v>
      </c>
      <c r="Z84" s="10">
        <f t="shared" si="15"/>
        <v>-121955.875</v>
      </c>
      <c r="AA84" s="10">
        <f t="shared" si="15"/>
        <v>-124394.99249999999</v>
      </c>
      <c r="AB84" s="10">
        <f t="shared" si="15"/>
        <v>-124394.99249999999</v>
      </c>
      <c r="AC84" s="10">
        <f t="shared" si="15"/>
        <v>-124394.99249999999</v>
      </c>
      <c r="AD84" s="10">
        <f t="shared" si="15"/>
        <v>-148324.1925</v>
      </c>
      <c r="AE84" s="10">
        <f t="shared" si="15"/>
        <v>-124394.99249999999</v>
      </c>
      <c r="AF84" s="10">
        <f t="shared" si="15"/>
        <v>-124394.99249999999</v>
      </c>
      <c r="AG84" s="10">
        <f t="shared" si="15"/>
        <v>-124394.99249999999</v>
      </c>
      <c r="AH84" s="10">
        <f t="shared" si="15"/>
        <v>-124394.99249999999</v>
      </c>
      <c r="AI84" s="10">
        <f t="shared" ref="AI84:BN84" si="16">AI65+AI66+AI67+AI68+AI69+SUM(AI70:AI83)</f>
        <v>-146243.39250000002</v>
      </c>
      <c r="AJ84" s="10">
        <f t="shared" si="16"/>
        <v>-124394.99249999999</v>
      </c>
      <c r="AK84" s="10">
        <f t="shared" si="16"/>
        <v>-124394.99249999999</v>
      </c>
      <c r="AL84" s="10">
        <f t="shared" si="16"/>
        <v>-124394.99249999999</v>
      </c>
      <c r="AM84" s="10">
        <f t="shared" si="16"/>
        <v>-126882.89234999999</v>
      </c>
      <c r="AN84" s="10">
        <f t="shared" si="16"/>
        <v>-126882.89234999999</v>
      </c>
      <c r="AO84" s="10">
        <f t="shared" si="16"/>
        <v>-126882.89234999999</v>
      </c>
      <c r="AP84" s="10">
        <f t="shared" si="16"/>
        <v>-151290.67634999999</v>
      </c>
      <c r="AQ84" s="10">
        <f t="shared" si="16"/>
        <v>-126882.89234999999</v>
      </c>
      <c r="AR84" s="10">
        <f t="shared" si="16"/>
        <v>-208565.89234999998</v>
      </c>
      <c r="AS84" s="10">
        <f t="shared" si="16"/>
        <v>-126882.89234999999</v>
      </c>
      <c r="AT84" s="10">
        <f t="shared" si="16"/>
        <v>-126882.89234999999</v>
      </c>
      <c r="AU84" s="10">
        <f t="shared" si="16"/>
        <v>-230850.26035</v>
      </c>
      <c r="AV84" s="10">
        <f t="shared" si="16"/>
        <v>-126882.89234999999</v>
      </c>
      <c r="AW84" s="10">
        <f t="shared" si="16"/>
        <v>-126882.89234999999</v>
      </c>
      <c r="AX84" s="10">
        <f t="shared" si="16"/>
        <v>-208564.89234999998</v>
      </c>
      <c r="AY84" s="10">
        <f t="shared" si="16"/>
        <v>-129420.55019699999</v>
      </c>
      <c r="AZ84" s="10">
        <f t="shared" si="16"/>
        <v>-129420.55019699999</v>
      </c>
      <c r="BA84" s="10">
        <f t="shared" si="16"/>
        <v>-1062941.5501969999</v>
      </c>
      <c r="BB84" s="10">
        <f t="shared" si="16"/>
        <v>-154316.48987699999</v>
      </c>
      <c r="BC84" s="10">
        <f t="shared" si="16"/>
        <v>-129420.55019699999</v>
      </c>
      <c r="BD84" s="10">
        <f t="shared" si="16"/>
        <v>-260298.55019699998</v>
      </c>
      <c r="BE84" s="10">
        <f t="shared" si="16"/>
        <v>-129420.55019699999</v>
      </c>
      <c r="BF84" s="10">
        <f t="shared" si="16"/>
        <v>-129420.55019699999</v>
      </c>
      <c r="BG84" s="10">
        <f t="shared" si="16"/>
        <v>-283027.62555699999</v>
      </c>
      <c r="BH84" s="10">
        <f t="shared" si="16"/>
        <v>-129420.55019699999</v>
      </c>
      <c r="BI84" s="10">
        <f t="shared" si="16"/>
        <v>-129420.55019699999</v>
      </c>
      <c r="BJ84" s="10">
        <f t="shared" si="16"/>
        <v>-260296.55019699998</v>
      </c>
      <c r="BK84" s="10">
        <f t="shared" si="16"/>
        <v>-132008.96120094002</v>
      </c>
      <c r="BL84" s="10">
        <f t="shared" si="16"/>
        <v>-132008.96120094002</v>
      </c>
      <c r="BM84" s="10">
        <f t="shared" si="16"/>
        <v>-262884.96120094002</v>
      </c>
      <c r="BN84" s="10">
        <f t="shared" si="16"/>
        <v>-157402.81967454002</v>
      </c>
      <c r="BO84" s="10">
        <f t="shared" ref="BO84:CH84" si="17">BO65+BO66+BO67+BO68+BO69+SUM(BO70:BO83)</f>
        <v>-132008.96120094002</v>
      </c>
      <c r="BP84" s="10">
        <f t="shared" si="17"/>
        <v>-222901.44120094</v>
      </c>
      <c r="BQ84" s="10">
        <f t="shared" si="17"/>
        <v>-132008.96120094002</v>
      </c>
      <c r="BR84" s="10">
        <f t="shared" si="17"/>
        <v>-132008.96120094002</v>
      </c>
      <c r="BS84" s="10">
        <f t="shared" si="17"/>
        <v>-229834.65806814001</v>
      </c>
      <c r="BT84" s="10">
        <f t="shared" si="17"/>
        <v>-132008.96120094002</v>
      </c>
      <c r="BU84" s="10">
        <f t="shared" si="17"/>
        <v>-132008.96120094002</v>
      </c>
      <c r="BV84" s="10">
        <f t="shared" si="17"/>
        <v>-206648.96120094002</v>
      </c>
      <c r="BW84" s="10">
        <f t="shared" si="17"/>
        <v>-134649.14042495881</v>
      </c>
      <c r="BX84" s="10">
        <f t="shared" si="17"/>
        <v>-134649.14042495881</v>
      </c>
      <c r="BY84" s="10">
        <f t="shared" si="17"/>
        <v>-282445.14042495878</v>
      </c>
      <c r="BZ84" s="10">
        <f t="shared" si="17"/>
        <v>-160550.8760680308</v>
      </c>
      <c r="CA84" s="10">
        <f t="shared" si="17"/>
        <v>-134649.14042495881</v>
      </c>
      <c r="CB84" s="10">
        <f t="shared" si="17"/>
        <v>-289167.14042495878</v>
      </c>
      <c r="CC84" s="10">
        <f t="shared" si="17"/>
        <v>-134649.14042495881</v>
      </c>
      <c r="CD84" s="10">
        <f t="shared" si="17"/>
        <v>-134649.14042495881</v>
      </c>
      <c r="CE84" s="10">
        <f t="shared" si="17"/>
        <v>-312815.55122950277</v>
      </c>
      <c r="CF84" s="10">
        <f t="shared" si="17"/>
        <v>-134649.14042495881</v>
      </c>
      <c r="CG84" s="10">
        <f t="shared" si="17"/>
        <v>-134649.14042495881</v>
      </c>
      <c r="CH84" s="10">
        <f t="shared" si="17"/>
        <v>-282558.11381847959</v>
      </c>
      <c r="CI84" s="23"/>
    </row>
    <row r="85" spans="1:87" ht="15" customHeight="1" x14ac:dyDescent="0.2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3"/>
    </row>
    <row r="86" spans="1:87" ht="15" customHeight="1" x14ac:dyDescent="0.25">
      <c r="A86" s="13" t="s">
        <v>83</v>
      </c>
      <c r="B86" s="29"/>
      <c r="C86" s="14">
        <f t="shared" ref="C86:AH86" si="18">C63+C84</f>
        <v>-75950.003333333327</v>
      </c>
      <c r="D86" s="14">
        <f t="shared" si="18"/>
        <v>-75950.003333333327</v>
      </c>
      <c r="E86" s="14">
        <f t="shared" si="18"/>
        <v>-75950.003333333327</v>
      </c>
      <c r="F86" s="14">
        <f t="shared" si="18"/>
        <v>-98950.003333333312</v>
      </c>
      <c r="G86" s="14">
        <f t="shared" si="18"/>
        <v>34890.486666666693</v>
      </c>
      <c r="H86" s="14">
        <f t="shared" si="18"/>
        <v>-6806.1533333333209</v>
      </c>
      <c r="I86" s="14">
        <f t="shared" si="18"/>
        <v>-53099.123333333322</v>
      </c>
      <c r="J86" s="14">
        <f t="shared" si="18"/>
        <v>-62474.123333333322</v>
      </c>
      <c r="K86" s="14">
        <f t="shared" si="18"/>
        <v>-83474.123333333308</v>
      </c>
      <c r="L86" s="14">
        <f t="shared" si="18"/>
        <v>-62474.123333333322</v>
      </c>
      <c r="M86" s="14">
        <f t="shared" si="18"/>
        <v>-62474.123333333322</v>
      </c>
      <c r="N86" s="14">
        <f t="shared" si="18"/>
        <v>-62474.123333333322</v>
      </c>
      <c r="O86" s="14">
        <f t="shared" si="18"/>
        <v>-64865.414999999994</v>
      </c>
      <c r="P86" s="14">
        <f t="shared" si="18"/>
        <v>-64865.414999999994</v>
      </c>
      <c r="Q86" s="14">
        <f t="shared" si="18"/>
        <v>-64865.414999999994</v>
      </c>
      <c r="R86" s="14">
        <f t="shared" si="18"/>
        <v>-112231.66499999999</v>
      </c>
      <c r="S86" s="14">
        <f t="shared" si="18"/>
        <v>-88771.664999999994</v>
      </c>
      <c r="T86" s="14">
        <f t="shared" si="18"/>
        <v>-88771.664999999994</v>
      </c>
      <c r="U86" s="14">
        <f t="shared" si="18"/>
        <v>-88771.664999999994</v>
      </c>
      <c r="V86" s="14">
        <f t="shared" si="18"/>
        <v>-88771.664999999994</v>
      </c>
      <c r="W86" s="14">
        <f t="shared" si="18"/>
        <v>-52816.665000000023</v>
      </c>
      <c r="X86" s="14">
        <f t="shared" si="18"/>
        <v>-88771.664999999994</v>
      </c>
      <c r="Y86" s="14">
        <f t="shared" si="18"/>
        <v>-88771.664999999994</v>
      </c>
      <c r="Z86" s="14">
        <f t="shared" si="18"/>
        <v>-44028.24500000001</v>
      </c>
      <c r="AA86" s="14">
        <f t="shared" si="18"/>
        <v>-114894.99249999999</v>
      </c>
      <c r="AB86" s="14">
        <f t="shared" si="18"/>
        <v>-114894.99249999999</v>
      </c>
      <c r="AC86" s="14">
        <f t="shared" si="18"/>
        <v>-57519.992499999993</v>
      </c>
      <c r="AD86" s="14">
        <f t="shared" si="18"/>
        <v>-138824.1925</v>
      </c>
      <c r="AE86" s="14">
        <f t="shared" si="18"/>
        <v>-114894.99249999999</v>
      </c>
      <c r="AF86" s="14">
        <f t="shared" si="18"/>
        <v>-114894.99249999999</v>
      </c>
      <c r="AG86" s="14">
        <f t="shared" si="18"/>
        <v>-124394.99249999999</v>
      </c>
      <c r="AH86" s="14">
        <f t="shared" si="18"/>
        <v>-124394.99249999999</v>
      </c>
      <c r="AI86" s="14">
        <f t="shared" ref="AI86:BN86" si="19">AI63+AI84</f>
        <v>-146243.39250000002</v>
      </c>
      <c r="AJ86" s="14">
        <f t="shared" si="19"/>
        <v>-124394.99249999999</v>
      </c>
      <c r="AK86" s="14">
        <f t="shared" si="19"/>
        <v>-124394.99249999999</v>
      </c>
      <c r="AL86" s="14">
        <f t="shared" si="19"/>
        <v>-124394.99249999999</v>
      </c>
      <c r="AM86" s="14">
        <f t="shared" si="19"/>
        <v>-126882.89234999999</v>
      </c>
      <c r="AN86" s="14">
        <f t="shared" si="19"/>
        <v>-126882.89234999999</v>
      </c>
      <c r="AO86" s="14">
        <f t="shared" si="19"/>
        <v>-126882.89234999999</v>
      </c>
      <c r="AP86" s="14">
        <f t="shared" si="19"/>
        <v>-151290.67634999999</v>
      </c>
      <c r="AQ86" s="14">
        <f t="shared" si="19"/>
        <v>-126882.89234999999</v>
      </c>
      <c r="AR86" s="14">
        <f t="shared" si="19"/>
        <v>-126882.89234999998</v>
      </c>
      <c r="AS86" s="14">
        <f t="shared" si="19"/>
        <v>-126882.89234999999</v>
      </c>
      <c r="AT86" s="14">
        <f t="shared" si="19"/>
        <v>-126882.89234999999</v>
      </c>
      <c r="AU86" s="14">
        <f t="shared" si="19"/>
        <v>-149168.26035</v>
      </c>
      <c r="AV86" s="14">
        <f t="shared" si="19"/>
        <v>-126882.89234999999</v>
      </c>
      <c r="AW86" s="14">
        <f t="shared" si="19"/>
        <v>-126882.89234999999</v>
      </c>
      <c r="AX86" s="14">
        <f t="shared" si="19"/>
        <v>-126882.89234999998</v>
      </c>
      <c r="AY86" s="14">
        <f t="shared" si="19"/>
        <v>-129420.55019699999</v>
      </c>
      <c r="AZ86" s="14">
        <f t="shared" si="19"/>
        <v>-129420.55019699999</v>
      </c>
      <c r="BA86" s="14">
        <f t="shared" si="19"/>
        <v>-129420.55019699992</v>
      </c>
      <c r="BB86" s="14">
        <f t="shared" si="19"/>
        <v>-154316.48987699999</v>
      </c>
      <c r="BC86" s="14">
        <f t="shared" si="19"/>
        <v>-129420.55019699999</v>
      </c>
      <c r="BD86" s="14">
        <f t="shared" si="19"/>
        <v>-129420.55019699998</v>
      </c>
      <c r="BE86" s="14">
        <f t="shared" si="19"/>
        <v>-129420.55019699999</v>
      </c>
      <c r="BF86" s="14">
        <f t="shared" si="19"/>
        <v>-129420.55019699999</v>
      </c>
      <c r="BG86" s="14">
        <f t="shared" si="19"/>
        <v>-152151.62555699999</v>
      </c>
      <c r="BH86" s="14">
        <f t="shared" si="19"/>
        <v>-129420.55019699999</v>
      </c>
      <c r="BI86" s="14">
        <f t="shared" si="19"/>
        <v>-129420.55019699999</v>
      </c>
      <c r="BJ86" s="14">
        <f t="shared" si="19"/>
        <v>-129420.55019699998</v>
      </c>
      <c r="BK86" s="14">
        <f t="shared" si="19"/>
        <v>-132008.96120094002</v>
      </c>
      <c r="BL86" s="14">
        <f t="shared" si="19"/>
        <v>-132008.96120094002</v>
      </c>
      <c r="BM86" s="14">
        <f t="shared" si="19"/>
        <v>-132008.96120094002</v>
      </c>
      <c r="BN86" s="14">
        <f t="shared" si="19"/>
        <v>-157402.81967454002</v>
      </c>
      <c r="BO86" s="14">
        <f t="shared" ref="BO86:CH86" si="20">BO63+BO84</f>
        <v>-132008.96120094002</v>
      </c>
      <c r="BP86" s="14">
        <f t="shared" si="20"/>
        <v>-80495.441200939997</v>
      </c>
      <c r="BQ86" s="14">
        <f t="shared" si="20"/>
        <v>-132008.96120094002</v>
      </c>
      <c r="BR86" s="14">
        <f t="shared" si="20"/>
        <v>-132008.96120094002</v>
      </c>
      <c r="BS86" s="14">
        <f t="shared" si="20"/>
        <v>-87432.658068140008</v>
      </c>
      <c r="BT86" s="14">
        <f t="shared" si="20"/>
        <v>-132008.96120094002</v>
      </c>
      <c r="BU86" s="14">
        <f t="shared" si="20"/>
        <v>-132008.96120094002</v>
      </c>
      <c r="BV86" s="14">
        <f t="shared" si="20"/>
        <v>-64246.961200940015</v>
      </c>
      <c r="BW86" s="14">
        <f t="shared" si="20"/>
        <v>-134649.14042495881</v>
      </c>
      <c r="BX86" s="14">
        <f t="shared" si="20"/>
        <v>-134649.14042495881</v>
      </c>
      <c r="BY86" s="14">
        <f t="shared" si="20"/>
        <v>-66887.140424958779</v>
      </c>
      <c r="BZ86" s="14">
        <f t="shared" si="20"/>
        <v>-160550.8760680308</v>
      </c>
      <c r="CA86" s="14">
        <f t="shared" si="20"/>
        <v>-134649.14042495881</v>
      </c>
      <c r="CB86" s="14">
        <f t="shared" si="20"/>
        <v>-58150.140424958779</v>
      </c>
      <c r="CC86" s="14">
        <f t="shared" si="20"/>
        <v>-134649.14042495881</v>
      </c>
      <c r="CD86" s="14">
        <f t="shared" si="20"/>
        <v>-134649.14042495881</v>
      </c>
      <c r="CE86" s="14">
        <f t="shared" si="20"/>
        <v>-81799.551229502773</v>
      </c>
      <c r="CF86" s="14">
        <f t="shared" si="20"/>
        <v>-134649.14042495881</v>
      </c>
      <c r="CG86" s="14">
        <f t="shared" si="20"/>
        <v>-134649.14042495881</v>
      </c>
      <c r="CH86" s="14">
        <f t="shared" si="20"/>
        <v>-51542.113818479585</v>
      </c>
      <c r="CI86" s="23"/>
    </row>
    <row r="87" spans="1:87" ht="15" customHeight="1" x14ac:dyDescent="0.2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3"/>
    </row>
    <row r="88" spans="1:87" ht="15" customHeight="1" x14ac:dyDescent="0.25">
      <c r="A88" s="26" t="s">
        <v>182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  <c r="CG88" s="26"/>
      <c r="CH88" s="26"/>
      <c r="CI88" s="23"/>
    </row>
    <row r="89" spans="1:87" ht="15" customHeight="1" x14ac:dyDescent="0.25">
      <c r="A89" s="16" t="s">
        <v>68</v>
      </c>
      <c r="B89" s="22"/>
      <c r="C89" s="8">
        <f>C12</f>
        <v>407525.04425837321</v>
      </c>
      <c r="D89" s="8">
        <f>D12</f>
        <v>407525.04425837321</v>
      </c>
      <c r="E89" s="8">
        <f>E12</f>
        <v>407525.04425837321</v>
      </c>
      <c r="F89" s="8">
        <f>F12</f>
        <v>1214811.036985646</v>
      </c>
      <c r="G89" s="8">
        <f>G12</f>
        <v>627563.67703349283</v>
      </c>
      <c r="H89" s="8">
        <f>H12</f>
        <v>672690.48923444969</v>
      </c>
      <c r="I89" s="8">
        <f>I12</f>
        <v>1256262.6621212121</v>
      </c>
      <c r="J89" s="8">
        <f>J12</f>
        <v>1233832.9130681818</v>
      </c>
      <c r="K89" s="8">
        <f>K12</f>
        <v>854244.83806818177</v>
      </c>
      <c r="L89" s="8">
        <f>L12</f>
        <v>854244.83806818177</v>
      </c>
      <c r="M89" s="8">
        <f>M12</f>
        <v>854244.83806818177</v>
      </c>
      <c r="N89" s="8">
        <f>N12</f>
        <v>854244.83806818177</v>
      </c>
      <c r="O89" s="8">
        <f>O12</f>
        <v>1704711.4259469695</v>
      </c>
      <c r="P89" s="8">
        <f>P12</f>
        <v>1025709.8759469696</v>
      </c>
      <c r="Q89" s="8">
        <f>Q12</f>
        <v>1025709.8759469696</v>
      </c>
      <c r="R89" s="8">
        <f>R12</f>
        <v>835060.48958333326</v>
      </c>
      <c r="S89" s="8">
        <f>S12</f>
        <v>709124.98958333337</v>
      </c>
      <c r="T89" s="8">
        <f>T12</f>
        <v>709124.98958333337</v>
      </c>
      <c r="U89" s="8">
        <f>U12</f>
        <v>709124.98958333337</v>
      </c>
      <c r="V89" s="8">
        <f>V12</f>
        <v>678821.83168859652</v>
      </c>
      <c r="W89" s="8">
        <f>W12</f>
        <v>678821.83168859652</v>
      </c>
      <c r="X89" s="8">
        <f>X12</f>
        <v>678821.83168859652</v>
      </c>
      <c r="Y89" s="8">
        <f>Y12</f>
        <v>678821.83168859652</v>
      </c>
      <c r="Z89" s="8">
        <f>Z12</f>
        <v>621542.4716407496</v>
      </c>
      <c r="AA89" s="8">
        <f>AA12</f>
        <v>576415.65943979262</v>
      </c>
      <c r="AB89" s="8">
        <f>AB12</f>
        <v>494921.80776515149</v>
      </c>
      <c r="AC89" s="8">
        <f>AC12</f>
        <v>1271887.6210984848</v>
      </c>
      <c r="AD89" s="8">
        <f>AD12</f>
        <v>651568.14109848486</v>
      </c>
      <c r="AE89" s="8">
        <f>AE12</f>
        <v>651568.14109848486</v>
      </c>
      <c r="AF89" s="8">
        <f>AF12</f>
        <v>651568.14109848486</v>
      </c>
      <c r="AG89" s="8">
        <f>AG12</f>
        <v>651568.14109848486</v>
      </c>
      <c r="AH89" s="8">
        <f>AH12</f>
        <v>550889.14015151514</v>
      </c>
      <c r="AI89" s="8">
        <f>AI12</f>
        <v>550889.14015151514</v>
      </c>
      <c r="AJ89" s="8">
        <f>AJ12</f>
        <v>388129.86742424243</v>
      </c>
      <c r="AK89" s="8">
        <f>AK12</f>
        <v>388129.86742424243</v>
      </c>
      <c r="AL89" s="8">
        <f>AL12</f>
        <v>388129.86742424243</v>
      </c>
      <c r="AM89" s="8">
        <f>AM12</f>
        <v>328111.37121212122</v>
      </c>
      <c r="AN89" s="8">
        <f>AN12</f>
        <v>328111.37121212122</v>
      </c>
      <c r="AO89" s="8">
        <f>AO12</f>
        <v>328111.37121212122</v>
      </c>
      <c r="AP89" s="8">
        <f>AP12</f>
        <v>328111.37121212122</v>
      </c>
      <c r="AQ89" s="8">
        <f>AQ12</f>
        <v>328111.37121212122</v>
      </c>
      <c r="AR89" s="8">
        <f>AR12</f>
        <v>328111.37121212122</v>
      </c>
      <c r="AS89" s="8">
        <f>AS12</f>
        <v>156646.33333333334</v>
      </c>
      <c r="AT89" s="8">
        <f>AT12</f>
        <v>156646.33333333334</v>
      </c>
      <c r="AU89" s="8">
        <f>AU12</f>
        <v>156646.33333333334</v>
      </c>
      <c r="AV89" s="8">
        <f>AV12</f>
        <v>156646.33333333334</v>
      </c>
      <c r="AW89" s="8">
        <f>AW12</f>
        <v>156646.33333333334</v>
      </c>
      <c r="AX89" s="8">
        <f>AX12</f>
        <v>156646.33333333334</v>
      </c>
      <c r="AY89" s="8">
        <f>AY12</f>
        <v>156646.33333333334</v>
      </c>
      <c r="AZ89" s="8">
        <f>AZ12</f>
        <v>156646.33333333334</v>
      </c>
      <c r="BA89" s="8">
        <f>BA12</f>
        <v>156646.33333333334</v>
      </c>
      <c r="BB89" s="8">
        <f>BB12</f>
        <v>156646.33333333334</v>
      </c>
      <c r="BC89" s="8">
        <f>BC12</f>
        <v>156646.33333333334</v>
      </c>
      <c r="BD89" s="8">
        <f>BD12</f>
        <v>156646.33333333334</v>
      </c>
      <c r="BE89" s="8">
        <f>BE12</f>
        <v>156646.33333333334</v>
      </c>
      <c r="BF89" s="8">
        <f>BF12</f>
        <v>156646.33333333334</v>
      </c>
      <c r="BG89" s="8">
        <f>BG12</f>
        <v>0</v>
      </c>
      <c r="BH89" s="8">
        <f>BH12</f>
        <v>0</v>
      </c>
      <c r="BI89" s="8">
        <f>BI12</f>
        <v>0</v>
      </c>
      <c r="BJ89" s="8">
        <f>BJ12</f>
        <v>0</v>
      </c>
      <c r="BK89" s="8">
        <f>BK12</f>
        <v>0</v>
      </c>
      <c r="BL89" s="8">
        <f>BL12</f>
        <v>0</v>
      </c>
      <c r="BM89" s="8">
        <f>BM12</f>
        <v>0</v>
      </c>
      <c r="BN89" s="8">
        <f>BN12</f>
        <v>0</v>
      </c>
      <c r="BO89" s="8">
        <f>BO12</f>
        <v>0</v>
      </c>
      <c r="BP89" s="8">
        <f>BP12</f>
        <v>0</v>
      </c>
      <c r="BQ89" s="8">
        <f>BQ12</f>
        <v>0</v>
      </c>
      <c r="BR89" s="8">
        <f>BR12</f>
        <v>0</v>
      </c>
      <c r="BS89" s="8">
        <f>BS12</f>
        <v>0</v>
      </c>
      <c r="BT89" s="8">
        <f>BT12</f>
        <v>0</v>
      </c>
      <c r="BU89" s="8">
        <f>BU12</f>
        <v>0</v>
      </c>
      <c r="BV89" s="8">
        <f>BV12</f>
        <v>0</v>
      </c>
      <c r="BW89" s="8">
        <f>BW12</f>
        <v>0</v>
      </c>
      <c r="BX89" s="8">
        <f>BX12</f>
        <v>0</v>
      </c>
      <c r="BY89" s="8">
        <f>BY12</f>
        <v>0</v>
      </c>
      <c r="BZ89" s="8">
        <f>BZ12</f>
        <v>0</v>
      </c>
      <c r="CA89" s="8">
        <f>CA12</f>
        <v>0</v>
      </c>
      <c r="CB89" s="8">
        <f>CB12</f>
        <v>0</v>
      </c>
      <c r="CC89" s="8">
        <f>CC12</f>
        <v>0</v>
      </c>
      <c r="CD89" s="8">
        <f>CD12</f>
        <v>0</v>
      </c>
      <c r="CE89" s="8">
        <f>CE12</f>
        <v>0</v>
      </c>
      <c r="CF89" s="8">
        <f>CF12</f>
        <v>0</v>
      </c>
      <c r="CG89" s="8">
        <f>CG12</f>
        <v>0</v>
      </c>
      <c r="CH89" s="8">
        <f>CH12</f>
        <v>0</v>
      </c>
      <c r="CI89" s="23"/>
    </row>
    <row r="90" spans="1:87" ht="15" customHeight="1" x14ac:dyDescent="0.25">
      <c r="A90" s="16" t="s">
        <v>81</v>
      </c>
      <c r="B90" s="22"/>
      <c r="C90" s="8">
        <f>C63</f>
        <v>43614.58</v>
      </c>
      <c r="D90" s="8">
        <f>D63</f>
        <v>43614.58</v>
      </c>
      <c r="E90" s="8">
        <f>E63</f>
        <v>43614.58</v>
      </c>
      <c r="F90" s="8">
        <f>F63</f>
        <v>43614.58</v>
      </c>
      <c r="G90" s="8">
        <f>G63</f>
        <v>310226.16000000003</v>
      </c>
      <c r="H90" s="8">
        <f>H63</f>
        <v>248210.46000000002</v>
      </c>
      <c r="I90" s="8">
        <f>I63</f>
        <v>66465.460000000006</v>
      </c>
      <c r="J90" s="8">
        <f>J63</f>
        <v>57090.460000000006</v>
      </c>
      <c r="K90" s="8">
        <f>K63</f>
        <v>57090.460000000006</v>
      </c>
      <c r="L90" s="8">
        <f>L63</f>
        <v>57090.460000000006</v>
      </c>
      <c r="M90" s="8">
        <f>M63</f>
        <v>57090.460000000006</v>
      </c>
      <c r="N90" s="8">
        <f>N63</f>
        <v>57090.460000000006</v>
      </c>
      <c r="O90" s="8">
        <f>O63</f>
        <v>57090.460000000006</v>
      </c>
      <c r="P90" s="8">
        <f>P63</f>
        <v>57090.460000000006</v>
      </c>
      <c r="Q90" s="8">
        <f>Q63</f>
        <v>57090.460000000006</v>
      </c>
      <c r="R90" s="8">
        <f>R63</f>
        <v>33184.210000000006</v>
      </c>
      <c r="S90" s="8">
        <f>S63</f>
        <v>33184.210000000006</v>
      </c>
      <c r="T90" s="8">
        <f>T63</f>
        <v>33184.210000000006</v>
      </c>
      <c r="U90" s="8">
        <f>U63</f>
        <v>33184.210000000006</v>
      </c>
      <c r="V90" s="8">
        <f>V63</f>
        <v>33184.210000000006</v>
      </c>
      <c r="W90" s="8">
        <f>W63</f>
        <v>90559.209999999977</v>
      </c>
      <c r="X90" s="8">
        <f>X63</f>
        <v>33184.210000000006</v>
      </c>
      <c r="Y90" s="8">
        <f>Y63</f>
        <v>33184.210000000006</v>
      </c>
      <c r="Z90" s="8">
        <f>Z63</f>
        <v>77927.62999999999</v>
      </c>
      <c r="AA90" s="8">
        <f>AA63</f>
        <v>9500</v>
      </c>
      <c r="AB90" s="8">
        <f>AB63</f>
        <v>9500</v>
      </c>
      <c r="AC90" s="8">
        <f>AC63</f>
        <v>66875</v>
      </c>
      <c r="AD90" s="8">
        <f>AD63</f>
        <v>9500</v>
      </c>
      <c r="AE90" s="8">
        <f>AE63</f>
        <v>9500</v>
      </c>
      <c r="AF90" s="8">
        <f>AF63</f>
        <v>9500</v>
      </c>
      <c r="AG90" s="8">
        <f>AG63</f>
        <v>0</v>
      </c>
      <c r="AH90" s="8">
        <f>AH63</f>
        <v>0</v>
      </c>
      <c r="AI90" s="8">
        <f>AI63</f>
        <v>0</v>
      </c>
      <c r="AJ90" s="8">
        <f>AJ63</f>
        <v>0</v>
      </c>
      <c r="AK90" s="8">
        <f>AK63</f>
        <v>0</v>
      </c>
      <c r="AL90" s="8">
        <f>AL63</f>
        <v>0</v>
      </c>
      <c r="AM90" s="8">
        <f>AM63</f>
        <v>0</v>
      </c>
      <c r="AN90" s="8">
        <f>AN63</f>
        <v>0</v>
      </c>
      <c r="AO90" s="8">
        <f>AO63</f>
        <v>0</v>
      </c>
      <c r="AP90" s="8">
        <f>AP63</f>
        <v>0</v>
      </c>
      <c r="AQ90" s="8">
        <f>AQ63</f>
        <v>0</v>
      </c>
      <c r="AR90" s="8">
        <f>AR63</f>
        <v>81683</v>
      </c>
      <c r="AS90" s="8">
        <f>AS63</f>
        <v>0</v>
      </c>
      <c r="AT90" s="8">
        <f>AT63</f>
        <v>0</v>
      </c>
      <c r="AU90" s="8">
        <f>AU63</f>
        <v>81682</v>
      </c>
      <c r="AV90" s="8">
        <f>AV63</f>
        <v>0</v>
      </c>
      <c r="AW90" s="8">
        <f>AW63</f>
        <v>0</v>
      </c>
      <c r="AX90" s="8">
        <f>AX63</f>
        <v>81682</v>
      </c>
      <c r="AY90" s="8">
        <f>AY63</f>
        <v>0</v>
      </c>
      <c r="AZ90" s="8">
        <f>AZ63</f>
        <v>0</v>
      </c>
      <c r="BA90" s="8">
        <f>BA63</f>
        <v>933521</v>
      </c>
      <c r="BB90" s="8">
        <f>BB63</f>
        <v>0</v>
      </c>
      <c r="BC90" s="8">
        <f>BC63</f>
        <v>0</v>
      </c>
      <c r="BD90" s="8">
        <f>BD63</f>
        <v>130878</v>
      </c>
      <c r="BE90" s="8">
        <f>BE63</f>
        <v>0</v>
      </c>
      <c r="BF90" s="8">
        <f>BF63</f>
        <v>0</v>
      </c>
      <c r="BG90" s="8">
        <f>BG63</f>
        <v>130876</v>
      </c>
      <c r="BH90" s="8">
        <f>BH63</f>
        <v>0</v>
      </c>
      <c r="BI90" s="8">
        <f>BI63</f>
        <v>0</v>
      </c>
      <c r="BJ90" s="8">
        <f>BJ63</f>
        <v>130876</v>
      </c>
      <c r="BK90" s="8">
        <f>BK63</f>
        <v>0</v>
      </c>
      <c r="BL90" s="8">
        <f>BL63</f>
        <v>0</v>
      </c>
      <c r="BM90" s="8">
        <f>BM63</f>
        <v>130876</v>
      </c>
      <c r="BN90" s="8">
        <f>BN63</f>
        <v>0</v>
      </c>
      <c r="BO90" s="8">
        <f>BO63</f>
        <v>0</v>
      </c>
      <c r="BP90" s="8">
        <f>BP63</f>
        <v>142406</v>
      </c>
      <c r="BQ90" s="8">
        <f>BQ63</f>
        <v>0</v>
      </c>
      <c r="BR90" s="8">
        <f>BR63</f>
        <v>0</v>
      </c>
      <c r="BS90" s="8">
        <f>BS63</f>
        <v>142402</v>
      </c>
      <c r="BT90" s="8">
        <f>BT63</f>
        <v>0</v>
      </c>
      <c r="BU90" s="8">
        <f>BU63</f>
        <v>0</v>
      </c>
      <c r="BV90" s="8">
        <f>BV63</f>
        <v>142402</v>
      </c>
      <c r="BW90" s="8">
        <f>BW63</f>
        <v>0</v>
      </c>
      <c r="BX90" s="8">
        <f>BX63</f>
        <v>0</v>
      </c>
      <c r="BY90" s="8">
        <f>BY63</f>
        <v>215558</v>
      </c>
      <c r="BZ90" s="8">
        <f>BZ63</f>
        <v>0</v>
      </c>
      <c r="CA90" s="8">
        <f>CA63</f>
        <v>0</v>
      </c>
      <c r="CB90" s="8">
        <f>CB63</f>
        <v>231017</v>
      </c>
      <c r="CC90" s="8">
        <f>CC63</f>
        <v>0</v>
      </c>
      <c r="CD90" s="8">
        <f>CD63</f>
        <v>0</v>
      </c>
      <c r="CE90" s="8">
        <f>CE63</f>
        <v>231016</v>
      </c>
      <c r="CF90" s="8">
        <f>CF63</f>
        <v>0</v>
      </c>
      <c r="CG90" s="8">
        <f>CG63</f>
        <v>0</v>
      </c>
      <c r="CH90" s="8">
        <f>CH63</f>
        <v>231016</v>
      </c>
      <c r="CI90" s="23"/>
    </row>
    <row r="91" spans="1:87" ht="15" customHeight="1" x14ac:dyDescent="0.25">
      <c r="A91" s="9" t="s">
        <v>183</v>
      </c>
      <c r="B91" s="28"/>
      <c r="C91" s="10">
        <f t="shared" ref="C91:AH91" si="21">C89+C90</f>
        <v>451139.62425837322</v>
      </c>
      <c r="D91" s="10">
        <f t="shared" si="21"/>
        <v>451139.62425837322</v>
      </c>
      <c r="E91" s="10">
        <f t="shared" si="21"/>
        <v>451139.62425837322</v>
      </c>
      <c r="F91" s="10">
        <f t="shared" si="21"/>
        <v>1258425.6169856461</v>
      </c>
      <c r="G91" s="10">
        <f t="shared" si="21"/>
        <v>937789.83703349286</v>
      </c>
      <c r="H91" s="10">
        <f t="shared" si="21"/>
        <v>920900.94923444977</v>
      </c>
      <c r="I91" s="10">
        <f t="shared" si="21"/>
        <v>1322728.1221212121</v>
      </c>
      <c r="J91" s="10">
        <f t="shared" si="21"/>
        <v>1290923.3730681818</v>
      </c>
      <c r="K91" s="10">
        <f t="shared" si="21"/>
        <v>911335.29806818173</v>
      </c>
      <c r="L91" s="10">
        <f t="shared" si="21"/>
        <v>911335.29806818173</v>
      </c>
      <c r="M91" s="10">
        <f t="shared" si="21"/>
        <v>911335.29806818173</v>
      </c>
      <c r="N91" s="10">
        <f t="shared" si="21"/>
        <v>911335.29806818173</v>
      </c>
      <c r="O91" s="10">
        <f t="shared" si="21"/>
        <v>1761801.8859469695</v>
      </c>
      <c r="P91" s="10">
        <f t="shared" si="21"/>
        <v>1082800.3359469697</v>
      </c>
      <c r="Q91" s="10">
        <f t="shared" si="21"/>
        <v>1082800.3359469697</v>
      </c>
      <c r="R91" s="10">
        <f t="shared" si="21"/>
        <v>868244.69958333322</v>
      </c>
      <c r="S91" s="10">
        <f t="shared" si="21"/>
        <v>742309.19958333333</v>
      </c>
      <c r="T91" s="10">
        <f t="shared" si="21"/>
        <v>742309.19958333333</v>
      </c>
      <c r="U91" s="10">
        <f t="shared" si="21"/>
        <v>742309.19958333333</v>
      </c>
      <c r="V91" s="10">
        <f t="shared" si="21"/>
        <v>712006.04168859648</v>
      </c>
      <c r="W91" s="10">
        <f t="shared" si="21"/>
        <v>769381.04168859648</v>
      </c>
      <c r="X91" s="10">
        <f t="shared" si="21"/>
        <v>712006.04168859648</v>
      </c>
      <c r="Y91" s="10">
        <f t="shared" si="21"/>
        <v>712006.04168859648</v>
      </c>
      <c r="Z91" s="10">
        <f t="shared" si="21"/>
        <v>699470.10164074961</v>
      </c>
      <c r="AA91" s="10">
        <f t="shared" si="21"/>
        <v>585915.65943979262</v>
      </c>
      <c r="AB91" s="10">
        <f t="shared" si="21"/>
        <v>504421.80776515149</v>
      </c>
      <c r="AC91" s="10">
        <f t="shared" si="21"/>
        <v>1338762.6210984848</v>
      </c>
      <c r="AD91" s="10">
        <f t="shared" si="21"/>
        <v>661068.14109848486</v>
      </c>
      <c r="AE91" s="10">
        <f t="shared" si="21"/>
        <v>661068.14109848486</v>
      </c>
      <c r="AF91" s="10">
        <f t="shared" si="21"/>
        <v>661068.14109848486</v>
      </c>
      <c r="AG91" s="10">
        <f t="shared" si="21"/>
        <v>651568.14109848486</v>
      </c>
      <c r="AH91" s="10">
        <f t="shared" si="21"/>
        <v>550889.14015151514</v>
      </c>
      <c r="AI91" s="10">
        <f t="shared" ref="AI91:BN91" si="22">AI89+AI90</f>
        <v>550889.14015151514</v>
      </c>
      <c r="AJ91" s="10">
        <f t="shared" si="22"/>
        <v>388129.86742424243</v>
      </c>
      <c r="AK91" s="10">
        <f t="shared" si="22"/>
        <v>388129.86742424243</v>
      </c>
      <c r="AL91" s="10">
        <f t="shared" si="22"/>
        <v>388129.86742424243</v>
      </c>
      <c r="AM91" s="10">
        <f t="shared" si="22"/>
        <v>328111.37121212122</v>
      </c>
      <c r="AN91" s="10">
        <f t="shared" si="22"/>
        <v>328111.37121212122</v>
      </c>
      <c r="AO91" s="10">
        <f t="shared" si="22"/>
        <v>328111.37121212122</v>
      </c>
      <c r="AP91" s="10">
        <f t="shared" si="22"/>
        <v>328111.37121212122</v>
      </c>
      <c r="AQ91" s="10">
        <f t="shared" si="22"/>
        <v>328111.37121212122</v>
      </c>
      <c r="AR91" s="10">
        <f t="shared" si="22"/>
        <v>409794.37121212122</v>
      </c>
      <c r="AS91" s="10">
        <f t="shared" si="22"/>
        <v>156646.33333333334</v>
      </c>
      <c r="AT91" s="10">
        <f t="shared" si="22"/>
        <v>156646.33333333334</v>
      </c>
      <c r="AU91" s="10">
        <f t="shared" si="22"/>
        <v>238328.33333333334</v>
      </c>
      <c r="AV91" s="10">
        <f t="shared" si="22"/>
        <v>156646.33333333334</v>
      </c>
      <c r="AW91" s="10">
        <f t="shared" si="22"/>
        <v>156646.33333333334</v>
      </c>
      <c r="AX91" s="10">
        <f t="shared" si="22"/>
        <v>238328.33333333334</v>
      </c>
      <c r="AY91" s="10">
        <f t="shared" si="22"/>
        <v>156646.33333333334</v>
      </c>
      <c r="AZ91" s="10">
        <f t="shared" si="22"/>
        <v>156646.33333333334</v>
      </c>
      <c r="BA91" s="10">
        <f t="shared" si="22"/>
        <v>1090167.3333333333</v>
      </c>
      <c r="BB91" s="10">
        <f t="shared" si="22"/>
        <v>156646.33333333334</v>
      </c>
      <c r="BC91" s="10">
        <f t="shared" si="22"/>
        <v>156646.33333333334</v>
      </c>
      <c r="BD91" s="10">
        <f t="shared" si="22"/>
        <v>287524.33333333337</v>
      </c>
      <c r="BE91" s="10">
        <f t="shared" si="22"/>
        <v>156646.33333333334</v>
      </c>
      <c r="BF91" s="10">
        <f t="shared" si="22"/>
        <v>156646.33333333334</v>
      </c>
      <c r="BG91" s="10">
        <f t="shared" si="22"/>
        <v>130876</v>
      </c>
      <c r="BH91" s="10">
        <f t="shared" si="22"/>
        <v>0</v>
      </c>
      <c r="BI91" s="10">
        <f t="shared" si="22"/>
        <v>0</v>
      </c>
      <c r="BJ91" s="10">
        <f t="shared" si="22"/>
        <v>130876</v>
      </c>
      <c r="BK91" s="10">
        <f t="shared" si="22"/>
        <v>0</v>
      </c>
      <c r="BL91" s="10">
        <f t="shared" si="22"/>
        <v>0</v>
      </c>
      <c r="BM91" s="10">
        <f t="shared" si="22"/>
        <v>130876</v>
      </c>
      <c r="BN91" s="10">
        <f t="shared" si="22"/>
        <v>0</v>
      </c>
      <c r="BO91" s="10">
        <f t="shared" ref="BO91:CH91" si="23">BO89+BO90</f>
        <v>0</v>
      </c>
      <c r="BP91" s="10">
        <f t="shared" si="23"/>
        <v>142406</v>
      </c>
      <c r="BQ91" s="10">
        <f t="shared" si="23"/>
        <v>0</v>
      </c>
      <c r="BR91" s="10">
        <f t="shared" si="23"/>
        <v>0</v>
      </c>
      <c r="BS91" s="10">
        <f t="shared" si="23"/>
        <v>142402</v>
      </c>
      <c r="BT91" s="10">
        <f t="shared" si="23"/>
        <v>0</v>
      </c>
      <c r="BU91" s="10">
        <f t="shared" si="23"/>
        <v>0</v>
      </c>
      <c r="BV91" s="10">
        <f t="shared" si="23"/>
        <v>142402</v>
      </c>
      <c r="BW91" s="10">
        <f t="shared" si="23"/>
        <v>0</v>
      </c>
      <c r="BX91" s="10">
        <f t="shared" si="23"/>
        <v>0</v>
      </c>
      <c r="BY91" s="10">
        <f t="shared" si="23"/>
        <v>215558</v>
      </c>
      <c r="BZ91" s="10">
        <f t="shared" si="23"/>
        <v>0</v>
      </c>
      <c r="CA91" s="10">
        <f t="shared" si="23"/>
        <v>0</v>
      </c>
      <c r="CB91" s="10">
        <f t="shared" si="23"/>
        <v>231017</v>
      </c>
      <c r="CC91" s="10">
        <f t="shared" si="23"/>
        <v>0</v>
      </c>
      <c r="CD91" s="10">
        <f t="shared" si="23"/>
        <v>0</v>
      </c>
      <c r="CE91" s="10">
        <f t="shared" si="23"/>
        <v>231016</v>
      </c>
      <c r="CF91" s="10">
        <f t="shared" si="23"/>
        <v>0</v>
      </c>
      <c r="CG91" s="10">
        <f t="shared" si="23"/>
        <v>0</v>
      </c>
      <c r="CH91" s="10">
        <f t="shared" si="23"/>
        <v>231016</v>
      </c>
      <c r="CI91" s="23"/>
    </row>
    <row r="92" spans="1:87" ht="15" customHeight="1" x14ac:dyDescent="0.25">
      <c r="A92" s="16" t="s">
        <v>74</v>
      </c>
      <c r="B92" s="22"/>
      <c r="C92" s="8">
        <f>C38</f>
        <v>-333677.61833333335</v>
      </c>
      <c r="D92" s="8">
        <f>D38</f>
        <v>-380258.86833333329</v>
      </c>
      <c r="E92" s="8">
        <f>E38</f>
        <v>-418808.86833333329</v>
      </c>
      <c r="F92" s="8">
        <f>F38</f>
        <v>-750160.80020000006</v>
      </c>
      <c r="G92" s="8">
        <f>G38</f>
        <v>-445579.70166666666</v>
      </c>
      <c r="H92" s="8">
        <f>H38</f>
        <v>-445579.70166666666</v>
      </c>
      <c r="I92" s="8">
        <f>I38</f>
        <v>-663662.54866666661</v>
      </c>
      <c r="J92" s="8">
        <f>J38</f>
        <v>-602928.89866666647</v>
      </c>
      <c r="K92" s="8">
        <f>K38</f>
        <v>-445579.70166666666</v>
      </c>
      <c r="L92" s="8">
        <f>L38</f>
        <v>-445579.70166666666</v>
      </c>
      <c r="M92" s="8">
        <f>M38</f>
        <v>-445579.70166666666</v>
      </c>
      <c r="N92" s="8">
        <f>N38</f>
        <v>-445579.70166666666</v>
      </c>
      <c r="O92" s="8">
        <f>O38</f>
        <v>-1925661.3207</v>
      </c>
      <c r="P92" s="8">
        <f>P38</f>
        <v>-454491.29570000002</v>
      </c>
      <c r="Q92" s="8">
        <f>Q38</f>
        <v>-454491.29570000002</v>
      </c>
      <c r="R92" s="8">
        <f>R38</f>
        <v>-454491.29570000002</v>
      </c>
      <c r="S92" s="8">
        <f>S38</f>
        <v>-454491.29570000002</v>
      </c>
      <c r="T92" s="8">
        <f>T38</f>
        <v>-454491.29570000002</v>
      </c>
      <c r="U92" s="8">
        <f>U38</f>
        <v>-454491.29570000002</v>
      </c>
      <c r="V92" s="8">
        <f>V38</f>
        <v>-454491.29570000002</v>
      </c>
      <c r="W92" s="8">
        <f>W38</f>
        <v>-454491.29570000002</v>
      </c>
      <c r="X92" s="8">
        <f>X38</f>
        <v>-454491.29570000002</v>
      </c>
      <c r="Y92" s="8">
        <f>Y38</f>
        <v>-454491.29570000002</v>
      </c>
      <c r="Z92" s="8">
        <f>Z38</f>
        <v>-454491.29570000002</v>
      </c>
      <c r="AA92" s="8">
        <f>AA38</f>
        <v>-463581.12161399995</v>
      </c>
      <c r="AB92" s="8">
        <f>AB38</f>
        <v>-463581.12161399995</v>
      </c>
      <c r="AC92" s="8">
        <f>AC38</f>
        <v>-1807606.6616140001</v>
      </c>
      <c r="AD92" s="8">
        <f>AD38</f>
        <v>-463581.12161399995</v>
      </c>
      <c r="AE92" s="8">
        <f>AE38</f>
        <v>-463581.12161399995</v>
      </c>
      <c r="AF92" s="8">
        <f>AF38</f>
        <v>-463581.12161399995</v>
      </c>
      <c r="AG92" s="8">
        <f>AG38</f>
        <v>-463581.12161399995</v>
      </c>
      <c r="AH92" s="8">
        <f>AH38</f>
        <v>-463581.12161399995</v>
      </c>
      <c r="AI92" s="8">
        <f>AI38</f>
        <v>-463581.12161399995</v>
      </c>
      <c r="AJ92" s="8">
        <f>AJ38</f>
        <v>-463581.12161399995</v>
      </c>
      <c r="AK92" s="8">
        <f>AK38</f>
        <v>-463581.12161399995</v>
      </c>
      <c r="AL92" s="8">
        <f>AL38</f>
        <v>-463581.12161399995</v>
      </c>
      <c r="AM92" s="8">
        <f>AM38</f>
        <v>-472852.74404628004</v>
      </c>
      <c r="AN92" s="8">
        <f>AN38</f>
        <v>-472852.74404628004</v>
      </c>
      <c r="AO92" s="8">
        <f>AO38</f>
        <v>-472852.74404628004</v>
      </c>
      <c r="AP92" s="8">
        <f>AP38</f>
        <v>-472852.74404628004</v>
      </c>
      <c r="AQ92" s="8">
        <f>AQ38</f>
        <v>-472852.74404628004</v>
      </c>
      <c r="AR92" s="8">
        <f>AR38</f>
        <v>-472852.74404628004</v>
      </c>
      <c r="AS92" s="8">
        <f>AS38</f>
        <v>-472852.74404628004</v>
      </c>
      <c r="AT92" s="8">
        <f>AT38</f>
        <v>-472852.74404628004</v>
      </c>
      <c r="AU92" s="8">
        <f>AU38</f>
        <v>-472852.74404628004</v>
      </c>
      <c r="AV92" s="8">
        <f>AV38</f>
        <v>-472852.74404628004</v>
      </c>
      <c r="AW92" s="8">
        <f>AW38</f>
        <v>-472852.74404628004</v>
      </c>
      <c r="AX92" s="8">
        <f>AX38</f>
        <v>-472852.74404628004</v>
      </c>
      <c r="AY92" s="8">
        <f>AY38</f>
        <v>-482309.79892720561</v>
      </c>
      <c r="AZ92" s="8">
        <f>AZ38</f>
        <v>-482309.79892720561</v>
      </c>
      <c r="BA92" s="8">
        <f>BA38</f>
        <v>-482309.79892720561</v>
      </c>
      <c r="BB92" s="8">
        <f>BB38</f>
        <v>-482309.79892720561</v>
      </c>
      <c r="BC92" s="8">
        <f>BC38</f>
        <v>-482309.79892720561</v>
      </c>
      <c r="BD92" s="8">
        <f>BD38</f>
        <v>-482309.79892720561</v>
      </c>
      <c r="BE92" s="8">
        <f>BE38</f>
        <v>-482309.79892720561</v>
      </c>
      <c r="BF92" s="8">
        <f>BF38</f>
        <v>-482309.79892720561</v>
      </c>
      <c r="BG92" s="8">
        <f>BG38</f>
        <v>-482309.79892720561</v>
      </c>
      <c r="BH92" s="8">
        <f>BH38</f>
        <v>-482309.79892720561</v>
      </c>
      <c r="BI92" s="8">
        <f>BI38</f>
        <v>-482309.79892720561</v>
      </c>
      <c r="BJ92" s="8">
        <f>BJ38</f>
        <v>-482309.79892720561</v>
      </c>
      <c r="BK92" s="8">
        <f>BK38</f>
        <v>-491955.99490574969</v>
      </c>
      <c r="BL92" s="8">
        <f>BL38</f>
        <v>-491955.99490574969</v>
      </c>
      <c r="BM92" s="8">
        <f>BM38</f>
        <v>-491955.99490574969</v>
      </c>
      <c r="BN92" s="8">
        <f>BN38</f>
        <v>-491955.99490574969</v>
      </c>
      <c r="BO92" s="8">
        <f>BO38</f>
        <v>-491955.99490574969</v>
      </c>
      <c r="BP92" s="8">
        <f>BP38</f>
        <v>-491955.99490574969</v>
      </c>
      <c r="BQ92" s="8">
        <f>BQ38</f>
        <v>-491955.99490574969</v>
      </c>
      <c r="BR92" s="8">
        <f>BR38</f>
        <v>-491955.99490574969</v>
      </c>
      <c r="BS92" s="8">
        <f>BS38</f>
        <v>-491955.99490574969</v>
      </c>
      <c r="BT92" s="8">
        <f>BT38</f>
        <v>-491955.99490574969</v>
      </c>
      <c r="BU92" s="8">
        <f>BU38</f>
        <v>-491955.99490574969</v>
      </c>
      <c r="BV92" s="8">
        <f>BV38</f>
        <v>-491955.99490574969</v>
      </c>
      <c r="BW92" s="8">
        <f>BW38</f>
        <v>-501795.11480386468</v>
      </c>
      <c r="BX92" s="8">
        <f>BX38</f>
        <v>-501795.11480386468</v>
      </c>
      <c r="BY92" s="8">
        <f>BY38</f>
        <v>-501795.11480386468</v>
      </c>
      <c r="BZ92" s="8">
        <f>BZ38</f>
        <v>-501795.11480386468</v>
      </c>
      <c r="CA92" s="8">
        <f>CA38</f>
        <v>-501795.11480386468</v>
      </c>
      <c r="CB92" s="8">
        <f>CB38</f>
        <v>-501795.11480386468</v>
      </c>
      <c r="CC92" s="8">
        <f>CC38</f>
        <v>-501795.11480386468</v>
      </c>
      <c r="CD92" s="8">
        <f>CD38</f>
        <v>-501795.11480386468</v>
      </c>
      <c r="CE92" s="8">
        <f>CE38</f>
        <v>-501795.11480386468</v>
      </c>
      <c r="CF92" s="8">
        <f>CF38</f>
        <v>-501795.11480386468</v>
      </c>
      <c r="CG92" s="8">
        <f>CG38</f>
        <v>-501795.11480386468</v>
      </c>
      <c r="CH92" s="8">
        <f>CH38</f>
        <v>-501795.11480386468</v>
      </c>
      <c r="CI92" s="23"/>
    </row>
    <row r="93" spans="1:87" ht="15" customHeight="1" x14ac:dyDescent="0.25">
      <c r="A93" s="16" t="s">
        <v>82</v>
      </c>
      <c r="B93" s="22"/>
      <c r="C93" s="8">
        <f>C84</f>
        <v>-119564.58333333333</v>
      </c>
      <c r="D93" s="8">
        <f>D84</f>
        <v>-119564.58333333333</v>
      </c>
      <c r="E93" s="8">
        <f>E84</f>
        <v>-119564.58333333333</v>
      </c>
      <c r="F93" s="8">
        <f>F84</f>
        <v>-142564.58333333331</v>
      </c>
      <c r="G93" s="8">
        <f>G84</f>
        <v>-275335.67333333334</v>
      </c>
      <c r="H93" s="8">
        <f>H84</f>
        <v>-255016.61333333334</v>
      </c>
      <c r="I93" s="8">
        <f>I84</f>
        <v>-119564.58333333333</v>
      </c>
      <c r="J93" s="8">
        <f>J84</f>
        <v>-119564.58333333333</v>
      </c>
      <c r="K93" s="8">
        <f>K84</f>
        <v>-140564.58333333331</v>
      </c>
      <c r="L93" s="8">
        <f>L84</f>
        <v>-119564.58333333333</v>
      </c>
      <c r="M93" s="8">
        <f>M84</f>
        <v>-119564.58333333333</v>
      </c>
      <c r="N93" s="8">
        <f>N84</f>
        <v>-119564.58333333333</v>
      </c>
      <c r="O93" s="8">
        <f>O84</f>
        <v>-121955.875</v>
      </c>
      <c r="P93" s="8">
        <f>P84</f>
        <v>-121955.875</v>
      </c>
      <c r="Q93" s="8">
        <f>Q84</f>
        <v>-121955.875</v>
      </c>
      <c r="R93" s="8">
        <f>R84</f>
        <v>-145415.875</v>
      </c>
      <c r="S93" s="8">
        <f>S84</f>
        <v>-121955.875</v>
      </c>
      <c r="T93" s="8">
        <f>T84</f>
        <v>-121955.875</v>
      </c>
      <c r="U93" s="8">
        <f>U84</f>
        <v>-121955.875</v>
      </c>
      <c r="V93" s="8">
        <f>V84</f>
        <v>-121955.875</v>
      </c>
      <c r="W93" s="8">
        <f>W84</f>
        <v>-143375.875</v>
      </c>
      <c r="X93" s="8">
        <f>X84</f>
        <v>-121955.875</v>
      </c>
      <c r="Y93" s="8">
        <f>Y84</f>
        <v>-121955.875</v>
      </c>
      <c r="Z93" s="8">
        <f>Z84</f>
        <v>-121955.875</v>
      </c>
      <c r="AA93" s="8">
        <f>AA84</f>
        <v>-124394.99249999999</v>
      </c>
      <c r="AB93" s="8">
        <f>AB84</f>
        <v>-124394.99249999999</v>
      </c>
      <c r="AC93" s="8">
        <f>AC84</f>
        <v>-124394.99249999999</v>
      </c>
      <c r="AD93" s="8">
        <f>AD84</f>
        <v>-148324.1925</v>
      </c>
      <c r="AE93" s="8">
        <f>AE84</f>
        <v>-124394.99249999999</v>
      </c>
      <c r="AF93" s="8">
        <f>AF84</f>
        <v>-124394.99249999999</v>
      </c>
      <c r="AG93" s="8">
        <f>AG84</f>
        <v>-124394.99249999999</v>
      </c>
      <c r="AH93" s="8">
        <f>AH84</f>
        <v>-124394.99249999999</v>
      </c>
      <c r="AI93" s="8">
        <f>AI84</f>
        <v>-146243.39250000002</v>
      </c>
      <c r="AJ93" s="8">
        <f>AJ84</f>
        <v>-124394.99249999999</v>
      </c>
      <c r="AK93" s="8">
        <f>AK84</f>
        <v>-124394.99249999999</v>
      </c>
      <c r="AL93" s="8">
        <f>AL84</f>
        <v>-124394.99249999999</v>
      </c>
      <c r="AM93" s="8">
        <f>AM84</f>
        <v>-126882.89234999999</v>
      </c>
      <c r="AN93" s="8">
        <f>AN84</f>
        <v>-126882.89234999999</v>
      </c>
      <c r="AO93" s="8">
        <f>AO84</f>
        <v>-126882.89234999999</v>
      </c>
      <c r="AP93" s="8">
        <f>AP84</f>
        <v>-151290.67634999999</v>
      </c>
      <c r="AQ93" s="8">
        <f>AQ84</f>
        <v>-126882.89234999999</v>
      </c>
      <c r="AR93" s="8">
        <f>AR84</f>
        <v>-208565.89234999998</v>
      </c>
      <c r="AS93" s="8">
        <f>AS84</f>
        <v>-126882.89234999999</v>
      </c>
      <c r="AT93" s="8">
        <f>AT84</f>
        <v>-126882.89234999999</v>
      </c>
      <c r="AU93" s="8">
        <f>AU84</f>
        <v>-230850.26035</v>
      </c>
      <c r="AV93" s="8">
        <f>AV84</f>
        <v>-126882.89234999999</v>
      </c>
      <c r="AW93" s="8">
        <f>AW84</f>
        <v>-126882.89234999999</v>
      </c>
      <c r="AX93" s="8">
        <f>AX84</f>
        <v>-208564.89234999998</v>
      </c>
      <c r="AY93" s="8">
        <f>AY84</f>
        <v>-129420.55019699999</v>
      </c>
      <c r="AZ93" s="8">
        <f>AZ84</f>
        <v>-129420.55019699999</v>
      </c>
      <c r="BA93" s="8">
        <f>BA84</f>
        <v>-1062941.5501969999</v>
      </c>
      <c r="BB93" s="8">
        <f>BB84</f>
        <v>-154316.48987699999</v>
      </c>
      <c r="BC93" s="8">
        <f>BC84</f>
        <v>-129420.55019699999</v>
      </c>
      <c r="BD93" s="8">
        <f>BD84</f>
        <v>-260298.55019699998</v>
      </c>
      <c r="BE93" s="8">
        <f>BE84</f>
        <v>-129420.55019699999</v>
      </c>
      <c r="BF93" s="8">
        <f>BF84</f>
        <v>-129420.55019699999</v>
      </c>
      <c r="BG93" s="8">
        <f>BG84</f>
        <v>-283027.62555699999</v>
      </c>
      <c r="BH93" s="8">
        <f>BH84</f>
        <v>-129420.55019699999</v>
      </c>
      <c r="BI93" s="8">
        <f>BI84</f>
        <v>-129420.55019699999</v>
      </c>
      <c r="BJ93" s="8">
        <f>BJ84</f>
        <v>-260296.55019699998</v>
      </c>
      <c r="BK93" s="8">
        <f>BK84</f>
        <v>-132008.96120094002</v>
      </c>
      <c r="BL93" s="8">
        <f>BL84</f>
        <v>-132008.96120094002</v>
      </c>
      <c r="BM93" s="8">
        <f>BM84</f>
        <v>-262884.96120094002</v>
      </c>
      <c r="BN93" s="8">
        <f>BN84</f>
        <v>-157402.81967454002</v>
      </c>
      <c r="BO93" s="8">
        <f>BO84</f>
        <v>-132008.96120094002</v>
      </c>
      <c r="BP93" s="8">
        <f>BP84</f>
        <v>-222901.44120094</v>
      </c>
      <c r="BQ93" s="8">
        <f>BQ84</f>
        <v>-132008.96120094002</v>
      </c>
      <c r="BR93" s="8">
        <f>BR84</f>
        <v>-132008.96120094002</v>
      </c>
      <c r="BS93" s="8">
        <f>BS84</f>
        <v>-229834.65806814001</v>
      </c>
      <c r="BT93" s="8">
        <f>BT84</f>
        <v>-132008.96120094002</v>
      </c>
      <c r="BU93" s="8">
        <f>BU84</f>
        <v>-132008.96120094002</v>
      </c>
      <c r="BV93" s="8">
        <f>BV84</f>
        <v>-206648.96120094002</v>
      </c>
      <c r="BW93" s="8">
        <f>BW84</f>
        <v>-134649.14042495881</v>
      </c>
      <c r="BX93" s="8">
        <f>BX84</f>
        <v>-134649.14042495881</v>
      </c>
      <c r="BY93" s="8">
        <f>BY84</f>
        <v>-282445.14042495878</v>
      </c>
      <c r="BZ93" s="8">
        <f>BZ84</f>
        <v>-160550.8760680308</v>
      </c>
      <c r="CA93" s="8">
        <f>CA84</f>
        <v>-134649.14042495881</v>
      </c>
      <c r="CB93" s="8">
        <f>CB84</f>
        <v>-289167.14042495878</v>
      </c>
      <c r="CC93" s="8">
        <f>CC84</f>
        <v>-134649.14042495881</v>
      </c>
      <c r="CD93" s="8">
        <f>CD84</f>
        <v>-134649.14042495881</v>
      </c>
      <c r="CE93" s="8">
        <f>CE84</f>
        <v>-312815.55122950277</v>
      </c>
      <c r="CF93" s="8">
        <f>CF84</f>
        <v>-134649.14042495881</v>
      </c>
      <c r="CG93" s="8">
        <f>CG84</f>
        <v>-134649.14042495881</v>
      </c>
      <c r="CH93" s="8">
        <f>CH84</f>
        <v>-282558.11381847959</v>
      </c>
      <c r="CI93" s="23"/>
    </row>
    <row r="94" spans="1:87" ht="15" customHeight="1" x14ac:dyDescent="0.25">
      <c r="A94" s="9" t="s">
        <v>184</v>
      </c>
      <c r="B94" s="28"/>
      <c r="C94" s="10">
        <f t="shared" ref="C94:AH94" si="24">C92+C93</f>
        <v>-453242.20166666666</v>
      </c>
      <c r="D94" s="10">
        <f t="shared" si="24"/>
        <v>-499823.4516666666</v>
      </c>
      <c r="E94" s="10">
        <f t="shared" si="24"/>
        <v>-538373.45166666666</v>
      </c>
      <c r="F94" s="10">
        <f t="shared" si="24"/>
        <v>-892725.38353333343</v>
      </c>
      <c r="G94" s="10">
        <f t="shared" si="24"/>
        <v>-720915.375</v>
      </c>
      <c r="H94" s="10">
        <f t="shared" si="24"/>
        <v>-700596.31499999994</v>
      </c>
      <c r="I94" s="10">
        <f t="shared" si="24"/>
        <v>-783227.13199999998</v>
      </c>
      <c r="J94" s="10">
        <f t="shared" si="24"/>
        <v>-722493.48199999984</v>
      </c>
      <c r="K94" s="10">
        <f t="shared" si="24"/>
        <v>-586144.28499999992</v>
      </c>
      <c r="L94" s="10">
        <f t="shared" si="24"/>
        <v>-565144.28500000003</v>
      </c>
      <c r="M94" s="10">
        <f t="shared" si="24"/>
        <v>-565144.28500000003</v>
      </c>
      <c r="N94" s="10">
        <f t="shared" si="24"/>
        <v>-565144.28500000003</v>
      </c>
      <c r="O94" s="10">
        <f t="shared" si="24"/>
        <v>-2047617.1957</v>
      </c>
      <c r="P94" s="10">
        <f t="shared" si="24"/>
        <v>-576447.17070000002</v>
      </c>
      <c r="Q94" s="10">
        <f t="shared" si="24"/>
        <v>-576447.17070000002</v>
      </c>
      <c r="R94" s="10">
        <f t="shared" si="24"/>
        <v>-599907.17070000002</v>
      </c>
      <c r="S94" s="10">
        <f t="shared" si="24"/>
        <v>-576447.17070000002</v>
      </c>
      <c r="T94" s="10">
        <f t="shared" si="24"/>
        <v>-576447.17070000002</v>
      </c>
      <c r="U94" s="10">
        <f t="shared" si="24"/>
        <v>-576447.17070000002</v>
      </c>
      <c r="V94" s="10">
        <f t="shared" si="24"/>
        <v>-576447.17070000002</v>
      </c>
      <c r="W94" s="10">
        <f t="shared" si="24"/>
        <v>-597867.17070000002</v>
      </c>
      <c r="X94" s="10">
        <f t="shared" si="24"/>
        <v>-576447.17070000002</v>
      </c>
      <c r="Y94" s="10">
        <f t="shared" si="24"/>
        <v>-576447.17070000002</v>
      </c>
      <c r="Z94" s="10">
        <f t="shared" si="24"/>
        <v>-576447.17070000002</v>
      </c>
      <c r="AA94" s="10">
        <f t="shared" si="24"/>
        <v>-587976.114114</v>
      </c>
      <c r="AB94" s="10">
        <f t="shared" si="24"/>
        <v>-587976.114114</v>
      </c>
      <c r="AC94" s="10">
        <f t="shared" si="24"/>
        <v>-1932001.654114</v>
      </c>
      <c r="AD94" s="10">
        <f t="shared" si="24"/>
        <v>-611905.31411399995</v>
      </c>
      <c r="AE94" s="10">
        <f t="shared" si="24"/>
        <v>-587976.114114</v>
      </c>
      <c r="AF94" s="10">
        <f t="shared" si="24"/>
        <v>-587976.114114</v>
      </c>
      <c r="AG94" s="10">
        <f t="shared" si="24"/>
        <v>-587976.114114</v>
      </c>
      <c r="AH94" s="10">
        <f t="shared" si="24"/>
        <v>-587976.114114</v>
      </c>
      <c r="AI94" s="10">
        <f t="shared" ref="AI94:BN94" si="25">AI92+AI93</f>
        <v>-609824.5141139999</v>
      </c>
      <c r="AJ94" s="10">
        <f t="shared" si="25"/>
        <v>-587976.114114</v>
      </c>
      <c r="AK94" s="10">
        <f t="shared" si="25"/>
        <v>-587976.114114</v>
      </c>
      <c r="AL94" s="10">
        <f t="shared" si="25"/>
        <v>-587976.114114</v>
      </c>
      <c r="AM94" s="10">
        <f t="shared" si="25"/>
        <v>-599735.63639628002</v>
      </c>
      <c r="AN94" s="10">
        <f t="shared" si="25"/>
        <v>-599735.63639628002</v>
      </c>
      <c r="AO94" s="10">
        <f t="shared" si="25"/>
        <v>-599735.63639628002</v>
      </c>
      <c r="AP94" s="10">
        <f t="shared" si="25"/>
        <v>-624143.42039628001</v>
      </c>
      <c r="AQ94" s="10">
        <f t="shared" si="25"/>
        <v>-599735.63639628002</v>
      </c>
      <c r="AR94" s="10">
        <f t="shared" si="25"/>
        <v>-681418.63639628002</v>
      </c>
      <c r="AS94" s="10">
        <f t="shared" si="25"/>
        <v>-599735.63639628002</v>
      </c>
      <c r="AT94" s="10">
        <f t="shared" si="25"/>
        <v>-599735.63639628002</v>
      </c>
      <c r="AU94" s="10">
        <f t="shared" si="25"/>
        <v>-703703.00439628004</v>
      </c>
      <c r="AV94" s="10">
        <f t="shared" si="25"/>
        <v>-599735.63639628002</v>
      </c>
      <c r="AW94" s="10">
        <f t="shared" si="25"/>
        <v>-599735.63639628002</v>
      </c>
      <c r="AX94" s="10">
        <f t="shared" si="25"/>
        <v>-681417.63639628002</v>
      </c>
      <c r="AY94" s="10">
        <f t="shared" si="25"/>
        <v>-611730.34912420565</v>
      </c>
      <c r="AZ94" s="10">
        <f t="shared" si="25"/>
        <v>-611730.34912420565</v>
      </c>
      <c r="BA94" s="10">
        <f t="shared" si="25"/>
        <v>-1545251.3491242055</v>
      </c>
      <c r="BB94" s="10">
        <f t="shared" si="25"/>
        <v>-636626.2888042056</v>
      </c>
      <c r="BC94" s="10">
        <f t="shared" si="25"/>
        <v>-611730.34912420565</v>
      </c>
      <c r="BD94" s="10">
        <f t="shared" si="25"/>
        <v>-742608.34912420553</v>
      </c>
      <c r="BE94" s="10">
        <f t="shared" si="25"/>
        <v>-611730.34912420565</v>
      </c>
      <c r="BF94" s="10">
        <f t="shared" si="25"/>
        <v>-611730.34912420565</v>
      </c>
      <c r="BG94" s="10">
        <f t="shared" si="25"/>
        <v>-765337.42448420567</v>
      </c>
      <c r="BH94" s="10">
        <f t="shared" si="25"/>
        <v>-611730.34912420565</v>
      </c>
      <c r="BI94" s="10">
        <f t="shared" si="25"/>
        <v>-611730.34912420565</v>
      </c>
      <c r="BJ94" s="10">
        <f t="shared" si="25"/>
        <v>-742606.34912420553</v>
      </c>
      <c r="BK94" s="10">
        <f t="shared" si="25"/>
        <v>-623964.95610668976</v>
      </c>
      <c r="BL94" s="10">
        <f t="shared" si="25"/>
        <v>-623964.95610668976</v>
      </c>
      <c r="BM94" s="10">
        <f t="shared" si="25"/>
        <v>-754840.95610668976</v>
      </c>
      <c r="BN94" s="10">
        <f t="shared" si="25"/>
        <v>-649358.81458028965</v>
      </c>
      <c r="BO94" s="10">
        <f t="shared" ref="BO94:CH94" si="26">BO92+BO93</f>
        <v>-623964.95610668976</v>
      </c>
      <c r="BP94" s="10">
        <f t="shared" si="26"/>
        <v>-714857.43610668974</v>
      </c>
      <c r="BQ94" s="10">
        <f t="shared" si="26"/>
        <v>-623964.95610668976</v>
      </c>
      <c r="BR94" s="10">
        <f t="shared" si="26"/>
        <v>-623964.95610668976</v>
      </c>
      <c r="BS94" s="10">
        <f t="shared" si="26"/>
        <v>-721790.65297388972</v>
      </c>
      <c r="BT94" s="10">
        <f t="shared" si="26"/>
        <v>-623964.95610668976</v>
      </c>
      <c r="BU94" s="10">
        <f t="shared" si="26"/>
        <v>-623964.95610668976</v>
      </c>
      <c r="BV94" s="10">
        <f t="shared" si="26"/>
        <v>-698604.95610668976</v>
      </c>
      <c r="BW94" s="10">
        <f t="shared" si="26"/>
        <v>-636444.25522882352</v>
      </c>
      <c r="BX94" s="10">
        <f t="shared" si="26"/>
        <v>-636444.25522882352</v>
      </c>
      <c r="BY94" s="10">
        <f t="shared" si="26"/>
        <v>-784240.25522882352</v>
      </c>
      <c r="BZ94" s="10">
        <f t="shared" si="26"/>
        <v>-662345.99087189545</v>
      </c>
      <c r="CA94" s="10">
        <f t="shared" si="26"/>
        <v>-636444.25522882352</v>
      </c>
      <c r="CB94" s="10">
        <f t="shared" si="26"/>
        <v>-790962.25522882352</v>
      </c>
      <c r="CC94" s="10">
        <f t="shared" si="26"/>
        <v>-636444.25522882352</v>
      </c>
      <c r="CD94" s="10">
        <f t="shared" si="26"/>
        <v>-636444.25522882352</v>
      </c>
      <c r="CE94" s="10">
        <f t="shared" si="26"/>
        <v>-814610.66603336739</v>
      </c>
      <c r="CF94" s="10">
        <f t="shared" si="26"/>
        <v>-636444.25522882352</v>
      </c>
      <c r="CG94" s="10">
        <f t="shared" si="26"/>
        <v>-636444.25522882352</v>
      </c>
      <c r="CH94" s="10">
        <f t="shared" si="26"/>
        <v>-784353.22862234432</v>
      </c>
      <c r="CI94" s="23"/>
    </row>
    <row r="95" spans="1:87" ht="15" customHeight="1" x14ac:dyDescent="0.25">
      <c r="A95" s="13" t="s">
        <v>84</v>
      </c>
      <c r="B95" s="29"/>
      <c r="C95" s="14">
        <f t="shared" ref="C95:AH95" si="27">C91+C94</f>
        <v>-2102.5774082934367</v>
      </c>
      <c r="D95" s="14">
        <f t="shared" si="27"/>
        <v>-48683.827408293379</v>
      </c>
      <c r="E95" s="14">
        <f t="shared" si="27"/>
        <v>-87233.827408293437</v>
      </c>
      <c r="F95" s="14">
        <f t="shared" si="27"/>
        <v>365700.23345231265</v>
      </c>
      <c r="G95" s="14">
        <f t="shared" si="27"/>
        <v>216874.46203349286</v>
      </c>
      <c r="H95" s="14">
        <f t="shared" si="27"/>
        <v>220304.63423444983</v>
      </c>
      <c r="I95" s="14">
        <f t="shared" si="27"/>
        <v>539500.99012121209</v>
      </c>
      <c r="J95" s="14">
        <f t="shared" si="27"/>
        <v>568429.89106818195</v>
      </c>
      <c r="K95" s="14">
        <f t="shared" si="27"/>
        <v>325191.01306818181</v>
      </c>
      <c r="L95" s="14">
        <f t="shared" si="27"/>
        <v>346191.0130681817</v>
      </c>
      <c r="M95" s="14">
        <f t="shared" si="27"/>
        <v>346191.0130681817</v>
      </c>
      <c r="N95" s="14">
        <f t="shared" si="27"/>
        <v>346191.0130681817</v>
      </c>
      <c r="O95" s="14">
        <f t="shared" si="27"/>
        <v>-285815.30975303054</v>
      </c>
      <c r="P95" s="14">
        <f t="shared" si="27"/>
        <v>506353.16524696967</v>
      </c>
      <c r="Q95" s="14">
        <f t="shared" si="27"/>
        <v>506353.16524696967</v>
      </c>
      <c r="R95" s="14">
        <f t="shared" si="27"/>
        <v>268337.5288833332</v>
      </c>
      <c r="S95" s="14">
        <f t="shared" si="27"/>
        <v>165862.02888333332</v>
      </c>
      <c r="T95" s="14">
        <f t="shared" si="27"/>
        <v>165862.02888333332</v>
      </c>
      <c r="U95" s="14">
        <f t="shared" si="27"/>
        <v>165862.02888333332</v>
      </c>
      <c r="V95" s="14">
        <f t="shared" si="27"/>
        <v>135558.87098859646</v>
      </c>
      <c r="W95" s="14">
        <f t="shared" si="27"/>
        <v>171513.87098859646</v>
      </c>
      <c r="X95" s="14">
        <f t="shared" si="27"/>
        <v>135558.87098859646</v>
      </c>
      <c r="Y95" s="14">
        <f t="shared" si="27"/>
        <v>135558.87098859646</v>
      </c>
      <c r="Z95" s="14">
        <f t="shared" si="27"/>
        <v>123022.93094074959</v>
      </c>
      <c r="AA95" s="14">
        <f t="shared" si="27"/>
        <v>-2060.4546742073726</v>
      </c>
      <c r="AB95" s="14">
        <f t="shared" si="27"/>
        <v>-83554.306348848506</v>
      </c>
      <c r="AC95" s="14">
        <f t="shared" si="27"/>
        <v>-593239.03301551519</v>
      </c>
      <c r="AD95" s="14">
        <f t="shared" si="27"/>
        <v>49162.826984484913</v>
      </c>
      <c r="AE95" s="14">
        <f t="shared" si="27"/>
        <v>73092.026984484866</v>
      </c>
      <c r="AF95" s="14">
        <f t="shared" si="27"/>
        <v>73092.026984484866</v>
      </c>
      <c r="AG95" s="14">
        <f t="shared" si="27"/>
        <v>63592.026984484866</v>
      </c>
      <c r="AH95" s="14">
        <f t="shared" si="27"/>
        <v>-37086.973962484859</v>
      </c>
      <c r="AI95" s="14">
        <f t="shared" ref="AI95:BN95" si="28">AI91+AI94</f>
        <v>-58935.373962484766</v>
      </c>
      <c r="AJ95" s="14">
        <f t="shared" si="28"/>
        <v>-199846.24668975757</v>
      </c>
      <c r="AK95" s="14">
        <f t="shared" si="28"/>
        <v>-199846.24668975757</v>
      </c>
      <c r="AL95" s="14">
        <f t="shared" si="28"/>
        <v>-199846.24668975757</v>
      </c>
      <c r="AM95" s="14">
        <f t="shared" si="28"/>
        <v>-271624.26518415881</v>
      </c>
      <c r="AN95" s="14">
        <f t="shared" si="28"/>
        <v>-271624.26518415881</v>
      </c>
      <c r="AO95" s="14">
        <f t="shared" si="28"/>
        <v>-271624.26518415881</v>
      </c>
      <c r="AP95" s="14">
        <f t="shared" si="28"/>
        <v>-296032.04918415879</v>
      </c>
      <c r="AQ95" s="14">
        <f t="shared" si="28"/>
        <v>-271624.26518415881</v>
      </c>
      <c r="AR95" s="14">
        <f t="shared" si="28"/>
        <v>-271624.26518415881</v>
      </c>
      <c r="AS95" s="14">
        <f t="shared" si="28"/>
        <v>-443089.30306294665</v>
      </c>
      <c r="AT95" s="14">
        <f t="shared" si="28"/>
        <v>-443089.30306294665</v>
      </c>
      <c r="AU95" s="14">
        <f t="shared" si="28"/>
        <v>-465374.67106294667</v>
      </c>
      <c r="AV95" s="14">
        <f t="shared" si="28"/>
        <v>-443089.30306294665</v>
      </c>
      <c r="AW95" s="14">
        <f t="shared" si="28"/>
        <v>-443089.30306294665</v>
      </c>
      <c r="AX95" s="14">
        <f t="shared" si="28"/>
        <v>-443089.30306294665</v>
      </c>
      <c r="AY95" s="14">
        <f t="shared" si="28"/>
        <v>-455084.01579087228</v>
      </c>
      <c r="AZ95" s="14">
        <f t="shared" si="28"/>
        <v>-455084.01579087228</v>
      </c>
      <c r="BA95" s="14">
        <f t="shared" si="28"/>
        <v>-455084.01579087228</v>
      </c>
      <c r="BB95" s="14">
        <f t="shared" si="28"/>
        <v>-479979.95547087223</v>
      </c>
      <c r="BC95" s="14">
        <f t="shared" si="28"/>
        <v>-455084.01579087228</v>
      </c>
      <c r="BD95" s="14">
        <f t="shared" si="28"/>
        <v>-455084.01579087216</v>
      </c>
      <c r="BE95" s="14">
        <f t="shared" si="28"/>
        <v>-455084.01579087228</v>
      </c>
      <c r="BF95" s="14">
        <f t="shared" si="28"/>
        <v>-455084.01579087228</v>
      </c>
      <c r="BG95" s="14">
        <f t="shared" si="28"/>
        <v>-634461.42448420567</v>
      </c>
      <c r="BH95" s="14">
        <f t="shared" si="28"/>
        <v>-611730.34912420565</v>
      </c>
      <c r="BI95" s="14">
        <f t="shared" si="28"/>
        <v>-611730.34912420565</v>
      </c>
      <c r="BJ95" s="14">
        <f t="shared" si="28"/>
        <v>-611730.34912420553</v>
      </c>
      <c r="BK95" s="14">
        <f t="shared" si="28"/>
        <v>-623964.95610668976</v>
      </c>
      <c r="BL95" s="14">
        <f t="shared" si="28"/>
        <v>-623964.95610668976</v>
      </c>
      <c r="BM95" s="14">
        <f t="shared" si="28"/>
        <v>-623964.95610668976</v>
      </c>
      <c r="BN95" s="14">
        <f t="shared" si="28"/>
        <v>-649358.81458028965</v>
      </c>
      <c r="BO95" s="14">
        <f t="shared" ref="BO95:CH95" si="29">BO91+BO94</f>
        <v>-623964.95610668976</v>
      </c>
      <c r="BP95" s="14">
        <f t="shared" si="29"/>
        <v>-572451.43610668974</v>
      </c>
      <c r="BQ95" s="14">
        <f t="shared" si="29"/>
        <v>-623964.95610668976</v>
      </c>
      <c r="BR95" s="14">
        <f t="shared" si="29"/>
        <v>-623964.95610668976</v>
      </c>
      <c r="BS95" s="14">
        <f t="shared" si="29"/>
        <v>-579388.65297388972</v>
      </c>
      <c r="BT95" s="14">
        <f t="shared" si="29"/>
        <v>-623964.95610668976</v>
      </c>
      <c r="BU95" s="14">
        <f t="shared" si="29"/>
        <v>-623964.95610668976</v>
      </c>
      <c r="BV95" s="14">
        <f t="shared" si="29"/>
        <v>-556202.95610668976</v>
      </c>
      <c r="BW95" s="14">
        <f t="shared" si="29"/>
        <v>-636444.25522882352</v>
      </c>
      <c r="BX95" s="14">
        <f t="shared" si="29"/>
        <v>-636444.25522882352</v>
      </c>
      <c r="BY95" s="14">
        <f t="shared" si="29"/>
        <v>-568682.25522882352</v>
      </c>
      <c r="BZ95" s="14">
        <f t="shared" si="29"/>
        <v>-662345.99087189545</v>
      </c>
      <c r="CA95" s="14">
        <f t="shared" si="29"/>
        <v>-636444.25522882352</v>
      </c>
      <c r="CB95" s="14">
        <f t="shared" si="29"/>
        <v>-559945.25522882352</v>
      </c>
      <c r="CC95" s="14">
        <f t="shared" si="29"/>
        <v>-636444.25522882352</v>
      </c>
      <c r="CD95" s="14">
        <f t="shared" si="29"/>
        <v>-636444.25522882352</v>
      </c>
      <c r="CE95" s="14">
        <f t="shared" si="29"/>
        <v>-583594.66603336739</v>
      </c>
      <c r="CF95" s="14">
        <f t="shared" si="29"/>
        <v>-636444.25522882352</v>
      </c>
      <c r="CG95" s="14">
        <f t="shared" si="29"/>
        <v>-636444.25522882352</v>
      </c>
      <c r="CH95" s="14">
        <f t="shared" si="29"/>
        <v>-553337.22862234432</v>
      </c>
      <c r="CI95" s="23"/>
    </row>
    <row r="96" spans="1:87" ht="15" customHeight="1" x14ac:dyDescent="0.2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3"/>
    </row>
    <row r="97" spans="1:87" ht="15" customHeight="1" x14ac:dyDescent="0.25">
      <c r="A97" s="26" t="s">
        <v>185</v>
      </c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  <c r="CG97" s="26"/>
      <c r="CH97" s="26"/>
      <c r="CI97" s="23"/>
    </row>
    <row r="98" spans="1:87" ht="15" customHeight="1" x14ac:dyDescent="0.25">
      <c r="A98" s="7" t="s">
        <v>186</v>
      </c>
      <c r="B98" s="22"/>
      <c r="C98" s="8">
        <f>Assumptions!$B$33</f>
        <v>1615485</v>
      </c>
      <c r="D98" s="8">
        <f t="shared" ref="D98:AI98" si="30">C101</f>
        <v>1615485</v>
      </c>
      <c r="E98" s="8">
        <f t="shared" si="30"/>
        <v>1615485</v>
      </c>
      <c r="F98" s="8">
        <f t="shared" si="30"/>
        <v>1676065.6875</v>
      </c>
      <c r="G98" s="8">
        <f t="shared" si="30"/>
        <v>1676065.6875</v>
      </c>
      <c r="H98" s="8">
        <f t="shared" si="30"/>
        <v>1676065.6875</v>
      </c>
      <c r="I98" s="8">
        <f t="shared" si="30"/>
        <v>1738918.1507812501</v>
      </c>
      <c r="J98" s="8">
        <f t="shared" si="30"/>
        <v>1608918.1507812501</v>
      </c>
      <c r="K98" s="8">
        <f t="shared" si="30"/>
        <v>1478918.1507812501</v>
      </c>
      <c r="L98" s="8">
        <f t="shared" si="30"/>
        <v>1404377.581435547</v>
      </c>
      <c r="M98" s="8">
        <f t="shared" si="30"/>
        <v>1274377.581435547</v>
      </c>
      <c r="N98" s="8">
        <f t="shared" si="30"/>
        <v>1144377.581435547</v>
      </c>
      <c r="O98" s="8">
        <f t="shared" si="30"/>
        <v>1057291.74073938</v>
      </c>
      <c r="P98" s="8">
        <f t="shared" si="30"/>
        <v>927291.74073938001</v>
      </c>
      <c r="Q98" s="8">
        <f t="shared" si="30"/>
        <v>797291.74073938001</v>
      </c>
      <c r="R98" s="8">
        <f t="shared" si="30"/>
        <v>697190.18101710675</v>
      </c>
      <c r="S98" s="8">
        <f t="shared" si="30"/>
        <v>567190.18101710675</v>
      </c>
      <c r="T98" s="8">
        <f t="shared" si="30"/>
        <v>437190.18101710675</v>
      </c>
      <c r="U98" s="8">
        <f t="shared" si="30"/>
        <v>323584.81280524825</v>
      </c>
      <c r="V98" s="8">
        <f t="shared" si="30"/>
        <v>193584.81280524825</v>
      </c>
      <c r="W98" s="8">
        <f t="shared" si="30"/>
        <v>63584.81280524825</v>
      </c>
      <c r="X98" s="8">
        <f t="shared" si="30"/>
        <v>0</v>
      </c>
      <c r="Y98" s="8">
        <f t="shared" si="30"/>
        <v>0</v>
      </c>
      <c r="Z98" s="8">
        <f t="shared" si="30"/>
        <v>0</v>
      </c>
      <c r="AA98" s="8">
        <f t="shared" si="30"/>
        <v>0</v>
      </c>
      <c r="AB98" s="8">
        <f t="shared" si="30"/>
        <v>0</v>
      </c>
      <c r="AC98" s="8">
        <f t="shared" si="30"/>
        <v>0</v>
      </c>
      <c r="AD98" s="8">
        <f t="shared" si="30"/>
        <v>0</v>
      </c>
      <c r="AE98" s="8">
        <f t="shared" si="30"/>
        <v>0</v>
      </c>
      <c r="AF98" s="8">
        <f t="shared" si="30"/>
        <v>0</v>
      </c>
      <c r="AG98" s="8">
        <f t="shared" si="30"/>
        <v>0</v>
      </c>
      <c r="AH98" s="8">
        <f t="shared" si="30"/>
        <v>0</v>
      </c>
      <c r="AI98" s="8">
        <f t="shared" si="30"/>
        <v>0</v>
      </c>
      <c r="AJ98" s="8">
        <f t="shared" ref="AJ98:BO98" si="31">AI101</f>
        <v>0</v>
      </c>
      <c r="AK98" s="8">
        <f t="shared" si="31"/>
        <v>0</v>
      </c>
      <c r="AL98" s="8">
        <f t="shared" si="31"/>
        <v>0</v>
      </c>
      <c r="AM98" s="8">
        <f t="shared" si="31"/>
        <v>0</v>
      </c>
      <c r="AN98" s="8">
        <f t="shared" si="31"/>
        <v>0</v>
      </c>
      <c r="AO98" s="8">
        <f t="shared" si="31"/>
        <v>0</v>
      </c>
      <c r="AP98" s="8">
        <f t="shared" si="31"/>
        <v>0</v>
      </c>
      <c r="AQ98" s="8">
        <f t="shared" si="31"/>
        <v>0</v>
      </c>
      <c r="AR98" s="8">
        <f t="shared" si="31"/>
        <v>0</v>
      </c>
      <c r="AS98" s="8">
        <f t="shared" si="31"/>
        <v>0</v>
      </c>
      <c r="AT98" s="8">
        <f t="shared" si="31"/>
        <v>0</v>
      </c>
      <c r="AU98" s="8">
        <f t="shared" si="31"/>
        <v>0</v>
      </c>
      <c r="AV98" s="8">
        <f t="shared" si="31"/>
        <v>0</v>
      </c>
      <c r="AW98" s="8">
        <f t="shared" si="31"/>
        <v>0</v>
      </c>
      <c r="AX98" s="8">
        <f t="shared" si="31"/>
        <v>0</v>
      </c>
      <c r="AY98" s="8">
        <f t="shared" si="31"/>
        <v>0</v>
      </c>
      <c r="AZ98" s="8">
        <f t="shared" si="31"/>
        <v>0</v>
      </c>
      <c r="BA98" s="8">
        <f t="shared" si="31"/>
        <v>0</v>
      </c>
      <c r="BB98" s="8">
        <f t="shared" si="31"/>
        <v>0</v>
      </c>
      <c r="BC98" s="8">
        <f t="shared" si="31"/>
        <v>0</v>
      </c>
      <c r="BD98" s="8">
        <f t="shared" si="31"/>
        <v>0</v>
      </c>
      <c r="BE98" s="8">
        <f t="shared" si="31"/>
        <v>0</v>
      </c>
      <c r="BF98" s="8">
        <f t="shared" si="31"/>
        <v>0</v>
      </c>
      <c r="BG98" s="8">
        <f t="shared" si="31"/>
        <v>0</v>
      </c>
      <c r="BH98" s="8">
        <f t="shared" si="31"/>
        <v>0</v>
      </c>
      <c r="BI98" s="8">
        <f t="shared" si="31"/>
        <v>0</v>
      </c>
      <c r="BJ98" s="8">
        <f t="shared" si="31"/>
        <v>0</v>
      </c>
      <c r="BK98" s="8">
        <f t="shared" si="31"/>
        <v>0</v>
      </c>
      <c r="BL98" s="8">
        <f t="shared" si="31"/>
        <v>0</v>
      </c>
      <c r="BM98" s="8">
        <f t="shared" si="31"/>
        <v>0</v>
      </c>
      <c r="BN98" s="8">
        <f t="shared" si="31"/>
        <v>0</v>
      </c>
      <c r="BO98" s="8">
        <f t="shared" si="31"/>
        <v>0</v>
      </c>
      <c r="BP98" s="8">
        <f t="shared" ref="BP98:CH98" si="32">BO101</f>
        <v>0</v>
      </c>
      <c r="BQ98" s="8">
        <f t="shared" si="32"/>
        <v>0</v>
      </c>
      <c r="BR98" s="8">
        <f t="shared" si="32"/>
        <v>0</v>
      </c>
      <c r="BS98" s="8">
        <f t="shared" si="32"/>
        <v>0</v>
      </c>
      <c r="BT98" s="8">
        <f t="shared" si="32"/>
        <v>0</v>
      </c>
      <c r="BU98" s="8">
        <f t="shared" si="32"/>
        <v>0</v>
      </c>
      <c r="BV98" s="8">
        <f t="shared" si="32"/>
        <v>0</v>
      </c>
      <c r="BW98" s="8">
        <f t="shared" si="32"/>
        <v>0</v>
      </c>
      <c r="BX98" s="8">
        <f t="shared" si="32"/>
        <v>0</v>
      </c>
      <c r="BY98" s="8">
        <f t="shared" si="32"/>
        <v>0</v>
      </c>
      <c r="BZ98" s="8">
        <f t="shared" si="32"/>
        <v>0</v>
      </c>
      <c r="CA98" s="8">
        <f t="shared" si="32"/>
        <v>0</v>
      </c>
      <c r="CB98" s="8">
        <f t="shared" si="32"/>
        <v>0</v>
      </c>
      <c r="CC98" s="8">
        <f t="shared" si="32"/>
        <v>0</v>
      </c>
      <c r="CD98" s="8">
        <f t="shared" si="32"/>
        <v>0</v>
      </c>
      <c r="CE98" s="8">
        <f t="shared" si="32"/>
        <v>0</v>
      </c>
      <c r="CF98" s="8">
        <f t="shared" si="32"/>
        <v>0</v>
      </c>
      <c r="CG98" s="8">
        <f t="shared" si="32"/>
        <v>0</v>
      </c>
      <c r="CH98" s="8">
        <f t="shared" si="32"/>
        <v>0</v>
      </c>
      <c r="CI98" s="23"/>
    </row>
    <row r="99" spans="1:87" ht="15" customHeight="1" x14ac:dyDescent="0.25">
      <c r="A99" s="7" t="s">
        <v>187</v>
      </c>
      <c r="B99" s="22"/>
      <c r="C99" s="8">
        <f>IF(AND(MOD(1,3)=0,C98&gt;0),C98*Assumptions!$B$35,0)</f>
        <v>0</v>
      </c>
      <c r="D99" s="8">
        <f>IF(AND(MOD(2,3)=0,D98&gt;0),D98*Assumptions!$B$35,0)</f>
        <v>0</v>
      </c>
      <c r="E99" s="8">
        <f>IF(AND(MOD(3,3)=0,E98&gt;0),E98*Assumptions!$B$35,0)</f>
        <v>60580.6875</v>
      </c>
      <c r="F99" s="8">
        <f>IF(AND(MOD(4,3)=0,F98&gt;0),F98*Assumptions!$B$35,0)</f>
        <v>0</v>
      </c>
      <c r="G99" s="8">
        <f>IF(AND(MOD(5,3)=0,G98&gt;0),G98*Assumptions!$B$35,0)</f>
        <v>0</v>
      </c>
      <c r="H99" s="8">
        <f>IF(AND(MOD(6,3)=0,H98&gt;0),H98*Assumptions!$B$35,0)</f>
        <v>62852.463281249999</v>
      </c>
      <c r="I99" s="8">
        <f>IF(AND(MOD(7,3)=0,I98&gt;0),I98*Assumptions!$B$35,0)</f>
        <v>0</v>
      </c>
      <c r="J99" s="8">
        <f>IF(AND(MOD(8,3)=0,J98&gt;0),J98*Assumptions!$B$35,0)</f>
        <v>0</v>
      </c>
      <c r="K99" s="8">
        <f>IF(AND(MOD(9,3)=0,K98&gt;0),K98*Assumptions!$B$35,0)</f>
        <v>55459.430654296877</v>
      </c>
      <c r="L99" s="8">
        <f>IF(AND(MOD(10,3)=0,L98&gt;0),L98*Assumptions!$B$35,0)</f>
        <v>0</v>
      </c>
      <c r="M99" s="8">
        <f>IF(AND(MOD(11,3)=0,M98&gt;0),M98*Assumptions!$B$35,0)</f>
        <v>0</v>
      </c>
      <c r="N99" s="8">
        <f>IF(AND(MOD(12,3)=0,N98&gt;0),N98*Assumptions!$B$35,0)</f>
        <v>42914.15930383301</v>
      </c>
      <c r="O99" s="8">
        <f>IF(AND(MOD(13,3)=0,O98&gt;0),O98*Assumptions!$B$35,0)</f>
        <v>0</v>
      </c>
      <c r="P99" s="8">
        <f>IF(AND(MOD(14,3)=0,P98&gt;0),P98*Assumptions!$B$35,0)</f>
        <v>0</v>
      </c>
      <c r="Q99" s="8">
        <f>IF(AND(MOD(15,3)=0,Q98&gt;0),Q98*Assumptions!$B$35,0)</f>
        <v>29898.44027772675</v>
      </c>
      <c r="R99" s="8">
        <f>IF(AND(MOD(16,3)=0,R98&gt;0),R98*Assumptions!$B$35,0)</f>
        <v>0</v>
      </c>
      <c r="S99" s="8">
        <f>IF(AND(MOD(17,3)=0,S98&gt;0),S98*Assumptions!$B$35,0)</f>
        <v>0</v>
      </c>
      <c r="T99" s="8">
        <f>IF(AND(MOD(18,3)=0,T98&gt;0),T98*Assumptions!$B$35,0)</f>
        <v>16394.631788141502</v>
      </c>
      <c r="U99" s="8">
        <f>IF(AND(MOD(19,3)=0,U98&gt;0),U98*Assumptions!$B$35,0)</f>
        <v>0</v>
      </c>
      <c r="V99" s="8">
        <f>IF(AND(MOD(20,3)=0,V98&gt;0),V98*Assumptions!$B$35,0)</f>
        <v>0</v>
      </c>
      <c r="W99" s="8">
        <f>IF(AND(MOD(21,3)=0,W98&gt;0),W98*Assumptions!$B$35,0)</f>
        <v>2384.4304801968092</v>
      </c>
      <c r="X99" s="8">
        <f>IF(AND(MOD(22,3)=0,X98&gt;0),X98*Assumptions!$B$35,0)</f>
        <v>0</v>
      </c>
      <c r="Y99" s="8">
        <f>IF(AND(MOD(23,3)=0,Y98&gt;0),Y98*Assumptions!$B$35,0)</f>
        <v>0</v>
      </c>
      <c r="Z99" s="8">
        <f>IF(AND(MOD(24,3)=0,Z98&gt;0),Z98*Assumptions!$B$35,0)</f>
        <v>0</v>
      </c>
      <c r="AA99" s="8">
        <f>IF(AND(MOD(25,3)=0,AA98&gt;0),AA98*Assumptions!$B$35,0)</f>
        <v>0</v>
      </c>
      <c r="AB99" s="8">
        <f>IF(AND(MOD(26,3)=0,AB98&gt;0),AB98*Assumptions!$B$35,0)</f>
        <v>0</v>
      </c>
      <c r="AC99" s="8">
        <f>IF(AND(MOD(27,3)=0,AC98&gt;0),AC98*Assumptions!$B$35,0)</f>
        <v>0</v>
      </c>
      <c r="AD99" s="8">
        <f>IF(AND(MOD(28,3)=0,AD98&gt;0),AD98*Assumptions!$B$35,0)</f>
        <v>0</v>
      </c>
      <c r="AE99" s="8">
        <f>IF(AND(MOD(29,3)=0,AE98&gt;0),AE98*Assumptions!$B$35,0)</f>
        <v>0</v>
      </c>
      <c r="AF99" s="8">
        <f>IF(AND(MOD(30,3)=0,AF98&gt;0),AF98*Assumptions!$B$35,0)</f>
        <v>0</v>
      </c>
      <c r="AG99" s="8">
        <f>IF(AND(MOD(31,3)=0,AG98&gt;0),AG98*Assumptions!$B$35,0)</f>
        <v>0</v>
      </c>
      <c r="AH99" s="8">
        <f>IF(AND(MOD(32,3)=0,AH98&gt;0),AH98*Assumptions!$B$35,0)</f>
        <v>0</v>
      </c>
      <c r="AI99" s="8">
        <f>IF(AND(MOD(33,3)=0,AI98&gt;0),AI98*Assumptions!$B$35,0)</f>
        <v>0</v>
      </c>
      <c r="AJ99" s="8">
        <f>IF(AND(MOD(34,3)=0,AJ98&gt;0),AJ98*Assumptions!$B$35,0)</f>
        <v>0</v>
      </c>
      <c r="AK99" s="8">
        <f>IF(AND(MOD(35,3)=0,AK98&gt;0),AK98*Assumptions!$B$35,0)</f>
        <v>0</v>
      </c>
      <c r="AL99" s="8">
        <f>IF(AND(MOD(36,3)=0,AL98&gt;0),AL98*Assumptions!$B$35,0)</f>
        <v>0</v>
      </c>
      <c r="AM99" s="8">
        <f>IF(AND(MOD(37,3)=0,AM98&gt;0),AM98*Assumptions!$B$35,0)</f>
        <v>0</v>
      </c>
      <c r="AN99" s="8">
        <f>IF(AND(MOD(38,3)=0,AN98&gt;0),AN98*Assumptions!$B$35,0)</f>
        <v>0</v>
      </c>
      <c r="AO99" s="8">
        <f>IF(AND(MOD(39,3)=0,AO98&gt;0),AO98*Assumptions!$B$35,0)</f>
        <v>0</v>
      </c>
      <c r="AP99" s="8">
        <f>IF(AND(MOD(40,3)=0,AP98&gt;0),AP98*Assumptions!$B$35,0)</f>
        <v>0</v>
      </c>
      <c r="AQ99" s="8">
        <f>IF(AND(MOD(41,3)=0,AQ98&gt;0),AQ98*Assumptions!$B$35,0)</f>
        <v>0</v>
      </c>
      <c r="AR99" s="8">
        <f>IF(AND(MOD(42,3)=0,AR98&gt;0),AR98*Assumptions!$B$35,0)</f>
        <v>0</v>
      </c>
      <c r="AS99" s="8">
        <f>IF(AND(MOD(43,3)=0,AS98&gt;0),AS98*Assumptions!$B$35,0)</f>
        <v>0</v>
      </c>
      <c r="AT99" s="8">
        <f>IF(AND(MOD(44,3)=0,AT98&gt;0),AT98*Assumptions!$B$35,0)</f>
        <v>0</v>
      </c>
      <c r="AU99" s="8">
        <f>IF(AND(MOD(45,3)=0,AU98&gt;0),AU98*Assumptions!$B$35,0)</f>
        <v>0</v>
      </c>
      <c r="AV99" s="8">
        <f>IF(AND(MOD(46,3)=0,AV98&gt;0),AV98*Assumptions!$B$35,0)</f>
        <v>0</v>
      </c>
      <c r="AW99" s="8">
        <f>IF(AND(MOD(47,3)=0,AW98&gt;0),AW98*Assumptions!$B$35,0)</f>
        <v>0</v>
      </c>
      <c r="AX99" s="8">
        <f>IF(AND(MOD(48,3)=0,AX98&gt;0),AX98*Assumptions!$B$35,0)</f>
        <v>0</v>
      </c>
      <c r="AY99" s="8">
        <f>IF(AND(MOD(49,3)=0,AY98&gt;0),AY98*Assumptions!$B$35,0)</f>
        <v>0</v>
      </c>
      <c r="AZ99" s="8">
        <f>IF(AND(MOD(50,3)=0,AZ98&gt;0),AZ98*Assumptions!$B$35,0)</f>
        <v>0</v>
      </c>
      <c r="BA99" s="8">
        <f>IF(AND(MOD(51,3)=0,BA98&gt;0),BA98*Assumptions!$B$35,0)</f>
        <v>0</v>
      </c>
      <c r="BB99" s="8">
        <f>IF(AND(MOD(52,3)=0,BB98&gt;0),BB98*Assumptions!$B$35,0)</f>
        <v>0</v>
      </c>
      <c r="BC99" s="8">
        <f>IF(AND(MOD(53,3)=0,BC98&gt;0),BC98*Assumptions!$B$35,0)</f>
        <v>0</v>
      </c>
      <c r="BD99" s="8">
        <f>IF(AND(MOD(54,3)=0,BD98&gt;0),BD98*Assumptions!$B$35,0)</f>
        <v>0</v>
      </c>
      <c r="BE99" s="8">
        <f>IF(AND(MOD(55,3)=0,BE98&gt;0),BE98*Assumptions!$B$35,0)</f>
        <v>0</v>
      </c>
      <c r="BF99" s="8">
        <f>IF(AND(MOD(56,3)=0,BF98&gt;0),BF98*Assumptions!$B$35,0)</f>
        <v>0</v>
      </c>
      <c r="BG99" s="8">
        <f>IF(AND(MOD(57,3)=0,BG98&gt;0),BG98*Assumptions!$B$35,0)</f>
        <v>0</v>
      </c>
      <c r="BH99" s="8">
        <f>IF(AND(MOD(58,3)=0,BH98&gt;0),BH98*Assumptions!$B$35,0)</f>
        <v>0</v>
      </c>
      <c r="BI99" s="8">
        <f>IF(AND(MOD(59,3)=0,BI98&gt;0),BI98*Assumptions!$B$35,0)</f>
        <v>0</v>
      </c>
      <c r="BJ99" s="8">
        <f>IF(AND(MOD(60,3)=0,BJ98&gt;0),BJ98*Assumptions!$B$35,0)</f>
        <v>0</v>
      </c>
      <c r="BK99" s="8">
        <f>IF(AND(MOD(61,3)=0,BK98&gt;0),BK98*Assumptions!$B$35,0)</f>
        <v>0</v>
      </c>
      <c r="BL99" s="8">
        <f>IF(AND(MOD(62,3)=0,BL98&gt;0),BL98*Assumptions!$B$35,0)</f>
        <v>0</v>
      </c>
      <c r="BM99" s="8">
        <f>IF(AND(MOD(63,3)=0,BM98&gt;0),BM98*Assumptions!$B$35,0)</f>
        <v>0</v>
      </c>
      <c r="BN99" s="8">
        <f>IF(AND(MOD(64,3)=0,BN98&gt;0),BN98*Assumptions!$B$35,0)</f>
        <v>0</v>
      </c>
      <c r="BO99" s="8">
        <f>IF(AND(MOD(65,3)=0,BO98&gt;0),BO98*Assumptions!$B$35,0)</f>
        <v>0</v>
      </c>
      <c r="BP99" s="8">
        <f>IF(AND(MOD(66,3)=0,BP98&gt;0),BP98*Assumptions!$B$35,0)</f>
        <v>0</v>
      </c>
      <c r="BQ99" s="8">
        <f>IF(AND(MOD(67,3)=0,BQ98&gt;0),BQ98*Assumptions!$B$35,0)</f>
        <v>0</v>
      </c>
      <c r="BR99" s="8">
        <f>IF(AND(MOD(68,3)=0,BR98&gt;0),BR98*Assumptions!$B$35,0)</f>
        <v>0</v>
      </c>
      <c r="BS99" s="8">
        <f>IF(AND(MOD(69,3)=0,BS98&gt;0),BS98*Assumptions!$B$35,0)</f>
        <v>0</v>
      </c>
      <c r="BT99" s="8">
        <f>IF(AND(MOD(70,3)=0,BT98&gt;0),BT98*Assumptions!$B$35,0)</f>
        <v>0</v>
      </c>
      <c r="BU99" s="8">
        <f>IF(AND(MOD(71,3)=0,BU98&gt;0),BU98*Assumptions!$B$35,0)</f>
        <v>0</v>
      </c>
      <c r="BV99" s="8">
        <f>IF(AND(MOD(72,3)=0,BV98&gt;0),BV98*Assumptions!$B$35,0)</f>
        <v>0</v>
      </c>
      <c r="BW99" s="8">
        <f>IF(AND(MOD(73,3)=0,BW98&gt;0),BW98*Assumptions!$B$35,0)</f>
        <v>0</v>
      </c>
      <c r="BX99" s="8">
        <f>IF(AND(MOD(74,3)=0,BX98&gt;0),BX98*Assumptions!$B$35,0)</f>
        <v>0</v>
      </c>
      <c r="BY99" s="8">
        <f>IF(AND(MOD(75,3)=0,BY98&gt;0),BY98*Assumptions!$B$35,0)</f>
        <v>0</v>
      </c>
      <c r="BZ99" s="8">
        <f>IF(AND(MOD(76,3)=0,BZ98&gt;0),BZ98*Assumptions!$B$35,0)</f>
        <v>0</v>
      </c>
      <c r="CA99" s="8">
        <f>IF(AND(MOD(77,3)=0,CA98&gt;0),CA98*Assumptions!$B$35,0)</f>
        <v>0</v>
      </c>
      <c r="CB99" s="8">
        <f>IF(AND(MOD(78,3)=0,CB98&gt;0),CB98*Assumptions!$B$35,0)</f>
        <v>0</v>
      </c>
      <c r="CC99" s="8">
        <f>IF(AND(MOD(79,3)=0,CC98&gt;0),CC98*Assumptions!$B$35,0)</f>
        <v>0</v>
      </c>
      <c r="CD99" s="8">
        <f>IF(AND(MOD(80,3)=0,CD98&gt;0),CD98*Assumptions!$B$35,0)</f>
        <v>0</v>
      </c>
      <c r="CE99" s="8">
        <f>IF(AND(MOD(81,3)=0,CE98&gt;0),CE98*Assumptions!$B$35,0)</f>
        <v>0</v>
      </c>
      <c r="CF99" s="8">
        <f>IF(AND(MOD(82,3)=0,CF98&gt;0),CF98*Assumptions!$B$35,0)</f>
        <v>0</v>
      </c>
      <c r="CG99" s="8">
        <f>IF(AND(MOD(83,3)=0,CG98&gt;0),CG98*Assumptions!$B$35,0)</f>
        <v>0</v>
      </c>
      <c r="CH99" s="8">
        <f>IF(AND(MOD(84,3)=0,CH98&gt;0),CH98*Assumptions!$B$35,0)</f>
        <v>0</v>
      </c>
      <c r="CI99" s="23"/>
    </row>
    <row r="100" spans="1:87" ht="15" customHeight="1" x14ac:dyDescent="0.25">
      <c r="A100" s="7" t="s">
        <v>188</v>
      </c>
      <c r="B100" s="22"/>
      <c r="C100" s="8">
        <f>IF(AND(1&gt;=Assumptions!$B$37,C98+C99&gt;0),-MIN(Assumptions!$B$36,C98+C99),0)</f>
        <v>0</v>
      </c>
      <c r="D100" s="8">
        <f>IF(AND(2&gt;=Assumptions!$B$37,D98+D99&gt;0),-MIN(Assumptions!$B$36,D98+D99),0)</f>
        <v>0</v>
      </c>
      <c r="E100" s="8">
        <f>IF(AND(3&gt;=Assumptions!$B$37,E98+E99&gt;0),-MIN(Assumptions!$B$36,E98+E99),0)</f>
        <v>0</v>
      </c>
      <c r="F100" s="8">
        <f>IF(AND(4&gt;=Assumptions!$B$37,F98+F99&gt;0),-MIN(Assumptions!$B$36,F98+F99),0)</f>
        <v>0</v>
      </c>
      <c r="G100" s="8">
        <f>IF(AND(5&gt;=Assumptions!$B$37,G98+G99&gt;0),-MIN(Assumptions!$B$36,G98+G99),0)</f>
        <v>0</v>
      </c>
      <c r="H100" s="8">
        <f>IF(AND(6&gt;=Assumptions!$B$37,H98+H99&gt;0),-MIN(Assumptions!$B$36,H98+H99),0)</f>
        <v>0</v>
      </c>
      <c r="I100" s="8">
        <f>IF(AND(7&gt;=Assumptions!$B$37,I98+I99&gt;0),-MIN(Assumptions!$B$36,I98+I99),0)</f>
        <v>-130000</v>
      </c>
      <c r="J100" s="8">
        <f>IF(AND(8&gt;=Assumptions!$B$37,J98+J99&gt;0),-MIN(Assumptions!$B$36,J98+J99),0)</f>
        <v>-130000</v>
      </c>
      <c r="K100" s="8">
        <f>IF(AND(9&gt;=Assumptions!$B$37,K98+K99&gt;0),-MIN(Assumptions!$B$36,K98+K99),0)</f>
        <v>-130000</v>
      </c>
      <c r="L100" s="8">
        <f>IF(AND(10&gt;=Assumptions!$B$37,L98+L99&gt;0),-MIN(Assumptions!$B$36,L98+L99),0)</f>
        <v>-130000</v>
      </c>
      <c r="M100" s="8">
        <f>IF(AND(11&gt;=Assumptions!$B$37,M98+M99&gt;0),-MIN(Assumptions!$B$36,M98+M99),0)</f>
        <v>-130000</v>
      </c>
      <c r="N100" s="8">
        <f>IF(AND(12&gt;=Assumptions!$B$37,N98+N99&gt;0),-MIN(Assumptions!$B$36,N98+N99),0)</f>
        <v>-130000</v>
      </c>
      <c r="O100" s="8">
        <f>IF(AND(13&gt;=Assumptions!$B$37,O98+O99&gt;0),-MIN(Assumptions!$B$36,O98+O99),0)</f>
        <v>-130000</v>
      </c>
      <c r="P100" s="8">
        <f>IF(AND(14&gt;=Assumptions!$B$37,P98+P99&gt;0),-MIN(Assumptions!$B$36,P98+P99),0)</f>
        <v>-130000</v>
      </c>
      <c r="Q100" s="8">
        <f>IF(AND(15&gt;=Assumptions!$B$37,Q98+Q99&gt;0),-MIN(Assumptions!$B$36,Q98+Q99),0)</f>
        <v>-130000</v>
      </c>
      <c r="R100" s="8">
        <f>IF(AND(16&gt;=Assumptions!$B$37,R98+R99&gt;0),-MIN(Assumptions!$B$36,R98+R99),0)</f>
        <v>-130000</v>
      </c>
      <c r="S100" s="8">
        <f>IF(AND(17&gt;=Assumptions!$B$37,S98+S99&gt;0),-MIN(Assumptions!$B$36,S98+S99),0)</f>
        <v>-130000</v>
      </c>
      <c r="T100" s="8">
        <f>IF(AND(18&gt;=Assumptions!$B$37,T98+T99&gt;0),-MIN(Assumptions!$B$36,T98+T99),0)</f>
        <v>-130000</v>
      </c>
      <c r="U100" s="8">
        <f>IF(AND(19&gt;=Assumptions!$B$37,U98+U99&gt;0),-MIN(Assumptions!$B$36,U98+U99),0)</f>
        <v>-130000</v>
      </c>
      <c r="V100" s="8">
        <f>IF(AND(20&gt;=Assumptions!$B$37,V98+V99&gt;0),-MIN(Assumptions!$B$36,V98+V99),0)</f>
        <v>-130000</v>
      </c>
      <c r="W100" s="8">
        <f>IF(AND(21&gt;=Assumptions!$B$37,W98+W99&gt;0),-MIN(Assumptions!$B$36,W98+W99),0)</f>
        <v>-65969.24328544506</v>
      </c>
      <c r="X100" s="8">
        <f>IF(AND(22&gt;=Assumptions!$B$37,X98+X99&gt;0),-MIN(Assumptions!$B$36,X98+X99),0)</f>
        <v>0</v>
      </c>
      <c r="Y100" s="8">
        <f>IF(AND(23&gt;=Assumptions!$B$37,Y98+Y99&gt;0),-MIN(Assumptions!$B$36,Y98+Y99),0)</f>
        <v>0</v>
      </c>
      <c r="Z100" s="8">
        <f>IF(AND(24&gt;=Assumptions!$B$37,Z98+Z99&gt;0),-MIN(Assumptions!$B$36,Z98+Z99),0)</f>
        <v>0</v>
      </c>
      <c r="AA100" s="8">
        <f>IF(AND(25&gt;=Assumptions!$B$37,AA98+AA99&gt;0),-MIN(Assumptions!$B$36,AA98+AA99),0)</f>
        <v>0</v>
      </c>
      <c r="AB100" s="8">
        <f>IF(AND(26&gt;=Assumptions!$B$37,AB98+AB99&gt;0),-MIN(Assumptions!$B$36,AB98+AB99),0)</f>
        <v>0</v>
      </c>
      <c r="AC100" s="8">
        <f>IF(AND(27&gt;=Assumptions!$B$37,AC98+AC99&gt;0),-MIN(Assumptions!$B$36,AC98+AC99),0)</f>
        <v>0</v>
      </c>
      <c r="AD100" s="8">
        <f>IF(AND(28&gt;=Assumptions!$B$37,AD98+AD99&gt;0),-MIN(Assumptions!$B$36,AD98+AD99),0)</f>
        <v>0</v>
      </c>
      <c r="AE100" s="8">
        <f>IF(AND(29&gt;=Assumptions!$B$37,AE98+AE99&gt;0),-MIN(Assumptions!$B$36,AE98+AE99),0)</f>
        <v>0</v>
      </c>
      <c r="AF100" s="8">
        <f>IF(AND(30&gt;=Assumptions!$B$37,AF98+AF99&gt;0),-MIN(Assumptions!$B$36,AF98+AF99),0)</f>
        <v>0</v>
      </c>
      <c r="AG100" s="8">
        <f>IF(AND(31&gt;=Assumptions!$B$37,AG98+AG99&gt;0),-MIN(Assumptions!$B$36,AG98+AG99),0)</f>
        <v>0</v>
      </c>
      <c r="AH100" s="8">
        <f>IF(AND(32&gt;=Assumptions!$B$37,AH98+AH99&gt;0),-MIN(Assumptions!$B$36,AH98+AH99),0)</f>
        <v>0</v>
      </c>
      <c r="AI100" s="8">
        <f>IF(AND(33&gt;=Assumptions!$B$37,AI98+AI99&gt;0),-MIN(Assumptions!$B$36,AI98+AI99),0)</f>
        <v>0</v>
      </c>
      <c r="AJ100" s="8">
        <f>IF(AND(34&gt;=Assumptions!$B$37,AJ98+AJ99&gt;0),-MIN(Assumptions!$B$36,AJ98+AJ99),0)</f>
        <v>0</v>
      </c>
      <c r="AK100" s="8">
        <f>IF(AND(35&gt;=Assumptions!$B$37,AK98+AK99&gt;0),-MIN(Assumptions!$B$36,AK98+AK99),0)</f>
        <v>0</v>
      </c>
      <c r="AL100" s="8">
        <f>IF(AND(36&gt;=Assumptions!$B$37,AL98+AL99&gt;0),-MIN(Assumptions!$B$36,AL98+AL99),0)</f>
        <v>0</v>
      </c>
      <c r="AM100" s="8">
        <f>IF(AND(37&gt;=Assumptions!$B$37,AM98+AM99&gt;0),-MIN(Assumptions!$B$36,AM98+AM99),0)</f>
        <v>0</v>
      </c>
      <c r="AN100" s="8">
        <f>IF(AND(38&gt;=Assumptions!$B$37,AN98+AN99&gt;0),-MIN(Assumptions!$B$36,AN98+AN99),0)</f>
        <v>0</v>
      </c>
      <c r="AO100" s="8">
        <f>IF(AND(39&gt;=Assumptions!$B$37,AO98+AO99&gt;0),-MIN(Assumptions!$B$36,AO98+AO99),0)</f>
        <v>0</v>
      </c>
      <c r="AP100" s="8">
        <f>IF(AND(40&gt;=Assumptions!$B$37,AP98+AP99&gt;0),-MIN(Assumptions!$B$36,AP98+AP99),0)</f>
        <v>0</v>
      </c>
      <c r="AQ100" s="8">
        <f>IF(AND(41&gt;=Assumptions!$B$37,AQ98+AQ99&gt;0),-MIN(Assumptions!$B$36,AQ98+AQ99),0)</f>
        <v>0</v>
      </c>
      <c r="AR100" s="8">
        <f>IF(AND(42&gt;=Assumptions!$B$37,AR98+AR99&gt;0),-MIN(Assumptions!$B$36,AR98+AR99),0)</f>
        <v>0</v>
      </c>
      <c r="AS100" s="8">
        <f>IF(AND(43&gt;=Assumptions!$B$37,AS98+AS99&gt;0),-MIN(Assumptions!$B$36,AS98+AS99),0)</f>
        <v>0</v>
      </c>
      <c r="AT100" s="8">
        <f>IF(AND(44&gt;=Assumptions!$B$37,AT98+AT99&gt;0),-MIN(Assumptions!$B$36,AT98+AT99),0)</f>
        <v>0</v>
      </c>
      <c r="AU100" s="8">
        <f>IF(AND(45&gt;=Assumptions!$B$37,AU98+AU99&gt;0),-MIN(Assumptions!$B$36,AU98+AU99),0)</f>
        <v>0</v>
      </c>
      <c r="AV100" s="8">
        <f>IF(AND(46&gt;=Assumptions!$B$37,AV98+AV99&gt;0),-MIN(Assumptions!$B$36,AV98+AV99),0)</f>
        <v>0</v>
      </c>
      <c r="AW100" s="8">
        <f>IF(AND(47&gt;=Assumptions!$B$37,AW98+AW99&gt;0),-MIN(Assumptions!$B$36,AW98+AW99),0)</f>
        <v>0</v>
      </c>
      <c r="AX100" s="8">
        <f>IF(AND(48&gt;=Assumptions!$B$37,AX98+AX99&gt;0),-MIN(Assumptions!$B$36,AX98+AX99),0)</f>
        <v>0</v>
      </c>
      <c r="AY100" s="8">
        <f>IF(AND(49&gt;=Assumptions!$B$37,AY98+AY99&gt;0),-MIN(Assumptions!$B$36,AY98+AY99),0)</f>
        <v>0</v>
      </c>
      <c r="AZ100" s="8">
        <f>IF(AND(50&gt;=Assumptions!$B$37,AZ98+AZ99&gt;0),-MIN(Assumptions!$B$36,AZ98+AZ99),0)</f>
        <v>0</v>
      </c>
      <c r="BA100" s="8">
        <f>IF(AND(51&gt;=Assumptions!$B$37,BA98+BA99&gt;0),-MIN(Assumptions!$B$36,BA98+BA99),0)</f>
        <v>0</v>
      </c>
      <c r="BB100" s="8">
        <f>IF(AND(52&gt;=Assumptions!$B$37,BB98+BB99&gt;0),-MIN(Assumptions!$B$36,BB98+BB99),0)</f>
        <v>0</v>
      </c>
      <c r="BC100" s="8">
        <f>IF(AND(53&gt;=Assumptions!$B$37,BC98+BC99&gt;0),-MIN(Assumptions!$B$36,BC98+BC99),0)</f>
        <v>0</v>
      </c>
      <c r="BD100" s="8">
        <f>IF(AND(54&gt;=Assumptions!$B$37,BD98+BD99&gt;0),-MIN(Assumptions!$B$36,BD98+BD99),0)</f>
        <v>0</v>
      </c>
      <c r="BE100" s="8">
        <f>IF(AND(55&gt;=Assumptions!$B$37,BE98+BE99&gt;0),-MIN(Assumptions!$B$36,BE98+BE99),0)</f>
        <v>0</v>
      </c>
      <c r="BF100" s="8">
        <f>IF(AND(56&gt;=Assumptions!$B$37,BF98+BF99&gt;0),-MIN(Assumptions!$B$36,BF98+BF99),0)</f>
        <v>0</v>
      </c>
      <c r="BG100" s="8">
        <f>IF(AND(57&gt;=Assumptions!$B$37,BG98+BG99&gt;0),-MIN(Assumptions!$B$36,BG98+BG99),0)</f>
        <v>0</v>
      </c>
      <c r="BH100" s="8">
        <f>IF(AND(58&gt;=Assumptions!$B$37,BH98+BH99&gt;0),-MIN(Assumptions!$B$36,BH98+BH99),0)</f>
        <v>0</v>
      </c>
      <c r="BI100" s="8">
        <f>IF(AND(59&gt;=Assumptions!$B$37,BI98+BI99&gt;0),-MIN(Assumptions!$B$36,BI98+BI99),0)</f>
        <v>0</v>
      </c>
      <c r="BJ100" s="8">
        <f>IF(AND(60&gt;=Assumptions!$B$37,BJ98+BJ99&gt;0),-MIN(Assumptions!$B$36,BJ98+BJ99),0)</f>
        <v>0</v>
      </c>
      <c r="BK100" s="8">
        <f>IF(AND(61&gt;=Assumptions!$B$37,BK98+BK99&gt;0),-MIN(Assumptions!$B$36,BK98+BK99),0)</f>
        <v>0</v>
      </c>
      <c r="BL100" s="8">
        <f>IF(AND(62&gt;=Assumptions!$B$37,BL98+BL99&gt;0),-MIN(Assumptions!$B$36,BL98+BL99),0)</f>
        <v>0</v>
      </c>
      <c r="BM100" s="8">
        <f>IF(AND(63&gt;=Assumptions!$B$37,BM98+BM99&gt;0),-MIN(Assumptions!$B$36,BM98+BM99),0)</f>
        <v>0</v>
      </c>
      <c r="BN100" s="8">
        <f>IF(AND(64&gt;=Assumptions!$B$37,BN98+BN99&gt;0),-MIN(Assumptions!$B$36,BN98+BN99),0)</f>
        <v>0</v>
      </c>
      <c r="BO100" s="8">
        <f>IF(AND(65&gt;=Assumptions!$B$37,BO98+BO99&gt;0),-MIN(Assumptions!$B$36,BO98+BO99),0)</f>
        <v>0</v>
      </c>
      <c r="BP100" s="8">
        <f>IF(AND(66&gt;=Assumptions!$B$37,BP98+BP99&gt;0),-MIN(Assumptions!$B$36,BP98+BP99),0)</f>
        <v>0</v>
      </c>
      <c r="BQ100" s="8">
        <f>IF(AND(67&gt;=Assumptions!$B$37,BQ98+BQ99&gt;0),-MIN(Assumptions!$B$36,BQ98+BQ99),0)</f>
        <v>0</v>
      </c>
      <c r="BR100" s="8">
        <f>IF(AND(68&gt;=Assumptions!$B$37,BR98+BR99&gt;0),-MIN(Assumptions!$B$36,BR98+BR99),0)</f>
        <v>0</v>
      </c>
      <c r="BS100" s="8">
        <f>IF(AND(69&gt;=Assumptions!$B$37,BS98+BS99&gt;0),-MIN(Assumptions!$B$36,BS98+BS99),0)</f>
        <v>0</v>
      </c>
      <c r="BT100" s="8">
        <f>IF(AND(70&gt;=Assumptions!$B$37,BT98+BT99&gt;0),-MIN(Assumptions!$B$36,BT98+BT99),0)</f>
        <v>0</v>
      </c>
      <c r="BU100" s="8">
        <f>IF(AND(71&gt;=Assumptions!$B$37,BU98+BU99&gt;0),-MIN(Assumptions!$B$36,BU98+BU99),0)</f>
        <v>0</v>
      </c>
      <c r="BV100" s="8">
        <f>IF(AND(72&gt;=Assumptions!$B$37,BV98+BV99&gt;0),-MIN(Assumptions!$B$36,BV98+BV99),0)</f>
        <v>0</v>
      </c>
      <c r="BW100" s="8">
        <f>IF(AND(73&gt;=Assumptions!$B$37,BW98+BW99&gt;0),-MIN(Assumptions!$B$36,BW98+BW99),0)</f>
        <v>0</v>
      </c>
      <c r="BX100" s="8">
        <f>IF(AND(74&gt;=Assumptions!$B$37,BX98+BX99&gt;0),-MIN(Assumptions!$B$36,BX98+BX99),0)</f>
        <v>0</v>
      </c>
      <c r="BY100" s="8">
        <f>IF(AND(75&gt;=Assumptions!$B$37,BY98+BY99&gt;0),-MIN(Assumptions!$B$36,BY98+BY99),0)</f>
        <v>0</v>
      </c>
      <c r="BZ100" s="8">
        <f>IF(AND(76&gt;=Assumptions!$B$37,BZ98+BZ99&gt;0),-MIN(Assumptions!$B$36,BZ98+BZ99),0)</f>
        <v>0</v>
      </c>
      <c r="CA100" s="8">
        <f>IF(AND(77&gt;=Assumptions!$B$37,CA98+CA99&gt;0),-MIN(Assumptions!$B$36,CA98+CA99),0)</f>
        <v>0</v>
      </c>
      <c r="CB100" s="8">
        <f>IF(AND(78&gt;=Assumptions!$B$37,CB98+CB99&gt;0),-MIN(Assumptions!$B$36,CB98+CB99),0)</f>
        <v>0</v>
      </c>
      <c r="CC100" s="8">
        <f>IF(AND(79&gt;=Assumptions!$B$37,CC98+CC99&gt;0),-MIN(Assumptions!$B$36,CC98+CC99),0)</f>
        <v>0</v>
      </c>
      <c r="CD100" s="8">
        <f>IF(AND(80&gt;=Assumptions!$B$37,CD98+CD99&gt;0),-MIN(Assumptions!$B$36,CD98+CD99),0)</f>
        <v>0</v>
      </c>
      <c r="CE100" s="8">
        <f>IF(AND(81&gt;=Assumptions!$B$37,CE98+CE99&gt;0),-MIN(Assumptions!$B$36,CE98+CE99),0)</f>
        <v>0</v>
      </c>
      <c r="CF100" s="8">
        <f>IF(AND(82&gt;=Assumptions!$B$37,CF98+CF99&gt;0),-MIN(Assumptions!$B$36,CF98+CF99),0)</f>
        <v>0</v>
      </c>
      <c r="CG100" s="8">
        <f>IF(AND(83&gt;=Assumptions!$B$37,CG98+CG99&gt;0),-MIN(Assumptions!$B$36,CG98+CG99),0)</f>
        <v>0</v>
      </c>
      <c r="CH100" s="8">
        <f>IF(AND(84&gt;=Assumptions!$B$37,CH98+CH99&gt;0),-MIN(Assumptions!$B$36,CH98+CH99),0)</f>
        <v>0</v>
      </c>
      <c r="CI100" s="23"/>
    </row>
    <row r="101" spans="1:87" ht="15" customHeight="1" x14ac:dyDescent="0.25">
      <c r="A101" s="33" t="s">
        <v>189</v>
      </c>
      <c r="B101" s="28"/>
      <c r="C101" s="32">
        <f t="shared" ref="C101:AH101" si="33">MAX(0,C98+C99+C100)</f>
        <v>1615485</v>
      </c>
      <c r="D101" s="32">
        <f t="shared" si="33"/>
        <v>1615485</v>
      </c>
      <c r="E101" s="32">
        <f t="shared" si="33"/>
        <v>1676065.6875</v>
      </c>
      <c r="F101" s="32">
        <f t="shared" si="33"/>
        <v>1676065.6875</v>
      </c>
      <c r="G101" s="32">
        <f t="shared" si="33"/>
        <v>1676065.6875</v>
      </c>
      <c r="H101" s="32">
        <f t="shared" si="33"/>
        <v>1738918.1507812501</v>
      </c>
      <c r="I101" s="32">
        <f t="shared" si="33"/>
        <v>1608918.1507812501</v>
      </c>
      <c r="J101" s="32">
        <f t="shared" si="33"/>
        <v>1478918.1507812501</v>
      </c>
      <c r="K101" s="32">
        <f t="shared" si="33"/>
        <v>1404377.581435547</v>
      </c>
      <c r="L101" s="32">
        <f t="shared" si="33"/>
        <v>1274377.581435547</v>
      </c>
      <c r="M101" s="32">
        <f t="shared" si="33"/>
        <v>1144377.581435547</v>
      </c>
      <c r="N101" s="32">
        <f t="shared" si="33"/>
        <v>1057291.74073938</v>
      </c>
      <c r="O101" s="32">
        <f t="shared" si="33"/>
        <v>927291.74073938001</v>
      </c>
      <c r="P101" s="32">
        <f t="shared" si="33"/>
        <v>797291.74073938001</v>
      </c>
      <c r="Q101" s="32">
        <f t="shared" si="33"/>
        <v>697190.18101710675</v>
      </c>
      <c r="R101" s="32">
        <f t="shared" si="33"/>
        <v>567190.18101710675</v>
      </c>
      <c r="S101" s="32">
        <f t="shared" si="33"/>
        <v>437190.18101710675</v>
      </c>
      <c r="T101" s="32">
        <f t="shared" si="33"/>
        <v>323584.81280524825</v>
      </c>
      <c r="U101" s="32">
        <f t="shared" si="33"/>
        <v>193584.81280524825</v>
      </c>
      <c r="V101" s="32">
        <f t="shared" si="33"/>
        <v>63584.81280524825</v>
      </c>
      <c r="W101" s="32">
        <f t="shared" si="33"/>
        <v>0</v>
      </c>
      <c r="X101" s="32">
        <f t="shared" si="33"/>
        <v>0</v>
      </c>
      <c r="Y101" s="32">
        <f t="shared" si="33"/>
        <v>0</v>
      </c>
      <c r="Z101" s="32">
        <f t="shared" si="33"/>
        <v>0</v>
      </c>
      <c r="AA101" s="32">
        <f t="shared" si="33"/>
        <v>0</v>
      </c>
      <c r="AB101" s="32">
        <f t="shared" si="33"/>
        <v>0</v>
      </c>
      <c r="AC101" s="32">
        <f t="shared" si="33"/>
        <v>0</v>
      </c>
      <c r="AD101" s="32">
        <f t="shared" si="33"/>
        <v>0</v>
      </c>
      <c r="AE101" s="32">
        <f t="shared" si="33"/>
        <v>0</v>
      </c>
      <c r="AF101" s="32">
        <f t="shared" si="33"/>
        <v>0</v>
      </c>
      <c r="AG101" s="32">
        <f t="shared" si="33"/>
        <v>0</v>
      </c>
      <c r="AH101" s="32">
        <f t="shared" si="33"/>
        <v>0</v>
      </c>
      <c r="AI101" s="32">
        <f t="shared" ref="AI101:BN101" si="34">MAX(0,AI98+AI99+AI100)</f>
        <v>0</v>
      </c>
      <c r="AJ101" s="32">
        <f t="shared" si="34"/>
        <v>0</v>
      </c>
      <c r="AK101" s="32">
        <f t="shared" si="34"/>
        <v>0</v>
      </c>
      <c r="AL101" s="32">
        <f t="shared" si="34"/>
        <v>0</v>
      </c>
      <c r="AM101" s="32">
        <f t="shared" si="34"/>
        <v>0</v>
      </c>
      <c r="AN101" s="32">
        <f t="shared" si="34"/>
        <v>0</v>
      </c>
      <c r="AO101" s="32">
        <f t="shared" si="34"/>
        <v>0</v>
      </c>
      <c r="AP101" s="32">
        <f t="shared" si="34"/>
        <v>0</v>
      </c>
      <c r="AQ101" s="32">
        <f t="shared" si="34"/>
        <v>0</v>
      </c>
      <c r="AR101" s="32">
        <f t="shared" si="34"/>
        <v>0</v>
      </c>
      <c r="AS101" s="32">
        <f t="shared" si="34"/>
        <v>0</v>
      </c>
      <c r="AT101" s="32">
        <f t="shared" si="34"/>
        <v>0</v>
      </c>
      <c r="AU101" s="32">
        <f t="shared" si="34"/>
        <v>0</v>
      </c>
      <c r="AV101" s="32">
        <f t="shared" si="34"/>
        <v>0</v>
      </c>
      <c r="AW101" s="32">
        <f t="shared" si="34"/>
        <v>0</v>
      </c>
      <c r="AX101" s="32">
        <f t="shared" si="34"/>
        <v>0</v>
      </c>
      <c r="AY101" s="32">
        <f t="shared" si="34"/>
        <v>0</v>
      </c>
      <c r="AZ101" s="32">
        <f t="shared" si="34"/>
        <v>0</v>
      </c>
      <c r="BA101" s="32">
        <f t="shared" si="34"/>
        <v>0</v>
      </c>
      <c r="BB101" s="32">
        <f t="shared" si="34"/>
        <v>0</v>
      </c>
      <c r="BC101" s="32">
        <f t="shared" si="34"/>
        <v>0</v>
      </c>
      <c r="BD101" s="32">
        <f t="shared" si="34"/>
        <v>0</v>
      </c>
      <c r="BE101" s="32">
        <f t="shared" si="34"/>
        <v>0</v>
      </c>
      <c r="BF101" s="32">
        <f t="shared" si="34"/>
        <v>0</v>
      </c>
      <c r="BG101" s="32">
        <f t="shared" si="34"/>
        <v>0</v>
      </c>
      <c r="BH101" s="32">
        <f t="shared" si="34"/>
        <v>0</v>
      </c>
      <c r="BI101" s="32">
        <f t="shared" si="34"/>
        <v>0</v>
      </c>
      <c r="BJ101" s="32">
        <f t="shared" si="34"/>
        <v>0</v>
      </c>
      <c r="BK101" s="32">
        <f t="shared" si="34"/>
        <v>0</v>
      </c>
      <c r="BL101" s="32">
        <f t="shared" si="34"/>
        <v>0</v>
      </c>
      <c r="BM101" s="32">
        <f t="shared" si="34"/>
        <v>0</v>
      </c>
      <c r="BN101" s="32">
        <f t="shared" si="34"/>
        <v>0</v>
      </c>
      <c r="BO101" s="32">
        <f t="shared" ref="BO101:CH101" si="35">MAX(0,BO98+BO99+BO100)</f>
        <v>0</v>
      </c>
      <c r="BP101" s="32">
        <f t="shared" si="35"/>
        <v>0</v>
      </c>
      <c r="BQ101" s="32">
        <f t="shared" si="35"/>
        <v>0</v>
      </c>
      <c r="BR101" s="32">
        <f t="shared" si="35"/>
        <v>0</v>
      </c>
      <c r="BS101" s="32">
        <f t="shared" si="35"/>
        <v>0</v>
      </c>
      <c r="BT101" s="32">
        <f t="shared" si="35"/>
        <v>0</v>
      </c>
      <c r="BU101" s="32">
        <f t="shared" si="35"/>
        <v>0</v>
      </c>
      <c r="BV101" s="32">
        <f t="shared" si="35"/>
        <v>0</v>
      </c>
      <c r="BW101" s="32">
        <f t="shared" si="35"/>
        <v>0</v>
      </c>
      <c r="BX101" s="32">
        <f t="shared" si="35"/>
        <v>0</v>
      </c>
      <c r="BY101" s="32">
        <f t="shared" si="35"/>
        <v>0</v>
      </c>
      <c r="BZ101" s="32">
        <f t="shared" si="35"/>
        <v>0</v>
      </c>
      <c r="CA101" s="32">
        <f t="shared" si="35"/>
        <v>0</v>
      </c>
      <c r="CB101" s="32">
        <f t="shared" si="35"/>
        <v>0</v>
      </c>
      <c r="CC101" s="32">
        <f t="shared" si="35"/>
        <v>0</v>
      </c>
      <c r="CD101" s="32">
        <f t="shared" si="35"/>
        <v>0</v>
      </c>
      <c r="CE101" s="32">
        <f t="shared" si="35"/>
        <v>0</v>
      </c>
      <c r="CF101" s="32">
        <f t="shared" si="35"/>
        <v>0</v>
      </c>
      <c r="CG101" s="32">
        <f t="shared" si="35"/>
        <v>0</v>
      </c>
      <c r="CH101" s="32">
        <f t="shared" si="35"/>
        <v>0</v>
      </c>
      <c r="CI101" s="23"/>
    </row>
    <row r="102" spans="1:87" ht="15" customHeight="1" x14ac:dyDescent="0.2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3"/>
    </row>
    <row r="103" spans="1:87" ht="7.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15" customHeight="1" x14ac:dyDescent="0.25">
      <c r="A104" s="26" t="s">
        <v>190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  <c r="CF104" s="26"/>
      <c r="CG104" s="26"/>
      <c r="CH104" s="26"/>
      <c r="CI104" s="23"/>
    </row>
    <row r="105" spans="1:87" ht="15" customHeight="1" x14ac:dyDescent="0.25">
      <c r="A105" s="7" t="s">
        <v>186</v>
      </c>
      <c r="B105" s="22"/>
      <c r="C105" s="8">
        <f>Assumptions!$B$41</f>
        <v>1000000</v>
      </c>
      <c r="D105" s="8">
        <f t="shared" ref="D105:AI105" si="36">C107</f>
        <v>1000000</v>
      </c>
      <c r="E105" s="8">
        <f t="shared" si="36"/>
        <v>1000000</v>
      </c>
      <c r="F105" s="8">
        <f t="shared" si="36"/>
        <v>1000000</v>
      </c>
      <c r="G105" s="8">
        <f t="shared" si="36"/>
        <v>1000000</v>
      </c>
      <c r="H105" s="8">
        <f t="shared" si="36"/>
        <v>1000000</v>
      </c>
      <c r="I105" s="8">
        <f t="shared" si="36"/>
        <v>1000000</v>
      </c>
      <c r="J105" s="8">
        <f t="shared" si="36"/>
        <v>1000000</v>
      </c>
      <c r="K105" s="8">
        <f t="shared" si="36"/>
        <v>1000000</v>
      </c>
      <c r="L105" s="8">
        <f t="shared" si="36"/>
        <v>1000000</v>
      </c>
      <c r="M105" s="8">
        <f t="shared" si="36"/>
        <v>1000000</v>
      </c>
      <c r="N105" s="8">
        <f t="shared" si="36"/>
        <v>750000</v>
      </c>
      <c r="O105" s="8">
        <f t="shared" si="36"/>
        <v>750000</v>
      </c>
      <c r="P105" s="8">
        <f t="shared" si="36"/>
        <v>750000</v>
      </c>
      <c r="Q105" s="8">
        <f t="shared" si="36"/>
        <v>750000</v>
      </c>
      <c r="R105" s="8">
        <f t="shared" si="36"/>
        <v>750000</v>
      </c>
      <c r="S105" s="8">
        <f t="shared" si="36"/>
        <v>750000</v>
      </c>
      <c r="T105" s="8">
        <f t="shared" si="36"/>
        <v>750000</v>
      </c>
      <c r="U105" s="8">
        <f t="shared" si="36"/>
        <v>750000</v>
      </c>
      <c r="V105" s="8">
        <f t="shared" si="36"/>
        <v>750000</v>
      </c>
      <c r="W105" s="8">
        <f t="shared" si="36"/>
        <v>750000</v>
      </c>
      <c r="X105" s="8">
        <f t="shared" si="36"/>
        <v>750000</v>
      </c>
      <c r="Y105" s="8">
        <f t="shared" si="36"/>
        <v>750000</v>
      </c>
      <c r="Z105" s="8">
        <f t="shared" si="36"/>
        <v>500000</v>
      </c>
      <c r="AA105" s="8">
        <f t="shared" si="36"/>
        <v>500000</v>
      </c>
      <c r="AB105" s="8">
        <f t="shared" si="36"/>
        <v>500000</v>
      </c>
      <c r="AC105" s="8">
        <f t="shared" si="36"/>
        <v>500000</v>
      </c>
      <c r="AD105" s="8">
        <f t="shared" si="36"/>
        <v>500000</v>
      </c>
      <c r="AE105" s="8">
        <f t="shared" si="36"/>
        <v>500000</v>
      </c>
      <c r="AF105" s="8">
        <f t="shared" si="36"/>
        <v>500000</v>
      </c>
      <c r="AG105" s="8">
        <f t="shared" si="36"/>
        <v>500000</v>
      </c>
      <c r="AH105" s="8">
        <f t="shared" si="36"/>
        <v>500000</v>
      </c>
      <c r="AI105" s="8">
        <f t="shared" si="36"/>
        <v>500000</v>
      </c>
      <c r="AJ105" s="8">
        <f t="shared" ref="AJ105:BO105" si="37">AI107</f>
        <v>500000</v>
      </c>
      <c r="AK105" s="8">
        <f t="shared" si="37"/>
        <v>500000</v>
      </c>
      <c r="AL105" s="8">
        <f t="shared" si="37"/>
        <v>500000</v>
      </c>
      <c r="AM105" s="8">
        <f t="shared" si="37"/>
        <v>500000</v>
      </c>
      <c r="AN105" s="8">
        <f t="shared" si="37"/>
        <v>500000</v>
      </c>
      <c r="AO105" s="8">
        <f t="shared" si="37"/>
        <v>500000</v>
      </c>
      <c r="AP105" s="8">
        <f t="shared" si="37"/>
        <v>500000</v>
      </c>
      <c r="AQ105" s="8">
        <f t="shared" si="37"/>
        <v>500000</v>
      </c>
      <c r="AR105" s="8">
        <f t="shared" si="37"/>
        <v>500000</v>
      </c>
      <c r="AS105" s="8">
        <f t="shared" si="37"/>
        <v>500000</v>
      </c>
      <c r="AT105" s="8">
        <f t="shared" si="37"/>
        <v>500000</v>
      </c>
      <c r="AU105" s="8">
        <f t="shared" si="37"/>
        <v>500000</v>
      </c>
      <c r="AV105" s="8">
        <f t="shared" si="37"/>
        <v>500000</v>
      </c>
      <c r="AW105" s="8">
        <f t="shared" si="37"/>
        <v>500000</v>
      </c>
      <c r="AX105" s="8">
        <f t="shared" si="37"/>
        <v>500000</v>
      </c>
      <c r="AY105" s="8">
        <f t="shared" si="37"/>
        <v>500000</v>
      </c>
      <c r="AZ105" s="8">
        <f t="shared" si="37"/>
        <v>500000</v>
      </c>
      <c r="BA105" s="8">
        <f t="shared" si="37"/>
        <v>500000</v>
      </c>
      <c r="BB105" s="8">
        <f t="shared" si="37"/>
        <v>500000</v>
      </c>
      <c r="BC105" s="8">
        <f t="shared" si="37"/>
        <v>500000</v>
      </c>
      <c r="BD105" s="8">
        <f t="shared" si="37"/>
        <v>500000</v>
      </c>
      <c r="BE105" s="8">
        <f t="shared" si="37"/>
        <v>500000</v>
      </c>
      <c r="BF105" s="8">
        <f t="shared" si="37"/>
        <v>500000</v>
      </c>
      <c r="BG105" s="8">
        <f t="shared" si="37"/>
        <v>500000</v>
      </c>
      <c r="BH105" s="8">
        <f t="shared" si="37"/>
        <v>500000</v>
      </c>
      <c r="BI105" s="8">
        <f t="shared" si="37"/>
        <v>500000</v>
      </c>
      <c r="BJ105" s="8">
        <f t="shared" si="37"/>
        <v>500000</v>
      </c>
      <c r="BK105" s="8">
        <f t="shared" si="37"/>
        <v>500000</v>
      </c>
      <c r="BL105" s="8">
        <f t="shared" si="37"/>
        <v>500000</v>
      </c>
      <c r="BM105" s="8">
        <f t="shared" si="37"/>
        <v>500000</v>
      </c>
      <c r="BN105" s="8">
        <f t="shared" si="37"/>
        <v>500000</v>
      </c>
      <c r="BO105" s="8">
        <f t="shared" si="37"/>
        <v>500000</v>
      </c>
      <c r="BP105" s="8">
        <f t="shared" ref="BP105:CH105" si="38">BO107</f>
        <v>500000</v>
      </c>
      <c r="BQ105" s="8">
        <f t="shared" si="38"/>
        <v>500000</v>
      </c>
      <c r="BR105" s="8">
        <f t="shared" si="38"/>
        <v>500000</v>
      </c>
      <c r="BS105" s="8">
        <f t="shared" si="38"/>
        <v>500000</v>
      </c>
      <c r="BT105" s="8">
        <f t="shared" si="38"/>
        <v>500000</v>
      </c>
      <c r="BU105" s="8">
        <f t="shared" si="38"/>
        <v>500000</v>
      </c>
      <c r="BV105" s="8">
        <f t="shared" si="38"/>
        <v>500000</v>
      </c>
      <c r="BW105" s="8">
        <f t="shared" si="38"/>
        <v>500000</v>
      </c>
      <c r="BX105" s="8">
        <f t="shared" si="38"/>
        <v>500000</v>
      </c>
      <c r="BY105" s="8">
        <f t="shared" si="38"/>
        <v>500000</v>
      </c>
      <c r="BZ105" s="8">
        <f t="shared" si="38"/>
        <v>500000</v>
      </c>
      <c r="CA105" s="8">
        <f t="shared" si="38"/>
        <v>500000</v>
      </c>
      <c r="CB105" s="8">
        <f t="shared" si="38"/>
        <v>500000</v>
      </c>
      <c r="CC105" s="8">
        <f t="shared" si="38"/>
        <v>500000</v>
      </c>
      <c r="CD105" s="8">
        <f t="shared" si="38"/>
        <v>500000</v>
      </c>
      <c r="CE105" s="8">
        <f t="shared" si="38"/>
        <v>500000</v>
      </c>
      <c r="CF105" s="8">
        <f t="shared" si="38"/>
        <v>500000</v>
      </c>
      <c r="CG105" s="8">
        <f t="shared" si="38"/>
        <v>500000</v>
      </c>
      <c r="CH105" s="8">
        <f t="shared" si="38"/>
        <v>500000</v>
      </c>
      <c r="CI105" s="23"/>
    </row>
    <row r="106" spans="1:87" ht="15" customHeight="1" x14ac:dyDescent="0.25">
      <c r="A106" s="7" t="s">
        <v>191</v>
      </c>
      <c r="B106" s="22"/>
      <c r="C106" s="8">
        <v>0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f>IF(AND(M105&gt;0,SUM(C95:K95)&gt;=Assumptions!$B$43),-MIN(Assumptions!$B$42,M105),0)</f>
        <v>-250000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f>IF(AND(Y105&gt;0,SUM(L95:W95)&gt;=Assumptions!$B$43),-MIN(Assumptions!$B$42,Y105),0)</f>
        <v>-250000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f>IF(AND(AK105&gt;0,SUM(X95:AI95)&gt;=Assumptions!$B$43),-MIN(Assumptions!$B$42,AK105),0)</f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f>IF(AND(AW105&gt;0,SUM(AJ95:AU95)&gt;=Assumptions!$B$43),-MIN(Assumptions!$B$42,AW105),0)</f>
        <v>0</v>
      </c>
      <c r="AX106" s="8">
        <v>0</v>
      </c>
      <c r="AY106" s="8">
        <v>0</v>
      </c>
      <c r="AZ106" s="8">
        <v>0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8">
        <v>0</v>
      </c>
      <c r="BG106" s="8">
        <v>0</v>
      </c>
      <c r="BH106" s="8">
        <v>0</v>
      </c>
      <c r="BI106" s="8">
        <f>IF(AND(BI105&gt;0,SUM(AV95:BG95)&gt;=Assumptions!$B$43),-MIN(Assumptions!$B$42,BI105),0)</f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0</v>
      </c>
      <c r="BO106" s="8">
        <v>0</v>
      </c>
      <c r="BP106" s="8">
        <v>0</v>
      </c>
      <c r="BQ106" s="8">
        <v>0</v>
      </c>
      <c r="BR106" s="8">
        <v>0</v>
      </c>
      <c r="BS106" s="8">
        <v>0</v>
      </c>
      <c r="BT106" s="8">
        <v>0</v>
      </c>
      <c r="BU106" s="8">
        <f>IF(AND(BU105&gt;0,SUM(BH95:BS95)&gt;=Assumptions!$B$43),-MIN(Assumptions!$B$42,BU105),0)</f>
        <v>0</v>
      </c>
      <c r="BV106" s="8">
        <v>0</v>
      </c>
      <c r="BW106" s="8">
        <v>0</v>
      </c>
      <c r="BX106" s="8">
        <v>0</v>
      </c>
      <c r="BY106" s="8">
        <v>0</v>
      </c>
      <c r="BZ106" s="8">
        <v>0</v>
      </c>
      <c r="CA106" s="8">
        <v>0</v>
      </c>
      <c r="CB106" s="8">
        <v>0</v>
      </c>
      <c r="CC106" s="8">
        <v>0</v>
      </c>
      <c r="CD106" s="8">
        <v>0</v>
      </c>
      <c r="CE106" s="8">
        <v>0</v>
      </c>
      <c r="CF106" s="8">
        <v>0</v>
      </c>
      <c r="CG106" s="8">
        <f>IF(AND(CG105&gt;0,SUM(BT95:CE95)&gt;=Assumptions!$B$43),-MIN(Assumptions!$B$42,CG105),0)</f>
        <v>0</v>
      </c>
      <c r="CH106" s="8">
        <v>0</v>
      </c>
      <c r="CI106" s="23"/>
    </row>
    <row r="107" spans="1:87" ht="15" customHeight="1" thickBot="1" x14ac:dyDescent="0.3">
      <c r="A107" s="33" t="s">
        <v>189</v>
      </c>
      <c r="B107" s="28"/>
      <c r="C107" s="32">
        <f t="shared" ref="C107:AH107" si="39">MAX(0,C105+C106)</f>
        <v>1000000</v>
      </c>
      <c r="D107" s="32">
        <f t="shared" si="39"/>
        <v>1000000</v>
      </c>
      <c r="E107" s="32">
        <f t="shared" si="39"/>
        <v>1000000</v>
      </c>
      <c r="F107" s="32">
        <f t="shared" si="39"/>
        <v>1000000</v>
      </c>
      <c r="G107" s="32">
        <f t="shared" si="39"/>
        <v>1000000</v>
      </c>
      <c r="H107" s="32">
        <f t="shared" si="39"/>
        <v>1000000</v>
      </c>
      <c r="I107" s="32">
        <f t="shared" si="39"/>
        <v>1000000</v>
      </c>
      <c r="J107" s="32">
        <f t="shared" si="39"/>
        <v>1000000</v>
      </c>
      <c r="K107" s="32">
        <f t="shared" si="39"/>
        <v>1000000</v>
      </c>
      <c r="L107" s="32">
        <f t="shared" si="39"/>
        <v>1000000</v>
      </c>
      <c r="M107" s="32">
        <f t="shared" si="39"/>
        <v>750000</v>
      </c>
      <c r="N107" s="32">
        <f t="shared" si="39"/>
        <v>750000</v>
      </c>
      <c r="O107" s="32">
        <f t="shared" si="39"/>
        <v>750000</v>
      </c>
      <c r="P107" s="32">
        <f t="shared" si="39"/>
        <v>750000</v>
      </c>
      <c r="Q107" s="32">
        <f t="shared" si="39"/>
        <v>750000</v>
      </c>
      <c r="R107" s="32">
        <f t="shared" si="39"/>
        <v>750000</v>
      </c>
      <c r="S107" s="32">
        <f t="shared" si="39"/>
        <v>750000</v>
      </c>
      <c r="T107" s="32">
        <f t="shared" si="39"/>
        <v>750000</v>
      </c>
      <c r="U107" s="32">
        <f t="shared" si="39"/>
        <v>750000</v>
      </c>
      <c r="V107" s="32">
        <f t="shared" si="39"/>
        <v>750000</v>
      </c>
      <c r="W107" s="32">
        <f t="shared" si="39"/>
        <v>750000</v>
      </c>
      <c r="X107" s="32">
        <f t="shared" si="39"/>
        <v>750000</v>
      </c>
      <c r="Y107" s="32">
        <f t="shared" si="39"/>
        <v>500000</v>
      </c>
      <c r="Z107" s="32">
        <f t="shared" si="39"/>
        <v>500000</v>
      </c>
      <c r="AA107" s="32">
        <f t="shared" si="39"/>
        <v>500000</v>
      </c>
      <c r="AB107" s="32">
        <f t="shared" si="39"/>
        <v>500000</v>
      </c>
      <c r="AC107" s="32">
        <f t="shared" si="39"/>
        <v>500000</v>
      </c>
      <c r="AD107" s="32">
        <f t="shared" si="39"/>
        <v>500000</v>
      </c>
      <c r="AE107" s="32">
        <f t="shared" si="39"/>
        <v>500000</v>
      </c>
      <c r="AF107" s="32">
        <f t="shared" si="39"/>
        <v>500000</v>
      </c>
      <c r="AG107" s="32">
        <f t="shared" si="39"/>
        <v>500000</v>
      </c>
      <c r="AH107" s="32">
        <f t="shared" si="39"/>
        <v>500000</v>
      </c>
      <c r="AI107" s="32">
        <f t="shared" ref="AI107:BN107" si="40">MAX(0,AI105+AI106)</f>
        <v>500000</v>
      </c>
      <c r="AJ107" s="32">
        <f t="shared" si="40"/>
        <v>500000</v>
      </c>
      <c r="AK107" s="32">
        <f t="shared" si="40"/>
        <v>500000</v>
      </c>
      <c r="AL107" s="32">
        <f t="shared" si="40"/>
        <v>500000</v>
      </c>
      <c r="AM107" s="32">
        <f t="shared" si="40"/>
        <v>500000</v>
      </c>
      <c r="AN107" s="32">
        <f t="shared" si="40"/>
        <v>500000</v>
      </c>
      <c r="AO107" s="32">
        <f t="shared" si="40"/>
        <v>500000</v>
      </c>
      <c r="AP107" s="32">
        <f t="shared" si="40"/>
        <v>500000</v>
      </c>
      <c r="AQ107" s="32">
        <f t="shared" si="40"/>
        <v>500000</v>
      </c>
      <c r="AR107" s="32">
        <f t="shared" si="40"/>
        <v>500000</v>
      </c>
      <c r="AS107" s="32">
        <f t="shared" si="40"/>
        <v>500000</v>
      </c>
      <c r="AT107" s="32">
        <f t="shared" si="40"/>
        <v>500000</v>
      </c>
      <c r="AU107" s="32">
        <f t="shared" si="40"/>
        <v>500000</v>
      </c>
      <c r="AV107" s="32">
        <f t="shared" si="40"/>
        <v>500000</v>
      </c>
      <c r="AW107" s="32">
        <f t="shared" si="40"/>
        <v>500000</v>
      </c>
      <c r="AX107" s="32">
        <f t="shared" si="40"/>
        <v>500000</v>
      </c>
      <c r="AY107" s="32">
        <f t="shared" si="40"/>
        <v>500000</v>
      </c>
      <c r="AZ107" s="32">
        <f t="shared" si="40"/>
        <v>500000</v>
      </c>
      <c r="BA107" s="32">
        <f t="shared" si="40"/>
        <v>500000</v>
      </c>
      <c r="BB107" s="32">
        <f t="shared" si="40"/>
        <v>500000</v>
      </c>
      <c r="BC107" s="32">
        <f t="shared" si="40"/>
        <v>500000</v>
      </c>
      <c r="BD107" s="32">
        <f t="shared" si="40"/>
        <v>500000</v>
      </c>
      <c r="BE107" s="32">
        <f t="shared" si="40"/>
        <v>500000</v>
      </c>
      <c r="BF107" s="32">
        <f t="shared" si="40"/>
        <v>500000</v>
      </c>
      <c r="BG107" s="32">
        <f t="shared" si="40"/>
        <v>500000</v>
      </c>
      <c r="BH107" s="32">
        <f t="shared" si="40"/>
        <v>500000</v>
      </c>
      <c r="BI107" s="32">
        <f t="shared" si="40"/>
        <v>500000</v>
      </c>
      <c r="BJ107" s="32">
        <f t="shared" si="40"/>
        <v>500000</v>
      </c>
      <c r="BK107" s="32">
        <f t="shared" si="40"/>
        <v>500000</v>
      </c>
      <c r="BL107" s="32">
        <f t="shared" si="40"/>
        <v>500000</v>
      </c>
      <c r="BM107" s="32">
        <f t="shared" si="40"/>
        <v>500000</v>
      </c>
      <c r="BN107" s="32">
        <f t="shared" si="40"/>
        <v>500000</v>
      </c>
      <c r="BO107" s="32">
        <f t="shared" ref="BO107:CH107" si="41">MAX(0,BO105+BO106)</f>
        <v>500000</v>
      </c>
      <c r="BP107" s="32">
        <f t="shared" si="41"/>
        <v>500000</v>
      </c>
      <c r="BQ107" s="32">
        <f t="shared" si="41"/>
        <v>500000</v>
      </c>
      <c r="BR107" s="32">
        <f t="shared" si="41"/>
        <v>500000</v>
      </c>
      <c r="BS107" s="32">
        <f t="shared" si="41"/>
        <v>500000</v>
      </c>
      <c r="BT107" s="32">
        <f t="shared" si="41"/>
        <v>500000</v>
      </c>
      <c r="BU107" s="32">
        <f t="shared" si="41"/>
        <v>500000</v>
      </c>
      <c r="BV107" s="32">
        <f t="shared" si="41"/>
        <v>500000</v>
      </c>
      <c r="BW107" s="32">
        <f t="shared" si="41"/>
        <v>500000</v>
      </c>
      <c r="BX107" s="32">
        <f t="shared" si="41"/>
        <v>500000</v>
      </c>
      <c r="BY107" s="32">
        <f t="shared" si="41"/>
        <v>500000</v>
      </c>
      <c r="BZ107" s="32">
        <f t="shared" si="41"/>
        <v>500000</v>
      </c>
      <c r="CA107" s="32">
        <f t="shared" si="41"/>
        <v>500000</v>
      </c>
      <c r="CB107" s="32">
        <f t="shared" si="41"/>
        <v>500000</v>
      </c>
      <c r="CC107" s="32">
        <f t="shared" si="41"/>
        <v>500000</v>
      </c>
      <c r="CD107" s="32">
        <f t="shared" si="41"/>
        <v>500000</v>
      </c>
      <c r="CE107" s="32">
        <f t="shared" si="41"/>
        <v>500000</v>
      </c>
      <c r="CF107" s="32">
        <f t="shared" si="41"/>
        <v>500000</v>
      </c>
      <c r="CG107" s="32">
        <f t="shared" si="41"/>
        <v>500000</v>
      </c>
      <c r="CH107" s="32">
        <f t="shared" si="41"/>
        <v>500000</v>
      </c>
      <c r="CI107" s="23"/>
    </row>
    <row r="108" spans="1:87" s="189" customFormat="1" ht="16.5" customHeight="1" x14ac:dyDescent="0.25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  <c r="AB108" s="203"/>
      <c r="AC108" s="203"/>
      <c r="AD108" s="203"/>
      <c r="AE108" s="203"/>
      <c r="AF108" s="203"/>
      <c r="AG108" s="203"/>
      <c r="AH108" s="203"/>
      <c r="AI108" s="203"/>
      <c r="AJ108" s="203"/>
      <c r="AK108" s="203"/>
      <c r="AL108" s="203"/>
      <c r="AM108" s="203"/>
      <c r="AN108" s="203"/>
      <c r="AO108" s="203"/>
      <c r="AP108" s="203"/>
      <c r="AQ108" s="203"/>
      <c r="AR108" s="203"/>
      <c r="AS108" s="203"/>
      <c r="AT108" s="203"/>
      <c r="AU108" s="203"/>
      <c r="AV108" s="203"/>
      <c r="AW108" s="203"/>
      <c r="AX108" s="203"/>
      <c r="AY108" s="203"/>
      <c r="AZ108" s="203"/>
      <c r="BA108" s="203"/>
      <c r="BB108" s="203"/>
      <c r="BC108" s="203"/>
      <c r="BD108" s="203"/>
      <c r="BE108" s="203"/>
      <c r="BF108" s="203"/>
      <c r="BG108" s="203"/>
      <c r="BH108" s="203"/>
      <c r="BI108" s="203"/>
      <c r="BJ108" s="203"/>
      <c r="BK108" s="203"/>
      <c r="BL108" s="203"/>
      <c r="BM108" s="203"/>
      <c r="BN108" s="203"/>
      <c r="BO108" s="203"/>
      <c r="BP108" s="203"/>
      <c r="BQ108" s="203"/>
      <c r="BR108" s="203"/>
      <c r="BS108" s="203"/>
      <c r="BT108" s="203"/>
      <c r="BU108" s="203"/>
      <c r="BV108" s="203"/>
      <c r="BW108" s="203"/>
      <c r="BX108" s="203"/>
      <c r="BY108" s="203"/>
      <c r="BZ108" s="203"/>
      <c r="CA108" s="203"/>
      <c r="CB108" s="203"/>
      <c r="CC108" s="203"/>
      <c r="CD108" s="203"/>
      <c r="CE108" s="203"/>
      <c r="CF108" s="203"/>
      <c r="CG108" s="203"/>
      <c r="CH108" s="203"/>
      <c r="CI108" s="187"/>
    </row>
    <row r="109" spans="1:87" ht="15" customHeight="1" x14ac:dyDescent="0.25">
      <c r="A109" s="2" t="s">
        <v>192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3"/>
    </row>
    <row r="110" spans="1:87" ht="15" customHeight="1" x14ac:dyDescent="0.25">
      <c r="A110" s="7" t="s">
        <v>193</v>
      </c>
      <c r="B110" s="7"/>
      <c r="C110" s="35">
        <f>IF(AND(Projects!$G$11="Yes",Projects!$C$11&lt;=1),Assumptions!$B$60,0)</f>
        <v>0</v>
      </c>
      <c r="D110" s="35">
        <f>IF(AND(Projects!$G$11="Yes",2=Projects!$C$11),Assumptions!$B$60,C114)</f>
        <v>0</v>
      </c>
      <c r="E110" s="35">
        <f>IF(AND(Projects!$G$11="Yes",3=Projects!$C$11),Assumptions!$B$60,D114)</f>
        <v>0</v>
      </c>
      <c r="F110" s="35">
        <f>IF(AND(Projects!$G$11="Yes",4=Projects!$C$11),Assumptions!$B$60,E114)</f>
        <v>0</v>
      </c>
      <c r="G110" s="35">
        <f>IF(AND(Projects!$G$11="Yes",5=Projects!$C$11),Assumptions!$B$60,F114)</f>
        <v>0</v>
      </c>
      <c r="H110" s="35">
        <f>IF(AND(Projects!$G$11="Yes",6=Projects!$C$11),Assumptions!$B$60,G114)</f>
        <v>0</v>
      </c>
      <c r="I110" s="35">
        <f>IF(AND(Projects!$G$11="Yes",7=Projects!$C$11),Assumptions!$B$60,H114)</f>
        <v>0</v>
      </c>
      <c r="J110" s="35">
        <f>IF(AND(Projects!$G$11="Yes",8=Projects!$C$11),Assumptions!$B$60,I114)</f>
        <v>0</v>
      </c>
      <c r="K110" s="35">
        <f>IF(AND(Projects!$G$11="Yes",9=Projects!$C$11),Assumptions!$B$60,J114)</f>
        <v>0</v>
      </c>
      <c r="L110" s="35">
        <f>IF(AND(Projects!$G$11="Yes",10=Projects!$C$11),Assumptions!$B$60,K114)</f>
        <v>0</v>
      </c>
      <c r="M110" s="35">
        <f>IF(AND(Projects!$G$11="Yes",11=Projects!$C$11),Assumptions!$B$60,L114)</f>
        <v>0</v>
      </c>
      <c r="N110" s="35">
        <f>IF(AND(Projects!$G$11="Yes",12=Projects!$C$11),Assumptions!$B$60,M114)</f>
        <v>0</v>
      </c>
      <c r="O110" s="35">
        <f>IF(AND(Projects!$G$11="Yes",13=Projects!$C$11),Assumptions!$B$60,N114)</f>
        <v>0</v>
      </c>
      <c r="P110" s="35">
        <f>IF(AND(Projects!$G$11="Yes",14=Projects!$C$11),Assumptions!$B$60,O114)</f>
        <v>0</v>
      </c>
      <c r="Q110" s="35">
        <f>IF(AND(Projects!$G$11="Yes",15=Projects!$C$11),Assumptions!$B$60,P114)</f>
        <v>0</v>
      </c>
      <c r="R110" s="35">
        <f>IF(AND(Projects!$G$11="Yes",16=Projects!$C$11),Assumptions!$B$60,Q114)</f>
        <v>0</v>
      </c>
      <c r="S110" s="35">
        <f>IF(AND(Projects!$G$11="Yes",17=Projects!$C$11),Assumptions!$B$60,R114)</f>
        <v>0</v>
      </c>
      <c r="T110" s="35">
        <f>IF(AND(Projects!$G$11="Yes",18=Projects!$C$11),Assumptions!$B$60,S114)</f>
        <v>0</v>
      </c>
      <c r="U110" s="35">
        <f>IF(AND(Projects!$G$11="Yes",19=Projects!$C$11),Assumptions!$B$60,T114)</f>
        <v>0</v>
      </c>
      <c r="V110" s="35">
        <f>IF(AND(Projects!$G$11="Yes",20=Projects!$C$11),Assumptions!$B$60,U114)</f>
        <v>0</v>
      </c>
      <c r="W110" s="35">
        <f>IF(AND(Projects!$G$11="Yes",21=Projects!$C$11),Assumptions!$B$60,V114)</f>
        <v>0</v>
      </c>
      <c r="X110" s="35">
        <f>IF(AND(Projects!$G$11="Yes",22=Projects!$C$11),Assumptions!$B$60,W114)</f>
        <v>0</v>
      </c>
      <c r="Y110" s="35">
        <f>IF(AND(Projects!$G$11="Yes",23=Projects!$C$11),Assumptions!$B$60,X114)</f>
        <v>0</v>
      </c>
      <c r="Z110" s="35">
        <f>IF(AND(Projects!$G$11="Yes",24=Projects!$C$11),Assumptions!$B$60,Y114)</f>
        <v>0</v>
      </c>
      <c r="AA110" s="35">
        <f>IF(AND(Projects!$G$11="Yes",25=Projects!$C$11),Assumptions!$B$60,Z114)</f>
        <v>0</v>
      </c>
      <c r="AB110" s="35">
        <f>IF(AND(Projects!$G$11="Yes",26=Projects!$C$11),Assumptions!$B$60,AA114)</f>
        <v>0</v>
      </c>
      <c r="AC110" s="35">
        <f>IF(AND(Projects!$G$11="Yes",27=Projects!$C$11),Assumptions!$B$60,AB114)</f>
        <v>0</v>
      </c>
      <c r="AD110" s="35">
        <f>IF(AND(Projects!$G$11="Yes",28=Projects!$C$11),Assumptions!$B$60,AC114)</f>
        <v>0</v>
      </c>
      <c r="AE110" s="35">
        <f>IF(AND(Projects!$G$11="Yes",29=Projects!$C$11),Assumptions!$B$60,AD114)</f>
        <v>0</v>
      </c>
      <c r="AF110" s="35">
        <f>IF(AND(Projects!$G$11="Yes",30=Projects!$C$11),Assumptions!$B$60,AE114)</f>
        <v>0</v>
      </c>
      <c r="AG110" s="35">
        <f>IF(AND(Projects!$G$11="Yes",31=Projects!$C$11),Assumptions!$B$60,AF114)</f>
        <v>0</v>
      </c>
      <c r="AH110" s="35">
        <f>IF(AND(Projects!$G$11="Yes",32=Projects!$C$11),Assumptions!$B$60,AG114)</f>
        <v>0</v>
      </c>
      <c r="AI110" s="35">
        <f>IF(AND(Projects!$G$11="Yes",33=Projects!$C$11),Assumptions!$B$60,AH114)</f>
        <v>0</v>
      </c>
      <c r="AJ110" s="35">
        <f>IF(AND(Projects!$G$11="Yes",34=Projects!$C$11),Assumptions!$B$60,AI114)</f>
        <v>0</v>
      </c>
      <c r="AK110" s="35">
        <f>IF(AND(Projects!$G$11="Yes",35=Projects!$C$11),Assumptions!$B$60,AJ114)</f>
        <v>0</v>
      </c>
      <c r="AL110" s="35">
        <f>IF(AND(Projects!$G$11="Yes",36=Projects!$C$11),Assumptions!$B$60,AK114)</f>
        <v>0</v>
      </c>
      <c r="AM110" s="35">
        <f>IF(AND(Projects!$G$11="Yes",37=Projects!$C$11),Assumptions!$B$60,AL114)</f>
        <v>0</v>
      </c>
      <c r="AN110" s="35">
        <f>IF(AND(Projects!$G$11="Yes",38=Projects!$C$11),Assumptions!$B$60,AM114)</f>
        <v>0</v>
      </c>
      <c r="AO110" s="35">
        <f>IF(AND(Projects!$G$11="Yes",39=Projects!$C$11),Assumptions!$B$60,AN114)</f>
        <v>0</v>
      </c>
      <c r="AP110" s="35">
        <f>IF(AND(Projects!$G$11="Yes",40=Projects!$C$11),Assumptions!$B$60,AO114)</f>
        <v>0</v>
      </c>
      <c r="AQ110" s="35">
        <f>IF(AND(Projects!$G$11="Yes",41=Projects!$C$11),Assumptions!$B$60,AP114)</f>
        <v>0</v>
      </c>
      <c r="AR110" s="35">
        <f>IF(AND(Projects!$G$11="Yes",42=Projects!$C$11),Assumptions!$B$60,AQ114)</f>
        <v>0</v>
      </c>
      <c r="AS110" s="35">
        <f>IF(AND(Projects!$G$11="Yes",43=Projects!$C$11),Assumptions!$B$60,AR114)</f>
        <v>0</v>
      </c>
      <c r="AT110" s="35">
        <f>IF(AND(Projects!$G$11="Yes",44=Projects!$C$11),Assumptions!$B$60,AS114)</f>
        <v>0</v>
      </c>
      <c r="AU110" s="35">
        <f>IF(AND(Projects!$G$11="Yes",45=Projects!$C$11),Assumptions!$B$60,AT114)</f>
        <v>0</v>
      </c>
      <c r="AV110" s="35">
        <f>IF(AND(Projects!$G$11="Yes",46=Projects!$C$11),Assumptions!$B$60,AU114)</f>
        <v>0</v>
      </c>
      <c r="AW110" s="35">
        <f>IF(AND(Projects!$G$11="Yes",47=Projects!$C$11),Assumptions!$B$60,AV114)</f>
        <v>0</v>
      </c>
      <c r="AX110" s="35">
        <f>IF(AND(Projects!$G$11="Yes",48=Projects!$C$11),Assumptions!$B$60,AW114)</f>
        <v>0</v>
      </c>
      <c r="AY110" s="35">
        <f>IF(AND(Projects!$G$11="Yes",49=Projects!$C$11),Assumptions!$B$60,AX114)</f>
        <v>0</v>
      </c>
      <c r="AZ110" s="35">
        <f>IF(AND(Projects!$G$11="Yes",50=Projects!$C$11),Assumptions!$B$60,AY114)</f>
        <v>0</v>
      </c>
      <c r="BA110" s="35">
        <f>IF(AND(Projects!$G$11="Yes",51=Projects!$C$11),Assumptions!$B$60,AZ114)</f>
        <v>0</v>
      </c>
      <c r="BB110" s="35">
        <f>IF(AND(Projects!$G$11="Yes",52=Projects!$C$11),Assumptions!$B$60,BA114)</f>
        <v>0</v>
      </c>
      <c r="BC110" s="35">
        <f>IF(AND(Projects!$G$11="Yes",53=Projects!$C$11),Assumptions!$B$60,BB114)</f>
        <v>0</v>
      </c>
      <c r="BD110" s="35">
        <f>IF(AND(Projects!$G$11="Yes",54=Projects!$C$11),Assumptions!$B$60,BC114)</f>
        <v>0</v>
      </c>
      <c r="BE110" s="35">
        <f>IF(AND(Projects!$G$11="Yes",55=Projects!$C$11),Assumptions!$B$60,BD114)</f>
        <v>0</v>
      </c>
      <c r="BF110" s="35">
        <f>IF(AND(Projects!$G$11="Yes",56=Projects!$C$11),Assumptions!$B$60,BE114)</f>
        <v>0</v>
      </c>
      <c r="BG110" s="35">
        <f>IF(AND(Projects!$G$11="Yes",57=Projects!$C$11),Assumptions!$B$60,BF114)</f>
        <v>0</v>
      </c>
      <c r="BH110" s="35">
        <f>IF(AND(Projects!$G$11="Yes",58=Projects!$C$11),Assumptions!$B$60,BG114)</f>
        <v>0</v>
      </c>
      <c r="BI110" s="35">
        <f>IF(AND(Projects!$G$11="Yes",59=Projects!$C$11),Assumptions!$B$60,BH114)</f>
        <v>0</v>
      </c>
      <c r="BJ110" s="35">
        <f>IF(AND(Projects!$G$11="Yes",60=Projects!$C$11),Assumptions!$B$60,BI114)</f>
        <v>0</v>
      </c>
      <c r="BK110" s="35">
        <f>IF(AND(Projects!$G$11="Yes",61=Projects!$C$11),Assumptions!$B$60,BJ114)</f>
        <v>0</v>
      </c>
      <c r="BL110" s="35">
        <f>IF(AND(Projects!$G$11="Yes",62=Projects!$C$11),Assumptions!$B$60,BK114)</f>
        <v>0</v>
      </c>
      <c r="BM110" s="35">
        <f>IF(AND(Projects!$G$11="Yes",63=Projects!$C$11),Assumptions!$B$60,BL114)</f>
        <v>0</v>
      </c>
      <c r="BN110" s="35">
        <f>IF(AND(Projects!$G$11="Yes",64=Projects!$C$11),Assumptions!$B$60,BM114)</f>
        <v>0</v>
      </c>
      <c r="BO110" s="35">
        <f>IF(AND(Projects!$G$11="Yes",65=Projects!$C$11),Assumptions!$B$60,BN114)</f>
        <v>0</v>
      </c>
      <c r="BP110" s="35">
        <f>IF(AND(Projects!$G$11="Yes",66=Projects!$C$11),Assumptions!$B$60,BO114)</f>
        <v>0</v>
      </c>
      <c r="BQ110" s="35">
        <f>IF(AND(Projects!$G$11="Yes",67=Projects!$C$11),Assumptions!$B$60,BP114)</f>
        <v>0</v>
      </c>
      <c r="BR110" s="35">
        <f>IF(AND(Projects!$G$11="Yes",68=Projects!$C$11),Assumptions!$B$60,BQ114)</f>
        <v>0</v>
      </c>
      <c r="BS110" s="35">
        <f>IF(AND(Projects!$G$11="Yes",69=Projects!$C$11),Assumptions!$B$60,BR114)</f>
        <v>0</v>
      </c>
      <c r="BT110" s="35">
        <f>IF(AND(Projects!$G$11="Yes",70=Projects!$C$11),Assumptions!$B$60,BS114)</f>
        <v>0</v>
      </c>
      <c r="BU110" s="35">
        <f>IF(AND(Projects!$G$11="Yes",71=Projects!$C$11),Assumptions!$B$60,BT114)</f>
        <v>0</v>
      </c>
      <c r="BV110" s="35">
        <f>IF(AND(Projects!$G$11="Yes",72=Projects!$C$11),Assumptions!$B$60,BU114)</f>
        <v>0</v>
      </c>
      <c r="BW110" s="35">
        <f>IF(AND(Projects!$G$11="Yes",73=Projects!$C$11),Assumptions!$B$60,BV114)</f>
        <v>0</v>
      </c>
      <c r="BX110" s="35">
        <f>IF(AND(Projects!$G$11="Yes",74=Projects!$C$11),Assumptions!$B$60,BW114)</f>
        <v>0</v>
      </c>
      <c r="BY110" s="35">
        <f>IF(AND(Projects!$G$11="Yes",75=Projects!$C$11),Assumptions!$B$60,BX114)</f>
        <v>0</v>
      </c>
      <c r="BZ110" s="35">
        <f>IF(AND(Projects!$G$11="Yes",76=Projects!$C$11),Assumptions!$B$60,BY114)</f>
        <v>0</v>
      </c>
      <c r="CA110" s="35">
        <f>IF(AND(Projects!$G$11="Yes",77=Projects!$C$11),Assumptions!$B$60,BZ114)</f>
        <v>0</v>
      </c>
      <c r="CB110" s="35">
        <f>IF(AND(Projects!$G$11="Yes",78=Projects!$C$11),Assumptions!$B$60,CA114)</f>
        <v>0</v>
      </c>
      <c r="CC110" s="35">
        <f>IF(AND(Projects!$G$11="Yes",79=Projects!$C$11),Assumptions!$B$60,CB114)</f>
        <v>0</v>
      </c>
      <c r="CD110" s="35">
        <f>IF(AND(Projects!$G$11="Yes",80=Projects!$C$11),Assumptions!$B$60,CC114)</f>
        <v>0</v>
      </c>
      <c r="CE110" s="35">
        <f>IF(AND(Projects!$G$11="Yes",81=Projects!$C$11),Assumptions!$B$60,CD114)</f>
        <v>0</v>
      </c>
      <c r="CF110" s="35">
        <f>IF(AND(Projects!$G$11="Yes",82=Projects!$C$11),Assumptions!$B$60,CE114)</f>
        <v>0</v>
      </c>
      <c r="CG110" s="35">
        <f>IF(AND(Projects!$G$11="Yes",83=Projects!$C$11),Assumptions!$B$60,CF114)</f>
        <v>0</v>
      </c>
      <c r="CH110" s="35">
        <f>IF(AND(Projects!$G$11="Yes",84=Projects!$C$11),Assumptions!$B$60,CG114)</f>
        <v>0</v>
      </c>
      <c r="CI110" s="23"/>
    </row>
    <row r="111" spans="1:87" ht="15" customHeight="1" x14ac:dyDescent="0.25">
      <c r="A111" s="7" t="s">
        <v>194</v>
      </c>
      <c r="B111" s="7"/>
      <c r="C111" s="35">
        <f>IF(AND(MOD(1,3)=0,C110&gt;0),C110*Assumptions!$B$59,0)</f>
        <v>0</v>
      </c>
      <c r="D111" s="35">
        <f>IF(AND(MOD(2,3)=0,D110&gt;0),D110*Assumptions!$B$59,0)</f>
        <v>0</v>
      </c>
      <c r="E111" s="35">
        <f>IF(AND(MOD(3,3)=0,E110&gt;0),E110*Assumptions!$B$59,0)</f>
        <v>0</v>
      </c>
      <c r="F111" s="35">
        <f>IF(AND(MOD(4,3)=0,F110&gt;0),F110*Assumptions!$B$59,0)</f>
        <v>0</v>
      </c>
      <c r="G111" s="35">
        <f>IF(AND(MOD(5,3)=0,G110&gt;0),G110*Assumptions!$B$59,0)</f>
        <v>0</v>
      </c>
      <c r="H111" s="35">
        <f>IF(AND(MOD(6,3)=0,H110&gt;0),H110*Assumptions!$B$59,0)</f>
        <v>0</v>
      </c>
      <c r="I111" s="35">
        <f>IF(AND(MOD(7,3)=0,I110&gt;0),I110*Assumptions!$B$59,0)</f>
        <v>0</v>
      </c>
      <c r="J111" s="35">
        <f>IF(AND(MOD(8,3)=0,J110&gt;0),J110*Assumptions!$B$59,0)</f>
        <v>0</v>
      </c>
      <c r="K111" s="35">
        <f>IF(AND(MOD(9,3)=0,K110&gt;0),K110*Assumptions!$B$59,0)</f>
        <v>0</v>
      </c>
      <c r="L111" s="35">
        <f>IF(AND(MOD(10,3)=0,L110&gt;0),L110*Assumptions!$B$59,0)</f>
        <v>0</v>
      </c>
      <c r="M111" s="35">
        <f>IF(AND(MOD(11,3)=0,M110&gt;0),M110*Assumptions!$B$59,0)</f>
        <v>0</v>
      </c>
      <c r="N111" s="35">
        <f>IF(AND(MOD(12,3)=0,N110&gt;0),N110*Assumptions!$B$59,0)</f>
        <v>0</v>
      </c>
      <c r="O111" s="35">
        <f>IF(AND(MOD(13,3)=0,O110&gt;0),O110*Assumptions!$B$59,0)</f>
        <v>0</v>
      </c>
      <c r="P111" s="35">
        <f>IF(AND(MOD(14,3)=0,P110&gt;0),P110*Assumptions!$B$59,0)</f>
        <v>0</v>
      </c>
      <c r="Q111" s="35">
        <f>IF(AND(MOD(15,3)=0,Q110&gt;0),Q110*Assumptions!$B$59,0)</f>
        <v>0</v>
      </c>
      <c r="R111" s="35">
        <f>IF(AND(MOD(16,3)=0,R110&gt;0),R110*Assumptions!$B$59,0)</f>
        <v>0</v>
      </c>
      <c r="S111" s="35">
        <f>IF(AND(MOD(17,3)=0,S110&gt;0),S110*Assumptions!$B$59,0)</f>
        <v>0</v>
      </c>
      <c r="T111" s="35">
        <f>IF(AND(MOD(18,3)=0,T110&gt;0),T110*Assumptions!$B$59,0)</f>
        <v>0</v>
      </c>
      <c r="U111" s="35">
        <f>IF(AND(MOD(19,3)=0,U110&gt;0),U110*Assumptions!$B$59,0)</f>
        <v>0</v>
      </c>
      <c r="V111" s="35">
        <f>IF(AND(MOD(20,3)=0,V110&gt;0),V110*Assumptions!$B$59,0)</f>
        <v>0</v>
      </c>
      <c r="W111" s="35">
        <f>IF(AND(MOD(21,3)=0,W110&gt;0),W110*Assumptions!$B$59,0)</f>
        <v>0</v>
      </c>
      <c r="X111" s="35">
        <f>IF(AND(MOD(22,3)=0,X110&gt;0),X110*Assumptions!$B$59,0)</f>
        <v>0</v>
      </c>
      <c r="Y111" s="35">
        <f>IF(AND(MOD(23,3)=0,Y110&gt;0),Y110*Assumptions!$B$59,0)</f>
        <v>0</v>
      </c>
      <c r="Z111" s="35">
        <f>IF(AND(MOD(24,3)=0,Z110&gt;0),Z110*Assumptions!$B$59,0)</f>
        <v>0</v>
      </c>
      <c r="AA111" s="35">
        <f>IF(AND(MOD(25,3)=0,AA110&gt;0),AA110*Assumptions!$B$59,0)</f>
        <v>0</v>
      </c>
      <c r="AB111" s="35">
        <f>IF(AND(MOD(26,3)=0,AB110&gt;0),AB110*Assumptions!$B$59,0)</f>
        <v>0</v>
      </c>
      <c r="AC111" s="35">
        <f>IF(AND(MOD(27,3)=0,AC110&gt;0),AC110*Assumptions!$B$59,0)</f>
        <v>0</v>
      </c>
      <c r="AD111" s="35">
        <f>IF(AND(MOD(28,3)=0,AD110&gt;0),AD110*Assumptions!$B$59,0)</f>
        <v>0</v>
      </c>
      <c r="AE111" s="35">
        <f>IF(AND(MOD(29,3)=0,AE110&gt;0),AE110*Assumptions!$B$59,0)</f>
        <v>0</v>
      </c>
      <c r="AF111" s="35">
        <f>IF(AND(MOD(30,3)=0,AF110&gt;0),AF110*Assumptions!$B$59,0)</f>
        <v>0</v>
      </c>
      <c r="AG111" s="35">
        <f>IF(AND(MOD(31,3)=0,AG110&gt;0),AG110*Assumptions!$B$59,0)</f>
        <v>0</v>
      </c>
      <c r="AH111" s="35">
        <f>IF(AND(MOD(32,3)=0,AH110&gt;0),AH110*Assumptions!$B$59,0)</f>
        <v>0</v>
      </c>
      <c r="AI111" s="35">
        <f>IF(AND(MOD(33,3)=0,AI110&gt;0),AI110*Assumptions!$B$59,0)</f>
        <v>0</v>
      </c>
      <c r="AJ111" s="35">
        <f>IF(AND(MOD(34,3)=0,AJ110&gt;0),AJ110*Assumptions!$B$59,0)</f>
        <v>0</v>
      </c>
      <c r="AK111" s="35">
        <f>IF(AND(MOD(35,3)=0,AK110&gt;0),AK110*Assumptions!$B$59,0)</f>
        <v>0</v>
      </c>
      <c r="AL111" s="35">
        <f>IF(AND(MOD(36,3)=0,AL110&gt;0),AL110*Assumptions!$B$59,0)</f>
        <v>0</v>
      </c>
      <c r="AM111" s="35">
        <f>IF(AND(MOD(37,3)=0,AM110&gt;0),AM110*Assumptions!$B$59,0)</f>
        <v>0</v>
      </c>
      <c r="AN111" s="35">
        <f>IF(AND(MOD(38,3)=0,AN110&gt;0),AN110*Assumptions!$B$59,0)</f>
        <v>0</v>
      </c>
      <c r="AO111" s="35">
        <f>IF(AND(MOD(39,3)=0,AO110&gt;0),AO110*Assumptions!$B$59,0)</f>
        <v>0</v>
      </c>
      <c r="AP111" s="35">
        <f>IF(AND(MOD(40,3)=0,AP110&gt;0),AP110*Assumptions!$B$59,0)</f>
        <v>0</v>
      </c>
      <c r="AQ111" s="35">
        <f>IF(AND(MOD(41,3)=0,AQ110&gt;0),AQ110*Assumptions!$B$59,0)</f>
        <v>0</v>
      </c>
      <c r="AR111" s="35">
        <f>IF(AND(MOD(42,3)=0,AR110&gt;0),AR110*Assumptions!$B$59,0)</f>
        <v>0</v>
      </c>
      <c r="AS111" s="35">
        <f>IF(AND(MOD(43,3)=0,AS110&gt;0),AS110*Assumptions!$B$59,0)</f>
        <v>0</v>
      </c>
      <c r="AT111" s="35">
        <f>IF(AND(MOD(44,3)=0,AT110&gt;0),AT110*Assumptions!$B$59,0)</f>
        <v>0</v>
      </c>
      <c r="AU111" s="35">
        <f>IF(AND(MOD(45,3)=0,AU110&gt;0),AU110*Assumptions!$B$59,0)</f>
        <v>0</v>
      </c>
      <c r="AV111" s="35">
        <f>IF(AND(MOD(46,3)=0,AV110&gt;0),AV110*Assumptions!$B$59,0)</f>
        <v>0</v>
      </c>
      <c r="AW111" s="35">
        <f>IF(AND(MOD(47,3)=0,AW110&gt;0),AW110*Assumptions!$B$59,0)</f>
        <v>0</v>
      </c>
      <c r="AX111" s="35">
        <f>IF(AND(MOD(48,3)=0,AX110&gt;0),AX110*Assumptions!$B$59,0)</f>
        <v>0</v>
      </c>
      <c r="AY111" s="35">
        <f>IF(AND(MOD(49,3)=0,AY110&gt;0),AY110*Assumptions!$B$59,0)</f>
        <v>0</v>
      </c>
      <c r="AZ111" s="35">
        <f>IF(AND(MOD(50,3)=0,AZ110&gt;0),AZ110*Assumptions!$B$59,0)</f>
        <v>0</v>
      </c>
      <c r="BA111" s="35">
        <f>IF(AND(MOD(51,3)=0,BA110&gt;0),BA110*Assumptions!$B$59,0)</f>
        <v>0</v>
      </c>
      <c r="BB111" s="35">
        <f>IF(AND(MOD(52,3)=0,BB110&gt;0),BB110*Assumptions!$B$59,0)</f>
        <v>0</v>
      </c>
      <c r="BC111" s="35">
        <f>IF(AND(MOD(53,3)=0,BC110&gt;0),BC110*Assumptions!$B$59,0)</f>
        <v>0</v>
      </c>
      <c r="BD111" s="35">
        <f>IF(AND(MOD(54,3)=0,BD110&gt;0),BD110*Assumptions!$B$59,0)</f>
        <v>0</v>
      </c>
      <c r="BE111" s="35">
        <f>IF(AND(MOD(55,3)=0,BE110&gt;0),BE110*Assumptions!$B$59,0)</f>
        <v>0</v>
      </c>
      <c r="BF111" s="35">
        <f>IF(AND(MOD(56,3)=0,BF110&gt;0),BF110*Assumptions!$B$59,0)</f>
        <v>0</v>
      </c>
      <c r="BG111" s="35">
        <f>IF(AND(MOD(57,3)=0,BG110&gt;0),BG110*Assumptions!$B$59,0)</f>
        <v>0</v>
      </c>
      <c r="BH111" s="35">
        <f>IF(AND(MOD(58,3)=0,BH110&gt;0),BH110*Assumptions!$B$59,0)</f>
        <v>0</v>
      </c>
      <c r="BI111" s="35">
        <f>IF(AND(MOD(59,3)=0,BI110&gt;0),BI110*Assumptions!$B$59,0)</f>
        <v>0</v>
      </c>
      <c r="BJ111" s="35">
        <f>IF(AND(MOD(60,3)=0,BJ110&gt;0),BJ110*Assumptions!$B$59,0)</f>
        <v>0</v>
      </c>
      <c r="BK111" s="35">
        <f>IF(AND(MOD(61,3)=0,BK110&gt;0),BK110*Assumptions!$B$59,0)</f>
        <v>0</v>
      </c>
      <c r="BL111" s="35">
        <f>IF(AND(MOD(62,3)=0,BL110&gt;0),BL110*Assumptions!$B$59,0)</f>
        <v>0</v>
      </c>
      <c r="BM111" s="35">
        <f>IF(AND(MOD(63,3)=0,BM110&gt;0),BM110*Assumptions!$B$59,0)</f>
        <v>0</v>
      </c>
      <c r="BN111" s="35">
        <f>IF(AND(MOD(64,3)=0,BN110&gt;0),BN110*Assumptions!$B$59,0)</f>
        <v>0</v>
      </c>
      <c r="BO111" s="35">
        <f>IF(AND(MOD(65,3)=0,BO110&gt;0),BO110*Assumptions!$B$59,0)</f>
        <v>0</v>
      </c>
      <c r="BP111" s="35">
        <f>IF(AND(MOD(66,3)=0,BP110&gt;0),BP110*Assumptions!$B$59,0)</f>
        <v>0</v>
      </c>
      <c r="BQ111" s="35">
        <f>IF(AND(MOD(67,3)=0,BQ110&gt;0),BQ110*Assumptions!$B$59,0)</f>
        <v>0</v>
      </c>
      <c r="BR111" s="35">
        <f>IF(AND(MOD(68,3)=0,BR110&gt;0),BR110*Assumptions!$B$59,0)</f>
        <v>0</v>
      </c>
      <c r="BS111" s="35">
        <f>IF(AND(MOD(69,3)=0,BS110&gt;0),BS110*Assumptions!$B$59,0)</f>
        <v>0</v>
      </c>
      <c r="BT111" s="35">
        <f>IF(AND(MOD(70,3)=0,BT110&gt;0),BT110*Assumptions!$B$59,0)</f>
        <v>0</v>
      </c>
      <c r="BU111" s="35">
        <f>IF(AND(MOD(71,3)=0,BU110&gt;0),BU110*Assumptions!$B$59,0)</f>
        <v>0</v>
      </c>
      <c r="BV111" s="35">
        <f>IF(AND(MOD(72,3)=0,BV110&gt;0),BV110*Assumptions!$B$59,0)</f>
        <v>0</v>
      </c>
      <c r="BW111" s="35">
        <f>IF(AND(MOD(73,3)=0,BW110&gt;0),BW110*Assumptions!$B$59,0)</f>
        <v>0</v>
      </c>
      <c r="BX111" s="35">
        <f>IF(AND(MOD(74,3)=0,BX110&gt;0),BX110*Assumptions!$B$59,0)</f>
        <v>0</v>
      </c>
      <c r="BY111" s="35">
        <f>IF(AND(MOD(75,3)=0,BY110&gt;0),BY110*Assumptions!$B$59,0)</f>
        <v>0</v>
      </c>
      <c r="BZ111" s="35">
        <f>IF(AND(MOD(76,3)=0,BZ110&gt;0),BZ110*Assumptions!$B$59,0)</f>
        <v>0</v>
      </c>
      <c r="CA111" s="35">
        <f>IF(AND(MOD(77,3)=0,CA110&gt;0),CA110*Assumptions!$B$59,0)</f>
        <v>0</v>
      </c>
      <c r="CB111" s="35">
        <f>IF(AND(MOD(78,3)=0,CB110&gt;0),CB110*Assumptions!$B$59,0)</f>
        <v>0</v>
      </c>
      <c r="CC111" s="35">
        <f>IF(AND(MOD(79,3)=0,CC110&gt;0),CC110*Assumptions!$B$59,0)</f>
        <v>0</v>
      </c>
      <c r="CD111" s="35">
        <f>IF(AND(MOD(80,3)=0,CD110&gt;0),CD110*Assumptions!$B$59,0)</f>
        <v>0</v>
      </c>
      <c r="CE111" s="35">
        <f>IF(AND(MOD(81,3)=0,CE110&gt;0),CE110*Assumptions!$B$59,0)</f>
        <v>0</v>
      </c>
      <c r="CF111" s="35">
        <f>IF(AND(MOD(82,3)=0,CF110&gt;0),CF110*Assumptions!$B$59,0)</f>
        <v>0</v>
      </c>
      <c r="CG111" s="35">
        <f>IF(AND(MOD(83,3)=0,CG110&gt;0),CG110*Assumptions!$B$59,0)</f>
        <v>0</v>
      </c>
      <c r="CH111" s="35">
        <f>IF(AND(MOD(84,3)=0,CH110&gt;0),CH110*Assumptions!$B$59,0)</f>
        <v>0</v>
      </c>
      <c r="CI111" s="23"/>
    </row>
    <row r="112" spans="1:87" ht="15" customHeight="1" x14ac:dyDescent="0.25">
      <c r="A112" s="7" t="s">
        <v>195</v>
      </c>
      <c r="B112" s="7"/>
      <c r="C112" s="35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  <c r="W112" s="35">
        <v>0</v>
      </c>
      <c r="X112" s="35">
        <v>0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>
        <v>0</v>
      </c>
      <c r="AI112" s="35">
        <v>0</v>
      </c>
      <c r="AJ112" s="35">
        <v>0</v>
      </c>
      <c r="AK112" s="35">
        <v>0</v>
      </c>
      <c r="AL112" s="35">
        <v>0</v>
      </c>
      <c r="AM112" s="35">
        <v>0</v>
      </c>
      <c r="AN112" s="35">
        <v>0</v>
      </c>
      <c r="AO112" s="35">
        <v>0</v>
      </c>
      <c r="AP112" s="35">
        <v>0</v>
      </c>
      <c r="AQ112" s="35">
        <v>0</v>
      </c>
      <c r="AR112" s="35">
        <v>0</v>
      </c>
      <c r="AS112" s="35">
        <v>0</v>
      </c>
      <c r="AT112" s="35">
        <v>0</v>
      </c>
      <c r="AU112" s="35">
        <v>0</v>
      </c>
      <c r="AV112" s="35">
        <v>0</v>
      </c>
      <c r="AW112" s="35">
        <v>0</v>
      </c>
      <c r="AX112" s="35">
        <v>0</v>
      </c>
      <c r="AY112" s="35">
        <v>0</v>
      </c>
      <c r="AZ112" s="35">
        <v>0</v>
      </c>
      <c r="BA112" s="35">
        <v>0</v>
      </c>
      <c r="BB112" s="35">
        <v>0</v>
      </c>
      <c r="BC112" s="35">
        <v>0</v>
      </c>
      <c r="BD112" s="35">
        <v>0</v>
      </c>
      <c r="BE112" s="35">
        <v>0</v>
      </c>
      <c r="BF112" s="35">
        <v>0</v>
      </c>
      <c r="BG112" s="35">
        <v>0</v>
      </c>
      <c r="BH112" s="35">
        <v>0</v>
      </c>
      <c r="BI112" s="35">
        <v>0</v>
      </c>
      <c r="BJ112" s="35">
        <v>0</v>
      </c>
      <c r="BK112" s="35">
        <v>0</v>
      </c>
      <c r="BL112" s="35">
        <v>0</v>
      </c>
      <c r="BM112" s="35">
        <v>0</v>
      </c>
      <c r="BN112" s="35">
        <v>0</v>
      </c>
      <c r="BO112" s="35">
        <v>0</v>
      </c>
      <c r="BP112" s="35">
        <v>0</v>
      </c>
      <c r="BQ112" s="35">
        <v>0</v>
      </c>
      <c r="BR112" s="35">
        <v>0</v>
      </c>
      <c r="BS112" s="35">
        <v>0</v>
      </c>
      <c r="BT112" s="35">
        <v>0</v>
      </c>
      <c r="BU112" s="35">
        <v>0</v>
      </c>
      <c r="BV112" s="35">
        <v>0</v>
      </c>
      <c r="BW112" s="35">
        <v>0</v>
      </c>
      <c r="BX112" s="35">
        <v>0</v>
      </c>
      <c r="BY112" s="35">
        <v>0</v>
      </c>
      <c r="BZ112" s="35">
        <v>0</v>
      </c>
      <c r="CA112" s="35">
        <v>0</v>
      </c>
      <c r="CB112" s="35">
        <v>0</v>
      </c>
      <c r="CC112" s="35">
        <v>0</v>
      </c>
      <c r="CD112" s="35">
        <v>0</v>
      </c>
      <c r="CE112" s="35">
        <v>0</v>
      </c>
      <c r="CF112" s="35">
        <v>0</v>
      </c>
      <c r="CG112" s="35">
        <v>0</v>
      </c>
      <c r="CH112" s="35">
        <v>0</v>
      </c>
      <c r="CI112" s="23"/>
    </row>
    <row r="113" spans="1:87" ht="15" customHeight="1" x14ac:dyDescent="0.25">
      <c r="A113" s="193" t="s">
        <v>196</v>
      </c>
      <c r="B113" s="193"/>
      <c r="C113" s="194">
        <v>0</v>
      </c>
      <c r="D113" s="194">
        <v>0</v>
      </c>
      <c r="E113" s="194">
        <v>0</v>
      </c>
      <c r="F113" s="194">
        <v>0</v>
      </c>
      <c r="G113" s="194">
        <v>0</v>
      </c>
      <c r="H113" s="194">
        <v>0</v>
      </c>
      <c r="I113" s="194">
        <v>0</v>
      </c>
      <c r="J113" s="194">
        <v>0</v>
      </c>
      <c r="K113" s="194">
        <v>0</v>
      </c>
      <c r="L113" s="194">
        <v>0</v>
      </c>
      <c r="M113" s="194">
        <v>0</v>
      </c>
      <c r="N113" s="194">
        <v>0</v>
      </c>
      <c r="O113" s="194">
        <v>0</v>
      </c>
      <c r="P113" s="194">
        <v>0</v>
      </c>
      <c r="Q113" s="194">
        <v>0</v>
      </c>
      <c r="R113" s="194">
        <v>0</v>
      </c>
      <c r="S113" s="194">
        <v>0</v>
      </c>
      <c r="T113" s="194">
        <v>0</v>
      </c>
      <c r="U113" s="194">
        <v>0</v>
      </c>
      <c r="V113" s="194">
        <v>0</v>
      </c>
      <c r="W113" s="194">
        <v>0</v>
      </c>
      <c r="X113" s="194">
        <v>0</v>
      </c>
      <c r="Y113" s="194">
        <v>0</v>
      </c>
      <c r="Z113" s="194">
        <v>0</v>
      </c>
      <c r="AA113" s="194">
        <v>0</v>
      </c>
      <c r="AB113" s="194">
        <v>0</v>
      </c>
      <c r="AC113" s="194">
        <v>0</v>
      </c>
      <c r="AD113" s="194">
        <v>0</v>
      </c>
      <c r="AE113" s="194">
        <v>0</v>
      </c>
      <c r="AF113" s="194">
        <v>0</v>
      </c>
      <c r="AG113" s="194">
        <v>0</v>
      </c>
      <c r="AH113" s="194">
        <v>0</v>
      </c>
      <c r="AI113" s="194">
        <v>0</v>
      </c>
      <c r="AJ113" s="194">
        <v>0</v>
      </c>
      <c r="AK113" s="194">
        <v>0</v>
      </c>
      <c r="AL113" s="194">
        <v>0</v>
      </c>
      <c r="AM113" s="194">
        <v>0</v>
      </c>
      <c r="AN113" s="194">
        <v>0</v>
      </c>
      <c r="AO113" s="194">
        <v>0</v>
      </c>
      <c r="AP113" s="194">
        <v>0</v>
      </c>
      <c r="AQ113" s="194">
        <v>0</v>
      </c>
      <c r="AR113" s="194">
        <v>0</v>
      </c>
      <c r="AS113" s="194">
        <v>0</v>
      </c>
      <c r="AT113" s="194">
        <v>0</v>
      </c>
      <c r="AU113" s="194">
        <v>0</v>
      </c>
      <c r="AV113" s="194">
        <v>0</v>
      </c>
      <c r="AW113" s="194">
        <v>0</v>
      </c>
      <c r="AX113" s="194">
        <v>0</v>
      </c>
      <c r="AY113" s="194">
        <v>0</v>
      </c>
      <c r="AZ113" s="194">
        <v>0</v>
      </c>
      <c r="BA113" s="194">
        <v>0</v>
      </c>
      <c r="BB113" s="194">
        <v>0</v>
      </c>
      <c r="BC113" s="194">
        <v>0</v>
      </c>
      <c r="BD113" s="194">
        <v>0</v>
      </c>
      <c r="BE113" s="194">
        <v>0</v>
      </c>
      <c r="BF113" s="194">
        <v>0</v>
      </c>
      <c r="BG113" s="194">
        <v>0</v>
      </c>
      <c r="BH113" s="194">
        <v>0</v>
      </c>
      <c r="BI113" s="194">
        <v>0</v>
      </c>
      <c r="BJ113" s="194">
        <v>0</v>
      </c>
      <c r="BK113" s="194">
        <v>0</v>
      </c>
      <c r="BL113" s="194">
        <v>0</v>
      </c>
      <c r="BM113" s="194">
        <v>0</v>
      </c>
      <c r="BN113" s="194">
        <v>0</v>
      </c>
      <c r="BO113" s="194">
        <v>0</v>
      </c>
      <c r="BP113" s="194">
        <v>0</v>
      </c>
      <c r="BQ113" s="194">
        <v>0</v>
      </c>
      <c r="BR113" s="194">
        <v>0</v>
      </c>
      <c r="BS113" s="194">
        <v>0</v>
      </c>
      <c r="BT113" s="194">
        <v>0</v>
      </c>
      <c r="BU113" s="194">
        <v>0</v>
      </c>
      <c r="BV113" s="194">
        <v>0</v>
      </c>
      <c r="BW113" s="194">
        <v>0</v>
      </c>
      <c r="BX113" s="194">
        <v>0</v>
      </c>
      <c r="BY113" s="194">
        <v>0</v>
      </c>
      <c r="BZ113" s="194">
        <v>0</v>
      </c>
      <c r="CA113" s="194">
        <v>0</v>
      </c>
      <c r="CB113" s="194">
        <v>0</v>
      </c>
      <c r="CC113" s="194">
        <v>0</v>
      </c>
      <c r="CD113" s="194">
        <v>0</v>
      </c>
      <c r="CE113" s="194">
        <v>0</v>
      </c>
      <c r="CF113" s="194">
        <v>0</v>
      </c>
      <c r="CG113" s="194">
        <v>0</v>
      </c>
      <c r="CH113" s="194">
        <v>0</v>
      </c>
      <c r="CI113" s="23"/>
    </row>
    <row r="114" spans="1:87" ht="15" customHeight="1" x14ac:dyDescent="0.25">
      <c r="A114" s="195" t="s">
        <v>197</v>
      </c>
      <c r="B114" s="196"/>
      <c r="C114" s="197">
        <f t="shared" ref="C114:AH114" si="42">MAX(0,C110+C111+C112+C113)</f>
        <v>0</v>
      </c>
      <c r="D114" s="197">
        <f t="shared" si="42"/>
        <v>0</v>
      </c>
      <c r="E114" s="197">
        <f t="shared" si="42"/>
        <v>0</v>
      </c>
      <c r="F114" s="197">
        <f t="shared" si="42"/>
        <v>0</v>
      </c>
      <c r="G114" s="197">
        <f t="shared" si="42"/>
        <v>0</v>
      </c>
      <c r="H114" s="197">
        <f t="shared" si="42"/>
        <v>0</v>
      </c>
      <c r="I114" s="197">
        <f t="shared" si="42"/>
        <v>0</v>
      </c>
      <c r="J114" s="197">
        <f t="shared" si="42"/>
        <v>0</v>
      </c>
      <c r="K114" s="197">
        <f t="shared" si="42"/>
        <v>0</v>
      </c>
      <c r="L114" s="197">
        <f t="shared" si="42"/>
        <v>0</v>
      </c>
      <c r="M114" s="197">
        <f t="shared" si="42"/>
        <v>0</v>
      </c>
      <c r="N114" s="197">
        <f t="shared" si="42"/>
        <v>0</v>
      </c>
      <c r="O114" s="197">
        <f t="shared" si="42"/>
        <v>0</v>
      </c>
      <c r="P114" s="197">
        <f t="shared" si="42"/>
        <v>0</v>
      </c>
      <c r="Q114" s="197">
        <f t="shared" si="42"/>
        <v>0</v>
      </c>
      <c r="R114" s="197">
        <f t="shared" si="42"/>
        <v>0</v>
      </c>
      <c r="S114" s="197">
        <f t="shared" si="42"/>
        <v>0</v>
      </c>
      <c r="T114" s="197">
        <f t="shared" si="42"/>
        <v>0</v>
      </c>
      <c r="U114" s="197">
        <f t="shared" si="42"/>
        <v>0</v>
      </c>
      <c r="V114" s="197">
        <f t="shared" si="42"/>
        <v>0</v>
      </c>
      <c r="W114" s="197">
        <f t="shared" si="42"/>
        <v>0</v>
      </c>
      <c r="X114" s="197">
        <f t="shared" si="42"/>
        <v>0</v>
      </c>
      <c r="Y114" s="197">
        <f t="shared" si="42"/>
        <v>0</v>
      </c>
      <c r="Z114" s="197">
        <f t="shared" si="42"/>
        <v>0</v>
      </c>
      <c r="AA114" s="197">
        <f t="shared" si="42"/>
        <v>0</v>
      </c>
      <c r="AB114" s="197">
        <f t="shared" si="42"/>
        <v>0</v>
      </c>
      <c r="AC114" s="197">
        <f t="shared" si="42"/>
        <v>0</v>
      </c>
      <c r="AD114" s="197">
        <f t="shared" si="42"/>
        <v>0</v>
      </c>
      <c r="AE114" s="197">
        <f t="shared" si="42"/>
        <v>0</v>
      </c>
      <c r="AF114" s="197">
        <f t="shared" si="42"/>
        <v>0</v>
      </c>
      <c r="AG114" s="197">
        <f t="shared" si="42"/>
        <v>0</v>
      </c>
      <c r="AH114" s="197">
        <f t="shared" si="42"/>
        <v>0</v>
      </c>
      <c r="AI114" s="197">
        <f t="shared" ref="AI114:BN114" si="43">MAX(0,AI110+AI111+AI112+AI113)</f>
        <v>0</v>
      </c>
      <c r="AJ114" s="197">
        <f t="shared" si="43"/>
        <v>0</v>
      </c>
      <c r="AK114" s="197">
        <f t="shared" si="43"/>
        <v>0</v>
      </c>
      <c r="AL114" s="197">
        <f t="shared" si="43"/>
        <v>0</v>
      </c>
      <c r="AM114" s="197">
        <f t="shared" si="43"/>
        <v>0</v>
      </c>
      <c r="AN114" s="197">
        <f t="shared" si="43"/>
        <v>0</v>
      </c>
      <c r="AO114" s="197">
        <f t="shared" si="43"/>
        <v>0</v>
      </c>
      <c r="AP114" s="197">
        <f t="shared" si="43"/>
        <v>0</v>
      </c>
      <c r="AQ114" s="197">
        <f t="shared" si="43"/>
        <v>0</v>
      </c>
      <c r="AR114" s="197">
        <f t="shared" si="43"/>
        <v>0</v>
      </c>
      <c r="AS114" s="197">
        <f t="shared" si="43"/>
        <v>0</v>
      </c>
      <c r="AT114" s="197">
        <f t="shared" si="43"/>
        <v>0</v>
      </c>
      <c r="AU114" s="197">
        <f t="shared" si="43"/>
        <v>0</v>
      </c>
      <c r="AV114" s="197">
        <f t="shared" si="43"/>
        <v>0</v>
      </c>
      <c r="AW114" s="197">
        <f t="shared" si="43"/>
        <v>0</v>
      </c>
      <c r="AX114" s="197">
        <f t="shared" si="43"/>
        <v>0</v>
      </c>
      <c r="AY114" s="197">
        <f t="shared" si="43"/>
        <v>0</v>
      </c>
      <c r="AZ114" s="197">
        <f t="shared" si="43"/>
        <v>0</v>
      </c>
      <c r="BA114" s="197">
        <f t="shared" si="43"/>
        <v>0</v>
      </c>
      <c r="BB114" s="197">
        <f t="shared" si="43"/>
        <v>0</v>
      </c>
      <c r="BC114" s="197">
        <f t="shared" si="43"/>
        <v>0</v>
      </c>
      <c r="BD114" s="197">
        <f t="shared" si="43"/>
        <v>0</v>
      </c>
      <c r="BE114" s="197">
        <f t="shared" si="43"/>
        <v>0</v>
      </c>
      <c r="BF114" s="197">
        <f t="shared" si="43"/>
        <v>0</v>
      </c>
      <c r="BG114" s="197">
        <f t="shared" si="43"/>
        <v>0</v>
      </c>
      <c r="BH114" s="197">
        <f t="shared" si="43"/>
        <v>0</v>
      </c>
      <c r="BI114" s="197">
        <f t="shared" si="43"/>
        <v>0</v>
      </c>
      <c r="BJ114" s="197">
        <f t="shared" si="43"/>
        <v>0</v>
      </c>
      <c r="BK114" s="197">
        <f t="shared" si="43"/>
        <v>0</v>
      </c>
      <c r="BL114" s="197">
        <f t="shared" si="43"/>
        <v>0</v>
      </c>
      <c r="BM114" s="197">
        <f t="shared" si="43"/>
        <v>0</v>
      </c>
      <c r="BN114" s="197">
        <f t="shared" si="43"/>
        <v>0</v>
      </c>
      <c r="BO114" s="197">
        <f t="shared" ref="BO114:CH114" si="44">MAX(0,BO110+BO111+BO112+BO113)</f>
        <v>0</v>
      </c>
      <c r="BP114" s="197">
        <f t="shared" si="44"/>
        <v>0</v>
      </c>
      <c r="BQ114" s="197">
        <f t="shared" si="44"/>
        <v>0</v>
      </c>
      <c r="BR114" s="197">
        <f t="shared" si="44"/>
        <v>0</v>
      </c>
      <c r="BS114" s="197">
        <f t="shared" si="44"/>
        <v>0</v>
      </c>
      <c r="BT114" s="197">
        <f t="shared" si="44"/>
        <v>0</v>
      </c>
      <c r="BU114" s="197">
        <f t="shared" si="44"/>
        <v>0</v>
      </c>
      <c r="BV114" s="197">
        <f t="shared" si="44"/>
        <v>0</v>
      </c>
      <c r="BW114" s="197">
        <f t="shared" si="44"/>
        <v>0</v>
      </c>
      <c r="BX114" s="197">
        <f t="shared" si="44"/>
        <v>0</v>
      </c>
      <c r="BY114" s="197">
        <f t="shared" si="44"/>
        <v>0</v>
      </c>
      <c r="BZ114" s="197">
        <f t="shared" si="44"/>
        <v>0</v>
      </c>
      <c r="CA114" s="197">
        <f t="shared" si="44"/>
        <v>0</v>
      </c>
      <c r="CB114" s="197">
        <f t="shared" si="44"/>
        <v>0</v>
      </c>
      <c r="CC114" s="197">
        <f t="shared" si="44"/>
        <v>0</v>
      </c>
      <c r="CD114" s="197">
        <f t="shared" si="44"/>
        <v>0</v>
      </c>
      <c r="CE114" s="197">
        <f t="shared" si="44"/>
        <v>0</v>
      </c>
      <c r="CF114" s="197">
        <f t="shared" si="44"/>
        <v>0</v>
      </c>
      <c r="CG114" s="197">
        <f t="shared" si="44"/>
        <v>0</v>
      </c>
      <c r="CH114" s="197">
        <f t="shared" si="44"/>
        <v>0</v>
      </c>
      <c r="CI114" s="23"/>
    </row>
    <row r="115" spans="1:87" ht="15" customHeight="1" x14ac:dyDescent="0.25">
      <c r="A115" s="7" t="s">
        <v>198</v>
      </c>
      <c r="B115" s="7"/>
      <c r="C115" s="35">
        <f>IF(AND(Projects!$G$12="Yes",Projects!$C$12&lt;=1),Assumptions!$B$61,0)</f>
        <v>0</v>
      </c>
      <c r="D115" s="35">
        <f>IF(AND(Projects!$G$12="Yes",2=Projects!$C$12),Assumptions!$B$61,C119)</f>
        <v>0</v>
      </c>
      <c r="E115" s="35">
        <f>IF(AND(Projects!$G$12="Yes",3=Projects!$C$12),Assumptions!$B$61,D119)</f>
        <v>0</v>
      </c>
      <c r="F115" s="35">
        <f>IF(AND(Projects!$G$12="Yes",4=Projects!$C$12),Assumptions!$B$61,E119)</f>
        <v>0</v>
      </c>
      <c r="G115" s="35">
        <f>IF(AND(Projects!$G$12="Yes",5=Projects!$C$12),Assumptions!$B$61,F119)</f>
        <v>0</v>
      </c>
      <c r="H115" s="35">
        <f>IF(AND(Projects!$G$12="Yes",6=Projects!$C$12),Assumptions!$B$61,G119)</f>
        <v>0</v>
      </c>
      <c r="I115" s="35">
        <f>IF(AND(Projects!$G$12="Yes",7=Projects!$C$12),Assumptions!$B$61,H119)</f>
        <v>0</v>
      </c>
      <c r="J115" s="35">
        <f>IF(AND(Projects!$G$12="Yes",8=Projects!$C$12),Assumptions!$B$61,I119)</f>
        <v>0</v>
      </c>
      <c r="K115" s="35">
        <f>IF(AND(Projects!$G$12="Yes",9=Projects!$C$12),Assumptions!$B$61,J119)</f>
        <v>0</v>
      </c>
      <c r="L115" s="35">
        <f>IF(AND(Projects!$G$12="Yes",10=Projects!$C$12),Assumptions!$B$61,K119)</f>
        <v>0</v>
      </c>
      <c r="M115" s="35">
        <f>IF(AND(Projects!$G$12="Yes",11=Projects!$C$12),Assumptions!$B$61,L119)</f>
        <v>0</v>
      </c>
      <c r="N115" s="35">
        <f>IF(AND(Projects!$G$12="Yes",12=Projects!$C$12),Assumptions!$B$61,M119)</f>
        <v>0</v>
      </c>
      <c r="O115" s="35">
        <f>IF(AND(Projects!$G$12="Yes",13=Projects!$C$12),Assumptions!$B$61,N119)</f>
        <v>0</v>
      </c>
      <c r="P115" s="35">
        <f>IF(AND(Projects!$G$12="Yes",14=Projects!$C$12),Assumptions!$B$61,O119)</f>
        <v>0</v>
      </c>
      <c r="Q115" s="35">
        <f>IF(AND(Projects!$G$12="Yes",15=Projects!$C$12),Assumptions!$B$61,P119)</f>
        <v>0</v>
      </c>
      <c r="R115" s="35">
        <f>IF(AND(Projects!$G$12="Yes",16=Projects!$C$12),Assumptions!$B$61,Q119)</f>
        <v>0</v>
      </c>
      <c r="S115" s="35">
        <f>IF(AND(Projects!$G$12="Yes",17=Projects!$C$12),Assumptions!$B$61,R119)</f>
        <v>0</v>
      </c>
      <c r="T115" s="35">
        <f>IF(AND(Projects!$G$12="Yes",18=Projects!$C$12),Assumptions!$B$61,S119)</f>
        <v>0</v>
      </c>
      <c r="U115" s="35">
        <f>IF(AND(Projects!$G$12="Yes",19=Projects!$C$12),Assumptions!$B$61,T119)</f>
        <v>0</v>
      </c>
      <c r="V115" s="35">
        <f>IF(AND(Projects!$G$12="Yes",20=Projects!$C$12),Assumptions!$B$61,U119)</f>
        <v>0</v>
      </c>
      <c r="W115" s="35">
        <f>IF(AND(Projects!$G$12="Yes",21=Projects!$C$12),Assumptions!$B$61,V119)</f>
        <v>0</v>
      </c>
      <c r="X115" s="35">
        <f>IF(AND(Projects!$G$12="Yes",22=Projects!$C$12),Assumptions!$B$61,W119)</f>
        <v>0</v>
      </c>
      <c r="Y115" s="35">
        <f>IF(AND(Projects!$G$12="Yes",23=Projects!$C$12),Assumptions!$B$61,X119)</f>
        <v>0</v>
      </c>
      <c r="Z115" s="35">
        <f>IF(AND(Projects!$G$12="Yes",24=Projects!$C$12),Assumptions!$B$61,Y119)</f>
        <v>0</v>
      </c>
      <c r="AA115" s="35">
        <f>IF(AND(Projects!$G$12="Yes",25=Projects!$C$12),Assumptions!$B$61,Z119)</f>
        <v>0</v>
      </c>
      <c r="AB115" s="35">
        <f>IF(AND(Projects!$G$12="Yes",26=Projects!$C$12),Assumptions!$B$61,AA119)</f>
        <v>0</v>
      </c>
      <c r="AC115" s="35">
        <f>IF(AND(Projects!$G$12="Yes",27=Projects!$C$12),Assumptions!$B$61,AB119)</f>
        <v>0</v>
      </c>
      <c r="AD115" s="35">
        <f>IF(AND(Projects!$G$12="Yes",28=Projects!$C$12),Assumptions!$B$61,AC119)</f>
        <v>0</v>
      </c>
      <c r="AE115" s="35">
        <f>IF(AND(Projects!$G$12="Yes",29=Projects!$C$12),Assumptions!$B$61,AD119)</f>
        <v>0</v>
      </c>
      <c r="AF115" s="35">
        <f>IF(AND(Projects!$G$12="Yes",30=Projects!$C$12),Assumptions!$B$61,AE119)</f>
        <v>0</v>
      </c>
      <c r="AG115" s="35">
        <f>IF(AND(Projects!$G$12="Yes",31=Projects!$C$12),Assumptions!$B$61,AF119)</f>
        <v>0</v>
      </c>
      <c r="AH115" s="35">
        <f>IF(AND(Projects!$G$12="Yes",32=Projects!$C$12),Assumptions!$B$61,AG119)</f>
        <v>0</v>
      </c>
      <c r="AI115" s="35">
        <f>IF(AND(Projects!$G$12="Yes",33=Projects!$C$12),Assumptions!$B$61,AH119)</f>
        <v>0</v>
      </c>
      <c r="AJ115" s="35">
        <f>IF(AND(Projects!$G$12="Yes",34=Projects!$C$12),Assumptions!$B$61,AI119)</f>
        <v>0</v>
      </c>
      <c r="AK115" s="35">
        <f>IF(AND(Projects!$G$12="Yes",35=Projects!$C$12),Assumptions!$B$61,AJ119)</f>
        <v>0</v>
      </c>
      <c r="AL115" s="35">
        <f>IF(AND(Projects!$G$12="Yes",36=Projects!$C$12),Assumptions!$B$61,AK119)</f>
        <v>0</v>
      </c>
      <c r="AM115" s="35">
        <f>IF(AND(Projects!$G$12="Yes",37=Projects!$C$12),Assumptions!$B$61,AL119)</f>
        <v>0</v>
      </c>
      <c r="AN115" s="35">
        <f>IF(AND(Projects!$G$12="Yes",38=Projects!$C$12),Assumptions!$B$61,AM119)</f>
        <v>0</v>
      </c>
      <c r="AO115" s="35">
        <f>IF(AND(Projects!$G$12="Yes",39=Projects!$C$12),Assumptions!$B$61,AN119)</f>
        <v>0</v>
      </c>
      <c r="AP115" s="35">
        <f>IF(AND(Projects!$G$12="Yes",40=Projects!$C$12),Assumptions!$B$61,AO119)</f>
        <v>0</v>
      </c>
      <c r="AQ115" s="35">
        <f>IF(AND(Projects!$G$12="Yes",41=Projects!$C$12),Assumptions!$B$61,AP119)</f>
        <v>0</v>
      </c>
      <c r="AR115" s="35">
        <f>IF(AND(Projects!$G$12="Yes",42=Projects!$C$12),Assumptions!$B$61,AQ119)</f>
        <v>0</v>
      </c>
      <c r="AS115" s="35">
        <f>IF(AND(Projects!$G$12="Yes",43=Projects!$C$12),Assumptions!$B$61,AR119)</f>
        <v>0</v>
      </c>
      <c r="AT115" s="35">
        <f>IF(AND(Projects!$G$12="Yes",44=Projects!$C$12),Assumptions!$B$61,AS119)</f>
        <v>0</v>
      </c>
      <c r="AU115" s="35">
        <f>IF(AND(Projects!$G$12="Yes",45=Projects!$C$12),Assumptions!$B$61,AT119)</f>
        <v>0</v>
      </c>
      <c r="AV115" s="35">
        <f>IF(AND(Projects!$G$12="Yes",46=Projects!$C$12),Assumptions!$B$61,AU119)</f>
        <v>0</v>
      </c>
      <c r="AW115" s="35">
        <f>IF(AND(Projects!$G$12="Yes",47=Projects!$C$12),Assumptions!$B$61,AV119)</f>
        <v>0</v>
      </c>
      <c r="AX115" s="35">
        <f>IF(AND(Projects!$G$12="Yes",48=Projects!$C$12),Assumptions!$B$61,AW119)</f>
        <v>0</v>
      </c>
      <c r="AY115" s="35">
        <f>IF(AND(Projects!$G$12="Yes",49=Projects!$C$12),Assumptions!$B$61,AX119)</f>
        <v>0</v>
      </c>
      <c r="AZ115" s="35">
        <f>IF(AND(Projects!$G$12="Yes",50=Projects!$C$12),Assumptions!$B$61,AY119)</f>
        <v>0</v>
      </c>
      <c r="BA115" s="35">
        <f>IF(AND(Projects!$G$12="Yes",51=Projects!$C$12),Assumptions!$B$61,AZ119)</f>
        <v>0</v>
      </c>
      <c r="BB115" s="35">
        <f>IF(AND(Projects!$G$12="Yes",52=Projects!$C$12),Assumptions!$B$61,BA119)</f>
        <v>0</v>
      </c>
      <c r="BC115" s="35">
        <f>IF(AND(Projects!$G$12="Yes",53=Projects!$C$12),Assumptions!$B$61,BB119)</f>
        <v>0</v>
      </c>
      <c r="BD115" s="35">
        <f>IF(AND(Projects!$G$12="Yes",54=Projects!$C$12),Assumptions!$B$61,BC119)</f>
        <v>0</v>
      </c>
      <c r="BE115" s="35">
        <f>IF(AND(Projects!$G$12="Yes",55=Projects!$C$12),Assumptions!$B$61,BD119)</f>
        <v>0</v>
      </c>
      <c r="BF115" s="35">
        <f>IF(AND(Projects!$G$12="Yes",56=Projects!$C$12),Assumptions!$B$61,BE119)</f>
        <v>0</v>
      </c>
      <c r="BG115" s="35">
        <f>IF(AND(Projects!$G$12="Yes",57=Projects!$C$12),Assumptions!$B$61,BF119)</f>
        <v>0</v>
      </c>
      <c r="BH115" s="35">
        <f>IF(AND(Projects!$G$12="Yes",58=Projects!$C$12),Assumptions!$B$61,BG119)</f>
        <v>0</v>
      </c>
      <c r="BI115" s="35">
        <f>IF(AND(Projects!$G$12="Yes",59=Projects!$C$12),Assumptions!$B$61,BH119)</f>
        <v>0</v>
      </c>
      <c r="BJ115" s="35">
        <f>IF(AND(Projects!$G$12="Yes",60=Projects!$C$12),Assumptions!$B$61,BI119)</f>
        <v>0</v>
      </c>
      <c r="BK115" s="35">
        <f>IF(AND(Projects!$G$12="Yes",61=Projects!$C$12),Assumptions!$B$61,BJ119)</f>
        <v>0</v>
      </c>
      <c r="BL115" s="35">
        <f>IF(AND(Projects!$G$12="Yes",62=Projects!$C$12),Assumptions!$B$61,BK119)</f>
        <v>0</v>
      </c>
      <c r="BM115" s="35">
        <f>IF(AND(Projects!$G$12="Yes",63=Projects!$C$12),Assumptions!$B$61,BL119)</f>
        <v>0</v>
      </c>
      <c r="BN115" s="35">
        <f>IF(AND(Projects!$G$12="Yes",64=Projects!$C$12),Assumptions!$B$61,BM119)</f>
        <v>0</v>
      </c>
      <c r="BO115" s="35">
        <f>IF(AND(Projects!$G$12="Yes",65=Projects!$C$12),Assumptions!$B$61,BN119)</f>
        <v>0</v>
      </c>
      <c r="BP115" s="35">
        <f>IF(AND(Projects!$G$12="Yes",66=Projects!$C$12),Assumptions!$B$61,BO119)</f>
        <v>0</v>
      </c>
      <c r="BQ115" s="35">
        <f>IF(AND(Projects!$G$12="Yes",67=Projects!$C$12),Assumptions!$B$61,BP119)</f>
        <v>0</v>
      </c>
      <c r="BR115" s="35">
        <f>IF(AND(Projects!$G$12="Yes",68=Projects!$C$12),Assumptions!$B$61,BQ119)</f>
        <v>0</v>
      </c>
      <c r="BS115" s="35">
        <f>IF(AND(Projects!$G$12="Yes",69=Projects!$C$12),Assumptions!$B$61,BR119)</f>
        <v>0</v>
      </c>
      <c r="BT115" s="35">
        <f>IF(AND(Projects!$G$12="Yes",70=Projects!$C$12),Assumptions!$B$61,BS119)</f>
        <v>0</v>
      </c>
      <c r="BU115" s="35">
        <f>IF(AND(Projects!$G$12="Yes",71=Projects!$C$12),Assumptions!$B$61,BT119)</f>
        <v>0</v>
      </c>
      <c r="BV115" s="35">
        <f>IF(AND(Projects!$G$12="Yes",72=Projects!$C$12),Assumptions!$B$61,BU119)</f>
        <v>0</v>
      </c>
      <c r="BW115" s="35">
        <f>IF(AND(Projects!$G$12="Yes",73=Projects!$C$12),Assumptions!$B$61,BV119)</f>
        <v>0</v>
      </c>
      <c r="BX115" s="35">
        <f>IF(AND(Projects!$G$12="Yes",74=Projects!$C$12),Assumptions!$B$61,BW119)</f>
        <v>0</v>
      </c>
      <c r="BY115" s="35">
        <f>IF(AND(Projects!$G$12="Yes",75=Projects!$C$12),Assumptions!$B$61,BX119)</f>
        <v>0</v>
      </c>
      <c r="BZ115" s="35">
        <f>IF(AND(Projects!$G$12="Yes",76=Projects!$C$12),Assumptions!$B$61,BY119)</f>
        <v>0</v>
      </c>
      <c r="CA115" s="35">
        <f>IF(AND(Projects!$G$12="Yes",77=Projects!$C$12),Assumptions!$B$61,BZ119)</f>
        <v>0</v>
      </c>
      <c r="CB115" s="35">
        <f>IF(AND(Projects!$G$12="Yes",78=Projects!$C$12),Assumptions!$B$61,CA119)</f>
        <v>0</v>
      </c>
      <c r="CC115" s="35">
        <f>IF(AND(Projects!$G$12="Yes",79=Projects!$C$12),Assumptions!$B$61,CB119)</f>
        <v>0</v>
      </c>
      <c r="CD115" s="35">
        <f>IF(AND(Projects!$G$12="Yes",80=Projects!$C$12),Assumptions!$B$61,CC119)</f>
        <v>0</v>
      </c>
      <c r="CE115" s="35">
        <f>IF(AND(Projects!$G$12="Yes",81=Projects!$C$12),Assumptions!$B$61,CD119)</f>
        <v>0</v>
      </c>
      <c r="CF115" s="35">
        <f>IF(AND(Projects!$G$12="Yes",82=Projects!$C$12),Assumptions!$B$61,CE119)</f>
        <v>0</v>
      </c>
      <c r="CG115" s="35">
        <f>IF(AND(Projects!$G$12="Yes",83=Projects!$C$12),Assumptions!$B$61,CF119)</f>
        <v>0</v>
      </c>
      <c r="CH115" s="35">
        <f>IF(AND(Projects!$G$12="Yes",84=Projects!$C$12),Assumptions!$B$61,CG119)</f>
        <v>0</v>
      </c>
      <c r="CI115" s="23"/>
    </row>
    <row r="116" spans="1:87" ht="15" customHeight="1" x14ac:dyDescent="0.25">
      <c r="A116" s="7" t="s">
        <v>199</v>
      </c>
      <c r="B116" s="7"/>
      <c r="C116" s="35">
        <f>IF(AND(MOD(1,3)=0,C115&gt;0),C115*Assumptions!$B$59,0)</f>
        <v>0</v>
      </c>
      <c r="D116" s="35">
        <f>IF(AND(MOD(2,3)=0,D115&gt;0),D115*Assumptions!$B$59,0)</f>
        <v>0</v>
      </c>
      <c r="E116" s="35">
        <f>IF(AND(MOD(3,3)=0,E115&gt;0),E115*Assumptions!$B$59,0)</f>
        <v>0</v>
      </c>
      <c r="F116" s="35">
        <f>IF(AND(MOD(4,3)=0,F115&gt;0),F115*Assumptions!$B$59,0)</f>
        <v>0</v>
      </c>
      <c r="G116" s="35">
        <f>IF(AND(MOD(5,3)=0,G115&gt;0),G115*Assumptions!$B$59,0)</f>
        <v>0</v>
      </c>
      <c r="H116" s="35">
        <f>IF(AND(MOD(6,3)=0,H115&gt;0),H115*Assumptions!$B$59,0)</f>
        <v>0</v>
      </c>
      <c r="I116" s="35">
        <f>IF(AND(MOD(7,3)=0,I115&gt;0),I115*Assumptions!$B$59,0)</f>
        <v>0</v>
      </c>
      <c r="J116" s="35">
        <f>IF(AND(MOD(8,3)=0,J115&gt;0),J115*Assumptions!$B$59,0)</f>
        <v>0</v>
      </c>
      <c r="K116" s="35">
        <f>IF(AND(MOD(9,3)=0,K115&gt;0),K115*Assumptions!$B$59,0)</f>
        <v>0</v>
      </c>
      <c r="L116" s="35">
        <f>IF(AND(MOD(10,3)=0,L115&gt;0),L115*Assumptions!$B$59,0)</f>
        <v>0</v>
      </c>
      <c r="M116" s="35">
        <f>IF(AND(MOD(11,3)=0,M115&gt;0),M115*Assumptions!$B$59,0)</f>
        <v>0</v>
      </c>
      <c r="N116" s="35">
        <f>IF(AND(MOD(12,3)=0,N115&gt;0),N115*Assumptions!$B$59,0)</f>
        <v>0</v>
      </c>
      <c r="O116" s="35">
        <f>IF(AND(MOD(13,3)=0,O115&gt;0),O115*Assumptions!$B$59,0)</f>
        <v>0</v>
      </c>
      <c r="P116" s="35">
        <f>IF(AND(MOD(14,3)=0,P115&gt;0),P115*Assumptions!$B$59,0)</f>
        <v>0</v>
      </c>
      <c r="Q116" s="35">
        <f>IF(AND(MOD(15,3)=0,Q115&gt;0),Q115*Assumptions!$B$59,0)</f>
        <v>0</v>
      </c>
      <c r="R116" s="35">
        <f>IF(AND(MOD(16,3)=0,R115&gt;0),R115*Assumptions!$B$59,0)</f>
        <v>0</v>
      </c>
      <c r="S116" s="35">
        <f>IF(AND(MOD(17,3)=0,S115&gt;0),S115*Assumptions!$B$59,0)</f>
        <v>0</v>
      </c>
      <c r="T116" s="35">
        <f>IF(AND(MOD(18,3)=0,T115&gt;0),T115*Assumptions!$B$59,0)</f>
        <v>0</v>
      </c>
      <c r="U116" s="35">
        <f>IF(AND(MOD(19,3)=0,U115&gt;0),U115*Assumptions!$B$59,0)</f>
        <v>0</v>
      </c>
      <c r="V116" s="35">
        <f>IF(AND(MOD(20,3)=0,V115&gt;0),V115*Assumptions!$B$59,0)</f>
        <v>0</v>
      </c>
      <c r="W116" s="35">
        <f>IF(AND(MOD(21,3)=0,W115&gt;0),W115*Assumptions!$B$59,0)</f>
        <v>0</v>
      </c>
      <c r="X116" s="35">
        <f>IF(AND(MOD(22,3)=0,X115&gt;0),X115*Assumptions!$B$59,0)</f>
        <v>0</v>
      </c>
      <c r="Y116" s="35">
        <f>IF(AND(MOD(23,3)=0,Y115&gt;0),Y115*Assumptions!$B$59,0)</f>
        <v>0</v>
      </c>
      <c r="Z116" s="35">
        <f>IF(AND(MOD(24,3)=0,Z115&gt;0),Z115*Assumptions!$B$59,0)</f>
        <v>0</v>
      </c>
      <c r="AA116" s="35">
        <f>IF(AND(MOD(25,3)=0,AA115&gt;0),AA115*Assumptions!$B$59,0)</f>
        <v>0</v>
      </c>
      <c r="AB116" s="35">
        <f>IF(AND(MOD(26,3)=0,AB115&gt;0),AB115*Assumptions!$B$59,0)</f>
        <v>0</v>
      </c>
      <c r="AC116" s="35">
        <f>IF(AND(MOD(27,3)=0,AC115&gt;0),AC115*Assumptions!$B$59,0)</f>
        <v>0</v>
      </c>
      <c r="AD116" s="35">
        <f>IF(AND(MOD(28,3)=0,AD115&gt;0),AD115*Assumptions!$B$59,0)</f>
        <v>0</v>
      </c>
      <c r="AE116" s="35">
        <f>IF(AND(MOD(29,3)=0,AE115&gt;0),AE115*Assumptions!$B$59,0)</f>
        <v>0</v>
      </c>
      <c r="AF116" s="35">
        <f>IF(AND(MOD(30,3)=0,AF115&gt;0),AF115*Assumptions!$B$59,0)</f>
        <v>0</v>
      </c>
      <c r="AG116" s="35">
        <f>IF(AND(MOD(31,3)=0,AG115&gt;0),AG115*Assumptions!$B$59,0)</f>
        <v>0</v>
      </c>
      <c r="AH116" s="35">
        <f>IF(AND(MOD(32,3)=0,AH115&gt;0),AH115*Assumptions!$B$59,0)</f>
        <v>0</v>
      </c>
      <c r="AI116" s="35">
        <f>IF(AND(MOD(33,3)=0,AI115&gt;0),AI115*Assumptions!$B$59,0)</f>
        <v>0</v>
      </c>
      <c r="AJ116" s="35">
        <f>IF(AND(MOD(34,3)=0,AJ115&gt;0),AJ115*Assumptions!$B$59,0)</f>
        <v>0</v>
      </c>
      <c r="AK116" s="35">
        <f>IF(AND(MOD(35,3)=0,AK115&gt;0),AK115*Assumptions!$B$59,0)</f>
        <v>0</v>
      </c>
      <c r="AL116" s="35">
        <f>IF(AND(MOD(36,3)=0,AL115&gt;0),AL115*Assumptions!$B$59,0)</f>
        <v>0</v>
      </c>
      <c r="AM116" s="35">
        <f>IF(AND(MOD(37,3)=0,AM115&gt;0),AM115*Assumptions!$B$59,0)</f>
        <v>0</v>
      </c>
      <c r="AN116" s="35">
        <f>IF(AND(MOD(38,3)=0,AN115&gt;0),AN115*Assumptions!$B$59,0)</f>
        <v>0</v>
      </c>
      <c r="AO116" s="35">
        <f>IF(AND(MOD(39,3)=0,AO115&gt;0),AO115*Assumptions!$B$59,0)</f>
        <v>0</v>
      </c>
      <c r="AP116" s="35">
        <f>IF(AND(MOD(40,3)=0,AP115&gt;0),AP115*Assumptions!$B$59,0)</f>
        <v>0</v>
      </c>
      <c r="AQ116" s="35">
        <f>IF(AND(MOD(41,3)=0,AQ115&gt;0),AQ115*Assumptions!$B$59,0)</f>
        <v>0</v>
      </c>
      <c r="AR116" s="35">
        <f>IF(AND(MOD(42,3)=0,AR115&gt;0),AR115*Assumptions!$B$59,0)</f>
        <v>0</v>
      </c>
      <c r="AS116" s="35">
        <f>IF(AND(MOD(43,3)=0,AS115&gt;0),AS115*Assumptions!$B$59,0)</f>
        <v>0</v>
      </c>
      <c r="AT116" s="35">
        <f>IF(AND(MOD(44,3)=0,AT115&gt;0),AT115*Assumptions!$B$59,0)</f>
        <v>0</v>
      </c>
      <c r="AU116" s="35">
        <f>IF(AND(MOD(45,3)=0,AU115&gt;0),AU115*Assumptions!$B$59,0)</f>
        <v>0</v>
      </c>
      <c r="AV116" s="35">
        <f>IF(AND(MOD(46,3)=0,AV115&gt;0),AV115*Assumptions!$B$59,0)</f>
        <v>0</v>
      </c>
      <c r="AW116" s="35">
        <f>IF(AND(MOD(47,3)=0,AW115&gt;0),AW115*Assumptions!$B$59,0)</f>
        <v>0</v>
      </c>
      <c r="AX116" s="35">
        <f>IF(AND(MOD(48,3)=0,AX115&gt;0),AX115*Assumptions!$B$59,0)</f>
        <v>0</v>
      </c>
      <c r="AY116" s="35">
        <f>IF(AND(MOD(49,3)=0,AY115&gt;0),AY115*Assumptions!$B$59,0)</f>
        <v>0</v>
      </c>
      <c r="AZ116" s="35">
        <f>IF(AND(MOD(50,3)=0,AZ115&gt;0),AZ115*Assumptions!$B$59,0)</f>
        <v>0</v>
      </c>
      <c r="BA116" s="35">
        <f>IF(AND(MOD(51,3)=0,BA115&gt;0),BA115*Assumptions!$B$59,0)</f>
        <v>0</v>
      </c>
      <c r="BB116" s="35">
        <f>IF(AND(MOD(52,3)=0,BB115&gt;0),BB115*Assumptions!$B$59,0)</f>
        <v>0</v>
      </c>
      <c r="BC116" s="35">
        <f>IF(AND(MOD(53,3)=0,BC115&gt;0),BC115*Assumptions!$B$59,0)</f>
        <v>0</v>
      </c>
      <c r="BD116" s="35">
        <f>IF(AND(MOD(54,3)=0,BD115&gt;0),BD115*Assumptions!$B$59,0)</f>
        <v>0</v>
      </c>
      <c r="BE116" s="35">
        <f>IF(AND(MOD(55,3)=0,BE115&gt;0),BE115*Assumptions!$B$59,0)</f>
        <v>0</v>
      </c>
      <c r="BF116" s="35">
        <f>IF(AND(MOD(56,3)=0,BF115&gt;0),BF115*Assumptions!$B$59,0)</f>
        <v>0</v>
      </c>
      <c r="BG116" s="35">
        <f>IF(AND(MOD(57,3)=0,BG115&gt;0),BG115*Assumptions!$B$59,0)</f>
        <v>0</v>
      </c>
      <c r="BH116" s="35">
        <f>IF(AND(MOD(58,3)=0,BH115&gt;0),BH115*Assumptions!$B$59,0)</f>
        <v>0</v>
      </c>
      <c r="BI116" s="35">
        <f>IF(AND(MOD(59,3)=0,BI115&gt;0),BI115*Assumptions!$B$59,0)</f>
        <v>0</v>
      </c>
      <c r="BJ116" s="35">
        <f>IF(AND(MOD(60,3)=0,BJ115&gt;0),BJ115*Assumptions!$B$59,0)</f>
        <v>0</v>
      </c>
      <c r="BK116" s="35">
        <f>IF(AND(MOD(61,3)=0,BK115&gt;0),BK115*Assumptions!$B$59,0)</f>
        <v>0</v>
      </c>
      <c r="BL116" s="35">
        <f>IF(AND(MOD(62,3)=0,BL115&gt;0),BL115*Assumptions!$B$59,0)</f>
        <v>0</v>
      </c>
      <c r="BM116" s="35">
        <f>IF(AND(MOD(63,3)=0,BM115&gt;0),BM115*Assumptions!$B$59,0)</f>
        <v>0</v>
      </c>
      <c r="BN116" s="35">
        <f>IF(AND(MOD(64,3)=0,BN115&gt;0),BN115*Assumptions!$B$59,0)</f>
        <v>0</v>
      </c>
      <c r="BO116" s="35">
        <f>IF(AND(MOD(65,3)=0,BO115&gt;0),BO115*Assumptions!$B$59,0)</f>
        <v>0</v>
      </c>
      <c r="BP116" s="35">
        <f>IF(AND(MOD(66,3)=0,BP115&gt;0),BP115*Assumptions!$B$59,0)</f>
        <v>0</v>
      </c>
      <c r="BQ116" s="35">
        <f>IF(AND(MOD(67,3)=0,BQ115&gt;0),BQ115*Assumptions!$B$59,0)</f>
        <v>0</v>
      </c>
      <c r="BR116" s="35">
        <f>IF(AND(MOD(68,3)=0,BR115&gt;0),BR115*Assumptions!$B$59,0)</f>
        <v>0</v>
      </c>
      <c r="BS116" s="35">
        <f>IF(AND(MOD(69,3)=0,BS115&gt;0),BS115*Assumptions!$B$59,0)</f>
        <v>0</v>
      </c>
      <c r="BT116" s="35">
        <f>IF(AND(MOD(70,3)=0,BT115&gt;0),BT115*Assumptions!$B$59,0)</f>
        <v>0</v>
      </c>
      <c r="BU116" s="35">
        <f>IF(AND(MOD(71,3)=0,BU115&gt;0),BU115*Assumptions!$B$59,0)</f>
        <v>0</v>
      </c>
      <c r="BV116" s="35">
        <f>IF(AND(MOD(72,3)=0,BV115&gt;0),BV115*Assumptions!$B$59,0)</f>
        <v>0</v>
      </c>
      <c r="BW116" s="35">
        <f>IF(AND(MOD(73,3)=0,BW115&gt;0),BW115*Assumptions!$B$59,0)</f>
        <v>0</v>
      </c>
      <c r="BX116" s="35">
        <f>IF(AND(MOD(74,3)=0,BX115&gt;0),BX115*Assumptions!$B$59,0)</f>
        <v>0</v>
      </c>
      <c r="BY116" s="35">
        <f>IF(AND(MOD(75,3)=0,BY115&gt;0),BY115*Assumptions!$B$59,0)</f>
        <v>0</v>
      </c>
      <c r="BZ116" s="35">
        <f>IF(AND(MOD(76,3)=0,BZ115&gt;0),BZ115*Assumptions!$B$59,0)</f>
        <v>0</v>
      </c>
      <c r="CA116" s="35">
        <f>IF(AND(MOD(77,3)=0,CA115&gt;0),CA115*Assumptions!$B$59,0)</f>
        <v>0</v>
      </c>
      <c r="CB116" s="35">
        <f>IF(AND(MOD(78,3)=0,CB115&gt;0),CB115*Assumptions!$B$59,0)</f>
        <v>0</v>
      </c>
      <c r="CC116" s="35">
        <f>IF(AND(MOD(79,3)=0,CC115&gt;0),CC115*Assumptions!$B$59,0)</f>
        <v>0</v>
      </c>
      <c r="CD116" s="35">
        <f>IF(AND(MOD(80,3)=0,CD115&gt;0),CD115*Assumptions!$B$59,0)</f>
        <v>0</v>
      </c>
      <c r="CE116" s="35">
        <f>IF(AND(MOD(81,3)=0,CE115&gt;0),CE115*Assumptions!$B$59,0)</f>
        <v>0</v>
      </c>
      <c r="CF116" s="35">
        <f>IF(AND(MOD(82,3)=0,CF115&gt;0),CF115*Assumptions!$B$59,0)</f>
        <v>0</v>
      </c>
      <c r="CG116" s="35">
        <f>IF(AND(MOD(83,3)=0,CG115&gt;0),CG115*Assumptions!$B$59,0)</f>
        <v>0</v>
      </c>
      <c r="CH116" s="35">
        <f>IF(AND(MOD(84,3)=0,CH115&gt;0),CH115*Assumptions!$B$59,0)</f>
        <v>0</v>
      </c>
      <c r="CI116" s="23"/>
    </row>
    <row r="117" spans="1:87" ht="15" customHeight="1" x14ac:dyDescent="0.25">
      <c r="A117" s="7" t="s">
        <v>200</v>
      </c>
      <c r="B117" s="7"/>
      <c r="C117" s="35">
        <v>0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  <c r="O117" s="35">
        <v>0</v>
      </c>
      <c r="P117" s="35">
        <v>0</v>
      </c>
      <c r="Q117" s="35">
        <v>0</v>
      </c>
      <c r="R117" s="35">
        <v>0</v>
      </c>
      <c r="S117" s="35">
        <v>0</v>
      </c>
      <c r="T117" s="35">
        <v>0</v>
      </c>
      <c r="U117" s="35">
        <v>0</v>
      </c>
      <c r="V117" s="35">
        <v>0</v>
      </c>
      <c r="W117" s="35">
        <v>0</v>
      </c>
      <c r="X117" s="35">
        <v>0</v>
      </c>
      <c r="Y117" s="35">
        <v>0</v>
      </c>
      <c r="Z117" s="35">
        <v>0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35">
        <v>0</v>
      </c>
      <c r="AG117" s="35">
        <v>0</v>
      </c>
      <c r="AH117" s="35">
        <v>0</v>
      </c>
      <c r="AI117" s="35">
        <v>0</v>
      </c>
      <c r="AJ117" s="35">
        <v>0</v>
      </c>
      <c r="AK117" s="35">
        <v>0</v>
      </c>
      <c r="AL117" s="35">
        <v>0</v>
      </c>
      <c r="AM117" s="35">
        <v>0</v>
      </c>
      <c r="AN117" s="35">
        <v>0</v>
      </c>
      <c r="AO117" s="35">
        <v>0</v>
      </c>
      <c r="AP117" s="35">
        <v>0</v>
      </c>
      <c r="AQ117" s="35">
        <v>0</v>
      </c>
      <c r="AR117" s="35">
        <v>0</v>
      </c>
      <c r="AS117" s="35">
        <v>0</v>
      </c>
      <c r="AT117" s="35">
        <v>0</v>
      </c>
      <c r="AU117" s="35">
        <v>0</v>
      </c>
      <c r="AV117" s="35">
        <v>0</v>
      </c>
      <c r="AW117" s="35">
        <v>0</v>
      </c>
      <c r="AX117" s="35">
        <v>0</v>
      </c>
      <c r="AY117" s="35">
        <v>0</v>
      </c>
      <c r="AZ117" s="35">
        <v>0</v>
      </c>
      <c r="BA117" s="35">
        <v>0</v>
      </c>
      <c r="BB117" s="35">
        <v>0</v>
      </c>
      <c r="BC117" s="35">
        <v>0</v>
      </c>
      <c r="BD117" s="35">
        <v>0</v>
      </c>
      <c r="BE117" s="35">
        <v>0</v>
      </c>
      <c r="BF117" s="35">
        <v>0</v>
      </c>
      <c r="BG117" s="35">
        <v>0</v>
      </c>
      <c r="BH117" s="35">
        <v>0</v>
      </c>
      <c r="BI117" s="35">
        <v>0</v>
      </c>
      <c r="BJ117" s="35">
        <v>0</v>
      </c>
      <c r="BK117" s="35">
        <v>0</v>
      </c>
      <c r="BL117" s="35">
        <v>0</v>
      </c>
      <c r="BM117" s="35">
        <v>0</v>
      </c>
      <c r="BN117" s="35">
        <v>0</v>
      </c>
      <c r="BO117" s="35">
        <v>0</v>
      </c>
      <c r="BP117" s="35">
        <v>0</v>
      </c>
      <c r="BQ117" s="35">
        <v>0</v>
      </c>
      <c r="BR117" s="35">
        <v>0</v>
      </c>
      <c r="BS117" s="35">
        <v>0</v>
      </c>
      <c r="BT117" s="35">
        <v>0</v>
      </c>
      <c r="BU117" s="35">
        <v>0</v>
      </c>
      <c r="BV117" s="35">
        <v>0</v>
      </c>
      <c r="BW117" s="35">
        <v>0</v>
      </c>
      <c r="BX117" s="35">
        <v>0</v>
      </c>
      <c r="BY117" s="35">
        <v>0</v>
      </c>
      <c r="BZ117" s="35">
        <v>0</v>
      </c>
      <c r="CA117" s="35">
        <v>0</v>
      </c>
      <c r="CB117" s="35">
        <v>0</v>
      </c>
      <c r="CC117" s="35">
        <v>0</v>
      </c>
      <c r="CD117" s="35">
        <v>0</v>
      </c>
      <c r="CE117" s="35">
        <v>0</v>
      </c>
      <c r="CF117" s="35">
        <v>0</v>
      </c>
      <c r="CG117" s="35">
        <v>0</v>
      </c>
      <c r="CH117" s="35">
        <v>0</v>
      </c>
      <c r="CI117" s="23"/>
    </row>
    <row r="118" spans="1:87" ht="15" customHeight="1" x14ac:dyDescent="0.25">
      <c r="A118" s="193" t="s">
        <v>201</v>
      </c>
      <c r="B118" s="193"/>
      <c r="C118" s="194">
        <v>0</v>
      </c>
      <c r="D118" s="194">
        <v>0</v>
      </c>
      <c r="E118" s="194">
        <v>0</v>
      </c>
      <c r="F118" s="194">
        <v>0</v>
      </c>
      <c r="G118" s="194">
        <v>0</v>
      </c>
      <c r="H118" s="194">
        <v>0</v>
      </c>
      <c r="I118" s="194">
        <v>0</v>
      </c>
      <c r="J118" s="194">
        <v>0</v>
      </c>
      <c r="K118" s="194">
        <v>0</v>
      </c>
      <c r="L118" s="194">
        <v>0</v>
      </c>
      <c r="M118" s="194">
        <v>0</v>
      </c>
      <c r="N118" s="194">
        <v>0</v>
      </c>
      <c r="O118" s="194">
        <v>0</v>
      </c>
      <c r="P118" s="194">
        <v>0</v>
      </c>
      <c r="Q118" s="194">
        <v>0</v>
      </c>
      <c r="R118" s="194">
        <v>0</v>
      </c>
      <c r="S118" s="194">
        <v>0</v>
      </c>
      <c r="T118" s="194">
        <v>0</v>
      </c>
      <c r="U118" s="194">
        <v>0</v>
      </c>
      <c r="V118" s="194">
        <v>0</v>
      </c>
      <c r="W118" s="194">
        <v>0</v>
      </c>
      <c r="X118" s="194">
        <v>0</v>
      </c>
      <c r="Y118" s="194">
        <v>0</v>
      </c>
      <c r="Z118" s="194">
        <v>0</v>
      </c>
      <c r="AA118" s="194">
        <v>0</v>
      </c>
      <c r="AB118" s="194">
        <v>0</v>
      </c>
      <c r="AC118" s="194">
        <v>0</v>
      </c>
      <c r="AD118" s="194">
        <v>0</v>
      </c>
      <c r="AE118" s="194">
        <v>0</v>
      </c>
      <c r="AF118" s="194">
        <v>0</v>
      </c>
      <c r="AG118" s="194">
        <v>0</v>
      </c>
      <c r="AH118" s="194">
        <v>0</v>
      </c>
      <c r="AI118" s="194">
        <v>0</v>
      </c>
      <c r="AJ118" s="194">
        <v>0</v>
      </c>
      <c r="AK118" s="194">
        <v>0</v>
      </c>
      <c r="AL118" s="194">
        <v>0</v>
      </c>
      <c r="AM118" s="194">
        <v>0</v>
      </c>
      <c r="AN118" s="194">
        <v>0</v>
      </c>
      <c r="AO118" s="194">
        <v>0</v>
      </c>
      <c r="AP118" s="194">
        <v>0</v>
      </c>
      <c r="AQ118" s="194">
        <v>0</v>
      </c>
      <c r="AR118" s="194">
        <v>0</v>
      </c>
      <c r="AS118" s="194">
        <v>0</v>
      </c>
      <c r="AT118" s="194">
        <v>0</v>
      </c>
      <c r="AU118" s="194">
        <v>0</v>
      </c>
      <c r="AV118" s="194">
        <v>0</v>
      </c>
      <c r="AW118" s="194">
        <v>0</v>
      </c>
      <c r="AX118" s="194">
        <v>0</v>
      </c>
      <c r="AY118" s="194">
        <v>0</v>
      </c>
      <c r="AZ118" s="194">
        <v>0</v>
      </c>
      <c r="BA118" s="194">
        <v>0</v>
      </c>
      <c r="BB118" s="194">
        <v>0</v>
      </c>
      <c r="BC118" s="194">
        <v>0</v>
      </c>
      <c r="BD118" s="194">
        <v>0</v>
      </c>
      <c r="BE118" s="194">
        <v>0</v>
      </c>
      <c r="BF118" s="194">
        <v>0</v>
      </c>
      <c r="BG118" s="194">
        <v>0</v>
      </c>
      <c r="BH118" s="194">
        <v>0</v>
      </c>
      <c r="BI118" s="194">
        <v>0</v>
      </c>
      <c r="BJ118" s="194">
        <v>0</v>
      </c>
      <c r="BK118" s="194">
        <v>0</v>
      </c>
      <c r="BL118" s="194">
        <v>0</v>
      </c>
      <c r="BM118" s="194">
        <v>0</v>
      </c>
      <c r="BN118" s="194">
        <v>0</v>
      </c>
      <c r="BO118" s="194">
        <v>0</v>
      </c>
      <c r="BP118" s="194">
        <v>0</v>
      </c>
      <c r="BQ118" s="194">
        <v>0</v>
      </c>
      <c r="BR118" s="194">
        <v>0</v>
      </c>
      <c r="BS118" s="194">
        <v>0</v>
      </c>
      <c r="BT118" s="194">
        <v>0</v>
      </c>
      <c r="BU118" s="194">
        <v>0</v>
      </c>
      <c r="BV118" s="194">
        <v>0</v>
      </c>
      <c r="BW118" s="194">
        <v>0</v>
      </c>
      <c r="BX118" s="194">
        <v>0</v>
      </c>
      <c r="BY118" s="194">
        <v>0</v>
      </c>
      <c r="BZ118" s="194">
        <v>0</v>
      </c>
      <c r="CA118" s="194">
        <v>0</v>
      </c>
      <c r="CB118" s="194">
        <v>0</v>
      </c>
      <c r="CC118" s="194">
        <v>0</v>
      </c>
      <c r="CD118" s="194">
        <v>0</v>
      </c>
      <c r="CE118" s="194">
        <v>0</v>
      </c>
      <c r="CF118" s="194">
        <v>0</v>
      </c>
      <c r="CG118" s="194">
        <v>0</v>
      </c>
      <c r="CH118" s="194">
        <v>0</v>
      </c>
      <c r="CI118" s="23"/>
    </row>
    <row r="119" spans="1:87" ht="15" customHeight="1" x14ac:dyDescent="0.25">
      <c r="A119" s="195" t="s">
        <v>202</v>
      </c>
      <c r="B119" s="196"/>
      <c r="C119" s="197">
        <f t="shared" ref="C119:AH119" si="45">MAX(0,C115+C116+C117+C118)</f>
        <v>0</v>
      </c>
      <c r="D119" s="197">
        <f t="shared" si="45"/>
        <v>0</v>
      </c>
      <c r="E119" s="197">
        <f t="shared" si="45"/>
        <v>0</v>
      </c>
      <c r="F119" s="197">
        <f t="shared" si="45"/>
        <v>0</v>
      </c>
      <c r="G119" s="197">
        <f t="shared" si="45"/>
        <v>0</v>
      </c>
      <c r="H119" s="197">
        <f t="shared" si="45"/>
        <v>0</v>
      </c>
      <c r="I119" s="197">
        <f t="shared" si="45"/>
        <v>0</v>
      </c>
      <c r="J119" s="197">
        <f t="shared" si="45"/>
        <v>0</v>
      </c>
      <c r="K119" s="197">
        <f t="shared" si="45"/>
        <v>0</v>
      </c>
      <c r="L119" s="197">
        <f t="shared" si="45"/>
        <v>0</v>
      </c>
      <c r="M119" s="197">
        <f t="shared" si="45"/>
        <v>0</v>
      </c>
      <c r="N119" s="197">
        <f t="shared" si="45"/>
        <v>0</v>
      </c>
      <c r="O119" s="197">
        <f t="shared" si="45"/>
        <v>0</v>
      </c>
      <c r="P119" s="197">
        <f t="shared" si="45"/>
        <v>0</v>
      </c>
      <c r="Q119" s="197">
        <f t="shared" si="45"/>
        <v>0</v>
      </c>
      <c r="R119" s="197">
        <f t="shared" si="45"/>
        <v>0</v>
      </c>
      <c r="S119" s="197">
        <f t="shared" si="45"/>
        <v>0</v>
      </c>
      <c r="T119" s="197">
        <f t="shared" si="45"/>
        <v>0</v>
      </c>
      <c r="U119" s="197">
        <f t="shared" si="45"/>
        <v>0</v>
      </c>
      <c r="V119" s="197">
        <f t="shared" si="45"/>
        <v>0</v>
      </c>
      <c r="W119" s="197">
        <f t="shared" si="45"/>
        <v>0</v>
      </c>
      <c r="X119" s="197">
        <f t="shared" si="45"/>
        <v>0</v>
      </c>
      <c r="Y119" s="197">
        <f t="shared" si="45"/>
        <v>0</v>
      </c>
      <c r="Z119" s="197">
        <f t="shared" si="45"/>
        <v>0</v>
      </c>
      <c r="AA119" s="197">
        <f t="shared" si="45"/>
        <v>0</v>
      </c>
      <c r="AB119" s="197">
        <f t="shared" si="45"/>
        <v>0</v>
      </c>
      <c r="AC119" s="197">
        <f t="shared" si="45"/>
        <v>0</v>
      </c>
      <c r="AD119" s="197">
        <f t="shared" si="45"/>
        <v>0</v>
      </c>
      <c r="AE119" s="197">
        <f t="shared" si="45"/>
        <v>0</v>
      </c>
      <c r="AF119" s="197">
        <f t="shared" si="45"/>
        <v>0</v>
      </c>
      <c r="AG119" s="197">
        <f t="shared" si="45"/>
        <v>0</v>
      </c>
      <c r="AH119" s="197">
        <f t="shared" si="45"/>
        <v>0</v>
      </c>
      <c r="AI119" s="197">
        <f t="shared" ref="AI119:BN119" si="46">MAX(0,AI115+AI116+AI117+AI118)</f>
        <v>0</v>
      </c>
      <c r="AJ119" s="197">
        <f t="shared" si="46"/>
        <v>0</v>
      </c>
      <c r="AK119" s="197">
        <f t="shared" si="46"/>
        <v>0</v>
      </c>
      <c r="AL119" s="197">
        <f t="shared" si="46"/>
        <v>0</v>
      </c>
      <c r="AM119" s="197">
        <f t="shared" si="46"/>
        <v>0</v>
      </c>
      <c r="AN119" s="197">
        <f t="shared" si="46"/>
        <v>0</v>
      </c>
      <c r="AO119" s="197">
        <f t="shared" si="46"/>
        <v>0</v>
      </c>
      <c r="AP119" s="197">
        <f t="shared" si="46"/>
        <v>0</v>
      </c>
      <c r="AQ119" s="197">
        <f t="shared" si="46"/>
        <v>0</v>
      </c>
      <c r="AR119" s="197">
        <f t="shared" si="46"/>
        <v>0</v>
      </c>
      <c r="AS119" s="197">
        <f t="shared" si="46"/>
        <v>0</v>
      </c>
      <c r="AT119" s="197">
        <f t="shared" si="46"/>
        <v>0</v>
      </c>
      <c r="AU119" s="197">
        <f t="shared" si="46"/>
        <v>0</v>
      </c>
      <c r="AV119" s="197">
        <f t="shared" si="46"/>
        <v>0</v>
      </c>
      <c r="AW119" s="197">
        <f t="shared" si="46"/>
        <v>0</v>
      </c>
      <c r="AX119" s="197">
        <f t="shared" si="46"/>
        <v>0</v>
      </c>
      <c r="AY119" s="197">
        <f t="shared" si="46"/>
        <v>0</v>
      </c>
      <c r="AZ119" s="197">
        <f t="shared" si="46"/>
        <v>0</v>
      </c>
      <c r="BA119" s="197">
        <f t="shared" si="46"/>
        <v>0</v>
      </c>
      <c r="BB119" s="197">
        <f t="shared" si="46"/>
        <v>0</v>
      </c>
      <c r="BC119" s="197">
        <f t="shared" si="46"/>
        <v>0</v>
      </c>
      <c r="BD119" s="197">
        <f t="shared" si="46"/>
        <v>0</v>
      </c>
      <c r="BE119" s="197">
        <f t="shared" si="46"/>
        <v>0</v>
      </c>
      <c r="BF119" s="197">
        <f t="shared" si="46"/>
        <v>0</v>
      </c>
      <c r="BG119" s="197">
        <f t="shared" si="46"/>
        <v>0</v>
      </c>
      <c r="BH119" s="197">
        <f t="shared" si="46"/>
        <v>0</v>
      </c>
      <c r="BI119" s="197">
        <f t="shared" si="46"/>
        <v>0</v>
      </c>
      <c r="BJ119" s="197">
        <f t="shared" si="46"/>
        <v>0</v>
      </c>
      <c r="BK119" s="197">
        <f t="shared" si="46"/>
        <v>0</v>
      </c>
      <c r="BL119" s="197">
        <f t="shared" si="46"/>
        <v>0</v>
      </c>
      <c r="BM119" s="197">
        <f t="shared" si="46"/>
        <v>0</v>
      </c>
      <c r="BN119" s="197">
        <f t="shared" si="46"/>
        <v>0</v>
      </c>
      <c r="BO119" s="197">
        <f t="shared" ref="BO119:CH119" si="47">MAX(0,BO115+BO116+BO117+BO118)</f>
        <v>0</v>
      </c>
      <c r="BP119" s="197">
        <f t="shared" si="47"/>
        <v>0</v>
      </c>
      <c r="BQ119" s="197">
        <f t="shared" si="47"/>
        <v>0</v>
      </c>
      <c r="BR119" s="197">
        <f t="shared" si="47"/>
        <v>0</v>
      </c>
      <c r="BS119" s="197">
        <f t="shared" si="47"/>
        <v>0</v>
      </c>
      <c r="BT119" s="197">
        <f t="shared" si="47"/>
        <v>0</v>
      </c>
      <c r="BU119" s="197">
        <f t="shared" si="47"/>
        <v>0</v>
      </c>
      <c r="BV119" s="197">
        <f t="shared" si="47"/>
        <v>0</v>
      </c>
      <c r="BW119" s="197">
        <f t="shared" si="47"/>
        <v>0</v>
      </c>
      <c r="BX119" s="197">
        <f t="shared" si="47"/>
        <v>0</v>
      </c>
      <c r="BY119" s="197">
        <f t="shared" si="47"/>
        <v>0</v>
      </c>
      <c r="BZ119" s="197">
        <f t="shared" si="47"/>
        <v>0</v>
      </c>
      <c r="CA119" s="197">
        <f t="shared" si="47"/>
        <v>0</v>
      </c>
      <c r="CB119" s="197">
        <f t="shared" si="47"/>
        <v>0</v>
      </c>
      <c r="CC119" s="197">
        <f t="shared" si="47"/>
        <v>0</v>
      </c>
      <c r="CD119" s="197">
        <f t="shared" si="47"/>
        <v>0</v>
      </c>
      <c r="CE119" s="197">
        <f t="shared" si="47"/>
        <v>0</v>
      </c>
      <c r="CF119" s="197">
        <f t="shared" si="47"/>
        <v>0</v>
      </c>
      <c r="CG119" s="197">
        <f t="shared" si="47"/>
        <v>0</v>
      </c>
      <c r="CH119" s="197">
        <f t="shared" si="47"/>
        <v>0</v>
      </c>
      <c r="CI119" s="23"/>
    </row>
    <row r="120" spans="1:87" ht="15" customHeight="1" x14ac:dyDescent="0.25">
      <c r="A120" s="36" t="s">
        <v>203</v>
      </c>
      <c r="B120" s="36"/>
      <c r="C120" s="37">
        <f>IF(Projects!$G$14="Yes",Assumptions!$B$75,0)</f>
        <v>264927.15000000002</v>
      </c>
      <c r="D120" s="37">
        <f>C124</f>
        <v>264927.15000000002</v>
      </c>
      <c r="E120" s="37">
        <f>IF(Projects!$G$14="Yes",D124+176618.1,D124)</f>
        <v>441545.25</v>
      </c>
      <c r="F120" s="37">
        <f>E124</f>
        <v>458103.19687500002</v>
      </c>
      <c r="G120" s="37">
        <f>F124</f>
        <v>458103.19687500002</v>
      </c>
      <c r="H120" s="37">
        <f>IF(Projects!$G$14="Yes",G124+176618.1,G124)</f>
        <v>634721.296875</v>
      </c>
      <c r="I120" s="37">
        <f>H124</f>
        <v>658523.34550781245</v>
      </c>
      <c r="J120" s="37">
        <f>I124</f>
        <v>658523.34550781245</v>
      </c>
      <c r="K120" s="37">
        <f>J124</f>
        <v>658523.34550781245</v>
      </c>
      <c r="L120" s="37">
        <f>IF(Projects!$G$14="Yes",K124+88309.05,K124)</f>
        <v>771527.02096435544</v>
      </c>
      <c r="M120" s="37">
        <f>L124</f>
        <v>771527.02096435544</v>
      </c>
      <c r="N120" s="37">
        <f>M124</f>
        <v>771527.02096435544</v>
      </c>
      <c r="O120" s="37">
        <f>N124</f>
        <v>800459.28425051877</v>
      </c>
      <c r="P120" s="37">
        <f>O124</f>
        <v>800459.28425051877</v>
      </c>
      <c r="Q120" s="37">
        <f>IF(Projects!$G$14="Yes",P124+88309.05,P124)</f>
        <v>888768.33425051882</v>
      </c>
      <c r="R120" s="37">
        <f>Q124</f>
        <v>922097.14678491326</v>
      </c>
      <c r="S120" s="37">
        <f>R124</f>
        <v>922097.14678491326</v>
      </c>
      <c r="T120" s="37">
        <f>S124</f>
        <v>922097.14678491326</v>
      </c>
      <c r="U120" s="37">
        <f>T124</f>
        <v>956675.78978934756</v>
      </c>
      <c r="V120" s="37">
        <f>U124</f>
        <v>956675.78978934756</v>
      </c>
      <c r="W120" s="37">
        <f>IF(Projects!$G$14="Yes",V124+88309.05,V124)</f>
        <v>1044984.8397893476</v>
      </c>
      <c r="X120" s="37">
        <f>W124</f>
        <v>1084171.7712814482</v>
      </c>
      <c r="Y120" s="37">
        <f>X124</f>
        <v>1084171.7712814482</v>
      </c>
      <c r="Z120" s="37">
        <f>Y124</f>
        <v>1084171.7712814482</v>
      </c>
      <c r="AA120" s="37">
        <f>Z124</f>
        <v>1124828.2127045025</v>
      </c>
      <c r="AB120" s="37">
        <f>AA124</f>
        <v>1124828.2127045025</v>
      </c>
      <c r="AC120" s="37">
        <f>IF(Projects!$G$14="Yes",AB124+Assumptions!$B$76,AB124)</f>
        <v>2007918.7127045025</v>
      </c>
      <c r="AD120" s="37">
        <f t="shared" ref="AD120:BI120" si="48">AC124</f>
        <v>283215.66443092143</v>
      </c>
      <c r="AE120" s="37">
        <f t="shared" si="48"/>
        <v>283215.66443092143</v>
      </c>
      <c r="AF120" s="37">
        <f t="shared" si="48"/>
        <v>283215.66443092143</v>
      </c>
      <c r="AG120" s="37">
        <f t="shared" si="48"/>
        <v>293836.251847081</v>
      </c>
      <c r="AH120" s="37">
        <f t="shared" si="48"/>
        <v>293836.251847081</v>
      </c>
      <c r="AI120" s="37">
        <f t="shared" si="48"/>
        <v>293836.251847081</v>
      </c>
      <c r="AJ120" s="37">
        <f t="shared" si="48"/>
        <v>304855.11129134655</v>
      </c>
      <c r="AK120" s="37">
        <f t="shared" si="48"/>
        <v>304855.11129134655</v>
      </c>
      <c r="AL120" s="37">
        <f t="shared" si="48"/>
        <v>304855.11129134655</v>
      </c>
      <c r="AM120" s="37">
        <f t="shared" si="48"/>
        <v>316287.17796477204</v>
      </c>
      <c r="AN120" s="37">
        <f t="shared" si="48"/>
        <v>316287.17796477204</v>
      </c>
      <c r="AO120" s="37">
        <f t="shared" si="48"/>
        <v>316287.17796477204</v>
      </c>
      <c r="AP120" s="37">
        <f t="shared" si="48"/>
        <v>328147.94713845098</v>
      </c>
      <c r="AQ120" s="37">
        <f t="shared" si="48"/>
        <v>328147.94713845098</v>
      </c>
      <c r="AR120" s="37">
        <f t="shared" si="48"/>
        <v>328147.94713845098</v>
      </c>
      <c r="AS120" s="37">
        <f t="shared" si="48"/>
        <v>340453.49515614292</v>
      </c>
      <c r="AT120" s="37">
        <f t="shared" si="48"/>
        <v>340453.49515614292</v>
      </c>
      <c r="AU120" s="37">
        <f t="shared" si="48"/>
        <v>340453.49515614292</v>
      </c>
      <c r="AV120" s="37">
        <f t="shared" si="48"/>
        <v>353220.50122449826</v>
      </c>
      <c r="AW120" s="37">
        <f t="shared" si="48"/>
        <v>353220.50122449826</v>
      </c>
      <c r="AX120" s="37">
        <f t="shared" si="48"/>
        <v>353220.50122449826</v>
      </c>
      <c r="AY120" s="37">
        <f t="shared" si="48"/>
        <v>366466.27002041694</v>
      </c>
      <c r="AZ120" s="37">
        <f t="shared" si="48"/>
        <v>366466.27002041694</v>
      </c>
      <c r="BA120" s="37">
        <f t="shared" si="48"/>
        <v>366466.27002041694</v>
      </c>
      <c r="BB120" s="37">
        <f t="shared" si="48"/>
        <v>380208.75514618255</v>
      </c>
      <c r="BC120" s="37">
        <f t="shared" si="48"/>
        <v>380208.75514618255</v>
      </c>
      <c r="BD120" s="37">
        <f t="shared" si="48"/>
        <v>380208.75514618255</v>
      </c>
      <c r="BE120" s="37">
        <f t="shared" si="48"/>
        <v>394466.5834641644</v>
      </c>
      <c r="BF120" s="37">
        <f t="shared" si="48"/>
        <v>394466.5834641644</v>
      </c>
      <c r="BG120" s="37">
        <f t="shared" si="48"/>
        <v>394466.5834641644</v>
      </c>
      <c r="BH120" s="37">
        <f t="shared" si="48"/>
        <v>409259.08034407056</v>
      </c>
      <c r="BI120" s="37">
        <f t="shared" si="48"/>
        <v>409259.08034407056</v>
      </c>
      <c r="BJ120" s="37">
        <f t="shared" ref="BJ120:CH120" si="49">BI124</f>
        <v>409259.08034407056</v>
      </c>
      <c r="BK120" s="37">
        <f t="shared" si="49"/>
        <v>424606.29585697321</v>
      </c>
      <c r="BL120" s="37">
        <f t="shared" si="49"/>
        <v>424606.29585697321</v>
      </c>
      <c r="BM120" s="37">
        <f t="shared" si="49"/>
        <v>424606.29585697321</v>
      </c>
      <c r="BN120" s="37">
        <f t="shared" si="49"/>
        <v>440529.03195160971</v>
      </c>
      <c r="BO120" s="37">
        <f t="shared" si="49"/>
        <v>440529.03195160971</v>
      </c>
      <c r="BP120" s="37">
        <f t="shared" si="49"/>
        <v>440529.03195160971</v>
      </c>
      <c r="BQ120" s="37">
        <f t="shared" si="49"/>
        <v>457048.87064979505</v>
      </c>
      <c r="BR120" s="37">
        <f t="shared" si="49"/>
        <v>457048.87064979505</v>
      </c>
      <c r="BS120" s="37">
        <f t="shared" si="49"/>
        <v>457048.87064979505</v>
      </c>
      <c r="BT120" s="37">
        <f t="shared" si="49"/>
        <v>474188.20329916239</v>
      </c>
      <c r="BU120" s="37">
        <f t="shared" si="49"/>
        <v>474188.20329916239</v>
      </c>
      <c r="BV120" s="37">
        <f t="shared" si="49"/>
        <v>474188.20329916239</v>
      </c>
      <c r="BW120" s="37">
        <f t="shared" si="49"/>
        <v>491970.26092288096</v>
      </c>
      <c r="BX120" s="37">
        <f t="shared" si="49"/>
        <v>491970.26092288096</v>
      </c>
      <c r="BY120" s="37">
        <f t="shared" si="49"/>
        <v>491970.26092288096</v>
      </c>
      <c r="BZ120" s="37">
        <f t="shared" si="49"/>
        <v>510419.14570748899</v>
      </c>
      <c r="CA120" s="37">
        <f t="shared" si="49"/>
        <v>510419.14570748899</v>
      </c>
      <c r="CB120" s="37">
        <f t="shared" si="49"/>
        <v>510419.14570748899</v>
      </c>
      <c r="CC120" s="37">
        <f t="shared" si="49"/>
        <v>529559.86367151979</v>
      </c>
      <c r="CD120" s="37">
        <f t="shared" si="49"/>
        <v>529559.86367151979</v>
      </c>
      <c r="CE120" s="37">
        <f t="shared" si="49"/>
        <v>529559.86367151979</v>
      </c>
      <c r="CF120" s="37">
        <f t="shared" si="49"/>
        <v>549418.35855920182</v>
      </c>
      <c r="CG120" s="37">
        <f t="shared" si="49"/>
        <v>549418.35855920182</v>
      </c>
      <c r="CH120" s="37">
        <f t="shared" si="49"/>
        <v>549418.35855920182</v>
      </c>
      <c r="CI120" s="23"/>
    </row>
    <row r="121" spans="1:87" ht="15" customHeight="1" x14ac:dyDescent="0.25">
      <c r="A121" s="36" t="s">
        <v>204</v>
      </c>
      <c r="B121" s="36"/>
      <c r="C121" s="37">
        <f>IF(AND(MOD(1,3)=0,C120&gt;0),C120*Assumptions!$B$59,0)</f>
        <v>0</v>
      </c>
      <c r="D121" s="37">
        <f>IF(AND(MOD(2,3)=0,D120&gt;0),D120*Assumptions!$B$59,0)</f>
        <v>0</v>
      </c>
      <c r="E121" s="37">
        <f>IF(AND(MOD(3,3)=0,E120&gt;0),E120*Assumptions!$B$59,0)</f>
        <v>16557.946874999998</v>
      </c>
      <c r="F121" s="37">
        <f>IF(AND(MOD(4,3)=0,F120&gt;0),F120*Assumptions!$B$59,0)</f>
        <v>0</v>
      </c>
      <c r="G121" s="37">
        <f>IF(AND(MOD(5,3)=0,G120&gt;0),G120*Assumptions!$B$59,0)</f>
        <v>0</v>
      </c>
      <c r="H121" s="37">
        <f>IF(AND(MOD(6,3)=0,H120&gt;0),H120*Assumptions!$B$59,0)</f>
        <v>23802.048632812501</v>
      </c>
      <c r="I121" s="37">
        <f>IF(AND(MOD(7,3)=0,I120&gt;0),I120*Assumptions!$B$59,0)</f>
        <v>0</v>
      </c>
      <c r="J121" s="37">
        <f>IF(AND(MOD(8,3)=0,J120&gt;0),J120*Assumptions!$B$59,0)</f>
        <v>0</v>
      </c>
      <c r="K121" s="37">
        <f>IF(AND(MOD(9,3)=0,K120&gt;0),K120*Assumptions!$B$59,0)</f>
        <v>24694.625456542966</v>
      </c>
      <c r="L121" s="37">
        <f>IF(AND(MOD(10,3)=0,L120&gt;0),L120*Assumptions!$B$59,0)</f>
        <v>0</v>
      </c>
      <c r="M121" s="37">
        <f>IF(AND(MOD(11,3)=0,M120&gt;0),M120*Assumptions!$B$59,0)</f>
        <v>0</v>
      </c>
      <c r="N121" s="37">
        <f>IF(AND(MOD(12,3)=0,N120&gt;0),N120*Assumptions!$B$59,0)</f>
        <v>28932.263286163328</v>
      </c>
      <c r="O121" s="37">
        <f>IF(AND(MOD(13,3)=0,O120&gt;0),O120*Assumptions!$B$59,0)</f>
        <v>0</v>
      </c>
      <c r="P121" s="37">
        <f>IF(AND(MOD(14,3)=0,P120&gt;0),P120*Assumptions!$B$59,0)</f>
        <v>0</v>
      </c>
      <c r="Q121" s="37">
        <f>IF(AND(MOD(15,3)=0,Q120&gt;0),Q120*Assumptions!$B$59,0)</f>
        <v>33328.812534394456</v>
      </c>
      <c r="R121" s="37">
        <f>IF(AND(MOD(16,3)=0,R120&gt;0),R120*Assumptions!$B$59,0)</f>
        <v>0</v>
      </c>
      <c r="S121" s="37">
        <f>IF(AND(MOD(17,3)=0,S120&gt;0),S120*Assumptions!$B$59,0)</f>
        <v>0</v>
      </c>
      <c r="T121" s="37">
        <f>IF(AND(MOD(18,3)=0,T120&gt;0),T120*Assumptions!$B$59,0)</f>
        <v>34578.643004434249</v>
      </c>
      <c r="U121" s="37">
        <f>IF(AND(MOD(19,3)=0,U120&gt;0),U120*Assumptions!$B$59,0)</f>
        <v>0</v>
      </c>
      <c r="V121" s="37">
        <f>IF(AND(MOD(20,3)=0,V120&gt;0),V120*Assumptions!$B$59,0)</f>
        <v>0</v>
      </c>
      <c r="W121" s="37">
        <f>IF(AND(MOD(21,3)=0,W120&gt;0),W120*Assumptions!$B$59,0)</f>
        <v>39186.931492100535</v>
      </c>
      <c r="X121" s="37">
        <f>IF(AND(MOD(22,3)=0,X120&gt;0),X120*Assumptions!$B$59,0)</f>
        <v>0</v>
      </c>
      <c r="Y121" s="37">
        <f>IF(AND(MOD(23,3)=0,Y120&gt;0),Y120*Assumptions!$B$59,0)</f>
        <v>0</v>
      </c>
      <c r="Z121" s="37">
        <f>IF(AND(MOD(24,3)=0,Z120&gt;0),Z120*Assumptions!$B$59,0)</f>
        <v>40656.441423054304</v>
      </c>
      <c r="AA121" s="37">
        <f>IF(AND(MOD(25,3)=0,AA120&gt;0),AA120*Assumptions!$B$59,0)</f>
        <v>0</v>
      </c>
      <c r="AB121" s="37">
        <f>IF(AND(MOD(26,3)=0,AB120&gt;0),AB120*Assumptions!$B$59,0)</f>
        <v>0</v>
      </c>
      <c r="AC121" s="37">
        <f>IF(AND(MOD(27,3)=0,AC120&gt;0),AC120*Assumptions!$B$59,0)</f>
        <v>75296.951726418847</v>
      </c>
      <c r="AD121" s="37">
        <f>IF(AND(MOD(28,3)=0,AD120&gt;0),AD120*Assumptions!$B$59,0)</f>
        <v>0</v>
      </c>
      <c r="AE121" s="37">
        <f>IF(AND(MOD(29,3)=0,AE120&gt;0),AE120*Assumptions!$B$59,0)</f>
        <v>0</v>
      </c>
      <c r="AF121" s="37">
        <f>IF(AND(MOD(30,3)=0,AF120&gt;0),AF120*Assumptions!$B$59,0)</f>
        <v>10620.587416159553</v>
      </c>
      <c r="AG121" s="37">
        <f>IF(AND(MOD(31,3)=0,AG120&gt;0),AG120*Assumptions!$B$59,0)</f>
        <v>0</v>
      </c>
      <c r="AH121" s="37">
        <f>IF(AND(MOD(32,3)=0,AH120&gt;0),AH120*Assumptions!$B$59,0)</f>
        <v>0</v>
      </c>
      <c r="AI121" s="37">
        <f>IF(AND(MOD(33,3)=0,AI120&gt;0),AI120*Assumptions!$B$59,0)</f>
        <v>11018.859444265538</v>
      </c>
      <c r="AJ121" s="37">
        <f>IF(AND(MOD(34,3)=0,AJ120&gt;0),AJ120*Assumptions!$B$59,0)</f>
        <v>0</v>
      </c>
      <c r="AK121" s="37">
        <f>IF(AND(MOD(35,3)=0,AK120&gt;0),AK120*Assumptions!$B$59,0)</f>
        <v>0</v>
      </c>
      <c r="AL121" s="37">
        <f>IF(AND(MOD(36,3)=0,AL120&gt;0),AL120*Assumptions!$B$59,0)</f>
        <v>11432.066673425496</v>
      </c>
      <c r="AM121" s="37">
        <f>IF(AND(MOD(37,3)=0,AM120&gt;0),AM120*Assumptions!$B$59,0)</f>
        <v>0</v>
      </c>
      <c r="AN121" s="37">
        <f>IF(AND(MOD(38,3)=0,AN120&gt;0),AN120*Assumptions!$B$59,0)</f>
        <v>0</v>
      </c>
      <c r="AO121" s="37">
        <f>IF(AND(MOD(39,3)=0,AO120&gt;0),AO120*Assumptions!$B$59,0)</f>
        <v>11860.769173678951</v>
      </c>
      <c r="AP121" s="37">
        <f>IF(AND(MOD(40,3)=0,AP120&gt;0),AP120*Assumptions!$B$59,0)</f>
        <v>0</v>
      </c>
      <c r="AQ121" s="37">
        <f>IF(AND(MOD(41,3)=0,AQ120&gt;0),AQ120*Assumptions!$B$59,0)</f>
        <v>0</v>
      </c>
      <c r="AR121" s="37">
        <f>IF(AND(MOD(42,3)=0,AR120&gt;0),AR120*Assumptions!$B$59,0)</f>
        <v>12305.548017691912</v>
      </c>
      <c r="AS121" s="37">
        <f>IF(AND(MOD(43,3)=0,AS120&gt;0),AS120*Assumptions!$B$59,0)</f>
        <v>0</v>
      </c>
      <c r="AT121" s="37">
        <f>IF(AND(MOD(44,3)=0,AT120&gt;0),AT120*Assumptions!$B$59,0)</f>
        <v>0</v>
      </c>
      <c r="AU121" s="37">
        <f>IF(AND(MOD(45,3)=0,AU120&gt;0),AU120*Assumptions!$B$59,0)</f>
        <v>12767.006068355358</v>
      </c>
      <c r="AV121" s="37">
        <f>IF(AND(MOD(46,3)=0,AV120&gt;0),AV120*Assumptions!$B$59,0)</f>
        <v>0</v>
      </c>
      <c r="AW121" s="37">
        <f>IF(AND(MOD(47,3)=0,AW120&gt;0),AW120*Assumptions!$B$59,0)</f>
        <v>0</v>
      </c>
      <c r="AX121" s="37">
        <f>IF(AND(MOD(48,3)=0,AX120&gt;0),AX120*Assumptions!$B$59,0)</f>
        <v>13245.768795918684</v>
      </c>
      <c r="AY121" s="37">
        <f>IF(AND(MOD(49,3)=0,AY120&gt;0),AY120*Assumptions!$B$59,0)</f>
        <v>0</v>
      </c>
      <c r="AZ121" s="37">
        <f>IF(AND(MOD(50,3)=0,AZ120&gt;0),AZ120*Assumptions!$B$59,0)</f>
        <v>0</v>
      </c>
      <c r="BA121" s="37">
        <f>IF(AND(MOD(51,3)=0,BA120&gt;0),BA120*Assumptions!$B$59,0)</f>
        <v>13742.485125765636</v>
      </c>
      <c r="BB121" s="37">
        <f>IF(AND(MOD(52,3)=0,BB120&gt;0),BB120*Assumptions!$B$59,0)</f>
        <v>0</v>
      </c>
      <c r="BC121" s="37">
        <f>IF(AND(MOD(53,3)=0,BC120&gt;0),BC120*Assumptions!$B$59,0)</f>
        <v>0</v>
      </c>
      <c r="BD121" s="37">
        <f>IF(AND(MOD(54,3)=0,BD120&gt;0),BD120*Assumptions!$B$59,0)</f>
        <v>14257.828317981845</v>
      </c>
      <c r="BE121" s="37">
        <f>IF(AND(MOD(55,3)=0,BE120&gt;0),BE120*Assumptions!$B$59,0)</f>
        <v>0</v>
      </c>
      <c r="BF121" s="37">
        <f>IF(AND(MOD(56,3)=0,BF120&gt;0),BF120*Assumptions!$B$59,0)</f>
        <v>0</v>
      </c>
      <c r="BG121" s="37">
        <f>IF(AND(MOD(57,3)=0,BG120&gt;0),BG120*Assumptions!$B$59,0)</f>
        <v>14792.496879906164</v>
      </c>
      <c r="BH121" s="37">
        <f>IF(AND(MOD(58,3)=0,BH120&gt;0),BH120*Assumptions!$B$59,0)</f>
        <v>0</v>
      </c>
      <c r="BI121" s="37">
        <f>IF(AND(MOD(59,3)=0,BI120&gt;0),BI120*Assumptions!$B$59,0)</f>
        <v>0</v>
      </c>
      <c r="BJ121" s="37">
        <f>IF(AND(MOD(60,3)=0,BJ120&gt;0),BJ120*Assumptions!$B$59,0)</f>
        <v>15347.215512902645</v>
      </c>
      <c r="BK121" s="37">
        <f>IF(AND(MOD(61,3)=0,BK120&gt;0),BK120*Assumptions!$B$59,0)</f>
        <v>0</v>
      </c>
      <c r="BL121" s="37">
        <f>IF(AND(MOD(62,3)=0,BL120&gt;0),BL120*Assumptions!$B$59,0)</f>
        <v>0</v>
      </c>
      <c r="BM121" s="37">
        <f>IF(AND(MOD(63,3)=0,BM120&gt;0),BM120*Assumptions!$B$59,0)</f>
        <v>15922.736094636495</v>
      </c>
      <c r="BN121" s="37">
        <f>IF(AND(MOD(64,3)=0,BN120&gt;0),BN120*Assumptions!$B$59,0)</f>
        <v>0</v>
      </c>
      <c r="BO121" s="37">
        <f>IF(AND(MOD(65,3)=0,BO120&gt;0),BO120*Assumptions!$B$59,0)</f>
        <v>0</v>
      </c>
      <c r="BP121" s="37">
        <f>IF(AND(MOD(66,3)=0,BP120&gt;0),BP120*Assumptions!$B$59,0)</f>
        <v>16519.838698185362</v>
      </c>
      <c r="BQ121" s="37">
        <f>IF(AND(MOD(67,3)=0,BQ120&gt;0),BQ120*Assumptions!$B$59,0)</f>
        <v>0</v>
      </c>
      <c r="BR121" s="37">
        <f>IF(AND(MOD(68,3)=0,BR120&gt;0),BR120*Assumptions!$B$59,0)</f>
        <v>0</v>
      </c>
      <c r="BS121" s="37">
        <f>IF(AND(MOD(69,3)=0,BS120&gt;0),BS120*Assumptions!$B$59,0)</f>
        <v>17139.332649367312</v>
      </c>
      <c r="BT121" s="37">
        <f>IF(AND(MOD(70,3)=0,BT120&gt;0),BT120*Assumptions!$B$59,0)</f>
        <v>0</v>
      </c>
      <c r="BU121" s="37">
        <f>IF(AND(MOD(71,3)=0,BU120&gt;0),BU120*Assumptions!$B$59,0)</f>
        <v>0</v>
      </c>
      <c r="BV121" s="37">
        <f>IF(AND(MOD(72,3)=0,BV120&gt;0),BV120*Assumptions!$B$59,0)</f>
        <v>17782.057623718589</v>
      </c>
      <c r="BW121" s="37">
        <f>IF(AND(MOD(73,3)=0,BW120&gt;0),BW120*Assumptions!$B$59,0)</f>
        <v>0</v>
      </c>
      <c r="BX121" s="37">
        <f>IF(AND(MOD(74,3)=0,BX120&gt;0),BX120*Assumptions!$B$59,0)</f>
        <v>0</v>
      </c>
      <c r="BY121" s="37">
        <f>IF(AND(MOD(75,3)=0,BY120&gt;0),BY120*Assumptions!$B$59,0)</f>
        <v>18448.884784608035</v>
      </c>
      <c r="BZ121" s="37">
        <f>IF(AND(MOD(76,3)=0,BZ120&gt;0),BZ120*Assumptions!$B$59,0)</f>
        <v>0</v>
      </c>
      <c r="CA121" s="37">
        <f>IF(AND(MOD(77,3)=0,CA120&gt;0),CA120*Assumptions!$B$59,0)</f>
        <v>0</v>
      </c>
      <c r="CB121" s="37">
        <f>IF(AND(MOD(78,3)=0,CB120&gt;0),CB120*Assumptions!$B$59,0)</f>
        <v>19140.717964030835</v>
      </c>
      <c r="CC121" s="37">
        <f>IF(AND(MOD(79,3)=0,CC120&gt;0),CC120*Assumptions!$B$59,0)</f>
        <v>0</v>
      </c>
      <c r="CD121" s="37">
        <f>IF(AND(MOD(80,3)=0,CD120&gt;0),CD120*Assumptions!$B$59,0)</f>
        <v>0</v>
      </c>
      <c r="CE121" s="37">
        <f>IF(AND(MOD(81,3)=0,CE120&gt;0),CE120*Assumptions!$B$59,0)</f>
        <v>19858.494887681991</v>
      </c>
      <c r="CF121" s="37">
        <f>IF(AND(MOD(82,3)=0,CF120&gt;0),CF120*Assumptions!$B$59,0)</f>
        <v>0</v>
      </c>
      <c r="CG121" s="37">
        <f>IF(AND(MOD(83,3)=0,CG120&gt;0),CG120*Assumptions!$B$59,0)</f>
        <v>0</v>
      </c>
      <c r="CH121" s="37">
        <f>IF(AND(MOD(84,3)=0,CH120&gt;0),CH120*Assumptions!$B$59,0)</f>
        <v>20603.188445970067</v>
      </c>
      <c r="CI121" s="23"/>
    </row>
    <row r="122" spans="1:87" ht="15" customHeight="1" x14ac:dyDescent="0.25">
      <c r="A122" s="36" t="s">
        <v>205</v>
      </c>
      <c r="B122" s="36"/>
      <c r="C122" s="37">
        <v>0</v>
      </c>
      <c r="D122" s="37">
        <v>0</v>
      </c>
      <c r="E122" s="37">
        <v>0</v>
      </c>
      <c r="F122" s="37">
        <v>0</v>
      </c>
      <c r="G122" s="37">
        <v>0</v>
      </c>
      <c r="H122" s="37">
        <v>0</v>
      </c>
      <c r="I122" s="37">
        <v>0</v>
      </c>
      <c r="J122" s="37">
        <v>0</v>
      </c>
      <c r="K122" s="37">
        <v>0</v>
      </c>
      <c r="L122" s="37">
        <v>0</v>
      </c>
      <c r="M122" s="37">
        <v>0</v>
      </c>
      <c r="N122" s="37">
        <v>0</v>
      </c>
      <c r="O122" s="37">
        <v>0</v>
      </c>
      <c r="P122" s="37">
        <v>0</v>
      </c>
      <c r="Q122" s="37">
        <v>0</v>
      </c>
      <c r="R122" s="37">
        <v>0</v>
      </c>
      <c r="S122" s="37">
        <v>0</v>
      </c>
      <c r="T122" s="37">
        <v>0</v>
      </c>
      <c r="U122" s="37">
        <v>0</v>
      </c>
      <c r="V122" s="37">
        <v>0</v>
      </c>
      <c r="W122" s="37">
        <v>0</v>
      </c>
      <c r="X122" s="37">
        <v>0</v>
      </c>
      <c r="Y122" s="37">
        <v>0</v>
      </c>
      <c r="Z122" s="37">
        <v>0</v>
      </c>
      <c r="AA122" s="37">
        <v>0</v>
      </c>
      <c r="AB122" s="37">
        <v>0</v>
      </c>
      <c r="AC122" s="37">
        <f>IF(Projects!$G$14="Yes",Assumptions!$B$77,0)</f>
        <v>-1800000</v>
      </c>
      <c r="AD122" s="37">
        <v>0</v>
      </c>
      <c r="AE122" s="37">
        <v>0</v>
      </c>
      <c r="AF122" s="37">
        <v>0</v>
      </c>
      <c r="AG122" s="37">
        <v>0</v>
      </c>
      <c r="AH122" s="37">
        <v>0</v>
      </c>
      <c r="AI122" s="37">
        <v>0</v>
      </c>
      <c r="AJ122" s="37">
        <v>0</v>
      </c>
      <c r="AK122" s="37">
        <v>0</v>
      </c>
      <c r="AL122" s="37">
        <v>0</v>
      </c>
      <c r="AM122" s="37">
        <v>0</v>
      </c>
      <c r="AN122" s="37">
        <v>0</v>
      </c>
      <c r="AO122" s="37">
        <v>0</v>
      </c>
      <c r="AP122" s="37">
        <v>0</v>
      </c>
      <c r="AQ122" s="37">
        <v>0</v>
      </c>
      <c r="AR122" s="37">
        <v>0</v>
      </c>
      <c r="AS122" s="37">
        <v>0</v>
      </c>
      <c r="AT122" s="37">
        <v>0</v>
      </c>
      <c r="AU122" s="37">
        <v>0</v>
      </c>
      <c r="AV122" s="37">
        <v>0</v>
      </c>
      <c r="AW122" s="37">
        <v>0</v>
      </c>
      <c r="AX122" s="37">
        <v>0</v>
      </c>
      <c r="AY122" s="37">
        <v>0</v>
      </c>
      <c r="AZ122" s="37">
        <v>0</v>
      </c>
      <c r="BA122" s="37">
        <v>0</v>
      </c>
      <c r="BB122" s="37">
        <v>0</v>
      </c>
      <c r="BC122" s="37">
        <v>0</v>
      </c>
      <c r="BD122" s="37">
        <v>0</v>
      </c>
      <c r="BE122" s="37">
        <v>0</v>
      </c>
      <c r="BF122" s="37">
        <v>0</v>
      </c>
      <c r="BG122" s="37">
        <v>0</v>
      </c>
      <c r="BH122" s="37">
        <v>0</v>
      </c>
      <c r="BI122" s="37">
        <v>0</v>
      </c>
      <c r="BJ122" s="37">
        <v>0</v>
      </c>
      <c r="BK122" s="37">
        <v>0</v>
      </c>
      <c r="BL122" s="37">
        <v>0</v>
      </c>
      <c r="BM122" s="37">
        <v>0</v>
      </c>
      <c r="BN122" s="37">
        <v>0</v>
      </c>
      <c r="BO122" s="37">
        <v>0</v>
      </c>
      <c r="BP122" s="37">
        <v>0</v>
      </c>
      <c r="BQ122" s="37">
        <v>0</v>
      </c>
      <c r="BR122" s="37">
        <v>0</v>
      </c>
      <c r="BS122" s="37">
        <v>0</v>
      </c>
      <c r="BT122" s="37">
        <v>0</v>
      </c>
      <c r="BU122" s="37">
        <v>0</v>
      </c>
      <c r="BV122" s="37">
        <v>0</v>
      </c>
      <c r="BW122" s="37">
        <v>0</v>
      </c>
      <c r="BX122" s="37">
        <v>0</v>
      </c>
      <c r="BY122" s="37">
        <v>0</v>
      </c>
      <c r="BZ122" s="37">
        <v>0</v>
      </c>
      <c r="CA122" s="37">
        <v>0</v>
      </c>
      <c r="CB122" s="37">
        <v>0</v>
      </c>
      <c r="CC122" s="37">
        <v>0</v>
      </c>
      <c r="CD122" s="37">
        <v>0</v>
      </c>
      <c r="CE122" s="37">
        <v>0</v>
      </c>
      <c r="CF122" s="37">
        <v>0</v>
      </c>
      <c r="CG122" s="37">
        <v>0</v>
      </c>
      <c r="CH122" s="37">
        <v>0</v>
      </c>
      <c r="CI122" s="23"/>
    </row>
    <row r="123" spans="1:87" ht="15" customHeight="1" x14ac:dyDescent="0.25">
      <c r="A123" s="198" t="s">
        <v>206</v>
      </c>
      <c r="B123" s="198"/>
      <c r="C123" s="199">
        <f>-MIN(C120+C121+C122,MAX(0,C61-Helpers!C26))</f>
        <v>0</v>
      </c>
      <c r="D123" s="199">
        <f>-MIN(D120+D121+D122,MAX(0,D61-Helpers!D26))</f>
        <v>0</v>
      </c>
      <c r="E123" s="199">
        <f>-MIN(E120+E121+E122,MAX(0,E61-Helpers!E26))</f>
        <v>0</v>
      </c>
      <c r="F123" s="199">
        <f>-MIN(F120+F121+F122,MAX(0,F61-Helpers!F26))</f>
        <v>0</v>
      </c>
      <c r="G123" s="199">
        <f>-MIN(G120+G121+G122,MAX(0,G61-Helpers!G26))</f>
        <v>0</v>
      </c>
      <c r="H123" s="199">
        <f>-MIN(H120+H121+H122,MAX(0,H61-Helpers!H26))</f>
        <v>0</v>
      </c>
      <c r="I123" s="199">
        <f>-MIN(I120+I121+I122,MAX(0,I61-Helpers!I26))</f>
        <v>0</v>
      </c>
      <c r="J123" s="199">
        <f>-MIN(J120+J121+J122,MAX(0,J61-Helpers!J26))</f>
        <v>0</v>
      </c>
      <c r="K123" s="199">
        <f>-MIN(K120+K121+K122,MAX(0,K61-Helpers!K26))</f>
        <v>0</v>
      </c>
      <c r="L123" s="199">
        <f>-MIN(L120+L121+L122,MAX(0,L61-Helpers!L26))</f>
        <v>0</v>
      </c>
      <c r="M123" s="199">
        <f>-MIN(M120+M121+M122,MAX(0,M61-Helpers!M26))</f>
        <v>0</v>
      </c>
      <c r="N123" s="199">
        <f>-MIN(N120+N121+N122,MAX(0,N61-Helpers!N26))</f>
        <v>0</v>
      </c>
      <c r="O123" s="199">
        <f>-MIN(O120+O121+O122,MAX(0,O61-Helpers!O26))</f>
        <v>0</v>
      </c>
      <c r="P123" s="199">
        <f>-MIN(P120+P121+P122,MAX(0,P61-Helpers!P26))</f>
        <v>0</v>
      </c>
      <c r="Q123" s="199">
        <f>-MIN(Q120+Q121+Q122,MAX(0,Q61-Helpers!Q26))</f>
        <v>0</v>
      </c>
      <c r="R123" s="199">
        <f>-MIN(R120+R121+R122,MAX(0,R61-Helpers!R26))</f>
        <v>0</v>
      </c>
      <c r="S123" s="199">
        <f>-MIN(S120+S121+S122,MAX(0,S61-Helpers!S26))</f>
        <v>0</v>
      </c>
      <c r="T123" s="199">
        <f>-MIN(T120+T121+T122,MAX(0,T61-Helpers!T26))</f>
        <v>0</v>
      </c>
      <c r="U123" s="199">
        <f>-MIN(U120+U121+U122,MAX(0,U61-Helpers!U26))</f>
        <v>0</v>
      </c>
      <c r="V123" s="199">
        <f>-MIN(V120+V121+V122,MAX(0,V61-Helpers!V26))</f>
        <v>0</v>
      </c>
      <c r="W123" s="199">
        <f>-MIN(W120+W121+W122,MAX(0,W61-Helpers!W26))</f>
        <v>0</v>
      </c>
      <c r="X123" s="199">
        <f>-MIN(X120+X121+X122,MAX(0,X61-Helpers!X26))</f>
        <v>0</v>
      </c>
      <c r="Y123" s="199">
        <f>-MIN(Y120+Y121+Y122,MAX(0,Y61-Helpers!Y26))</f>
        <v>0</v>
      </c>
      <c r="Z123" s="199">
        <f>-MIN(Z120+Z121+Z122,MAX(0,Z61-Helpers!Z26))</f>
        <v>0</v>
      </c>
      <c r="AA123" s="199">
        <f>-MIN(AA120+AA121+AA122,MAX(0,AA61-Helpers!AA26))</f>
        <v>0</v>
      </c>
      <c r="AB123" s="199">
        <f>-MIN(AB120+AB121+AB122,MAX(0,AB61-Helpers!AB26))</f>
        <v>0</v>
      </c>
      <c r="AC123" s="199">
        <f>-MIN(AC120+AC121+AC122,MAX(0,AC61-Helpers!AC26))</f>
        <v>0</v>
      </c>
      <c r="AD123" s="199">
        <f>-MIN(AD120+AD121+AD122,MAX(0,AD61-Helpers!AD26))</f>
        <v>0</v>
      </c>
      <c r="AE123" s="199">
        <f>-MIN(AE120+AE121+AE122,MAX(0,AE61-Helpers!AE26))</f>
        <v>0</v>
      </c>
      <c r="AF123" s="199">
        <f>-MIN(AF120+AF121+AF122,MAX(0,AF61-Helpers!AF26))</f>
        <v>0</v>
      </c>
      <c r="AG123" s="199">
        <f>-MIN(AG120+AG121+AG122,MAX(0,AG61-Helpers!AG26))</f>
        <v>0</v>
      </c>
      <c r="AH123" s="199">
        <f>-MIN(AH120+AH121+AH122,MAX(0,AH61-Helpers!AH26))</f>
        <v>0</v>
      </c>
      <c r="AI123" s="199">
        <f>-MIN(AI120+AI121+AI122,MAX(0,AI61-Helpers!AI26))</f>
        <v>0</v>
      </c>
      <c r="AJ123" s="199">
        <f>-MIN(AJ120+AJ121+AJ122,MAX(0,AJ61-Helpers!AJ26))</f>
        <v>0</v>
      </c>
      <c r="AK123" s="199">
        <f>-MIN(AK120+AK121+AK122,MAX(0,AK61-Helpers!AK26))</f>
        <v>0</v>
      </c>
      <c r="AL123" s="199">
        <f>-MIN(AL120+AL121+AL122,MAX(0,AL61-Helpers!AL26))</f>
        <v>0</v>
      </c>
      <c r="AM123" s="199">
        <f>-MIN(AM120+AM121+AM122,MAX(0,AM61-Helpers!AM26))</f>
        <v>0</v>
      </c>
      <c r="AN123" s="199">
        <f>-MIN(AN120+AN121+AN122,MAX(0,AN61-Helpers!AN26))</f>
        <v>0</v>
      </c>
      <c r="AO123" s="199">
        <f>-MIN(AO120+AO121+AO122,MAX(0,AO61-Helpers!AO26))</f>
        <v>0</v>
      </c>
      <c r="AP123" s="199">
        <f>-MIN(AP120+AP121+AP122,MAX(0,AP61-Helpers!AP26))</f>
        <v>0</v>
      </c>
      <c r="AQ123" s="199">
        <f>-MIN(AQ120+AQ121+AQ122,MAX(0,AQ61-Helpers!AQ26))</f>
        <v>0</v>
      </c>
      <c r="AR123" s="199">
        <f>-MIN(AR120+AR121+AR122,MAX(0,AR61-Helpers!AR26))</f>
        <v>0</v>
      </c>
      <c r="AS123" s="199">
        <f>-MIN(AS120+AS121+AS122,MAX(0,AS61-Helpers!AS26))</f>
        <v>0</v>
      </c>
      <c r="AT123" s="199">
        <f>-MIN(AT120+AT121+AT122,MAX(0,AT61-Helpers!AT26))</f>
        <v>0</v>
      </c>
      <c r="AU123" s="199">
        <f>-MIN(AU120+AU121+AU122,MAX(0,AU61-Helpers!AU26))</f>
        <v>0</v>
      </c>
      <c r="AV123" s="199">
        <f>-MIN(AV120+AV121+AV122,MAX(0,AV61-Helpers!AV26))</f>
        <v>0</v>
      </c>
      <c r="AW123" s="199">
        <f>-MIN(AW120+AW121+AW122,MAX(0,AW61-Helpers!AW26))</f>
        <v>0</v>
      </c>
      <c r="AX123" s="199">
        <f>-MIN(AX120+AX121+AX122,MAX(0,AX61-Helpers!AX26))</f>
        <v>0</v>
      </c>
      <c r="AY123" s="199">
        <f>-MIN(AY120+AY121+AY122,MAX(0,AY61-Helpers!AY26))</f>
        <v>0</v>
      </c>
      <c r="AZ123" s="199">
        <f>-MIN(AZ120+AZ121+AZ122,MAX(0,AZ61-Helpers!AZ26))</f>
        <v>0</v>
      </c>
      <c r="BA123" s="199">
        <f>-MIN(BA120+BA121+BA122,MAX(0,BA61-Helpers!BA26))</f>
        <v>0</v>
      </c>
      <c r="BB123" s="199">
        <f>-MIN(BB120+BB121+BB122,MAX(0,BB61-Helpers!BB26))</f>
        <v>0</v>
      </c>
      <c r="BC123" s="199">
        <f>-MIN(BC120+BC121+BC122,MAX(0,BC61-Helpers!BC26))</f>
        <v>0</v>
      </c>
      <c r="BD123" s="199">
        <f>-MIN(BD120+BD121+BD122,MAX(0,BD61-Helpers!BD26))</f>
        <v>0</v>
      </c>
      <c r="BE123" s="199">
        <f>-MIN(BE120+BE121+BE122,MAX(0,BE61-Helpers!BE26))</f>
        <v>0</v>
      </c>
      <c r="BF123" s="199">
        <f>-MIN(BF120+BF121+BF122,MAX(0,BF61-Helpers!BF26))</f>
        <v>0</v>
      </c>
      <c r="BG123" s="199">
        <f>-MIN(BG120+BG121+BG122,MAX(0,BG61-Helpers!BG26))</f>
        <v>0</v>
      </c>
      <c r="BH123" s="199">
        <f>-MIN(BH120+BH121+BH122,MAX(0,BH61-Helpers!BH26))</f>
        <v>0</v>
      </c>
      <c r="BI123" s="199">
        <f>-MIN(BI120+BI121+BI122,MAX(0,BI61-Helpers!BI26))</f>
        <v>0</v>
      </c>
      <c r="BJ123" s="199">
        <f>-MIN(BJ120+BJ121+BJ122,MAX(0,BJ61-Helpers!BJ26))</f>
        <v>0</v>
      </c>
      <c r="BK123" s="199">
        <f>-MIN(BK120+BK121+BK122,MAX(0,BK61-Helpers!BK26))</f>
        <v>0</v>
      </c>
      <c r="BL123" s="199">
        <f>-MIN(BL120+BL121+BL122,MAX(0,BL61-Helpers!BL26))</f>
        <v>0</v>
      </c>
      <c r="BM123" s="199">
        <f>-MIN(BM120+BM121+BM122,MAX(0,BM61-Helpers!BM26))</f>
        <v>0</v>
      </c>
      <c r="BN123" s="199">
        <f>-MIN(BN120+BN121+BN122,MAX(0,BN61-Helpers!BN26))</f>
        <v>0</v>
      </c>
      <c r="BO123" s="199">
        <f>-MIN(BO120+BO121+BO122,MAX(0,BO61-Helpers!BO26))</f>
        <v>0</v>
      </c>
      <c r="BP123" s="199">
        <f>-MIN(BP120+BP121+BP122,MAX(0,BP61-Helpers!BP26))</f>
        <v>0</v>
      </c>
      <c r="BQ123" s="199">
        <f>-MIN(BQ120+BQ121+BQ122,MAX(0,BQ61-Helpers!BQ26))</f>
        <v>0</v>
      </c>
      <c r="BR123" s="199">
        <f>-MIN(BR120+BR121+BR122,MAX(0,BR61-Helpers!BR26))</f>
        <v>0</v>
      </c>
      <c r="BS123" s="199">
        <f>-MIN(BS120+BS121+BS122,MAX(0,BS61-Helpers!BS26))</f>
        <v>0</v>
      </c>
      <c r="BT123" s="199">
        <f>-MIN(BT120+BT121+BT122,MAX(0,BT61-Helpers!BT26))</f>
        <v>0</v>
      </c>
      <c r="BU123" s="199">
        <f>-MIN(BU120+BU121+BU122,MAX(0,BU61-Helpers!BU26))</f>
        <v>0</v>
      </c>
      <c r="BV123" s="199">
        <f>-MIN(BV120+BV121+BV122,MAX(0,BV61-Helpers!BV26))</f>
        <v>0</v>
      </c>
      <c r="BW123" s="199">
        <f>-MIN(BW120+BW121+BW122,MAX(0,BW61-Helpers!BW26))</f>
        <v>0</v>
      </c>
      <c r="BX123" s="199">
        <f>-MIN(BX120+BX121+BX122,MAX(0,BX61-Helpers!BX26))</f>
        <v>0</v>
      </c>
      <c r="BY123" s="199">
        <f>-MIN(BY120+BY121+BY122,MAX(0,BY61-Helpers!BY26))</f>
        <v>0</v>
      </c>
      <c r="BZ123" s="199">
        <f>-MIN(BZ120+BZ121+BZ122,MAX(0,BZ61-Helpers!BZ26))</f>
        <v>0</v>
      </c>
      <c r="CA123" s="199">
        <f>-MIN(CA120+CA121+CA122,MAX(0,CA61-Helpers!CA26))</f>
        <v>0</v>
      </c>
      <c r="CB123" s="199">
        <f>-MIN(CB120+CB121+CB122,MAX(0,CB61-Helpers!CB26))</f>
        <v>0</v>
      </c>
      <c r="CC123" s="199">
        <f>-MIN(CC120+CC121+CC122,MAX(0,CC61-Helpers!CC26))</f>
        <v>0</v>
      </c>
      <c r="CD123" s="199">
        <f>-MIN(CD120+CD121+CD122,MAX(0,CD61-Helpers!CD26))</f>
        <v>0</v>
      </c>
      <c r="CE123" s="199">
        <f>-MIN(CE120+CE121+CE122,MAX(0,CE61-Helpers!CE26))</f>
        <v>0</v>
      </c>
      <c r="CF123" s="199">
        <f>-MIN(CF120+CF121+CF122,MAX(0,CF61-Helpers!CF26))</f>
        <v>0</v>
      </c>
      <c r="CG123" s="199">
        <f>-MIN(CG120+CG121+CG122,MAX(0,CG61-Helpers!CG26))</f>
        <v>0</v>
      </c>
      <c r="CH123" s="199">
        <f>-MIN(CH120+CH121+CH122,MAX(0,CH61-Helpers!CH26))</f>
        <v>0</v>
      </c>
      <c r="CI123" s="23"/>
    </row>
    <row r="124" spans="1:87" ht="15" customHeight="1" x14ac:dyDescent="0.25">
      <c r="A124" s="195" t="s">
        <v>207</v>
      </c>
      <c r="B124" s="196"/>
      <c r="C124" s="197">
        <f t="shared" ref="C124:AH124" si="50">MAX(0,C120+C121+C122+C123)</f>
        <v>264927.15000000002</v>
      </c>
      <c r="D124" s="197">
        <f t="shared" si="50"/>
        <v>264927.15000000002</v>
      </c>
      <c r="E124" s="197">
        <f t="shared" si="50"/>
        <v>458103.19687500002</v>
      </c>
      <c r="F124" s="197">
        <f t="shared" si="50"/>
        <v>458103.19687500002</v>
      </c>
      <c r="G124" s="197">
        <f t="shared" si="50"/>
        <v>458103.19687500002</v>
      </c>
      <c r="H124" s="197">
        <f t="shared" si="50"/>
        <v>658523.34550781245</v>
      </c>
      <c r="I124" s="197">
        <f t="shared" si="50"/>
        <v>658523.34550781245</v>
      </c>
      <c r="J124" s="197">
        <f t="shared" si="50"/>
        <v>658523.34550781245</v>
      </c>
      <c r="K124" s="197">
        <f t="shared" si="50"/>
        <v>683217.97096435539</v>
      </c>
      <c r="L124" s="197">
        <f t="shared" si="50"/>
        <v>771527.02096435544</v>
      </c>
      <c r="M124" s="197">
        <f t="shared" si="50"/>
        <v>771527.02096435544</v>
      </c>
      <c r="N124" s="197">
        <f t="shared" si="50"/>
        <v>800459.28425051877</v>
      </c>
      <c r="O124" s="197">
        <f t="shared" si="50"/>
        <v>800459.28425051877</v>
      </c>
      <c r="P124" s="197">
        <f t="shared" si="50"/>
        <v>800459.28425051877</v>
      </c>
      <c r="Q124" s="197">
        <f t="shared" si="50"/>
        <v>922097.14678491326</v>
      </c>
      <c r="R124" s="197">
        <f t="shared" si="50"/>
        <v>922097.14678491326</v>
      </c>
      <c r="S124" s="197">
        <f t="shared" si="50"/>
        <v>922097.14678491326</v>
      </c>
      <c r="T124" s="197">
        <f t="shared" si="50"/>
        <v>956675.78978934756</v>
      </c>
      <c r="U124" s="197">
        <f t="shared" si="50"/>
        <v>956675.78978934756</v>
      </c>
      <c r="V124" s="197">
        <f t="shared" si="50"/>
        <v>956675.78978934756</v>
      </c>
      <c r="W124" s="197">
        <f t="shared" si="50"/>
        <v>1084171.7712814482</v>
      </c>
      <c r="X124" s="197">
        <f t="shared" si="50"/>
        <v>1084171.7712814482</v>
      </c>
      <c r="Y124" s="197">
        <f t="shared" si="50"/>
        <v>1084171.7712814482</v>
      </c>
      <c r="Z124" s="197">
        <f t="shared" si="50"/>
        <v>1124828.2127045025</v>
      </c>
      <c r="AA124" s="197">
        <f t="shared" si="50"/>
        <v>1124828.2127045025</v>
      </c>
      <c r="AB124" s="197">
        <f t="shared" si="50"/>
        <v>1124828.2127045025</v>
      </c>
      <c r="AC124" s="197">
        <f t="shared" si="50"/>
        <v>283215.66443092143</v>
      </c>
      <c r="AD124" s="197">
        <f t="shared" si="50"/>
        <v>283215.66443092143</v>
      </c>
      <c r="AE124" s="197">
        <f t="shared" si="50"/>
        <v>283215.66443092143</v>
      </c>
      <c r="AF124" s="197">
        <f t="shared" si="50"/>
        <v>293836.251847081</v>
      </c>
      <c r="AG124" s="197">
        <f t="shared" si="50"/>
        <v>293836.251847081</v>
      </c>
      <c r="AH124" s="197">
        <f t="shared" si="50"/>
        <v>293836.251847081</v>
      </c>
      <c r="AI124" s="197">
        <f t="shared" ref="AI124:BN124" si="51">MAX(0,AI120+AI121+AI122+AI123)</f>
        <v>304855.11129134655</v>
      </c>
      <c r="AJ124" s="197">
        <f t="shared" si="51"/>
        <v>304855.11129134655</v>
      </c>
      <c r="AK124" s="197">
        <f t="shared" si="51"/>
        <v>304855.11129134655</v>
      </c>
      <c r="AL124" s="197">
        <f t="shared" si="51"/>
        <v>316287.17796477204</v>
      </c>
      <c r="AM124" s="197">
        <f t="shared" si="51"/>
        <v>316287.17796477204</v>
      </c>
      <c r="AN124" s="197">
        <f t="shared" si="51"/>
        <v>316287.17796477204</v>
      </c>
      <c r="AO124" s="197">
        <f t="shared" si="51"/>
        <v>328147.94713845098</v>
      </c>
      <c r="AP124" s="197">
        <f t="shared" si="51"/>
        <v>328147.94713845098</v>
      </c>
      <c r="AQ124" s="197">
        <f t="shared" si="51"/>
        <v>328147.94713845098</v>
      </c>
      <c r="AR124" s="197">
        <f t="shared" si="51"/>
        <v>340453.49515614292</v>
      </c>
      <c r="AS124" s="197">
        <f t="shared" si="51"/>
        <v>340453.49515614292</v>
      </c>
      <c r="AT124" s="197">
        <f t="shared" si="51"/>
        <v>340453.49515614292</v>
      </c>
      <c r="AU124" s="197">
        <f t="shared" si="51"/>
        <v>353220.50122449826</v>
      </c>
      <c r="AV124" s="197">
        <f t="shared" si="51"/>
        <v>353220.50122449826</v>
      </c>
      <c r="AW124" s="197">
        <f t="shared" si="51"/>
        <v>353220.50122449826</v>
      </c>
      <c r="AX124" s="197">
        <f t="shared" si="51"/>
        <v>366466.27002041694</v>
      </c>
      <c r="AY124" s="197">
        <f t="shared" si="51"/>
        <v>366466.27002041694</v>
      </c>
      <c r="AZ124" s="197">
        <f t="shared" si="51"/>
        <v>366466.27002041694</v>
      </c>
      <c r="BA124" s="197">
        <f t="shared" si="51"/>
        <v>380208.75514618255</v>
      </c>
      <c r="BB124" s="197">
        <f t="shared" si="51"/>
        <v>380208.75514618255</v>
      </c>
      <c r="BC124" s="197">
        <f t="shared" si="51"/>
        <v>380208.75514618255</v>
      </c>
      <c r="BD124" s="197">
        <f t="shared" si="51"/>
        <v>394466.5834641644</v>
      </c>
      <c r="BE124" s="197">
        <f t="shared" si="51"/>
        <v>394466.5834641644</v>
      </c>
      <c r="BF124" s="197">
        <f t="shared" si="51"/>
        <v>394466.5834641644</v>
      </c>
      <c r="BG124" s="197">
        <f t="shared" si="51"/>
        <v>409259.08034407056</v>
      </c>
      <c r="BH124" s="197">
        <f t="shared" si="51"/>
        <v>409259.08034407056</v>
      </c>
      <c r="BI124" s="197">
        <f t="shared" si="51"/>
        <v>409259.08034407056</v>
      </c>
      <c r="BJ124" s="197">
        <f t="shared" si="51"/>
        <v>424606.29585697321</v>
      </c>
      <c r="BK124" s="197">
        <f t="shared" si="51"/>
        <v>424606.29585697321</v>
      </c>
      <c r="BL124" s="197">
        <f t="shared" si="51"/>
        <v>424606.29585697321</v>
      </c>
      <c r="BM124" s="197">
        <f t="shared" si="51"/>
        <v>440529.03195160971</v>
      </c>
      <c r="BN124" s="197">
        <f t="shared" si="51"/>
        <v>440529.03195160971</v>
      </c>
      <c r="BO124" s="197">
        <f t="shared" ref="BO124:CH124" si="52">MAX(0,BO120+BO121+BO122+BO123)</f>
        <v>440529.03195160971</v>
      </c>
      <c r="BP124" s="197">
        <f t="shared" si="52"/>
        <v>457048.87064979505</v>
      </c>
      <c r="BQ124" s="197">
        <f t="shared" si="52"/>
        <v>457048.87064979505</v>
      </c>
      <c r="BR124" s="197">
        <f t="shared" si="52"/>
        <v>457048.87064979505</v>
      </c>
      <c r="BS124" s="197">
        <f t="shared" si="52"/>
        <v>474188.20329916239</v>
      </c>
      <c r="BT124" s="197">
        <f t="shared" si="52"/>
        <v>474188.20329916239</v>
      </c>
      <c r="BU124" s="197">
        <f t="shared" si="52"/>
        <v>474188.20329916239</v>
      </c>
      <c r="BV124" s="197">
        <f t="shared" si="52"/>
        <v>491970.26092288096</v>
      </c>
      <c r="BW124" s="197">
        <f t="shared" si="52"/>
        <v>491970.26092288096</v>
      </c>
      <c r="BX124" s="197">
        <f t="shared" si="52"/>
        <v>491970.26092288096</v>
      </c>
      <c r="BY124" s="197">
        <f t="shared" si="52"/>
        <v>510419.14570748899</v>
      </c>
      <c r="BZ124" s="197">
        <f t="shared" si="52"/>
        <v>510419.14570748899</v>
      </c>
      <c r="CA124" s="197">
        <f t="shared" si="52"/>
        <v>510419.14570748899</v>
      </c>
      <c r="CB124" s="197">
        <f t="shared" si="52"/>
        <v>529559.86367151979</v>
      </c>
      <c r="CC124" s="197">
        <f t="shared" si="52"/>
        <v>529559.86367151979</v>
      </c>
      <c r="CD124" s="197">
        <f t="shared" si="52"/>
        <v>529559.86367151979</v>
      </c>
      <c r="CE124" s="197">
        <f t="shared" si="52"/>
        <v>549418.35855920182</v>
      </c>
      <c r="CF124" s="197">
        <f t="shared" si="52"/>
        <v>549418.35855920182</v>
      </c>
      <c r="CG124" s="197">
        <f t="shared" si="52"/>
        <v>549418.35855920182</v>
      </c>
      <c r="CH124" s="197">
        <f t="shared" si="52"/>
        <v>570021.54700517189</v>
      </c>
      <c r="CI124" s="23"/>
    </row>
    <row r="125" spans="1:87" ht="15" customHeight="1" x14ac:dyDescent="0.25">
      <c r="A125" s="36" t="s">
        <v>208</v>
      </c>
      <c r="B125" s="36"/>
      <c r="C125" s="37">
        <f>IF(Projects!$G$13="Yes",Assumptions!$B$71,0)</f>
        <v>1134000</v>
      </c>
      <c r="D125" s="37">
        <f>C129+IF(AND(Projects!$G$13="Yes",2&lt;=Assumptions!$B$73),Assumptions!$B$72,0)</f>
        <v>1184000</v>
      </c>
      <c r="E125" s="37">
        <f>D129+IF(AND(Projects!$G$13="Yes",3&lt;=Assumptions!$B$73),Assumptions!$B$72,0)</f>
        <v>1234000</v>
      </c>
      <c r="F125" s="37">
        <f>E129+IF(AND(Projects!$G$13="Yes",4&lt;=Assumptions!$B$73),Assumptions!$B$72,0)</f>
        <v>1330275</v>
      </c>
      <c r="G125" s="37">
        <f>F129+IF(AND(Projects!$G$13="Yes",5&lt;=Assumptions!$B$73),Assumptions!$B$72,0)</f>
        <v>1380275</v>
      </c>
      <c r="H125" s="37">
        <f>G129+IF(AND(Projects!$G$13="Yes",6&lt;=Assumptions!$B$73),Assumptions!$B$72,0)</f>
        <v>1430275</v>
      </c>
      <c r="I125" s="37">
        <f>H129+IF(AND(Projects!$G$13="Yes",7&lt;=Assumptions!$B$73),Assumptions!$B$72,0)</f>
        <v>1533910.3125</v>
      </c>
      <c r="J125" s="37">
        <f>I129+IF(AND(Projects!$G$13="Yes",8&lt;=Assumptions!$B$73),Assumptions!$B$72,0)</f>
        <v>1583910.3125</v>
      </c>
      <c r="K125" s="37">
        <f>J129+IF(AND(Projects!$G$13="Yes",9&lt;=Assumptions!$B$73),Assumptions!$B$72,0)</f>
        <v>1633910.3125</v>
      </c>
      <c r="L125" s="37">
        <f>K129+IF(AND(Projects!$G$13="Yes",10&lt;=Assumptions!$B$73),Assumptions!$B$72,0)</f>
        <v>1745181.94921875</v>
      </c>
      <c r="M125" s="37">
        <f>L129+IF(AND(Projects!$G$13="Yes",11&lt;=Assumptions!$B$73),Assumptions!$B$72,0)</f>
        <v>1795181.94921875</v>
      </c>
      <c r="N125" s="37">
        <f>M129+IF(AND(Projects!$G$13="Yes",12&lt;=Assumptions!$B$73),Assumptions!$B$72,0)</f>
        <v>1845181.94921875</v>
      </c>
      <c r="O125" s="37">
        <f>N129+IF(AND(Projects!$G$13="Yes",13&lt;=Assumptions!$B$73),Assumptions!$B$72,0)</f>
        <v>1964376.272314453</v>
      </c>
      <c r="P125" s="37">
        <f>O129+IF(AND(Projects!$G$13="Yes",14&lt;=Assumptions!$B$73),Assumptions!$B$72,0)</f>
        <v>564376.27231445303</v>
      </c>
      <c r="Q125" s="37">
        <f>P129+IF(AND(Projects!$G$13="Yes",15&lt;=Assumptions!$B$73),Assumptions!$B$72,0)</f>
        <v>564376.27231445303</v>
      </c>
      <c r="R125" s="37">
        <f>Q129+IF(AND(Projects!$G$13="Yes",16&lt;=Assumptions!$B$73),Assumptions!$B$72,0)</f>
        <v>585540.38252624497</v>
      </c>
      <c r="S125" s="37">
        <f>R129+IF(AND(Projects!$G$13="Yes",17&lt;=Assumptions!$B$73),Assumptions!$B$72,0)</f>
        <v>585540.38252624497</v>
      </c>
      <c r="T125" s="37">
        <f>S129+IF(AND(Projects!$G$13="Yes",18&lt;=Assumptions!$B$73),Assumptions!$B$72,0)</f>
        <v>585540.38252624497</v>
      </c>
      <c r="U125" s="37">
        <f>T129+IF(AND(Projects!$G$13="Yes",19&lt;=Assumptions!$B$73),Assumptions!$B$72,0)</f>
        <v>607498.14687097911</v>
      </c>
      <c r="V125" s="37">
        <f>U129+IF(AND(Projects!$G$13="Yes",20&lt;=Assumptions!$B$73),Assumptions!$B$72,0)</f>
        <v>607498.14687097911</v>
      </c>
      <c r="W125" s="37">
        <f>V129+IF(AND(Projects!$G$13="Yes",21&lt;=Assumptions!$B$73),Assumptions!$B$72,0)</f>
        <v>607498.14687097911</v>
      </c>
      <c r="X125" s="37">
        <f>W129+IF(AND(Projects!$G$13="Yes",22&lt;=Assumptions!$B$73),Assumptions!$B$72,0)</f>
        <v>630279.32737864088</v>
      </c>
      <c r="Y125" s="37">
        <f>X129+IF(AND(Projects!$G$13="Yes",23&lt;=Assumptions!$B$73),Assumptions!$B$72,0)</f>
        <v>630279.32737864088</v>
      </c>
      <c r="Z125" s="37">
        <f>Y129+IF(AND(Projects!$G$13="Yes",24&lt;=Assumptions!$B$73),Assumptions!$B$72,0)</f>
        <v>630279.32737864088</v>
      </c>
      <c r="AA125" s="37">
        <f>Z129+IF(AND(Projects!$G$13="Yes",25&lt;=Assumptions!$B$73),Assumptions!$B$72,0)</f>
        <v>653914.80215533986</v>
      </c>
      <c r="AB125" s="37">
        <f>AA129+IF(AND(Projects!$G$13="Yes",26&lt;=Assumptions!$B$73),Assumptions!$B$72,0)</f>
        <v>653914.80215533986</v>
      </c>
      <c r="AC125" s="37">
        <f>AB129+IF(AND(Projects!$G$13="Yes",27&lt;=Assumptions!$B$73),Assumptions!$B$72,0)</f>
        <v>653914.80215533986</v>
      </c>
      <c r="AD125" s="37">
        <f>AC129+IF(AND(Projects!$G$13="Yes",28&lt;=Assumptions!$B$73),Assumptions!$B$72,0)</f>
        <v>678436.60723616509</v>
      </c>
      <c r="AE125" s="37">
        <f>AD129+IF(AND(Projects!$G$13="Yes",29&lt;=Assumptions!$B$73),Assumptions!$B$72,0)</f>
        <v>678436.60723616509</v>
      </c>
      <c r="AF125" s="37">
        <f>AE129+IF(AND(Projects!$G$13="Yes",30&lt;=Assumptions!$B$73),Assumptions!$B$72,0)</f>
        <v>678436.60723616509</v>
      </c>
      <c r="AG125" s="37">
        <f>AF129+IF(AND(Projects!$G$13="Yes",31&lt;=Assumptions!$B$73),Assumptions!$B$72,0)</f>
        <v>703877.98000752123</v>
      </c>
      <c r="AH125" s="37">
        <f>AG129+IF(AND(Projects!$G$13="Yes",32&lt;=Assumptions!$B$73),Assumptions!$B$72,0)</f>
        <v>703877.98000752123</v>
      </c>
      <c r="AI125" s="37">
        <f>AH129+IF(AND(Projects!$G$13="Yes",33&lt;=Assumptions!$B$73),Assumptions!$B$72,0)</f>
        <v>703877.98000752123</v>
      </c>
      <c r="AJ125" s="37">
        <f>AI129+IF(AND(Projects!$G$13="Yes",34&lt;=Assumptions!$B$73),Assumptions!$B$72,0)</f>
        <v>730273.40425780322</v>
      </c>
      <c r="AK125" s="37">
        <f>AJ129+IF(AND(Projects!$G$13="Yes",35&lt;=Assumptions!$B$73),Assumptions!$B$72,0)</f>
        <v>730273.40425780322</v>
      </c>
      <c r="AL125" s="37">
        <f>AK129+IF(AND(Projects!$G$13="Yes",36&lt;=Assumptions!$B$73),Assumptions!$B$72,0)</f>
        <v>730273.40425780322</v>
      </c>
      <c r="AM125" s="37">
        <f>AL129+IF(AND(Projects!$G$13="Yes",37&lt;=Assumptions!$B$73),Assumptions!$B$72,0)</f>
        <v>757658.65691747086</v>
      </c>
      <c r="AN125" s="37">
        <f>AM129+IF(AND(Projects!$G$13="Yes",38&lt;=Assumptions!$B$73),Assumptions!$B$72,0)</f>
        <v>757658.65691747086</v>
      </c>
      <c r="AO125" s="37">
        <f>AN129+IF(AND(Projects!$G$13="Yes",39&lt;=Assumptions!$B$73),Assumptions!$B$72,0)</f>
        <v>757658.65691747086</v>
      </c>
      <c r="AP125" s="37">
        <f>AO129+IF(AND(Projects!$G$13="Yes",40&lt;=Assumptions!$B$73),Assumptions!$B$72,0)</f>
        <v>786070.85655187606</v>
      </c>
      <c r="AQ125" s="37">
        <f>AP129+IF(AND(Projects!$G$13="Yes",41&lt;=Assumptions!$B$73),Assumptions!$B$72,0)</f>
        <v>786070.85655187606</v>
      </c>
      <c r="AR125" s="37">
        <f>AQ129+IF(AND(Projects!$G$13="Yes",42&lt;=Assumptions!$B$73),Assumptions!$B$72,0)</f>
        <v>786070.85655187606</v>
      </c>
      <c r="AS125" s="37">
        <f>AR129+IF(AND(Projects!$G$13="Yes",43&lt;=Assumptions!$B$73),Assumptions!$B$72,0)</f>
        <v>815548.5136725714</v>
      </c>
      <c r="AT125" s="37">
        <f>AS129+IF(AND(Projects!$G$13="Yes",44&lt;=Assumptions!$B$73),Assumptions!$B$72,0)</f>
        <v>815548.5136725714</v>
      </c>
      <c r="AU125" s="37">
        <f>AT129+IF(AND(Projects!$G$13="Yes",45&lt;=Assumptions!$B$73),Assumptions!$B$72,0)</f>
        <v>815548.5136725714</v>
      </c>
      <c r="AV125" s="37">
        <f>AU129+IF(AND(Projects!$G$13="Yes",46&lt;=Assumptions!$B$73),Assumptions!$B$72,0)</f>
        <v>846131.58293529286</v>
      </c>
      <c r="AW125" s="37">
        <f>AV129+IF(AND(Projects!$G$13="Yes",47&lt;=Assumptions!$B$73),Assumptions!$B$72,0)</f>
        <v>846131.58293529286</v>
      </c>
      <c r="AX125" s="37">
        <f>AW129+IF(AND(Projects!$G$13="Yes",48&lt;=Assumptions!$B$73),Assumptions!$B$72,0)</f>
        <v>846131.58293529286</v>
      </c>
      <c r="AY125" s="37">
        <f>AX129+IF(AND(Projects!$G$13="Yes",49&lt;=Assumptions!$B$73),Assumptions!$B$72,0)</f>
        <v>877861.51729536639</v>
      </c>
      <c r="AZ125" s="37">
        <f>AY129+IF(AND(Projects!$G$13="Yes",50&lt;=Assumptions!$B$73),Assumptions!$B$72,0)</f>
        <v>877861.51729536639</v>
      </c>
      <c r="BA125" s="37">
        <f>AZ129+IF(AND(Projects!$G$13="Yes",51&lt;=Assumptions!$B$73),Assumptions!$B$72,0)</f>
        <v>877861.51729536639</v>
      </c>
      <c r="BB125" s="37">
        <f>BA129+IF(AND(Projects!$G$13="Yes",52&lt;=Assumptions!$B$73),Assumptions!$B$72,0)</f>
        <v>661610.02419394255</v>
      </c>
      <c r="BC125" s="37">
        <f>BB129+IF(AND(Projects!$G$13="Yes",53&lt;=Assumptions!$B$73),Assumptions!$B$72,0)</f>
        <v>661610.02419394255</v>
      </c>
      <c r="BD125" s="37">
        <f>BC129+IF(AND(Projects!$G$13="Yes",54&lt;=Assumptions!$B$73),Assumptions!$B$72,0)</f>
        <v>661610.02419394255</v>
      </c>
      <c r="BE125" s="37">
        <f>BD129+IF(AND(Projects!$G$13="Yes",55&lt;=Assumptions!$B$73),Assumptions!$B$72,0)</f>
        <v>614720.40010121535</v>
      </c>
      <c r="BF125" s="37">
        <f>BE129+IF(AND(Projects!$G$13="Yes",56&lt;=Assumptions!$B$73),Assumptions!$B$72,0)</f>
        <v>614720.40010121535</v>
      </c>
      <c r="BG125" s="37">
        <f>BF129+IF(AND(Projects!$G$13="Yes",57&lt;=Assumptions!$B$73),Assumptions!$B$72,0)</f>
        <v>614720.40010121535</v>
      </c>
      <c r="BH125" s="37">
        <f>BG129+IF(AND(Projects!$G$13="Yes",58&lt;=Assumptions!$B$73),Assumptions!$B$72,0)</f>
        <v>566072.41510501096</v>
      </c>
      <c r="BI125" s="37">
        <f>BH129+IF(AND(Projects!$G$13="Yes",59&lt;=Assumptions!$B$73),Assumptions!$B$72,0)</f>
        <v>566072.41510501096</v>
      </c>
      <c r="BJ125" s="37">
        <f>BI129+IF(AND(Projects!$G$13="Yes",60&lt;=Assumptions!$B$73),Assumptions!$B$72,0)</f>
        <v>566072.41510501096</v>
      </c>
      <c r="BK125" s="37">
        <f>BJ129+IF(AND(Projects!$G$13="Yes",61&lt;=Assumptions!$B$73),Assumptions!$B$72,0)</f>
        <v>515600.13067144889</v>
      </c>
      <c r="BL125" s="37">
        <f>BK129+IF(AND(Projects!$G$13="Yes",62&lt;=Assumptions!$B$73),Assumptions!$B$72,0)</f>
        <v>515600.13067144889</v>
      </c>
      <c r="BM125" s="37">
        <f>BL129+IF(AND(Projects!$G$13="Yes",63&lt;=Assumptions!$B$73),Assumptions!$B$72,0)</f>
        <v>515600.13067144889</v>
      </c>
      <c r="BN125" s="37">
        <f>BM129+IF(AND(Projects!$G$13="Yes",64&lt;=Assumptions!$B$73),Assumptions!$B$72,0)</f>
        <v>463235.13557162823</v>
      </c>
      <c r="BO125" s="37">
        <f>BN129+IF(AND(Projects!$G$13="Yes",65&lt;=Assumptions!$B$73),Assumptions!$B$72,0)</f>
        <v>463235.13557162823</v>
      </c>
      <c r="BP125" s="37">
        <f>BO129+IF(AND(Projects!$G$13="Yes",66&lt;=Assumptions!$B$73),Assumptions!$B$72,0)</f>
        <v>463235.13557162823</v>
      </c>
      <c r="BQ125" s="37">
        <f>BP129+IF(AND(Projects!$G$13="Yes",67&lt;=Assumptions!$B$73),Assumptions!$B$72,0)</f>
        <v>405963.45315556426</v>
      </c>
      <c r="BR125" s="37">
        <f>BQ129+IF(AND(Projects!$G$13="Yes",68&lt;=Assumptions!$B$73),Assumptions!$B$72,0)</f>
        <v>405963.45315556426</v>
      </c>
      <c r="BS125" s="37">
        <f>BR129+IF(AND(Projects!$G$13="Yes",69&lt;=Assumptions!$B$73),Assumptions!$B$72,0)</f>
        <v>405963.45315556426</v>
      </c>
      <c r="BT125" s="37">
        <f>BS129+IF(AND(Projects!$G$13="Yes",70&lt;=Assumptions!$B$73),Assumptions!$B$72,0)</f>
        <v>346547.08264889789</v>
      </c>
      <c r="BU125" s="37">
        <f>BT129+IF(AND(Projects!$G$13="Yes",71&lt;=Assumptions!$B$73),Assumptions!$B$72,0)</f>
        <v>346547.08264889789</v>
      </c>
      <c r="BV125" s="37">
        <f>BU129+IF(AND(Projects!$G$13="Yes",72&lt;=Assumptions!$B$73),Assumptions!$B$72,0)</f>
        <v>346547.08264889789</v>
      </c>
      <c r="BW125" s="37">
        <f>BV129+IF(AND(Projects!$G$13="Yes",73&lt;=Assumptions!$B$73),Assumptions!$B$72,0)</f>
        <v>284902.59824823157</v>
      </c>
      <c r="BX125" s="37">
        <f>BW129+IF(AND(Projects!$G$13="Yes",74&lt;=Assumptions!$B$73),Assumptions!$B$72,0)</f>
        <v>284902.59824823157</v>
      </c>
      <c r="BY125" s="37">
        <f>BX129+IF(AND(Projects!$G$13="Yes",75&lt;=Assumptions!$B$73),Assumptions!$B$72,0)</f>
        <v>284902.59824823157</v>
      </c>
      <c r="BZ125" s="37">
        <f>BY129+IF(AND(Projects!$G$13="Yes",76&lt;=Assumptions!$B$73),Assumptions!$B$72,0)</f>
        <v>220946.44568254024</v>
      </c>
      <c r="CA125" s="37">
        <f>BZ129+IF(AND(Projects!$G$13="Yes",77&lt;=Assumptions!$B$73),Assumptions!$B$72,0)</f>
        <v>220946.44568254024</v>
      </c>
      <c r="CB125" s="37">
        <f>CA129+IF(AND(Projects!$G$13="Yes",78&lt;=Assumptions!$B$73),Assumptions!$B$72,0)</f>
        <v>220946.44568254024</v>
      </c>
      <c r="CC125" s="37">
        <f>CB129+IF(AND(Projects!$G$13="Yes",79&lt;=Assumptions!$B$73),Assumptions!$B$72,0)</f>
        <v>147868.9373956355</v>
      </c>
      <c r="CD125" s="37">
        <f>CC129+IF(AND(Projects!$G$13="Yes",80&lt;=Assumptions!$B$73),Assumptions!$B$72,0)</f>
        <v>147868.9373956355</v>
      </c>
      <c r="CE125" s="37">
        <f>CD129+IF(AND(Projects!$G$13="Yes",81&lt;=Assumptions!$B$73),Assumptions!$B$72,0)</f>
        <v>147868.9373956355</v>
      </c>
      <c r="CF125" s="37">
        <f>CE129+IF(AND(Projects!$G$13="Yes",82&lt;=Assumptions!$B$73),Assumptions!$B$72,0)</f>
        <v>72052.022547971836</v>
      </c>
      <c r="CG125" s="37">
        <f>CF129+IF(AND(Projects!$G$13="Yes",83&lt;=Assumptions!$B$73),Assumptions!$B$72,0)</f>
        <v>72052.022547971836</v>
      </c>
      <c r="CH125" s="37">
        <f>CG129+IF(AND(Projects!$G$13="Yes",84&lt;=Assumptions!$B$73),Assumptions!$B$72,0)</f>
        <v>72052.022547971836</v>
      </c>
      <c r="CI125" s="23"/>
    </row>
    <row r="126" spans="1:87" ht="15" customHeight="1" x14ac:dyDescent="0.25">
      <c r="A126" s="36" t="s">
        <v>209</v>
      </c>
      <c r="B126" s="36"/>
      <c r="C126" s="37">
        <f>IF(AND(MOD(1,3)=0,C125&gt;0),C125*Assumptions!$B$59,0)</f>
        <v>0</v>
      </c>
      <c r="D126" s="37">
        <f>IF(AND(MOD(2,3)=0,D125&gt;0),D125*Assumptions!$B$59,0)</f>
        <v>0</v>
      </c>
      <c r="E126" s="37">
        <f>IF(AND(MOD(3,3)=0,E125&gt;0),E125*Assumptions!$B$59,0)</f>
        <v>46275</v>
      </c>
      <c r="F126" s="37">
        <f>IF(AND(MOD(4,3)=0,F125&gt;0),F125*Assumptions!$B$59,0)</f>
        <v>0</v>
      </c>
      <c r="G126" s="37">
        <f>IF(AND(MOD(5,3)=0,G125&gt;0),G125*Assumptions!$B$59,0)</f>
        <v>0</v>
      </c>
      <c r="H126" s="37">
        <f>IF(AND(MOD(6,3)=0,H125&gt;0),H125*Assumptions!$B$59,0)</f>
        <v>53635.3125</v>
      </c>
      <c r="I126" s="37">
        <f>IF(AND(MOD(7,3)=0,I125&gt;0),I125*Assumptions!$B$59,0)</f>
        <v>0</v>
      </c>
      <c r="J126" s="37">
        <f>IF(AND(MOD(8,3)=0,J125&gt;0),J125*Assumptions!$B$59,0)</f>
        <v>0</v>
      </c>
      <c r="K126" s="37">
        <f>IF(AND(MOD(9,3)=0,K125&gt;0),K125*Assumptions!$B$59,0)</f>
        <v>61271.63671875</v>
      </c>
      <c r="L126" s="37">
        <f>IF(AND(MOD(10,3)=0,L125&gt;0),L125*Assumptions!$B$59,0)</f>
        <v>0</v>
      </c>
      <c r="M126" s="37">
        <f>IF(AND(MOD(11,3)=0,M125&gt;0),M125*Assumptions!$B$59,0)</f>
        <v>0</v>
      </c>
      <c r="N126" s="37">
        <f>IF(AND(MOD(12,3)=0,N125&gt;0),N125*Assumptions!$B$59,0)</f>
        <v>69194.323095703119</v>
      </c>
      <c r="O126" s="37">
        <f>IF(AND(MOD(13,3)=0,O125&gt;0),O125*Assumptions!$B$59,0)</f>
        <v>0</v>
      </c>
      <c r="P126" s="37">
        <f>IF(AND(MOD(14,3)=0,P125&gt;0),P125*Assumptions!$B$59,0)</f>
        <v>0</v>
      </c>
      <c r="Q126" s="37">
        <f>IF(AND(MOD(15,3)=0,Q125&gt;0),Q125*Assumptions!$B$59,0)</f>
        <v>21164.110211791987</v>
      </c>
      <c r="R126" s="37">
        <f>IF(AND(MOD(16,3)=0,R125&gt;0),R125*Assumptions!$B$59,0)</f>
        <v>0</v>
      </c>
      <c r="S126" s="37">
        <f>IF(AND(MOD(17,3)=0,S125&gt;0),S125*Assumptions!$B$59,0)</f>
        <v>0</v>
      </c>
      <c r="T126" s="37">
        <f>IF(AND(MOD(18,3)=0,T125&gt;0),T125*Assumptions!$B$59,0)</f>
        <v>21957.764344734187</v>
      </c>
      <c r="U126" s="37">
        <f>IF(AND(MOD(19,3)=0,U125&gt;0),U125*Assumptions!$B$59,0)</f>
        <v>0</v>
      </c>
      <c r="V126" s="37">
        <f>IF(AND(MOD(20,3)=0,V125&gt;0),V125*Assumptions!$B$59,0)</f>
        <v>0</v>
      </c>
      <c r="W126" s="37">
        <f>IF(AND(MOD(21,3)=0,W125&gt;0),W125*Assumptions!$B$59,0)</f>
        <v>22781.180507661717</v>
      </c>
      <c r="X126" s="37">
        <f>IF(AND(MOD(22,3)=0,X125&gt;0),X125*Assumptions!$B$59,0)</f>
        <v>0</v>
      </c>
      <c r="Y126" s="37">
        <f>IF(AND(MOD(23,3)=0,Y125&gt;0),Y125*Assumptions!$B$59,0)</f>
        <v>0</v>
      </c>
      <c r="Z126" s="37">
        <f>IF(AND(MOD(24,3)=0,Z125&gt;0),Z125*Assumptions!$B$59,0)</f>
        <v>23635.474776699033</v>
      </c>
      <c r="AA126" s="37">
        <f>IF(AND(MOD(25,3)=0,AA125&gt;0),AA125*Assumptions!$B$59,0)</f>
        <v>0</v>
      </c>
      <c r="AB126" s="37">
        <f>IF(AND(MOD(26,3)=0,AB125&gt;0),AB125*Assumptions!$B$59,0)</f>
        <v>0</v>
      </c>
      <c r="AC126" s="37">
        <f>IF(AND(MOD(27,3)=0,AC125&gt;0),AC125*Assumptions!$B$59,0)</f>
        <v>24521.805080825245</v>
      </c>
      <c r="AD126" s="37">
        <f>IF(AND(MOD(28,3)=0,AD125&gt;0),AD125*Assumptions!$B$59,0)</f>
        <v>0</v>
      </c>
      <c r="AE126" s="37">
        <f>IF(AND(MOD(29,3)=0,AE125&gt;0),AE125*Assumptions!$B$59,0)</f>
        <v>0</v>
      </c>
      <c r="AF126" s="37">
        <f>IF(AND(MOD(30,3)=0,AF125&gt;0),AF125*Assumptions!$B$59,0)</f>
        <v>25441.372771356189</v>
      </c>
      <c r="AG126" s="37">
        <f>IF(AND(MOD(31,3)=0,AG125&gt;0),AG125*Assumptions!$B$59,0)</f>
        <v>0</v>
      </c>
      <c r="AH126" s="37">
        <f>IF(AND(MOD(32,3)=0,AH125&gt;0),AH125*Assumptions!$B$59,0)</f>
        <v>0</v>
      </c>
      <c r="AI126" s="37">
        <f>IF(AND(MOD(33,3)=0,AI125&gt;0),AI125*Assumptions!$B$59,0)</f>
        <v>26395.424250282045</v>
      </c>
      <c r="AJ126" s="37">
        <f>IF(AND(MOD(34,3)=0,AJ125&gt;0),AJ125*Assumptions!$B$59,0)</f>
        <v>0</v>
      </c>
      <c r="AK126" s="37">
        <f>IF(AND(MOD(35,3)=0,AK125&gt;0),AK125*Assumptions!$B$59,0)</f>
        <v>0</v>
      </c>
      <c r="AL126" s="37">
        <f>IF(AND(MOD(36,3)=0,AL125&gt;0),AL125*Assumptions!$B$59,0)</f>
        <v>27385.252659667622</v>
      </c>
      <c r="AM126" s="37">
        <f>IF(AND(MOD(37,3)=0,AM125&gt;0),AM125*Assumptions!$B$59,0)</f>
        <v>0</v>
      </c>
      <c r="AN126" s="37">
        <f>IF(AND(MOD(38,3)=0,AN125&gt;0),AN125*Assumptions!$B$59,0)</f>
        <v>0</v>
      </c>
      <c r="AO126" s="37">
        <f>IF(AND(MOD(39,3)=0,AO125&gt;0),AO125*Assumptions!$B$59,0)</f>
        <v>28412.199634405155</v>
      </c>
      <c r="AP126" s="37">
        <f>IF(AND(MOD(40,3)=0,AP125&gt;0),AP125*Assumptions!$B$59,0)</f>
        <v>0</v>
      </c>
      <c r="AQ126" s="37">
        <f>IF(AND(MOD(41,3)=0,AQ125&gt;0),AQ125*Assumptions!$B$59,0)</f>
        <v>0</v>
      </c>
      <c r="AR126" s="37">
        <f>IF(AND(MOD(42,3)=0,AR125&gt;0),AR125*Assumptions!$B$59,0)</f>
        <v>29477.657120695352</v>
      </c>
      <c r="AS126" s="37">
        <f>IF(AND(MOD(43,3)=0,AS125&gt;0),AS125*Assumptions!$B$59,0)</f>
        <v>0</v>
      </c>
      <c r="AT126" s="37">
        <f>IF(AND(MOD(44,3)=0,AT125&gt;0),AT125*Assumptions!$B$59,0)</f>
        <v>0</v>
      </c>
      <c r="AU126" s="37">
        <f>IF(AND(MOD(45,3)=0,AU125&gt;0),AU125*Assumptions!$B$59,0)</f>
        <v>30583.069262721427</v>
      </c>
      <c r="AV126" s="37">
        <f>IF(AND(MOD(46,3)=0,AV125&gt;0),AV125*Assumptions!$B$59,0)</f>
        <v>0</v>
      </c>
      <c r="AW126" s="37">
        <f>IF(AND(MOD(47,3)=0,AW125&gt;0),AW125*Assumptions!$B$59,0)</f>
        <v>0</v>
      </c>
      <c r="AX126" s="37">
        <f>IF(AND(MOD(48,3)=0,AX125&gt;0),AX125*Assumptions!$B$59,0)</f>
        <v>31729.934360073479</v>
      </c>
      <c r="AY126" s="37">
        <f>IF(AND(MOD(49,3)=0,AY125&gt;0),AY125*Assumptions!$B$59,0)</f>
        <v>0</v>
      </c>
      <c r="AZ126" s="37">
        <f>IF(AND(MOD(50,3)=0,AZ125&gt;0),AZ125*Assumptions!$B$59,0)</f>
        <v>0</v>
      </c>
      <c r="BA126" s="37">
        <f>IF(AND(MOD(51,3)=0,BA125&gt;0),BA125*Assumptions!$B$59,0)</f>
        <v>32919.806898576237</v>
      </c>
      <c r="BB126" s="37">
        <f>IF(AND(MOD(52,3)=0,BB125&gt;0),BB125*Assumptions!$B$59,0)</f>
        <v>0</v>
      </c>
      <c r="BC126" s="37">
        <f>IF(AND(MOD(53,3)=0,BC125&gt;0),BC125*Assumptions!$B$59,0)</f>
        <v>0</v>
      </c>
      <c r="BD126" s="37">
        <f>IF(AND(MOD(54,3)=0,BD125&gt;0),BD125*Assumptions!$B$59,0)</f>
        <v>24810.375907272846</v>
      </c>
      <c r="BE126" s="37">
        <f>IF(AND(MOD(55,3)=0,BE125&gt;0),BE125*Assumptions!$B$59,0)</f>
        <v>0</v>
      </c>
      <c r="BF126" s="37">
        <f>IF(AND(MOD(56,3)=0,BF125&gt;0),BF125*Assumptions!$B$59,0)</f>
        <v>0</v>
      </c>
      <c r="BG126" s="37">
        <f>IF(AND(MOD(57,3)=0,BG125&gt;0),BG125*Assumptions!$B$59,0)</f>
        <v>23052.015003795575</v>
      </c>
      <c r="BH126" s="37">
        <f>IF(AND(MOD(58,3)=0,BH125&gt;0),BH125*Assumptions!$B$59,0)</f>
        <v>0</v>
      </c>
      <c r="BI126" s="37">
        <f>IF(AND(MOD(59,3)=0,BI125&gt;0),BI125*Assumptions!$B$59,0)</f>
        <v>0</v>
      </c>
      <c r="BJ126" s="37">
        <f>IF(AND(MOD(60,3)=0,BJ125&gt;0),BJ125*Assumptions!$B$59,0)</f>
        <v>21227.71556643791</v>
      </c>
      <c r="BK126" s="37">
        <f>IF(AND(MOD(61,3)=0,BK125&gt;0),BK125*Assumptions!$B$59,0)</f>
        <v>0</v>
      </c>
      <c r="BL126" s="37">
        <f>IF(AND(MOD(62,3)=0,BL125&gt;0),BL125*Assumptions!$B$59,0)</f>
        <v>0</v>
      </c>
      <c r="BM126" s="37">
        <f>IF(AND(MOD(63,3)=0,BM125&gt;0),BM125*Assumptions!$B$59,0)</f>
        <v>19335.004900179334</v>
      </c>
      <c r="BN126" s="37">
        <f>IF(AND(MOD(64,3)=0,BN125&gt;0),BN125*Assumptions!$B$59,0)</f>
        <v>0</v>
      </c>
      <c r="BO126" s="37">
        <f>IF(AND(MOD(65,3)=0,BO125&gt;0),BO125*Assumptions!$B$59,0)</f>
        <v>0</v>
      </c>
      <c r="BP126" s="37">
        <f>IF(AND(MOD(66,3)=0,BP125&gt;0),BP125*Assumptions!$B$59,0)</f>
        <v>17371.317583936059</v>
      </c>
      <c r="BQ126" s="37">
        <f>IF(AND(MOD(67,3)=0,BQ125&gt;0),BQ125*Assumptions!$B$59,0)</f>
        <v>0</v>
      </c>
      <c r="BR126" s="37">
        <f>IF(AND(MOD(68,3)=0,BR125&gt;0),BR125*Assumptions!$B$59,0)</f>
        <v>0</v>
      </c>
      <c r="BS126" s="37">
        <f>IF(AND(MOD(69,3)=0,BS125&gt;0),BS125*Assumptions!$B$59,0)</f>
        <v>15223.629493333659</v>
      </c>
      <c r="BT126" s="37">
        <f>IF(AND(MOD(70,3)=0,BT125&gt;0),BT125*Assumptions!$B$59,0)</f>
        <v>0</v>
      </c>
      <c r="BU126" s="37">
        <f>IF(AND(MOD(71,3)=0,BU125&gt;0),BU125*Assumptions!$B$59,0)</f>
        <v>0</v>
      </c>
      <c r="BV126" s="37">
        <f>IF(AND(MOD(72,3)=0,BV125&gt;0),BV125*Assumptions!$B$59,0)</f>
        <v>12995.51559933367</v>
      </c>
      <c r="BW126" s="37">
        <f>IF(AND(MOD(73,3)=0,BW125&gt;0),BW125*Assumptions!$B$59,0)</f>
        <v>0</v>
      </c>
      <c r="BX126" s="37">
        <f>IF(AND(MOD(74,3)=0,BX125&gt;0),BX125*Assumptions!$B$59,0)</f>
        <v>0</v>
      </c>
      <c r="BY126" s="37">
        <f>IF(AND(MOD(75,3)=0,BY125&gt;0),BY125*Assumptions!$B$59,0)</f>
        <v>10683.847434308684</v>
      </c>
      <c r="BZ126" s="37">
        <f>IF(AND(MOD(76,3)=0,BZ125&gt;0),BZ125*Assumptions!$B$59,0)</f>
        <v>0</v>
      </c>
      <c r="CA126" s="37">
        <f>IF(AND(MOD(77,3)=0,CA125&gt;0),CA125*Assumptions!$B$59,0)</f>
        <v>0</v>
      </c>
      <c r="CB126" s="37">
        <f>IF(AND(MOD(78,3)=0,CB125&gt;0),CB125*Assumptions!$B$59,0)</f>
        <v>8285.4917130952581</v>
      </c>
      <c r="CC126" s="37">
        <f>IF(AND(MOD(79,3)=0,CC125&gt;0),CC125*Assumptions!$B$59,0)</f>
        <v>0</v>
      </c>
      <c r="CD126" s="37">
        <f>IF(AND(MOD(80,3)=0,CD125&gt;0),CD125*Assumptions!$B$59,0)</f>
        <v>0</v>
      </c>
      <c r="CE126" s="37">
        <f>IF(AND(MOD(81,3)=0,CE125&gt;0),CE125*Assumptions!$B$59,0)</f>
        <v>5545.0851523363308</v>
      </c>
      <c r="CF126" s="37">
        <f>IF(AND(MOD(82,3)=0,CF125&gt;0),CF125*Assumptions!$B$59,0)</f>
        <v>0</v>
      </c>
      <c r="CG126" s="37">
        <f>IF(AND(MOD(83,3)=0,CG125&gt;0),CG125*Assumptions!$B$59,0)</f>
        <v>0</v>
      </c>
      <c r="CH126" s="37">
        <f>IF(AND(MOD(84,3)=0,CH125&gt;0),CH125*Assumptions!$B$59,0)</f>
        <v>2701.9508455489436</v>
      </c>
      <c r="CI126" s="23"/>
    </row>
    <row r="127" spans="1:87" ht="15" customHeight="1" x14ac:dyDescent="0.25">
      <c r="A127" s="36" t="s">
        <v>210</v>
      </c>
      <c r="B127" s="36"/>
      <c r="C127" s="37">
        <v>0</v>
      </c>
      <c r="D127" s="37">
        <v>0</v>
      </c>
      <c r="E127" s="37">
        <v>0</v>
      </c>
      <c r="F127" s="37">
        <v>0</v>
      </c>
      <c r="G127" s="37">
        <v>0</v>
      </c>
      <c r="H127" s="37">
        <v>0</v>
      </c>
      <c r="I127" s="37">
        <v>0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f>IF(Projects!$G$13="Yes",Assumptions!$B$74,0)</f>
        <v>-1450000</v>
      </c>
      <c r="P127" s="37">
        <v>0</v>
      </c>
      <c r="Q127" s="37">
        <v>0</v>
      </c>
      <c r="R127" s="37">
        <v>0</v>
      </c>
      <c r="S127" s="37">
        <v>0</v>
      </c>
      <c r="T127" s="37">
        <v>0</v>
      </c>
      <c r="U127" s="37">
        <v>0</v>
      </c>
      <c r="V127" s="37">
        <v>0</v>
      </c>
      <c r="W127" s="37">
        <v>0</v>
      </c>
      <c r="X127" s="37">
        <v>0</v>
      </c>
      <c r="Y127" s="37">
        <v>0</v>
      </c>
      <c r="Z127" s="37">
        <v>0</v>
      </c>
      <c r="AA127" s="37">
        <v>0</v>
      </c>
      <c r="AB127" s="37">
        <v>0</v>
      </c>
      <c r="AC127" s="37">
        <v>0</v>
      </c>
      <c r="AD127" s="37">
        <v>0</v>
      </c>
      <c r="AE127" s="37">
        <v>0</v>
      </c>
      <c r="AF127" s="37">
        <v>0</v>
      </c>
      <c r="AG127" s="37">
        <v>0</v>
      </c>
      <c r="AH127" s="37">
        <v>0</v>
      </c>
      <c r="AI127" s="37">
        <v>0</v>
      </c>
      <c r="AJ127" s="37">
        <v>0</v>
      </c>
      <c r="AK127" s="37">
        <v>0</v>
      </c>
      <c r="AL127" s="37">
        <v>0</v>
      </c>
      <c r="AM127" s="37">
        <v>0</v>
      </c>
      <c r="AN127" s="37">
        <v>0</v>
      </c>
      <c r="AO127" s="37">
        <v>0</v>
      </c>
      <c r="AP127" s="37">
        <v>0</v>
      </c>
      <c r="AQ127" s="37">
        <v>0</v>
      </c>
      <c r="AR127" s="37">
        <v>0</v>
      </c>
      <c r="AS127" s="37">
        <v>0</v>
      </c>
      <c r="AT127" s="37">
        <v>0</v>
      </c>
      <c r="AU127" s="37">
        <v>0</v>
      </c>
      <c r="AV127" s="37">
        <v>0</v>
      </c>
      <c r="AW127" s="37">
        <v>0</v>
      </c>
      <c r="AX127" s="37">
        <v>0</v>
      </c>
      <c r="AY127" s="37">
        <v>0</v>
      </c>
      <c r="AZ127" s="37">
        <v>0</v>
      </c>
      <c r="BA127" s="37">
        <v>0</v>
      </c>
      <c r="BB127" s="37">
        <v>0</v>
      </c>
      <c r="BC127" s="37">
        <v>0</v>
      </c>
      <c r="BD127" s="37">
        <v>0</v>
      </c>
      <c r="BE127" s="37">
        <v>0</v>
      </c>
      <c r="BF127" s="37">
        <v>0</v>
      </c>
      <c r="BG127" s="37">
        <v>0</v>
      </c>
      <c r="BH127" s="37">
        <v>0</v>
      </c>
      <c r="BI127" s="37">
        <v>0</v>
      </c>
      <c r="BJ127" s="37">
        <v>0</v>
      </c>
      <c r="BK127" s="37">
        <v>0</v>
      </c>
      <c r="BL127" s="37">
        <v>0</v>
      </c>
      <c r="BM127" s="37">
        <v>0</v>
      </c>
      <c r="BN127" s="37">
        <v>0</v>
      </c>
      <c r="BO127" s="37">
        <v>0</v>
      </c>
      <c r="BP127" s="37">
        <v>0</v>
      </c>
      <c r="BQ127" s="37">
        <v>0</v>
      </c>
      <c r="BR127" s="37">
        <v>0</v>
      </c>
      <c r="BS127" s="37">
        <v>0</v>
      </c>
      <c r="BT127" s="37">
        <v>0</v>
      </c>
      <c r="BU127" s="37">
        <v>0</v>
      </c>
      <c r="BV127" s="37">
        <v>0</v>
      </c>
      <c r="BW127" s="37">
        <v>0</v>
      </c>
      <c r="BX127" s="37">
        <v>0</v>
      </c>
      <c r="BY127" s="37">
        <v>0</v>
      </c>
      <c r="BZ127" s="37">
        <v>0</v>
      </c>
      <c r="CA127" s="37">
        <v>0</v>
      </c>
      <c r="CB127" s="37">
        <v>0</v>
      </c>
      <c r="CC127" s="37">
        <v>0</v>
      </c>
      <c r="CD127" s="37">
        <v>0</v>
      </c>
      <c r="CE127" s="37">
        <v>0</v>
      </c>
      <c r="CF127" s="37">
        <v>0</v>
      </c>
      <c r="CG127" s="37">
        <v>0</v>
      </c>
      <c r="CH127" s="37">
        <v>0</v>
      </c>
      <c r="CI127" s="23"/>
    </row>
    <row r="128" spans="1:87" ht="15" customHeight="1" x14ac:dyDescent="0.25">
      <c r="A128" s="198" t="s">
        <v>211</v>
      </c>
      <c r="B128" s="198"/>
      <c r="C128" s="199">
        <f>-MIN(C125+C126+C127,MAX(0,C60-Helpers!C23))</f>
        <v>0</v>
      </c>
      <c r="D128" s="199">
        <f>-MIN(D125+D126+D127,MAX(0,D60-Helpers!D23))</f>
        <v>0</v>
      </c>
      <c r="E128" s="199">
        <f>-MIN(E125+E126+E127,MAX(0,E60-Helpers!E23))</f>
        <v>0</v>
      </c>
      <c r="F128" s="199">
        <f>-MIN(F125+F126+F127,MAX(0,F60-Helpers!F23))</f>
        <v>0</v>
      </c>
      <c r="G128" s="199">
        <f>-MIN(G125+G126+G127,MAX(0,G60-Helpers!G23))</f>
        <v>0</v>
      </c>
      <c r="H128" s="199">
        <f>-MIN(H125+H126+H127,MAX(0,H60-Helpers!H23))</f>
        <v>0</v>
      </c>
      <c r="I128" s="199">
        <f>-MIN(I125+I126+I127,MAX(0,I60-Helpers!I23))</f>
        <v>0</v>
      </c>
      <c r="J128" s="199">
        <f>-MIN(J125+J126+J127,MAX(0,J60-Helpers!J23))</f>
        <v>0</v>
      </c>
      <c r="K128" s="199">
        <f>-MIN(K125+K126+K127,MAX(0,K60-Helpers!K23))</f>
        <v>0</v>
      </c>
      <c r="L128" s="199">
        <f>-MIN(L125+L126+L127,MAX(0,L60-Helpers!L23))</f>
        <v>0</v>
      </c>
      <c r="M128" s="199">
        <f>-MIN(M125+M126+M127,MAX(0,M60-Helpers!M23))</f>
        <v>0</v>
      </c>
      <c r="N128" s="199">
        <f>-MIN(N125+N126+N127,MAX(0,N60-Helpers!N23))</f>
        <v>0</v>
      </c>
      <c r="O128" s="199">
        <f>-MIN(O125+O126+O127,MAX(0,O60-Helpers!O23))</f>
        <v>0</v>
      </c>
      <c r="P128" s="199">
        <f>-MIN(P125+P126+P127,MAX(0,P60-Helpers!P23))</f>
        <v>0</v>
      </c>
      <c r="Q128" s="199">
        <f>-MIN(Q125+Q126+Q127,MAX(0,Q60-Helpers!Q23))</f>
        <v>0</v>
      </c>
      <c r="R128" s="199">
        <f>-MIN(R125+R126+R127,MAX(0,R60-Helpers!R23))</f>
        <v>0</v>
      </c>
      <c r="S128" s="199">
        <f>-MIN(S125+S126+S127,MAX(0,S60-Helpers!S23))</f>
        <v>0</v>
      </c>
      <c r="T128" s="199">
        <f>-MIN(T125+T126+T127,MAX(0,T60-Helpers!T23))</f>
        <v>0</v>
      </c>
      <c r="U128" s="199">
        <f>-MIN(U125+U126+U127,MAX(0,U60-Helpers!U23))</f>
        <v>0</v>
      </c>
      <c r="V128" s="199">
        <f>-MIN(V125+V126+V127,MAX(0,V60-Helpers!V23))</f>
        <v>0</v>
      </c>
      <c r="W128" s="199">
        <f>-MIN(W125+W126+W127,MAX(0,W60-Helpers!W23))</f>
        <v>0</v>
      </c>
      <c r="X128" s="199">
        <f>-MIN(X125+X126+X127,MAX(0,X60-Helpers!X23))</f>
        <v>0</v>
      </c>
      <c r="Y128" s="199">
        <f>-MIN(Y125+Y126+Y127,MAX(0,Y60-Helpers!Y23))</f>
        <v>0</v>
      </c>
      <c r="Z128" s="199">
        <f>-MIN(Z125+Z126+Z127,MAX(0,Z60-Helpers!Z23))</f>
        <v>0</v>
      </c>
      <c r="AA128" s="199">
        <f>-MIN(AA125+AA126+AA127,MAX(0,AA60-Helpers!AA23))</f>
        <v>0</v>
      </c>
      <c r="AB128" s="199">
        <f>-MIN(AB125+AB126+AB127,MAX(0,AB60-Helpers!AB23))</f>
        <v>0</v>
      </c>
      <c r="AC128" s="199">
        <f>-MIN(AC125+AC126+AC127,MAX(0,AC60-Helpers!AC23))</f>
        <v>0</v>
      </c>
      <c r="AD128" s="199">
        <f>-MIN(AD125+AD126+AD127,MAX(0,AD60-Helpers!AD23))</f>
        <v>0</v>
      </c>
      <c r="AE128" s="199">
        <f>-MIN(AE125+AE126+AE127,MAX(0,AE60-Helpers!AE23))</f>
        <v>0</v>
      </c>
      <c r="AF128" s="199">
        <f>-MIN(AF125+AF126+AF127,MAX(0,AF60-Helpers!AF23))</f>
        <v>0</v>
      </c>
      <c r="AG128" s="199">
        <f>-MIN(AG125+AG126+AG127,MAX(0,AG60-Helpers!AG23))</f>
        <v>0</v>
      </c>
      <c r="AH128" s="199">
        <f>-MIN(AH125+AH126+AH127,MAX(0,AH60-Helpers!AH23))</f>
        <v>0</v>
      </c>
      <c r="AI128" s="199">
        <f>-MIN(AI125+AI126+AI127,MAX(0,AI60-Helpers!AI23))</f>
        <v>0</v>
      </c>
      <c r="AJ128" s="199">
        <f>-MIN(AJ125+AJ126+AJ127,MAX(0,AJ60-Helpers!AJ23))</f>
        <v>0</v>
      </c>
      <c r="AK128" s="199">
        <f>-MIN(AK125+AK126+AK127,MAX(0,AK60-Helpers!AK23))</f>
        <v>0</v>
      </c>
      <c r="AL128" s="199">
        <f>-MIN(AL125+AL126+AL127,MAX(0,AL60-Helpers!AL23))</f>
        <v>0</v>
      </c>
      <c r="AM128" s="199">
        <f>-MIN(AM125+AM126+AM127,MAX(0,AM60-Helpers!AM23))</f>
        <v>0</v>
      </c>
      <c r="AN128" s="199">
        <f>-MIN(AN125+AN126+AN127,MAX(0,AN60-Helpers!AN23))</f>
        <v>0</v>
      </c>
      <c r="AO128" s="199">
        <f>-MIN(AO125+AO126+AO127,MAX(0,AO60-Helpers!AO23))</f>
        <v>0</v>
      </c>
      <c r="AP128" s="199">
        <f>-MIN(AP125+AP126+AP127,MAX(0,AP60-Helpers!AP23))</f>
        <v>0</v>
      </c>
      <c r="AQ128" s="199">
        <f>-MIN(AQ125+AQ126+AQ127,MAX(0,AQ60-Helpers!AQ23))</f>
        <v>0</v>
      </c>
      <c r="AR128" s="199">
        <f>-MIN(AR125+AR126+AR127,MAX(0,AR60-Helpers!AR23))</f>
        <v>0</v>
      </c>
      <c r="AS128" s="199">
        <f>-MIN(AS125+AS126+AS127,MAX(0,AS60-Helpers!AS23))</f>
        <v>0</v>
      </c>
      <c r="AT128" s="199">
        <f>-MIN(AT125+AT126+AT127,MAX(0,AT60-Helpers!AT23))</f>
        <v>0</v>
      </c>
      <c r="AU128" s="199">
        <f>-MIN(AU125+AU126+AU127,MAX(0,AU60-Helpers!AU23))</f>
        <v>0</v>
      </c>
      <c r="AV128" s="199">
        <f>-MIN(AV125+AV126+AV127,MAX(0,AV60-Helpers!AV23))</f>
        <v>0</v>
      </c>
      <c r="AW128" s="199">
        <f>-MIN(AW125+AW126+AW127,MAX(0,AW60-Helpers!AW23))</f>
        <v>0</v>
      </c>
      <c r="AX128" s="199">
        <f>-MIN(AX125+AX126+AX127,MAX(0,AX60-Helpers!AX23))</f>
        <v>0</v>
      </c>
      <c r="AY128" s="199">
        <f>-MIN(AY125+AY126+AY127,MAX(0,AY60-Helpers!AY23))</f>
        <v>0</v>
      </c>
      <c r="AZ128" s="199">
        <f>-MIN(AZ125+AZ126+AZ127,MAX(0,AZ60-Helpers!AZ23))</f>
        <v>0</v>
      </c>
      <c r="BA128" s="199">
        <f>-MIN(BA125+BA126+BA127,MAX(0,BA60-Helpers!BA23))</f>
        <v>-249171.30000000005</v>
      </c>
      <c r="BB128" s="199">
        <f>-MIN(BB125+BB126+BB127,MAX(0,BB60-Helpers!BB23))</f>
        <v>0</v>
      </c>
      <c r="BC128" s="199">
        <f>-MIN(BC125+BC126+BC127,MAX(0,BC60-Helpers!BC23))</f>
        <v>0</v>
      </c>
      <c r="BD128" s="199">
        <f>-MIN(BD125+BD126+BD127,MAX(0,BD60-Helpers!BD23))</f>
        <v>-71700</v>
      </c>
      <c r="BE128" s="199">
        <f>-MIN(BE125+BE126+BE127,MAX(0,BE60-Helpers!BE23))</f>
        <v>0</v>
      </c>
      <c r="BF128" s="199">
        <f>-MIN(BF125+BF126+BF127,MAX(0,BF60-Helpers!BF23))</f>
        <v>0</v>
      </c>
      <c r="BG128" s="199">
        <f>-MIN(BG125+BG126+BG127,MAX(0,BG60-Helpers!BG23))</f>
        <v>-71700</v>
      </c>
      <c r="BH128" s="199">
        <f>-MIN(BH125+BH126+BH127,MAX(0,BH60-Helpers!BH23))</f>
        <v>0</v>
      </c>
      <c r="BI128" s="199">
        <f>-MIN(BI125+BI126+BI127,MAX(0,BI60-Helpers!BI23))</f>
        <v>0</v>
      </c>
      <c r="BJ128" s="199">
        <f>-MIN(BJ125+BJ126+BJ127,MAX(0,BJ60-Helpers!BJ23))</f>
        <v>-71700</v>
      </c>
      <c r="BK128" s="199">
        <f>-MIN(BK125+BK126+BK127,MAX(0,BK60-Helpers!BK23))</f>
        <v>0</v>
      </c>
      <c r="BL128" s="199">
        <f>-MIN(BL125+BL126+BL127,MAX(0,BL60-Helpers!BL23))</f>
        <v>0</v>
      </c>
      <c r="BM128" s="199">
        <f>-MIN(BM125+BM126+BM127,MAX(0,BM60-Helpers!BM23))</f>
        <v>-71700</v>
      </c>
      <c r="BN128" s="199">
        <f>-MIN(BN125+BN126+BN127,MAX(0,BN60-Helpers!BN23))</f>
        <v>0</v>
      </c>
      <c r="BO128" s="199">
        <f>-MIN(BO125+BO126+BO127,MAX(0,BO60-Helpers!BO23))</f>
        <v>0</v>
      </c>
      <c r="BP128" s="199">
        <f>-MIN(BP125+BP126+BP127,MAX(0,BP60-Helpers!BP23))</f>
        <v>-74643</v>
      </c>
      <c r="BQ128" s="199">
        <f>-MIN(BQ125+BQ126+BQ127,MAX(0,BQ60-Helpers!BQ23))</f>
        <v>0</v>
      </c>
      <c r="BR128" s="199">
        <f>-MIN(BR125+BR126+BR127,MAX(0,BR60-Helpers!BR23))</f>
        <v>0</v>
      </c>
      <c r="BS128" s="199">
        <f>-MIN(BS125+BS126+BS127,MAX(0,BS60-Helpers!BS23))</f>
        <v>-74640</v>
      </c>
      <c r="BT128" s="199">
        <f>-MIN(BT125+BT126+BT127,MAX(0,BT60-Helpers!BT23))</f>
        <v>0</v>
      </c>
      <c r="BU128" s="199">
        <f>-MIN(BU125+BU126+BU127,MAX(0,BU60-Helpers!BU23))</f>
        <v>0</v>
      </c>
      <c r="BV128" s="199">
        <f>-MIN(BV125+BV126+BV127,MAX(0,BV60-Helpers!BV23))</f>
        <v>-74640</v>
      </c>
      <c r="BW128" s="199">
        <f>-MIN(BW125+BW126+BW127,MAX(0,BW60-Helpers!BW23))</f>
        <v>0</v>
      </c>
      <c r="BX128" s="199">
        <f>-MIN(BX125+BX126+BX127,MAX(0,BX60-Helpers!BX23))</f>
        <v>0</v>
      </c>
      <c r="BY128" s="199">
        <f>-MIN(BY125+BY126+BY127,MAX(0,BY60-Helpers!BY23))</f>
        <v>-74640</v>
      </c>
      <c r="BZ128" s="199">
        <f>-MIN(BZ125+BZ126+BZ127,MAX(0,BZ60-Helpers!BZ23))</f>
        <v>0</v>
      </c>
      <c r="CA128" s="199">
        <f>-MIN(CA125+CA126+CA127,MAX(0,CA60-Helpers!CA23))</f>
        <v>0</v>
      </c>
      <c r="CB128" s="199">
        <f>-MIN(CB125+CB126+CB127,MAX(0,CB60-Helpers!CB23))</f>
        <v>-81363</v>
      </c>
      <c r="CC128" s="199">
        <f>-MIN(CC125+CC126+CC127,MAX(0,CC60-Helpers!CC23))</f>
        <v>0</v>
      </c>
      <c r="CD128" s="199">
        <f>-MIN(CD125+CD126+CD127,MAX(0,CD60-Helpers!CD23))</f>
        <v>0</v>
      </c>
      <c r="CE128" s="199">
        <f>-MIN(CE125+CE126+CE127,MAX(0,CE60-Helpers!CE23))</f>
        <v>-81362</v>
      </c>
      <c r="CF128" s="199">
        <f>-MIN(CF125+CF126+CF127,MAX(0,CF60-Helpers!CF23))</f>
        <v>0</v>
      </c>
      <c r="CG128" s="199">
        <f>-MIN(CG125+CG126+CG127,MAX(0,CG60-Helpers!CG23))</f>
        <v>0</v>
      </c>
      <c r="CH128" s="199">
        <f>-MIN(CH125+CH126+CH127,MAX(0,CH60-Helpers!CH23))</f>
        <v>-74753.973393520777</v>
      </c>
      <c r="CI128" s="23"/>
    </row>
    <row r="129" spans="1:89" s="185" customFormat="1" ht="13.5" customHeight="1" x14ac:dyDescent="0.25">
      <c r="A129" s="200" t="s">
        <v>212</v>
      </c>
      <c r="B129" s="201"/>
      <c r="C129" s="202">
        <f t="shared" ref="C129:AH129" si="53">MAX(0,C125+C126+C127+C128)</f>
        <v>1134000</v>
      </c>
      <c r="D129" s="202">
        <f t="shared" si="53"/>
        <v>1184000</v>
      </c>
      <c r="E129" s="202">
        <f t="shared" si="53"/>
        <v>1280275</v>
      </c>
      <c r="F129" s="202">
        <f t="shared" si="53"/>
        <v>1330275</v>
      </c>
      <c r="G129" s="202">
        <f t="shared" si="53"/>
        <v>1380275</v>
      </c>
      <c r="H129" s="202">
        <f t="shared" si="53"/>
        <v>1483910.3125</v>
      </c>
      <c r="I129" s="202">
        <f t="shared" si="53"/>
        <v>1533910.3125</v>
      </c>
      <c r="J129" s="202">
        <f t="shared" si="53"/>
        <v>1583910.3125</v>
      </c>
      <c r="K129" s="202">
        <f t="shared" si="53"/>
        <v>1695181.94921875</v>
      </c>
      <c r="L129" s="202">
        <f t="shared" si="53"/>
        <v>1745181.94921875</v>
      </c>
      <c r="M129" s="202">
        <f t="shared" si="53"/>
        <v>1795181.94921875</v>
      </c>
      <c r="N129" s="202">
        <f t="shared" si="53"/>
        <v>1914376.272314453</v>
      </c>
      <c r="O129" s="202">
        <f t="shared" si="53"/>
        <v>514376.27231445303</v>
      </c>
      <c r="P129" s="202">
        <f t="shared" si="53"/>
        <v>564376.27231445303</v>
      </c>
      <c r="Q129" s="202">
        <f t="shared" si="53"/>
        <v>585540.38252624497</v>
      </c>
      <c r="R129" s="202">
        <f t="shared" si="53"/>
        <v>585540.38252624497</v>
      </c>
      <c r="S129" s="202">
        <f t="shared" si="53"/>
        <v>585540.38252624497</v>
      </c>
      <c r="T129" s="202">
        <f t="shared" si="53"/>
        <v>607498.14687097911</v>
      </c>
      <c r="U129" s="202">
        <f t="shared" si="53"/>
        <v>607498.14687097911</v>
      </c>
      <c r="V129" s="202">
        <f t="shared" si="53"/>
        <v>607498.14687097911</v>
      </c>
      <c r="W129" s="202">
        <f t="shared" si="53"/>
        <v>630279.32737864088</v>
      </c>
      <c r="X129" s="202">
        <f t="shared" si="53"/>
        <v>630279.32737864088</v>
      </c>
      <c r="Y129" s="202">
        <f t="shared" si="53"/>
        <v>630279.32737864088</v>
      </c>
      <c r="Z129" s="202">
        <f t="shared" si="53"/>
        <v>653914.80215533986</v>
      </c>
      <c r="AA129" s="202">
        <f t="shared" si="53"/>
        <v>653914.80215533986</v>
      </c>
      <c r="AB129" s="202">
        <f t="shared" si="53"/>
        <v>653914.80215533986</v>
      </c>
      <c r="AC129" s="202">
        <f t="shared" si="53"/>
        <v>678436.60723616509</v>
      </c>
      <c r="AD129" s="202">
        <f t="shared" si="53"/>
        <v>678436.60723616509</v>
      </c>
      <c r="AE129" s="202">
        <f t="shared" si="53"/>
        <v>678436.60723616509</v>
      </c>
      <c r="AF129" s="202">
        <f t="shared" si="53"/>
        <v>703877.98000752123</v>
      </c>
      <c r="AG129" s="202">
        <f t="shared" si="53"/>
        <v>703877.98000752123</v>
      </c>
      <c r="AH129" s="202">
        <f t="shared" si="53"/>
        <v>703877.98000752123</v>
      </c>
      <c r="AI129" s="202">
        <f t="shared" ref="AI129:BN129" si="54">MAX(0,AI125+AI126+AI127+AI128)</f>
        <v>730273.40425780322</v>
      </c>
      <c r="AJ129" s="202">
        <f t="shared" si="54"/>
        <v>730273.40425780322</v>
      </c>
      <c r="AK129" s="202">
        <f t="shared" si="54"/>
        <v>730273.40425780322</v>
      </c>
      <c r="AL129" s="202">
        <f t="shared" si="54"/>
        <v>757658.65691747086</v>
      </c>
      <c r="AM129" s="202">
        <f t="shared" si="54"/>
        <v>757658.65691747086</v>
      </c>
      <c r="AN129" s="202">
        <f t="shared" si="54"/>
        <v>757658.65691747086</v>
      </c>
      <c r="AO129" s="202">
        <f t="shared" si="54"/>
        <v>786070.85655187606</v>
      </c>
      <c r="AP129" s="202">
        <f t="shared" si="54"/>
        <v>786070.85655187606</v>
      </c>
      <c r="AQ129" s="202">
        <f t="shared" si="54"/>
        <v>786070.85655187606</v>
      </c>
      <c r="AR129" s="202">
        <f t="shared" si="54"/>
        <v>815548.5136725714</v>
      </c>
      <c r="AS129" s="202">
        <f t="shared" si="54"/>
        <v>815548.5136725714</v>
      </c>
      <c r="AT129" s="202">
        <f t="shared" si="54"/>
        <v>815548.5136725714</v>
      </c>
      <c r="AU129" s="202">
        <f t="shared" si="54"/>
        <v>846131.58293529286</v>
      </c>
      <c r="AV129" s="202">
        <f t="shared" si="54"/>
        <v>846131.58293529286</v>
      </c>
      <c r="AW129" s="202">
        <f t="shared" si="54"/>
        <v>846131.58293529286</v>
      </c>
      <c r="AX129" s="202">
        <f t="shared" si="54"/>
        <v>877861.51729536639</v>
      </c>
      <c r="AY129" s="202">
        <f t="shared" si="54"/>
        <v>877861.51729536639</v>
      </c>
      <c r="AZ129" s="202">
        <f t="shared" si="54"/>
        <v>877861.51729536639</v>
      </c>
      <c r="BA129" s="202">
        <f t="shared" si="54"/>
        <v>661610.02419394255</v>
      </c>
      <c r="BB129" s="202">
        <f t="shared" si="54"/>
        <v>661610.02419394255</v>
      </c>
      <c r="BC129" s="202">
        <f t="shared" si="54"/>
        <v>661610.02419394255</v>
      </c>
      <c r="BD129" s="202">
        <f t="shared" si="54"/>
        <v>614720.40010121535</v>
      </c>
      <c r="BE129" s="202">
        <f t="shared" si="54"/>
        <v>614720.40010121535</v>
      </c>
      <c r="BF129" s="202">
        <f t="shared" si="54"/>
        <v>614720.40010121535</v>
      </c>
      <c r="BG129" s="202">
        <f t="shared" si="54"/>
        <v>566072.41510501096</v>
      </c>
      <c r="BH129" s="202">
        <f t="shared" si="54"/>
        <v>566072.41510501096</v>
      </c>
      <c r="BI129" s="202">
        <f t="shared" si="54"/>
        <v>566072.41510501096</v>
      </c>
      <c r="BJ129" s="202">
        <f t="shared" si="54"/>
        <v>515600.13067144889</v>
      </c>
      <c r="BK129" s="202">
        <f t="shared" si="54"/>
        <v>515600.13067144889</v>
      </c>
      <c r="BL129" s="202">
        <f t="shared" si="54"/>
        <v>515600.13067144889</v>
      </c>
      <c r="BM129" s="202">
        <f t="shared" si="54"/>
        <v>463235.13557162823</v>
      </c>
      <c r="BN129" s="202">
        <f t="shared" si="54"/>
        <v>463235.13557162823</v>
      </c>
      <c r="BO129" s="202">
        <f t="shared" ref="BO129:CH129" si="55">MAX(0,BO125+BO126+BO127+BO128)</f>
        <v>463235.13557162823</v>
      </c>
      <c r="BP129" s="202">
        <f t="shared" si="55"/>
        <v>405963.45315556426</v>
      </c>
      <c r="BQ129" s="202">
        <f t="shared" si="55"/>
        <v>405963.45315556426</v>
      </c>
      <c r="BR129" s="202">
        <f t="shared" si="55"/>
        <v>405963.45315556426</v>
      </c>
      <c r="BS129" s="202">
        <f t="shared" si="55"/>
        <v>346547.08264889789</v>
      </c>
      <c r="BT129" s="202">
        <f t="shared" si="55"/>
        <v>346547.08264889789</v>
      </c>
      <c r="BU129" s="202">
        <f t="shared" si="55"/>
        <v>346547.08264889789</v>
      </c>
      <c r="BV129" s="202">
        <f t="shared" si="55"/>
        <v>284902.59824823157</v>
      </c>
      <c r="BW129" s="202">
        <f t="shared" si="55"/>
        <v>284902.59824823157</v>
      </c>
      <c r="BX129" s="202">
        <f t="shared" si="55"/>
        <v>284902.59824823157</v>
      </c>
      <c r="BY129" s="202">
        <f t="shared" si="55"/>
        <v>220946.44568254024</v>
      </c>
      <c r="BZ129" s="202">
        <f t="shared" si="55"/>
        <v>220946.44568254024</v>
      </c>
      <c r="CA129" s="202">
        <f t="shared" si="55"/>
        <v>220946.44568254024</v>
      </c>
      <c r="CB129" s="202">
        <f t="shared" si="55"/>
        <v>147868.9373956355</v>
      </c>
      <c r="CC129" s="202">
        <f t="shared" si="55"/>
        <v>147868.9373956355</v>
      </c>
      <c r="CD129" s="202">
        <f t="shared" si="55"/>
        <v>147868.9373956355</v>
      </c>
      <c r="CE129" s="202">
        <f t="shared" si="55"/>
        <v>72052.022547971836</v>
      </c>
      <c r="CF129" s="202">
        <f t="shared" si="55"/>
        <v>72052.022547971836</v>
      </c>
      <c r="CG129" s="202">
        <f t="shared" si="55"/>
        <v>72052.022547971836</v>
      </c>
      <c r="CH129" s="202">
        <f t="shared" si="55"/>
        <v>0</v>
      </c>
      <c r="CI129" s="184"/>
    </row>
    <row r="130" spans="1:89" s="189" customFormat="1" ht="16.5" customHeight="1" thickBot="1" x14ac:dyDescent="0.3">
      <c r="A130" s="190"/>
      <c r="B130" s="191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  <c r="BD130" s="192"/>
      <c r="BE130" s="192"/>
      <c r="BF130" s="192"/>
      <c r="BG130" s="192"/>
      <c r="BH130" s="192"/>
      <c r="BI130" s="192"/>
      <c r="BJ130" s="192"/>
      <c r="BK130" s="192"/>
      <c r="BL130" s="192"/>
      <c r="BM130" s="192"/>
      <c r="BN130" s="192"/>
      <c r="BO130" s="192"/>
      <c r="BP130" s="192"/>
      <c r="BQ130" s="192"/>
      <c r="BR130" s="192"/>
      <c r="BS130" s="192"/>
      <c r="BT130" s="192"/>
      <c r="BU130" s="192"/>
      <c r="BV130" s="192"/>
      <c r="BW130" s="192"/>
      <c r="BX130" s="192"/>
      <c r="BY130" s="192"/>
      <c r="BZ130" s="192"/>
      <c r="CA130" s="192"/>
      <c r="CB130" s="192"/>
      <c r="CC130" s="192"/>
      <c r="CD130" s="192"/>
      <c r="CE130" s="192"/>
      <c r="CF130" s="192"/>
      <c r="CG130" s="192"/>
      <c r="CH130" s="192"/>
      <c r="CI130" s="187"/>
    </row>
    <row r="131" spans="1:89" ht="15" customHeight="1" thickTop="1" x14ac:dyDescent="0.25">
      <c r="A131" s="178" t="s">
        <v>213</v>
      </c>
      <c r="B131" s="179"/>
      <c r="C131" s="179"/>
      <c r="D131" s="179"/>
      <c r="E131" s="179"/>
      <c r="F131" s="179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179"/>
      <c r="AK131" s="179"/>
      <c r="AL131" s="179"/>
      <c r="AM131" s="179"/>
      <c r="AN131" s="179"/>
      <c r="AO131" s="179"/>
      <c r="AP131" s="179"/>
      <c r="AQ131" s="179"/>
      <c r="AR131" s="179"/>
      <c r="AS131" s="179"/>
      <c r="AT131" s="179"/>
      <c r="AU131" s="179"/>
      <c r="AV131" s="179"/>
      <c r="AW131" s="179"/>
      <c r="AX131" s="179"/>
      <c r="AY131" s="179"/>
      <c r="AZ131" s="179"/>
      <c r="BA131" s="179"/>
      <c r="BB131" s="179"/>
      <c r="BC131" s="179"/>
      <c r="BD131" s="179"/>
      <c r="BE131" s="179"/>
      <c r="BF131" s="179"/>
      <c r="BG131" s="179"/>
      <c r="BH131" s="179"/>
      <c r="BI131" s="179"/>
      <c r="BJ131" s="179"/>
      <c r="BK131" s="179"/>
      <c r="BL131" s="179"/>
      <c r="BM131" s="179"/>
      <c r="BN131" s="179"/>
      <c r="BO131" s="179"/>
      <c r="BP131" s="179"/>
      <c r="BQ131" s="179"/>
      <c r="BR131" s="179"/>
      <c r="BS131" s="179"/>
      <c r="BT131" s="179"/>
      <c r="BU131" s="179"/>
      <c r="BV131" s="179"/>
      <c r="BW131" s="179"/>
      <c r="BX131" s="179"/>
      <c r="BY131" s="179"/>
      <c r="BZ131" s="179"/>
      <c r="CA131" s="179"/>
      <c r="CB131" s="179"/>
      <c r="CC131" s="179"/>
      <c r="CD131" s="179"/>
      <c r="CE131" s="179"/>
      <c r="CF131" s="179"/>
      <c r="CG131" s="179"/>
      <c r="CH131" s="179"/>
      <c r="CI131" s="23"/>
    </row>
    <row r="132" spans="1:89" ht="15" customHeight="1" x14ac:dyDescent="0.25">
      <c r="A132" s="7" t="s">
        <v>214</v>
      </c>
      <c r="B132" s="22"/>
      <c r="C132" s="8">
        <f>Helpers!C8</f>
        <v>10946461.542965369</v>
      </c>
      <c r="D132" s="8">
        <f>Helpers!D8</f>
        <v>10133653.21477537</v>
      </c>
      <c r="E132" s="8">
        <f>Helpers!E8</f>
        <v>9246899.8394238371</v>
      </c>
      <c r="F132" s="8">
        <f>Helpers!F8</f>
        <v>8303243.599525284</v>
      </c>
      <c r="G132" s="8">
        <f>Helpers!G8</f>
        <v>7323700.4558519367</v>
      </c>
      <c r="H132" s="8">
        <f>Helpers!H8</f>
        <v>6331894.5878293645</v>
      </c>
      <c r="I132" s="8">
        <f>Helpers!I8</f>
        <v>5352351.4441560172</v>
      </c>
      <c r="J132" s="8">
        <f>Helpers!J8</f>
        <v>4408695.204257464</v>
      </c>
      <c r="K132" s="8">
        <f>Helpers!K8</f>
        <v>3521941.8289059317</v>
      </c>
      <c r="L132" s="8">
        <f>Helpers!L8</f>
        <v>2709133.5007159319</v>
      </c>
      <c r="M132" s="8">
        <f>Helpers!M8</f>
        <v>1982410.0436813007</v>
      </c>
      <c r="N132" s="8">
        <f>Helpers!N8</f>
        <v>1348626.5665139642</v>
      </c>
      <c r="O132" s="8">
        <f>Helpers!O8</f>
        <v>809476.36299933877</v>
      </c>
      <c r="P132" s="8">
        <f>Helpers!P8</f>
        <v>362105.41377329524</v>
      </c>
      <c r="Q132" s="8">
        <f>Helpers!Q8</f>
        <v>-2.5919677515418016E-9</v>
      </c>
      <c r="R132" s="8">
        <f>Helpers!R8</f>
        <v>0</v>
      </c>
      <c r="S132" s="8">
        <f>Helpers!S8</f>
        <v>0</v>
      </c>
      <c r="T132" s="8">
        <f>Helpers!T8</f>
        <v>0</v>
      </c>
      <c r="U132" s="8">
        <f>Helpers!U8</f>
        <v>0</v>
      </c>
      <c r="V132" s="8">
        <f>Helpers!V8</f>
        <v>0</v>
      </c>
      <c r="W132" s="8">
        <f>Helpers!W8</f>
        <v>0</v>
      </c>
      <c r="X132" s="8">
        <f>Helpers!X8</f>
        <v>0</v>
      </c>
      <c r="Y132" s="8">
        <f>Helpers!Y8</f>
        <v>0</v>
      </c>
      <c r="Z132" s="8">
        <f>Helpers!Z8</f>
        <v>0</v>
      </c>
      <c r="AA132" s="8">
        <f>Helpers!AA8</f>
        <v>0</v>
      </c>
      <c r="AB132" s="8">
        <f>Helpers!AB8</f>
        <v>0</v>
      </c>
      <c r="AC132" s="8">
        <f>Helpers!AC8</f>
        <v>0</v>
      </c>
      <c r="AD132" s="8">
        <f>Helpers!AD8</f>
        <v>0</v>
      </c>
      <c r="AE132" s="8">
        <f>Helpers!AE8</f>
        <v>0</v>
      </c>
      <c r="AF132" s="8">
        <f>Helpers!AF8</f>
        <v>0</v>
      </c>
      <c r="AG132" s="8">
        <f>Helpers!AG8</f>
        <v>0</v>
      </c>
      <c r="AH132" s="8">
        <f>Helpers!AH8</f>
        <v>0</v>
      </c>
      <c r="AI132" s="8">
        <f>Helpers!AI8</f>
        <v>0</v>
      </c>
      <c r="AJ132" s="8">
        <f>Helpers!AJ8</f>
        <v>0</v>
      </c>
      <c r="AK132" s="8">
        <f>Helpers!AK8</f>
        <v>0</v>
      </c>
      <c r="AL132" s="8">
        <f>Helpers!AL8</f>
        <v>0</v>
      </c>
      <c r="AM132" s="8">
        <f>Helpers!AM8</f>
        <v>0</v>
      </c>
      <c r="AN132" s="8">
        <f>Helpers!AN8</f>
        <v>0</v>
      </c>
      <c r="AO132" s="8">
        <f>Helpers!AO8</f>
        <v>0</v>
      </c>
      <c r="AP132" s="8">
        <f>Helpers!AP8</f>
        <v>0</v>
      </c>
      <c r="AQ132" s="8">
        <f>Helpers!AQ8</f>
        <v>0</v>
      </c>
      <c r="AR132" s="8">
        <f>Helpers!AR8</f>
        <v>0</v>
      </c>
      <c r="AS132" s="8">
        <f>Helpers!AS8</f>
        <v>0</v>
      </c>
      <c r="AT132" s="8">
        <f>Helpers!AT8</f>
        <v>0</v>
      </c>
      <c r="AU132" s="8">
        <f>Helpers!AU8</f>
        <v>0</v>
      </c>
      <c r="AV132" s="8">
        <f>Helpers!AV8</f>
        <v>0</v>
      </c>
      <c r="AW132" s="8">
        <f>Helpers!AW8</f>
        <v>0</v>
      </c>
      <c r="AX132" s="8">
        <f>Helpers!AX8</f>
        <v>0</v>
      </c>
      <c r="AY132" s="8">
        <f>Helpers!AY8</f>
        <v>0</v>
      </c>
      <c r="AZ132" s="8">
        <f>Helpers!AZ8</f>
        <v>0</v>
      </c>
      <c r="BA132" s="8">
        <f>Helpers!BA8</f>
        <v>0</v>
      </c>
      <c r="BB132" s="8">
        <f>Helpers!BB8</f>
        <v>0</v>
      </c>
      <c r="BC132" s="8">
        <f>Helpers!BC8</f>
        <v>0</v>
      </c>
      <c r="BD132" s="8">
        <f>Helpers!BD8</f>
        <v>0</v>
      </c>
      <c r="BE132" s="8">
        <f>Helpers!BE8</f>
        <v>0</v>
      </c>
      <c r="BF132" s="8">
        <f>Helpers!BF8</f>
        <v>0</v>
      </c>
      <c r="BG132" s="8">
        <f>Helpers!BG8</f>
        <v>0</v>
      </c>
      <c r="BH132" s="8">
        <f>Helpers!BH8</f>
        <v>0</v>
      </c>
      <c r="BI132" s="8">
        <f>Helpers!BI8</f>
        <v>0</v>
      </c>
      <c r="BJ132" s="8">
        <f>Helpers!BJ8</f>
        <v>0</v>
      </c>
      <c r="BK132" s="8">
        <f>Helpers!BK8</f>
        <v>0</v>
      </c>
      <c r="BL132" s="8">
        <f>Helpers!BL8</f>
        <v>0</v>
      </c>
      <c r="BM132" s="8">
        <f>Helpers!BM8</f>
        <v>0</v>
      </c>
      <c r="BN132" s="8">
        <f>Helpers!BN8</f>
        <v>0</v>
      </c>
      <c r="BO132" s="8">
        <f>Helpers!BO8</f>
        <v>0</v>
      </c>
      <c r="BP132" s="8">
        <f>Helpers!BP8</f>
        <v>0</v>
      </c>
      <c r="BQ132" s="8">
        <f>Helpers!BQ8</f>
        <v>0</v>
      </c>
      <c r="BR132" s="8">
        <f>Helpers!BR8</f>
        <v>0</v>
      </c>
      <c r="BS132" s="8">
        <f>Helpers!BS8</f>
        <v>0</v>
      </c>
      <c r="BT132" s="8">
        <f>Helpers!BT8</f>
        <v>0</v>
      </c>
      <c r="BU132" s="8">
        <f>Helpers!BU8</f>
        <v>0</v>
      </c>
      <c r="BV132" s="8">
        <f>Helpers!BV8</f>
        <v>0</v>
      </c>
      <c r="BW132" s="8">
        <f>Helpers!BW8</f>
        <v>0</v>
      </c>
      <c r="BX132" s="8">
        <f>Helpers!BX8</f>
        <v>0</v>
      </c>
      <c r="BY132" s="8">
        <f>Helpers!BY8</f>
        <v>0</v>
      </c>
      <c r="BZ132" s="8">
        <f>Helpers!BZ8</f>
        <v>0</v>
      </c>
      <c r="CA132" s="8">
        <f>Helpers!CA8</f>
        <v>0</v>
      </c>
      <c r="CB132" s="8">
        <f>Helpers!CB8</f>
        <v>0</v>
      </c>
      <c r="CC132" s="8">
        <f>Helpers!CC8</f>
        <v>0</v>
      </c>
      <c r="CD132" s="8">
        <f>Helpers!CD8</f>
        <v>0</v>
      </c>
      <c r="CE132" s="8">
        <f>Helpers!CE8</f>
        <v>0</v>
      </c>
      <c r="CF132" s="8">
        <f>Helpers!CF8</f>
        <v>0</v>
      </c>
      <c r="CG132" s="8">
        <f>Helpers!CG8</f>
        <v>0</v>
      </c>
      <c r="CH132" s="8">
        <f>Helpers!CH8</f>
        <v>0</v>
      </c>
      <c r="CI132" s="23"/>
    </row>
    <row r="133" spans="1:89" ht="15" customHeight="1" x14ac:dyDescent="0.25">
      <c r="A133" s="7" t="s">
        <v>215</v>
      </c>
      <c r="B133" s="22"/>
      <c r="C133" s="8">
        <f>Helpers!C9</f>
        <v>12652545.517624598</v>
      </c>
      <c r="D133" s="8">
        <f>Helpers!D9</f>
        <v>11713055.223965524</v>
      </c>
      <c r="E133" s="8">
        <f>Helpers!E9</f>
        <v>10688095.021026451</v>
      </c>
      <c r="F133" s="8">
        <f>Helpers!F9</f>
        <v>9597363.236929534</v>
      </c>
      <c r="G133" s="8">
        <f>Helpers!G9</f>
        <v>8465151.3195753992</v>
      </c>
      <c r="H133" s="8">
        <f>Helpers!H9</f>
        <v>7318765.4449667064</v>
      </c>
      <c r="I133" s="8">
        <f>Helpers!I9</f>
        <v>6186553.5276125716</v>
      </c>
      <c r="J133" s="8">
        <f>Helpers!J9</f>
        <v>5095821.7435156535</v>
      </c>
      <c r="K133" s="8">
        <f>Helpers!K9</f>
        <v>4070861.5405765832</v>
      </c>
      <c r="L133" s="8">
        <f>Helpers!L9</f>
        <v>3131371.2469175067</v>
      </c>
      <c r="M133" s="8">
        <f>Helpers!M9</f>
        <v>2291382.7645421051</v>
      </c>
      <c r="N133" s="8">
        <f>Helpers!N9</f>
        <v>1558819.6196661771</v>
      </c>
      <c r="O133" s="8">
        <f>Helpers!O9</f>
        <v>935639.01796852541</v>
      </c>
      <c r="P133" s="8">
        <f>Helpers!P9</f>
        <v>418542.12084536091</v>
      </c>
      <c r="Q133" s="8">
        <f>Helpers!Q9</f>
        <v>-2.9959443814675524E-9</v>
      </c>
      <c r="R133" s="8">
        <f>Helpers!R9</f>
        <v>0</v>
      </c>
      <c r="S133" s="8">
        <f>Helpers!S9</f>
        <v>0</v>
      </c>
      <c r="T133" s="8">
        <f>Helpers!T9</f>
        <v>0</v>
      </c>
      <c r="U133" s="8">
        <f>Helpers!U9</f>
        <v>0</v>
      </c>
      <c r="V133" s="8">
        <f>Helpers!V9</f>
        <v>0</v>
      </c>
      <c r="W133" s="8">
        <f>Helpers!W9</f>
        <v>0</v>
      </c>
      <c r="X133" s="8">
        <f>Helpers!X9</f>
        <v>0</v>
      </c>
      <c r="Y133" s="8">
        <f>Helpers!Y9</f>
        <v>0</v>
      </c>
      <c r="Z133" s="8">
        <f>Helpers!Z9</f>
        <v>0</v>
      </c>
      <c r="AA133" s="8">
        <f>Helpers!AA9</f>
        <v>0</v>
      </c>
      <c r="AB133" s="8">
        <f>Helpers!AB9</f>
        <v>0</v>
      </c>
      <c r="AC133" s="8">
        <f>Helpers!AC9</f>
        <v>0</v>
      </c>
      <c r="AD133" s="8">
        <f>Helpers!AD9</f>
        <v>0</v>
      </c>
      <c r="AE133" s="8">
        <f>Helpers!AE9</f>
        <v>0</v>
      </c>
      <c r="AF133" s="8">
        <f>Helpers!AF9</f>
        <v>0</v>
      </c>
      <c r="AG133" s="8">
        <f>Helpers!AG9</f>
        <v>0</v>
      </c>
      <c r="AH133" s="8">
        <f>Helpers!AH9</f>
        <v>0</v>
      </c>
      <c r="AI133" s="8">
        <f>Helpers!AI9</f>
        <v>0</v>
      </c>
      <c r="AJ133" s="8">
        <f>Helpers!AJ9</f>
        <v>0</v>
      </c>
      <c r="AK133" s="8">
        <f>Helpers!AK9</f>
        <v>0</v>
      </c>
      <c r="AL133" s="8">
        <f>Helpers!AL9</f>
        <v>0</v>
      </c>
      <c r="AM133" s="8">
        <f>Helpers!AM9</f>
        <v>0</v>
      </c>
      <c r="AN133" s="8">
        <f>Helpers!AN9</f>
        <v>0</v>
      </c>
      <c r="AO133" s="8">
        <f>Helpers!AO9</f>
        <v>0</v>
      </c>
      <c r="AP133" s="8">
        <f>Helpers!AP9</f>
        <v>0</v>
      </c>
      <c r="AQ133" s="8">
        <f>Helpers!AQ9</f>
        <v>0</v>
      </c>
      <c r="AR133" s="8">
        <f>Helpers!AR9</f>
        <v>0</v>
      </c>
      <c r="AS133" s="8">
        <f>Helpers!AS9</f>
        <v>0</v>
      </c>
      <c r="AT133" s="8">
        <f>Helpers!AT9</f>
        <v>0</v>
      </c>
      <c r="AU133" s="8">
        <f>Helpers!AU9</f>
        <v>0</v>
      </c>
      <c r="AV133" s="8">
        <f>Helpers!AV9</f>
        <v>0</v>
      </c>
      <c r="AW133" s="8">
        <f>Helpers!AW9</f>
        <v>0</v>
      </c>
      <c r="AX133" s="8">
        <f>Helpers!AX9</f>
        <v>0</v>
      </c>
      <c r="AY133" s="8">
        <f>Helpers!AY9</f>
        <v>0</v>
      </c>
      <c r="AZ133" s="8">
        <f>Helpers!AZ9</f>
        <v>0</v>
      </c>
      <c r="BA133" s="8">
        <f>Helpers!BA9</f>
        <v>0</v>
      </c>
      <c r="BB133" s="8">
        <f>Helpers!BB9</f>
        <v>0</v>
      </c>
      <c r="BC133" s="8">
        <f>Helpers!BC9</f>
        <v>0</v>
      </c>
      <c r="BD133" s="8">
        <f>Helpers!BD9</f>
        <v>0</v>
      </c>
      <c r="BE133" s="8">
        <f>Helpers!BE9</f>
        <v>0</v>
      </c>
      <c r="BF133" s="8">
        <f>Helpers!BF9</f>
        <v>0</v>
      </c>
      <c r="BG133" s="8">
        <f>Helpers!BG9</f>
        <v>0</v>
      </c>
      <c r="BH133" s="8">
        <f>Helpers!BH9</f>
        <v>0</v>
      </c>
      <c r="BI133" s="8">
        <f>Helpers!BI9</f>
        <v>0</v>
      </c>
      <c r="BJ133" s="8">
        <f>Helpers!BJ9</f>
        <v>0</v>
      </c>
      <c r="BK133" s="8">
        <f>Helpers!BK9</f>
        <v>0</v>
      </c>
      <c r="BL133" s="8">
        <f>Helpers!BL9</f>
        <v>0</v>
      </c>
      <c r="BM133" s="8">
        <f>Helpers!BM9</f>
        <v>0</v>
      </c>
      <c r="BN133" s="8">
        <f>Helpers!BN9</f>
        <v>0</v>
      </c>
      <c r="BO133" s="8">
        <f>Helpers!BO9</f>
        <v>0</v>
      </c>
      <c r="BP133" s="8">
        <f>Helpers!BP9</f>
        <v>0</v>
      </c>
      <c r="BQ133" s="8">
        <f>Helpers!BQ9</f>
        <v>0</v>
      </c>
      <c r="BR133" s="8">
        <f>Helpers!BR9</f>
        <v>0</v>
      </c>
      <c r="BS133" s="8">
        <f>Helpers!BS9</f>
        <v>0</v>
      </c>
      <c r="BT133" s="8">
        <f>Helpers!BT9</f>
        <v>0</v>
      </c>
      <c r="BU133" s="8">
        <f>Helpers!BU9</f>
        <v>0</v>
      </c>
      <c r="BV133" s="8">
        <f>Helpers!BV9</f>
        <v>0</v>
      </c>
      <c r="BW133" s="8">
        <f>Helpers!BW9</f>
        <v>0</v>
      </c>
      <c r="BX133" s="8">
        <f>Helpers!BX9</f>
        <v>0</v>
      </c>
      <c r="BY133" s="8">
        <f>Helpers!BY9</f>
        <v>0</v>
      </c>
      <c r="BZ133" s="8">
        <f>Helpers!BZ9</f>
        <v>0</v>
      </c>
      <c r="CA133" s="8">
        <f>Helpers!CA9</f>
        <v>0</v>
      </c>
      <c r="CB133" s="8">
        <f>Helpers!CB9</f>
        <v>0</v>
      </c>
      <c r="CC133" s="8">
        <f>Helpers!CC9</f>
        <v>0</v>
      </c>
      <c r="CD133" s="8">
        <f>Helpers!CD9</f>
        <v>0</v>
      </c>
      <c r="CE133" s="8">
        <f>Helpers!CE9</f>
        <v>0</v>
      </c>
      <c r="CF133" s="8">
        <f>Helpers!CF9</f>
        <v>0</v>
      </c>
      <c r="CG133" s="8">
        <f>Helpers!CG9</f>
        <v>0</v>
      </c>
      <c r="CH133" s="8">
        <f>Helpers!CH9</f>
        <v>0</v>
      </c>
      <c r="CI133" s="23"/>
    </row>
    <row r="134" spans="1:89" ht="15" customHeight="1" x14ac:dyDescent="0.25">
      <c r="A134" s="7" t="s">
        <v>107</v>
      </c>
      <c r="B134" s="22"/>
      <c r="C134" s="8">
        <f>Helpers!C10</f>
        <v>0</v>
      </c>
      <c r="D134" s="8">
        <f>Helpers!D10</f>
        <v>0</v>
      </c>
      <c r="E134" s="8">
        <f>Helpers!E10</f>
        <v>0</v>
      </c>
      <c r="F134" s="8">
        <f>Helpers!F10</f>
        <v>42087723.721344002</v>
      </c>
      <c r="G134" s="8">
        <f>Helpers!G10</f>
        <v>41042043.570816003</v>
      </c>
      <c r="H134" s="8">
        <f>Helpers!H10</f>
        <v>39819806.067456</v>
      </c>
      <c r="I134" s="8">
        <f>Helpers!I10</f>
        <v>38413233.922175996</v>
      </c>
      <c r="J134" s="8">
        <f>Helpers!J10</f>
        <v>36819663.091200002</v>
      </c>
      <c r="K134" s="8">
        <f>Helpers!K10</f>
        <v>35042144.334335998</v>
      </c>
      <c r="L134" s="8">
        <f>Helpers!L10</f>
        <v>33090173.678592</v>
      </c>
      <c r="M134" s="8">
        <f>Helpers!M10</f>
        <v>30979821.323520001</v>
      </c>
      <c r="N134" s="8">
        <f>Helpers!N10</f>
        <v>28733516.798976</v>
      </c>
      <c r="O134" s="8">
        <f>Helpers!O10</f>
        <v>26379576.312191997</v>
      </c>
      <c r="P134" s="8">
        <f>Helpers!P10</f>
        <v>23950999.631231997</v>
      </c>
      <c r="Q134" s="8">
        <f>Helpers!Q10</f>
        <v>21484223.999999996</v>
      </c>
      <c r="R134" s="8">
        <f>Helpers!R10</f>
        <v>19017448.368767992</v>
      </c>
      <c r="S134" s="8">
        <f>Helpers!S10</f>
        <v>16588871.687807992</v>
      </c>
      <c r="T134" s="8">
        <f>Helpers!T10</f>
        <v>14234931.201023992</v>
      </c>
      <c r="U134" s="8">
        <f>Helpers!U10</f>
        <v>11988626.67647999</v>
      </c>
      <c r="V134" s="8">
        <f>Helpers!V10</f>
        <v>9878274.3214079905</v>
      </c>
      <c r="W134" s="8">
        <f>Helpers!W10</f>
        <v>7926303.6656639893</v>
      </c>
      <c r="X134" s="8">
        <f>Helpers!X10</f>
        <v>6148784.908799991</v>
      </c>
      <c r="Y134" s="8">
        <f>Helpers!Y10</f>
        <v>4555214.0778239919</v>
      </c>
      <c r="Z134" s="8">
        <f>Helpers!Z10</f>
        <v>3148641.9325439935</v>
      </c>
      <c r="AA134" s="8">
        <f>Helpers!AA10</f>
        <v>1926404.4291839909</v>
      </c>
      <c r="AB134" s="8">
        <f>Helpers!AB10</f>
        <v>880724.27865598991</v>
      </c>
      <c r="AC134" s="8">
        <f>Helpers!AC10</f>
        <v>-9.5409120604017517E-9</v>
      </c>
      <c r="AD134" s="8">
        <f>Helpers!AD10</f>
        <v>-9.5409120604017517E-9</v>
      </c>
      <c r="AE134" s="8">
        <f>Helpers!AE10</f>
        <v>-9.5409120604017517E-9</v>
      </c>
      <c r="AF134" s="8">
        <f>Helpers!AF10</f>
        <v>-9.5409120604017517E-9</v>
      </c>
      <c r="AG134" s="8">
        <f>Helpers!AG10</f>
        <v>-9.5409120604017517E-9</v>
      </c>
      <c r="AH134" s="8">
        <f>Helpers!AH10</f>
        <v>-9.5409120604017517E-9</v>
      </c>
      <c r="AI134" s="8">
        <f>Helpers!AI10</f>
        <v>-9.5409120604017517E-9</v>
      </c>
      <c r="AJ134" s="8">
        <f>Helpers!AJ10</f>
        <v>0</v>
      </c>
      <c r="AK134" s="8">
        <f>Helpers!AK10</f>
        <v>0</v>
      </c>
      <c r="AL134" s="8">
        <f>Helpers!AL10</f>
        <v>0</v>
      </c>
      <c r="AM134" s="8">
        <f>Helpers!AM10</f>
        <v>0</v>
      </c>
      <c r="AN134" s="8">
        <f>Helpers!AN10</f>
        <v>0</v>
      </c>
      <c r="AO134" s="8">
        <f>Helpers!AO10</f>
        <v>0</v>
      </c>
      <c r="AP134" s="8">
        <f>Helpers!AP10</f>
        <v>0</v>
      </c>
      <c r="AQ134" s="8">
        <f>Helpers!AQ10</f>
        <v>0</v>
      </c>
      <c r="AR134" s="8">
        <f>Helpers!AR10</f>
        <v>0</v>
      </c>
      <c r="AS134" s="8">
        <f>Helpers!AS10</f>
        <v>0</v>
      </c>
      <c r="AT134" s="8">
        <f>Helpers!AT10</f>
        <v>0</v>
      </c>
      <c r="AU134" s="8">
        <f>Helpers!AU10</f>
        <v>0</v>
      </c>
      <c r="AV134" s="8">
        <f>Helpers!AV10</f>
        <v>0</v>
      </c>
      <c r="AW134" s="8">
        <f>Helpers!AW10</f>
        <v>0</v>
      </c>
      <c r="AX134" s="8">
        <f>Helpers!AX10</f>
        <v>0</v>
      </c>
      <c r="AY134" s="8">
        <f>Helpers!AY10</f>
        <v>0</v>
      </c>
      <c r="AZ134" s="8">
        <f>Helpers!AZ10</f>
        <v>0</v>
      </c>
      <c r="BA134" s="8">
        <f>Helpers!BA10</f>
        <v>0</v>
      </c>
      <c r="BB134" s="8">
        <f>Helpers!BB10</f>
        <v>0</v>
      </c>
      <c r="BC134" s="8">
        <f>Helpers!BC10</f>
        <v>0</v>
      </c>
      <c r="BD134" s="8">
        <f>Helpers!BD10</f>
        <v>0</v>
      </c>
      <c r="BE134" s="8">
        <f>Helpers!BE10</f>
        <v>0</v>
      </c>
      <c r="BF134" s="8">
        <f>Helpers!BF10</f>
        <v>0</v>
      </c>
      <c r="BG134" s="8">
        <f>Helpers!BG10</f>
        <v>0</v>
      </c>
      <c r="BH134" s="8">
        <f>Helpers!BH10</f>
        <v>0</v>
      </c>
      <c r="BI134" s="8">
        <f>Helpers!BI10</f>
        <v>0</v>
      </c>
      <c r="BJ134" s="8">
        <f>Helpers!BJ10</f>
        <v>0</v>
      </c>
      <c r="BK134" s="8">
        <f>Helpers!BK10</f>
        <v>0</v>
      </c>
      <c r="BL134" s="8">
        <f>Helpers!BL10</f>
        <v>0</v>
      </c>
      <c r="BM134" s="8">
        <f>Helpers!BM10</f>
        <v>0</v>
      </c>
      <c r="BN134" s="8">
        <f>Helpers!BN10</f>
        <v>0</v>
      </c>
      <c r="BO134" s="8">
        <f>Helpers!BO10</f>
        <v>0</v>
      </c>
      <c r="BP134" s="8">
        <f>Helpers!BP10</f>
        <v>0</v>
      </c>
      <c r="BQ134" s="8">
        <f>Helpers!BQ10</f>
        <v>0</v>
      </c>
      <c r="BR134" s="8">
        <f>Helpers!BR10</f>
        <v>0</v>
      </c>
      <c r="BS134" s="8">
        <f>Helpers!BS10</f>
        <v>0</v>
      </c>
      <c r="BT134" s="8">
        <f>Helpers!BT10</f>
        <v>0</v>
      </c>
      <c r="BU134" s="8">
        <f>Helpers!BU10</f>
        <v>0</v>
      </c>
      <c r="BV134" s="8">
        <f>Helpers!BV10</f>
        <v>0</v>
      </c>
      <c r="BW134" s="8">
        <f>Helpers!BW10</f>
        <v>0</v>
      </c>
      <c r="BX134" s="8">
        <f>Helpers!BX10</f>
        <v>0</v>
      </c>
      <c r="BY134" s="8">
        <f>Helpers!BY10</f>
        <v>0</v>
      </c>
      <c r="BZ134" s="8">
        <f>Helpers!BZ10</f>
        <v>0</v>
      </c>
      <c r="CA134" s="8">
        <f>Helpers!CA10</f>
        <v>0</v>
      </c>
      <c r="CB134" s="8">
        <f>Helpers!CB10</f>
        <v>0</v>
      </c>
      <c r="CC134" s="8">
        <f>Helpers!CC10</f>
        <v>0</v>
      </c>
      <c r="CD134" s="8">
        <f>Helpers!CD10</f>
        <v>0</v>
      </c>
      <c r="CE134" s="8">
        <f>Helpers!CE10</f>
        <v>0</v>
      </c>
      <c r="CF134" s="8">
        <f>Helpers!CF10</f>
        <v>0</v>
      </c>
      <c r="CG134" s="8">
        <f>Helpers!CG10</f>
        <v>0</v>
      </c>
      <c r="CH134" s="8">
        <f>Helpers!CH10</f>
        <v>0</v>
      </c>
      <c r="CI134" s="23"/>
    </row>
    <row r="135" spans="1:89" ht="15" customHeight="1" x14ac:dyDescent="0.25">
      <c r="A135" s="7" t="s">
        <v>216</v>
      </c>
      <c r="B135" s="22"/>
      <c r="C135" s="8">
        <f>Helpers!C11</f>
        <v>0</v>
      </c>
      <c r="D135" s="8">
        <f>Helpers!D11</f>
        <v>0</v>
      </c>
      <c r="E135" s="8">
        <f>Helpers!E11</f>
        <v>0</v>
      </c>
      <c r="F135" s="8">
        <f>Helpers!F11</f>
        <v>0</v>
      </c>
      <c r="G135" s="8">
        <f>Helpers!G11</f>
        <v>0</v>
      </c>
      <c r="H135" s="8">
        <f>Helpers!H11</f>
        <v>0</v>
      </c>
      <c r="I135" s="8">
        <f>Helpers!I11</f>
        <v>13264457.403875999</v>
      </c>
      <c r="J135" s="8">
        <f>Helpers!J11</f>
        <v>12818063.487384001</v>
      </c>
      <c r="K135" s="8">
        <f>Helpers!K11</f>
        <v>12280090.757280001</v>
      </c>
      <c r="L135" s="8">
        <f>Helpers!L11</f>
        <v>11647691.427216001</v>
      </c>
      <c r="M135" s="8">
        <f>Helpers!M11</f>
        <v>10922555.09292</v>
      </c>
      <c r="N135" s="8">
        <f>Helpers!N11</f>
        <v>10111521.891936</v>
      </c>
      <c r="O135" s="8">
        <f>Helpers!O11</f>
        <v>9226705.1355719995</v>
      </c>
      <c r="P135" s="8">
        <f>Helpers!P11</f>
        <v>8285109.7872839998</v>
      </c>
      <c r="Q135" s="8">
        <f>Helpers!Q11</f>
        <v>7307705.9101799987</v>
      </c>
      <c r="R135" s="8">
        <f>Helpers!R11</f>
        <v>6318066.0898199985</v>
      </c>
      <c r="S135" s="8">
        <f>Helpers!S11</f>
        <v>5340662.2127159983</v>
      </c>
      <c r="T135" s="8">
        <f>Helpers!T11</f>
        <v>4399066.8644279996</v>
      </c>
      <c r="U135" s="8">
        <f>Helpers!U11</f>
        <v>3514250.1080639991</v>
      </c>
      <c r="V135" s="8">
        <f>Helpers!V11</f>
        <v>2703216.9070799993</v>
      </c>
      <c r="W135" s="8">
        <f>Helpers!W11</f>
        <v>1978080.5727839996</v>
      </c>
      <c r="X135" s="8">
        <f>Helpers!X11</f>
        <v>1345681.2427199995</v>
      </c>
      <c r="Y135" s="8">
        <f>Helpers!Y11</f>
        <v>807708.51261599921</v>
      </c>
      <c r="Z135" s="8">
        <f>Helpers!Z11</f>
        <v>361314.59612399864</v>
      </c>
      <c r="AA135" s="8">
        <f>Helpers!AA11</f>
        <v>0</v>
      </c>
      <c r="AB135" s="8">
        <f>Helpers!AB11</f>
        <v>0</v>
      </c>
      <c r="AC135" s="8">
        <f>Helpers!AC11</f>
        <v>0</v>
      </c>
      <c r="AD135" s="8">
        <f>Helpers!AD11</f>
        <v>0</v>
      </c>
      <c r="AE135" s="8">
        <f>Helpers!AE11</f>
        <v>0</v>
      </c>
      <c r="AF135" s="8">
        <f>Helpers!AF11</f>
        <v>0</v>
      </c>
      <c r="AG135" s="8">
        <f>Helpers!AG11</f>
        <v>0</v>
      </c>
      <c r="AH135" s="8">
        <f>Helpers!AH11</f>
        <v>0</v>
      </c>
      <c r="AI135" s="8">
        <f>Helpers!AI11</f>
        <v>0</v>
      </c>
      <c r="AJ135" s="8">
        <f>Helpers!AJ11</f>
        <v>0</v>
      </c>
      <c r="AK135" s="8">
        <f>Helpers!AK11</f>
        <v>0</v>
      </c>
      <c r="AL135" s="8">
        <f>Helpers!AL11</f>
        <v>0</v>
      </c>
      <c r="AM135" s="8">
        <f>Helpers!AM11</f>
        <v>0</v>
      </c>
      <c r="AN135" s="8">
        <f>Helpers!AN11</f>
        <v>0</v>
      </c>
      <c r="AO135" s="8">
        <f>Helpers!AO11</f>
        <v>0</v>
      </c>
      <c r="AP135" s="8">
        <f>Helpers!AP11</f>
        <v>0</v>
      </c>
      <c r="AQ135" s="8">
        <f>Helpers!AQ11</f>
        <v>0</v>
      </c>
      <c r="AR135" s="8">
        <f>Helpers!AR11</f>
        <v>0</v>
      </c>
      <c r="AS135" s="8">
        <f>Helpers!AS11</f>
        <v>0</v>
      </c>
      <c r="AT135" s="8">
        <f>Helpers!AT11</f>
        <v>0</v>
      </c>
      <c r="AU135" s="8">
        <f>Helpers!AU11</f>
        <v>0</v>
      </c>
      <c r="AV135" s="8">
        <f>Helpers!AV11</f>
        <v>0</v>
      </c>
      <c r="AW135" s="8">
        <f>Helpers!AW11</f>
        <v>0</v>
      </c>
      <c r="AX135" s="8">
        <f>Helpers!AX11</f>
        <v>0</v>
      </c>
      <c r="AY135" s="8">
        <f>Helpers!AY11</f>
        <v>0</v>
      </c>
      <c r="AZ135" s="8">
        <f>Helpers!AZ11</f>
        <v>0</v>
      </c>
      <c r="BA135" s="8">
        <f>Helpers!BA11</f>
        <v>0</v>
      </c>
      <c r="BB135" s="8">
        <f>Helpers!BB11</f>
        <v>0</v>
      </c>
      <c r="BC135" s="8">
        <f>Helpers!BC11</f>
        <v>0</v>
      </c>
      <c r="BD135" s="8">
        <f>Helpers!BD11</f>
        <v>0</v>
      </c>
      <c r="BE135" s="8">
        <f>Helpers!BE11</f>
        <v>0</v>
      </c>
      <c r="BF135" s="8">
        <f>Helpers!BF11</f>
        <v>0</v>
      </c>
      <c r="BG135" s="8">
        <f>Helpers!BG11</f>
        <v>0</v>
      </c>
      <c r="BH135" s="8">
        <f>Helpers!BH11</f>
        <v>0</v>
      </c>
      <c r="BI135" s="8">
        <f>Helpers!BI11</f>
        <v>0</v>
      </c>
      <c r="BJ135" s="8">
        <f>Helpers!BJ11</f>
        <v>0</v>
      </c>
      <c r="BK135" s="8">
        <f>Helpers!BK11</f>
        <v>0</v>
      </c>
      <c r="BL135" s="8">
        <f>Helpers!BL11</f>
        <v>0</v>
      </c>
      <c r="BM135" s="8">
        <f>Helpers!BM11</f>
        <v>0</v>
      </c>
      <c r="BN135" s="8">
        <f>Helpers!BN11</f>
        <v>0</v>
      </c>
      <c r="BO135" s="8">
        <f>Helpers!BO11</f>
        <v>0</v>
      </c>
      <c r="BP135" s="8">
        <f>Helpers!BP11</f>
        <v>0</v>
      </c>
      <c r="BQ135" s="8">
        <f>Helpers!BQ11</f>
        <v>0</v>
      </c>
      <c r="BR135" s="8">
        <f>Helpers!BR11</f>
        <v>0</v>
      </c>
      <c r="BS135" s="8">
        <f>Helpers!BS11</f>
        <v>0</v>
      </c>
      <c r="BT135" s="8">
        <f>Helpers!BT11</f>
        <v>0</v>
      </c>
      <c r="BU135" s="8">
        <f>Helpers!BU11</f>
        <v>0</v>
      </c>
      <c r="BV135" s="8">
        <f>Helpers!BV11</f>
        <v>0</v>
      </c>
      <c r="BW135" s="8">
        <f>Helpers!BW11</f>
        <v>0</v>
      </c>
      <c r="BX135" s="8">
        <f>Helpers!BX11</f>
        <v>0</v>
      </c>
      <c r="BY135" s="8">
        <f>Helpers!BY11</f>
        <v>0</v>
      </c>
      <c r="BZ135" s="8">
        <f>Helpers!BZ11</f>
        <v>0</v>
      </c>
      <c r="CA135" s="8">
        <f>Helpers!CA11</f>
        <v>0</v>
      </c>
      <c r="CB135" s="8">
        <f>Helpers!CB11</f>
        <v>0</v>
      </c>
      <c r="CC135" s="8">
        <f>Helpers!CC11</f>
        <v>0</v>
      </c>
      <c r="CD135" s="8">
        <f>Helpers!CD11</f>
        <v>0</v>
      </c>
      <c r="CE135" s="8">
        <f>Helpers!CE11</f>
        <v>0</v>
      </c>
      <c r="CF135" s="8">
        <f>Helpers!CF11</f>
        <v>0</v>
      </c>
      <c r="CG135" s="8">
        <f>Helpers!CG11</f>
        <v>0</v>
      </c>
      <c r="CH135" s="8">
        <f>Helpers!CH11</f>
        <v>0</v>
      </c>
      <c r="CI135" s="23"/>
      <c r="CJ135" s="38"/>
      <c r="CK135" s="38"/>
    </row>
    <row r="136" spans="1:89" ht="15" customHeight="1" x14ac:dyDescent="0.25">
      <c r="A136" s="7" t="s">
        <v>217</v>
      </c>
      <c r="B136" s="22"/>
      <c r="C136" s="8">
        <f>Helpers!C12</f>
        <v>0</v>
      </c>
      <c r="D136" s="8">
        <f>Helpers!D12</f>
        <v>0</v>
      </c>
      <c r="E136" s="8">
        <f>Helpers!E12</f>
        <v>0</v>
      </c>
      <c r="F136" s="8">
        <f>Helpers!F12</f>
        <v>0</v>
      </c>
      <c r="G136" s="8">
        <f>Helpers!G12</f>
        <v>0</v>
      </c>
      <c r="H136" s="8">
        <f>Helpers!H12</f>
        <v>0</v>
      </c>
      <c r="I136" s="8">
        <f>Helpers!I12</f>
        <v>15589764.538817</v>
      </c>
      <c r="J136" s="8">
        <f>Helpers!J12</f>
        <v>15296348.995423</v>
      </c>
      <c r="K136" s="8">
        <f>Helpers!K12</f>
        <v>14962227.947602</v>
      </c>
      <c r="L136" s="8">
        <f>Helpers!L12</f>
        <v>14585547.544043001</v>
      </c>
      <c r="M136" s="8">
        <f>Helpers!M12</f>
        <v>14165103.573638</v>
      </c>
      <c r="N136" s="8">
        <f>Helpers!N12</f>
        <v>13700484.069428999</v>
      </c>
      <c r="O136" s="8">
        <f>Helpers!O12</f>
        <v>13192148.533023</v>
      </c>
      <c r="P136" s="8">
        <f>Helpers!P12</f>
        <v>12641507.159007</v>
      </c>
      <c r="Q136" s="8">
        <f>Helpers!Q12</f>
        <v>12050984.21448</v>
      </c>
      <c r="R136" s="8">
        <f>Helpers!R12</f>
        <v>11423970.504403999</v>
      </c>
      <c r="S136" s="8">
        <f>Helpers!S12</f>
        <v>10764839.216487</v>
      </c>
      <c r="T136" s="8">
        <f>Helpers!T12</f>
        <v>10078835.007002002</v>
      </c>
      <c r="U136" s="8">
        <f>Helpers!U12</f>
        <v>9371947.241723001</v>
      </c>
      <c r="V136" s="8">
        <f>Helpers!V12</f>
        <v>8650799.0817440003</v>
      </c>
      <c r="W136" s="8">
        <f>Helpers!W12</f>
        <v>7922409.8102340009</v>
      </c>
      <c r="X136" s="8">
        <f>Helpers!X12</f>
        <v>7194020.5387240015</v>
      </c>
      <c r="Y136" s="8">
        <f>Helpers!Y12</f>
        <v>6472872.3787450008</v>
      </c>
      <c r="Z136" s="8">
        <f>Helpers!Z12</f>
        <v>5765984.6134660011</v>
      </c>
      <c r="AA136" s="8">
        <f>Helpers!AA12</f>
        <v>5079980.4039810011</v>
      </c>
      <c r="AB136" s="8">
        <f>Helpers!AB12</f>
        <v>4420849.1160640027</v>
      </c>
      <c r="AC136" s="8">
        <f>Helpers!AC12</f>
        <v>3793835.4059880013</v>
      </c>
      <c r="AD136" s="8">
        <f>Helpers!AD12</f>
        <v>3203312.4614610015</v>
      </c>
      <c r="AE136" s="8">
        <f>Helpers!AE12</f>
        <v>2652671.0874450016</v>
      </c>
      <c r="AF136" s="8">
        <f>Helpers!AF12</f>
        <v>2144335.5510390024</v>
      </c>
      <c r="AG136" s="8">
        <f>Helpers!AG12</f>
        <v>1679716.0468300025</v>
      </c>
      <c r="AH136" s="8">
        <f>Helpers!AH12</f>
        <v>1259272.0764250029</v>
      </c>
      <c r="AI136" s="8">
        <f>Helpers!AI12</f>
        <v>882591.67286600219</v>
      </c>
      <c r="AJ136" s="8">
        <f>Helpers!AJ12</f>
        <v>548470.62504500279</v>
      </c>
      <c r="AK136" s="8">
        <f>Helpers!AK12</f>
        <v>255055.0816510022</v>
      </c>
      <c r="AL136" s="8">
        <f>Helpers!AL12</f>
        <v>-63.379531998304252</v>
      </c>
      <c r="AM136" s="8">
        <f>Helpers!AM12</f>
        <v>0</v>
      </c>
      <c r="AN136" s="8">
        <f>Helpers!AN12</f>
        <v>0</v>
      </c>
      <c r="AO136" s="8">
        <f>Helpers!AO12</f>
        <v>0</v>
      </c>
      <c r="AP136" s="8">
        <f>Helpers!AP12</f>
        <v>0</v>
      </c>
      <c r="AQ136" s="8">
        <f>Helpers!AQ12</f>
        <v>0</v>
      </c>
      <c r="AR136" s="8">
        <f>Helpers!AR12</f>
        <v>0</v>
      </c>
      <c r="AS136" s="8">
        <f>Helpers!AS12</f>
        <v>0</v>
      </c>
      <c r="AT136" s="8">
        <f>Helpers!AT12</f>
        <v>0</v>
      </c>
      <c r="AU136" s="8">
        <f>Helpers!AU12</f>
        <v>0</v>
      </c>
      <c r="AV136" s="8">
        <f>Helpers!AV12</f>
        <v>0</v>
      </c>
      <c r="AW136" s="8">
        <f>Helpers!AW12</f>
        <v>0</v>
      </c>
      <c r="AX136" s="8">
        <f>Helpers!AX12</f>
        <v>0</v>
      </c>
      <c r="AY136" s="8">
        <f>Helpers!AY12</f>
        <v>0</v>
      </c>
      <c r="AZ136" s="8">
        <f>Helpers!AZ12</f>
        <v>0</v>
      </c>
      <c r="BA136" s="8">
        <f>Helpers!BA12</f>
        <v>0</v>
      </c>
      <c r="BB136" s="8">
        <f>Helpers!BB12</f>
        <v>0</v>
      </c>
      <c r="BC136" s="8">
        <f>Helpers!BC12</f>
        <v>0</v>
      </c>
      <c r="BD136" s="8">
        <f>Helpers!BD12</f>
        <v>0</v>
      </c>
      <c r="BE136" s="8">
        <f>Helpers!BE12</f>
        <v>0</v>
      </c>
      <c r="BF136" s="8">
        <f>Helpers!BF12</f>
        <v>0</v>
      </c>
      <c r="BG136" s="8">
        <f>Helpers!BG12</f>
        <v>0</v>
      </c>
      <c r="BH136" s="8">
        <f>Helpers!BH12</f>
        <v>0</v>
      </c>
      <c r="BI136" s="8">
        <f>Helpers!BI12</f>
        <v>0</v>
      </c>
      <c r="BJ136" s="8">
        <f>Helpers!BJ12</f>
        <v>0</v>
      </c>
      <c r="BK136" s="8">
        <f>Helpers!BK12</f>
        <v>0</v>
      </c>
      <c r="BL136" s="8">
        <f>Helpers!BL12</f>
        <v>0</v>
      </c>
      <c r="BM136" s="8">
        <f>Helpers!BM12</f>
        <v>0</v>
      </c>
      <c r="BN136" s="8">
        <f>Helpers!BN12</f>
        <v>0</v>
      </c>
      <c r="BO136" s="8">
        <f>Helpers!BO12</f>
        <v>0</v>
      </c>
      <c r="BP136" s="8">
        <f>Helpers!BP12</f>
        <v>0</v>
      </c>
      <c r="BQ136" s="8">
        <f>Helpers!BQ12</f>
        <v>0</v>
      </c>
      <c r="BR136" s="8">
        <f>Helpers!BR12</f>
        <v>0</v>
      </c>
      <c r="BS136" s="8">
        <f>Helpers!BS12</f>
        <v>0</v>
      </c>
      <c r="BT136" s="8">
        <f>Helpers!BT12</f>
        <v>0</v>
      </c>
      <c r="BU136" s="8">
        <f>Helpers!BU12</f>
        <v>0</v>
      </c>
      <c r="BV136" s="8">
        <f>Helpers!BV12</f>
        <v>0</v>
      </c>
      <c r="BW136" s="8">
        <f>Helpers!BW12</f>
        <v>0</v>
      </c>
      <c r="BX136" s="8">
        <f>Helpers!BX12</f>
        <v>0</v>
      </c>
      <c r="BY136" s="8">
        <f>Helpers!BY12</f>
        <v>0</v>
      </c>
      <c r="BZ136" s="8">
        <f>Helpers!BZ12</f>
        <v>0</v>
      </c>
      <c r="CA136" s="8">
        <f>Helpers!CA12</f>
        <v>0</v>
      </c>
      <c r="CB136" s="8">
        <f>Helpers!CB12</f>
        <v>0</v>
      </c>
      <c r="CC136" s="8">
        <f>Helpers!CC12</f>
        <v>0</v>
      </c>
      <c r="CD136" s="8">
        <f>Helpers!CD12</f>
        <v>0</v>
      </c>
      <c r="CE136" s="8">
        <f>Helpers!CE12</f>
        <v>0</v>
      </c>
      <c r="CF136" s="8">
        <f>Helpers!CF12</f>
        <v>0</v>
      </c>
      <c r="CG136" s="8">
        <f>Helpers!CG12</f>
        <v>0</v>
      </c>
      <c r="CH136" s="8">
        <f>Helpers!CH12</f>
        <v>0</v>
      </c>
      <c r="CI136" s="23"/>
      <c r="CJ136" s="38"/>
      <c r="CK136" s="38"/>
    </row>
    <row r="137" spans="1:89" ht="15" customHeight="1" x14ac:dyDescent="0.25">
      <c r="A137" s="7" t="s">
        <v>111</v>
      </c>
      <c r="B137" s="22"/>
      <c r="C137" s="8">
        <f>Helpers!C13</f>
        <v>0</v>
      </c>
      <c r="D137" s="8">
        <f>Helpers!D13</f>
        <v>0</v>
      </c>
      <c r="E137" s="8">
        <f>Helpers!E13</f>
        <v>0</v>
      </c>
      <c r="F137" s="8">
        <f>Helpers!F13</f>
        <v>0</v>
      </c>
      <c r="G137" s="8">
        <f>Helpers!G13</f>
        <v>0</v>
      </c>
      <c r="H137" s="8">
        <f>Helpers!H13</f>
        <v>0</v>
      </c>
      <c r="I137" s="8">
        <f>Helpers!I13</f>
        <v>0</v>
      </c>
      <c r="J137" s="8">
        <f>Helpers!J13</f>
        <v>20699563.289615002</v>
      </c>
      <c r="K137" s="8">
        <f>Helpers!K13</f>
        <v>20002952.87841</v>
      </c>
      <c r="L137" s="8">
        <f>Helpers!L13</f>
        <v>19163431.122200001</v>
      </c>
      <c r="M137" s="8">
        <f>Helpers!M13</f>
        <v>18176553.96934</v>
      </c>
      <c r="N137" s="8">
        <f>Helpers!N13</f>
        <v>17044958.082049999</v>
      </c>
      <c r="O137" s="8">
        <f>Helpers!O13</f>
        <v>15779317.689639999</v>
      </c>
      <c r="P137" s="8">
        <f>Helpers!P13</f>
        <v>14398535.959154999</v>
      </c>
      <c r="Q137" s="8">
        <f>Helpers!Q13</f>
        <v>12929149.620035</v>
      </c>
      <c r="R137" s="8">
        <f>Helpers!R13</f>
        <v>11403883.052574998</v>
      </c>
      <c r="S137" s="8">
        <f>Helpers!S13</f>
        <v>9859521.9474249985</v>
      </c>
      <c r="T137" s="8">
        <f>Helpers!T13</f>
        <v>8334255.379964998</v>
      </c>
      <c r="U137" s="8">
        <f>Helpers!U13</f>
        <v>6864869.0408449983</v>
      </c>
      <c r="V137" s="8">
        <f>Helpers!V13</f>
        <v>5484087.3103599986</v>
      </c>
      <c r="W137" s="8">
        <f>Helpers!W13</f>
        <v>4218446.9179499988</v>
      </c>
      <c r="X137" s="8">
        <f>Helpers!X13</f>
        <v>3086851.0306599992</v>
      </c>
      <c r="Y137" s="8">
        <f>Helpers!Y13</f>
        <v>2099973.877799999</v>
      </c>
      <c r="Z137" s="8">
        <f>Helpers!Z13</f>
        <v>1260452.1215899987</v>
      </c>
      <c r="AA137" s="8">
        <f>Helpers!AA13</f>
        <v>563841.71038499789</v>
      </c>
      <c r="AB137" s="8">
        <f>Helpers!AB13</f>
        <v>0</v>
      </c>
      <c r="AC137" s="8">
        <f>Helpers!AC13</f>
        <v>0</v>
      </c>
      <c r="AD137" s="8">
        <f>Helpers!AD13</f>
        <v>0</v>
      </c>
      <c r="AE137" s="8">
        <f>Helpers!AE13</f>
        <v>0</v>
      </c>
      <c r="AF137" s="8">
        <f>Helpers!AF13</f>
        <v>0</v>
      </c>
      <c r="AG137" s="8">
        <f>Helpers!AG13</f>
        <v>0</v>
      </c>
      <c r="AH137" s="8">
        <f>Helpers!AH13</f>
        <v>0</v>
      </c>
      <c r="AI137" s="8">
        <f>Helpers!AI13</f>
        <v>0</v>
      </c>
      <c r="AJ137" s="8">
        <f>Helpers!AJ13</f>
        <v>0</v>
      </c>
      <c r="AK137" s="8">
        <f>Helpers!AK13</f>
        <v>0</v>
      </c>
      <c r="AL137" s="8">
        <f>Helpers!AL13</f>
        <v>0</v>
      </c>
      <c r="AM137" s="8">
        <f>Helpers!AM13</f>
        <v>0</v>
      </c>
      <c r="AN137" s="8">
        <f>Helpers!AN13</f>
        <v>0</v>
      </c>
      <c r="AO137" s="8">
        <f>Helpers!AO13</f>
        <v>0</v>
      </c>
      <c r="AP137" s="8">
        <f>Helpers!AP13</f>
        <v>0</v>
      </c>
      <c r="AQ137" s="8">
        <f>Helpers!AQ13</f>
        <v>0</v>
      </c>
      <c r="AR137" s="8">
        <f>Helpers!AR13</f>
        <v>0</v>
      </c>
      <c r="AS137" s="8">
        <f>Helpers!AS13</f>
        <v>0</v>
      </c>
      <c r="AT137" s="8">
        <f>Helpers!AT13</f>
        <v>0</v>
      </c>
      <c r="AU137" s="8">
        <f>Helpers!AU13</f>
        <v>0</v>
      </c>
      <c r="AV137" s="8">
        <f>Helpers!AV13</f>
        <v>0</v>
      </c>
      <c r="AW137" s="8">
        <f>Helpers!AW13</f>
        <v>0</v>
      </c>
      <c r="AX137" s="8">
        <f>Helpers!AX13</f>
        <v>0</v>
      </c>
      <c r="AY137" s="8">
        <f>Helpers!AY13</f>
        <v>0</v>
      </c>
      <c r="AZ137" s="8">
        <f>Helpers!AZ13</f>
        <v>0</v>
      </c>
      <c r="BA137" s="8">
        <f>Helpers!BA13</f>
        <v>0</v>
      </c>
      <c r="BB137" s="8">
        <f>Helpers!BB13</f>
        <v>0</v>
      </c>
      <c r="BC137" s="8">
        <f>Helpers!BC13</f>
        <v>0</v>
      </c>
      <c r="BD137" s="8">
        <f>Helpers!BD13</f>
        <v>0</v>
      </c>
      <c r="BE137" s="8">
        <f>Helpers!BE13</f>
        <v>0</v>
      </c>
      <c r="BF137" s="8">
        <f>Helpers!BF13</f>
        <v>0</v>
      </c>
      <c r="BG137" s="8">
        <f>Helpers!BG13</f>
        <v>0</v>
      </c>
      <c r="BH137" s="8">
        <f>Helpers!BH13</f>
        <v>0</v>
      </c>
      <c r="BI137" s="8">
        <f>Helpers!BI13</f>
        <v>0</v>
      </c>
      <c r="BJ137" s="8">
        <f>Helpers!BJ13</f>
        <v>0</v>
      </c>
      <c r="BK137" s="8">
        <f>Helpers!BK13</f>
        <v>0</v>
      </c>
      <c r="BL137" s="8">
        <f>Helpers!BL13</f>
        <v>0</v>
      </c>
      <c r="BM137" s="8">
        <f>Helpers!BM13</f>
        <v>0</v>
      </c>
      <c r="BN137" s="8">
        <f>Helpers!BN13</f>
        <v>0</v>
      </c>
      <c r="BO137" s="8">
        <f>Helpers!BO13</f>
        <v>0</v>
      </c>
      <c r="BP137" s="8">
        <f>Helpers!BP13</f>
        <v>0</v>
      </c>
      <c r="BQ137" s="8">
        <f>Helpers!BQ13</f>
        <v>0</v>
      </c>
      <c r="BR137" s="8">
        <f>Helpers!BR13</f>
        <v>0</v>
      </c>
      <c r="BS137" s="8">
        <f>Helpers!BS13</f>
        <v>0</v>
      </c>
      <c r="BT137" s="8">
        <f>Helpers!BT13</f>
        <v>0</v>
      </c>
      <c r="BU137" s="8">
        <f>Helpers!BU13</f>
        <v>0</v>
      </c>
      <c r="BV137" s="8">
        <f>Helpers!BV13</f>
        <v>0</v>
      </c>
      <c r="BW137" s="8">
        <f>Helpers!BW13</f>
        <v>0</v>
      </c>
      <c r="BX137" s="8">
        <f>Helpers!BX13</f>
        <v>0</v>
      </c>
      <c r="BY137" s="8">
        <f>Helpers!BY13</f>
        <v>0</v>
      </c>
      <c r="BZ137" s="8">
        <f>Helpers!BZ13</f>
        <v>0</v>
      </c>
      <c r="CA137" s="8">
        <f>Helpers!CA13</f>
        <v>0</v>
      </c>
      <c r="CB137" s="8">
        <f>Helpers!CB13</f>
        <v>0</v>
      </c>
      <c r="CC137" s="8">
        <f>Helpers!CC13</f>
        <v>0</v>
      </c>
      <c r="CD137" s="8">
        <f>Helpers!CD13</f>
        <v>0</v>
      </c>
      <c r="CE137" s="8">
        <f>Helpers!CE13</f>
        <v>0</v>
      </c>
      <c r="CF137" s="8">
        <f>Helpers!CF13</f>
        <v>0</v>
      </c>
      <c r="CG137" s="8">
        <f>Helpers!CG13</f>
        <v>0</v>
      </c>
      <c r="CH137" s="8">
        <f>Helpers!CH13</f>
        <v>0</v>
      </c>
      <c r="CI137" s="23"/>
      <c r="CJ137" s="38"/>
      <c r="CK137" s="38"/>
    </row>
    <row r="138" spans="1:89" ht="15" customHeight="1" x14ac:dyDescent="0.25">
      <c r="A138" s="7" t="s">
        <v>112</v>
      </c>
      <c r="B138" s="22"/>
      <c r="C138" s="8">
        <f>Helpers!C14</f>
        <v>0</v>
      </c>
      <c r="D138" s="8">
        <f>Helpers!D14</f>
        <v>0</v>
      </c>
      <c r="E138" s="8">
        <f>Helpers!E14</f>
        <v>0</v>
      </c>
      <c r="F138" s="8">
        <f>Helpers!F14</f>
        <v>0</v>
      </c>
      <c r="G138" s="8">
        <f>Helpers!G14</f>
        <v>0</v>
      </c>
      <c r="H138" s="8">
        <f>Helpers!H14</f>
        <v>0</v>
      </c>
      <c r="I138" s="8">
        <f>Helpers!I14</f>
        <v>0</v>
      </c>
      <c r="J138" s="8">
        <f>Helpers!J14</f>
        <v>0</v>
      </c>
      <c r="K138" s="8">
        <f>Helpers!K14</f>
        <v>0</v>
      </c>
      <c r="L138" s="8">
        <f>Helpers!L14</f>
        <v>0</v>
      </c>
      <c r="M138" s="8">
        <f>Helpers!M14</f>
        <v>0</v>
      </c>
      <c r="N138" s="8">
        <f>Helpers!N14</f>
        <v>0</v>
      </c>
      <c r="O138" s="8">
        <f>Helpers!O14</f>
        <v>44537929.736230001</v>
      </c>
      <c r="P138" s="8">
        <f>Helpers!P14</f>
        <v>43699679.689369999</v>
      </c>
      <c r="Q138" s="8">
        <f>Helpers!Q14</f>
        <v>42745139.310379997</v>
      </c>
      <c r="R138" s="8">
        <f>Helpers!R14</f>
        <v>41669012.387170002</v>
      </c>
      <c r="S138" s="8">
        <f>Helpers!S14</f>
        <v>40467858.645219997</v>
      </c>
      <c r="T138" s="8">
        <f>Helpers!T14</f>
        <v>39140501.148510002</v>
      </c>
      <c r="U138" s="8">
        <f>Helpers!U14</f>
        <v>37688252.633369997</v>
      </c>
      <c r="V138" s="8">
        <f>Helpers!V14</f>
        <v>36115141.842330001</v>
      </c>
      <c r="W138" s="8">
        <f>Helpers!W14</f>
        <v>34428094.591200002</v>
      </c>
      <c r="X138" s="8">
        <f>Helpers!X14</f>
        <v>32636797.968759999</v>
      </c>
      <c r="Y138" s="8">
        <f>Helpers!Y14</f>
        <v>30753745.603530001</v>
      </c>
      <c r="Z138" s="8">
        <f>Helpers!Z14</f>
        <v>28793920.796380002</v>
      </c>
      <c r="AA138" s="8">
        <f>Helpers!AA14</f>
        <v>26774434.386370003</v>
      </c>
      <c r="AB138" s="8">
        <f>Helpers!AB14</f>
        <v>24714207.883360002</v>
      </c>
      <c r="AC138" s="8">
        <f>Helpers!AC14</f>
        <v>22633294.466460001</v>
      </c>
      <c r="AD138" s="8">
        <f>Helpers!AD14</f>
        <v>20552381.049560003</v>
      </c>
      <c r="AE138" s="8">
        <f>Helpers!AE14</f>
        <v>18492154.546550002</v>
      </c>
      <c r="AF138" s="8">
        <f>Helpers!AF14</f>
        <v>16472668.136540003</v>
      </c>
      <c r="AG138" s="8">
        <f>Helpers!AG14</f>
        <v>14512843.329390004</v>
      </c>
      <c r="AH138" s="8">
        <f>Helpers!AH14</f>
        <v>12629790.964160006</v>
      </c>
      <c r="AI138" s="8">
        <f>Helpers!AI14</f>
        <v>10838494.341720004</v>
      </c>
      <c r="AJ138" s="8">
        <f>Helpers!AJ14</f>
        <v>9151447.0905900039</v>
      </c>
      <c r="AK138" s="8">
        <f>Helpers!AK14</f>
        <v>7578336.2995500043</v>
      </c>
      <c r="AL138" s="8">
        <f>Helpers!AL14</f>
        <v>6126087.7844100064</v>
      </c>
      <c r="AM138" s="8">
        <f>Helpers!AM14</f>
        <v>4798730.2877000077</v>
      </c>
      <c r="AN138" s="8">
        <f>Helpers!AN14</f>
        <v>3597576.5457500084</v>
      </c>
      <c r="AO138" s="8">
        <f>Helpers!AO14</f>
        <v>2521449.6225400064</v>
      </c>
      <c r="AP138" s="8">
        <f>Helpers!AP14</f>
        <v>1566909.2435500079</v>
      </c>
      <c r="AQ138" s="8">
        <f>Helpers!AQ14</f>
        <v>728659.1966900063</v>
      </c>
      <c r="AR138" s="8">
        <f>Helpers!AR14</f>
        <v>-181.06707999515547</v>
      </c>
      <c r="AS138" s="8">
        <f>Helpers!AS14</f>
        <v>0</v>
      </c>
      <c r="AT138" s="8">
        <f>Helpers!AT14</f>
        <v>0</v>
      </c>
      <c r="AU138" s="8">
        <f>Helpers!AU14</f>
        <v>0</v>
      </c>
      <c r="AV138" s="8">
        <f>Helpers!AV14</f>
        <v>0</v>
      </c>
      <c r="AW138" s="8">
        <f>Helpers!AW14</f>
        <v>0</v>
      </c>
      <c r="AX138" s="8">
        <f>Helpers!AX14</f>
        <v>0</v>
      </c>
      <c r="AY138" s="8">
        <f>Helpers!AY14</f>
        <v>0</v>
      </c>
      <c r="AZ138" s="8">
        <f>Helpers!AZ14</f>
        <v>0</v>
      </c>
      <c r="BA138" s="8">
        <f>Helpers!BA14</f>
        <v>0</v>
      </c>
      <c r="BB138" s="8">
        <f>Helpers!BB14</f>
        <v>0</v>
      </c>
      <c r="BC138" s="8">
        <f>Helpers!BC14</f>
        <v>0</v>
      </c>
      <c r="BD138" s="8">
        <f>Helpers!BD14</f>
        <v>0</v>
      </c>
      <c r="BE138" s="8">
        <f>Helpers!BE14</f>
        <v>0</v>
      </c>
      <c r="BF138" s="8">
        <f>Helpers!BF14</f>
        <v>0</v>
      </c>
      <c r="BG138" s="8">
        <f>Helpers!BG14</f>
        <v>0</v>
      </c>
      <c r="BH138" s="8">
        <f>Helpers!BH14</f>
        <v>0</v>
      </c>
      <c r="BI138" s="8">
        <f>Helpers!BI14</f>
        <v>0</v>
      </c>
      <c r="BJ138" s="8">
        <f>Helpers!BJ14</f>
        <v>0</v>
      </c>
      <c r="BK138" s="8">
        <f>Helpers!BK14</f>
        <v>0</v>
      </c>
      <c r="BL138" s="8">
        <f>Helpers!BL14</f>
        <v>0</v>
      </c>
      <c r="BM138" s="8">
        <f>Helpers!BM14</f>
        <v>0</v>
      </c>
      <c r="BN138" s="8">
        <f>Helpers!BN14</f>
        <v>0</v>
      </c>
      <c r="BO138" s="8">
        <f>Helpers!BO14</f>
        <v>0</v>
      </c>
      <c r="BP138" s="8">
        <f>Helpers!BP14</f>
        <v>0</v>
      </c>
      <c r="BQ138" s="8">
        <f>Helpers!BQ14</f>
        <v>0</v>
      </c>
      <c r="BR138" s="8">
        <f>Helpers!BR14</f>
        <v>0</v>
      </c>
      <c r="BS138" s="8">
        <f>Helpers!BS14</f>
        <v>0</v>
      </c>
      <c r="BT138" s="8">
        <f>Helpers!BT14</f>
        <v>0</v>
      </c>
      <c r="BU138" s="8">
        <f>Helpers!BU14</f>
        <v>0</v>
      </c>
      <c r="BV138" s="8">
        <f>Helpers!BV14</f>
        <v>0</v>
      </c>
      <c r="BW138" s="8">
        <f>Helpers!BW14</f>
        <v>0</v>
      </c>
      <c r="BX138" s="8">
        <f>Helpers!BX14</f>
        <v>0</v>
      </c>
      <c r="BY138" s="8">
        <f>Helpers!BY14</f>
        <v>0</v>
      </c>
      <c r="BZ138" s="8">
        <f>Helpers!BZ14</f>
        <v>0</v>
      </c>
      <c r="CA138" s="8">
        <f>Helpers!CA14</f>
        <v>0</v>
      </c>
      <c r="CB138" s="8">
        <f>Helpers!CB14</f>
        <v>0</v>
      </c>
      <c r="CC138" s="8">
        <f>Helpers!CC14</f>
        <v>0</v>
      </c>
      <c r="CD138" s="8">
        <f>Helpers!CD14</f>
        <v>0</v>
      </c>
      <c r="CE138" s="8">
        <f>Helpers!CE14</f>
        <v>0</v>
      </c>
      <c r="CF138" s="8">
        <f>Helpers!CF14</f>
        <v>0</v>
      </c>
      <c r="CG138" s="8">
        <f>Helpers!CG14</f>
        <v>0</v>
      </c>
      <c r="CH138" s="8">
        <f>Helpers!CH14</f>
        <v>0</v>
      </c>
      <c r="CI138" s="23"/>
      <c r="CJ138" s="38"/>
      <c r="CK138" s="38"/>
    </row>
    <row r="139" spans="1:89" ht="15" customHeight="1" x14ac:dyDescent="0.25">
      <c r="A139" s="7" t="s">
        <v>115</v>
      </c>
      <c r="B139" s="22"/>
      <c r="C139" s="8">
        <f>Helpers!C15</f>
        <v>0</v>
      </c>
      <c r="D139" s="8">
        <f>Helpers!D15</f>
        <v>0</v>
      </c>
      <c r="E139" s="8">
        <f>Helpers!E15</f>
        <v>0</v>
      </c>
      <c r="F139" s="8">
        <f>Helpers!F15</f>
        <v>0</v>
      </c>
      <c r="G139" s="8">
        <f>Helpers!G15</f>
        <v>0</v>
      </c>
      <c r="H139" s="8">
        <f>Helpers!H15</f>
        <v>0</v>
      </c>
      <c r="I139" s="8">
        <f>Helpers!I15</f>
        <v>0</v>
      </c>
      <c r="J139" s="8">
        <f>Helpers!J15</f>
        <v>0</v>
      </c>
      <c r="K139" s="8">
        <f>Helpers!K15</f>
        <v>0</v>
      </c>
      <c r="L139" s="8">
        <f>Helpers!L15</f>
        <v>0</v>
      </c>
      <c r="M139" s="8">
        <f>Helpers!M15</f>
        <v>0</v>
      </c>
      <c r="N139" s="8">
        <f>Helpers!N15</f>
        <v>0</v>
      </c>
      <c r="O139" s="8">
        <f>Helpers!O15</f>
        <v>0</v>
      </c>
      <c r="P139" s="8">
        <f>Helpers!P15</f>
        <v>0</v>
      </c>
      <c r="Q139" s="8">
        <f>Helpers!Q15</f>
        <v>0</v>
      </c>
      <c r="R139" s="8">
        <f>Helpers!R15</f>
        <v>0</v>
      </c>
      <c r="S139" s="8">
        <f>Helpers!S15</f>
        <v>0</v>
      </c>
      <c r="T139" s="8">
        <f>Helpers!T15</f>
        <v>0</v>
      </c>
      <c r="U139" s="8">
        <f>Helpers!U15</f>
        <v>0</v>
      </c>
      <c r="V139" s="8">
        <f>Helpers!V15</f>
        <v>0</v>
      </c>
      <c r="W139" s="8">
        <f>Helpers!W15</f>
        <v>0</v>
      </c>
      <c r="X139" s="8">
        <f>Helpers!X15</f>
        <v>0</v>
      </c>
      <c r="Y139" s="8">
        <f>Helpers!Y15</f>
        <v>0</v>
      </c>
      <c r="Z139" s="8">
        <f>Helpers!Z15</f>
        <v>0</v>
      </c>
      <c r="AA139" s="8">
        <f>Helpers!AA15</f>
        <v>0</v>
      </c>
      <c r="AB139" s="8">
        <f>Helpers!AB15</f>
        <v>0</v>
      </c>
      <c r="AC139" s="8">
        <f>Helpers!AC15</f>
        <v>40688781.070167996</v>
      </c>
      <c r="AD139" s="8">
        <f>Helpers!AD15</f>
        <v>39922975.994791999</v>
      </c>
      <c r="AE139" s="8">
        <f>Helpers!AE15</f>
        <v>39050930.869807996</v>
      </c>
      <c r="AF139" s="8">
        <f>Helpers!AF15</f>
        <v>38067807.203272</v>
      </c>
      <c r="AG139" s="8">
        <f>Helpers!AG15</f>
        <v>36970462.043151997</v>
      </c>
      <c r="AH139" s="8">
        <f>Helpers!AH15</f>
        <v>35757820.169015996</v>
      </c>
      <c r="AI139" s="8">
        <f>Helpers!AI15</f>
        <v>34431080.865192004</v>
      </c>
      <c r="AJ139" s="8">
        <f>Helpers!AJ15</f>
        <v>32993924.693928</v>
      </c>
      <c r="AK139" s="8">
        <f>Helpers!AK15</f>
        <v>31452678.91392</v>
      </c>
      <c r="AL139" s="8">
        <f>Helpers!AL15</f>
        <v>29816193.416415997</v>
      </c>
      <c r="AM139" s="8">
        <f>Helpers!AM15</f>
        <v>28095882.079848003</v>
      </c>
      <c r="AN139" s="8">
        <f>Helpers!AN15</f>
        <v>26305433.287408002</v>
      </c>
      <c r="AO139" s="8">
        <f>Helpers!AO15</f>
        <v>24460479.089992002</v>
      </c>
      <c r="AP139" s="8">
        <f>Helpers!AP15</f>
        <v>22578305.723776001</v>
      </c>
      <c r="AQ139" s="8">
        <f>Helpers!AQ15</f>
        <v>20677233.290736001</v>
      </c>
      <c r="AR139" s="8">
        <f>Helpers!AR15</f>
        <v>18776160.857696004</v>
      </c>
      <c r="AS139" s="8">
        <f>Helpers!AS15</f>
        <v>16893987.491480004</v>
      </c>
      <c r="AT139" s="8">
        <f>Helpers!AT15</f>
        <v>15049033.294064002</v>
      </c>
      <c r="AU139" s="8">
        <f>Helpers!AU15</f>
        <v>13258584.501624003</v>
      </c>
      <c r="AV139" s="8">
        <f>Helpers!AV15</f>
        <v>11538273.165056005</v>
      </c>
      <c r="AW139" s="8">
        <f>Helpers!AW15</f>
        <v>9901787.6675520036</v>
      </c>
      <c r="AX139" s="8">
        <f>Helpers!AX15</f>
        <v>8360541.8875440042</v>
      </c>
      <c r="AY139" s="8">
        <f>Helpers!AY15</f>
        <v>6923385.716280004</v>
      </c>
      <c r="AZ139" s="8">
        <f>Helpers!AZ15</f>
        <v>5596646.4124560058</v>
      </c>
      <c r="BA139" s="8">
        <f>Helpers!BA15</f>
        <v>4384004.5383200068</v>
      </c>
      <c r="BB139" s="8">
        <f>Helpers!BB15</f>
        <v>3286659.3782000076</v>
      </c>
      <c r="BC139" s="8">
        <f>Helpers!BC15</f>
        <v>2303535.7116640056</v>
      </c>
      <c r="BD139" s="8">
        <f>Helpers!BD15</f>
        <v>1431490.5866800072</v>
      </c>
      <c r="BE139" s="8">
        <f>Helpers!BE15</f>
        <v>665685.51130400575</v>
      </c>
      <c r="BF139" s="8">
        <f>Helpers!BF15</f>
        <v>-165.41852799557415</v>
      </c>
      <c r="BG139" s="8">
        <f>Helpers!BG15</f>
        <v>0</v>
      </c>
      <c r="BH139" s="8">
        <f>Helpers!BH15</f>
        <v>0</v>
      </c>
      <c r="BI139" s="8">
        <f>Helpers!BI15</f>
        <v>0</v>
      </c>
      <c r="BJ139" s="8">
        <f>Helpers!BJ15</f>
        <v>0</v>
      </c>
      <c r="BK139" s="8">
        <f>Helpers!BK15</f>
        <v>0</v>
      </c>
      <c r="BL139" s="8">
        <f>Helpers!BL15</f>
        <v>0</v>
      </c>
      <c r="BM139" s="8">
        <f>Helpers!BM15</f>
        <v>0</v>
      </c>
      <c r="BN139" s="8">
        <f>Helpers!BN15</f>
        <v>0</v>
      </c>
      <c r="BO139" s="8">
        <f>Helpers!BO15</f>
        <v>0</v>
      </c>
      <c r="BP139" s="8">
        <f>Helpers!BP15</f>
        <v>0</v>
      </c>
      <c r="BQ139" s="8">
        <f>Helpers!BQ15</f>
        <v>0</v>
      </c>
      <c r="BR139" s="8">
        <f>Helpers!BR15</f>
        <v>0</v>
      </c>
      <c r="BS139" s="8">
        <f>Helpers!BS15</f>
        <v>0</v>
      </c>
      <c r="BT139" s="8">
        <f>Helpers!BT15</f>
        <v>0</v>
      </c>
      <c r="BU139" s="8">
        <f>Helpers!BU15</f>
        <v>0</v>
      </c>
      <c r="BV139" s="8">
        <f>Helpers!BV15</f>
        <v>0</v>
      </c>
      <c r="BW139" s="8">
        <f>Helpers!BW15</f>
        <v>0</v>
      </c>
      <c r="BX139" s="8">
        <f>Helpers!BX15</f>
        <v>0</v>
      </c>
      <c r="BY139" s="8">
        <f>Helpers!BY15</f>
        <v>0</v>
      </c>
      <c r="BZ139" s="8">
        <f>Helpers!BZ15</f>
        <v>0</v>
      </c>
      <c r="CA139" s="8">
        <f>Helpers!CA15</f>
        <v>0</v>
      </c>
      <c r="CB139" s="8">
        <f>Helpers!CB15</f>
        <v>0</v>
      </c>
      <c r="CC139" s="8">
        <f>Helpers!CC15</f>
        <v>0</v>
      </c>
      <c r="CD139" s="8">
        <f>Helpers!CD15</f>
        <v>0</v>
      </c>
      <c r="CE139" s="8">
        <f>Helpers!CE15</f>
        <v>0</v>
      </c>
      <c r="CF139" s="8">
        <f>Helpers!CF15</f>
        <v>0</v>
      </c>
      <c r="CG139" s="8">
        <f>Helpers!CG15</f>
        <v>0</v>
      </c>
      <c r="CH139" s="8">
        <f>Helpers!CH15</f>
        <v>0</v>
      </c>
      <c r="CI139" s="23"/>
      <c r="CJ139" s="38"/>
      <c r="CK139" s="38"/>
    </row>
    <row r="140" spans="1:89" ht="15" customHeight="1" thickBot="1" x14ac:dyDescent="0.3">
      <c r="A140" s="9" t="s">
        <v>218</v>
      </c>
      <c r="B140" s="28"/>
      <c r="C140" s="10">
        <f t="shared" ref="C140:AH140" si="56">SUM(C132:C139)</f>
        <v>23599007.060589969</v>
      </c>
      <c r="D140" s="10">
        <f t="shared" si="56"/>
        <v>21846708.438740894</v>
      </c>
      <c r="E140" s="10">
        <f t="shared" si="56"/>
        <v>19934994.86045029</v>
      </c>
      <c r="F140" s="10">
        <f t="shared" si="56"/>
        <v>59988330.557798818</v>
      </c>
      <c r="G140" s="10">
        <f t="shared" si="56"/>
        <v>56830895.346243337</v>
      </c>
      <c r="H140" s="10">
        <f t="shared" si="56"/>
        <v>53470466.10025207</v>
      </c>
      <c r="I140" s="10">
        <f t="shared" si="56"/>
        <v>78806360.836637586</v>
      </c>
      <c r="J140" s="10">
        <f t="shared" si="56"/>
        <v>95138155.811395124</v>
      </c>
      <c r="K140" s="10">
        <f t="shared" si="56"/>
        <v>89880219.287110507</v>
      </c>
      <c r="L140" s="10">
        <f t="shared" si="56"/>
        <v>84327348.519684434</v>
      </c>
      <c r="M140" s="10">
        <f t="shared" si="56"/>
        <v>78517826.76764141</v>
      </c>
      <c r="N140" s="10">
        <f t="shared" si="56"/>
        <v>72497927.028571129</v>
      </c>
      <c r="O140" s="10">
        <f t="shared" si="56"/>
        <v>110860792.78762487</v>
      </c>
      <c r="P140" s="10">
        <f t="shared" si="56"/>
        <v>103756479.76066665</v>
      </c>
      <c r="Q140" s="10">
        <f t="shared" si="56"/>
        <v>96517203.05507499</v>
      </c>
      <c r="R140" s="10">
        <f t="shared" si="56"/>
        <v>89832380.402736992</v>
      </c>
      <c r="S140" s="10">
        <f t="shared" si="56"/>
        <v>83021753.709655985</v>
      </c>
      <c r="T140" s="10">
        <f t="shared" si="56"/>
        <v>76187589.600928992</v>
      </c>
      <c r="U140" s="10">
        <f t="shared" si="56"/>
        <v>69427945.700481981</v>
      </c>
      <c r="V140" s="10">
        <f t="shared" si="56"/>
        <v>62831519.462921992</v>
      </c>
      <c r="W140" s="10">
        <f t="shared" si="56"/>
        <v>56473335.557831988</v>
      </c>
      <c r="X140" s="10">
        <f t="shared" si="56"/>
        <v>50412135.689663991</v>
      </c>
      <c r="Y140" s="10">
        <f t="shared" si="56"/>
        <v>44689514.450514987</v>
      </c>
      <c r="Z140" s="10">
        <f t="shared" si="56"/>
        <v>39330314.060103998</v>
      </c>
      <c r="AA140" s="10">
        <f t="shared" si="56"/>
        <v>34344660.929919995</v>
      </c>
      <c r="AB140" s="10">
        <f t="shared" si="56"/>
        <v>30015781.278079994</v>
      </c>
      <c r="AC140" s="10">
        <f t="shared" si="56"/>
        <v>67115910.942615986</v>
      </c>
      <c r="AD140" s="10">
        <f t="shared" si="56"/>
        <v>63678669.505812995</v>
      </c>
      <c r="AE140" s="10">
        <f t="shared" si="56"/>
        <v>60195756.503802985</v>
      </c>
      <c r="AF140" s="10">
        <f t="shared" si="56"/>
        <v>56684810.890850991</v>
      </c>
      <c r="AG140" s="10">
        <f t="shared" si="56"/>
        <v>53163021.419371992</v>
      </c>
      <c r="AH140" s="10">
        <f t="shared" si="56"/>
        <v>49646883.209601</v>
      </c>
      <c r="AI140" s="10">
        <f t="shared" ref="AI140:BN140" si="57">SUM(AI132:AI139)</f>
        <v>46152166.879777998</v>
      </c>
      <c r="AJ140" s="10">
        <f t="shared" si="57"/>
        <v>42693842.409563005</v>
      </c>
      <c r="AK140" s="10">
        <f t="shared" si="57"/>
        <v>39286070.295121007</v>
      </c>
      <c r="AL140" s="10">
        <f t="shared" si="57"/>
        <v>35942217.821294002</v>
      </c>
      <c r="AM140" s="10">
        <f t="shared" si="57"/>
        <v>32894612.367548011</v>
      </c>
      <c r="AN140" s="10">
        <f t="shared" si="57"/>
        <v>29903009.833158009</v>
      </c>
      <c r="AO140" s="10">
        <f t="shared" si="57"/>
        <v>26981928.712532006</v>
      </c>
      <c r="AP140" s="10">
        <f t="shared" si="57"/>
        <v>24145214.967326008</v>
      </c>
      <c r="AQ140" s="10">
        <f t="shared" si="57"/>
        <v>21405892.487426009</v>
      </c>
      <c r="AR140" s="10">
        <f t="shared" si="57"/>
        <v>18775979.790616009</v>
      </c>
      <c r="AS140" s="10">
        <f t="shared" si="57"/>
        <v>16893987.491480004</v>
      </c>
      <c r="AT140" s="10">
        <f t="shared" si="57"/>
        <v>15049033.294064002</v>
      </c>
      <c r="AU140" s="10">
        <f t="shared" si="57"/>
        <v>13258584.501624003</v>
      </c>
      <c r="AV140" s="10">
        <f t="shared" si="57"/>
        <v>11538273.165056005</v>
      </c>
      <c r="AW140" s="10">
        <f t="shared" si="57"/>
        <v>9901787.6675520036</v>
      </c>
      <c r="AX140" s="10">
        <f t="shared" si="57"/>
        <v>8360541.8875440042</v>
      </c>
      <c r="AY140" s="10">
        <f t="shared" si="57"/>
        <v>6923385.716280004</v>
      </c>
      <c r="AZ140" s="10">
        <f t="shared" si="57"/>
        <v>5596646.4124560058</v>
      </c>
      <c r="BA140" s="10">
        <f t="shared" si="57"/>
        <v>4384004.5383200068</v>
      </c>
      <c r="BB140" s="10">
        <f t="shared" si="57"/>
        <v>3286659.3782000076</v>
      </c>
      <c r="BC140" s="10">
        <f t="shared" si="57"/>
        <v>2303535.7116640056</v>
      </c>
      <c r="BD140" s="10">
        <f t="shared" si="57"/>
        <v>1431490.5866800072</v>
      </c>
      <c r="BE140" s="10">
        <f t="shared" si="57"/>
        <v>665685.51130400575</v>
      </c>
      <c r="BF140" s="10">
        <f t="shared" si="57"/>
        <v>-165.41852799557415</v>
      </c>
      <c r="BG140" s="10">
        <f t="shared" si="57"/>
        <v>0</v>
      </c>
      <c r="BH140" s="10">
        <f t="shared" si="57"/>
        <v>0</v>
      </c>
      <c r="BI140" s="10">
        <f t="shared" si="57"/>
        <v>0</v>
      </c>
      <c r="BJ140" s="10">
        <f t="shared" si="57"/>
        <v>0</v>
      </c>
      <c r="BK140" s="10">
        <f t="shared" si="57"/>
        <v>0</v>
      </c>
      <c r="BL140" s="10">
        <f t="shared" si="57"/>
        <v>0</v>
      </c>
      <c r="BM140" s="10">
        <f t="shared" si="57"/>
        <v>0</v>
      </c>
      <c r="BN140" s="10">
        <f t="shared" si="57"/>
        <v>0</v>
      </c>
      <c r="BO140" s="10">
        <f t="shared" ref="BO140:CH140" si="58">SUM(BO132:BO139)</f>
        <v>0</v>
      </c>
      <c r="BP140" s="10">
        <f t="shared" si="58"/>
        <v>0</v>
      </c>
      <c r="BQ140" s="10">
        <f t="shared" si="58"/>
        <v>0</v>
      </c>
      <c r="BR140" s="10">
        <f t="shared" si="58"/>
        <v>0</v>
      </c>
      <c r="BS140" s="10">
        <f t="shared" si="58"/>
        <v>0</v>
      </c>
      <c r="BT140" s="10">
        <f t="shared" si="58"/>
        <v>0</v>
      </c>
      <c r="BU140" s="10">
        <f t="shared" si="58"/>
        <v>0</v>
      </c>
      <c r="BV140" s="10">
        <f t="shared" si="58"/>
        <v>0</v>
      </c>
      <c r="BW140" s="10">
        <f t="shared" si="58"/>
        <v>0</v>
      </c>
      <c r="BX140" s="10">
        <f t="shared" si="58"/>
        <v>0</v>
      </c>
      <c r="BY140" s="10">
        <f t="shared" si="58"/>
        <v>0</v>
      </c>
      <c r="BZ140" s="10">
        <f t="shared" si="58"/>
        <v>0</v>
      </c>
      <c r="CA140" s="10">
        <f t="shared" si="58"/>
        <v>0</v>
      </c>
      <c r="CB140" s="10">
        <f t="shared" si="58"/>
        <v>0</v>
      </c>
      <c r="CC140" s="10">
        <f t="shared" si="58"/>
        <v>0</v>
      </c>
      <c r="CD140" s="10">
        <f t="shared" si="58"/>
        <v>0</v>
      </c>
      <c r="CE140" s="10">
        <f t="shared" si="58"/>
        <v>0</v>
      </c>
      <c r="CF140" s="10">
        <f t="shared" si="58"/>
        <v>0</v>
      </c>
      <c r="CG140" s="10">
        <f t="shared" si="58"/>
        <v>0</v>
      </c>
      <c r="CH140" s="10">
        <f t="shared" si="58"/>
        <v>0</v>
      </c>
      <c r="CI140" s="23"/>
      <c r="CJ140" s="38"/>
      <c r="CK140" s="38"/>
    </row>
    <row r="141" spans="1:89" ht="15" customHeight="1" x14ac:dyDescent="0.2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3"/>
      <c r="CJ141" s="38"/>
      <c r="CK141" s="38"/>
    </row>
    <row r="142" spans="1:89" ht="15" customHeight="1" x14ac:dyDescent="0.25">
      <c r="A142" s="26" t="s">
        <v>219</v>
      </c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  <c r="CF142" s="26"/>
      <c r="CG142" s="26"/>
      <c r="CH142" s="26"/>
      <c r="CI142" s="23"/>
      <c r="CJ142" s="38"/>
      <c r="CK142" s="38"/>
    </row>
    <row r="143" spans="1:89" s="189" customFormat="1" ht="8.25" customHeight="1" x14ac:dyDescent="0.25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  <c r="AA143" s="186"/>
      <c r="AB143" s="186"/>
      <c r="AC143" s="186"/>
      <c r="AD143" s="186"/>
      <c r="AE143" s="186"/>
      <c r="AF143" s="186"/>
      <c r="AG143" s="186"/>
      <c r="AH143" s="186"/>
      <c r="AI143" s="186"/>
      <c r="AJ143" s="186"/>
      <c r="AK143" s="186"/>
      <c r="AL143" s="186"/>
      <c r="AM143" s="186"/>
      <c r="AN143" s="186"/>
      <c r="AO143" s="186"/>
      <c r="AP143" s="186"/>
      <c r="AQ143" s="186"/>
      <c r="AR143" s="186"/>
      <c r="AS143" s="186"/>
      <c r="AT143" s="186"/>
      <c r="AU143" s="186"/>
      <c r="AV143" s="186"/>
      <c r="AW143" s="186"/>
      <c r="AX143" s="186"/>
      <c r="AY143" s="186"/>
      <c r="AZ143" s="186"/>
      <c r="BA143" s="186"/>
      <c r="BB143" s="186"/>
      <c r="BC143" s="186"/>
      <c r="BD143" s="186"/>
      <c r="BE143" s="186"/>
      <c r="BF143" s="186"/>
      <c r="BG143" s="186"/>
      <c r="BH143" s="186"/>
      <c r="BI143" s="186"/>
      <c r="BJ143" s="186"/>
      <c r="BK143" s="186"/>
      <c r="BL143" s="186"/>
      <c r="BM143" s="186"/>
      <c r="BN143" s="186"/>
      <c r="BO143" s="186"/>
      <c r="BP143" s="186"/>
      <c r="BQ143" s="186"/>
      <c r="BR143" s="186"/>
      <c r="BS143" s="186"/>
      <c r="BT143" s="186"/>
      <c r="BU143" s="186"/>
      <c r="BV143" s="186"/>
      <c r="BW143" s="186"/>
      <c r="BX143" s="186"/>
      <c r="BY143" s="186"/>
      <c r="BZ143" s="186"/>
      <c r="CA143" s="186"/>
      <c r="CB143" s="186"/>
      <c r="CC143" s="186"/>
      <c r="CD143" s="186"/>
      <c r="CE143" s="186"/>
      <c r="CF143" s="186"/>
      <c r="CG143" s="186"/>
      <c r="CH143" s="186"/>
      <c r="CI143" s="187"/>
      <c r="CJ143" s="188"/>
      <c r="CK143" s="188"/>
    </row>
    <row r="144" spans="1:89" ht="15" customHeight="1" x14ac:dyDescent="0.25">
      <c r="A144" s="6" t="s">
        <v>220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23"/>
      <c r="CJ144" s="38"/>
      <c r="CK144" s="38"/>
    </row>
    <row r="145" spans="1:89" ht="15" customHeight="1" x14ac:dyDescent="0.25">
      <c r="A145" s="7" t="s">
        <v>221</v>
      </c>
      <c r="B145" s="22"/>
      <c r="C145" s="8">
        <f>Assumptions!$B$29</f>
        <v>1651915.69</v>
      </c>
      <c r="D145" s="8">
        <f t="shared" ref="D145:AI145" si="59">C147</f>
        <v>1725763.1159250399</v>
      </c>
      <c r="E145" s="8">
        <f t="shared" si="59"/>
        <v>1753029.2918500798</v>
      </c>
      <c r="F145" s="8">
        <f t="shared" si="59"/>
        <v>1741745.4677751197</v>
      </c>
      <c r="G145" s="8">
        <f t="shared" si="59"/>
        <v>2206395.7045607655</v>
      </c>
      <c r="H145" s="8">
        <f t="shared" si="59"/>
        <v>2388379.6799275917</v>
      </c>
      <c r="I145" s="8">
        <f t="shared" si="59"/>
        <v>2615490.4674953748</v>
      </c>
      <c r="J145" s="8">
        <f t="shared" si="59"/>
        <v>3208090.5809499202</v>
      </c>
      <c r="K145" s="8">
        <f t="shared" si="59"/>
        <v>3838994.5953514357</v>
      </c>
      <c r="L145" s="8">
        <f t="shared" si="59"/>
        <v>4247659.7317529507</v>
      </c>
      <c r="M145" s="8">
        <f t="shared" si="59"/>
        <v>4656324.8681544662</v>
      </c>
      <c r="N145" s="8">
        <f t="shared" si="59"/>
        <v>5064990.0045559816</v>
      </c>
      <c r="O145" s="8">
        <f t="shared" si="59"/>
        <v>5473655.1409574971</v>
      </c>
      <c r="P145" s="8">
        <f t="shared" si="59"/>
        <v>5252705.2462044666</v>
      </c>
      <c r="Q145" s="8">
        <f t="shared" si="59"/>
        <v>5823923.8264514357</v>
      </c>
      <c r="R145" s="8">
        <f t="shared" si="59"/>
        <v>6395142.4066984057</v>
      </c>
      <c r="S145" s="8">
        <f t="shared" si="59"/>
        <v>6775711.6005817391</v>
      </c>
      <c r="T145" s="8">
        <f t="shared" si="59"/>
        <v>7030345.2944650725</v>
      </c>
      <c r="U145" s="8">
        <f t="shared" si="59"/>
        <v>7284978.9883484058</v>
      </c>
      <c r="V145" s="8">
        <f t="shared" si="59"/>
        <v>7539612.6822317392</v>
      </c>
      <c r="W145" s="8">
        <f t="shared" si="59"/>
        <v>7763943.2182203354</v>
      </c>
      <c r="X145" s="8">
        <f t="shared" si="59"/>
        <v>7988273.7542089317</v>
      </c>
      <c r="Y145" s="8">
        <f t="shared" si="59"/>
        <v>8212604.290197528</v>
      </c>
      <c r="Z145" s="8">
        <f t="shared" si="59"/>
        <v>8436934.8261861242</v>
      </c>
      <c r="AA145" s="8">
        <f t="shared" si="59"/>
        <v>8603986.0021268744</v>
      </c>
      <c r="AB145" s="8">
        <f t="shared" si="59"/>
        <v>8716820.5399526674</v>
      </c>
      <c r="AC145" s="8">
        <f t="shared" si="59"/>
        <v>8748161.2261038199</v>
      </c>
      <c r="AD145" s="8">
        <f t="shared" si="59"/>
        <v>8212442.1855883049</v>
      </c>
      <c r="AE145" s="8">
        <f t="shared" si="59"/>
        <v>8400429.2050727904</v>
      </c>
      <c r="AF145" s="8">
        <f t="shared" si="59"/>
        <v>8588416.224557275</v>
      </c>
      <c r="AG145" s="8">
        <f t="shared" si="59"/>
        <v>8776403.2440417595</v>
      </c>
      <c r="AH145" s="8">
        <f t="shared" si="59"/>
        <v>8964390.2635262441</v>
      </c>
      <c r="AI145" s="8">
        <f t="shared" si="59"/>
        <v>9051698.2820637599</v>
      </c>
      <c r="AJ145" s="8">
        <f t="shared" ref="AJ145:BO145" si="60">AI147</f>
        <v>9139006.3006012756</v>
      </c>
      <c r="AK145" s="8">
        <f t="shared" si="60"/>
        <v>9063555.046411518</v>
      </c>
      <c r="AL145" s="8">
        <f t="shared" si="60"/>
        <v>8988103.7922217604</v>
      </c>
      <c r="AM145" s="8">
        <f t="shared" si="60"/>
        <v>8912652.5380320027</v>
      </c>
      <c r="AN145" s="8">
        <f t="shared" si="60"/>
        <v>8767911.1651978437</v>
      </c>
      <c r="AO145" s="8">
        <f t="shared" si="60"/>
        <v>8623169.7923636846</v>
      </c>
      <c r="AP145" s="8">
        <f t="shared" si="60"/>
        <v>8478428.4195295256</v>
      </c>
      <c r="AQ145" s="8">
        <f t="shared" si="60"/>
        <v>8333687.0466953665</v>
      </c>
      <c r="AR145" s="8">
        <f t="shared" si="60"/>
        <v>8188945.6738612074</v>
      </c>
      <c r="AS145" s="8">
        <f t="shared" si="60"/>
        <v>8044204.3010270484</v>
      </c>
      <c r="AT145" s="8">
        <f t="shared" si="60"/>
        <v>7727997.8903141022</v>
      </c>
      <c r="AU145" s="8">
        <f t="shared" si="60"/>
        <v>7411791.479601156</v>
      </c>
      <c r="AV145" s="8">
        <f t="shared" si="60"/>
        <v>7095585.0688882098</v>
      </c>
      <c r="AW145" s="8">
        <f t="shared" si="60"/>
        <v>6779378.6581752636</v>
      </c>
      <c r="AX145" s="8">
        <f t="shared" si="60"/>
        <v>6463172.2474623173</v>
      </c>
      <c r="AY145" s="8">
        <f t="shared" si="60"/>
        <v>6146965.8367493711</v>
      </c>
      <c r="AZ145" s="8">
        <f t="shared" si="60"/>
        <v>5821302.3711554985</v>
      </c>
      <c r="BA145" s="8">
        <f t="shared" si="60"/>
        <v>5495638.905561626</v>
      </c>
      <c r="BB145" s="8">
        <f t="shared" si="60"/>
        <v>5169975.4399677534</v>
      </c>
      <c r="BC145" s="8">
        <f t="shared" si="60"/>
        <v>4844311.9743738808</v>
      </c>
      <c r="BD145" s="8">
        <f t="shared" si="60"/>
        <v>4518648.5087800082</v>
      </c>
      <c r="BE145" s="8">
        <f t="shared" si="60"/>
        <v>4192985.0431861361</v>
      </c>
      <c r="BF145" s="8">
        <f t="shared" si="60"/>
        <v>3867321.5775922639</v>
      </c>
      <c r="BG145" s="8">
        <f t="shared" si="60"/>
        <v>3541658.1119983918</v>
      </c>
      <c r="BH145" s="8">
        <f t="shared" si="60"/>
        <v>3059348.3130711862</v>
      </c>
      <c r="BI145" s="8">
        <f t="shared" si="60"/>
        <v>2577038.5141439806</v>
      </c>
      <c r="BJ145" s="8">
        <f t="shared" si="60"/>
        <v>2094728.715216775</v>
      </c>
      <c r="BK145" s="8">
        <f t="shared" si="60"/>
        <v>1612418.9162895693</v>
      </c>
      <c r="BL145" s="8">
        <f t="shared" si="60"/>
        <v>1120462.9213838195</v>
      </c>
      <c r="BM145" s="8">
        <f t="shared" si="60"/>
        <v>628506.92647806986</v>
      </c>
      <c r="BN145" s="8">
        <f t="shared" si="60"/>
        <v>136550.93157232017</v>
      </c>
      <c r="BO145" s="8">
        <f t="shared" si="60"/>
        <v>-355405.06333342951</v>
      </c>
      <c r="BP145" s="8">
        <f t="shared" ref="BP145:CH145" si="61">BO147</f>
        <v>-847361.0582391792</v>
      </c>
      <c r="BQ145" s="8">
        <f t="shared" si="61"/>
        <v>-1339317.053144929</v>
      </c>
      <c r="BR145" s="8">
        <f t="shared" si="61"/>
        <v>-1831273.0480506788</v>
      </c>
      <c r="BS145" s="8">
        <f t="shared" si="61"/>
        <v>-2323229.0429564286</v>
      </c>
      <c r="BT145" s="8">
        <f t="shared" si="61"/>
        <v>-2815185.0378621784</v>
      </c>
      <c r="BU145" s="8">
        <f t="shared" si="61"/>
        <v>-3307141.0327679282</v>
      </c>
      <c r="BV145" s="8">
        <f t="shared" si="61"/>
        <v>-3799097.027673678</v>
      </c>
      <c r="BW145" s="8">
        <f t="shared" si="61"/>
        <v>-4291053.0225794278</v>
      </c>
      <c r="BX145" s="8">
        <f t="shared" si="61"/>
        <v>-4792848.1373832924</v>
      </c>
      <c r="BY145" s="8">
        <f t="shared" si="61"/>
        <v>-5294643.252187157</v>
      </c>
      <c r="BZ145" s="8">
        <f t="shared" si="61"/>
        <v>-5796438.3669910217</v>
      </c>
      <c r="CA145" s="8">
        <f t="shared" si="61"/>
        <v>-6298233.4817948863</v>
      </c>
      <c r="CB145" s="8">
        <f t="shared" si="61"/>
        <v>-6800028.5965987509</v>
      </c>
      <c r="CC145" s="8">
        <f t="shared" si="61"/>
        <v>-7301823.7114026155</v>
      </c>
      <c r="CD145" s="8">
        <f t="shared" si="61"/>
        <v>-7803618.8262064802</v>
      </c>
      <c r="CE145" s="8">
        <f t="shared" si="61"/>
        <v>-8305413.9410103448</v>
      </c>
      <c r="CF145" s="8">
        <f t="shared" si="61"/>
        <v>-8807209.0558142103</v>
      </c>
      <c r="CG145" s="8">
        <f t="shared" si="61"/>
        <v>-9309004.1706180759</v>
      </c>
      <c r="CH145" s="8">
        <f t="shared" si="61"/>
        <v>-9810799.2854219414</v>
      </c>
      <c r="CI145" s="23"/>
      <c r="CJ145" s="38"/>
      <c r="CK145" s="38"/>
    </row>
    <row r="146" spans="1:89" ht="15" customHeight="1" x14ac:dyDescent="0.25">
      <c r="A146" s="7" t="s">
        <v>222</v>
      </c>
      <c r="B146" s="22"/>
      <c r="C146" s="8">
        <f>C40</f>
        <v>73847.425925039861</v>
      </c>
      <c r="D146" s="8">
        <f>D40</f>
        <v>27266.175925039919</v>
      </c>
      <c r="E146" s="8">
        <f>E40</f>
        <v>-11283.824074960081</v>
      </c>
      <c r="F146" s="8">
        <f>F40</f>
        <v>464650.23678564595</v>
      </c>
      <c r="G146" s="8">
        <f>G40</f>
        <v>181983.97536682617</v>
      </c>
      <c r="H146" s="8">
        <f>H40</f>
        <v>227110.78756778303</v>
      </c>
      <c r="I146" s="8">
        <f>I40</f>
        <v>592600.1134545455</v>
      </c>
      <c r="J146" s="8">
        <f>J40</f>
        <v>630904.01440151536</v>
      </c>
      <c r="K146" s="8">
        <f>K40</f>
        <v>408665.1364015151</v>
      </c>
      <c r="L146" s="8">
        <f>L40</f>
        <v>408665.1364015151</v>
      </c>
      <c r="M146" s="8">
        <f>M40</f>
        <v>408665.1364015151</v>
      </c>
      <c r="N146" s="8">
        <f>N40</f>
        <v>408665.1364015151</v>
      </c>
      <c r="O146" s="8">
        <f>O40</f>
        <v>-220949.8947530305</v>
      </c>
      <c r="P146" s="8">
        <f>P40</f>
        <v>571218.58024696959</v>
      </c>
      <c r="Q146" s="8">
        <f>Q40</f>
        <v>571218.58024696959</v>
      </c>
      <c r="R146" s="8">
        <f>R40</f>
        <v>380569.19388333324</v>
      </c>
      <c r="S146" s="8">
        <f>S40</f>
        <v>254633.69388333336</v>
      </c>
      <c r="T146" s="8">
        <f>T40</f>
        <v>254633.69388333336</v>
      </c>
      <c r="U146" s="8">
        <f>U40</f>
        <v>254633.69388333336</v>
      </c>
      <c r="V146" s="8">
        <f>V40</f>
        <v>224330.5359885965</v>
      </c>
      <c r="W146" s="8">
        <f>W40</f>
        <v>224330.5359885965</v>
      </c>
      <c r="X146" s="8">
        <f>X40</f>
        <v>224330.5359885965</v>
      </c>
      <c r="Y146" s="8">
        <f>Y40</f>
        <v>224330.5359885965</v>
      </c>
      <c r="Z146" s="8">
        <f>Z40</f>
        <v>167051.17594074958</v>
      </c>
      <c r="AA146" s="8">
        <f>AA40</f>
        <v>112834.53782579268</v>
      </c>
      <c r="AB146" s="8">
        <f>AB40</f>
        <v>31340.686151151545</v>
      </c>
      <c r="AC146" s="8">
        <f>AC40</f>
        <v>-535719.04051551525</v>
      </c>
      <c r="AD146" s="8">
        <f>AD40</f>
        <v>187987.01948448492</v>
      </c>
      <c r="AE146" s="8">
        <f>AE40</f>
        <v>187987.01948448492</v>
      </c>
      <c r="AF146" s="8">
        <f>AF40</f>
        <v>187987.01948448492</v>
      </c>
      <c r="AG146" s="8">
        <f>AG40</f>
        <v>187987.01948448492</v>
      </c>
      <c r="AH146" s="8">
        <f>AH40</f>
        <v>87308.018537515192</v>
      </c>
      <c r="AI146" s="8">
        <f>AI40</f>
        <v>87308.018537515192</v>
      </c>
      <c r="AJ146" s="8">
        <f>AJ40</f>
        <v>-75451.254189757514</v>
      </c>
      <c r="AK146" s="8">
        <f>AK40</f>
        <v>-75451.254189757514</v>
      </c>
      <c r="AL146" s="8">
        <f>AL40</f>
        <v>-75451.254189757514</v>
      </c>
      <c r="AM146" s="8">
        <f>AM40</f>
        <v>-144741.37283415883</v>
      </c>
      <c r="AN146" s="8">
        <f>AN40</f>
        <v>-144741.37283415883</v>
      </c>
      <c r="AO146" s="8">
        <f>AO40</f>
        <v>-144741.37283415883</v>
      </c>
      <c r="AP146" s="8">
        <f>AP40</f>
        <v>-144741.37283415883</v>
      </c>
      <c r="AQ146" s="8">
        <f>AQ40</f>
        <v>-144741.37283415883</v>
      </c>
      <c r="AR146" s="8">
        <f>AR40</f>
        <v>-144741.37283415883</v>
      </c>
      <c r="AS146" s="8">
        <f>AS40</f>
        <v>-316206.41071294667</v>
      </c>
      <c r="AT146" s="8">
        <f>AT40</f>
        <v>-316206.41071294667</v>
      </c>
      <c r="AU146" s="8">
        <f>AU40</f>
        <v>-316206.41071294667</v>
      </c>
      <c r="AV146" s="8">
        <f>AV40</f>
        <v>-316206.41071294667</v>
      </c>
      <c r="AW146" s="8">
        <f>AW40</f>
        <v>-316206.41071294667</v>
      </c>
      <c r="AX146" s="8">
        <f>AX40</f>
        <v>-316206.41071294667</v>
      </c>
      <c r="AY146" s="8">
        <f>AY40</f>
        <v>-325663.46559387224</v>
      </c>
      <c r="AZ146" s="8">
        <f>AZ40</f>
        <v>-325663.46559387224</v>
      </c>
      <c r="BA146" s="8">
        <f>BA40</f>
        <v>-325663.46559387224</v>
      </c>
      <c r="BB146" s="8">
        <f>BB40</f>
        <v>-325663.46559387224</v>
      </c>
      <c r="BC146" s="8">
        <f>BC40</f>
        <v>-325663.46559387224</v>
      </c>
      <c r="BD146" s="8">
        <f>BD40</f>
        <v>-325663.46559387224</v>
      </c>
      <c r="BE146" s="8">
        <f>BE40</f>
        <v>-325663.46559387224</v>
      </c>
      <c r="BF146" s="8">
        <f>BF40</f>
        <v>-325663.46559387224</v>
      </c>
      <c r="BG146" s="8">
        <f>BG40</f>
        <v>-482309.79892720561</v>
      </c>
      <c r="BH146" s="8">
        <f>BH40</f>
        <v>-482309.79892720561</v>
      </c>
      <c r="BI146" s="8">
        <f>BI40</f>
        <v>-482309.79892720561</v>
      </c>
      <c r="BJ146" s="8">
        <f>BJ40</f>
        <v>-482309.79892720561</v>
      </c>
      <c r="BK146" s="8">
        <f>BK40</f>
        <v>-491955.99490574969</v>
      </c>
      <c r="BL146" s="8">
        <f>BL40</f>
        <v>-491955.99490574969</v>
      </c>
      <c r="BM146" s="8">
        <f>BM40</f>
        <v>-491955.99490574969</v>
      </c>
      <c r="BN146" s="8">
        <f>BN40</f>
        <v>-491955.99490574969</v>
      </c>
      <c r="BO146" s="8">
        <f>BO40</f>
        <v>-491955.99490574969</v>
      </c>
      <c r="BP146" s="8">
        <f>BP40</f>
        <v>-491955.99490574969</v>
      </c>
      <c r="BQ146" s="8">
        <f>BQ40</f>
        <v>-491955.99490574969</v>
      </c>
      <c r="BR146" s="8">
        <f>BR40</f>
        <v>-491955.99490574969</v>
      </c>
      <c r="BS146" s="8">
        <f>BS40</f>
        <v>-491955.99490574969</v>
      </c>
      <c r="BT146" s="8">
        <f>BT40</f>
        <v>-491955.99490574969</v>
      </c>
      <c r="BU146" s="8">
        <f>BU40</f>
        <v>-491955.99490574969</v>
      </c>
      <c r="BV146" s="8">
        <f>BV40</f>
        <v>-491955.99490574969</v>
      </c>
      <c r="BW146" s="8">
        <f>BW40</f>
        <v>-501795.11480386468</v>
      </c>
      <c r="BX146" s="8">
        <f>BX40</f>
        <v>-501795.11480386468</v>
      </c>
      <c r="BY146" s="8">
        <f>BY40</f>
        <v>-501795.11480386468</v>
      </c>
      <c r="BZ146" s="8">
        <f>BZ40</f>
        <v>-501795.11480386468</v>
      </c>
      <c r="CA146" s="8">
        <f>CA40</f>
        <v>-501795.11480386468</v>
      </c>
      <c r="CB146" s="8">
        <f>CB40</f>
        <v>-501795.11480386468</v>
      </c>
      <c r="CC146" s="8">
        <f>CC40</f>
        <v>-501795.11480386468</v>
      </c>
      <c r="CD146" s="8">
        <f>CD40</f>
        <v>-501795.11480386468</v>
      </c>
      <c r="CE146" s="8">
        <f>CE40</f>
        <v>-501795.11480386468</v>
      </c>
      <c r="CF146" s="8">
        <f>CF40</f>
        <v>-501795.11480386468</v>
      </c>
      <c r="CG146" s="8">
        <f>CG40</f>
        <v>-501795.11480386468</v>
      </c>
      <c r="CH146" s="8">
        <f>CH40</f>
        <v>-501795.11480386468</v>
      </c>
      <c r="CI146" s="23"/>
      <c r="CJ146" s="38"/>
      <c r="CK146" s="38"/>
    </row>
    <row r="147" spans="1:89" ht="15" customHeight="1" x14ac:dyDescent="0.25">
      <c r="A147" s="39" t="s">
        <v>99</v>
      </c>
      <c r="B147" s="40"/>
      <c r="C147" s="41">
        <f t="shared" ref="C147:AH147" si="62">C145+C146</f>
        <v>1725763.1159250399</v>
      </c>
      <c r="D147" s="41">
        <f t="shared" si="62"/>
        <v>1753029.2918500798</v>
      </c>
      <c r="E147" s="41">
        <f t="shared" si="62"/>
        <v>1741745.4677751197</v>
      </c>
      <c r="F147" s="41">
        <f t="shared" si="62"/>
        <v>2206395.7045607655</v>
      </c>
      <c r="G147" s="41">
        <f t="shared" si="62"/>
        <v>2388379.6799275917</v>
      </c>
      <c r="H147" s="41">
        <f t="shared" si="62"/>
        <v>2615490.4674953748</v>
      </c>
      <c r="I147" s="41">
        <f t="shared" si="62"/>
        <v>3208090.5809499202</v>
      </c>
      <c r="J147" s="41">
        <f t="shared" si="62"/>
        <v>3838994.5953514357</v>
      </c>
      <c r="K147" s="41">
        <f t="shared" si="62"/>
        <v>4247659.7317529507</v>
      </c>
      <c r="L147" s="41">
        <f t="shared" si="62"/>
        <v>4656324.8681544662</v>
      </c>
      <c r="M147" s="41">
        <f t="shared" si="62"/>
        <v>5064990.0045559816</v>
      </c>
      <c r="N147" s="41">
        <f t="shared" si="62"/>
        <v>5473655.1409574971</v>
      </c>
      <c r="O147" s="41">
        <f t="shared" si="62"/>
        <v>5252705.2462044666</v>
      </c>
      <c r="P147" s="41">
        <f t="shared" si="62"/>
        <v>5823923.8264514357</v>
      </c>
      <c r="Q147" s="41">
        <f t="shared" si="62"/>
        <v>6395142.4066984057</v>
      </c>
      <c r="R147" s="41">
        <f t="shared" si="62"/>
        <v>6775711.6005817391</v>
      </c>
      <c r="S147" s="41">
        <f t="shared" si="62"/>
        <v>7030345.2944650725</v>
      </c>
      <c r="T147" s="41">
        <f t="shared" si="62"/>
        <v>7284978.9883484058</v>
      </c>
      <c r="U147" s="41">
        <f t="shared" si="62"/>
        <v>7539612.6822317392</v>
      </c>
      <c r="V147" s="41">
        <f t="shared" si="62"/>
        <v>7763943.2182203354</v>
      </c>
      <c r="W147" s="41">
        <f t="shared" si="62"/>
        <v>7988273.7542089317</v>
      </c>
      <c r="X147" s="41">
        <f t="shared" si="62"/>
        <v>8212604.290197528</v>
      </c>
      <c r="Y147" s="41">
        <f t="shared" si="62"/>
        <v>8436934.8261861242</v>
      </c>
      <c r="Z147" s="41">
        <f t="shared" si="62"/>
        <v>8603986.0021268744</v>
      </c>
      <c r="AA147" s="41">
        <f t="shared" si="62"/>
        <v>8716820.5399526674</v>
      </c>
      <c r="AB147" s="41">
        <f t="shared" si="62"/>
        <v>8748161.2261038199</v>
      </c>
      <c r="AC147" s="41">
        <f t="shared" si="62"/>
        <v>8212442.1855883049</v>
      </c>
      <c r="AD147" s="41">
        <f t="shared" si="62"/>
        <v>8400429.2050727904</v>
      </c>
      <c r="AE147" s="41">
        <f t="shared" si="62"/>
        <v>8588416.224557275</v>
      </c>
      <c r="AF147" s="41">
        <f t="shared" si="62"/>
        <v>8776403.2440417595</v>
      </c>
      <c r="AG147" s="41">
        <f t="shared" si="62"/>
        <v>8964390.2635262441</v>
      </c>
      <c r="AH147" s="41">
        <f t="shared" si="62"/>
        <v>9051698.2820637599</v>
      </c>
      <c r="AI147" s="41">
        <f t="shared" ref="AI147:BN147" si="63">AI145+AI146</f>
        <v>9139006.3006012756</v>
      </c>
      <c r="AJ147" s="41">
        <f t="shared" si="63"/>
        <v>9063555.046411518</v>
      </c>
      <c r="AK147" s="41">
        <f t="shared" si="63"/>
        <v>8988103.7922217604</v>
      </c>
      <c r="AL147" s="41">
        <f t="shared" si="63"/>
        <v>8912652.5380320027</v>
      </c>
      <c r="AM147" s="41">
        <f t="shared" si="63"/>
        <v>8767911.1651978437</v>
      </c>
      <c r="AN147" s="41">
        <f t="shared" si="63"/>
        <v>8623169.7923636846</v>
      </c>
      <c r="AO147" s="41">
        <f t="shared" si="63"/>
        <v>8478428.4195295256</v>
      </c>
      <c r="AP147" s="41">
        <f t="shared" si="63"/>
        <v>8333687.0466953665</v>
      </c>
      <c r="AQ147" s="41">
        <f t="shared" si="63"/>
        <v>8188945.6738612074</v>
      </c>
      <c r="AR147" s="41">
        <f t="shared" si="63"/>
        <v>8044204.3010270484</v>
      </c>
      <c r="AS147" s="41">
        <f t="shared" si="63"/>
        <v>7727997.8903141022</v>
      </c>
      <c r="AT147" s="41">
        <f t="shared" si="63"/>
        <v>7411791.479601156</v>
      </c>
      <c r="AU147" s="41">
        <f t="shared" si="63"/>
        <v>7095585.0688882098</v>
      </c>
      <c r="AV147" s="41">
        <f t="shared" si="63"/>
        <v>6779378.6581752636</v>
      </c>
      <c r="AW147" s="41">
        <f t="shared" si="63"/>
        <v>6463172.2474623173</v>
      </c>
      <c r="AX147" s="41">
        <f t="shared" si="63"/>
        <v>6146965.8367493711</v>
      </c>
      <c r="AY147" s="41">
        <f t="shared" si="63"/>
        <v>5821302.3711554985</v>
      </c>
      <c r="AZ147" s="41">
        <f t="shared" si="63"/>
        <v>5495638.905561626</v>
      </c>
      <c r="BA147" s="41">
        <f t="shared" si="63"/>
        <v>5169975.4399677534</v>
      </c>
      <c r="BB147" s="41">
        <f t="shared" si="63"/>
        <v>4844311.9743738808</v>
      </c>
      <c r="BC147" s="41">
        <f t="shared" si="63"/>
        <v>4518648.5087800082</v>
      </c>
      <c r="BD147" s="41">
        <f t="shared" si="63"/>
        <v>4192985.0431861361</v>
      </c>
      <c r="BE147" s="41">
        <f t="shared" si="63"/>
        <v>3867321.5775922639</v>
      </c>
      <c r="BF147" s="41">
        <f t="shared" si="63"/>
        <v>3541658.1119983918</v>
      </c>
      <c r="BG147" s="41">
        <f t="shared" si="63"/>
        <v>3059348.3130711862</v>
      </c>
      <c r="BH147" s="41">
        <f t="shared" si="63"/>
        <v>2577038.5141439806</v>
      </c>
      <c r="BI147" s="41">
        <f t="shared" si="63"/>
        <v>2094728.715216775</v>
      </c>
      <c r="BJ147" s="41">
        <f t="shared" si="63"/>
        <v>1612418.9162895693</v>
      </c>
      <c r="BK147" s="41">
        <f t="shared" si="63"/>
        <v>1120462.9213838195</v>
      </c>
      <c r="BL147" s="41">
        <f t="shared" si="63"/>
        <v>628506.92647806986</v>
      </c>
      <c r="BM147" s="41">
        <f t="shared" si="63"/>
        <v>136550.93157232017</v>
      </c>
      <c r="BN147" s="41">
        <f t="shared" si="63"/>
        <v>-355405.06333342951</v>
      </c>
      <c r="BO147" s="41">
        <f t="shared" ref="BO147:CT147" si="64">BO145+BO146</f>
        <v>-847361.0582391792</v>
      </c>
      <c r="BP147" s="41">
        <f t="shared" si="64"/>
        <v>-1339317.053144929</v>
      </c>
      <c r="BQ147" s="41">
        <f t="shared" si="64"/>
        <v>-1831273.0480506788</v>
      </c>
      <c r="BR147" s="41">
        <f t="shared" si="64"/>
        <v>-2323229.0429564286</v>
      </c>
      <c r="BS147" s="41">
        <f t="shared" si="64"/>
        <v>-2815185.0378621784</v>
      </c>
      <c r="BT147" s="41">
        <f t="shared" si="64"/>
        <v>-3307141.0327679282</v>
      </c>
      <c r="BU147" s="41">
        <f t="shared" si="64"/>
        <v>-3799097.027673678</v>
      </c>
      <c r="BV147" s="41">
        <f t="shared" si="64"/>
        <v>-4291053.0225794278</v>
      </c>
      <c r="BW147" s="41">
        <f t="shared" si="64"/>
        <v>-4792848.1373832924</v>
      </c>
      <c r="BX147" s="41">
        <f t="shared" si="64"/>
        <v>-5294643.252187157</v>
      </c>
      <c r="BY147" s="41">
        <f t="shared" si="64"/>
        <v>-5796438.3669910217</v>
      </c>
      <c r="BZ147" s="41">
        <f t="shared" si="64"/>
        <v>-6298233.4817948863</v>
      </c>
      <c r="CA147" s="41">
        <f t="shared" si="64"/>
        <v>-6800028.5965987509</v>
      </c>
      <c r="CB147" s="41">
        <f t="shared" si="64"/>
        <v>-7301823.7114026155</v>
      </c>
      <c r="CC147" s="41">
        <f t="shared" si="64"/>
        <v>-7803618.8262064802</v>
      </c>
      <c r="CD147" s="41">
        <f t="shared" si="64"/>
        <v>-8305413.9410103448</v>
      </c>
      <c r="CE147" s="41">
        <f t="shared" si="64"/>
        <v>-8807209.0558142103</v>
      </c>
      <c r="CF147" s="41">
        <f t="shared" si="64"/>
        <v>-9309004.1706180759</v>
      </c>
      <c r="CG147" s="41">
        <f t="shared" si="64"/>
        <v>-9810799.2854219414</v>
      </c>
      <c r="CH147" s="41">
        <f t="shared" si="64"/>
        <v>-10312594.400225807</v>
      </c>
      <c r="CI147" s="23"/>
      <c r="CJ147" s="38"/>
      <c r="CK147" s="38"/>
    </row>
    <row r="148" spans="1:89" ht="15" customHeight="1" x14ac:dyDescent="0.2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3"/>
      <c r="CJ148" s="38"/>
      <c r="CK148" s="38"/>
    </row>
    <row r="149" spans="1:89" ht="15" customHeight="1" x14ac:dyDescent="0.25">
      <c r="A149" s="6" t="s">
        <v>223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23"/>
      <c r="CJ149" s="38"/>
      <c r="CK149" s="38"/>
    </row>
    <row r="150" spans="1:89" ht="15" customHeight="1" x14ac:dyDescent="0.25">
      <c r="A150" s="7" t="s">
        <v>224</v>
      </c>
      <c r="B150" s="22"/>
      <c r="C150" s="8">
        <f>Assumptions!$B$30</f>
        <v>451631.16</v>
      </c>
      <c r="D150" s="8">
        <f t="shared" ref="D150:AI150" si="65">C155</f>
        <v>375681.15666666662</v>
      </c>
      <c r="E150" s="8">
        <f t="shared" si="65"/>
        <v>299731.15333333332</v>
      </c>
      <c r="F150" s="8">
        <f t="shared" si="65"/>
        <v>223781.15</v>
      </c>
      <c r="G150" s="8">
        <f t="shared" si="65"/>
        <v>124831.14666666668</v>
      </c>
      <c r="H150" s="8">
        <f t="shared" si="65"/>
        <v>159721.63333333336</v>
      </c>
      <c r="I150" s="8">
        <f t="shared" si="65"/>
        <v>152915.48000000004</v>
      </c>
      <c r="J150" s="8">
        <f t="shared" si="65"/>
        <v>-30183.643333333282</v>
      </c>
      <c r="K150" s="8">
        <f t="shared" si="65"/>
        <v>-222657.7666666666</v>
      </c>
      <c r="L150" s="8">
        <f t="shared" si="65"/>
        <v>-436131.8899999999</v>
      </c>
      <c r="M150" s="8">
        <f t="shared" si="65"/>
        <v>-628606.01333333319</v>
      </c>
      <c r="N150" s="8">
        <f t="shared" si="65"/>
        <v>-1071080.1366666665</v>
      </c>
      <c r="O150" s="8">
        <f t="shared" si="65"/>
        <v>-1263554.2599999998</v>
      </c>
      <c r="P150" s="8">
        <f t="shared" si="65"/>
        <v>-1458419.6749999998</v>
      </c>
      <c r="Q150" s="8">
        <f t="shared" si="65"/>
        <v>-1653285.0899999999</v>
      </c>
      <c r="R150" s="8">
        <f t="shared" si="65"/>
        <v>-1848150.5049999999</v>
      </c>
      <c r="S150" s="8">
        <f t="shared" si="65"/>
        <v>-2090382.17</v>
      </c>
      <c r="T150" s="8">
        <f t="shared" si="65"/>
        <v>-2309153.835</v>
      </c>
      <c r="U150" s="8">
        <f t="shared" si="65"/>
        <v>-2527925.5</v>
      </c>
      <c r="V150" s="8">
        <f t="shared" si="65"/>
        <v>-2746697.165</v>
      </c>
      <c r="W150" s="8">
        <f t="shared" si="65"/>
        <v>-2965468.83</v>
      </c>
      <c r="X150" s="8">
        <f t="shared" si="65"/>
        <v>-3084254.7382854451</v>
      </c>
      <c r="Y150" s="8">
        <f t="shared" si="65"/>
        <v>-3173026.4032854452</v>
      </c>
      <c r="Z150" s="8">
        <f t="shared" si="65"/>
        <v>-3511798.0682854452</v>
      </c>
      <c r="AA150" s="8">
        <f t="shared" si="65"/>
        <v>-3555826.3132854453</v>
      </c>
      <c r="AB150" s="8">
        <f t="shared" si="65"/>
        <v>-3670721.3057854455</v>
      </c>
      <c r="AC150" s="8">
        <f t="shared" si="65"/>
        <v>-3785616.2982854457</v>
      </c>
      <c r="AD150" s="8">
        <f t="shared" si="65"/>
        <v>-3843136.2907854458</v>
      </c>
      <c r="AE150" s="8">
        <f t="shared" si="65"/>
        <v>-3981960.4832854457</v>
      </c>
      <c r="AF150" s="8">
        <f t="shared" si="65"/>
        <v>-4096855.4757854459</v>
      </c>
      <c r="AG150" s="8">
        <f t="shared" si="65"/>
        <v>-4211750.4682854461</v>
      </c>
      <c r="AH150" s="8">
        <f t="shared" si="65"/>
        <v>-4336145.4607854458</v>
      </c>
      <c r="AI150" s="8">
        <f t="shared" si="65"/>
        <v>-4460540.4532854455</v>
      </c>
      <c r="AJ150" s="8">
        <f t="shared" ref="AJ150:BO150" si="66">AI155</f>
        <v>-4606783.8457854455</v>
      </c>
      <c r="AK150" s="8">
        <f t="shared" si="66"/>
        <v>-4731178.8382854452</v>
      </c>
      <c r="AL150" s="8">
        <f t="shared" si="66"/>
        <v>-4855573.8307854449</v>
      </c>
      <c r="AM150" s="8">
        <f t="shared" si="66"/>
        <v>-4979968.8232854446</v>
      </c>
      <c r="AN150" s="8">
        <f t="shared" si="66"/>
        <v>-5106851.715635445</v>
      </c>
      <c r="AO150" s="8">
        <f t="shared" si="66"/>
        <v>-5233734.6079854453</v>
      </c>
      <c r="AP150" s="8">
        <f t="shared" si="66"/>
        <v>-5360617.5003354456</v>
      </c>
      <c r="AQ150" s="8">
        <f t="shared" si="66"/>
        <v>-5511908.1766854459</v>
      </c>
      <c r="AR150" s="8">
        <f t="shared" si="66"/>
        <v>-5638791.0690354463</v>
      </c>
      <c r="AS150" s="8">
        <f t="shared" si="66"/>
        <v>-5765673.9613854466</v>
      </c>
      <c r="AT150" s="8">
        <f t="shared" si="66"/>
        <v>-5892556.8537354469</v>
      </c>
      <c r="AU150" s="8">
        <f t="shared" si="66"/>
        <v>-6019439.7460854473</v>
      </c>
      <c r="AV150" s="8">
        <f t="shared" si="66"/>
        <v>-6168608.0064354474</v>
      </c>
      <c r="AW150" s="8">
        <f t="shared" si="66"/>
        <v>-6295490.8987854477</v>
      </c>
      <c r="AX150" s="8">
        <f t="shared" si="66"/>
        <v>-6422373.791135448</v>
      </c>
      <c r="AY150" s="8">
        <f t="shared" si="66"/>
        <v>-6549256.6834854484</v>
      </c>
      <c r="AZ150" s="8">
        <f t="shared" si="66"/>
        <v>-6678677.233682448</v>
      </c>
      <c r="BA150" s="8">
        <f t="shared" si="66"/>
        <v>-6808097.7838794477</v>
      </c>
      <c r="BB150" s="8">
        <f t="shared" si="66"/>
        <v>-6937518.3340764474</v>
      </c>
      <c r="BC150" s="8">
        <f t="shared" si="66"/>
        <v>-7091834.8239534479</v>
      </c>
      <c r="BD150" s="8">
        <f t="shared" si="66"/>
        <v>-7221255.3741504475</v>
      </c>
      <c r="BE150" s="8">
        <f t="shared" si="66"/>
        <v>-7350675.9243474472</v>
      </c>
      <c r="BF150" s="8">
        <f t="shared" si="66"/>
        <v>-7480096.4745444469</v>
      </c>
      <c r="BG150" s="8">
        <f t="shared" si="66"/>
        <v>-7609517.0247414466</v>
      </c>
      <c r="BH150" s="8">
        <f t="shared" si="66"/>
        <v>-7761668.6502984464</v>
      </c>
      <c r="BI150" s="8">
        <f t="shared" si="66"/>
        <v>-7891089.2004954461</v>
      </c>
      <c r="BJ150" s="8">
        <f t="shared" si="66"/>
        <v>-8020509.7506924458</v>
      </c>
      <c r="BK150" s="8">
        <f t="shared" si="66"/>
        <v>-8149930.3008894455</v>
      </c>
      <c r="BL150" s="8">
        <f t="shared" si="66"/>
        <v>-8281939.2620903859</v>
      </c>
      <c r="BM150" s="8">
        <f t="shared" si="66"/>
        <v>-8413948.2232913263</v>
      </c>
      <c r="BN150" s="8">
        <f t="shared" si="66"/>
        <v>-8545957.1844922658</v>
      </c>
      <c r="BO150" s="8">
        <f t="shared" si="66"/>
        <v>-8703360.0041668061</v>
      </c>
      <c r="BP150" s="8">
        <f t="shared" ref="BP150:CH150" si="67">BO155</f>
        <v>-8835368.9653677456</v>
      </c>
      <c r="BQ150" s="8">
        <f t="shared" si="67"/>
        <v>-8915864.4065686855</v>
      </c>
      <c r="BR150" s="8">
        <f t="shared" si="67"/>
        <v>-9047873.367769625</v>
      </c>
      <c r="BS150" s="8">
        <f t="shared" si="67"/>
        <v>-9179882.3289705645</v>
      </c>
      <c r="BT150" s="8">
        <f t="shared" si="67"/>
        <v>-9267314.9870387036</v>
      </c>
      <c r="BU150" s="8">
        <f t="shared" si="67"/>
        <v>-9399323.9482396431</v>
      </c>
      <c r="BV150" s="8">
        <f t="shared" si="67"/>
        <v>-9531332.9094405826</v>
      </c>
      <c r="BW150" s="8">
        <f t="shared" si="67"/>
        <v>-9595579.8706415221</v>
      </c>
      <c r="BX150" s="8">
        <f t="shared" si="67"/>
        <v>-9730229.0110664815</v>
      </c>
      <c r="BY150" s="8">
        <f t="shared" si="67"/>
        <v>-9864878.1514914408</v>
      </c>
      <c r="BZ150" s="8">
        <f t="shared" si="67"/>
        <v>-9931765.2919164002</v>
      </c>
      <c r="CA150" s="8">
        <f t="shared" si="67"/>
        <v>-10092316.167984432</v>
      </c>
      <c r="CB150" s="8">
        <f t="shared" si="67"/>
        <v>-10226965.308409391</v>
      </c>
      <c r="CC150" s="8">
        <f t="shared" si="67"/>
        <v>-10285115.44883435</v>
      </c>
      <c r="CD150" s="8">
        <f t="shared" si="67"/>
        <v>-10419764.58925931</v>
      </c>
      <c r="CE150" s="8">
        <f t="shared" si="67"/>
        <v>-10554413.729684269</v>
      </c>
      <c r="CF150" s="8">
        <f t="shared" si="67"/>
        <v>-10636213.280913772</v>
      </c>
      <c r="CG150" s="8">
        <f t="shared" si="67"/>
        <v>-10770862.421338731</v>
      </c>
      <c r="CH150" s="8">
        <f t="shared" si="67"/>
        <v>-10905511.561763691</v>
      </c>
      <c r="CI150" s="23"/>
      <c r="CJ150" s="38"/>
      <c r="CK150" s="38"/>
    </row>
    <row r="151" spans="1:89" ht="15" customHeight="1" x14ac:dyDescent="0.25">
      <c r="A151" s="7" t="s">
        <v>225</v>
      </c>
      <c r="B151" s="22"/>
      <c r="C151" s="8">
        <f>C86</f>
        <v>-75950.003333333327</v>
      </c>
      <c r="D151" s="8">
        <f>D86</f>
        <v>-75950.003333333327</v>
      </c>
      <c r="E151" s="8">
        <f>E86</f>
        <v>-75950.003333333327</v>
      </c>
      <c r="F151" s="8">
        <f>F86</f>
        <v>-98950.003333333312</v>
      </c>
      <c r="G151" s="8">
        <f>G86</f>
        <v>34890.486666666693</v>
      </c>
      <c r="H151" s="8">
        <f>H86</f>
        <v>-6806.1533333333209</v>
      </c>
      <c r="I151" s="8">
        <f>I86</f>
        <v>-53099.123333333322</v>
      </c>
      <c r="J151" s="8">
        <f>J86</f>
        <v>-62474.123333333322</v>
      </c>
      <c r="K151" s="8">
        <f>K86</f>
        <v>-83474.123333333308</v>
      </c>
      <c r="L151" s="8">
        <f>L86</f>
        <v>-62474.123333333322</v>
      </c>
      <c r="M151" s="8">
        <f>M86</f>
        <v>-62474.123333333322</v>
      </c>
      <c r="N151" s="8">
        <f>N86</f>
        <v>-62474.123333333322</v>
      </c>
      <c r="O151" s="8">
        <f>O86</f>
        <v>-64865.414999999994</v>
      </c>
      <c r="P151" s="8">
        <f>P86</f>
        <v>-64865.414999999994</v>
      </c>
      <c r="Q151" s="8">
        <f>Q86</f>
        <v>-64865.414999999994</v>
      </c>
      <c r="R151" s="8">
        <f>R86</f>
        <v>-112231.66499999999</v>
      </c>
      <c r="S151" s="8">
        <f>S86</f>
        <v>-88771.664999999994</v>
      </c>
      <c r="T151" s="8">
        <f>T86</f>
        <v>-88771.664999999994</v>
      </c>
      <c r="U151" s="8">
        <f>U86</f>
        <v>-88771.664999999994</v>
      </c>
      <c r="V151" s="8">
        <f>V86</f>
        <v>-88771.664999999994</v>
      </c>
      <c r="W151" s="8">
        <f>W86</f>
        <v>-52816.665000000023</v>
      </c>
      <c r="X151" s="8">
        <f>X86</f>
        <v>-88771.664999999994</v>
      </c>
      <c r="Y151" s="8">
        <f>Y86</f>
        <v>-88771.664999999994</v>
      </c>
      <c r="Z151" s="8">
        <f>Z86</f>
        <v>-44028.24500000001</v>
      </c>
      <c r="AA151" s="8">
        <f>AA86</f>
        <v>-114894.99249999999</v>
      </c>
      <c r="AB151" s="8">
        <f>AB86</f>
        <v>-114894.99249999999</v>
      </c>
      <c r="AC151" s="8">
        <f>AC86</f>
        <v>-57519.992499999993</v>
      </c>
      <c r="AD151" s="8">
        <f>AD86</f>
        <v>-138824.1925</v>
      </c>
      <c r="AE151" s="8">
        <f>AE86</f>
        <v>-114894.99249999999</v>
      </c>
      <c r="AF151" s="8">
        <f>AF86</f>
        <v>-114894.99249999999</v>
      </c>
      <c r="AG151" s="8">
        <f>AG86</f>
        <v>-124394.99249999999</v>
      </c>
      <c r="AH151" s="8">
        <f>AH86</f>
        <v>-124394.99249999999</v>
      </c>
      <c r="AI151" s="8">
        <f>AI86</f>
        <v>-146243.39250000002</v>
      </c>
      <c r="AJ151" s="8">
        <f>AJ86</f>
        <v>-124394.99249999999</v>
      </c>
      <c r="AK151" s="8">
        <f>AK86</f>
        <v>-124394.99249999999</v>
      </c>
      <c r="AL151" s="8">
        <f>AL86</f>
        <v>-124394.99249999999</v>
      </c>
      <c r="AM151" s="8">
        <f>AM86</f>
        <v>-126882.89234999999</v>
      </c>
      <c r="AN151" s="8">
        <f>AN86</f>
        <v>-126882.89234999999</v>
      </c>
      <c r="AO151" s="8">
        <f>AO86</f>
        <v>-126882.89234999999</v>
      </c>
      <c r="AP151" s="8">
        <f>AP86</f>
        <v>-151290.67634999999</v>
      </c>
      <c r="AQ151" s="8">
        <f>AQ86</f>
        <v>-126882.89234999999</v>
      </c>
      <c r="AR151" s="8">
        <f>AR86</f>
        <v>-126882.89234999998</v>
      </c>
      <c r="AS151" s="8">
        <f>AS86</f>
        <v>-126882.89234999999</v>
      </c>
      <c r="AT151" s="8">
        <f>AT86</f>
        <v>-126882.89234999999</v>
      </c>
      <c r="AU151" s="8">
        <f>AU86</f>
        <v>-149168.26035</v>
      </c>
      <c r="AV151" s="8">
        <f>AV86</f>
        <v>-126882.89234999999</v>
      </c>
      <c r="AW151" s="8">
        <f>AW86</f>
        <v>-126882.89234999999</v>
      </c>
      <c r="AX151" s="8">
        <f>AX86</f>
        <v>-126882.89234999998</v>
      </c>
      <c r="AY151" s="8">
        <f>AY86</f>
        <v>-129420.55019699999</v>
      </c>
      <c r="AZ151" s="8">
        <f>AZ86</f>
        <v>-129420.55019699999</v>
      </c>
      <c r="BA151" s="8">
        <f>BA86</f>
        <v>-129420.55019699992</v>
      </c>
      <c r="BB151" s="8">
        <f>BB86</f>
        <v>-154316.48987699999</v>
      </c>
      <c r="BC151" s="8">
        <f>BC86</f>
        <v>-129420.55019699999</v>
      </c>
      <c r="BD151" s="8">
        <f>BD86</f>
        <v>-129420.55019699998</v>
      </c>
      <c r="BE151" s="8">
        <f>BE86</f>
        <v>-129420.55019699999</v>
      </c>
      <c r="BF151" s="8">
        <f>BF86</f>
        <v>-129420.55019699999</v>
      </c>
      <c r="BG151" s="8">
        <f>BG86</f>
        <v>-152151.62555699999</v>
      </c>
      <c r="BH151" s="8">
        <f>BH86</f>
        <v>-129420.55019699999</v>
      </c>
      <c r="BI151" s="8">
        <f>BI86</f>
        <v>-129420.55019699999</v>
      </c>
      <c r="BJ151" s="8">
        <f>BJ86</f>
        <v>-129420.55019699998</v>
      </c>
      <c r="BK151" s="8">
        <f>BK86</f>
        <v>-132008.96120094002</v>
      </c>
      <c r="BL151" s="8">
        <f>BL86</f>
        <v>-132008.96120094002</v>
      </c>
      <c r="BM151" s="8">
        <f>BM86</f>
        <v>-132008.96120094002</v>
      </c>
      <c r="BN151" s="8">
        <f>BN86</f>
        <v>-157402.81967454002</v>
      </c>
      <c r="BO151" s="8">
        <f>BO86</f>
        <v>-132008.96120094002</v>
      </c>
      <c r="BP151" s="8">
        <f>BP86</f>
        <v>-80495.441200939997</v>
      </c>
      <c r="BQ151" s="8">
        <f>BQ86</f>
        <v>-132008.96120094002</v>
      </c>
      <c r="BR151" s="8">
        <f>BR86</f>
        <v>-132008.96120094002</v>
      </c>
      <c r="BS151" s="8">
        <f>BS86</f>
        <v>-87432.658068140008</v>
      </c>
      <c r="BT151" s="8">
        <f>BT86</f>
        <v>-132008.96120094002</v>
      </c>
      <c r="BU151" s="8">
        <f>BU86</f>
        <v>-132008.96120094002</v>
      </c>
      <c r="BV151" s="8">
        <f>BV86</f>
        <v>-64246.961200940015</v>
      </c>
      <c r="BW151" s="8">
        <f>BW86</f>
        <v>-134649.14042495881</v>
      </c>
      <c r="BX151" s="8">
        <f>BX86</f>
        <v>-134649.14042495881</v>
      </c>
      <c r="BY151" s="8">
        <f>BY86</f>
        <v>-66887.140424958779</v>
      </c>
      <c r="BZ151" s="8">
        <f>BZ86</f>
        <v>-160550.8760680308</v>
      </c>
      <c r="CA151" s="8">
        <f>CA86</f>
        <v>-134649.14042495881</v>
      </c>
      <c r="CB151" s="8">
        <f>CB86</f>
        <v>-58150.140424958779</v>
      </c>
      <c r="CC151" s="8">
        <f>CC86</f>
        <v>-134649.14042495881</v>
      </c>
      <c r="CD151" s="8">
        <f>CD86</f>
        <v>-134649.14042495881</v>
      </c>
      <c r="CE151" s="8">
        <f>CE86</f>
        <v>-81799.551229502773</v>
      </c>
      <c r="CF151" s="8">
        <f>CF86</f>
        <v>-134649.14042495881</v>
      </c>
      <c r="CG151" s="8">
        <f>CG86</f>
        <v>-134649.14042495881</v>
      </c>
      <c r="CH151" s="8">
        <f>CH86</f>
        <v>-51542.113818479585</v>
      </c>
      <c r="CI151" s="23"/>
      <c r="CJ151" s="38"/>
      <c r="CK151" s="38"/>
    </row>
    <row r="152" spans="1:89" ht="15" customHeight="1" x14ac:dyDescent="0.25">
      <c r="A152" s="7" t="s">
        <v>226</v>
      </c>
      <c r="B152" s="22"/>
      <c r="C152" s="8">
        <f t="shared" ref="C152:AH152" si="68">C100</f>
        <v>0</v>
      </c>
      <c r="D152" s="8">
        <f t="shared" si="68"/>
        <v>0</v>
      </c>
      <c r="E152" s="8">
        <f t="shared" si="68"/>
        <v>0</v>
      </c>
      <c r="F152" s="8">
        <f t="shared" si="68"/>
        <v>0</v>
      </c>
      <c r="G152" s="8">
        <f t="shared" si="68"/>
        <v>0</v>
      </c>
      <c r="H152" s="8">
        <f t="shared" si="68"/>
        <v>0</v>
      </c>
      <c r="I152" s="8">
        <f t="shared" si="68"/>
        <v>-130000</v>
      </c>
      <c r="J152" s="8">
        <f t="shared" si="68"/>
        <v>-130000</v>
      </c>
      <c r="K152" s="8">
        <f t="shared" si="68"/>
        <v>-130000</v>
      </c>
      <c r="L152" s="8">
        <f t="shared" si="68"/>
        <v>-130000</v>
      </c>
      <c r="M152" s="8">
        <f t="shared" si="68"/>
        <v>-130000</v>
      </c>
      <c r="N152" s="8">
        <f t="shared" si="68"/>
        <v>-130000</v>
      </c>
      <c r="O152" s="8">
        <f t="shared" si="68"/>
        <v>-130000</v>
      </c>
      <c r="P152" s="8">
        <f t="shared" si="68"/>
        <v>-130000</v>
      </c>
      <c r="Q152" s="8">
        <f t="shared" si="68"/>
        <v>-130000</v>
      </c>
      <c r="R152" s="8">
        <f t="shared" si="68"/>
        <v>-130000</v>
      </c>
      <c r="S152" s="8">
        <f t="shared" si="68"/>
        <v>-130000</v>
      </c>
      <c r="T152" s="8">
        <f t="shared" si="68"/>
        <v>-130000</v>
      </c>
      <c r="U152" s="8">
        <f t="shared" si="68"/>
        <v>-130000</v>
      </c>
      <c r="V152" s="8">
        <f t="shared" si="68"/>
        <v>-130000</v>
      </c>
      <c r="W152" s="8">
        <f t="shared" si="68"/>
        <v>-65969.24328544506</v>
      </c>
      <c r="X152" s="8">
        <f t="shared" si="68"/>
        <v>0</v>
      </c>
      <c r="Y152" s="8">
        <f t="shared" si="68"/>
        <v>0</v>
      </c>
      <c r="Z152" s="8">
        <f t="shared" si="68"/>
        <v>0</v>
      </c>
      <c r="AA152" s="8">
        <f t="shared" si="68"/>
        <v>0</v>
      </c>
      <c r="AB152" s="8">
        <f t="shared" si="68"/>
        <v>0</v>
      </c>
      <c r="AC152" s="8">
        <f t="shared" si="68"/>
        <v>0</v>
      </c>
      <c r="AD152" s="8">
        <f t="shared" si="68"/>
        <v>0</v>
      </c>
      <c r="AE152" s="8">
        <f t="shared" si="68"/>
        <v>0</v>
      </c>
      <c r="AF152" s="8">
        <f t="shared" si="68"/>
        <v>0</v>
      </c>
      <c r="AG152" s="8">
        <f t="shared" si="68"/>
        <v>0</v>
      </c>
      <c r="AH152" s="8">
        <f t="shared" si="68"/>
        <v>0</v>
      </c>
      <c r="AI152" s="8">
        <f t="shared" ref="AI152:BN152" si="69">AI100</f>
        <v>0</v>
      </c>
      <c r="AJ152" s="8">
        <f t="shared" si="69"/>
        <v>0</v>
      </c>
      <c r="AK152" s="8">
        <f t="shared" si="69"/>
        <v>0</v>
      </c>
      <c r="AL152" s="8">
        <f t="shared" si="69"/>
        <v>0</v>
      </c>
      <c r="AM152" s="8">
        <f t="shared" si="69"/>
        <v>0</v>
      </c>
      <c r="AN152" s="8">
        <f t="shared" si="69"/>
        <v>0</v>
      </c>
      <c r="AO152" s="8">
        <f t="shared" si="69"/>
        <v>0</v>
      </c>
      <c r="AP152" s="8">
        <f t="shared" si="69"/>
        <v>0</v>
      </c>
      <c r="AQ152" s="8">
        <f t="shared" si="69"/>
        <v>0</v>
      </c>
      <c r="AR152" s="8">
        <f t="shared" si="69"/>
        <v>0</v>
      </c>
      <c r="AS152" s="8">
        <f t="shared" si="69"/>
        <v>0</v>
      </c>
      <c r="AT152" s="8">
        <f t="shared" si="69"/>
        <v>0</v>
      </c>
      <c r="AU152" s="8">
        <f t="shared" si="69"/>
        <v>0</v>
      </c>
      <c r="AV152" s="8">
        <f t="shared" si="69"/>
        <v>0</v>
      </c>
      <c r="AW152" s="8">
        <f t="shared" si="69"/>
        <v>0</v>
      </c>
      <c r="AX152" s="8">
        <f t="shared" si="69"/>
        <v>0</v>
      </c>
      <c r="AY152" s="8">
        <f t="shared" si="69"/>
        <v>0</v>
      </c>
      <c r="AZ152" s="8">
        <f t="shared" si="69"/>
        <v>0</v>
      </c>
      <c r="BA152" s="8">
        <f t="shared" si="69"/>
        <v>0</v>
      </c>
      <c r="BB152" s="8">
        <f t="shared" si="69"/>
        <v>0</v>
      </c>
      <c r="BC152" s="8">
        <f t="shared" si="69"/>
        <v>0</v>
      </c>
      <c r="BD152" s="8">
        <f t="shared" si="69"/>
        <v>0</v>
      </c>
      <c r="BE152" s="8">
        <f t="shared" si="69"/>
        <v>0</v>
      </c>
      <c r="BF152" s="8">
        <f t="shared" si="69"/>
        <v>0</v>
      </c>
      <c r="BG152" s="8">
        <f t="shared" si="69"/>
        <v>0</v>
      </c>
      <c r="BH152" s="8">
        <f t="shared" si="69"/>
        <v>0</v>
      </c>
      <c r="BI152" s="8">
        <f t="shared" si="69"/>
        <v>0</v>
      </c>
      <c r="BJ152" s="8">
        <f t="shared" si="69"/>
        <v>0</v>
      </c>
      <c r="BK152" s="8">
        <f t="shared" si="69"/>
        <v>0</v>
      </c>
      <c r="BL152" s="8">
        <f t="shared" si="69"/>
        <v>0</v>
      </c>
      <c r="BM152" s="8">
        <f t="shared" si="69"/>
        <v>0</v>
      </c>
      <c r="BN152" s="8">
        <f t="shared" si="69"/>
        <v>0</v>
      </c>
      <c r="BO152" s="8">
        <f t="shared" ref="BO152:CH152" si="70">BO100</f>
        <v>0</v>
      </c>
      <c r="BP152" s="8">
        <f t="shared" si="70"/>
        <v>0</v>
      </c>
      <c r="BQ152" s="8">
        <f t="shared" si="70"/>
        <v>0</v>
      </c>
      <c r="BR152" s="8">
        <f t="shared" si="70"/>
        <v>0</v>
      </c>
      <c r="BS152" s="8">
        <f t="shared" si="70"/>
        <v>0</v>
      </c>
      <c r="BT152" s="8">
        <f t="shared" si="70"/>
        <v>0</v>
      </c>
      <c r="BU152" s="8">
        <f t="shared" si="70"/>
        <v>0</v>
      </c>
      <c r="BV152" s="8">
        <f t="shared" si="70"/>
        <v>0</v>
      </c>
      <c r="BW152" s="8">
        <f t="shared" si="70"/>
        <v>0</v>
      </c>
      <c r="BX152" s="8">
        <f t="shared" si="70"/>
        <v>0</v>
      </c>
      <c r="BY152" s="8">
        <f t="shared" si="70"/>
        <v>0</v>
      </c>
      <c r="BZ152" s="8">
        <f t="shared" si="70"/>
        <v>0</v>
      </c>
      <c r="CA152" s="8">
        <f t="shared" si="70"/>
        <v>0</v>
      </c>
      <c r="CB152" s="8">
        <f t="shared" si="70"/>
        <v>0</v>
      </c>
      <c r="CC152" s="8">
        <f t="shared" si="70"/>
        <v>0</v>
      </c>
      <c r="CD152" s="8">
        <f t="shared" si="70"/>
        <v>0</v>
      </c>
      <c r="CE152" s="8">
        <f t="shared" si="70"/>
        <v>0</v>
      </c>
      <c r="CF152" s="8">
        <f t="shared" si="70"/>
        <v>0</v>
      </c>
      <c r="CG152" s="8">
        <f t="shared" si="70"/>
        <v>0</v>
      </c>
      <c r="CH152" s="8">
        <f t="shared" si="70"/>
        <v>0</v>
      </c>
      <c r="CI152" s="23"/>
      <c r="CJ152" s="38"/>
      <c r="CK152" s="38"/>
    </row>
    <row r="153" spans="1:89" ht="15" customHeight="1" x14ac:dyDescent="0.25">
      <c r="A153" s="7" t="s">
        <v>227</v>
      </c>
      <c r="B153" s="22"/>
      <c r="C153" s="8">
        <f t="shared" ref="C153:AH153" si="71">C106</f>
        <v>0</v>
      </c>
      <c r="D153" s="8">
        <f t="shared" si="71"/>
        <v>0</v>
      </c>
      <c r="E153" s="8">
        <f t="shared" si="71"/>
        <v>0</v>
      </c>
      <c r="F153" s="8">
        <f t="shared" si="71"/>
        <v>0</v>
      </c>
      <c r="G153" s="8">
        <f t="shared" si="71"/>
        <v>0</v>
      </c>
      <c r="H153" s="8">
        <f t="shared" si="71"/>
        <v>0</v>
      </c>
      <c r="I153" s="8">
        <f t="shared" si="71"/>
        <v>0</v>
      </c>
      <c r="J153" s="8">
        <f t="shared" si="71"/>
        <v>0</v>
      </c>
      <c r="K153" s="8">
        <f t="shared" si="71"/>
        <v>0</v>
      </c>
      <c r="L153" s="8">
        <f t="shared" si="71"/>
        <v>0</v>
      </c>
      <c r="M153" s="8">
        <f t="shared" si="71"/>
        <v>-250000</v>
      </c>
      <c r="N153" s="8">
        <f t="shared" si="71"/>
        <v>0</v>
      </c>
      <c r="O153" s="8">
        <f t="shared" si="71"/>
        <v>0</v>
      </c>
      <c r="P153" s="8">
        <f t="shared" si="71"/>
        <v>0</v>
      </c>
      <c r="Q153" s="8">
        <f t="shared" si="71"/>
        <v>0</v>
      </c>
      <c r="R153" s="8">
        <f t="shared" si="71"/>
        <v>0</v>
      </c>
      <c r="S153" s="8">
        <f t="shared" si="71"/>
        <v>0</v>
      </c>
      <c r="T153" s="8">
        <f t="shared" si="71"/>
        <v>0</v>
      </c>
      <c r="U153" s="8">
        <f t="shared" si="71"/>
        <v>0</v>
      </c>
      <c r="V153" s="8">
        <f t="shared" si="71"/>
        <v>0</v>
      </c>
      <c r="W153" s="8">
        <f t="shared" si="71"/>
        <v>0</v>
      </c>
      <c r="X153" s="8">
        <f t="shared" si="71"/>
        <v>0</v>
      </c>
      <c r="Y153" s="8">
        <f t="shared" si="71"/>
        <v>-250000</v>
      </c>
      <c r="Z153" s="8">
        <f t="shared" si="71"/>
        <v>0</v>
      </c>
      <c r="AA153" s="8">
        <f t="shared" si="71"/>
        <v>0</v>
      </c>
      <c r="AB153" s="8">
        <f t="shared" si="71"/>
        <v>0</v>
      </c>
      <c r="AC153" s="8">
        <f t="shared" si="71"/>
        <v>0</v>
      </c>
      <c r="AD153" s="8">
        <f t="shared" si="71"/>
        <v>0</v>
      </c>
      <c r="AE153" s="8">
        <f t="shared" si="71"/>
        <v>0</v>
      </c>
      <c r="AF153" s="8">
        <f t="shared" si="71"/>
        <v>0</v>
      </c>
      <c r="AG153" s="8">
        <f t="shared" si="71"/>
        <v>0</v>
      </c>
      <c r="AH153" s="8">
        <f t="shared" si="71"/>
        <v>0</v>
      </c>
      <c r="AI153" s="8">
        <f t="shared" ref="AI153:BN153" si="72">AI106</f>
        <v>0</v>
      </c>
      <c r="AJ153" s="8">
        <f t="shared" si="72"/>
        <v>0</v>
      </c>
      <c r="AK153" s="8">
        <f t="shared" si="72"/>
        <v>0</v>
      </c>
      <c r="AL153" s="8">
        <f t="shared" si="72"/>
        <v>0</v>
      </c>
      <c r="AM153" s="8">
        <f t="shared" si="72"/>
        <v>0</v>
      </c>
      <c r="AN153" s="8">
        <f t="shared" si="72"/>
        <v>0</v>
      </c>
      <c r="AO153" s="8">
        <f t="shared" si="72"/>
        <v>0</v>
      </c>
      <c r="AP153" s="8">
        <f t="shared" si="72"/>
        <v>0</v>
      </c>
      <c r="AQ153" s="8">
        <f t="shared" si="72"/>
        <v>0</v>
      </c>
      <c r="AR153" s="8">
        <f t="shared" si="72"/>
        <v>0</v>
      </c>
      <c r="AS153" s="8">
        <f t="shared" si="72"/>
        <v>0</v>
      </c>
      <c r="AT153" s="8">
        <f t="shared" si="72"/>
        <v>0</v>
      </c>
      <c r="AU153" s="8">
        <f t="shared" si="72"/>
        <v>0</v>
      </c>
      <c r="AV153" s="8">
        <f t="shared" si="72"/>
        <v>0</v>
      </c>
      <c r="AW153" s="8">
        <f t="shared" si="72"/>
        <v>0</v>
      </c>
      <c r="AX153" s="8">
        <f t="shared" si="72"/>
        <v>0</v>
      </c>
      <c r="AY153" s="8">
        <f t="shared" si="72"/>
        <v>0</v>
      </c>
      <c r="AZ153" s="8">
        <f t="shared" si="72"/>
        <v>0</v>
      </c>
      <c r="BA153" s="8">
        <f t="shared" si="72"/>
        <v>0</v>
      </c>
      <c r="BB153" s="8">
        <f t="shared" si="72"/>
        <v>0</v>
      </c>
      <c r="BC153" s="8">
        <f t="shared" si="72"/>
        <v>0</v>
      </c>
      <c r="BD153" s="8">
        <f t="shared" si="72"/>
        <v>0</v>
      </c>
      <c r="BE153" s="8">
        <f t="shared" si="72"/>
        <v>0</v>
      </c>
      <c r="BF153" s="8">
        <f t="shared" si="72"/>
        <v>0</v>
      </c>
      <c r="BG153" s="8">
        <f t="shared" si="72"/>
        <v>0</v>
      </c>
      <c r="BH153" s="8">
        <f t="shared" si="72"/>
        <v>0</v>
      </c>
      <c r="BI153" s="8">
        <f t="shared" si="72"/>
        <v>0</v>
      </c>
      <c r="BJ153" s="8">
        <f t="shared" si="72"/>
        <v>0</v>
      </c>
      <c r="BK153" s="8">
        <f t="shared" si="72"/>
        <v>0</v>
      </c>
      <c r="BL153" s="8">
        <f t="shared" si="72"/>
        <v>0</v>
      </c>
      <c r="BM153" s="8">
        <f t="shared" si="72"/>
        <v>0</v>
      </c>
      <c r="BN153" s="8">
        <f t="shared" si="72"/>
        <v>0</v>
      </c>
      <c r="BO153" s="8">
        <f t="shared" ref="BO153:CH153" si="73">BO106</f>
        <v>0</v>
      </c>
      <c r="BP153" s="8">
        <f t="shared" si="73"/>
        <v>0</v>
      </c>
      <c r="BQ153" s="8">
        <f t="shared" si="73"/>
        <v>0</v>
      </c>
      <c r="BR153" s="8">
        <f t="shared" si="73"/>
        <v>0</v>
      </c>
      <c r="BS153" s="8">
        <f t="shared" si="73"/>
        <v>0</v>
      </c>
      <c r="BT153" s="8">
        <f t="shared" si="73"/>
        <v>0</v>
      </c>
      <c r="BU153" s="8">
        <f t="shared" si="73"/>
        <v>0</v>
      </c>
      <c r="BV153" s="8">
        <f t="shared" si="73"/>
        <v>0</v>
      </c>
      <c r="BW153" s="8">
        <f t="shared" si="73"/>
        <v>0</v>
      </c>
      <c r="BX153" s="8">
        <f t="shared" si="73"/>
        <v>0</v>
      </c>
      <c r="BY153" s="8">
        <f t="shared" si="73"/>
        <v>0</v>
      </c>
      <c r="BZ153" s="8">
        <f t="shared" si="73"/>
        <v>0</v>
      </c>
      <c r="CA153" s="8">
        <f t="shared" si="73"/>
        <v>0</v>
      </c>
      <c r="CB153" s="8">
        <f t="shared" si="73"/>
        <v>0</v>
      </c>
      <c r="CC153" s="8">
        <f t="shared" si="73"/>
        <v>0</v>
      </c>
      <c r="CD153" s="8">
        <f t="shared" si="73"/>
        <v>0</v>
      </c>
      <c r="CE153" s="8">
        <f t="shared" si="73"/>
        <v>0</v>
      </c>
      <c r="CF153" s="8">
        <f t="shared" si="73"/>
        <v>0</v>
      </c>
      <c r="CG153" s="8">
        <f t="shared" si="73"/>
        <v>0</v>
      </c>
      <c r="CH153" s="8">
        <f t="shared" si="73"/>
        <v>0</v>
      </c>
      <c r="CI153" s="23"/>
      <c r="CJ153" s="38"/>
      <c r="CK153" s="38"/>
    </row>
    <row r="154" spans="1:89" ht="15" customHeight="1" x14ac:dyDescent="0.25">
      <c r="A154" s="7" t="s">
        <v>228</v>
      </c>
      <c r="B154" s="22"/>
      <c r="C154" s="8">
        <v>0</v>
      </c>
      <c r="D154" s="8">
        <v>0</v>
      </c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>
        <v>0</v>
      </c>
      <c r="AZ154" s="8">
        <v>0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8">
        <v>0</v>
      </c>
      <c r="BG154" s="8">
        <v>0</v>
      </c>
      <c r="BH154" s="8">
        <v>0</v>
      </c>
      <c r="BI154" s="8">
        <v>0</v>
      </c>
      <c r="BJ154" s="8">
        <v>0</v>
      </c>
      <c r="BK154" s="8">
        <v>0</v>
      </c>
      <c r="BL154" s="8">
        <v>0</v>
      </c>
      <c r="BM154" s="8">
        <v>0</v>
      </c>
      <c r="BN154" s="8">
        <v>0</v>
      </c>
      <c r="BO154" s="8">
        <v>0</v>
      </c>
      <c r="BP154" s="8">
        <v>0</v>
      </c>
      <c r="BQ154" s="8">
        <v>0</v>
      </c>
      <c r="BR154" s="8">
        <v>0</v>
      </c>
      <c r="BS154" s="8">
        <v>0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8">
        <v>0</v>
      </c>
      <c r="CA154" s="8">
        <v>0</v>
      </c>
      <c r="CB154" s="8">
        <v>0</v>
      </c>
      <c r="CC154" s="8">
        <v>0</v>
      </c>
      <c r="CD154" s="8">
        <v>0</v>
      </c>
      <c r="CE154" s="8">
        <v>0</v>
      </c>
      <c r="CF154" s="8">
        <v>0</v>
      </c>
      <c r="CG154" s="8">
        <v>0</v>
      </c>
      <c r="CH154" s="8">
        <v>0</v>
      </c>
      <c r="CI154" s="23"/>
      <c r="CJ154" s="38"/>
      <c r="CK154" s="38"/>
    </row>
    <row r="155" spans="1:89" ht="15" customHeight="1" x14ac:dyDescent="0.25">
      <c r="A155" s="39" t="s">
        <v>100</v>
      </c>
      <c r="B155" s="40"/>
      <c r="C155" s="41">
        <f t="shared" ref="C155:AH155" si="74">C150+C151+C152+C153+C154</f>
        <v>375681.15666666662</v>
      </c>
      <c r="D155" s="41">
        <f t="shared" si="74"/>
        <v>299731.15333333332</v>
      </c>
      <c r="E155" s="41">
        <f t="shared" si="74"/>
        <v>223781.15</v>
      </c>
      <c r="F155" s="41">
        <f t="shared" si="74"/>
        <v>124831.14666666668</v>
      </c>
      <c r="G155" s="41">
        <f t="shared" si="74"/>
        <v>159721.63333333336</v>
      </c>
      <c r="H155" s="41">
        <f t="shared" si="74"/>
        <v>152915.48000000004</v>
      </c>
      <c r="I155" s="41">
        <f t="shared" si="74"/>
        <v>-30183.643333333282</v>
      </c>
      <c r="J155" s="41">
        <f t="shared" si="74"/>
        <v>-222657.7666666666</v>
      </c>
      <c r="K155" s="41">
        <f t="shared" si="74"/>
        <v>-436131.8899999999</v>
      </c>
      <c r="L155" s="41">
        <f t="shared" si="74"/>
        <v>-628606.01333333319</v>
      </c>
      <c r="M155" s="41">
        <f t="shared" si="74"/>
        <v>-1071080.1366666665</v>
      </c>
      <c r="N155" s="41">
        <f t="shared" si="74"/>
        <v>-1263554.2599999998</v>
      </c>
      <c r="O155" s="41">
        <f t="shared" si="74"/>
        <v>-1458419.6749999998</v>
      </c>
      <c r="P155" s="41">
        <f t="shared" si="74"/>
        <v>-1653285.0899999999</v>
      </c>
      <c r="Q155" s="41">
        <f t="shared" si="74"/>
        <v>-1848150.5049999999</v>
      </c>
      <c r="R155" s="41">
        <f t="shared" si="74"/>
        <v>-2090382.17</v>
      </c>
      <c r="S155" s="41">
        <f t="shared" si="74"/>
        <v>-2309153.835</v>
      </c>
      <c r="T155" s="41">
        <f t="shared" si="74"/>
        <v>-2527925.5</v>
      </c>
      <c r="U155" s="41">
        <f t="shared" si="74"/>
        <v>-2746697.165</v>
      </c>
      <c r="V155" s="41">
        <f t="shared" si="74"/>
        <v>-2965468.83</v>
      </c>
      <c r="W155" s="41">
        <f t="shared" si="74"/>
        <v>-3084254.7382854451</v>
      </c>
      <c r="X155" s="41">
        <f t="shared" si="74"/>
        <v>-3173026.4032854452</v>
      </c>
      <c r="Y155" s="41">
        <f t="shared" si="74"/>
        <v>-3511798.0682854452</v>
      </c>
      <c r="Z155" s="41">
        <f t="shared" si="74"/>
        <v>-3555826.3132854453</v>
      </c>
      <c r="AA155" s="41">
        <f t="shared" si="74"/>
        <v>-3670721.3057854455</v>
      </c>
      <c r="AB155" s="41">
        <f t="shared" si="74"/>
        <v>-3785616.2982854457</v>
      </c>
      <c r="AC155" s="41">
        <f t="shared" si="74"/>
        <v>-3843136.2907854458</v>
      </c>
      <c r="AD155" s="41">
        <f t="shared" si="74"/>
        <v>-3981960.4832854457</v>
      </c>
      <c r="AE155" s="41">
        <f t="shared" si="74"/>
        <v>-4096855.4757854459</v>
      </c>
      <c r="AF155" s="41">
        <f t="shared" si="74"/>
        <v>-4211750.4682854461</v>
      </c>
      <c r="AG155" s="41">
        <f t="shared" si="74"/>
        <v>-4336145.4607854458</v>
      </c>
      <c r="AH155" s="41">
        <f t="shared" si="74"/>
        <v>-4460540.4532854455</v>
      </c>
      <c r="AI155" s="41">
        <f t="shared" ref="AI155:BN155" si="75">AI150+AI151+AI152+AI153+AI154</f>
        <v>-4606783.8457854455</v>
      </c>
      <c r="AJ155" s="41">
        <f t="shared" si="75"/>
        <v>-4731178.8382854452</v>
      </c>
      <c r="AK155" s="41">
        <f t="shared" si="75"/>
        <v>-4855573.8307854449</v>
      </c>
      <c r="AL155" s="41">
        <f t="shared" si="75"/>
        <v>-4979968.8232854446</v>
      </c>
      <c r="AM155" s="41">
        <f t="shared" si="75"/>
        <v>-5106851.715635445</v>
      </c>
      <c r="AN155" s="41">
        <f t="shared" si="75"/>
        <v>-5233734.6079854453</v>
      </c>
      <c r="AO155" s="41">
        <f t="shared" si="75"/>
        <v>-5360617.5003354456</v>
      </c>
      <c r="AP155" s="41">
        <f t="shared" si="75"/>
        <v>-5511908.1766854459</v>
      </c>
      <c r="AQ155" s="41">
        <f t="shared" si="75"/>
        <v>-5638791.0690354463</v>
      </c>
      <c r="AR155" s="41">
        <f t="shared" si="75"/>
        <v>-5765673.9613854466</v>
      </c>
      <c r="AS155" s="41">
        <f t="shared" si="75"/>
        <v>-5892556.8537354469</v>
      </c>
      <c r="AT155" s="41">
        <f t="shared" si="75"/>
        <v>-6019439.7460854473</v>
      </c>
      <c r="AU155" s="41">
        <f t="shared" si="75"/>
        <v>-6168608.0064354474</v>
      </c>
      <c r="AV155" s="41">
        <f t="shared" si="75"/>
        <v>-6295490.8987854477</v>
      </c>
      <c r="AW155" s="41">
        <f t="shared" si="75"/>
        <v>-6422373.791135448</v>
      </c>
      <c r="AX155" s="41">
        <f t="shared" si="75"/>
        <v>-6549256.6834854484</v>
      </c>
      <c r="AY155" s="41">
        <f t="shared" si="75"/>
        <v>-6678677.233682448</v>
      </c>
      <c r="AZ155" s="41">
        <f t="shared" si="75"/>
        <v>-6808097.7838794477</v>
      </c>
      <c r="BA155" s="41">
        <f t="shared" si="75"/>
        <v>-6937518.3340764474</v>
      </c>
      <c r="BB155" s="41">
        <f t="shared" si="75"/>
        <v>-7091834.8239534479</v>
      </c>
      <c r="BC155" s="41">
        <f t="shared" si="75"/>
        <v>-7221255.3741504475</v>
      </c>
      <c r="BD155" s="41">
        <f t="shared" si="75"/>
        <v>-7350675.9243474472</v>
      </c>
      <c r="BE155" s="41">
        <f t="shared" si="75"/>
        <v>-7480096.4745444469</v>
      </c>
      <c r="BF155" s="41">
        <f t="shared" si="75"/>
        <v>-7609517.0247414466</v>
      </c>
      <c r="BG155" s="41">
        <f t="shared" si="75"/>
        <v>-7761668.6502984464</v>
      </c>
      <c r="BH155" s="41">
        <f t="shared" si="75"/>
        <v>-7891089.2004954461</v>
      </c>
      <c r="BI155" s="41">
        <f t="shared" si="75"/>
        <v>-8020509.7506924458</v>
      </c>
      <c r="BJ155" s="41">
        <f t="shared" si="75"/>
        <v>-8149930.3008894455</v>
      </c>
      <c r="BK155" s="41">
        <f t="shared" si="75"/>
        <v>-8281939.2620903859</v>
      </c>
      <c r="BL155" s="41">
        <f t="shared" si="75"/>
        <v>-8413948.2232913263</v>
      </c>
      <c r="BM155" s="41">
        <f t="shared" si="75"/>
        <v>-8545957.1844922658</v>
      </c>
      <c r="BN155" s="41">
        <f t="shared" si="75"/>
        <v>-8703360.0041668061</v>
      </c>
      <c r="BO155" s="41">
        <f t="shared" ref="BO155:CT155" si="76">BO150+BO151+BO152+BO153+BO154</f>
        <v>-8835368.9653677456</v>
      </c>
      <c r="BP155" s="41">
        <f t="shared" si="76"/>
        <v>-8915864.4065686855</v>
      </c>
      <c r="BQ155" s="41">
        <f t="shared" si="76"/>
        <v>-9047873.367769625</v>
      </c>
      <c r="BR155" s="41">
        <f t="shared" si="76"/>
        <v>-9179882.3289705645</v>
      </c>
      <c r="BS155" s="41">
        <f t="shared" si="76"/>
        <v>-9267314.9870387036</v>
      </c>
      <c r="BT155" s="41">
        <f t="shared" si="76"/>
        <v>-9399323.9482396431</v>
      </c>
      <c r="BU155" s="41">
        <f t="shared" si="76"/>
        <v>-9531332.9094405826</v>
      </c>
      <c r="BV155" s="41">
        <f t="shared" si="76"/>
        <v>-9595579.8706415221</v>
      </c>
      <c r="BW155" s="41">
        <f t="shared" si="76"/>
        <v>-9730229.0110664815</v>
      </c>
      <c r="BX155" s="41">
        <f t="shared" si="76"/>
        <v>-9864878.1514914408</v>
      </c>
      <c r="BY155" s="41">
        <f t="shared" si="76"/>
        <v>-9931765.2919164002</v>
      </c>
      <c r="BZ155" s="41">
        <f t="shared" si="76"/>
        <v>-10092316.167984432</v>
      </c>
      <c r="CA155" s="41">
        <f t="shared" si="76"/>
        <v>-10226965.308409391</v>
      </c>
      <c r="CB155" s="41">
        <f t="shared" si="76"/>
        <v>-10285115.44883435</v>
      </c>
      <c r="CC155" s="41">
        <f t="shared" si="76"/>
        <v>-10419764.58925931</v>
      </c>
      <c r="CD155" s="41">
        <f t="shared" si="76"/>
        <v>-10554413.729684269</v>
      </c>
      <c r="CE155" s="41">
        <f t="shared" si="76"/>
        <v>-10636213.280913772</v>
      </c>
      <c r="CF155" s="41">
        <f t="shared" si="76"/>
        <v>-10770862.421338731</v>
      </c>
      <c r="CG155" s="41">
        <f t="shared" si="76"/>
        <v>-10905511.561763691</v>
      </c>
      <c r="CH155" s="41">
        <f t="shared" si="76"/>
        <v>-10957053.67558217</v>
      </c>
      <c r="CI155" s="23"/>
      <c r="CJ155" s="38"/>
      <c r="CK155" s="38"/>
    </row>
    <row r="156" spans="1:89" ht="15" customHeight="1" x14ac:dyDescent="0.2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3"/>
      <c r="CJ156" s="38"/>
      <c r="CK156" s="38"/>
    </row>
    <row r="157" spans="1:89" ht="15" customHeight="1" x14ac:dyDescent="0.25">
      <c r="A157" s="6" t="s">
        <v>229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23"/>
      <c r="CJ157" s="38"/>
      <c r="CK157" s="38"/>
    </row>
    <row r="158" spans="1:89" ht="15" customHeight="1" x14ac:dyDescent="0.25">
      <c r="A158" s="7" t="s">
        <v>230</v>
      </c>
      <c r="B158" s="22"/>
      <c r="C158" s="8">
        <f t="shared" ref="C158:AH158" si="77">C145+C150</f>
        <v>2103546.85</v>
      </c>
      <c r="D158" s="8">
        <f t="shared" si="77"/>
        <v>2101444.2725917064</v>
      </c>
      <c r="E158" s="8">
        <f t="shared" si="77"/>
        <v>2052760.4451834131</v>
      </c>
      <c r="F158" s="8">
        <f t="shared" si="77"/>
        <v>1965526.6177751196</v>
      </c>
      <c r="G158" s="8">
        <f t="shared" si="77"/>
        <v>2331226.851227432</v>
      </c>
      <c r="H158" s="8">
        <f t="shared" si="77"/>
        <v>2548101.313260925</v>
      </c>
      <c r="I158" s="8">
        <f t="shared" si="77"/>
        <v>2768405.9474953748</v>
      </c>
      <c r="J158" s="8">
        <f t="shared" si="77"/>
        <v>3177906.9376165872</v>
      </c>
      <c r="K158" s="8">
        <f t="shared" si="77"/>
        <v>3616336.8286847691</v>
      </c>
      <c r="L158" s="8">
        <f t="shared" si="77"/>
        <v>3811527.841752951</v>
      </c>
      <c r="M158" s="8">
        <f t="shared" si="77"/>
        <v>4027718.854821133</v>
      </c>
      <c r="N158" s="8">
        <f t="shared" si="77"/>
        <v>3993909.8678893149</v>
      </c>
      <c r="O158" s="8">
        <f t="shared" si="77"/>
        <v>4210100.8809574973</v>
      </c>
      <c r="P158" s="8">
        <f t="shared" si="77"/>
        <v>3794285.5712044667</v>
      </c>
      <c r="Q158" s="8">
        <f t="shared" si="77"/>
        <v>4170638.7364514358</v>
      </c>
      <c r="R158" s="8">
        <f t="shared" si="77"/>
        <v>4546991.9016984059</v>
      </c>
      <c r="S158" s="8">
        <f t="shared" si="77"/>
        <v>4685329.4305817392</v>
      </c>
      <c r="T158" s="8">
        <f t="shared" si="77"/>
        <v>4721191.4594650725</v>
      </c>
      <c r="U158" s="8">
        <f t="shared" si="77"/>
        <v>4757053.4883484058</v>
      </c>
      <c r="V158" s="8">
        <f t="shared" si="77"/>
        <v>4792915.5172317391</v>
      </c>
      <c r="W158" s="8">
        <f t="shared" si="77"/>
        <v>4798474.3882203354</v>
      </c>
      <c r="X158" s="8">
        <f t="shared" si="77"/>
        <v>4904019.015923487</v>
      </c>
      <c r="Y158" s="8">
        <f t="shared" si="77"/>
        <v>5039577.8869120833</v>
      </c>
      <c r="Z158" s="8">
        <f t="shared" si="77"/>
        <v>4925136.7579006795</v>
      </c>
      <c r="AA158" s="8">
        <f t="shared" si="77"/>
        <v>5048159.6888414286</v>
      </c>
      <c r="AB158" s="8">
        <f t="shared" si="77"/>
        <v>5046099.2341672219</v>
      </c>
      <c r="AC158" s="8">
        <f t="shared" si="77"/>
        <v>4962544.9278183747</v>
      </c>
      <c r="AD158" s="8">
        <f t="shared" si="77"/>
        <v>4369305.8948028591</v>
      </c>
      <c r="AE158" s="8">
        <f t="shared" si="77"/>
        <v>4418468.7217873447</v>
      </c>
      <c r="AF158" s="8">
        <f t="shared" si="77"/>
        <v>4491560.7487718295</v>
      </c>
      <c r="AG158" s="8">
        <f t="shared" si="77"/>
        <v>4564652.7757563135</v>
      </c>
      <c r="AH158" s="8">
        <f t="shared" si="77"/>
        <v>4628244.8027407983</v>
      </c>
      <c r="AI158" s="8">
        <f t="shared" ref="AI158:BN158" si="78">AI145+AI150</f>
        <v>4591157.8287783144</v>
      </c>
      <c r="AJ158" s="8">
        <f t="shared" si="78"/>
        <v>4532222.4548158301</v>
      </c>
      <c r="AK158" s="8">
        <f t="shared" si="78"/>
        <v>4332376.2081260728</v>
      </c>
      <c r="AL158" s="8">
        <f t="shared" si="78"/>
        <v>4132529.9614363154</v>
      </c>
      <c r="AM158" s="8">
        <f t="shared" si="78"/>
        <v>3932683.7147465581</v>
      </c>
      <c r="AN158" s="8">
        <f t="shared" si="78"/>
        <v>3661059.4495623987</v>
      </c>
      <c r="AO158" s="8">
        <f t="shared" si="78"/>
        <v>3389435.1843782393</v>
      </c>
      <c r="AP158" s="8">
        <f t="shared" si="78"/>
        <v>3117810.9191940799</v>
      </c>
      <c r="AQ158" s="8">
        <f t="shared" si="78"/>
        <v>2821778.8700099206</v>
      </c>
      <c r="AR158" s="8">
        <f t="shared" si="78"/>
        <v>2550154.6048257612</v>
      </c>
      <c r="AS158" s="8">
        <f t="shared" si="78"/>
        <v>2278530.3396416018</v>
      </c>
      <c r="AT158" s="8">
        <f t="shared" si="78"/>
        <v>1835441.0365786552</v>
      </c>
      <c r="AU158" s="8">
        <f t="shared" si="78"/>
        <v>1392351.7335157087</v>
      </c>
      <c r="AV158" s="8">
        <f t="shared" si="78"/>
        <v>926977.06245276239</v>
      </c>
      <c r="AW158" s="8">
        <f t="shared" si="78"/>
        <v>483887.75938981585</v>
      </c>
      <c r="AX158" s="8">
        <f t="shared" si="78"/>
        <v>40798.456326869316</v>
      </c>
      <c r="AY158" s="8">
        <f t="shared" si="78"/>
        <v>-402290.84673607722</v>
      </c>
      <c r="AZ158" s="8">
        <f t="shared" si="78"/>
        <v>-857374.8625269495</v>
      </c>
      <c r="BA158" s="8">
        <f t="shared" si="78"/>
        <v>-1312458.8783178218</v>
      </c>
      <c r="BB158" s="8">
        <f t="shared" si="78"/>
        <v>-1767542.894108694</v>
      </c>
      <c r="BC158" s="8">
        <f t="shared" si="78"/>
        <v>-2247522.8495795671</v>
      </c>
      <c r="BD158" s="8">
        <f t="shared" si="78"/>
        <v>-2702606.8653704394</v>
      </c>
      <c r="BE158" s="8">
        <f t="shared" si="78"/>
        <v>-3157690.8811613112</v>
      </c>
      <c r="BF158" s="8">
        <f t="shared" si="78"/>
        <v>-3612774.896952183</v>
      </c>
      <c r="BG158" s="8">
        <f t="shared" si="78"/>
        <v>-4067858.9127430548</v>
      </c>
      <c r="BH158" s="8">
        <f t="shared" si="78"/>
        <v>-4702320.3372272607</v>
      </c>
      <c r="BI158" s="8">
        <f t="shared" si="78"/>
        <v>-5314050.6863514651</v>
      </c>
      <c r="BJ158" s="8">
        <f t="shared" si="78"/>
        <v>-5925781.0354756713</v>
      </c>
      <c r="BK158" s="8">
        <f t="shared" si="78"/>
        <v>-6537511.3845998757</v>
      </c>
      <c r="BL158" s="8">
        <f t="shared" si="78"/>
        <v>-7161476.3407065663</v>
      </c>
      <c r="BM158" s="8">
        <f t="shared" si="78"/>
        <v>-7785441.2968132561</v>
      </c>
      <c r="BN158" s="8">
        <f t="shared" si="78"/>
        <v>-8409406.2529199459</v>
      </c>
      <c r="BO158" s="8">
        <f t="shared" ref="BO158:CH158" si="79">BO145+BO150</f>
        <v>-9058765.0675002355</v>
      </c>
      <c r="BP158" s="8">
        <f t="shared" si="79"/>
        <v>-9682730.0236069243</v>
      </c>
      <c r="BQ158" s="8">
        <f t="shared" si="79"/>
        <v>-10255181.459713615</v>
      </c>
      <c r="BR158" s="8">
        <f t="shared" si="79"/>
        <v>-10879146.415820304</v>
      </c>
      <c r="BS158" s="8">
        <f t="shared" si="79"/>
        <v>-11503111.371926993</v>
      </c>
      <c r="BT158" s="8">
        <f t="shared" si="79"/>
        <v>-12082500.024900882</v>
      </c>
      <c r="BU158" s="8">
        <f t="shared" si="79"/>
        <v>-12706464.981007572</v>
      </c>
      <c r="BV158" s="8">
        <f t="shared" si="79"/>
        <v>-13330429.937114261</v>
      </c>
      <c r="BW158" s="8">
        <f t="shared" si="79"/>
        <v>-13886632.89322095</v>
      </c>
      <c r="BX158" s="8">
        <f t="shared" si="79"/>
        <v>-14523077.148449775</v>
      </c>
      <c r="BY158" s="8">
        <f t="shared" si="79"/>
        <v>-15159521.403678598</v>
      </c>
      <c r="BZ158" s="8">
        <f t="shared" si="79"/>
        <v>-15728203.658907421</v>
      </c>
      <c r="CA158" s="8">
        <f t="shared" si="79"/>
        <v>-16390549.649779318</v>
      </c>
      <c r="CB158" s="8">
        <f t="shared" si="79"/>
        <v>-17026993.905008141</v>
      </c>
      <c r="CC158" s="8">
        <f t="shared" si="79"/>
        <v>-17586939.160236966</v>
      </c>
      <c r="CD158" s="8">
        <f t="shared" si="79"/>
        <v>-18223383.415465791</v>
      </c>
      <c r="CE158" s="8">
        <f t="shared" si="79"/>
        <v>-18859827.670694612</v>
      </c>
      <c r="CF158" s="8">
        <f t="shared" si="79"/>
        <v>-19443422.336727984</v>
      </c>
      <c r="CG158" s="8">
        <f t="shared" si="79"/>
        <v>-20079866.591956809</v>
      </c>
      <c r="CH158" s="8">
        <f t="shared" si="79"/>
        <v>-20716310.847185634</v>
      </c>
      <c r="CI158" s="23"/>
      <c r="CJ158" s="38"/>
      <c r="CK158" s="38"/>
    </row>
    <row r="159" spans="1:89" ht="15" customHeight="1" x14ac:dyDescent="0.25">
      <c r="A159" s="7" t="s">
        <v>101</v>
      </c>
      <c r="B159" s="22"/>
      <c r="C159" s="8">
        <v>0</v>
      </c>
      <c r="D159" s="8">
        <v>0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0</v>
      </c>
      <c r="L159" s="8">
        <v>0</v>
      </c>
      <c r="M159" s="8">
        <v>0</v>
      </c>
      <c r="N159" s="8">
        <f>IF((C95+D95+E95+F95+G95+H95+I95+J95+K95)&gt;0,-(C95+D95+E95+F95+G95+H95+I95+J95+K95)*0.3,0)</f>
        <v>-629394.29752588528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f>IF((L95+M95+N95+O95+P95+Q95+R95+S95+T95+U95+V95+W95)&gt;0,-(L95+M95+N95+O95+P95+Q95+R95+S95+T95+U95+V95+W95)*0.3,0)</f>
        <v>-851538.12523679389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f>IF((X95+Y95+Z95+AA95+AB95+AC95+AD95+AE95+AF95+AG95+AH95+AI95)&gt;0,-(X95+Y95+Z95+AA95+AB95+AC95+AD95+AE95+AF95+AG95+AH95+AI95)*0.3,0)</f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>
        <f>IF((AJ95+AK95+AL95+AM95+AN95+AO95+AP95+AQ95+AR95+AS95+AT95+AU95)&gt;0,-(AJ95+AK95+AL95+AM95+AN95+AO95+AP95+AQ95+AR95+AS95+AT95+AU95)*0.3,0)</f>
        <v>0</v>
      </c>
      <c r="AY159" s="8">
        <v>0</v>
      </c>
      <c r="AZ159" s="8">
        <v>0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8">
        <v>0</v>
      </c>
      <c r="BG159" s="8">
        <v>0</v>
      </c>
      <c r="BH159" s="8">
        <v>0</v>
      </c>
      <c r="BI159" s="8">
        <v>0</v>
      </c>
      <c r="BJ159" s="8">
        <f>IF((AV95+AW95+AX95+AY95+AZ95+BA95+BB95+BC95+BD95+BE95+BF95+BG95)&gt;0,-(AV95+AW95+AX95+AY95+AZ95+BA95+BB95+BC95+BD95+BE95+BF95+BG95)*0.3,0)</f>
        <v>0</v>
      </c>
      <c r="BK159" s="8">
        <v>0</v>
      </c>
      <c r="BL159" s="8">
        <v>0</v>
      </c>
      <c r="BM159" s="8">
        <v>0</v>
      </c>
      <c r="BN159" s="8">
        <v>0</v>
      </c>
      <c r="BO159" s="8">
        <v>0</v>
      </c>
      <c r="BP159" s="8">
        <v>0</v>
      </c>
      <c r="BQ159" s="8">
        <v>0</v>
      </c>
      <c r="BR159" s="8">
        <v>0</v>
      </c>
      <c r="BS159" s="8">
        <v>0</v>
      </c>
      <c r="BT159" s="8">
        <v>0</v>
      </c>
      <c r="BU159" s="8">
        <v>0</v>
      </c>
      <c r="BV159" s="8">
        <f>IF((BH95+BI95+BJ95+BK95+BL95+BM95+BN95+BO95+BP95+BQ95+BR95+BS95)&gt;0,-(BH95+BI95+BJ95+BK95+BL95+BM95+BN95+BO95+BP95+BQ95+BR95+BS95)*0.3,0)</f>
        <v>0</v>
      </c>
      <c r="BW159" s="8">
        <v>0</v>
      </c>
      <c r="BX159" s="8">
        <v>0</v>
      </c>
      <c r="BY159" s="8">
        <v>0</v>
      </c>
      <c r="BZ159" s="8">
        <v>0</v>
      </c>
      <c r="CA159" s="8">
        <v>0</v>
      </c>
      <c r="CB159" s="8">
        <v>0</v>
      </c>
      <c r="CC159" s="8">
        <v>0</v>
      </c>
      <c r="CD159" s="8">
        <v>0</v>
      </c>
      <c r="CE159" s="8">
        <v>0</v>
      </c>
      <c r="CF159" s="8">
        <v>0</v>
      </c>
      <c r="CG159" s="8">
        <v>0</v>
      </c>
      <c r="CH159" s="8">
        <f>IF((BT95+BU95+BV95+BW95+BX95+BY95+BZ95+CA95+CB95+CC95+CD95+CE95)&gt;0,-(BT95+BU95+BV95+BW95+BX95+BY95+BZ95+CA95+CB95+CC95+CD95+CE95)*0.3,0)</f>
        <v>0</v>
      </c>
      <c r="CI159" s="23"/>
      <c r="CJ159" s="38"/>
      <c r="CK159" s="38"/>
    </row>
    <row r="160" spans="1:89" ht="15" customHeight="1" x14ac:dyDescent="0.25">
      <c r="A160" s="39" t="s">
        <v>102</v>
      </c>
      <c r="B160" s="40"/>
      <c r="C160" s="41">
        <f t="shared" ref="C160:AH160" si="80">C158+C146+C151+C152+C153+C154+C159</f>
        <v>2101444.2725917064</v>
      </c>
      <c r="D160" s="41">
        <f t="shared" si="80"/>
        <v>2052760.4451834126</v>
      </c>
      <c r="E160" s="41">
        <f t="shared" si="80"/>
        <v>1965526.6177751196</v>
      </c>
      <c r="F160" s="41">
        <f t="shared" si="80"/>
        <v>2331226.851227432</v>
      </c>
      <c r="G160" s="41">
        <f t="shared" si="80"/>
        <v>2548101.313260925</v>
      </c>
      <c r="H160" s="41">
        <f t="shared" si="80"/>
        <v>2768405.9474953748</v>
      </c>
      <c r="I160" s="41">
        <f t="shared" si="80"/>
        <v>3177906.9376165867</v>
      </c>
      <c r="J160" s="41">
        <f t="shared" si="80"/>
        <v>3616336.8286847691</v>
      </c>
      <c r="K160" s="41">
        <f t="shared" si="80"/>
        <v>3811527.8417529506</v>
      </c>
      <c r="L160" s="41">
        <f t="shared" si="80"/>
        <v>4027718.854821133</v>
      </c>
      <c r="M160" s="41">
        <f t="shared" si="80"/>
        <v>3993909.8678893149</v>
      </c>
      <c r="N160" s="41">
        <f t="shared" si="80"/>
        <v>3580706.5834316118</v>
      </c>
      <c r="O160" s="41">
        <f t="shared" si="80"/>
        <v>3794285.5712044667</v>
      </c>
      <c r="P160" s="41">
        <f t="shared" si="80"/>
        <v>4170638.7364514368</v>
      </c>
      <c r="Q160" s="41">
        <f t="shared" si="80"/>
        <v>4546991.9016984059</v>
      </c>
      <c r="R160" s="41">
        <f t="shared" si="80"/>
        <v>4685329.4305817392</v>
      </c>
      <c r="S160" s="41">
        <f t="shared" si="80"/>
        <v>4721191.4594650725</v>
      </c>
      <c r="T160" s="41">
        <f t="shared" si="80"/>
        <v>4757053.4883484058</v>
      </c>
      <c r="U160" s="41">
        <f t="shared" si="80"/>
        <v>4792915.5172317391</v>
      </c>
      <c r="V160" s="41">
        <f t="shared" si="80"/>
        <v>4798474.3882203354</v>
      </c>
      <c r="W160" s="41">
        <f t="shared" si="80"/>
        <v>4904019.0159234861</v>
      </c>
      <c r="X160" s="41">
        <f t="shared" si="80"/>
        <v>5039577.8869120833</v>
      </c>
      <c r="Y160" s="41">
        <f t="shared" si="80"/>
        <v>4925136.7579006795</v>
      </c>
      <c r="Z160" s="41">
        <f t="shared" si="80"/>
        <v>4196621.5636046343</v>
      </c>
      <c r="AA160" s="41">
        <f t="shared" si="80"/>
        <v>5046099.2341672219</v>
      </c>
      <c r="AB160" s="41">
        <f t="shared" si="80"/>
        <v>4962544.9278183738</v>
      </c>
      <c r="AC160" s="41">
        <f t="shared" si="80"/>
        <v>4369305.89480286</v>
      </c>
      <c r="AD160" s="41">
        <f t="shared" si="80"/>
        <v>4418468.7217873437</v>
      </c>
      <c r="AE160" s="41">
        <f t="shared" si="80"/>
        <v>4491560.7487718295</v>
      </c>
      <c r="AF160" s="41">
        <f t="shared" si="80"/>
        <v>4564652.7757563144</v>
      </c>
      <c r="AG160" s="41">
        <f t="shared" si="80"/>
        <v>4628244.8027407983</v>
      </c>
      <c r="AH160" s="41">
        <f t="shared" si="80"/>
        <v>4591157.8287783135</v>
      </c>
      <c r="AI160" s="41">
        <f t="shared" ref="AI160:BN160" si="81">AI158+AI146+AI151+AI152+AI153+AI154+AI159</f>
        <v>4532222.4548158292</v>
      </c>
      <c r="AJ160" s="41">
        <f t="shared" si="81"/>
        <v>4332376.2081260728</v>
      </c>
      <c r="AK160" s="41">
        <f t="shared" si="81"/>
        <v>4132529.961436315</v>
      </c>
      <c r="AL160" s="41">
        <f t="shared" si="81"/>
        <v>3932683.7147465576</v>
      </c>
      <c r="AM160" s="41">
        <f t="shared" si="81"/>
        <v>3661059.4495623992</v>
      </c>
      <c r="AN160" s="41">
        <f t="shared" si="81"/>
        <v>3389435.1843782398</v>
      </c>
      <c r="AO160" s="41">
        <f t="shared" si="81"/>
        <v>3117810.9191940804</v>
      </c>
      <c r="AP160" s="41">
        <f t="shared" si="81"/>
        <v>2821778.870009921</v>
      </c>
      <c r="AQ160" s="41">
        <f t="shared" si="81"/>
        <v>2550154.6048257616</v>
      </c>
      <c r="AR160" s="41">
        <f t="shared" si="81"/>
        <v>2278530.3396416022</v>
      </c>
      <c r="AS160" s="41">
        <f t="shared" si="81"/>
        <v>1835441.036578655</v>
      </c>
      <c r="AT160" s="41">
        <f t="shared" si="81"/>
        <v>1392351.7335157085</v>
      </c>
      <c r="AU160" s="41">
        <f t="shared" si="81"/>
        <v>926977.06245276204</v>
      </c>
      <c r="AV160" s="41">
        <f t="shared" si="81"/>
        <v>483887.75938981574</v>
      </c>
      <c r="AW160" s="41">
        <f t="shared" si="81"/>
        <v>40798.456326869185</v>
      </c>
      <c r="AX160" s="41">
        <f t="shared" si="81"/>
        <v>-402290.84673607734</v>
      </c>
      <c r="AY160" s="41">
        <f t="shared" si="81"/>
        <v>-857374.8625269495</v>
      </c>
      <c r="AZ160" s="41">
        <f t="shared" si="81"/>
        <v>-1312458.8783178215</v>
      </c>
      <c r="BA160" s="41">
        <f t="shared" si="81"/>
        <v>-1767542.8941086938</v>
      </c>
      <c r="BB160" s="41">
        <f t="shared" si="81"/>
        <v>-2247522.8495795662</v>
      </c>
      <c r="BC160" s="41">
        <f t="shared" si="81"/>
        <v>-2702606.8653704394</v>
      </c>
      <c r="BD160" s="41">
        <f t="shared" si="81"/>
        <v>-3157690.8811613116</v>
      </c>
      <c r="BE160" s="41">
        <f t="shared" si="81"/>
        <v>-3612774.8969521835</v>
      </c>
      <c r="BF160" s="41">
        <f t="shared" si="81"/>
        <v>-4067858.9127430553</v>
      </c>
      <c r="BG160" s="41">
        <f t="shared" si="81"/>
        <v>-4702320.3372272607</v>
      </c>
      <c r="BH160" s="41">
        <f t="shared" si="81"/>
        <v>-5314050.686351466</v>
      </c>
      <c r="BI160" s="41">
        <f t="shared" si="81"/>
        <v>-5925781.0354756704</v>
      </c>
      <c r="BJ160" s="41">
        <f t="shared" si="81"/>
        <v>-6537511.3845998766</v>
      </c>
      <c r="BK160" s="41">
        <f t="shared" si="81"/>
        <v>-7161476.3407065654</v>
      </c>
      <c r="BL160" s="41">
        <f t="shared" si="81"/>
        <v>-7785441.2968132561</v>
      </c>
      <c r="BM160" s="41">
        <f t="shared" si="81"/>
        <v>-8409406.2529199459</v>
      </c>
      <c r="BN160" s="41">
        <f t="shared" si="81"/>
        <v>-9058765.0675002355</v>
      </c>
      <c r="BO160" s="41">
        <f t="shared" ref="BO160:CT160" si="82">BO158+BO146+BO151+BO152+BO153+BO154+BO159</f>
        <v>-9682730.0236069243</v>
      </c>
      <c r="BP160" s="41">
        <f t="shared" si="82"/>
        <v>-10255181.459713614</v>
      </c>
      <c r="BQ160" s="41">
        <f t="shared" si="82"/>
        <v>-10879146.415820304</v>
      </c>
      <c r="BR160" s="41">
        <f t="shared" si="82"/>
        <v>-11503111.371926993</v>
      </c>
      <c r="BS160" s="41">
        <f t="shared" si="82"/>
        <v>-12082500.024900882</v>
      </c>
      <c r="BT160" s="41">
        <f t="shared" si="82"/>
        <v>-12706464.98100757</v>
      </c>
      <c r="BU160" s="41">
        <f t="shared" si="82"/>
        <v>-13330429.937114261</v>
      </c>
      <c r="BV160" s="41">
        <f t="shared" si="82"/>
        <v>-13886632.89322095</v>
      </c>
      <c r="BW160" s="41">
        <f t="shared" si="82"/>
        <v>-14523077.148449775</v>
      </c>
      <c r="BX160" s="41">
        <f t="shared" si="82"/>
        <v>-15159521.4036786</v>
      </c>
      <c r="BY160" s="41">
        <f t="shared" si="82"/>
        <v>-15728203.658907423</v>
      </c>
      <c r="BZ160" s="41">
        <f t="shared" si="82"/>
        <v>-16390549.649779318</v>
      </c>
      <c r="CA160" s="41">
        <f t="shared" si="82"/>
        <v>-17026993.905008141</v>
      </c>
      <c r="CB160" s="41">
        <f t="shared" si="82"/>
        <v>-17586939.160236966</v>
      </c>
      <c r="CC160" s="41">
        <f t="shared" si="82"/>
        <v>-18223383.415465791</v>
      </c>
      <c r="CD160" s="41">
        <f t="shared" si="82"/>
        <v>-18859827.670694616</v>
      </c>
      <c r="CE160" s="41">
        <f t="shared" si="82"/>
        <v>-19443422.336727981</v>
      </c>
      <c r="CF160" s="41">
        <f t="shared" si="82"/>
        <v>-20079866.591956809</v>
      </c>
      <c r="CG160" s="41">
        <f t="shared" si="82"/>
        <v>-20716310.847185634</v>
      </c>
      <c r="CH160" s="41">
        <f t="shared" si="82"/>
        <v>-21269648.075807977</v>
      </c>
      <c r="CI160" s="23"/>
      <c r="CJ160" s="38"/>
      <c r="CK160" s="38"/>
    </row>
    <row r="161" spans="1:89" ht="15" customHeight="1" x14ac:dyDescent="0.2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3"/>
      <c r="CJ161" s="38"/>
      <c r="CK161" s="38"/>
    </row>
    <row r="162" spans="1:89" ht="15" customHeight="1" x14ac:dyDescent="0.25">
      <c r="A162" s="42" t="s">
        <v>231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38"/>
      <c r="CK162" s="38"/>
    </row>
    <row r="163" spans="1:89" ht="15" customHeight="1" x14ac:dyDescent="0.25">
      <c r="A163" s="43" t="s">
        <v>232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38"/>
      <c r="CK163" s="38"/>
    </row>
    <row r="164" spans="1:89" ht="15" customHeight="1" x14ac:dyDescent="0.25">
      <c r="A164" s="44" t="s">
        <v>233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38"/>
      <c r="CK164" s="38"/>
    </row>
    <row r="165" spans="1:89" ht="15" customHeight="1" x14ac:dyDescent="0.25">
      <c r="A165" s="44" t="s">
        <v>234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38"/>
      <c r="CK165" s="38"/>
    </row>
    <row r="166" spans="1:89" ht="15" customHeight="1" x14ac:dyDescent="0.25">
      <c r="A166" s="44" t="s">
        <v>235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38"/>
      <c r="CK166" s="38"/>
    </row>
    <row r="167" spans="1:89" ht="15" customHeight="1" x14ac:dyDescent="0.25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/>
      <c r="BR167" s="38"/>
      <c r="BS167" s="38"/>
      <c r="BT167" s="38"/>
      <c r="BU167" s="38"/>
      <c r="BV167" s="38"/>
      <c r="BW167" s="38"/>
      <c r="BX167" s="38"/>
      <c r="BY167" s="38"/>
      <c r="BZ167" s="38"/>
      <c r="CA167" s="38"/>
      <c r="CB167" s="38"/>
      <c r="CC167" s="38"/>
      <c r="CD167" s="38"/>
      <c r="CE167" s="38"/>
      <c r="CF167" s="38"/>
      <c r="CG167" s="38"/>
      <c r="CH167" s="38"/>
      <c r="CI167" s="38"/>
      <c r="CJ167" s="38"/>
      <c r="CK167" s="38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3" activePane="bottomRight" state="frozen"/>
      <selection pane="topRight" activeCell="B1" sqref="B1"/>
      <selection pane="bottomLeft" activeCell="A15" sqref="A15"/>
      <selection pane="bottomRight" activeCell="J21" sqref="J21"/>
    </sheetView>
  </sheetViews>
  <sheetFormatPr defaultColWidth="8.7109375" defaultRowHeight="15" customHeight="1" x14ac:dyDescent="0.25"/>
  <cols>
    <col min="1" max="1" width="30" customWidth="1"/>
    <col min="2" max="29" width="14.7109375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180" t="s">
        <v>236</v>
      </c>
      <c r="B1" s="181"/>
      <c r="C1" s="181"/>
      <c r="D1" s="181"/>
      <c r="E1" s="18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237</v>
      </c>
      <c r="C2" s="3" t="s">
        <v>238</v>
      </c>
      <c r="D2" s="3" t="s">
        <v>239</v>
      </c>
      <c r="E2" s="3" t="s">
        <v>240</v>
      </c>
      <c r="F2" s="3" t="s">
        <v>241</v>
      </c>
      <c r="G2" s="3" t="s">
        <v>242</v>
      </c>
      <c r="H2" s="3" t="s">
        <v>243</v>
      </c>
      <c r="I2" s="3" t="s">
        <v>244</v>
      </c>
      <c r="J2" s="3" t="s">
        <v>245</v>
      </c>
      <c r="K2" s="3" t="s">
        <v>246</v>
      </c>
      <c r="L2" s="3" t="s">
        <v>247</v>
      </c>
      <c r="M2" s="3" t="s">
        <v>248</v>
      </c>
      <c r="N2" s="3" t="s">
        <v>249</v>
      </c>
      <c r="O2" s="3" t="s">
        <v>250</v>
      </c>
      <c r="P2" s="3" t="s">
        <v>251</v>
      </c>
      <c r="Q2" s="3" t="s">
        <v>252</v>
      </c>
      <c r="R2" s="3" t="s">
        <v>253</v>
      </c>
      <c r="S2" s="3" t="s">
        <v>254</v>
      </c>
      <c r="T2" s="3" t="s">
        <v>255</v>
      </c>
      <c r="U2" s="3" t="s">
        <v>256</v>
      </c>
      <c r="V2" s="3" t="s">
        <v>257</v>
      </c>
      <c r="W2" s="3" t="s">
        <v>258</v>
      </c>
      <c r="X2" s="3" t="s">
        <v>259</v>
      </c>
      <c r="Y2" s="3" t="s">
        <v>260</v>
      </c>
      <c r="Z2" s="3" t="s">
        <v>261</v>
      </c>
      <c r="AA2" s="3" t="s">
        <v>262</v>
      </c>
      <c r="AB2" s="3" t="s">
        <v>263</v>
      </c>
      <c r="AC2" s="3" t="s">
        <v>264</v>
      </c>
    </row>
    <row r="3" spans="1:29" ht="15" customHeight="1" x14ac:dyDescent="0.25">
      <c r="A3" s="4" t="s">
        <v>67</v>
      </c>
      <c r="B3" s="45">
        <f>Model!C7+Model!D7+Model!E7</f>
        <v>12757009.572693285</v>
      </c>
      <c r="C3" s="45">
        <f>Model!F7+Model!G7+Model!H7</f>
        <v>17468767.125733994</v>
      </c>
      <c r="D3" s="45">
        <f>Model!I7+Model!J7+Model!K7</f>
        <v>22569352.983079914</v>
      </c>
      <c r="E3" s="45">
        <f>Model!L7+Model!M7+Model!N7</f>
        <v>24875198.08992561</v>
      </c>
      <c r="F3" s="45">
        <f>Model!O7+Model!P7+Model!Q7</f>
        <v>28017837.383282244</v>
      </c>
      <c r="G3" s="45">
        <f>Model!R7+Model!S7+Model!T7</f>
        <v>24784936.501510978</v>
      </c>
      <c r="H3" s="45">
        <f>Model!U7+Model!V7+Model!W7</f>
        <v>22354845.670359999</v>
      </c>
      <c r="I3" s="45">
        <f>Model!X7+Model!Y7+Model!Z7</f>
        <v>18455897.613310002</v>
      </c>
      <c r="J3" s="45">
        <f>Model!AA7+Model!AB7+Model!AC7</f>
        <v>13569035.117488001</v>
      </c>
      <c r="K3" s="45">
        <f>Model!AD7+Model!AE7+Model!AF7</f>
        <v>10431100.051765</v>
      </c>
      <c r="L3" s="45">
        <f>Model!AG7+Model!AH7+Model!AI7</f>
        <v>10532644.011073001</v>
      </c>
      <c r="M3" s="45">
        <f>Model!AJ7+Model!AK7+Model!AL7</f>
        <v>10209949.058483999</v>
      </c>
      <c r="N3" s="45">
        <f>Model!AM7+Model!AN7+Model!AO7</f>
        <v>8960352.4882939979</v>
      </c>
      <c r="O3" s="45">
        <f>Model!AP7+Model!AQ7+Model!AR7</f>
        <v>8205948.9219159996</v>
      </c>
      <c r="P3" s="45">
        <f>Model!AS7+Model!AT7+Model!AU7</f>
        <v>5517576.3560720002</v>
      </c>
      <c r="Q3" s="45">
        <f>Model!AV7+Model!AW7+Model!AX7</f>
        <v>4898042.6140799997</v>
      </c>
      <c r="R3" s="45">
        <f>Model!AY7+Model!AZ7+Model!BA7</f>
        <v>3976537.3492240002</v>
      </c>
      <c r="S3" s="45">
        <f>Model!BB7+Model!BC7+Model!BD7</f>
        <v>2952513.9516399996</v>
      </c>
      <c r="T3" s="45">
        <f>Model!BE7+Model!BF7+Model!BG7</f>
        <v>1431656.0052080001</v>
      </c>
      <c r="U3" s="45">
        <f>Model!BH7+Model!BI7+Model!BJ7</f>
        <v>0</v>
      </c>
      <c r="V3" s="45">
        <f>Model!BK7+Model!BL7+Model!BM7</f>
        <v>0</v>
      </c>
      <c r="W3" s="45">
        <f>Model!BN7+Model!BO7+Model!BP7</f>
        <v>0</v>
      </c>
      <c r="X3" s="45">
        <f>Model!BQ7+Model!BR7+Model!BS7</f>
        <v>0</v>
      </c>
      <c r="Y3" s="45">
        <f>Model!BT7+Model!BU7+Model!BV7</f>
        <v>0</v>
      </c>
      <c r="Z3" s="45">
        <f>Model!BW7+Model!BX7+Model!BY7</f>
        <v>0</v>
      </c>
      <c r="AA3" s="45">
        <f>Model!BZ7+Model!CA7+Model!CB7</f>
        <v>0</v>
      </c>
      <c r="AB3" s="45">
        <f>Model!CC7+Model!CD7+Model!CE7</f>
        <v>0</v>
      </c>
      <c r="AC3" s="45">
        <f>Model!CF7+Model!CG7+Model!CH7</f>
        <v>0</v>
      </c>
    </row>
    <row r="4" spans="1:29" ht="15" customHeight="1" x14ac:dyDescent="0.25">
      <c r="A4" s="6" t="s">
        <v>68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69</v>
      </c>
      <c r="B5" s="8">
        <f>Model!C8+Model!D8+Model!E8</f>
        <v>523416.91263670532</v>
      </c>
      <c r="C5" s="8">
        <f>Model!F8+Model!G8+Model!H8</f>
        <v>801115.49141319201</v>
      </c>
      <c r="D5" s="8">
        <f>Model!I8+Model!J8+Model!K8</f>
        <v>1108218.1471291864</v>
      </c>
      <c r="E5" s="8">
        <f>Model!L8+Model!M8+Model!N8</f>
        <v>1102633.2903921735</v>
      </c>
      <c r="F5" s="8">
        <f>Model!O8+Model!P8+Model!Q8</f>
        <v>1323088.3390934721</v>
      </c>
      <c r="G5" s="8">
        <f>Model!R8+Model!S8+Model!T8</f>
        <v>966959.32448308275</v>
      </c>
      <c r="H5" s="8">
        <f>Model!U8+Model!V8+Model!W8</f>
        <v>885665.66329887218</v>
      </c>
      <c r="I5" s="8">
        <f>Model!X8+Model!Y8+Model!Z8</f>
        <v>848222.62929340394</v>
      </c>
      <c r="J5" s="8">
        <f>Model!AA8+Model!AB8+Model!AC8</f>
        <v>738388.11784432665</v>
      </c>
      <c r="K5" s="8">
        <f>Model!AD8+Model!AE8+Model!AF8</f>
        <v>837730.46712662326</v>
      </c>
      <c r="L5" s="8">
        <f>Model!AG8+Model!AH8+Model!AI8</f>
        <v>751434.18060064921</v>
      </c>
      <c r="M5" s="8">
        <f>Model!AJ8+Model!AK8+Model!AL8</f>
        <v>499024.11525974027</v>
      </c>
      <c r="N5" s="8">
        <f>Model!AM8+Model!AN8+Model!AO8</f>
        <v>421857.47727272729</v>
      </c>
      <c r="O5" s="8">
        <f>Model!AP8+Model!AQ8+Model!AR8</f>
        <v>421857.47727272729</v>
      </c>
      <c r="P5" s="8">
        <f>Model!AS8+Model!AT8+Model!AU8</f>
        <v>201402.42857142858</v>
      </c>
      <c r="Q5" s="8">
        <f>Model!AV8+Model!AW8+Model!AX8</f>
        <v>201402.42857142858</v>
      </c>
      <c r="R5" s="8">
        <f>Model!AY8+Model!AZ8+Model!BA8</f>
        <v>201402.42857142858</v>
      </c>
      <c r="S5" s="8">
        <f>Model!BB8+Model!BC8+Model!BD8</f>
        <v>201402.42857142858</v>
      </c>
      <c r="T5" s="8">
        <f>Model!BE8+Model!BF8+Model!BG8</f>
        <v>134268.28571428571</v>
      </c>
      <c r="U5" s="8">
        <f>Model!BH8+Model!BI8+Model!BJ8</f>
        <v>0</v>
      </c>
      <c r="V5" s="8">
        <f>Model!BK8+Model!BL8+Model!BM8</f>
        <v>0</v>
      </c>
      <c r="W5" s="8">
        <f>Model!BN8+Model!BO8+Model!BP8</f>
        <v>0</v>
      </c>
      <c r="X5" s="8">
        <f>Model!BQ8+Model!BR8+Model!BS8</f>
        <v>0</v>
      </c>
      <c r="Y5" s="8">
        <f>Model!BT8+Model!BU8+Model!BV8</f>
        <v>0</v>
      </c>
      <c r="Z5" s="8">
        <f>Model!BW8+Model!BX8+Model!BY8</f>
        <v>0</v>
      </c>
      <c r="AA5" s="8">
        <f>Model!BZ8+Model!CA8+Model!CB8</f>
        <v>0</v>
      </c>
      <c r="AB5" s="8">
        <f>Model!CC8+Model!CD8+Model!CE8</f>
        <v>0</v>
      </c>
      <c r="AC5" s="8">
        <f>Model!CF8+Model!CG8+Model!CH8</f>
        <v>0</v>
      </c>
    </row>
    <row r="6" spans="1:29" ht="15" customHeight="1" x14ac:dyDescent="0.25">
      <c r="A6" s="7" t="s">
        <v>70</v>
      </c>
      <c r="B6" s="8">
        <f>Model!C9+Model!D9+Model!E9</f>
        <v>566962.84026828432</v>
      </c>
      <c r="C6" s="8">
        <f>Model!F9+Model!G9+Model!H9</f>
        <v>844661.41904477088</v>
      </c>
      <c r="D6" s="8">
        <f>Model!I9+Model!J9+Model!K9</f>
        <v>1145650.4497607653</v>
      </c>
      <c r="E6" s="8">
        <f>Model!L9+Model!M9+Model!N9</f>
        <v>1127838.3430237523</v>
      </c>
      <c r="F6" s="8">
        <f>Model!O9+Model!P9+Model!Q9</f>
        <v>1348293.391725051</v>
      </c>
      <c r="G6" s="8">
        <f>Model!R9+Model!S9+Model!T9</f>
        <v>984388.37711466162</v>
      </c>
      <c r="H6" s="8">
        <f>Model!U9+Model!V9+Model!W9</f>
        <v>890179.34750939847</v>
      </c>
      <c r="I6" s="8">
        <f>Model!X9+Model!Y9+Model!Z9</f>
        <v>848222.62929340394</v>
      </c>
      <c r="J6" s="8">
        <f>Model!AA9+Model!AB9+Model!AC9</f>
        <v>738388.11784432665</v>
      </c>
      <c r="K6" s="8">
        <f>Model!AD9+Model!AE9+Model!AF9</f>
        <v>837730.46712662326</v>
      </c>
      <c r="L6" s="8">
        <f>Model!AG9+Model!AH9+Model!AI9</f>
        <v>751434.18060064921</v>
      </c>
      <c r="M6" s="8">
        <f>Model!AJ9+Model!AK9+Model!AL9</f>
        <v>499024.11525974027</v>
      </c>
      <c r="N6" s="8">
        <f>Model!AM9+Model!AN9+Model!AO9</f>
        <v>421857.47727272729</v>
      </c>
      <c r="O6" s="8">
        <f>Model!AP9+Model!AQ9+Model!AR9</f>
        <v>421857.47727272729</v>
      </c>
      <c r="P6" s="8">
        <f>Model!AS9+Model!AT9+Model!AU9</f>
        <v>201402.42857142858</v>
      </c>
      <c r="Q6" s="8">
        <f>Model!AV9+Model!AW9+Model!AX9</f>
        <v>201402.42857142858</v>
      </c>
      <c r="R6" s="8">
        <f>Model!AY9+Model!AZ9+Model!BA9</f>
        <v>201402.42857142858</v>
      </c>
      <c r="S6" s="8">
        <f>Model!BB9+Model!BC9+Model!BD9</f>
        <v>201402.42857142858</v>
      </c>
      <c r="T6" s="8">
        <f>Model!BE9+Model!BF9+Model!BG9</f>
        <v>134268.28571428571</v>
      </c>
      <c r="U6" s="8">
        <f>Model!BH9+Model!BI9+Model!BJ9</f>
        <v>0</v>
      </c>
      <c r="V6" s="8">
        <f>Model!BK9+Model!BL9+Model!BM9</f>
        <v>0</v>
      </c>
      <c r="W6" s="8">
        <f>Model!BN9+Model!BO9+Model!BP9</f>
        <v>0</v>
      </c>
      <c r="X6" s="8">
        <f>Model!BQ9+Model!BR9+Model!BS9</f>
        <v>0</v>
      </c>
      <c r="Y6" s="8">
        <f>Model!BT9+Model!BU9+Model!BV9</f>
        <v>0</v>
      </c>
      <c r="Z6" s="8">
        <f>Model!BW9+Model!BX9+Model!BY9</f>
        <v>0</v>
      </c>
      <c r="AA6" s="8">
        <f>Model!BZ9+Model!CA9+Model!CB9</f>
        <v>0</v>
      </c>
      <c r="AB6" s="8">
        <f>Model!CC9+Model!CD9+Model!CE9</f>
        <v>0</v>
      </c>
      <c r="AC6" s="8">
        <f>Model!CF9+Model!CG9+Model!CH9</f>
        <v>0</v>
      </c>
    </row>
    <row r="7" spans="1:29" ht="15" customHeight="1" x14ac:dyDescent="0.25">
      <c r="A7" s="7" t="s">
        <v>71</v>
      </c>
      <c r="B7" s="8">
        <f>Model!C10+Model!D10+Model!E10</f>
        <v>132195.37987012989</v>
      </c>
      <c r="C7" s="8">
        <f>Model!F10+Model!G10+Model!H10</f>
        <v>224761.57279562549</v>
      </c>
      <c r="D7" s="8">
        <f>Model!I10+Model!J10+Model!K10</f>
        <v>329460.91636762366</v>
      </c>
      <c r="E7" s="8">
        <f>Model!L10+Model!M10+Model!N10</f>
        <v>332262.88078861934</v>
      </c>
      <c r="F7" s="8">
        <f>Model!O10+Model!P10+Model!Q10</f>
        <v>405747.89702238562</v>
      </c>
      <c r="G7" s="8">
        <f>Model!R10+Model!S10+Model!T10</f>
        <v>301962.76715225563</v>
      </c>
      <c r="H7" s="8">
        <f>Model!U10+Model!V10+Model!W10</f>
        <v>290923.64215225563</v>
      </c>
      <c r="I7" s="8">
        <f>Model!X10+Model!Y10+Model!Z10</f>
        <v>282740.87643113465</v>
      </c>
      <c r="J7" s="8">
        <f>Model!AA10+Model!AB10+Model!AC10</f>
        <v>246129.37261477561</v>
      </c>
      <c r="K7" s="8">
        <f>Model!AD10+Model!AE10+Model!AF10</f>
        <v>279243.48904220783</v>
      </c>
      <c r="L7" s="8">
        <f>Model!AG10+Model!AH10+Model!AI10</f>
        <v>250478.06020021648</v>
      </c>
      <c r="M7" s="8">
        <f>Model!AJ10+Model!AK10+Model!AL10</f>
        <v>166341.37175324676</v>
      </c>
      <c r="N7" s="8">
        <f>Model!AM10+Model!AN10+Model!AO10</f>
        <v>140619.15909090912</v>
      </c>
      <c r="O7" s="8">
        <f>Model!AP10+Model!AQ10+Model!AR10</f>
        <v>140619.15909090912</v>
      </c>
      <c r="P7" s="8">
        <f>Model!AS10+Model!AT10+Model!AU10</f>
        <v>67134.14285714287</v>
      </c>
      <c r="Q7" s="8">
        <f>Model!AV10+Model!AW10+Model!AX10</f>
        <v>67134.14285714287</v>
      </c>
      <c r="R7" s="8">
        <f>Model!AY10+Model!AZ10+Model!BA10</f>
        <v>67134.14285714287</v>
      </c>
      <c r="S7" s="8">
        <f>Model!BB10+Model!BC10+Model!BD10</f>
        <v>67134.14285714287</v>
      </c>
      <c r="T7" s="8">
        <f>Model!BE10+Model!BF10+Model!BG10</f>
        <v>44756.095238095244</v>
      </c>
      <c r="U7" s="8">
        <f>Model!BH10+Model!BI10+Model!BJ10</f>
        <v>0</v>
      </c>
      <c r="V7" s="8">
        <f>Model!BK10+Model!BL10+Model!BM10</f>
        <v>0</v>
      </c>
      <c r="W7" s="8">
        <f>Model!BN10+Model!BO10+Model!BP10</f>
        <v>0</v>
      </c>
      <c r="X7" s="8">
        <f>Model!BQ10+Model!BR10+Model!BS10</f>
        <v>0</v>
      </c>
      <c r="Y7" s="8">
        <f>Model!BT10+Model!BU10+Model!BV10</f>
        <v>0</v>
      </c>
      <c r="Z7" s="8">
        <f>Model!BW10+Model!BX10+Model!BY10</f>
        <v>0</v>
      </c>
      <c r="AA7" s="8">
        <f>Model!BZ10+Model!CA10+Model!CB10</f>
        <v>0</v>
      </c>
      <c r="AB7" s="8">
        <f>Model!CC10+Model!CD10+Model!CE10</f>
        <v>0</v>
      </c>
      <c r="AC7" s="8">
        <f>Model!CF10+Model!CG10+Model!CH10</f>
        <v>0</v>
      </c>
    </row>
    <row r="8" spans="1:29" ht="15" customHeight="1" x14ac:dyDescent="0.25">
      <c r="A8" s="7" t="s">
        <v>72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73</v>
      </c>
      <c r="B9" s="10">
        <f>Model!C12+Model!D12+Model!E12</f>
        <v>1222575.1327751195</v>
      </c>
      <c r="C9" s="10">
        <f>Model!F12+Model!G12+Model!H12</f>
        <v>2515065.2032535886</v>
      </c>
      <c r="D9" s="10">
        <f>Model!I12+Model!J12+Model!K12</f>
        <v>3344340.4132575756</v>
      </c>
      <c r="E9" s="10">
        <f>Model!L12+Model!M12+Model!N12</f>
        <v>2562734.5142045454</v>
      </c>
      <c r="F9" s="10">
        <f>Model!O12+Model!P12+Model!Q12</f>
        <v>3756131.177840909</v>
      </c>
      <c r="G9" s="10">
        <f>Model!R12+Model!S12+Model!T12</f>
        <v>2253310.46875</v>
      </c>
      <c r="H9" s="10">
        <f>Model!U12+Model!V12+Model!W12</f>
        <v>2066768.6529605263</v>
      </c>
      <c r="I9" s="10">
        <f>Model!X12+Model!Y12+Model!Z12</f>
        <v>1979186.1350179426</v>
      </c>
      <c r="J9" s="10">
        <f>Model!AA12+Model!AB12+Model!AC12</f>
        <v>2343225.0883034291</v>
      </c>
      <c r="K9" s="10">
        <f>Model!AD12+Model!AE12+Model!AF12</f>
        <v>1954704.4232954546</v>
      </c>
      <c r="L9" s="10">
        <f>Model!AG12+Model!AH12+Model!AI12</f>
        <v>1753346.4214015151</v>
      </c>
      <c r="M9" s="10">
        <f>Model!AJ12+Model!AK12+Model!AL12</f>
        <v>1164389.6022727273</v>
      </c>
      <c r="N9" s="10">
        <f>Model!AM12+Model!AN12+Model!AO12</f>
        <v>984334.11363636365</v>
      </c>
      <c r="O9" s="10">
        <f>Model!AP12+Model!AQ12+Model!AR12</f>
        <v>984334.11363636365</v>
      </c>
      <c r="P9" s="10">
        <f>Model!AS12+Model!AT12+Model!AU12</f>
        <v>469939</v>
      </c>
      <c r="Q9" s="10">
        <f>Model!AV12+Model!AW12+Model!AX12</f>
        <v>469939</v>
      </c>
      <c r="R9" s="10">
        <f>Model!AY12+Model!AZ12+Model!BA12</f>
        <v>469939</v>
      </c>
      <c r="S9" s="10">
        <f>Model!BB12+Model!BC12+Model!BD12</f>
        <v>469939</v>
      </c>
      <c r="T9" s="10">
        <f>Model!BE12+Model!BF12+Model!BG12</f>
        <v>313292.66666666669</v>
      </c>
      <c r="U9" s="10">
        <f>Model!BH12+Model!BI12+Model!BJ12</f>
        <v>0</v>
      </c>
      <c r="V9" s="10">
        <f>Model!BK12+Model!BL12+Model!BM12</f>
        <v>0</v>
      </c>
      <c r="W9" s="10">
        <f>Model!BN12+Model!BO12+Model!BP12</f>
        <v>0</v>
      </c>
      <c r="X9" s="10">
        <f>Model!BQ12+Model!BR12+Model!BS12</f>
        <v>0</v>
      </c>
      <c r="Y9" s="10">
        <f>Model!BT12+Model!BU12+Model!BV12</f>
        <v>0</v>
      </c>
      <c r="Z9" s="10">
        <f>Model!BW12+Model!BX12+Model!BY12</f>
        <v>0</v>
      </c>
      <c r="AA9" s="10">
        <f>Model!BZ12+Model!CA12+Model!CB12</f>
        <v>0</v>
      </c>
      <c r="AB9" s="10">
        <f>Model!CC12+Model!CD12+Model!CE12</f>
        <v>0</v>
      </c>
      <c r="AC9" s="10">
        <f>Model!CF12+Model!CG12+Model!CH12</f>
        <v>0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74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75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76</v>
      </c>
      <c r="B13" s="8">
        <f>Model!C16+Model!D16+Model!E16</f>
        <v>-675473</v>
      </c>
      <c r="C13" s="8">
        <f>Model!F16+Model!G16+Model!H16</f>
        <v>-823806.33333333326</v>
      </c>
      <c r="D13" s="8">
        <f>Model!I16+Model!J16+Model!K16</f>
        <v>-834223</v>
      </c>
      <c r="E13" s="8">
        <f>Model!L16+Model!M16+Model!N16</f>
        <v>-834223</v>
      </c>
      <c r="F13" s="8">
        <f>Model!O16+Model!P16+Model!Q16</f>
        <v>-850907.46</v>
      </c>
      <c r="G13" s="8">
        <f>Model!R16+Model!S16+Model!T16</f>
        <v>-850907.46</v>
      </c>
      <c r="H13" s="8">
        <f>Model!U16+Model!V16+Model!W16</f>
        <v>-850907.46</v>
      </c>
      <c r="I13" s="8">
        <f>Model!X16+Model!Y16+Model!Z16</f>
        <v>-850907.46</v>
      </c>
      <c r="J13" s="8">
        <f>Model!AA16+Model!AB16+Model!AC16</f>
        <v>-867925.60919999995</v>
      </c>
      <c r="K13" s="8">
        <f>Model!AD16+Model!AE16+Model!AF16</f>
        <v>-867925.60919999995</v>
      </c>
      <c r="L13" s="8">
        <f>Model!AG16+Model!AH16+Model!AI16</f>
        <v>-867925.60919999995</v>
      </c>
      <c r="M13" s="8">
        <f>Model!AJ16+Model!AK16+Model!AL16</f>
        <v>-867925.60919999995</v>
      </c>
      <c r="N13" s="8">
        <f>Model!AM16+Model!AN16+Model!AO16</f>
        <v>-885284.12138399994</v>
      </c>
      <c r="O13" s="8">
        <f>Model!AP16+Model!AQ16+Model!AR16</f>
        <v>-885284.12138399994</v>
      </c>
      <c r="P13" s="8">
        <f>Model!AS16+Model!AT16+Model!AU16</f>
        <v>-885284.12138399994</v>
      </c>
      <c r="Q13" s="8">
        <f>Model!AV16+Model!AW16+Model!AX16</f>
        <v>-885284.12138399994</v>
      </c>
      <c r="R13" s="8">
        <f>Model!AY16+Model!AZ16+Model!BA16</f>
        <v>-902989.80381168006</v>
      </c>
      <c r="S13" s="8">
        <f>Model!BB16+Model!BC16+Model!BD16</f>
        <v>-902989.80381168006</v>
      </c>
      <c r="T13" s="8">
        <f>Model!BE16+Model!BF16+Model!BG16</f>
        <v>-902989.80381168006</v>
      </c>
      <c r="U13" s="8">
        <f>Model!BH16+Model!BI16+Model!BJ16</f>
        <v>-902989.80381168006</v>
      </c>
      <c r="V13" s="8">
        <f>Model!BK16+Model!BL16+Model!BM16</f>
        <v>-921049.59988791356</v>
      </c>
      <c r="W13" s="8">
        <f>Model!BN16+Model!BO16+Model!BP16</f>
        <v>-921049.59988791356</v>
      </c>
      <c r="X13" s="8">
        <f>Model!BQ16+Model!BR16+Model!BS16</f>
        <v>-921049.59988791356</v>
      </c>
      <c r="Y13" s="8">
        <f>Model!BT16+Model!BU16+Model!BV16</f>
        <v>-921049.59988791356</v>
      </c>
      <c r="Z13" s="8">
        <f>Model!BW16+Model!BX16+Model!BY16</f>
        <v>-939470.59188567195</v>
      </c>
      <c r="AA13" s="8">
        <f>Model!BZ16+Model!CA16+Model!CB16</f>
        <v>-939470.59188567195</v>
      </c>
      <c r="AB13" s="8">
        <f>Model!CC16+Model!CD16+Model!CE16</f>
        <v>-939470.59188567195</v>
      </c>
      <c r="AC13" s="8">
        <f>Model!CF16+Model!CG16+Model!CH16</f>
        <v>-939470.59188567195</v>
      </c>
    </row>
    <row r="14" spans="1:29" ht="15" customHeight="1" x14ac:dyDescent="0.25">
      <c r="A14" s="7" t="s">
        <v>77</v>
      </c>
      <c r="B14" s="8">
        <f>Model!C17+Model!D17+Model!E17</f>
        <v>-163750</v>
      </c>
      <c r="C14" s="8">
        <f>Model!F17+Model!G17+Model!H17</f>
        <v>-163750</v>
      </c>
      <c r="D14" s="8">
        <f>Model!I17+Model!J17+Model!K17</f>
        <v>-163750</v>
      </c>
      <c r="E14" s="8">
        <f>Model!L17+Model!M17+Model!N17</f>
        <v>-163750</v>
      </c>
      <c r="F14" s="8">
        <f>Model!O17+Model!P17+Model!Q17</f>
        <v>-167025</v>
      </c>
      <c r="G14" s="8">
        <f>Model!R17+Model!S17+Model!T17</f>
        <v>-167025</v>
      </c>
      <c r="H14" s="8">
        <f>Model!U17+Model!V17+Model!W17</f>
        <v>-167025</v>
      </c>
      <c r="I14" s="8">
        <f>Model!X17+Model!Y17+Model!Z17</f>
        <v>-167025</v>
      </c>
      <c r="J14" s="8">
        <f>Model!AA17+Model!AB17+Model!AC17</f>
        <v>-170365.5</v>
      </c>
      <c r="K14" s="8">
        <f>Model!AD17+Model!AE17+Model!AF17</f>
        <v>-170365.5</v>
      </c>
      <c r="L14" s="8">
        <f>Model!AG17+Model!AH17+Model!AI17</f>
        <v>-170365.5</v>
      </c>
      <c r="M14" s="8">
        <f>Model!AJ17+Model!AK17+Model!AL17</f>
        <v>-170365.5</v>
      </c>
      <c r="N14" s="8">
        <f>Model!AM17+Model!AN17+Model!AO17</f>
        <v>-173772.81</v>
      </c>
      <c r="O14" s="8">
        <f>Model!AP17+Model!AQ17+Model!AR17</f>
        <v>-173772.81</v>
      </c>
      <c r="P14" s="8">
        <f>Model!AS17+Model!AT17+Model!AU17</f>
        <v>-173772.81</v>
      </c>
      <c r="Q14" s="8">
        <f>Model!AV17+Model!AW17+Model!AX17</f>
        <v>-173772.81</v>
      </c>
      <c r="R14" s="8">
        <f>Model!AY17+Model!AZ17+Model!BA17</f>
        <v>-177248.26620000001</v>
      </c>
      <c r="S14" s="8">
        <f>Model!BB17+Model!BC17+Model!BD17</f>
        <v>-177248.26620000001</v>
      </c>
      <c r="T14" s="8">
        <f>Model!BE17+Model!BF17+Model!BG17</f>
        <v>-177248.26620000001</v>
      </c>
      <c r="U14" s="8">
        <f>Model!BH17+Model!BI17+Model!BJ17</f>
        <v>-177248.26620000001</v>
      </c>
      <c r="V14" s="8">
        <f>Model!BK17+Model!BL17+Model!BM17</f>
        <v>-180793.231524</v>
      </c>
      <c r="W14" s="8">
        <f>Model!BN17+Model!BO17+Model!BP17</f>
        <v>-180793.231524</v>
      </c>
      <c r="X14" s="8">
        <f>Model!BQ17+Model!BR17+Model!BS17</f>
        <v>-180793.231524</v>
      </c>
      <c r="Y14" s="8">
        <f>Model!BT17+Model!BU17+Model!BV17</f>
        <v>-180793.231524</v>
      </c>
      <c r="Z14" s="8">
        <f>Model!BW17+Model!BX17+Model!BY17</f>
        <v>-184409.09615448001</v>
      </c>
      <c r="AA14" s="8">
        <f>Model!BZ17+Model!CA17+Model!CB17</f>
        <v>-184409.09615448001</v>
      </c>
      <c r="AB14" s="8">
        <f>Model!CC17+Model!CD17+Model!CE17</f>
        <v>-184409.09615448001</v>
      </c>
      <c r="AC14" s="8">
        <f>Model!CF17+Model!CG17+Model!CH17</f>
        <v>-184409.09615448001</v>
      </c>
    </row>
    <row r="15" spans="1:29" ht="15" customHeight="1" x14ac:dyDescent="0.25">
      <c r="A15" s="9" t="s">
        <v>78</v>
      </c>
      <c r="B15" s="10">
        <f>Model!C38+Model!D38+Model!E38</f>
        <v>-1132745.355</v>
      </c>
      <c r="C15" s="10">
        <f>Model!F38+Model!G38+Model!H38</f>
        <v>-1641320.2035333333</v>
      </c>
      <c r="D15" s="10">
        <f>Model!I38+Model!J38+Model!K38</f>
        <v>-1712171.1489999997</v>
      </c>
      <c r="E15" s="10">
        <f>Model!L38+Model!M38+Model!N38</f>
        <v>-1336739.105</v>
      </c>
      <c r="F15" s="10">
        <f>Model!O38+Model!P38+Model!Q38</f>
        <v>-2834643.9121000003</v>
      </c>
      <c r="G15" s="10">
        <f>Model!R38+Model!S38+Model!T38</f>
        <v>-1363473.8870999999</v>
      </c>
      <c r="H15" s="10">
        <f>Model!U38+Model!V38+Model!W38</f>
        <v>-1363473.8870999999</v>
      </c>
      <c r="I15" s="10">
        <f>Model!X38+Model!Y38+Model!Z38</f>
        <v>-1363473.8870999999</v>
      </c>
      <c r="J15" s="10">
        <f>Model!AA38+Model!AB38+Model!AC38</f>
        <v>-2734768.904842</v>
      </c>
      <c r="K15" s="10">
        <f>Model!AD38+Model!AE38+Model!AF38</f>
        <v>-1390743.364842</v>
      </c>
      <c r="L15" s="10">
        <f>Model!AG38+Model!AH38+Model!AI38</f>
        <v>-1390743.364842</v>
      </c>
      <c r="M15" s="10">
        <f>Model!AJ38+Model!AK38+Model!AL38</f>
        <v>-1390743.364842</v>
      </c>
      <c r="N15" s="10">
        <f>Model!AM38+Model!AN38+Model!AO38</f>
        <v>-1418558.23213884</v>
      </c>
      <c r="O15" s="10">
        <f>Model!AP38+Model!AQ38+Model!AR38</f>
        <v>-1418558.23213884</v>
      </c>
      <c r="P15" s="10">
        <f>Model!AS38+Model!AT38+Model!AU38</f>
        <v>-1418558.23213884</v>
      </c>
      <c r="Q15" s="10">
        <f>Model!AV38+Model!AW38+Model!AX38</f>
        <v>-1418558.23213884</v>
      </c>
      <c r="R15" s="10">
        <f>Model!AY38+Model!AZ38+Model!BA38</f>
        <v>-1446929.3967816168</v>
      </c>
      <c r="S15" s="10">
        <f>Model!BB38+Model!BC38+Model!BD38</f>
        <v>-1446929.3967816168</v>
      </c>
      <c r="T15" s="10">
        <f>Model!BE38+Model!BF38+Model!BG38</f>
        <v>-1446929.3967816168</v>
      </c>
      <c r="U15" s="10">
        <f>Model!BH38+Model!BI38+Model!BJ38</f>
        <v>-1446929.3967816168</v>
      </c>
      <c r="V15" s="10">
        <f>Model!BK38+Model!BL38+Model!BM38</f>
        <v>-1475867.9847172489</v>
      </c>
      <c r="W15" s="10">
        <f>Model!BN38+Model!BO38+Model!BP38</f>
        <v>-1475867.9847172489</v>
      </c>
      <c r="X15" s="10">
        <f>Model!BQ38+Model!BR38+Model!BS38</f>
        <v>-1475867.9847172489</v>
      </c>
      <c r="Y15" s="10">
        <f>Model!BT38+Model!BU38+Model!BV38</f>
        <v>-1475867.9847172489</v>
      </c>
      <c r="Z15" s="10">
        <f>Model!BW38+Model!BX38+Model!BY38</f>
        <v>-1505385.3444115941</v>
      </c>
      <c r="AA15" s="10">
        <f>Model!BZ38+Model!CA38+Model!CB38</f>
        <v>-1505385.3444115941</v>
      </c>
      <c r="AB15" s="10">
        <f>Model!CC38+Model!CD38+Model!CE38</f>
        <v>-1505385.3444115941</v>
      </c>
      <c r="AC15" s="10">
        <f>Model!CF38+Model!CG38+Model!CH38</f>
        <v>-1505385.3444115941</v>
      </c>
    </row>
    <row r="16" spans="1:29" ht="15" customHeight="1" x14ac:dyDescent="0.25">
      <c r="A16" s="13" t="s">
        <v>79</v>
      </c>
      <c r="B16" s="14">
        <f>Model!C40+Model!D40+Model!E40</f>
        <v>89829.777775119699</v>
      </c>
      <c r="C16" s="14">
        <f>Model!F40+Model!G40+Model!H40</f>
        <v>873744.99972025515</v>
      </c>
      <c r="D16" s="14">
        <f>Model!I40+Model!J40+Model!K40</f>
        <v>1632169.2642575759</v>
      </c>
      <c r="E16" s="14">
        <f>Model!L40+Model!M40+Model!N40</f>
        <v>1225995.4092045454</v>
      </c>
      <c r="F16" s="14">
        <f>Model!O40+Model!P40+Model!Q40</f>
        <v>921487.26574090868</v>
      </c>
      <c r="G16" s="14">
        <f>Model!R40+Model!S40+Model!T40</f>
        <v>889836.58164999995</v>
      </c>
      <c r="H16" s="14">
        <f>Model!U40+Model!V40+Model!W40</f>
        <v>703294.76586052636</v>
      </c>
      <c r="I16" s="14">
        <f>Model!X40+Model!Y40+Model!Z40</f>
        <v>615712.24791794259</v>
      </c>
      <c r="J16" s="14">
        <f>Model!AA40+Model!AB40+Model!AC40</f>
        <v>-391543.81653857103</v>
      </c>
      <c r="K16" s="14">
        <f>Model!AD40+Model!AE40+Model!AF40</f>
        <v>563961.05845345475</v>
      </c>
      <c r="L16" s="14">
        <f>Model!AG40+Model!AH40+Model!AI40</f>
        <v>362603.0565595153</v>
      </c>
      <c r="M16" s="14">
        <f>Model!AJ40+Model!AK40+Model!AL40</f>
        <v>-226353.76256927254</v>
      </c>
      <c r="N16" s="14">
        <f>Model!AM40+Model!AN40+Model!AO40</f>
        <v>-434224.11850247649</v>
      </c>
      <c r="O16" s="14">
        <f>Model!AP40+Model!AQ40+Model!AR40</f>
        <v>-434224.11850247649</v>
      </c>
      <c r="P16" s="14">
        <f>Model!AS40+Model!AT40+Model!AU40</f>
        <v>-948619.23213884002</v>
      </c>
      <c r="Q16" s="14">
        <f>Model!AV40+Model!AW40+Model!AX40</f>
        <v>-948619.23213884002</v>
      </c>
      <c r="R16" s="14">
        <f>Model!AY40+Model!AZ40+Model!BA40</f>
        <v>-976990.39678161673</v>
      </c>
      <c r="S16" s="14">
        <f>Model!BB40+Model!BC40+Model!BD40</f>
        <v>-976990.39678161673</v>
      </c>
      <c r="T16" s="14">
        <f>Model!BE40+Model!BF40+Model!BG40</f>
        <v>-1133636.7301149501</v>
      </c>
      <c r="U16" s="14">
        <f>Model!BH40+Model!BI40+Model!BJ40</f>
        <v>-1446929.3967816168</v>
      </c>
      <c r="V16" s="14">
        <f>Model!BK40+Model!BL40+Model!BM40</f>
        <v>-1475867.9847172489</v>
      </c>
      <c r="W16" s="14">
        <f>Model!BN40+Model!BO40+Model!BP40</f>
        <v>-1475867.9847172489</v>
      </c>
      <c r="X16" s="14">
        <f>Model!BQ40+Model!BR40+Model!BS40</f>
        <v>-1475867.9847172489</v>
      </c>
      <c r="Y16" s="14">
        <f>Model!BT40+Model!BU40+Model!BV40</f>
        <v>-1475867.9847172489</v>
      </c>
      <c r="Z16" s="14">
        <f>Model!BW40+Model!BX40+Model!BY40</f>
        <v>-1505385.3444115941</v>
      </c>
      <c r="AA16" s="14">
        <f>Model!BZ40+Model!CA40+Model!CB40</f>
        <v>-1505385.3444115941</v>
      </c>
      <c r="AB16" s="14">
        <f>Model!CC40+Model!CD40+Model!CE40</f>
        <v>-1505385.3444115941</v>
      </c>
      <c r="AC16" s="14">
        <f>Model!CF40+Model!CG40+Model!CH40</f>
        <v>-1505385.3444115941</v>
      </c>
    </row>
    <row r="17" spans="1:29" ht="15" customHeight="1" x14ac:dyDescent="0.25">
      <c r="A17" s="7" t="s">
        <v>80</v>
      </c>
      <c r="B17" s="15">
        <f>IF((Model!C12+Model!D12+Model!E12)&lt;&gt;0,(Model!C40+Model!D40+Model!E40)/(Model!C12+Model!D12+Model!E12),0)</f>
        <v>7.347587511551569E-2</v>
      </c>
      <c r="C17" s="15">
        <f>IF((Model!F12+Model!G12+Model!H12)&lt;&gt;0,(Model!F40+Model!G40+Model!H40)/(Model!F12+Model!G12+Model!H12),0)</f>
        <v>0.34740451205397926</v>
      </c>
      <c r="D17" s="15">
        <f>IF((Model!I12+Model!J12+Model!K12)&lt;&gt;0,(Model!I40+Model!J40+Model!K40)/(Model!I12+Model!J12+Model!K12),0)</f>
        <v>0.48803921328922112</v>
      </c>
      <c r="E17" s="15">
        <f>IF((Model!L12+Model!M12+Model!N12)&lt;&gt;0,(Model!L40+Model!M40+Model!N40)/(Model!L12+Model!M12+Model!N12),0)</f>
        <v>0.47839345137359485</v>
      </c>
      <c r="F17" s="15">
        <f>IF((Model!O12+Model!P12+Model!Q12)&lt;&gt;0,(Model!O40+Model!P40+Model!Q40)/(Model!O12+Model!P12+Model!Q12),0)</f>
        <v>0.24532882961520955</v>
      </c>
      <c r="G17" s="15">
        <f>IF((Model!R12+Model!S12+Model!T12)&lt;&gt;0,(Model!R40+Model!S40+Model!T40)/(Model!R12+Model!S12+Model!T12),0)</f>
        <v>0.39490189833610784</v>
      </c>
      <c r="H17" s="15">
        <f>IF((Model!U12+Model!V12+Model!W12)&lt;&gt;0,(Model!U40+Model!V40+Model!W40)/(Model!U12+Model!V12+Model!W12),0)</f>
        <v>0.3402871264053175</v>
      </c>
      <c r="I17" s="15">
        <f>IF((Model!X12+Model!Y12+Model!Z12)&lt;&gt;0,(Model!X40+Model!Y40+Model!Z40)/(Model!X12+Model!Y12+Model!Z12),0)</f>
        <v>0.31109365462099942</v>
      </c>
      <c r="J17" s="15">
        <f>IF((Model!AA12+Model!AB12+Model!AC12)&lt;&gt;0,(Model!AA40+Model!AB40+Model!AC40)/(Model!AA12+Model!AB12+Model!AC12),0)</f>
        <v>-0.16709611829141921</v>
      </c>
      <c r="K17" s="15">
        <f>IF((Model!AD12+Model!AE12+Model!AF12)&lt;&gt;0,(Model!AD40+Model!AE40+Model!AF40)/(Model!AD12+Model!AE12+Model!AF12),0)</f>
        <v>0.28851475022636286</v>
      </c>
      <c r="L17" s="15">
        <f>IF((Model!AG12+Model!AH12+Model!AI12)&lt;&gt;0,(Model!AG40+Model!AH40+Model!AI40)/(Model!AG12+Model!AH12+Model!AI12),0)</f>
        <v>0.20680628319284056</v>
      </c>
      <c r="M17" s="15">
        <f>IF((Model!AJ12+Model!AK12+Model!AL12)&lt;&gt;0,(Model!AJ40+Model!AK40+Model!AL40)/(Model!AJ12+Model!AK12+Model!AL12),0)</f>
        <v>-0.19439692876633502</v>
      </c>
      <c r="N17" s="15">
        <f>IF((Model!AM12+Model!AN12+Model!AO12)&lt;&gt;0,(Model!AM40+Model!AN40+Model!AO40)/(Model!AM12+Model!AN12+Model!AO12),0)</f>
        <v>-0.4411348875214226</v>
      </c>
      <c r="O17" s="15">
        <f>IF((Model!AP12+Model!AQ12+Model!AR12)&lt;&gt;0,(Model!AP40+Model!AQ40+Model!AR40)/(Model!AP12+Model!AQ12+Model!AR12),0)</f>
        <v>-0.4411348875214226</v>
      </c>
      <c r="P17" s="15">
        <f>IF((Model!AS12+Model!AT12+Model!AU12)&lt;&gt;0,(Model!AS40+Model!AT40+Model!AU40)/(Model!AS12+Model!AT12+Model!AU12),0)</f>
        <v>-2.0186007803966897</v>
      </c>
      <c r="Q17" s="15">
        <f>IF((Model!AV12+Model!AW12+Model!AX12)&lt;&gt;0,(Model!AV40+Model!AW40+Model!AX40)/(Model!AV12+Model!AW12+Model!AX12),0)</f>
        <v>-2.0186007803966897</v>
      </c>
      <c r="R17" s="15">
        <f>IF((Model!AY12+Model!AZ12+Model!BA12)&lt;&gt;0,(Model!AY40+Model!AZ40+Model!BA40)/(Model!AY12+Model!AZ12+Model!BA12),0)</f>
        <v>-2.0789727960046234</v>
      </c>
      <c r="S17" s="15">
        <f>IF((Model!BB12+Model!BC12+Model!BD12)&lt;&gt;0,(Model!BB40+Model!BC40+Model!BD40)/(Model!BB12+Model!BC12+Model!BD12),0)</f>
        <v>-2.0789727960046234</v>
      </c>
      <c r="T17" s="15">
        <f>IF((Model!BE12+Model!BF12+Model!BG12)&lt;&gt;0,(Model!BE40+Model!BF40+Model!BG40)/(Model!BE12+Model!BF12+Model!BG12),0)</f>
        <v>-3.6184591940069351</v>
      </c>
      <c r="U17" s="15">
        <f>IF((Model!BH12+Model!BI12+Model!BJ12)&lt;&gt;0,(Model!BH40+Model!BI40+Model!BJ40)/(Model!BH12+Model!BI12+Model!BJ12),0)</f>
        <v>0</v>
      </c>
      <c r="V17" s="15">
        <f>IF((Model!BK12+Model!BL12+Model!BM12)&lt;&gt;0,(Model!BK40+Model!BL40+Model!BM40)/(Model!BK12+Model!BL12+Model!BM12),0)</f>
        <v>0</v>
      </c>
      <c r="W17" s="15">
        <f>IF((Model!BN12+Model!BO12+Model!BP12)&lt;&gt;0,(Model!BN40+Model!BO40+Model!BP40)/(Model!BN12+Model!BO12+Model!BP12),0)</f>
        <v>0</v>
      </c>
      <c r="X17" s="15">
        <f>IF((Model!BQ12+Model!BR12+Model!BS12)&lt;&gt;0,(Model!BQ40+Model!BR40+Model!BS40)/(Model!BQ12+Model!BR12+Model!BS12),0)</f>
        <v>0</v>
      </c>
      <c r="Y17" s="15">
        <f>IF((Model!BT12+Model!BU12+Model!BV12)&lt;&gt;0,(Model!BT40+Model!BU40+Model!BV40)/(Model!BT12+Model!BU12+Model!BV12),0)</f>
        <v>0</v>
      </c>
      <c r="Z17" s="15">
        <f>IF((Model!BW12+Model!BX12+Model!BY12)&lt;&gt;0,(Model!BW40+Model!BX40+Model!BY40)/(Model!BW12+Model!BX12+Model!BY12),0)</f>
        <v>0</v>
      </c>
      <c r="AA17" s="15">
        <f>IF((Model!BZ12+Model!CA12+Model!CB12)&lt;&gt;0,(Model!BZ40+Model!CA40+Model!CB40)/(Model!BZ12+Model!CA12+Model!CB12),0)</f>
        <v>0</v>
      </c>
      <c r="AB17" s="15">
        <f>IF((Model!CC12+Model!CD12+Model!CE12)&lt;&gt;0,(Model!CC40+Model!CD40+Model!CE40)/(Model!CC12+Model!CD12+Model!CE12),0)</f>
        <v>0</v>
      </c>
      <c r="AC17" s="15">
        <f>IF((Model!CF12+Model!CG12+Model!CH12)&lt;&gt;0,(Model!CF40+Model!CG40+Model!CH40)/(Model!CF12+Model!CG12+Model!CH12),0)</f>
        <v>0</v>
      </c>
    </row>
    <row r="18" spans="1:29" s="46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47" t="s">
        <v>81</v>
      </c>
      <c r="B19" s="17">
        <f>Model!C63+Model!D63+Model!E63</f>
        <v>130843.74</v>
      </c>
      <c r="C19" s="17">
        <f>Model!F63+Model!G63+Model!H63</f>
        <v>602051.20000000007</v>
      </c>
      <c r="D19" s="17">
        <f>Model!I63+Model!J63+Model!K63</f>
        <v>180646.38</v>
      </c>
      <c r="E19" s="17">
        <f>Model!L63+Model!M63+Model!N63</f>
        <v>171271.38</v>
      </c>
      <c r="F19" s="17">
        <f>Model!O63+Model!P63+Model!Q63</f>
        <v>171271.38</v>
      </c>
      <c r="G19" s="17">
        <f>Model!R63+Model!S63+Model!T63</f>
        <v>99552.630000000019</v>
      </c>
      <c r="H19" s="17">
        <f>Model!U63+Model!V63+Model!W63</f>
        <v>156927.63</v>
      </c>
      <c r="I19" s="17">
        <f>Model!X63+Model!Y63+Model!Z63</f>
        <v>144296.04999999999</v>
      </c>
      <c r="J19" s="17">
        <f>Model!AA63+Model!AB63+Model!AC63</f>
        <v>85875</v>
      </c>
      <c r="K19" s="17">
        <f>Model!AD63+Model!AE63+Model!AF63</f>
        <v>28500</v>
      </c>
      <c r="L19" s="17">
        <f>Model!AG63+Model!AH63+Model!AI63</f>
        <v>0</v>
      </c>
      <c r="M19" s="17">
        <f>Model!AJ63+Model!AK63+Model!AL63</f>
        <v>0</v>
      </c>
      <c r="N19" s="17">
        <f>Model!AM63+Model!AN63+Model!AO63</f>
        <v>0</v>
      </c>
      <c r="O19" s="17">
        <f>Model!AP63+Model!AQ63+Model!AR63</f>
        <v>81683</v>
      </c>
      <c r="P19" s="17">
        <f>Model!AS63+Model!AT63+Model!AU63</f>
        <v>81682</v>
      </c>
      <c r="Q19" s="17">
        <f>Model!AV63+Model!AW63+Model!AX63</f>
        <v>81682</v>
      </c>
      <c r="R19" s="17">
        <f>Model!AY63+Model!AZ63+Model!BA63</f>
        <v>933521</v>
      </c>
      <c r="S19" s="17">
        <f>Model!BB63+Model!BC63+Model!BD63</f>
        <v>130878</v>
      </c>
      <c r="T19" s="17">
        <f>Model!BE63+Model!BF63+Model!BG63</f>
        <v>130876</v>
      </c>
      <c r="U19" s="17">
        <f>Model!BH63+Model!BI63+Model!BJ63</f>
        <v>130876</v>
      </c>
      <c r="V19" s="17">
        <f>Model!BK63+Model!BL63+Model!BM63</f>
        <v>130876</v>
      </c>
      <c r="W19" s="17">
        <f>Model!BN63+Model!BO63+Model!BP63</f>
        <v>142406</v>
      </c>
      <c r="X19" s="17">
        <f>Model!BQ63+Model!BR63+Model!BS63</f>
        <v>142402</v>
      </c>
      <c r="Y19" s="17">
        <f>Model!BT63+Model!BU63+Model!BV63</f>
        <v>142402</v>
      </c>
      <c r="Z19" s="17">
        <f>Model!BW63+Model!BX63+Model!BY63</f>
        <v>215558</v>
      </c>
      <c r="AA19" s="17">
        <f>Model!BZ63+Model!CA63+Model!CB63</f>
        <v>231017</v>
      </c>
      <c r="AB19" s="17">
        <f>Model!CC63+Model!CD63+Model!CE63</f>
        <v>231016</v>
      </c>
      <c r="AC19" s="17">
        <f>Model!CF63+Model!CG63+Model!CH63</f>
        <v>231016</v>
      </c>
    </row>
    <row r="20" spans="1:29" ht="15" customHeight="1" x14ac:dyDescent="0.25">
      <c r="A20" s="7" t="s">
        <v>82</v>
      </c>
      <c r="B20" s="8">
        <f>Model!C84+Model!D84+Model!E84</f>
        <v>-358693.75</v>
      </c>
      <c r="C20" s="8">
        <f>Model!F84+Model!G84+Model!H84</f>
        <v>-672916.87</v>
      </c>
      <c r="D20" s="8">
        <f>Model!I84+Model!J84+Model!K84</f>
        <v>-379693.75</v>
      </c>
      <c r="E20" s="8">
        <f>Model!L84+Model!M84+Model!N84</f>
        <v>-358693.75</v>
      </c>
      <c r="F20" s="8">
        <f>Model!O84+Model!P84+Model!Q84</f>
        <v>-365867.625</v>
      </c>
      <c r="G20" s="8">
        <f>Model!R84+Model!S84+Model!T84</f>
        <v>-389327.625</v>
      </c>
      <c r="H20" s="8">
        <f>Model!U84+Model!V84+Model!W84</f>
        <v>-387287.625</v>
      </c>
      <c r="I20" s="8">
        <f>Model!X84+Model!Y84+Model!Z84</f>
        <v>-365867.625</v>
      </c>
      <c r="J20" s="8">
        <f>Model!AA84+Model!AB84+Model!AC84</f>
        <v>-373184.97749999998</v>
      </c>
      <c r="K20" s="8">
        <f>Model!AD84+Model!AE84+Model!AF84</f>
        <v>-397114.17749999999</v>
      </c>
      <c r="L20" s="8">
        <f>Model!AG84+Model!AH84+Model!AI84</f>
        <v>-395033.3775</v>
      </c>
      <c r="M20" s="8">
        <f>Model!AJ84+Model!AK84+Model!AL84</f>
        <v>-373184.97749999998</v>
      </c>
      <c r="N20" s="8">
        <f>Model!AM84+Model!AN84+Model!AO84</f>
        <v>-380648.67705</v>
      </c>
      <c r="O20" s="8">
        <f>Model!AP84+Model!AQ84+Model!AR84</f>
        <v>-486739.46104999998</v>
      </c>
      <c r="P20" s="8">
        <f>Model!AS84+Model!AT84+Model!AU84</f>
        <v>-484616.04504999996</v>
      </c>
      <c r="Q20" s="8">
        <f>Model!AV84+Model!AW84+Model!AX84</f>
        <v>-462330.67704999994</v>
      </c>
      <c r="R20" s="8">
        <f>Model!AY84+Model!AZ84+Model!BA84</f>
        <v>-1321782.650591</v>
      </c>
      <c r="S20" s="8">
        <f>Model!BB84+Model!BC84+Model!BD84</f>
        <v>-544035.59027099994</v>
      </c>
      <c r="T20" s="8">
        <f>Model!BE84+Model!BF84+Model!BG84</f>
        <v>-541868.725951</v>
      </c>
      <c r="U20" s="8">
        <f>Model!BH84+Model!BI84+Model!BJ84</f>
        <v>-519137.65059099998</v>
      </c>
      <c r="V20" s="8">
        <f>Model!BK84+Model!BL84+Model!BM84</f>
        <v>-526902.8836028201</v>
      </c>
      <c r="W20" s="8">
        <f>Model!BN84+Model!BO84+Model!BP84</f>
        <v>-512313.22207642003</v>
      </c>
      <c r="X20" s="8">
        <f>Model!BQ84+Model!BR84+Model!BS84</f>
        <v>-493852.58047002007</v>
      </c>
      <c r="Y20" s="8">
        <f>Model!BT84+Model!BU84+Model!BV84</f>
        <v>-470666.88360282005</v>
      </c>
      <c r="Z20" s="8">
        <f>Model!BW84+Model!BX84+Model!BY84</f>
        <v>-551743.42127487645</v>
      </c>
      <c r="AA20" s="8">
        <f>Model!BZ84+Model!CA84+Model!CB84</f>
        <v>-584367.15691794839</v>
      </c>
      <c r="AB20" s="8">
        <f>Model!CC84+Model!CD84+Model!CE84</f>
        <v>-582113.83207942033</v>
      </c>
      <c r="AC20" s="8">
        <f>Model!CF84+Model!CG84+Model!CH84</f>
        <v>-551856.39466839726</v>
      </c>
    </row>
    <row r="21" spans="1:29" ht="15" customHeight="1" x14ac:dyDescent="0.25">
      <c r="A21" s="13" t="s">
        <v>83</v>
      </c>
      <c r="B21" s="14">
        <f>Model!C86+Model!D86+Model!E86</f>
        <v>-227850.00999999998</v>
      </c>
      <c r="C21" s="14">
        <f>Model!F86+Model!G86+Model!H86</f>
        <v>-70865.66999999994</v>
      </c>
      <c r="D21" s="14">
        <f>Model!I86+Model!J86+Model!K86</f>
        <v>-199047.36999999994</v>
      </c>
      <c r="E21" s="14">
        <f>Model!L86+Model!M86+Model!N86</f>
        <v>-187422.36999999997</v>
      </c>
      <c r="F21" s="14">
        <f>Model!O86+Model!P86+Model!Q86</f>
        <v>-194596.245</v>
      </c>
      <c r="G21" s="14">
        <f>Model!R86+Model!S86+Model!T86</f>
        <v>-289774.995</v>
      </c>
      <c r="H21" s="14">
        <f>Model!U86+Model!V86+Model!W86</f>
        <v>-230359.995</v>
      </c>
      <c r="I21" s="14">
        <f>Model!X86+Model!Y86+Model!Z86</f>
        <v>-221571.57500000001</v>
      </c>
      <c r="J21" s="14">
        <f>Model!AA86+Model!AB86+Model!AC86</f>
        <v>-287309.97749999998</v>
      </c>
      <c r="K21" s="14">
        <f>Model!AD86+Model!AE86+Model!AF86</f>
        <v>-368614.17749999999</v>
      </c>
      <c r="L21" s="14">
        <f>Model!AG86+Model!AH86+Model!AI86</f>
        <v>-395033.3775</v>
      </c>
      <c r="M21" s="14">
        <f>Model!AJ86+Model!AK86+Model!AL86</f>
        <v>-373184.97749999998</v>
      </c>
      <c r="N21" s="14">
        <f>Model!AM86+Model!AN86+Model!AO86</f>
        <v>-380648.67705</v>
      </c>
      <c r="O21" s="14">
        <f>Model!AP86+Model!AQ86+Model!AR86</f>
        <v>-405056.46104999998</v>
      </c>
      <c r="P21" s="14">
        <f>Model!AS86+Model!AT86+Model!AU86</f>
        <v>-402934.04504999996</v>
      </c>
      <c r="Q21" s="14">
        <f>Model!AV86+Model!AW86+Model!AX86</f>
        <v>-380648.67704999994</v>
      </c>
      <c r="R21" s="14">
        <f>Model!AY86+Model!AZ86+Model!BA86</f>
        <v>-388261.65059099987</v>
      </c>
      <c r="S21" s="14">
        <f>Model!BB86+Model!BC86+Model!BD86</f>
        <v>-413157.59027099994</v>
      </c>
      <c r="T21" s="14">
        <f>Model!BE86+Model!BF86+Model!BG86</f>
        <v>-410992.725951</v>
      </c>
      <c r="U21" s="14">
        <f>Model!BH86+Model!BI86+Model!BJ86</f>
        <v>-388261.65059099998</v>
      </c>
      <c r="V21" s="14">
        <f>Model!BK86+Model!BL86+Model!BM86</f>
        <v>-396026.88360282005</v>
      </c>
      <c r="W21" s="14">
        <f>Model!BN86+Model!BO86+Model!BP86</f>
        <v>-369907.22207642003</v>
      </c>
      <c r="X21" s="14">
        <f>Model!BQ86+Model!BR86+Model!BS86</f>
        <v>-351450.58047002007</v>
      </c>
      <c r="Y21" s="14">
        <f>Model!BT86+Model!BU86+Model!BV86</f>
        <v>-328264.88360282005</v>
      </c>
      <c r="Z21" s="14">
        <f>Model!BW86+Model!BX86+Model!BY86</f>
        <v>-336185.4212748764</v>
      </c>
      <c r="AA21" s="14">
        <f>Model!BZ86+Model!CA86+Model!CB86</f>
        <v>-353350.15691794839</v>
      </c>
      <c r="AB21" s="14">
        <f>Model!CC86+Model!CD86+Model!CE86</f>
        <v>-351097.83207942039</v>
      </c>
      <c r="AC21" s="14">
        <f>Model!CF86+Model!CG86+Model!CH86</f>
        <v>-320840.3946683972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84</v>
      </c>
      <c r="B23" s="14">
        <f>Model!C95+Model!D95+Model!E95</f>
        <v>-138020.23222488025</v>
      </c>
      <c r="C23" s="14">
        <f>Model!F95+Model!G95+Model!H95</f>
        <v>802879.32972025534</v>
      </c>
      <c r="D23" s="14">
        <f>Model!I95+Model!J95+Model!K95</f>
        <v>1433121.8942575757</v>
      </c>
      <c r="E23" s="14">
        <f>Model!L95+Model!M95+Model!N95</f>
        <v>1038573.0392045451</v>
      </c>
      <c r="F23" s="14">
        <f>Model!O95+Model!P95+Model!Q95</f>
        <v>726891.0207409088</v>
      </c>
      <c r="G23" s="14">
        <f>Model!R95+Model!S95+Model!T95</f>
        <v>600061.58664999984</v>
      </c>
      <c r="H23" s="14">
        <f>Model!U95+Model!V95+Model!W95</f>
        <v>472934.77086052625</v>
      </c>
      <c r="I23" s="14">
        <f>Model!X95+Model!Y95+Model!Z95</f>
        <v>394140.67291794252</v>
      </c>
      <c r="J23" s="14">
        <f>Model!AA95+Model!AB95+Model!AC95</f>
        <v>-678853.79403857107</v>
      </c>
      <c r="K23" s="14">
        <f>Model!AD95+Model!AE95+Model!AF95</f>
        <v>195346.88095345465</v>
      </c>
      <c r="L23" s="14">
        <f>Model!AG95+Model!AH95+Model!AI95</f>
        <v>-32430.320940484758</v>
      </c>
      <c r="M23" s="14">
        <f>Model!AJ95+Model!AK95+Model!AL95</f>
        <v>-599538.7400692727</v>
      </c>
      <c r="N23" s="14">
        <f>Model!AM95+Model!AN95+Model!AO95</f>
        <v>-814872.79555247643</v>
      </c>
      <c r="O23" s="14">
        <f>Model!AP95+Model!AQ95+Model!AR95</f>
        <v>-839280.57955247641</v>
      </c>
      <c r="P23" s="14">
        <f>Model!AS95+Model!AT95+Model!AU95</f>
        <v>-1351553.2771888399</v>
      </c>
      <c r="Q23" s="14">
        <f>Model!AV95+Model!AW95+Model!AX95</f>
        <v>-1329267.9091888401</v>
      </c>
      <c r="R23" s="14">
        <f>Model!AY95+Model!AZ95+Model!BA95</f>
        <v>-1365252.0473726168</v>
      </c>
      <c r="S23" s="14">
        <f>Model!BB95+Model!BC95+Model!BD95</f>
        <v>-1390147.9870526167</v>
      </c>
      <c r="T23" s="14">
        <f>Model!BE95+Model!BF95+Model!BG95</f>
        <v>-1544629.4560659502</v>
      </c>
      <c r="U23" s="14">
        <f>Model!BH95+Model!BI95+Model!BJ95</f>
        <v>-1835191.0473726168</v>
      </c>
      <c r="V23" s="14">
        <f>Model!BK95+Model!BL95+Model!BM95</f>
        <v>-1871894.8683200693</v>
      </c>
      <c r="W23" s="14">
        <f>Model!BN95+Model!BO95+Model!BP95</f>
        <v>-1845775.2067936691</v>
      </c>
      <c r="X23" s="14">
        <f>Model!BQ95+Model!BR95+Model!BS95</f>
        <v>-1827318.5651872694</v>
      </c>
      <c r="Y23" s="14">
        <f>Model!BT95+Model!BU95+Model!BV95</f>
        <v>-1804132.8683200693</v>
      </c>
      <c r="Z23" s="14">
        <f>Model!BW95+Model!BX95+Model!BY95</f>
        <v>-1841570.7656864705</v>
      </c>
      <c r="AA23" s="14">
        <f>Model!BZ95+Model!CA95+Model!CB95</f>
        <v>-1858735.5013295426</v>
      </c>
      <c r="AB23" s="14">
        <f>Model!CC95+Model!CD95+Model!CE95</f>
        <v>-1856483.1764910144</v>
      </c>
      <c r="AC23" s="14">
        <f>Model!CF95+Model!CG95+Model!CH95</f>
        <v>-1826225.7390799914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85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86</v>
      </c>
      <c r="B26" s="8">
        <f>Model!C79+Model!D79+Model!E79</f>
        <v>0</v>
      </c>
      <c r="C26" s="8">
        <f>Model!F79+Model!G79+Model!H79</f>
        <v>-171223.12</v>
      </c>
      <c r="D26" s="8">
        <f>Model!I79+Model!J79+Model!K79</f>
        <v>0</v>
      </c>
      <c r="E26" s="8">
        <f>Model!L79+Model!M79+Model!N79</f>
        <v>0</v>
      </c>
      <c r="F26" s="8">
        <f>Model!O79+Model!P79+Model!Q79</f>
        <v>0</v>
      </c>
      <c r="G26" s="8">
        <f>Model!R79+Model!S79+Model!T79</f>
        <v>0</v>
      </c>
      <c r="H26" s="8">
        <f>Model!U79+Model!V79+Model!W79</f>
        <v>0</v>
      </c>
      <c r="I26" s="8">
        <f>Model!X79+Model!Y79+Model!Z79</f>
        <v>0</v>
      </c>
      <c r="J26" s="8">
        <f>Model!AA79+Model!AB79+Model!AC79</f>
        <v>0</v>
      </c>
      <c r="K26" s="8">
        <f>Model!AD79+Model!AE79+Model!AF79</f>
        <v>0</v>
      </c>
      <c r="L26" s="8">
        <f>Model!AG79+Model!AH79+Model!AI79</f>
        <v>0</v>
      </c>
      <c r="M26" s="8">
        <f>Model!AJ79+Model!AK79+Model!AL79</f>
        <v>0</v>
      </c>
      <c r="N26" s="8">
        <f>Model!AM79+Model!AN79+Model!AO79</f>
        <v>0</v>
      </c>
      <c r="O26" s="8">
        <f>Model!AP79+Model!AQ79+Model!AR79</f>
        <v>0</v>
      </c>
      <c r="P26" s="8">
        <f>Model!AS79+Model!AT79+Model!AU79</f>
        <v>0</v>
      </c>
      <c r="Q26" s="8">
        <f>Model!AV79+Model!AW79+Model!AX79</f>
        <v>0</v>
      </c>
      <c r="R26" s="8">
        <f>Model!AY79+Model!AZ79+Model!BA79</f>
        <v>0</v>
      </c>
      <c r="S26" s="8">
        <f>Model!BB79+Model!BC79+Model!BD79</f>
        <v>0</v>
      </c>
      <c r="T26" s="8">
        <f>Model!BE79+Model!BF79+Model!BG79</f>
        <v>0</v>
      </c>
      <c r="U26" s="8">
        <f>Model!BH79+Model!BI79+Model!BJ79</f>
        <v>0</v>
      </c>
      <c r="V26" s="8">
        <f>Model!BK79+Model!BL79+Model!BM79</f>
        <v>0</v>
      </c>
      <c r="W26" s="8">
        <f>Model!BN79+Model!BO79+Model!BP79</f>
        <v>0</v>
      </c>
      <c r="X26" s="8">
        <f>Model!BQ79+Model!BR79+Model!BS79</f>
        <v>0</v>
      </c>
      <c r="Y26" s="8">
        <f>Model!BT79+Model!BU79+Model!BV79</f>
        <v>0</v>
      </c>
      <c r="Z26" s="8">
        <f>Model!BW79+Model!BX79+Model!BY79</f>
        <v>0</v>
      </c>
      <c r="AA26" s="8">
        <f>Model!BZ79+Model!CA79+Model!CB79</f>
        <v>0</v>
      </c>
      <c r="AB26" s="8">
        <f>Model!CC79+Model!CD79+Model!CE79</f>
        <v>0</v>
      </c>
      <c r="AC26" s="8">
        <f>Model!CF79+Model!CG79+Model!CH79</f>
        <v>0</v>
      </c>
    </row>
    <row r="27" spans="1:29" ht="15" customHeight="1" x14ac:dyDescent="0.25">
      <c r="A27" s="7" t="s">
        <v>87</v>
      </c>
      <c r="B27" s="8">
        <f>Model!C80+Model!D80+Model!E80</f>
        <v>0</v>
      </c>
      <c r="C27" s="8">
        <f>Model!F80+Model!G80+Model!H80</f>
        <v>-120000</v>
      </c>
      <c r="D27" s="8">
        <f>Model!I80+Model!J80+Model!K80</f>
        <v>0</v>
      </c>
      <c r="E27" s="8">
        <f>Model!L80+Model!M80+Model!N80</f>
        <v>0</v>
      </c>
      <c r="F27" s="8">
        <f>Model!O80+Model!P80+Model!Q80</f>
        <v>0</v>
      </c>
      <c r="G27" s="8">
        <f>Model!R80+Model!S80+Model!T80</f>
        <v>0</v>
      </c>
      <c r="H27" s="8">
        <f>Model!U80+Model!V80+Model!W80</f>
        <v>0</v>
      </c>
      <c r="I27" s="8">
        <f>Model!X80+Model!Y80+Model!Z80</f>
        <v>0</v>
      </c>
      <c r="J27" s="8">
        <f>Model!AA80+Model!AB80+Model!AC80</f>
        <v>0</v>
      </c>
      <c r="K27" s="8">
        <f>Model!AD80+Model!AE80+Model!AF80</f>
        <v>0</v>
      </c>
      <c r="L27" s="8">
        <f>Model!AG80+Model!AH80+Model!AI80</f>
        <v>0</v>
      </c>
      <c r="M27" s="8">
        <f>Model!AJ80+Model!AK80+Model!AL80</f>
        <v>0</v>
      </c>
      <c r="N27" s="8">
        <f>Model!AM80+Model!AN80+Model!AO80</f>
        <v>0</v>
      </c>
      <c r="O27" s="8">
        <f>Model!AP80+Model!AQ80+Model!AR80</f>
        <v>0</v>
      </c>
      <c r="P27" s="8">
        <f>Model!AS80+Model!AT80+Model!AU80</f>
        <v>0</v>
      </c>
      <c r="Q27" s="8">
        <f>Model!AV80+Model!AW80+Model!AX80</f>
        <v>0</v>
      </c>
      <c r="R27" s="8">
        <f>Model!AY80+Model!AZ80+Model!BA80</f>
        <v>0</v>
      </c>
      <c r="S27" s="8">
        <f>Model!BB80+Model!BC80+Model!BD80</f>
        <v>0</v>
      </c>
      <c r="T27" s="8">
        <f>Model!BE80+Model!BF80+Model!BG80</f>
        <v>0</v>
      </c>
      <c r="U27" s="8">
        <f>Model!BH80+Model!BI80+Model!BJ80</f>
        <v>0</v>
      </c>
      <c r="V27" s="8">
        <f>Model!BK80+Model!BL80+Model!BM80</f>
        <v>0</v>
      </c>
      <c r="W27" s="8">
        <f>Model!BN80+Model!BO80+Model!BP80</f>
        <v>0</v>
      </c>
      <c r="X27" s="8">
        <f>Model!BQ80+Model!BR80+Model!BS80</f>
        <v>0</v>
      </c>
      <c r="Y27" s="8">
        <f>Model!BT80+Model!BU80+Model!BV80</f>
        <v>0</v>
      </c>
      <c r="Z27" s="8">
        <f>Model!BW80+Model!BX80+Model!BY80</f>
        <v>0</v>
      </c>
      <c r="AA27" s="8">
        <f>Model!BZ80+Model!CA80+Model!CB80</f>
        <v>0</v>
      </c>
      <c r="AB27" s="8">
        <f>Model!CC80+Model!CD80+Model!CE80</f>
        <v>0</v>
      </c>
      <c r="AC27" s="8">
        <f>Model!CF80+Model!CG80+Model!CH80</f>
        <v>0</v>
      </c>
    </row>
    <row r="28" spans="1:29" ht="15" customHeight="1" x14ac:dyDescent="0.25">
      <c r="A28" s="7" t="s">
        <v>88</v>
      </c>
      <c r="B28" s="8">
        <f>Model!C81+Model!D81+Model!E81</f>
        <v>0</v>
      </c>
      <c r="C28" s="8">
        <f>Model!F81+Model!G81+Model!H81</f>
        <v>0</v>
      </c>
      <c r="D28" s="8">
        <f>Model!I81+Model!J81+Model!K81</f>
        <v>0</v>
      </c>
      <c r="E28" s="8">
        <f>Model!L81+Model!M81+Model!N81</f>
        <v>0</v>
      </c>
      <c r="F28" s="8">
        <f>Model!O81+Model!P81+Model!Q81</f>
        <v>0</v>
      </c>
      <c r="G28" s="8">
        <f>Model!R81+Model!S81+Model!T81</f>
        <v>0</v>
      </c>
      <c r="H28" s="8">
        <f>Model!U81+Model!V81+Model!W81</f>
        <v>0</v>
      </c>
      <c r="I28" s="8">
        <f>Model!X81+Model!Y81+Model!Z81</f>
        <v>0</v>
      </c>
      <c r="J28" s="8">
        <f>Model!AA81+Model!AB81+Model!AC81</f>
        <v>0</v>
      </c>
      <c r="K28" s="8">
        <f>Model!AD81+Model!AE81+Model!AF81</f>
        <v>0</v>
      </c>
      <c r="L28" s="8">
        <f>Model!AG81+Model!AH81+Model!AI81</f>
        <v>0</v>
      </c>
      <c r="M28" s="8">
        <f>Model!AJ81+Model!AK81+Model!AL81</f>
        <v>0</v>
      </c>
      <c r="N28" s="8">
        <f>Model!AM81+Model!AN81+Model!AO81</f>
        <v>0</v>
      </c>
      <c r="O28" s="8">
        <f>Model!AP81+Model!AQ81+Model!AR81</f>
        <v>-81683</v>
      </c>
      <c r="P28" s="8">
        <f>Model!AS81+Model!AT81+Model!AU81</f>
        <v>-81682</v>
      </c>
      <c r="Q28" s="8">
        <f>Model!AV81+Model!AW81+Model!AX81</f>
        <v>-81682</v>
      </c>
      <c r="R28" s="8">
        <f>Model!AY81+Model!AZ81+Model!BA81</f>
        <v>-81682</v>
      </c>
      <c r="S28" s="8">
        <f>Model!BB81+Model!BC81+Model!BD81</f>
        <v>-59178</v>
      </c>
      <c r="T28" s="8">
        <f>Model!BE81+Model!BF81+Model!BG81</f>
        <v>-59176</v>
      </c>
      <c r="U28" s="8">
        <f>Model!BH81+Model!BI81+Model!BJ81</f>
        <v>-59176</v>
      </c>
      <c r="V28" s="8">
        <f>Model!BK81+Model!BL81+Model!BM81</f>
        <v>-59176</v>
      </c>
      <c r="W28" s="8">
        <f>Model!BN81+Model!BO81+Model!BP81</f>
        <v>-16249.479999999981</v>
      </c>
      <c r="X28" s="8">
        <f>Model!BQ81+Model!BR81+Model!BS81</f>
        <v>0</v>
      </c>
      <c r="Y28" s="8">
        <f>Model!BT81+Model!BU81+Model!BV81</f>
        <v>0</v>
      </c>
      <c r="Z28" s="8">
        <f>Model!BW81+Model!BX81+Model!BY81</f>
        <v>0</v>
      </c>
      <c r="AA28" s="8">
        <f>Model!BZ81+Model!CA81+Model!CB81</f>
        <v>0</v>
      </c>
      <c r="AB28" s="8">
        <f>Model!CC81+Model!CD81+Model!CE81</f>
        <v>0</v>
      </c>
      <c r="AC28" s="8">
        <f>Model!CF81+Model!CG81+Model!CH81</f>
        <v>0</v>
      </c>
    </row>
    <row r="29" spans="1:29" ht="15" customHeight="1" x14ac:dyDescent="0.25">
      <c r="A29" s="7" t="s">
        <v>89</v>
      </c>
      <c r="B29" s="8">
        <f>Model!C82+Model!D82+Model!E82</f>
        <v>0</v>
      </c>
      <c r="C29" s="8">
        <f>Model!F82+Model!G82+Model!H82</f>
        <v>0</v>
      </c>
      <c r="D29" s="8">
        <f>Model!I82+Model!J82+Model!K82</f>
        <v>0</v>
      </c>
      <c r="E29" s="8">
        <f>Model!L82+Model!M82+Model!N82</f>
        <v>0</v>
      </c>
      <c r="F29" s="8">
        <f>Model!O82+Model!P82+Model!Q82</f>
        <v>0</v>
      </c>
      <c r="G29" s="8">
        <f>Model!R82+Model!S82+Model!T82</f>
        <v>0</v>
      </c>
      <c r="H29" s="8">
        <f>Model!U82+Model!V82+Model!W82</f>
        <v>0</v>
      </c>
      <c r="I29" s="8">
        <f>Model!X82+Model!Y82+Model!Z82</f>
        <v>0</v>
      </c>
      <c r="J29" s="8">
        <f>Model!AA82+Model!AB82+Model!AC82</f>
        <v>0</v>
      </c>
      <c r="K29" s="8">
        <f>Model!AD82+Model!AE82+Model!AF82</f>
        <v>0</v>
      </c>
      <c r="L29" s="8">
        <f>Model!AG82+Model!AH82+Model!AI82</f>
        <v>0</v>
      </c>
      <c r="M29" s="8">
        <f>Model!AJ82+Model!AK82+Model!AL82</f>
        <v>0</v>
      </c>
      <c r="N29" s="8">
        <f>Model!AM82+Model!AN82+Model!AO82</f>
        <v>0</v>
      </c>
      <c r="O29" s="8">
        <f>Model!AP82+Model!AQ82+Model!AR82</f>
        <v>0</v>
      </c>
      <c r="P29" s="8">
        <f>Model!AS82+Model!AT82+Model!AU82</f>
        <v>0</v>
      </c>
      <c r="Q29" s="8">
        <f>Model!AV82+Model!AW82+Model!AX82</f>
        <v>0</v>
      </c>
      <c r="R29" s="8">
        <f>Model!AY82+Model!AZ82+Model!BA82</f>
        <v>-851839</v>
      </c>
      <c r="S29" s="8">
        <f>Model!BB82+Model!BC82+Model!BD82</f>
        <v>-71700</v>
      </c>
      <c r="T29" s="8">
        <f>Model!BE82+Model!BF82+Model!BG82</f>
        <v>-71700</v>
      </c>
      <c r="U29" s="8">
        <f>Model!BH82+Model!BI82+Model!BJ82</f>
        <v>-71700</v>
      </c>
      <c r="V29" s="8">
        <f>Model!BK82+Model!BL82+Model!BM82</f>
        <v>-71700</v>
      </c>
      <c r="W29" s="8">
        <f>Model!BN82+Model!BO82+Model!BP82</f>
        <v>-74643</v>
      </c>
      <c r="X29" s="8">
        <f>Model!BQ82+Model!BR82+Model!BS82</f>
        <v>-74640</v>
      </c>
      <c r="Y29" s="8">
        <f>Model!BT82+Model!BU82+Model!BV82</f>
        <v>-74640</v>
      </c>
      <c r="Z29" s="8">
        <f>Model!BW82+Model!BX82+Model!BY82</f>
        <v>-74640</v>
      </c>
      <c r="AA29" s="8">
        <f>Model!BZ82+Model!CA82+Model!CB82</f>
        <v>-81363</v>
      </c>
      <c r="AB29" s="8">
        <f>Model!CC82+Model!CD82+Model!CE82</f>
        <v>-81362</v>
      </c>
      <c r="AC29" s="8">
        <f>Model!CF82+Model!CG82+Model!CH82</f>
        <v>-74753.973393520777</v>
      </c>
    </row>
    <row r="30" spans="1:29" ht="15" customHeight="1" x14ac:dyDescent="0.25">
      <c r="A30" s="7" t="s">
        <v>90</v>
      </c>
      <c r="B30" s="8">
        <f>Model!C83+Model!D83+Model!E83</f>
        <v>0</v>
      </c>
      <c r="C30" s="8">
        <f>Model!F83+Model!G83+Model!H83</f>
        <v>0</v>
      </c>
      <c r="D30" s="8">
        <f>Model!I83+Model!J83+Model!K83</f>
        <v>0</v>
      </c>
      <c r="E30" s="8">
        <f>Model!L83+Model!M83+Model!N83</f>
        <v>0</v>
      </c>
      <c r="F30" s="8">
        <f>Model!O83+Model!P83+Model!Q83</f>
        <v>0</v>
      </c>
      <c r="G30" s="8">
        <f>Model!R83+Model!S83+Model!T83</f>
        <v>0</v>
      </c>
      <c r="H30" s="8">
        <f>Model!U83+Model!V83+Model!W83</f>
        <v>0</v>
      </c>
      <c r="I30" s="8">
        <f>Model!X83+Model!Y83+Model!Z83</f>
        <v>0</v>
      </c>
      <c r="J30" s="8">
        <f>Model!AA83+Model!AB83+Model!AC83</f>
        <v>0</v>
      </c>
      <c r="K30" s="8">
        <f>Model!AD83+Model!AE83+Model!AF83</f>
        <v>0</v>
      </c>
      <c r="L30" s="8">
        <f>Model!AG83+Model!AH83+Model!AI83</f>
        <v>0</v>
      </c>
      <c r="M30" s="8">
        <f>Model!AJ83+Model!AK83+Model!AL83</f>
        <v>0</v>
      </c>
      <c r="N30" s="8">
        <f>Model!AM83+Model!AN83+Model!AO83</f>
        <v>0</v>
      </c>
      <c r="O30" s="8">
        <f>Model!AP83+Model!AQ83+Model!AR83</f>
        <v>0</v>
      </c>
      <c r="P30" s="8">
        <f>Model!AS83+Model!AT83+Model!AU83</f>
        <v>0</v>
      </c>
      <c r="Q30" s="8">
        <f>Model!AV83+Model!AW83+Model!AX83</f>
        <v>0</v>
      </c>
      <c r="R30" s="8">
        <f>Model!AY83+Model!AZ83+Model!BA83</f>
        <v>0</v>
      </c>
      <c r="S30" s="8">
        <f>Model!BB83+Model!BC83+Model!BD83</f>
        <v>0</v>
      </c>
      <c r="T30" s="8">
        <f>Model!BE83+Model!BF83+Model!BG83</f>
        <v>0</v>
      </c>
      <c r="U30" s="8">
        <f>Model!BH83+Model!BI83+Model!BJ83</f>
        <v>0</v>
      </c>
      <c r="V30" s="8">
        <f>Model!BK83+Model!BL83+Model!BM83</f>
        <v>0</v>
      </c>
      <c r="W30" s="8">
        <f>Model!BN83+Model!BO83+Model!BP83</f>
        <v>0</v>
      </c>
      <c r="X30" s="8">
        <f>Model!BQ83+Model!BR83+Model!BS83</f>
        <v>0</v>
      </c>
      <c r="Y30" s="8">
        <f>Model!BT83+Model!BU83+Model!BV83</f>
        <v>0</v>
      </c>
      <c r="Z30" s="8">
        <f>Model!BW83+Model!BX83+Model!BY83</f>
        <v>-73156</v>
      </c>
      <c r="AA30" s="8">
        <f>Model!BZ83+Model!CA83+Model!CB83</f>
        <v>-73155</v>
      </c>
      <c r="AB30" s="8">
        <f>Model!CC83+Model!CD83+Model!CE83</f>
        <v>-73155</v>
      </c>
      <c r="AC30" s="8">
        <f>Model!CF83+Model!CG83+Model!CH83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92</v>
      </c>
      <c r="B33" s="8">
        <f>Model!C100+Model!D100+Model!E100</f>
        <v>0</v>
      </c>
      <c r="C33" s="8">
        <f>Model!F100+Model!G100+Model!H100</f>
        <v>0</v>
      </c>
      <c r="D33" s="8">
        <f>Model!I100+Model!J100+Model!K100</f>
        <v>-390000</v>
      </c>
      <c r="E33" s="8">
        <f>Model!L100+Model!M100+Model!N100</f>
        <v>-390000</v>
      </c>
      <c r="F33" s="8">
        <f>Model!O100+Model!P100+Model!Q100</f>
        <v>-390000</v>
      </c>
      <c r="G33" s="8">
        <f>Model!R100+Model!S100+Model!T100</f>
        <v>-390000</v>
      </c>
      <c r="H33" s="8">
        <f>Model!U100+Model!V100+Model!W100</f>
        <v>-325969.24328544503</v>
      </c>
      <c r="I33" s="8">
        <f>Model!X100+Model!Y100+Model!Z100</f>
        <v>0</v>
      </c>
      <c r="J33" s="8">
        <f>Model!AA100+Model!AB100+Model!AC100</f>
        <v>0</v>
      </c>
      <c r="K33" s="8">
        <f>Model!AD100+Model!AE100+Model!AF100</f>
        <v>0</v>
      </c>
      <c r="L33" s="8">
        <f>Model!AG100+Model!AH100+Model!AI100</f>
        <v>0</v>
      </c>
      <c r="M33" s="8">
        <f>Model!AJ100+Model!AK100+Model!AL100</f>
        <v>0</v>
      </c>
      <c r="N33" s="8">
        <f>Model!AM100+Model!AN100+Model!AO100</f>
        <v>0</v>
      </c>
      <c r="O33" s="8">
        <f>Model!AP100+Model!AQ100+Model!AR100</f>
        <v>0</v>
      </c>
      <c r="P33" s="8">
        <f>Model!AS100+Model!AT100+Model!AU100</f>
        <v>0</v>
      </c>
      <c r="Q33" s="8">
        <f>Model!AV100+Model!AW100+Model!AX100</f>
        <v>0</v>
      </c>
      <c r="R33" s="8">
        <f>Model!AY100+Model!AZ100+Model!BA100</f>
        <v>0</v>
      </c>
      <c r="S33" s="8">
        <f>Model!BB100+Model!BC100+Model!BD100</f>
        <v>0</v>
      </c>
      <c r="T33" s="8">
        <f>Model!BE100+Model!BF100+Model!BG100</f>
        <v>0</v>
      </c>
      <c r="U33" s="8">
        <f>Model!BH100+Model!BI100+Model!BJ100</f>
        <v>0</v>
      </c>
      <c r="V33" s="8">
        <f>Model!BK100+Model!BL100+Model!BM100</f>
        <v>0</v>
      </c>
      <c r="W33" s="8">
        <f>Model!BN100+Model!BO100+Model!BP100</f>
        <v>0</v>
      </c>
      <c r="X33" s="8">
        <f>Model!BQ100+Model!BR100+Model!BS100</f>
        <v>0</v>
      </c>
      <c r="Y33" s="8">
        <f>Model!BT100+Model!BU100+Model!BV100</f>
        <v>0</v>
      </c>
      <c r="Z33" s="8">
        <f>Model!BW100+Model!BX100+Model!BY100</f>
        <v>0</v>
      </c>
      <c r="AA33" s="8">
        <f>Model!BZ100+Model!CA100+Model!CB100</f>
        <v>0</v>
      </c>
      <c r="AB33" s="8">
        <f>Model!CC100+Model!CD100+Model!CE100</f>
        <v>0</v>
      </c>
      <c r="AC33" s="8">
        <f>Model!CF100+Model!CG100+Model!CH100</f>
        <v>0</v>
      </c>
    </row>
    <row r="34" spans="1:29" ht="15" customHeight="1" x14ac:dyDescent="0.25">
      <c r="A34" s="7" t="s">
        <v>93</v>
      </c>
      <c r="B34" s="8">
        <f>Model!E101</f>
        <v>1676065.6875</v>
      </c>
      <c r="C34" s="8">
        <f>Model!H101</f>
        <v>1738918.1507812501</v>
      </c>
      <c r="D34" s="8">
        <f>Model!K101</f>
        <v>1404377.581435547</v>
      </c>
      <c r="E34" s="8">
        <f>Model!N101</f>
        <v>1057291.74073938</v>
      </c>
      <c r="F34" s="8">
        <f>Model!Q101</f>
        <v>697190.18101710675</v>
      </c>
      <c r="G34" s="8">
        <f>Model!T101</f>
        <v>323584.81280524825</v>
      </c>
      <c r="H34" s="8">
        <f>Model!W101</f>
        <v>0</v>
      </c>
      <c r="I34" s="8">
        <f>Model!Z101</f>
        <v>0</v>
      </c>
      <c r="J34" s="8">
        <f>Model!AC101</f>
        <v>0</v>
      </c>
      <c r="K34" s="8">
        <f>Model!AF101</f>
        <v>0</v>
      </c>
      <c r="L34" s="8">
        <f>Model!AI101</f>
        <v>0</v>
      </c>
      <c r="M34" s="8">
        <f>Model!AL101</f>
        <v>0</v>
      </c>
      <c r="N34" s="8">
        <f>Model!AO101</f>
        <v>0</v>
      </c>
      <c r="O34" s="8">
        <f>Model!AR101</f>
        <v>0</v>
      </c>
      <c r="P34" s="8">
        <f>Model!AU101</f>
        <v>0</v>
      </c>
      <c r="Q34" s="8">
        <f>Model!AX101</f>
        <v>0</v>
      </c>
      <c r="R34" s="8">
        <f>Model!BA101</f>
        <v>0</v>
      </c>
      <c r="S34" s="8">
        <f>Model!BD101</f>
        <v>0</v>
      </c>
      <c r="T34" s="8">
        <f>Model!BG101</f>
        <v>0</v>
      </c>
      <c r="U34" s="8">
        <f>Model!BJ101</f>
        <v>0</v>
      </c>
      <c r="V34" s="8">
        <f>Model!BM101</f>
        <v>0</v>
      </c>
      <c r="W34" s="8">
        <f>Model!BP101</f>
        <v>0</v>
      </c>
      <c r="X34" s="8">
        <f>Model!BS101</f>
        <v>0</v>
      </c>
      <c r="Y34" s="8">
        <f>Model!BV101</f>
        <v>0</v>
      </c>
      <c r="Z34" s="8">
        <f>Model!BY101</f>
        <v>0</v>
      </c>
      <c r="AA34" s="8">
        <f>Model!CB101</f>
        <v>0</v>
      </c>
      <c r="AB34" s="8">
        <f>Model!CE101</f>
        <v>0</v>
      </c>
      <c r="AC34" s="8">
        <f>Model!CH101</f>
        <v>0</v>
      </c>
    </row>
    <row r="35" spans="1:29" ht="15" customHeight="1" x14ac:dyDescent="0.25">
      <c r="A35" s="7" t="s">
        <v>94</v>
      </c>
      <c r="B35" s="8">
        <f>Model!C106+Model!D106+Model!E106</f>
        <v>0</v>
      </c>
      <c r="C35" s="8">
        <f>Model!F106+Model!G106+Model!H106</f>
        <v>0</v>
      </c>
      <c r="D35" s="8">
        <f>Model!I106+Model!J106+Model!K106</f>
        <v>0</v>
      </c>
      <c r="E35" s="8">
        <f>Model!L106+Model!M106+Model!N106</f>
        <v>-250000</v>
      </c>
      <c r="F35" s="8">
        <f>Model!O106+Model!P106+Model!Q106</f>
        <v>0</v>
      </c>
      <c r="G35" s="8">
        <f>Model!R106+Model!S106+Model!T106</f>
        <v>0</v>
      </c>
      <c r="H35" s="8">
        <f>Model!U106+Model!V106+Model!W106</f>
        <v>0</v>
      </c>
      <c r="I35" s="8">
        <f>Model!X106+Model!Y106+Model!Z106</f>
        <v>-250000</v>
      </c>
      <c r="J35" s="8">
        <f>Model!AA106+Model!AB106+Model!AC106</f>
        <v>0</v>
      </c>
      <c r="K35" s="8">
        <f>Model!AD106+Model!AE106+Model!AF106</f>
        <v>0</v>
      </c>
      <c r="L35" s="8">
        <f>Model!AG106+Model!AH106+Model!AI106</f>
        <v>0</v>
      </c>
      <c r="M35" s="8">
        <f>Model!AJ106+Model!AK106+Model!AL106</f>
        <v>0</v>
      </c>
      <c r="N35" s="8">
        <f>Model!AM106+Model!AN106+Model!AO106</f>
        <v>0</v>
      </c>
      <c r="O35" s="8">
        <f>Model!AP106+Model!AQ106+Model!AR106</f>
        <v>0</v>
      </c>
      <c r="P35" s="8">
        <f>Model!AS106+Model!AT106+Model!AU106</f>
        <v>0</v>
      </c>
      <c r="Q35" s="8">
        <f>Model!AV106+Model!AW106+Model!AX106</f>
        <v>0</v>
      </c>
      <c r="R35" s="8">
        <f>Model!AY106+Model!AZ106+Model!BA106</f>
        <v>0</v>
      </c>
      <c r="S35" s="8">
        <f>Model!BB106+Model!BC106+Model!BD106</f>
        <v>0</v>
      </c>
      <c r="T35" s="8">
        <f>Model!BE106+Model!BF106+Model!BG106</f>
        <v>0</v>
      </c>
      <c r="U35" s="8">
        <f>Model!BH106+Model!BI106+Model!BJ106</f>
        <v>0</v>
      </c>
      <c r="V35" s="8">
        <f>Model!BK106+Model!BL106+Model!BM106</f>
        <v>0</v>
      </c>
      <c r="W35" s="8">
        <f>Model!BN106+Model!BO106+Model!BP106</f>
        <v>0</v>
      </c>
      <c r="X35" s="8">
        <f>Model!BQ106+Model!BR106+Model!BS106</f>
        <v>0</v>
      </c>
      <c r="Y35" s="8">
        <f>Model!BT106+Model!BU106+Model!BV106</f>
        <v>0</v>
      </c>
      <c r="Z35" s="8">
        <f>Model!BW106+Model!BX106+Model!BY106</f>
        <v>0</v>
      </c>
      <c r="AA35" s="8">
        <f>Model!BZ106+Model!CA106+Model!CB106</f>
        <v>0</v>
      </c>
      <c r="AB35" s="8">
        <f>Model!CC106+Model!CD106+Model!CE106</f>
        <v>0</v>
      </c>
      <c r="AC35" s="8">
        <f>Model!CF106+Model!CG106+Model!CH106</f>
        <v>0</v>
      </c>
    </row>
    <row r="36" spans="1:29" ht="15" customHeight="1" x14ac:dyDescent="0.25">
      <c r="A36" s="7" t="s">
        <v>95</v>
      </c>
      <c r="B36" s="8">
        <f>Model!E107</f>
        <v>1000000</v>
      </c>
      <c r="C36" s="8">
        <f>Model!H107</f>
        <v>1000000</v>
      </c>
      <c r="D36" s="8">
        <f>Model!K107</f>
        <v>1000000</v>
      </c>
      <c r="E36" s="8">
        <f>Model!N107</f>
        <v>750000</v>
      </c>
      <c r="F36" s="8">
        <f>Model!Q107</f>
        <v>750000</v>
      </c>
      <c r="G36" s="8">
        <f>Model!T107</f>
        <v>750000</v>
      </c>
      <c r="H36" s="8">
        <f>Model!W107</f>
        <v>750000</v>
      </c>
      <c r="I36" s="8">
        <f>Model!Z107</f>
        <v>500000</v>
      </c>
      <c r="J36" s="8">
        <f>Model!AC107</f>
        <v>500000</v>
      </c>
      <c r="K36" s="8">
        <f>Model!AF107</f>
        <v>500000</v>
      </c>
      <c r="L36" s="8">
        <f>Model!AI107</f>
        <v>500000</v>
      </c>
      <c r="M36" s="8">
        <f>Model!AL107</f>
        <v>500000</v>
      </c>
      <c r="N36" s="8">
        <f>Model!AO107</f>
        <v>500000</v>
      </c>
      <c r="O36" s="8">
        <f>Model!AR107</f>
        <v>500000</v>
      </c>
      <c r="P36" s="8">
        <f>Model!AU107</f>
        <v>500000</v>
      </c>
      <c r="Q36" s="8">
        <f>Model!AX107</f>
        <v>500000</v>
      </c>
      <c r="R36" s="8">
        <f>Model!BA107</f>
        <v>500000</v>
      </c>
      <c r="S36" s="8">
        <f>Model!BD107</f>
        <v>500000</v>
      </c>
      <c r="T36" s="8">
        <f>Model!BG107</f>
        <v>500000</v>
      </c>
      <c r="U36" s="8">
        <f>Model!BJ107</f>
        <v>500000</v>
      </c>
      <c r="V36" s="8">
        <f>Model!BM107</f>
        <v>500000</v>
      </c>
      <c r="W36" s="8">
        <f>Model!BP107</f>
        <v>500000</v>
      </c>
      <c r="X36" s="8">
        <f>Model!BS107</f>
        <v>500000</v>
      </c>
      <c r="Y36" s="8">
        <f>Model!BV107</f>
        <v>500000</v>
      </c>
      <c r="Z36" s="8">
        <f>Model!BY107</f>
        <v>500000</v>
      </c>
      <c r="AA36" s="8">
        <f>Model!CB107</f>
        <v>500000</v>
      </c>
      <c r="AB36" s="8">
        <f>Model!CE107</f>
        <v>500000</v>
      </c>
      <c r="AC36" s="8">
        <f>Model!CH107</f>
        <v>500000</v>
      </c>
    </row>
    <row r="37" spans="1:29" ht="15" customHeight="1" x14ac:dyDescent="0.25">
      <c r="A37" s="7" t="s">
        <v>96</v>
      </c>
      <c r="B37" s="8">
        <f>Model!C154+Model!D154+Model!E154</f>
        <v>0</v>
      </c>
      <c r="C37" s="8">
        <f>Model!F154+Model!G154+Model!H154</f>
        <v>0</v>
      </c>
      <c r="D37" s="8">
        <f>Model!I154+Model!J154+Model!K154</f>
        <v>0</v>
      </c>
      <c r="E37" s="8">
        <f>Model!L154+Model!M154+Model!N154</f>
        <v>0</v>
      </c>
      <c r="F37" s="8">
        <f>Model!O154+Model!P154+Model!Q154</f>
        <v>0</v>
      </c>
      <c r="G37" s="8">
        <f>Model!R154+Model!S154+Model!T154</f>
        <v>0</v>
      </c>
      <c r="H37" s="8">
        <f>Model!U154+Model!V154+Model!W154</f>
        <v>0</v>
      </c>
      <c r="I37" s="8">
        <f>Model!X154+Model!Y154+Model!Z154</f>
        <v>0</v>
      </c>
      <c r="J37" s="8">
        <f>Model!AA154+Model!AB154+Model!AC154</f>
        <v>0</v>
      </c>
      <c r="K37" s="8">
        <f>Model!AD154+Model!AE154+Model!AF154</f>
        <v>0</v>
      </c>
      <c r="L37" s="8">
        <f>Model!AG154+Model!AH154+Model!AI154</f>
        <v>0</v>
      </c>
      <c r="M37" s="8">
        <f>Model!AJ154+Model!AK154+Model!AL154</f>
        <v>0</v>
      </c>
      <c r="N37" s="8">
        <f>Model!AM154+Model!AN154+Model!AO154</f>
        <v>0</v>
      </c>
      <c r="O37" s="8">
        <f>Model!AP154+Model!AQ154+Model!AR154</f>
        <v>0</v>
      </c>
      <c r="P37" s="8">
        <f>Model!AS154+Model!AT154+Model!AU154</f>
        <v>0</v>
      </c>
      <c r="Q37" s="8">
        <f>Model!AV154+Model!AW154+Model!AX154</f>
        <v>0</v>
      </c>
      <c r="R37" s="8">
        <f>Model!AY154+Model!AZ154+Model!BA154</f>
        <v>0</v>
      </c>
      <c r="S37" s="8">
        <f>Model!BB154+Model!BC154+Model!BD154</f>
        <v>0</v>
      </c>
      <c r="T37" s="8">
        <f>Model!BE154+Model!BF154+Model!BG154</f>
        <v>0</v>
      </c>
      <c r="U37" s="8">
        <f>Model!BH154+Model!BI154+Model!BJ154</f>
        <v>0</v>
      </c>
      <c r="V37" s="8">
        <f>Model!BK154+Model!BL154+Model!BM154</f>
        <v>0</v>
      </c>
      <c r="W37" s="8">
        <f>Model!BN154+Model!BO154+Model!BP154</f>
        <v>0</v>
      </c>
      <c r="X37" s="8">
        <f>Model!BQ154+Model!BR154+Model!BS154</f>
        <v>0</v>
      </c>
      <c r="Y37" s="8">
        <f>Model!BT154+Model!BU154+Model!BV154</f>
        <v>0</v>
      </c>
      <c r="Z37" s="8">
        <f>Model!BW154+Model!BX154+Model!BY154</f>
        <v>0</v>
      </c>
      <c r="AA37" s="8">
        <f>Model!BZ154+Model!CA154+Model!CB154</f>
        <v>0</v>
      </c>
      <c r="AB37" s="8">
        <f>Model!CC154+Model!CD154+Model!CE154</f>
        <v>0</v>
      </c>
      <c r="AC37" s="8">
        <f>Model!CF154+Model!CG154+Model!CH154</f>
        <v>0</v>
      </c>
    </row>
    <row r="38" spans="1:29" ht="15" customHeight="1" x14ac:dyDescent="0.25">
      <c r="A38" s="7" t="s">
        <v>97</v>
      </c>
      <c r="B38" s="8">
        <f>Model!E114+Model!E119+Model!E124+Model!E129</f>
        <v>1738378.1968749999</v>
      </c>
      <c r="C38" s="8">
        <f>Model!H114+Model!H119+Model!H124+Model!H129</f>
        <v>2142433.6580078127</v>
      </c>
      <c r="D38" s="8">
        <f>Model!K114+Model!K119+Model!K124+Model!K129</f>
        <v>2378399.9201831054</v>
      </c>
      <c r="E38" s="8">
        <f>Model!N126</f>
        <v>69194.323095703119</v>
      </c>
      <c r="F38" s="8">
        <f>Model!Q126</f>
        <v>21164.110211791987</v>
      </c>
      <c r="G38" s="8">
        <f>Model!T126</f>
        <v>21957.764344734187</v>
      </c>
      <c r="H38" s="8">
        <f>Model!W126</f>
        <v>22781.180507661717</v>
      </c>
      <c r="I38" s="8">
        <f>Model!Z126</f>
        <v>23635.474776699033</v>
      </c>
      <c r="J38" s="8">
        <f>Model!AC126</f>
        <v>24521.805080825245</v>
      </c>
      <c r="K38" s="8">
        <f>Model!AF126</f>
        <v>25441.372771356189</v>
      </c>
      <c r="L38" s="8">
        <f>Model!AI126</f>
        <v>26395.424250282045</v>
      </c>
      <c r="M38" s="8">
        <f>Model!AL126</f>
        <v>27385.252659667622</v>
      </c>
      <c r="N38" s="8">
        <f>Model!AO126</f>
        <v>28412.199634405155</v>
      </c>
      <c r="O38" s="8">
        <f>Model!AR126</f>
        <v>29477.657120695352</v>
      </c>
      <c r="P38" s="8">
        <f>Model!AU126</f>
        <v>30583.069262721427</v>
      </c>
      <c r="Q38" s="8">
        <f>Model!AX126</f>
        <v>31729.934360073479</v>
      </c>
      <c r="R38" s="8">
        <f>Model!BA126</f>
        <v>32919.806898576237</v>
      </c>
      <c r="S38" s="8">
        <f>Model!BD126</f>
        <v>24810.375907272846</v>
      </c>
      <c r="T38" s="8">
        <f>Model!BG126</f>
        <v>23052.015003795575</v>
      </c>
      <c r="U38" s="8">
        <f>Model!BJ126</f>
        <v>21227.71556643791</v>
      </c>
      <c r="V38" s="8">
        <f>Model!BM126</f>
        <v>19335.004900179334</v>
      </c>
      <c r="W38" s="8">
        <f>Model!BP126</f>
        <v>17371.317583936059</v>
      </c>
      <c r="X38" s="8">
        <f>Model!BS126</f>
        <v>15223.629493333659</v>
      </c>
      <c r="Y38" s="8">
        <f>Model!BV126</f>
        <v>12995.51559933367</v>
      </c>
      <c r="Z38" s="8">
        <f>Model!BY126</f>
        <v>10683.847434308684</v>
      </c>
      <c r="AA38" s="8">
        <f>Model!CB126</f>
        <v>8285.4917130952581</v>
      </c>
      <c r="AB38" s="8">
        <f>Model!CE126</f>
        <v>5545.0851523363308</v>
      </c>
      <c r="AC38" s="8">
        <f>Model!CH126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98</v>
      </c>
      <c r="B40" s="8">
        <f>Model!E140</f>
        <v>19934994.86045029</v>
      </c>
      <c r="C40" s="8">
        <f>Model!H140</f>
        <v>53470466.10025207</v>
      </c>
      <c r="D40" s="8">
        <f>Model!K140</f>
        <v>89880219.287110507</v>
      </c>
      <c r="E40" s="8">
        <f>Model!N140</f>
        <v>72497927.028571129</v>
      </c>
      <c r="F40" s="8">
        <f>Model!Q140</f>
        <v>96517203.05507499</v>
      </c>
      <c r="G40" s="8">
        <f>Model!T140</f>
        <v>76187589.600928992</v>
      </c>
      <c r="H40" s="8">
        <f>Model!W140</f>
        <v>56473335.557831988</v>
      </c>
      <c r="I40" s="8">
        <f>Model!Z140</f>
        <v>39330314.060103998</v>
      </c>
      <c r="J40" s="8">
        <f>Model!AC140</f>
        <v>67115910.942615986</v>
      </c>
      <c r="K40" s="8">
        <f>Model!AF140</f>
        <v>56684810.890850991</v>
      </c>
      <c r="L40" s="8">
        <f>Model!AI140</f>
        <v>46152166.879777998</v>
      </c>
      <c r="M40" s="8">
        <f>Model!AL140</f>
        <v>35942217.821294002</v>
      </c>
      <c r="N40" s="8">
        <f>Model!AO140</f>
        <v>26981928.712532006</v>
      </c>
      <c r="O40" s="8">
        <f>Model!AR140</f>
        <v>18775979.790616009</v>
      </c>
      <c r="P40" s="8">
        <f>Model!AU140</f>
        <v>13258584.501624003</v>
      </c>
      <c r="Q40" s="8">
        <f>Model!AX140</f>
        <v>8360541.8875440042</v>
      </c>
      <c r="R40" s="8">
        <f>Model!BA140</f>
        <v>4384004.5383200068</v>
      </c>
      <c r="S40" s="8">
        <f>Model!BD140</f>
        <v>1431490.5866800072</v>
      </c>
      <c r="T40" s="8">
        <f>Model!BG140</f>
        <v>0</v>
      </c>
      <c r="U40" s="8">
        <f>Model!BJ140</f>
        <v>0</v>
      </c>
      <c r="V40" s="8">
        <f>Model!BM140</f>
        <v>0</v>
      </c>
      <c r="W40" s="8">
        <f>Model!BP140</f>
        <v>0</v>
      </c>
      <c r="X40" s="8">
        <f>Model!BS140</f>
        <v>0</v>
      </c>
      <c r="Y40" s="8">
        <f>Model!BV140</f>
        <v>0</v>
      </c>
      <c r="Z40" s="8">
        <f>Model!BY140</f>
        <v>0</v>
      </c>
      <c r="AA40" s="8">
        <f>Model!CB140</f>
        <v>0</v>
      </c>
      <c r="AB40" s="8">
        <f>Model!CE140</f>
        <v>0</v>
      </c>
      <c r="AC40" s="8">
        <f>Model!CH140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99</v>
      </c>
      <c r="B42" s="19">
        <f>Model!E147</f>
        <v>1741745.4677751197</v>
      </c>
      <c r="C42" s="19">
        <f>Model!H147</f>
        <v>2615490.4674953748</v>
      </c>
      <c r="D42" s="19">
        <f>Model!K147</f>
        <v>4247659.7317529507</v>
      </c>
      <c r="E42" s="19">
        <f>Model!N147</f>
        <v>5473655.1409574971</v>
      </c>
      <c r="F42" s="19">
        <f>Model!Q147</f>
        <v>6395142.4066984057</v>
      </c>
      <c r="G42" s="19">
        <f>Model!T147</f>
        <v>7284978.9883484058</v>
      </c>
      <c r="H42" s="19">
        <f>Model!W147</f>
        <v>7988273.7542089317</v>
      </c>
      <c r="I42" s="19">
        <f>Model!Z147</f>
        <v>8603986.0021268744</v>
      </c>
      <c r="J42" s="19">
        <f>Model!AC147</f>
        <v>8212442.1855883049</v>
      </c>
      <c r="K42" s="19">
        <f>Model!AF147</f>
        <v>8776403.2440417595</v>
      </c>
      <c r="L42" s="19">
        <f>Model!AI147</f>
        <v>9139006.3006012756</v>
      </c>
      <c r="M42" s="19">
        <f>Model!AL147</f>
        <v>8912652.5380320027</v>
      </c>
      <c r="N42" s="19">
        <f>Model!AO147</f>
        <v>8478428.4195295256</v>
      </c>
      <c r="O42" s="19">
        <f>Model!AR147</f>
        <v>8044204.3010270484</v>
      </c>
      <c r="P42" s="19">
        <f>Model!AU147</f>
        <v>7095585.0688882098</v>
      </c>
      <c r="Q42" s="19">
        <f>Model!AX147</f>
        <v>6146965.8367493711</v>
      </c>
      <c r="R42" s="19">
        <f>Model!BA147</f>
        <v>5169975.4399677534</v>
      </c>
      <c r="S42" s="19">
        <f>Model!BD147</f>
        <v>4192985.0431861361</v>
      </c>
      <c r="T42" s="19">
        <f>Model!BG147</f>
        <v>3059348.3130711862</v>
      </c>
      <c r="U42" s="19">
        <f>Model!BJ147</f>
        <v>1612418.9162895693</v>
      </c>
      <c r="V42" s="19">
        <f>Model!BM147</f>
        <v>136550.93157232017</v>
      </c>
      <c r="W42" s="19">
        <f>Model!BP147</f>
        <v>-1339317.053144929</v>
      </c>
      <c r="X42" s="19">
        <f>Model!BS147</f>
        <v>-2815185.0378621784</v>
      </c>
      <c r="Y42" s="19">
        <f>Model!BV147</f>
        <v>-4291053.0225794278</v>
      </c>
      <c r="Z42" s="19">
        <f>Model!BY147</f>
        <v>-5796438.3669910217</v>
      </c>
      <c r="AA42" s="19">
        <f>Model!CB147</f>
        <v>-7301823.7114026155</v>
      </c>
      <c r="AB42" s="19">
        <f>Model!CE147</f>
        <v>-8807209.0558142103</v>
      </c>
      <c r="AC42" s="19">
        <f>Model!CH147</f>
        <v>-10312594.400225807</v>
      </c>
    </row>
    <row r="43" spans="1:29" ht="15" customHeight="1" x14ac:dyDescent="0.25">
      <c r="A43" s="18" t="s">
        <v>100</v>
      </c>
      <c r="B43" s="19">
        <f>Model!E155</f>
        <v>223781.15</v>
      </c>
      <c r="C43" s="19">
        <f>Model!H155</f>
        <v>152915.48000000004</v>
      </c>
      <c r="D43" s="19">
        <f>Model!K155</f>
        <v>-436131.8899999999</v>
      </c>
      <c r="E43" s="19">
        <f>Model!N155</f>
        <v>-1263554.2599999998</v>
      </c>
      <c r="F43" s="19">
        <f>Model!Q155</f>
        <v>-1848150.5049999999</v>
      </c>
      <c r="G43" s="19">
        <f>Model!T155</f>
        <v>-2527925.5</v>
      </c>
      <c r="H43" s="19">
        <f>Model!W155</f>
        <v>-3084254.7382854451</v>
      </c>
      <c r="I43" s="19">
        <f>Model!Z155</f>
        <v>-3555826.3132854453</v>
      </c>
      <c r="J43" s="19">
        <f>Model!AC155</f>
        <v>-3843136.2907854458</v>
      </c>
      <c r="K43" s="19">
        <f>Model!AF155</f>
        <v>-4211750.4682854461</v>
      </c>
      <c r="L43" s="19">
        <f>Model!AI155</f>
        <v>-4606783.8457854455</v>
      </c>
      <c r="M43" s="19">
        <f>Model!AL155</f>
        <v>-4979968.8232854446</v>
      </c>
      <c r="N43" s="19">
        <f>Model!AO155</f>
        <v>-5360617.5003354456</v>
      </c>
      <c r="O43" s="19">
        <f>Model!AR155</f>
        <v>-5765673.9613854466</v>
      </c>
      <c r="P43" s="19">
        <f>Model!AU155</f>
        <v>-6168608.0064354474</v>
      </c>
      <c r="Q43" s="19">
        <f>Model!AX155</f>
        <v>-6549256.6834854484</v>
      </c>
      <c r="R43" s="19">
        <f>Model!BA155</f>
        <v>-6937518.3340764474</v>
      </c>
      <c r="S43" s="19">
        <f>Model!BD155</f>
        <v>-7350675.9243474472</v>
      </c>
      <c r="T43" s="19">
        <f>Model!BG155</f>
        <v>-7761668.6502984464</v>
      </c>
      <c r="U43" s="19">
        <f>Model!BJ155</f>
        <v>-8149930.3008894455</v>
      </c>
      <c r="V43" s="19">
        <f>Model!BM155</f>
        <v>-8545957.1844922658</v>
      </c>
      <c r="W43" s="19">
        <f>Model!BP155</f>
        <v>-8915864.4065686855</v>
      </c>
      <c r="X43" s="19">
        <f>Model!BS155</f>
        <v>-9267314.9870387036</v>
      </c>
      <c r="Y43" s="19">
        <f>Model!BV155</f>
        <v>-9595579.8706415221</v>
      </c>
      <c r="Z43" s="19">
        <f>Model!BY155</f>
        <v>-9931765.2919164002</v>
      </c>
      <c r="AA43" s="19">
        <f>Model!CB155</f>
        <v>-10285115.44883435</v>
      </c>
      <c r="AB43" s="19">
        <f>Model!CE155</f>
        <v>-10636213.280913772</v>
      </c>
      <c r="AC43" s="19">
        <f>Model!CH155</f>
        <v>-10957053.67558217</v>
      </c>
    </row>
    <row r="44" spans="1:29" ht="15" customHeight="1" x14ac:dyDescent="0.25">
      <c r="A44" s="18" t="s">
        <v>101</v>
      </c>
      <c r="B44" s="19">
        <f>Model!C159+Model!D159+Model!E159</f>
        <v>0</v>
      </c>
      <c r="C44" s="19">
        <f>Model!F159+Model!G159+Model!H159</f>
        <v>0</v>
      </c>
      <c r="D44" s="19">
        <f>Model!I159+Model!J159+Model!K159</f>
        <v>0</v>
      </c>
      <c r="E44" s="19">
        <f>Model!L159+Model!M159+Model!N159</f>
        <v>-629394.29752588528</v>
      </c>
      <c r="F44" s="19">
        <f>Model!O159+Model!P159+Model!Q159</f>
        <v>0</v>
      </c>
      <c r="G44" s="19">
        <f>Model!R159+Model!S159+Model!T159</f>
        <v>0</v>
      </c>
      <c r="H44" s="19">
        <f>Model!U159+Model!V159+Model!W159</f>
        <v>0</v>
      </c>
      <c r="I44" s="19">
        <f>Model!X159+Model!Y159+Model!Z159</f>
        <v>-851538.12523679389</v>
      </c>
      <c r="J44" s="19">
        <f>Model!AA159+Model!AB159+Model!AC159</f>
        <v>0</v>
      </c>
      <c r="K44" s="19">
        <f>Model!AD159+Model!AE159+Model!AF159</f>
        <v>0</v>
      </c>
      <c r="L44" s="19">
        <f>Model!AG159+Model!AH159+Model!AI159</f>
        <v>0</v>
      </c>
      <c r="M44" s="19">
        <f>Model!AJ159+Model!AK159+Model!AL159</f>
        <v>0</v>
      </c>
      <c r="N44" s="19">
        <f>Model!AM159+Model!AN159+Model!AO159</f>
        <v>0</v>
      </c>
      <c r="O44" s="19">
        <f>Model!AP159+Model!AQ159+Model!AR159</f>
        <v>0</v>
      </c>
      <c r="P44" s="19">
        <f>Model!AS159+Model!AT159+Model!AU159</f>
        <v>0</v>
      </c>
      <c r="Q44" s="19">
        <f>Model!AV159+Model!AW159+Model!AX159</f>
        <v>0</v>
      </c>
      <c r="R44" s="19">
        <f>Model!AY159+Model!AZ159+Model!BA159</f>
        <v>0</v>
      </c>
      <c r="S44" s="19">
        <f>Model!BB159+Model!BC159+Model!BD159</f>
        <v>0</v>
      </c>
      <c r="T44" s="19">
        <f>Model!BE159+Model!BF159+Model!BG159</f>
        <v>0</v>
      </c>
      <c r="U44" s="19">
        <f>Model!BH159+Model!BI159+Model!BJ159</f>
        <v>0</v>
      </c>
      <c r="V44" s="19">
        <f>Model!BK159+Model!BL159+Model!BM159</f>
        <v>0</v>
      </c>
      <c r="W44" s="19">
        <f>Model!BN159+Model!BO159+Model!BP159</f>
        <v>0</v>
      </c>
      <c r="X44" s="19">
        <f>Model!BQ159+Model!BR159+Model!BS159</f>
        <v>0</v>
      </c>
      <c r="Y44" s="19">
        <f>Model!BT159+Model!BU159+Model!BV159</f>
        <v>0</v>
      </c>
      <c r="Z44" s="19">
        <f>Model!BW159+Model!BX159+Model!BY159</f>
        <v>0</v>
      </c>
      <c r="AA44" s="19">
        <f>Model!BZ159+Model!CA159+Model!CB159</f>
        <v>0</v>
      </c>
      <c r="AB44" s="19">
        <f>Model!CC159+Model!CD159+Model!CE159</f>
        <v>0</v>
      </c>
      <c r="AC44" s="19">
        <f>Model!CF159+Model!CG159+Model!CH159</f>
        <v>0</v>
      </c>
    </row>
    <row r="45" spans="1:29" ht="15" customHeight="1" x14ac:dyDescent="0.25">
      <c r="A45" s="20" t="s">
        <v>102</v>
      </c>
      <c r="B45" s="21">
        <f>Model!E160</f>
        <v>1965526.6177751196</v>
      </c>
      <c r="C45" s="21">
        <f>Model!H160</f>
        <v>2768405.9474953748</v>
      </c>
      <c r="D45" s="21">
        <f>Model!K160</f>
        <v>3811527.8417529506</v>
      </c>
      <c r="E45" s="21">
        <f>Model!N160</f>
        <v>3580706.5834316118</v>
      </c>
      <c r="F45" s="21">
        <f>Model!Q160</f>
        <v>4546991.9016984059</v>
      </c>
      <c r="G45" s="21">
        <f>Model!T160</f>
        <v>4757053.4883484058</v>
      </c>
      <c r="H45" s="21">
        <f>Model!W160</f>
        <v>4904019.0159234861</v>
      </c>
      <c r="I45" s="21">
        <f>Model!Z160</f>
        <v>4196621.5636046343</v>
      </c>
      <c r="J45" s="21">
        <f>Model!AC160</f>
        <v>4369305.89480286</v>
      </c>
      <c r="K45" s="21">
        <f>Model!AF160</f>
        <v>4564652.7757563144</v>
      </c>
      <c r="L45" s="21">
        <f>Model!AI160</f>
        <v>4532222.4548158292</v>
      </c>
      <c r="M45" s="21">
        <f>Model!AL160</f>
        <v>3932683.7147465576</v>
      </c>
      <c r="N45" s="21">
        <f>Model!AO160</f>
        <v>3117810.9191940804</v>
      </c>
      <c r="O45" s="21">
        <f>Model!AR160</f>
        <v>2278530.3396416022</v>
      </c>
      <c r="P45" s="21">
        <f>Model!AU160</f>
        <v>926977.06245276204</v>
      </c>
      <c r="Q45" s="21">
        <f>Model!AX160</f>
        <v>-402290.84673607734</v>
      </c>
      <c r="R45" s="21">
        <f>Model!BA160</f>
        <v>-1767542.8941086938</v>
      </c>
      <c r="S45" s="21">
        <f>Model!BD160</f>
        <v>-3157690.8811613116</v>
      </c>
      <c r="T45" s="21">
        <f>Model!BG160</f>
        <v>-4702320.3372272607</v>
      </c>
      <c r="U45" s="21">
        <f>Model!BJ160</f>
        <v>-6537511.3845998766</v>
      </c>
      <c r="V45" s="21">
        <f>Model!BM160</f>
        <v>-8409406.2529199459</v>
      </c>
      <c r="W45" s="21">
        <f>Model!BP160</f>
        <v>-10255181.459713614</v>
      </c>
      <c r="X45" s="21">
        <f>Model!BS160</f>
        <v>-12082500.024900882</v>
      </c>
      <c r="Y45" s="21">
        <f>Model!BV160</f>
        <v>-13886632.89322095</v>
      </c>
      <c r="Z45" s="21">
        <f>Model!BY160</f>
        <v>-15728203.658907423</v>
      </c>
      <c r="AA45" s="21">
        <f>Model!CB160</f>
        <v>-17586939.160236966</v>
      </c>
      <c r="AB45" s="21">
        <f>Model!CE160</f>
        <v>-19443422.336727981</v>
      </c>
      <c r="AC45" s="21">
        <f>Model!CH160</f>
        <v>-21269648.075807977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180" t="s">
        <v>265</v>
      </c>
      <c r="B1" s="181"/>
      <c r="C1" s="181"/>
      <c r="D1" s="181"/>
      <c r="E1" s="181"/>
      <c r="F1" s="18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266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267</v>
      </c>
      <c r="B4" s="1"/>
      <c r="C4" s="48">
        <f>Model!C51</f>
        <v>9375</v>
      </c>
      <c r="D4" s="48">
        <f>Model!D51</f>
        <v>9375</v>
      </c>
      <c r="E4" s="48">
        <f>Model!E51</f>
        <v>9375</v>
      </c>
      <c r="F4" s="48">
        <f>Model!F51</f>
        <v>9375</v>
      </c>
      <c r="G4" s="48">
        <f>Model!G51</f>
        <v>9375</v>
      </c>
      <c r="H4" s="48">
        <f>Model!H51</f>
        <v>9375</v>
      </c>
      <c r="I4" s="48">
        <f>Model!I51</f>
        <v>9375</v>
      </c>
      <c r="J4" s="48">
        <f>Model!J51</f>
        <v>0</v>
      </c>
      <c r="K4" s="48">
        <f>Model!K51</f>
        <v>0</v>
      </c>
      <c r="L4" s="48">
        <f>Model!L51</f>
        <v>0</v>
      </c>
      <c r="M4" s="48">
        <f>Model!M51</f>
        <v>0</v>
      </c>
      <c r="N4" s="48">
        <f>Model!N51</f>
        <v>0</v>
      </c>
      <c r="O4" s="48">
        <f>Model!O51</f>
        <v>0</v>
      </c>
      <c r="P4" s="48">
        <f>Model!P51</f>
        <v>0</v>
      </c>
      <c r="Q4" s="48">
        <f>Model!Q51</f>
        <v>0</v>
      </c>
      <c r="R4" s="48">
        <f>Model!R51</f>
        <v>0</v>
      </c>
      <c r="S4" s="48">
        <f>Model!S51</f>
        <v>0</v>
      </c>
      <c r="T4" s="48">
        <f>Model!T51</f>
        <v>0</v>
      </c>
      <c r="U4" s="48">
        <f>Model!U51</f>
        <v>0</v>
      </c>
      <c r="V4" s="48">
        <f>Model!V51</f>
        <v>0</v>
      </c>
      <c r="W4" s="48">
        <f>Model!W51</f>
        <v>0</v>
      </c>
      <c r="X4" s="48">
        <f>Model!X51</f>
        <v>0</v>
      </c>
      <c r="Y4" s="48">
        <f>Model!Y51</f>
        <v>0</v>
      </c>
      <c r="Z4" s="48">
        <f>Model!Z51</f>
        <v>0</v>
      </c>
      <c r="AA4" s="48">
        <f>Model!AA51</f>
        <v>0</v>
      </c>
      <c r="AB4" s="48">
        <f>Model!AB51</f>
        <v>0</v>
      </c>
      <c r="AC4" s="48">
        <f>Model!AC51</f>
        <v>0</v>
      </c>
      <c r="AD4" s="48">
        <f>Model!AD51</f>
        <v>0</v>
      </c>
      <c r="AE4" s="48">
        <f>Model!AE51</f>
        <v>0</v>
      </c>
      <c r="AF4" s="48">
        <f>Model!AF51</f>
        <v>0</v>
      </c>
      <c r="AG4" s="48">
        <f>Model!AG51</f>
        <v>0</v>
      </c>
      <c r="AH4" s="48">
        <f>Model!AH51</f>
        <v>0</v>
      </c>
      <c r="AI4" s="48">
        <f>Model!AI51</f>
        <v>0</v>
      </c>
      <c r="AJ4" s="48">
        <f>Model!AJ51</f>
        <v>0</v>
      </c>
      <c r="AK4" s="48">
        <f>Model!AK51</f>
        <v>0</v>
      </c>
      <c r="AL4" s="48">
        <f>Model!AL51</f>
        <v>0</v>
      </c>
      <c r="AM4" s="48">
        <f>Model!AM51</f>
        <v>0</v>
      </c>
      <c r="AN4" s="48">
        <f>Model!AN51</f>
        <v>0</v>
      </c>
      <c r="AO4" s="48">
        <f>Model!AO51</f>
        <v>0</v>
      </c>
      <c r="AP4" s="48">
        <f>Model!AP51</f>
        <v>0</v>
      </c>
      <c r="AQ4" s="48">
        <f>Model!AQ51</f>
        <v>0</v>
      </c>
      <c r="AR4" s="48">
        <f>Model!AR51</f>
        <v>0</v>
      </c>
      <c r="AS4" s="48">
        <f>Model!AS51</f>
        <v>0</v>
      </c>
      <c r="AT4" s="48">
        <f>Model!AT51</f>
        <v>0</v>
      </c>
      <c r="AU4" s="48">
        <f>Model!AU51</f>
        <v>0</v>
      </c>
      <c r="AV4" s="48">
        <f>Model!AV51</f>
        <v>0</v>
      </c>
      <c r="AW4" s="48">
        <f>Model!AW51</f>
        <v>0</v>
      </c>
      <c r="AX4" s="48">
        <f>Model!AX51</f>
        <v>0</v>
      </c>
      <c r="AY4" s="48">
        <f>Model!AY51</f>
        <v>0</v>
      </c>
      <c r="AZ4" s="48">
        <f>Model!AZ51</f>
        <v>0</v>
      </c>
      <c r="BA4" s="48">
        <f>Model!BA51</f>
        <v>0</v>
      </c>
      <c r="BB4" s="48">
        <f>Model!BB51</f>
        <v>0</v>
      </c>
      <c r="BC4" s="48">
        <f>Model!BC51</f>
        <v>0</v>
      </c>
      <c r="BD4" s="48">
        <f>Model!BD51</f>
        <v>0</v>
      </c>
      <c r="BE4" s="48">
        <f>Model!BE51</f>
        <v>0</v>
      </c>
      <c r="BF4" s="48">
        <f>Model!BF51</f>
        <v>0</v>
      </c>
      <c r="BG4" s="48">
        <f>Model!BG51</f>
        <v>0</v>
      </c>
      <c r="BH4" s="48">
        <f>Model!BH51</f>
        <v>0</v>
      </c>
      <c r="BI4" s="48">
        <f>Model!BI51</f>
        <v>0</v>
      </c>
      <c r="BJ4" s="48">
        <f>Model!BJ51</f>
        <v>0</v>
      </c>
      <c r="BK4" s="48">
        <f>Model!BK51</f>
        <v>0</v>
      </c>
      <c r="BL4" s="48">
        <f>Model!BL51</f>
        <v>0</v>
      </c>
      <c r="BM4" s="48">
        <f>Model!BM51</f>
        <v>0</v>
      </c>
      <c r="BN4" s="48">
        <f>Model!BN51</f>
        <v>0</v>
      </c>
      <c r="BO4" s="48">
        <f>Model!BO51</f>
        <v>0</v>
      </c>
      <c r="BP4" s="48">
        <f>Model!BP51</f>
        <v>0</v>
      </c>
      <c r="BQ4" s="48">
        <f>Model!BQ51</f>
        <v>0</v>
      </c>
      <c r="BR4" s="48">
        <f>Model!BR51</f>
        <v>0</v>
      </c>
      <c r="BS4" s="48">
        <f>Model!BS51</f>
        <v>0</v>
      </c>
      <c r="BT4" s="48">
        <f>Model!BT51</f>
        <v>0</v>
      </c>
      <c r="BU4" s="48">
        <f>Model!BU51</f>
        <v>0</v>
      </c>
      <c r="BV4" s="48">
        <f>Model!BV51</f>
        <v>0</v>
      </c>
      <c r="BW4" s="48">
        <f>Model!BW51</f>
        <v>0</v>
      </c>
      <c r="BX4" s="48">
        <f>Model!BX51</f>
        <v>0</v>
      </c>
      <c r="BY4" s="48">
        <f>Model!BY51</f>
        <v>0</v>
      </c>
      <c r="BZ4" s="48">
        <f>Model!BZ51</f>
        <v>0</v>
      </c>
      <c r="CA4" s="48">
        <f>Model!CA51</f>
        <v>0</v>
      </c>
      <c r="CB4" s="48">
        <f>Model!CB51</f>
        <v>0</v>
      </c>
      <c r="CC4" s="48">
        <f>Model!CC51</f>
        <v>0</v>
      </c>
      <c r="CD4" s="48">
        <f>Model!CD51</f>
        <v>0</v>
      </c>
      <c r="CE4" s="48">
        <f>Model!CE51</f>
        <v>0</v>
      </c>
      <c r="CF4" s="48">
        <f>Model!CF51</f>
        <v>0</v>
      </c>
      <c r="CG4" s="48">
        <f>Model!CG51</f>
        <v>0</v>
      </c>
      <c r="CH4" s="48">
        <f>Model!CH51</f>
        <v>0</v>
      </c>
    </row>
    <row r="5" spans="1:86" ht="15" customHeight="1" x14ac:dyDescent="0.25">
      <c r="A5" s="28" t="s">
        <v>268</v>
      </c>
      <c r="B5" s="28"/>
      <c r="C5" s="49">
        <f t="shared" ref="C5:AH5" si="0">C4</f>
        <v>9375</v>
      </c>
      <c r="D5" s="49">
        <f t="shared" si="0"/>
        <v>9375</v>
      </c>
      <c r="E5" s="49">
        <f t="shared" si="0"/>
        <v>9375</v>
      </c>
      <c r="F5" s="49">
        <f t="shared" si="0"/>
        <v>9375</v>
      </c>
      <c r="G5" s="49">
        <f t="shared" si="0"/>
        <v>9375</v>
      </c>
      <c r="H5" s="49">
        <f t="shared" si="0"/>
        <v>9375</v>
      </c>
      <c r="I5" s="49">
        <f t="shared" si="0"/>
        <v>9375</v>
      </c>
      <c r="J5" s="49">
        <f t="shared" si="0"/>
        <v>0</v>
      </c>
      <c r="K5" s="49">
        <f t="shared" si="0"/>
        <v>0</v>
      </c>
      <c r="L5" s="49">
        <f t="shared" si="0"/>
        <v>0</v>
      </c>
      <c r="M5" s="49">
        <f t="shared" si="0"/>
        <v>0</v>
      </c>
      <c r="N5" s="49">
        <f t="shared" si="0"/>
        <v>0</v>
      </c>
      <c r="O5" s="49">
        <f t="shared" si="0"/>
        <v>0</v>
      </c>
      <c r="P5" s="49">
        <f t="shared" si="0"/>
        <v>0</v>
      </c>
      <c r="Q5" s="49">
        <f t="shared" si="0"/>
        <v>0</v>
      </c>
      <c r="R5" s="49">
        <f t="shared" si="0"/>
        <v>0</v>
      </c>
      <c r="S5" s="49">
        <f t="shared" si="0"/>
        <v>0</v>
      </c>
      <c r="T5" s="49">
        <f t="shared" si="0"/>
        <v>0</v>
      </c>
      <c r="U5" s="49">
        <f t="shared" si="0"/>
        <v>0</v>
      </c>
      <c r="V5" s="49">
        <f t="shared" si="0"/>
        <v>0</v>
      </c>
      <c r="W5" s="49">
        <f t="shared" si="0"/>
        <v>0</v>
      </c>
      <c r="X5" s="49">
        <f t="shared" si="0"/>
        <v>0</v>
      </c>
      <c r="Y5" s="49">
        <f t="shared" si="0"/>
        <v>0</v>
      </c>
      <c r="Z5" s="49">
        <f t="shared" si="0"/>
        <v>0</v>
      </c>
      <c r="AA5" s="49">
        <f t="shared" si="0"/>
        <v>0</v>
      </c>
      <c r="AB5" s="49">
        <f t="shared" si="0"/>
        <v>0</v>
      </c>
      <c r="AC5" s="49">
        <f t="shared" si="0"/>
        <v>0</v>
      </c>
      <c r="AD5" s="49">
        <f t="shared" si="0"/>
        <v>0</v>
      </c>
      <c r="AE5" s="49">
        <f t="shared" si="0"/>
        <v>0</v>
      </c>
      <c r="AF5" s="49">
        <f t="shared" si="0"/>
        <v>0</v>
      </c>
      <c r="AG5" s="49">
        <f t="shared" si="0"/>
        <v>0</v>
      </c>
      <c r="AH5" s="49">
        <f t="shared" si="0"/>
        <v>0</v>
      </c>
      <c r="AI5" s="49">
        <f t="shared" ref="AI5:BN5" si="1">AI4</f>
        <v>0</v>
      </c>
      <c r="AJ5" s="49">
        <f t="shared" si="1"/>
        <v>0</v>
      </c>
      <c r="AK5" s="49">
        <f t="shared" si="1"/>
        <v>0</v>
      </c>
      <c r="AL5" s="49">
        <f t="shared" si="1"/>
        <v>0</v>
      </c>
      <c r="AM5" s="49">
        <f t="shared" si="1"/>
        <v>0</v>
      </c>
      <c r="AN5" s="49">
        <f t="shared" si="1"/>
        <v>0</v>
      </c>
      <c r="AO5" s="49">
        <f t="shared" si="1"/>
        <v>0</v>
      </c>
      <c r="AP5" s="49">
        <f t="shared" si="1"/>
        <v>0</v>
      </c>
      <c r="AQ5" s="49">
        <f t="shared" si="1"/>
        <v>0</v>
      </c>
      <c r="AR5" s="49">
        <f t="shared" si="1"/>
        <v>0</v>
      </c>
      <c r="AS5" s="49">
        <f t="shared" si="1"/>
        <v>0</v>
      </c>
      <c r="AT5" s="49">
        <f t="shared" si="1"/>
        <v>0</v>
      </c>
      <c r="AU5" s="49">
        <f t="shared" si="1"/>
        <v>0</v>
      </c>
      <c r="AV5" s="49">
        <f t="shared" si="1"/>
        <v>0</v>
      </c>
      <c r="AW5" s="49">
        <f t="shared" si="1"/>
        <v>0</v>
      </c>
      <c r="AX5" s="49">
        <f t="shared" si="1"/>
        <v>0</v>
      </c>
      <c r="AY5" s="49">
        <f t="shared" si="1"/>
        <v>0</v>
      </c>
      <c r="AZ5" s="49">
        <f t="shared" si="1"/>
        <v>0</v>
      </c>
      <c r="BA5" s="49">
        <f t="shared" si="1"/>
        <v>0</v>
      </c>
      <c r="BB5" s="49">
        <f t="shared" si="1"/>
        <v>0</v>
      </c>
      <c r="BC5" s="49">
        <f t="shared" si="1"/>
        <v>0</v>
      </c>
      <c r="BD5" s="49">
        <f t="shared" si="1"/>
        <v>0</v>
      </c>
      <c r="BE5" s="49">
        <f t="shared" si="1"/>
        <v>0</v>
      </c>
      <c r="BF5" s="49">
        <f t="shared" si="1"/>
        <v>0</v>
      </c>
      <c r="BG5" s="49">
        <f t="shared" si="1"/>
        <v>0</v>
      </c>
      <c r="BH5" s="49">
        <f t="shared" si="1"/>
        <v>0</v>
      </c>
      <c r="BI5" s="49">
        <f t="shared" si="1"/>
        <v>0</v>
      </c>
      <c r="BJ5" s="49">
        <f t="shared" si="1"/>
        <v>0</v>
      </c>
      <c r="BK5" s="49">
        <f t="shared" si="1"/>
        <v>0</v>
      </c>
      <c r="BL5" s="49">
        <f t="shared" si="1"/>
        <v>0</v>
      </c>
      <c r="BM5" s="49">
        <f t="shared" si="1"/>
        <v>0</v>
      </c>
      <c r="BN5" s="49">
        <f t="shared" si="1"/>
        <v>0</v>
      </c>
      <c r="BO5" s="49">
        <f t="shared" ref="BO5:CT5" si="2">BO4</f>
        <v>0</v>
      </c>
      <c r="BP5" s="49">
        <f t="shared" si="2"/>
        <v>0</v>
      </c>
      <c r="BQ5" s="49">
        <f t="shared" si="2"/>
        <v>0</v>
      </c>
      <c r="BR5" s="49">
        <f t="shared" si="2"/>
        <v>0</v>
      </c>
      <c r="BS5" s="49">
        <f t="shared" si="2"/>
        <v>0</v>
      </c>
      <c r="BT5" s="49">
        <f t="shared" si="2"/>
        <v>0</v>
      </c>
      <c r="BU5" s="49">
        <f t="shared" si="2"/>
        <v>0</v>
      </c>
      <c r="BV5" s="49">
        <f t="shared" si="2"/>
        <v>0</v>
      </c>
      <c r="BW5" s="49">
        <f t="shared" si="2"/>
        <v>0</v>
      </c>
      <c r="BX5" s="49">
        <f t="shared" si="2"/>
        <v>0</v>
      </c>
      <c r="BY5" s="49">
        <f t="shared" si="2"/>
        <v>0</v>
      </c>
      <c r="BZ5" s="49">
        <f t="shared" si="2"/>
        <v>0</v>
      </c>
      <c r="CA5" s="49">
        <f t="shared" si="2"/>
        <v>0</v>
      </c>
      <c r="CB5" s="49">
        <f t="shared" si="2"/>
        <v>0</v>
      </c>
      <c r="CC5" s="49">
        <f t="shared" si="2"/>
        <v>0</v>
      </c>
      <c r="CD5" s="49">
        <f t="shared" si="2"/>
        <v>0</v>
      </c>
      <c r="CE5" s="49">
        <f t="shared" si="2"/>
        <v>0</v>
      </c>
      <c r="CF5" s="49">
        <f t="shared" si="2"/>
        <v>0</v>
      </c>
      <c r="CG5" s="49">
        <f t="shared" si="2"/>
        <v>0</v>
      </c>
      <c r="CH5" s="49">
        <f t="shared" si="2"/>
        <v>0</v>
      </c>
    </row>
    <row r="6" spans="1:86" ht="15" customHeight="1" x14ac:dyDescent="0.25">
      <c r="A6" s="42" t="s">
        <v>269</v>
      </c>
      <c r="B6" s="1"/>
      <c r="C6" s="50">
        <f>C5</f>
        <v>9375</v>
      </c>
      <c r="D6" s="50">
        <f t="shared" ref="D6:AI6" si="3">C6+D5</f>
        <v>18750</v>
      </c>
      <c r="E6" s="50">
        <f t="shared" si="3"/>
        <v>28125</v>
      </c>
      <c r="F6" s="50">
        <f t="shared" si="3"/>
        <v>37500</v>
      </c>
      <c r="G6" s="50">
        <f t="shared" si="3"/>
        <v>46875</v>
      </c>
      <c r="H6" s="50">
        <f t="shared" si="3"/>
        <v>56250</v>
      </c>
      <c r="I6" s="50">
        <f t="shared" si="3"/>
        <v>65625</v>
      </c>
      <c r="J6" s="50">
        <f t="shared" si="3"/>
        <v>65625</v>
      </c>
      <c r="K6" s="50">
        <f t="shared" si="3"/>
        <v>65625</v>
      </c>
      <c r="L6" s="50">
        <f t="shared" si="3"/>
        <v>65625</v>
      </c>
      <c r="M6" s="50">
        <f t="shared" si="3"/>
        <v>65625</v>
      </c>
      <c r="N6" s="50">
        <f t="shared" si="3"/>
        <v>65625</v>
      </c>
      <c r="O6" s="50">
        <f t="shared" si="3"/>
        <v>65625</v>
      </c>
      <c r="P6" s="50">
        <f t="shared" si="3"/>
        <v>65625</v>
      </c>
      <c r="Q6" s="50">
        <f t="shared" si="3"/>
        <v>65625</v>
      </c>
      <c r="R6" s="50">
        <f t="shared" si="3"/>
        <v>65625</v>
      </c>
      <c r="S6" s="50">
        <f t="shared" si="3"/>
        <v>65625</v>
      </c>
      <c r="T6" s="50">
        <f t="shared" si="3"/>
        <v>65625</v>
      </c>
      <c r="U6" s="50">
        <f t="shared" si="3"/>
        <v>65625</v>
      </c>
      <c r="V6" s="50">
        <f t="shared" si="3"/>
        <v>65625</v>
      </c>
      <c r="W6" s="50">
        <f t="shared" si="3"/>
        <v>65625</v>
      </c>
      <c r="X6" s="50">
        <f t="shared" si="3"/>
        <v>65625</v>
      </c>
      <c r="Y6" s="50">
        <f t="shared" si="3"/>
        <v>65625</v>
      </c>
      <c r="Z6" s="50">
        <f t="shared" si="3"/>
        <v>65625</v>
      </c>
      <c r="AA6" s="50">
        <f t="shared" si="3"/>
        <v>65625</v>
      </c>
      <c r="AB6" s="50">
        <f t="shared" si="3"/>
        <v>65625</v>
      </c>
      <c r="AC6" s="50">
        <f t="shared" si="3"/>
        <v>65625</v>
      </c>
      <c r="AD6" s="50">
        <f t="shared" si="3"/>
        <v>65625</v>
      </c>
      <c r="AE6" s="50">
        <f t="shared" si="3"/>
        <v>65625</v>
      </c>
      <c r="AF6" s="50">
        <f t="shared" si="3"/>
        <v>65625</v>
      </c>
      <c r="AG6" s="50">
        <f t="shared" si="3"/>
        <v>65625</v>
      </c>
      <c r="AH6" s="50">
        <f t="shared" si="3"/>
        <v>65625</v>
      </c>
      <c r="AI6" s="50">
        <f t="shared" si="3"/>
        <v>65625</v>
      </c>
      <c r="AJ6" s="50">
        <f t="shared" ref="AJ6:BO6" si="4">AI6+AJ5</f>
        <v>65625</v>
      </c>
      <c r="AK6" s="50">
        <f t="shared" si="4"/>
        <v>65625</v>
      </c>
      <c r="AL6" s="50">
        <f t="shared" si="4"/>
        <v>65625</v>
      </c>
      <c r="AM6" s="50">
        <f t="shared" si="4"/>
        <v>65625</v>
      </c>
      <c r="AN6" s="50">
        <f t="shared" si="4"/>
        <v>65625</v>
      </c>
      <c r="AO6" s="50">
        <f t="shared" si="4"/>
        <v>65625</v>
      </c>
      <c r="AP6" s="50">
        <f t="shared" si="4"/>
        <v>65625</v>
      </c>
      <c r="AQ6" s="50">
        <f t="shared" si="4"/>
        <v>65625</v>
      </c>
      <c r="AR6" s="50">
        <f t="shared" si="4"/>
        <v>65625</v>
      </c>
      <c r="AS6" s="50">
        <f t="shared" si="4"/>
        <v>65625</v>
      </c>
      <c r="AT6" s="50">
        <f t="shared" si="4"/>
        <v>65625</v>
      </c>
      <c r="AU6" s="50">
        <f t="shared" si="4"/>
        <v>65625</v>
      </c>
      <c r="AV6" s="50">
        <f t="shared" si="4"/>
        <v>65625</v>
      </c>
      <c r="AW6" s="50">
        <f t="shared" si="4"/>
        <v>65625</v>
      </c>
      <c r="AX6" s="50">
        <f t="shared" si="4"/>
        <v>65625</v>
      </c>
      <c r="AY6" s="50">
        <f t="shared" si="4"/>
        <v>65625</v>
      </c>
      <c r="AZ6" s="50">
        <f t="shared" si="4"/>
        <v>65625</v>
      </c>
      <c r="BA6" s="50">
        <f t="shared" si="4"/>
        <v>65625</v>
      </c>
      <c r="BB6" s="50">
        <f t="shared" si="4"/>
        <v>65625</v>
      </c>
      <c r="BC6" s="50">
        <f t="shared" si="4"/>
        <v>65625</v>
      </c>
      <c r="BD6" s="50">
        <f t="shared" si="4"/>
        <v>65625</v>
      </c>
      <c r="BE6" s="50">
        <f t="shared" si="4"/>
        <v>65625</v>
      </c>
      <c r="BF6" s="50">
        <f t="shared" si="4"/>
        <v>65625</v>
      </c>
      <c r="BG6" s="50">
        <f t="shared" si="4"/>
        <v>65625</v>
      </c>
      <c r="BH6" s="50">
        <f t="shared" si="4"/>
        <v>65625</v>
      </c>
      <c r="BI6" s="50">
        <f t="shared" si="4"/>
        <v>65625</v>
      </c>
      <c r="BJ6" s="50">
        <f t="shared" si="4"/>
        <v>65625</v>
      </c>
      <c r="BK6" s="50">
        <f t="shared" si="4"/>
        <v>65625</v>
      </c>
      <c r="BL6" s="50">
        <f t="shared" si="4"/>
        <v>65625</v>
      </c>
      <c r="BM6" s="50">
        <f t="shared" si="4"/>
        <v>65625</v>
      </c>
      <c r="BN6" s="50">
        <f t="shared" si="4"/>
        <v>65625</v>
      </c>
      <c r="BO6" s="50">
        <f t="shared" si="4"/>
        <v>65625</v>
      </c>
      <c r="BP6" s="50">
        <f t="shared" ref="BP6:CU6" si="5">BO6+BP5</f>
        <v>65625</v>
      </c>
      <c r="BQ6" s="50">
        <f t="shared" si="5"/>
        <v>65625</v>
      </c>
      <c r="BR6" s="50">
        <f t="shared" si="5"/>
        <v>65625</v>
      </c>
      <c r="BS6" s="50">
        <f t="shared" si="5"/>
        <v>65625</v>
      </c>
      <c r="BT6" s="50">
        <f t="shared" si="5"/>
        <v>65625</v>
      </c>
      <c r="BU6" s="50">
        <f t="shared" si="5"/>
        <v>65625</v>
      </c>
      <c r="BV6" s="50">
        <f t="shared" si="5"/>
        <v>65625</v>
      </c>
      <c r="BW6" s="50">
        <f t="shared" si="5"/>
        <v>65625</v>
      </c>
      <c r="BX6" s="50">
        <f t="shared" si="5"/>
        <v>65625</v>
      </c>
      <c r="BY6" s="50">
        <f t="shared" si="5"/>
        <v>65625</v>
      </c>
      <c r="BZ6" s="50">
        <f t="shared" si="5"/>
        <v>65625</v>
      </c>
      <c r="CA6" s="50">
        <f t="shared" si="5"/>
        <v>65625</v>
      </c>
      <c r="CB6" s="50">
        <f t="shared" si="5"/>
        <v>65625</v>
      </c>
      <c r="CC6" s="50">
        <f t="shared" si="5"/>
        <v>65625</v>
      </c>
      <c r="CD6" s="50">
        <f t="shared" si="5"/>
        <v>65625</v>
      </c>
      <c r="CE6" s="50">
        <f t="shared" si="5"/>
        <v>65625</v>
      </c>
      <c r="CF6" s="50">
        <f t="shared" si="5"/>
        <v>65625</v>
      </c>
      <c r="CG6" s="50">
        <f t="shared" si="5"/>
        <v>65625</v>
      </c>
      <c r="CH6" s="50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267</v>
      </c>
      <c r="B9" s="1"/>
      <c r="C9" s="48">
        <f>Model!C47+Model!C48+Model!C49+Model!C50</f>
        <v>23906.25</v>
      </c>
      <c r="D9" s="48">
        <f>Model!D47+Model!D48+Model!D49+Model!D50</f>
        <v>23906.25</v>
      </c>
      <c r="E9" s="48">
        <f>Model!E47+Model!E48+Model!E49+Model!E50</f>
        <v>23906.25</v>
      </c>
      <c r="F9" s="48">
        <f>Model!F47+Model!F48+Model!F49+Model!F50</f>
        <v>23906.25</v>
      </c>
      <c r="G9" s="48">
        <f>Model!G47+Model!G48+Model!G49+Model!G50</f>
        <v>23906.25</v>
      </c>
      <c r="H9" s="48">
        <f>Model!H47+Model!H48+Model!H49+Model!H50</f>
        <v>23906.25</v>
      </c>
      <c r="I9" s="48">
        <f>Model!I47+Model!I48+Model!I49+Model!I50</f>
        <v>23906.25</v>
      </c>
      <c r="J9" s="48">
        <f>Model!J47+Model!J48+Model!J49+Model!J50</f>
        <v>23906.25</v>
      </c>
      <c r="K9" s="48">
        <f>Model!K47+Model!K48+Model!K49+Model!K50</f>
        <v>23906.25</v>
      </c>
      <c r="L9" s="48">
        <f>Model!L47+Model!L48+Model!L49+Model!L50</f>
        <v>23906.25</v>
      </c>
      <c r="M9" s="48">
        <f>Model!M47+Model!M48+Model!M49+Model!M50</f>
        <v>23906.25</v>
      </c>
      <c r="N9" s="48">
        <f>Model!N47+Model!N48+Model!N49+Model!N50</f>
        <v>23906.25</v>
      </c>
      <c r="O9" s="48">
        <f>Model!O47+Model!O48+Model!O49+Model!O50</f>
        <v>23906.25</v>
      </c>
      <c r="P9" s="48">
        <f>Model!P47+Model!P48+Model!P49+Model!P50</f>
        <v>23906.25</v>
      </c>
      <c r="Q9" s="48">
        <f>Model!Q47+Model!Q48+Model!Q49+Model!Q50</f>
        <v>23906.25</v>
      </c>
      <c r="R9" s="48">
        <f>Model!R47+Model!R48+Model!R49+Model!R50</f>
        <v>0</v>
      </c>
      <c r="S9" s="48">
        <f>Model!S47+Model!S48+Model!S49+Model!S50</f>
        <v>0</v>
      </c>
      <c r="T9" s="48">
        <f>Model!T47+Model!T48+Model!T49+Model!T50</f>
        <v>0</v>
      </c>
      <c r="U9" s="48">
        <f>Model!U47+Model!U48+Model!U49+Model!U50</f>
        <v>0</v>
      </c>
      <c r="V9" s="48">
        <f>Model!V47+Model!V48+Model!V49+Model!V50</f>
        <v>0</v>
      </c>
      <c r="W9" s="48">
        <f>Model!W47+Model!W48+Model!W49+Model!W50</f>
        <v>57375</v>
      </c>
      <c r="X9" s="48">
        <f>Model!X47+Model!X48+Model!X49+Model!X50</f>
        <v>0</v>
      </c>
      <c r="Y9" s="48">
        <f>Model!Y47+Model!Y48+Model!Y49+Model!Y50</f>
        <v>0</v>
      </c>
      <c r="Z9" s="48">
        <f>Model!Z47+Model!Z48+Model!Z49+Model!Z50</f>
        <v>57375</v>
      </c>
      <c r="AA9" s="48">
        <f>Model!AA47+Model!AA48+Model!AA49+Model!AA50</f>
        <v>0</v>
      </c>
      <c r="AB9" s="48">
        <f>Model!AB47+Model!AB48+Model!AB49+Model!AB50</f>
        <v>0</v>
      </c>
      <c r="AC9" s="48">
        <f>Model!AC47+Model!AC48+Model!AC49+Model!AC50</f>
        <v>57375</v>
      </c>
      <c r="AD9" s="48">
        <f>Model!AD47+Model!AD48+Model!AD49+Model!AD50</f>
        <v>0</v>
      </c>
      <c r="AE9" s="48">
        <f>Model!AE47+Model!AE48+Model!AE49+Model!AE50</f>
        <v>0</v>
      </c>
      <c r="AF9" s="48">
        <f>Model!AF47+Model!AF48+Model!AF49+Model!AF50</f>
        <v>0</v>
      </c>
      <c r="AG9" s="48">
        <f>Model!AG47+Model!AG48+Model!AG49+Model!AG50</f>
        <v>0</v>
      </c>
      <c r="AH9" s="48">
        <f>Model!AH47+Model!AH48+Model!AH49+Model!AH50</f>
        <v>0</v>
      </c>
      <c r="AI9" s="48">
        <f>Model!AI47+Model!AI48+Model!AI49+Model!AI50</f>
        <v>0</v>
      </c>
      <c r="AJ9" s="48">
        <f>Model!AJ47+Model!AJ48+Model!AJ49+Model!AJ50</f>
        <v>0</v>
      </c>
      <c r="AK9" s="48">
        <f>Model!AK47+Model!AK48+Model!AK49+Model!AK50</f>
        <v>0</v>
      </c>
      <c r="AL9" s="48">
        <f>Model!AL47+Model!AL48+Model!AL49+Model!AL50</f>
        <v>0</v>
      </c>
      <c r="AM9" s="48">
        <f>Model!AM47+Model!AM48+Model!AM49+Model!AM50</f>
        <v>0</v>
      </c>
      <c r="AN9" s="48">
        <f>Model!AN47+Model!AN48+Model!AN49+Model!AN50</f>
        <v>0</v>
      </c>
      <c r="AO9" s="48">
        <f>Model!AO47+Model!AO48+Model!AO49+Model!AO50</f>
        <v>0</v>
      </c>
      <c r="AP9" s="48">
        <f>Model!AP47+Model!AP48+Model!AP49+Model!AP50</f>
        <v>0</v>
      </c>
      <c r="AQ9" s="48">
        <f>Model!AQ47+Model!AQ48+Model!AQ49+Model!AQ50</f>
        <v>0</v>
      </c>
      <c r="AR9" s="48">
        <f>Model!AR47+Model!AR48+Model!AR49+Model!AR50</f>
        <v>0</v>
      </c>
      <c r="AS9" s="48">
        <f>Model!AS47+Model!AS48+Model!AS49+Model!AS50</f>
        <v>0</v>
      </c>
      <c r="AT9" s="48">
        <f>Model!AT47+Model!AT48+Model!AT49+Model!AT50</f>
        <v>0</v>
      </c>
      <c r="AU9" s="48">
        <f>Model!AU47+Model!AU48+Model!AU49+Model!AU50</f>
        <v>0</v>
      </c>
      <c r="AV9" s="48">
        <f>Model!AV47+Model!AV48+Model!AV49+Model!AV50</f>
        <v>0</v>
      </c>
      <c r="AW9" s="48">
        <f>Model!AW47+Model!AW48+Model!AW49+Model!AW50</f>
        <v>0</v>
      </c>
      <c r="AX9" s="48">
        <f>Model!AX47+Model!AX48+Model!AX49+Model!AX50</f>
        <v>0</v>
      </c>
      <c r="AY9" s="48">
        <f>Model!AY47+Model!AY48+Model!AY49+Model!AY50</f>
        <v>0</v>
      </c>
      <c r="AZ9" s="48">
        <f>Model!AZ47+Model!AZ48+Model!AZ49+Model!AZ50</f>
        <v>0</v>
      </c>
      <c r="BA9" s="48">
        <f>Model!BA47+Model!BA48+Model!BA49+Model!BA50</f>
        <v>0</v>
      </c>
      <c r="BB9" s="48">
        <f>Model!BB47+Model!BB48+Model!BB49+Model!BB50</f>
        <v>0</v>
      </c>
      <c r="BC9" s="48">
        <f>Model!BC47+Model!BC48+Model!BC49+Model!BC50</f>
        <v>0</v>
      </c>
      <c r="BD9" s="48">
        <f>Model!BD47+Model!BD48+Model!BD49+Model!BD50</f>
        <v>0</v>
      </c>
      <c r="BE9" s="48">
        <f>Model!BE47+Model!BE48+Model!BE49+Model!BE50</f>
        <v>0</v>
      </c>
      <c r="BF9" s="48">
        <f>Model!BF47+Model!BF48+Model!BF49+Model!BF50</f>
        <v>0</v>
      </c>
      <c r="BG9" s="48">
        <f>Model!BG47+Model!BG48+Model!BG49+Model!BG50</f>
        <v>0</v>
      </c>
      <c r="BH9" s="48">
        <f>Model!BH47+Model!BH48+Model!BH49+Model!BH50</f>
        <v>0</v>
      </c>
      <c r="BI9" s="48">
        <f>Model!BI47+Model!BI48+Model!BI49+Model!BI50</f>
        <v>0</v>
      </c>
      <c r="BJ9" s="48">
        <f>Model!BJ47+Model!BJ48+Model!BJ49+Model!BJ50</f>
        <v>0</v>
      </c>
      <c r="BK9" s="48">
        <f>Model!BK47+Model!BK48+Model!BK49+Model!BK50</f>
        <v>0</v>
      </c>
      <c r="BL9" s="48">
        <f>Model!BL47+Model!BL48+Model!BL49+Model!BL50</f>
        <v>0</v>
      </c>
      <c r="BM9" s="48">
        <f>Model!BM47+Model!BM48+Model!BM49+Model!BM50</f>
        <v>0</v>
      </c>
      <c r="BN9" s="48">
        <f>Model!BN47+Model!BN48+Model!BN49+Model!BN50</f>
        <v>0</v>
      </c>
      <c r="BO9" s="48">
        <f>Model!BO47+Model!BO48+Model!BO49+Model!BO50</f>
        <v>0</v>
      </c>
      <c r="BP9" s="48">
        <f>Model!BP47+Model!BP48+Model!BP49+Model!BP50</f>
        <v>0</v>
      </c>
      <c r="BQ9" s="48">
        <f>Model!BQ47+Model!BQ48+Model!BQ49+Model!BQ50</f>
        <v>0</v>
      </c>
      <c r="BR9" s="48">
        <f>Model!BR47+Model!BR48+Model!BR49+Model!BR50</f>
        <v>0</v>
      </c>
      <c r="BS9" s="48">
        <f>Model!BS47+Model!BS48+Model!BS49+Model!BS50</f>
        <v>0</v>
      </c>
      <c r="BT9" s="48">
        <f>Model!BT47+Model!BT48+Model!BT49+Model!BT50</f>
        <v>0</v>
      </c>
      <c r="BU9" s="48">
        <f>Model!BU47+Model!BU48+Model!BU49+Model!BU50</f>
        <v>0</v>
      </c>
      <c r="BV9" s="48">
        <f>Model!BV47+Model!BV48+Model!BV49+Model!BV50</f>
        <v>0</v>
      </c>
      <c r="BW9" s="48">
        <f>Model!BW47+Model!BW48+Model!BW49+Model!BW50</f>
        <v>0</v>
      </c>
      <c r="BX9" s="48">
        <f>Model!BX47+Model!BX48+Model!BX49+Model!BX50</f>
        <v>0</v>
      </c>
      <c r="BY9" s="48">
        <f>Model!BY47+Model!BY48+Model!BY49+Model!BY50</f>
        <v>0</v>
      </c>
      <c r="BZ9" s="48">
        <f>Model!BZ47+Model!BZ48+Model!BZ49+Model!BZ50</f>
        <v>0</v>
      </c>
      <c r="CA9" s="48">
        <f>Model!CA47+Model!CA48+Model!CA49+Model!CA50</f>
        <v>0</v>
      </c>
      <c r="CB9" s="48">
        <f>Model!CB47+Model!CB48+Model!CB49+Model!CB50</f>
        <v>0</v>
      </c>
      <c r="CC9" s="48">
        <f>Model!CC47+Model!CC48+Model!CC49+Model!CC50</f>
        <v>0</v>
      </c>
      <c r="CD9" s="48">
        <f>Model!CD47+Model!CD48+Model!CD49+Model!CD50</f>
        <v>0</v>
      </c>
      <c r="CE9" s="48">
        <f>Model!CE47+Model!CE48+Model!CE49+Model!CE50</f>
        <v>0</v>
      </c>
      <c r="CF9" s="48">
        <f>Model!CF47+Model!CF48+Model!CF49+Model!CF50</f>
        <v>0</v>
      </c>
      <c r="CG9" s="48">
        <f>Model!CG47+Model!CG48+Model!CG49+Model!CG50</f>
        <v>0</v>
      </c>
      <c r="CH9" s="48">
        <f>Model!CH47+Model!CH48+Model!CH49+Model!CH50</f>
        <v>0</v>
      </c>
    </row>
    <row r="10" spans="1:86" ht="15" customHeight="1" x14ac:dyDescent="0.25">
      <c r="A10" s="28" t="s">
        <v>268</v>
      </c>
      <c r="B10" s="28"/>
      <c r="C10" s="49">
        <f t="shared" ref="C10:AH10" si="6">C9</f>
        <v>23906.25</v>
      </c>
      <c r="D10" s="49">
        <f t="shared" si="6"/>
        <v>23906.25</v>
      </c>
      <c r="E10" s="49">
        <f t="shared" si="6"/>
        <v>23906.25</v>
      </c>
      <c r="F10" s="49">
        <f t="shared" si="6"/>
        <v>23906.25</v>
      </c>
      <c r="G10" s="49">
        <f t="shared" si="6"/>
        <v>23906.25</v>
      </c>
      <c r="H10" s="49">
        <f t="shared" si="6"/>
        <v>23906.25</v>
      </c>
      <c r="I10" s="49">
        <f t="shared" si="6"/>
        <v>23906.25</v>
      </c>
      <c r="J10" s="49">
        <f t="shared" si="6"/>
        <v>23906.25</v>
      </c>
      <c r="K10" s="49">
        <f t="shared" si="6"/>
        <v>23906.25</v>
      </c>
      <c r="L10" s="49">
        <f t="shared" si="6"/>
        <v>23906.25</v>
      </c>
      <c r="M10" s="49">
        <f t="shared" si="6"/>
        <v>23906.25</v>
      </c>
      <c r="N10" s="49">
        <f t="shared" si="6"/>
        <v>23906.25</v>
      </c>
      <c r="O10" s="49">
        <f t="shared" si="6"/>
        <v>23906.25</v>
      </c>
      <c r="P10" s="49">
        <f t="shared" si="6"/>
        <v>23906.25</v>
      </c>
      <c r="Q10" s="49">
        <f t="shared" si="6"/>
        <v>23906.25</v>
      </c>
      <c r="R10" s="49">
        <f t="shared" si="6"/>
        <v>0</v>
      </c>
      <c r="S10" s="49">
        <f t="shared" si="6"/>
        <v>0</v>
      </c>
      <c r="T10" s="49">
        <f t="shared" si="6"/>
        <v>0</v>
      </c>
      <c r="U10" s="49">
        <f t="shared" si="6"/>
        <v>0</v>
      </c>
      <c r="V10" s="49">
        <f t="shared" si="6"/>
        <v>0</v>
      </c>
      <c r="W10" s="49">
        <f t="shared" si="6"/>
        <v>57375</v>
      </c>
      <c r="X10" s="49">
        <f t="shared" si="6"/>
        <v>0</v>
      </c>
      <c r="Y10" s="49">
        <f t="shared" si="6"/>
        <v>0</v>
      </c>
      <c r="Z10" s="49">
        <f t="shared" si="6"/>
        <v>57375</v>
      </c>
      <c r="AA10" s="49">
        <f t="shared" si="6"/>
        <v>0</v>
      </c>
      <c r="AB10" s="49">
        <f t="shared" si="6"/>
        <v>0</v>
      </c>
      <c r="AC10" s="49">
        <f t="shared" si="6"/>
        <v>57375</v>
      </c>
      <c r="AD10" s="49">
        <f t="shared" si="6"/>
        <v>0</v>
      </c>
      <c r="AE10" s="49">
        <f t="shared" si="6"/>
        <v>0</v>
      </c>
      <c r="AF10" s="49">
        <f t="shared" si="6"/>
        <v>0</v>
      </c>
      <c r="AG10" s="49">
        <f t="shared" si="6"/>
        <v>0</v>
      </c>
      <c r="AH10" s="49">
        <f t="shared" si="6"/>
        <v>0</v>
      </c>
      <c r="AI10" s="49">
        <f t="shared" ref="AI10:BN10" si="7">AI9</f>
        <v>0</v>
      </c>
      <c r="AJ10" s="49">
        <f t="shared" si="7"/>
        <v>0</v>
      </c>
      <c r="AK10" s="49">
        <f t="shared" si="7"/>
        <v>0</v>
      </c>
      <c r="AL10" s="49">
        <f t="shared" si="7"/>
        <v>0</v>
      </c>
      <c r="AM10" s="49">
        <f t="shared" si="7"/>
        <v>0</v>
      </c>
      <c r="AN10" s="49">
        <f t="shared" si="7"/>
        <v>0</v>
      </c>
      <c r="AO10" s="49">
        <f t="shared" si="7"/>
        <v>0</v>
      </c>
      <c r="AP10" s="49">
        <f t="shared" si="7"/>
        <v>0</v>
      </c>
      <c r="AQ10" s="49">
        <f t="shared" si="7"/>
        <v>0</v>
      </c>
      <c r="AR10" s="49">
        <f t="shared" si="7"/>
        <v>0</v>
      </c>
      <c r="AS10" s="49">
        <f t="shared" si="7"/>
        <v>0</v>
      </c>
      <c r="AT10" s="49">
        <f t="shared" si="7"/>
        <v>0</v>
      </c>
      <c r="AU10" s="49">
        <f t="shared" si="7"/>
        <v>0</v>
      </c>
      <c r="AV10" s="49">
        <f t="shared" si="7"/>
        <v>0</v>
      </c>
      <c r="AW10" s="49">
        <f t="shared" si="7"/>
        <v>0</v>
      </c>
      <c r="AX10" s="49">
        <f t="shared" si="7"/>
        <v>0</v>
      </c>
      <c r="AY10" s="49">
        <f t="shared" si="7"/>
        <v>0</v>
      </c>
      <c r="AZ10" s="49">
        <f t="shared" si="7"/>
        <v>0</v>
      </c>
      <c r="BA10" s="49">
        <f t="shared" si="7"/>
        <v>0</v>
      </c>
      <c r="BB10" s="49">
        <f t="shared" si="7"/>
        <v>0</v>
      </c>
      <c r="BC10" s="49">
        <f t="shared" si="7"/>
        <v>0</v>
      </c>
      <c r="BD10" s="49">
        <f t="shared" si="7"/>
        <v>0</v>
      </c>
      <c r="BE10" s="49">
        <f t="shared" si="7"/>
        <v>0</v>
      </c>
      <c r="BF10" s="49">
        <f t="shared" si="7"/>
        <v>0</v>
      </c>
      <c r="BG10" s="49">
        <f t="shared" si="7"/>
        <v>0</v>
      </c>
      <c r="BH10" s="49">
        <f t="shared" si="7"/>
        <v>0</v>
      </c>
      <c r="BI10" s="49">
        <f t="shared" si="7"/>
        <v>0</v>
      </c>
      <c r="BJ10" s="49">
        <f t="shared" si="7"/>
        <v>0</v>
      </c>
      <c r="BK10" s="49">
        <f t="shared" si="7"/>
        <v>0</v>
      </c>
      <c r="BL10" s="49">
        <f t="shared" si="7"/>
        <v>0</v>
      </c>
      <c r="BM10" s="49">
        <f t="shared" si="7"/>
        <v>0</v>
      </c>
      <c r="BN10" s="49">
        <f t="shared" si="7"/>
        <v>0</v>
      </c>
      <c r="BO10" s="49">
        <f t="shared" ref="BO10:CT10" si="8">BO9</f>
        <v>0</v>
      </c>
      <c r="BP10" s="49">
        <f t="shared" si="8"/>
        <v>0</v>
      </c>
      <c r="BQ10" s="49">
        <f t="shared" si="8"/>
        <v>0</v>
      </c>
      <c r="BR10" s="49">
        <f t="shared" si="8"/>
        <v>0</v>
      </c>
      <c r="BS10" s="49">
        <f t="shared" si="8"/>
        <v>0</v>
      </c>
      <c r="BT10" s="49">
        <f t="shared" si="8"/>
        <v>0</v>
      </c>
      <c r="BU10" s="49">
        <f t="shared" si="8"/>
        <v>0</v>
      </c>
      <c r="BV10" s="49">
        <f t="shared" si="8"/>
        <v>0</v>
      </c>
      <c r="BW10" s="49">
        <f t="shared" si="8"/>
        <v>0</v>
      </c>
      <c r="BX10" s="49">
        <f t="shared" si="8"/>
        <v>0</v>
      </c>
      <c r="BY10" s="49">
        <f t="shared" si="8"/>
        <v>0</v>
      </c>
      <c r="BZ10" s="49">
        <f t="shared" si="8"/>
        <v>0</v>
      </c>
      <c r="CA10" s="49">
        <f t="shared" si="8"/>
        <v>0</v>
      </c>
      <c r="CB10" s="49">
        <f t="shared" si="8"/>
        <v>0</v>
      </c>
      <c r="CC10" s="49">
        <f t="shared" si="8"/>
        <v>0</v>
      </c>
      <c r="CD10" s="49">
        <f t="shared" si="8"/>
        <v>0</v>
      </c>
      <c r="CE10" s="49">
        <f t="shared" si="8"/>
        <v>0</v>
      </c>
      <c r="CF10" s="49">
        <f t="shared" si="8"/>
        <v>0</v>
      </c>
      <c r="CG10" s="49">
        <f t="shared" si="8"/>
        <v>0</v>
      </c>
      <c r="CH10" s="49">
        <f t="shared" si="8"/>
        <v>0</v>
      </c>
    </row>
    <row r="11" spans="1:86" ht="15" customHeight="1" x14ac:dyDescent="0.25">
      <c r="A11" s="42" t="s">
        <v>269</v>
      </c>
      <c r="B11" s="1"/>
      <c r="C11" s="50">
        <f>C10</f>
        <v>23906.25</v>
      </c>
      <c r="D11" s="50">
        <f t="shared" ref="D11:AI11" si="9">C11+D10</f>
        <v>47812.5</v>
      </c>
      <c r="E11" s="50">
        <f t="shared" si="9"/>
        <v>71718.75</v>
      </c>
      <c r="F11" s="50">
        <f t="shared" si="9"/>
        <v>95625</v>
      </c>
      <c r="G11" s="50">
        <f t="shared" si="9"/>
        <v>119531.25</v>
      </c>
      <c r="H11" s="50">
        <f t="shared" si="9"/>
        <v>143437.5</v>
      </c>
      <c r="I11" s="50">
        <f t="shared" si="9"/>
        <v>167343.75</v>
      </c>
      <c r="J11" s="50">
        <f t="shared" si="9"/>
        <v>191250</v>
      </c>
      <c r="K11" s="50">
        <f t="shared" si="9"/>
        <v>215156.25</v>
      </c>
      <c r="L11" s="50">
        <f t="shared" si="9"/>
        <v>239062.5</v>
      </c>
      <c r="M11" s="50">
        <f t="shared" si="9"/>
        <v>262968.75</v>
      </c>
      <c r="N11" s="50">
        <f t="shared" si="9"/>
        <v>286875</v>
      </c>
      <c r="O11" s="50">
        <f t="shared" si="9"/>
        <v>310781.25</v>
      </c>
      <c r="P11" s="50">
        <f t="shared" si="9"/>
        <v>334687.5</v>
      </c>
      <c r="Q11" s="50">
        <f t="shared" si="9"/>
        <v>358593.75</v>
      </c>
      <c r="R11" s="50">
        <f t="shared" si="9"/>
        <v>358593.75</v>
      </c>
      <c r="S11" s="50">
        <f t="shared" si="9"/>
        <v>358593.75</v>
      </c>
      <c r="T11" s="50">
        <f t="shared" si="9"/>
        <v>358593.75</v>
      </c>
      <c r="U11" s="50">
        <f t="shared" si="9"/>
        <v>358593.75</v>
      </c>
      <c r="V11" s="50">
        <f t="shared" si="9"/>
        <v>358593.75</v>
      </c>
      <c r="W11" s="50">
        <f t="shared" si="9"/>
        <v>415968.75</v>
      </c>
      <c r="X11" s="50">
        <f t="shared" si="9"/>
        <v>415968.75</v>
      </c>
      <c r="Y11" s="50">
        <f t="shared" si="9"/>
        <v>415968.75</v>
      </c>
      <c r="Z11" s="50">
        <f t="shared" si="9"/>
        <v>473343.75</v>
      </c>
      <c r="AA11" s="50">
        <f t="shared" si="9"/>
        <v>473343.75</v>
      </c>
      <c r="AB11" s="50">
        <f t="shared" si="9"/>
        <v>473343.75</v>
      </c>
      <c r="AC11" s="50">
        <f t="shared" si="9"/>
        <v>530718.75</v>
      </c>
      <c r="AD11" s="50">
        <f t="shared" si="9"/>
        <v>530718.75</v>
      </c>
      <c r="AE11" s="50">
        <f t="shared" si="9"/>
        <v>530718.75</v>
      </c>
      <c r="AF11" s="50">
        <f t="shared" si="9"/>
        <v>530718.75</v>
      </c>
      <c r="AG11" s="50">
        <f t="shared" si="9"/>
        <v>530718.75</v>
      </c>
      <c r="AH11" s="50">
        <f t="shared" si="9"/>
        <v>530718.75</v>
      </c>
      <c r="AI11" s="50">
        <f t="shared" si="9"/>
        <v>530718.75</v>
      </c>
      <c r="AJ11" s="50">
        <f t="shared" ref="AJ11:BO11" si="10">AI11+AJ10</f>
        <v>530718.75</v>
      </c>
      <c r="AK11" s="50">
        <f t="shared" si="10"/>
        <v>530718.75</v>
      </c>
      <c r="AL11" s="50">
        <f t="shared" si="10"/>
        <v>530718.75</v>
      </c>
      <c r="AM11" s="50">
        <f t="shared" si="10"/>
        <v>530718.75</v>
      </c>
      <c r="AN11" s="50">
        <f t="shared" si="10"/>
        <v>530718.75</v>
      </c>
      <c r="AO11" s="50">
        <f t="shared" si="10"/>
        <v>530718.75</v>
      </c>
      <c r="AP11" s="50">
        <f t="shared" si="10"/>
        <v>530718.75</v>
      </c>
      <c r="AQ11" s="50">
        <f t="shared" si="10"/>
        <v>530718.75</v>
      </c>
      <c r="AR11" s="50">
        <f t="shared" si="10"/>
        <v>530718.75</v>
      </c>
      <c r="AS11" s="50">
        <f t="shared" si="10"/>
        <v>530718.75</v>
      </c>
      <c r="AT11" s="50">
        <f t="shared" si="10"/>
        <v>530718.75</v>
      </c>
      <c r="AU11" s="50">
        <f t="shared" si="10"/>
        <v>530718.75</v>
      </c>
      <c r="AV11" s="50">
        <f t="shared" si="10"/>
        <v>530718.75</v>
      </c>
      <c r="AW11" s="50">
        <f t="shared" si="10"/>
        <v>530718.75</v>
      </c>
      <c r="AX11" s="50">
        <f t="shared" si="10"/>
        <v>530718.75</v>
      </c>
      <c r="AY11" s="50">
        <f t="shared" si="10"/>
        <v>530718.75</v>
      </c>
      <c r="AZ11" s="50">
        <f t="shared" si="10"/>
        <v>530718.75</v>
      </c>
      <c r="BA11" s="50">
        <f t="shared" si="10"/>
        <v>530718.75</v>
      </c>
      <c r="BB11" s="50">
        <f t="shared" si="10"/>
        <v>530718.75</v>
      </c>
      <c r="BC11" s="50">
        <f t="shared" si="10"/>
        <v>530718.75</v>
      </c>
      <c r="BD11" s="50">
        <f t="shared" si="10"/>
        <v>530718.75</v>
      </c>
      <c r="BE11" s="50">
        <f t="shared" si="10"/>
        <v>530718.75</v>
      </c>
      <c r="BF11" s="50">
        <f t="shared" si="10"/>
        <v>530718.75</v>
      </c>
      <c r="BG11" s="50">
        <f t="shared" si="10"/>
        <v>530718.75</v>
      </c>
      <c r="BH11" s="50">
        <f t="shared" si="10"/>
        <v>530718.75</v>
      </c>
      <c r="BI11" s="50">
        <f t="shared" si="10"/>
        <v>530718.75</v>
      </c>
      <c r="BJ11" s="50">
        <f t="shared" si="10"/>
        <v>530718.75</v>
      </c>
      <c r="BK11" s="50">
        <f t="shared" si="10"/>
        <v>530718.75</v>
      </c>
      <c r="BL11" s="50">
        <f t="shared" si="10"/>
        <v>530718.75</v>
      </c>
      <c r="BM11" s="50">
        <f t="shared" si="10"/>
        <v>530718.75</v>
      </c>
      <c r="BN11" s="50">
        <f t="shared" si="10"/>
        <v>530718.75</v>
      </c>
      <c r="BO11" s="50">
        <f t="shared" si="10"/>
        <v>530718.75</v>
      </c>
      <c r="BP11" s="50">
        <f t="shared" ref="BP11:CU11" si="11">BO11+BP10</f>
        <v>530718.75</v>
      </c>
      <c r="BQ11" s="50">
        <f t="shared" si="11"/>
        <v>530718.75</v>
      </c>
      <c r="BR11" s="50">
        <f t="shared" si="11"/>
        <v>530718.75</v>
      </c>
      <c r="BS11" s="50">
        <f t="shared" si="11"/>
        <v>530718.75</v>
      </c>
      <c r="BT11" s="50">
        <f t="shared" si="11"/>
        <v>530718.75</v>
      </c>
      <c r="BU11" s="50">
        <f t="shared" si="11"/>
        <v>530718.75</v>
      </c>
      <c r="BV11" s="50">
        <f t="shared" si="11"/>
        <v>530718.75</v>
      </c>
      <c r="BW11" s="50">
        <f t="shared" si="11"/>
        <v>530718.75</v>
      </c>
      <c r="BX11" s="50">
        <f t="shared" si="11"/>
        <v>530718.75</v>
      </c>
      <c r="BY11" s="50">
        <f t="shared" si="11"/>
        <v>530718.75</v>
      </c>
      <c r="BZ11" s="50">
        <f t="shared" si="11"/>
        <v>530718.75</v>
      </c>
      <c r="CA11" s="50">
        <f t="shared" si="11"/>
        <v>530718.75</v>
      </c>
      <c r="CB11" s="50">
        <f t="shared" si="11"/>
        <v>530718.75</v>
      </c>
      <c r="CC11" s="50">
        <f t="shared" si="11"/>
        <v>530718.75</v>
      </c>
      <c r="CD11" s="50">
        <f t="shared" si="11"/>
        <v>530718.75</v>
      </c>
      <c r="CE11" s="50">
        <f t="shared" si="11"/>
        <v>530718.75</v>
      </c>
      <c r="CF11" s="50">
        <f t="shared" si="11"/>
        <v>530718.75</v>
      </c>
      <c r="CG11" s="50">
        <f t="shared" si="11"/>
        <v>530718.75</v>
      </c>
      <c r="CH11" s="50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108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267</v>
      </c>
      <c r="B14" s="1"/>
      <c r="C14" s="48">
        <f>Model!C53+Model!C54+Model!C55</f>
        <v>0</v>
      </c>
      <c r="D14" s="48">
        <f>Model!D53+Model!D54+Model!D55</f>
        <v>0</v>
      </c>
      <c r="E14" s="48">
        <f>Model!E53+Model!E54+Model!E55</f>
        <v>0</v>
      </c>
      <c r="F14" s="48">
        <f>Model!F53+Model!F54+Model!F55</f>
        <v>0</v>
      </c>
      <c r="G14" s="48">
        <f>Model!G53+Model!G54+Model!G55</f>
        <v>266611.58</v>
      </c>
      <c r="H14" s="48">
        <f>Model!H53+Model!H54+Model!H55</f>
        <v>12631.58</v>
      </c>
      <c r="I14" s="48">
        <f>Model!I53+Model!I54+Model!I55</f>
        <v>12631.58</v>
      </c>
      <c r="J14" s="48">
        <f>Model!J53+Model!J54+Model!J55</f>
        <v>12631.58</v>
      </c>
      <c r="K14" s="48">
        <f>Model!K53+Model!K54+Model!K55</f>
        <v>12631.58</v>
      </c>
      <c r="L14" s="48">
        <f>Model!L53+Model!L54+Model!L55</f>
        <v>12631.58</v>
      </c>
      <c r="M14" s="48">
        <f>Model!M53+Model!M54+Model!M55</f>
        <v>12631.58</v>
      </c>
      <c r="N14" s="48">
        <f>Model!N53+Model!N54+Model!N55</f>
        <v>12631.58</v>
      </c>
      <c r="O14" s="48">
        <f>Model!O53+Model!O54+Model!O55</f>
        <v>12631.58</v>
      </c>
      <c r="P14" s="48">
        <f>Model!P53+Model!P54+Model!P55</f>
        <v>12631.58</v>
      </c>
      <c r="Q14" s="48">
        <f>Model!Q53+Model!Q54+Model!Q55</f>
        <v>12631.58</v>
      </c>
      <c r="R14" s="48">
        <f>Model!R53+Model!R54+Model!R55</f>
        <v>12631.58</v>
      </c>
      <c r="S14" s="48">
        <f>Model!S53+Model!S54+Model!S55</f>
        <v>12631.58</v>
      </c>
      <c r="T14" s="48">
        <f>Model!T53+Model!T54+Model!T55</f>
        <v>12631.58</v>
      </c>
      <c r="U14" s="48">
        <f>Model!U53+Model!U54+Model!U55</f>
        <v>12631.58</v>
      </c>
      <c r="V14" s="48">
        <f>Model!V53+Model!V54+Model!V55</f>
        <v>12631.58</v>
      </c>
      <c r="W14" s="48">
        <f>Model!W53+Model!W54+Model!W55</f>
        <v>12631.58</v>
      </c>
      <c r="X14" s="48">
        <f>Model!X53+Model!X54+Model!X55</f>
        <v>12631.58</v>
      </c>
      <c r="Y14" s="48">
        <f>Model!Y53+Model!Y54+Model!Y55</f>
        <v>12631.58</v>
      </c>
      <c r="Z14" s="48">
        <f>Model!Z53+Model!Z54+Model!Z55</f>
        <v>0</v>
      </c>
      <c r="AA14" s="48">
        <f>Model!AA53+Model!AA54+Model!AA55</f>
        <v>0</v>
      </c>
      <c r="AB14" s="48">
        <f>Model!AB53+Model!AB54+Model!AB55</f>
        <v>0</v>
      </c>
      <c r="AC14" s="48">
        <f>Model!AC53+Model!AC54+Model!AC55</f>
        <v>0</v>
      </c>
      <c r="AD14" s="48">
        <f>Model!AD53+Model!AD54+Model!AD55</f>
        <v>0</v>
      </c>
      <c r="AE14" s="48">
        <f>Model!AE53+Model!AE54+Model!AE55</f>
        <v>0</v>
      </c>
      <c r="AF14" s="48">
        <f>Model!AF53+Model!AF54+Model!AF55</f>
        <v>0</v>
      </c>
      <c r="AG14" s="48">
        <f>Model!AG53+Model!AG54+Model!AG55</f>
        <v>0</v>
      </c>
      <c r="AH14" s="48">
        <f>Model!AH53+Model!AH54+Model!AH55</f>
        <v>0</v>
      </c>
      <c r="AI14" s="48">
        <f>Model!AI53+Model!AI54+Model!AI55</f>
        <v>0</v>
      </c>
      <c r="AJ14" s="48">
        <f>Model!AJ53+Model!AJ54+Model!AJ55</f>
        <v>0</v>
      </c>
      <c r="AK14" s="48">
        <f>Model!AK53+Model!AK54+Model!AK55</f>
        <v>0</v>
      </c>
      <c r="AL14" s="48">
        <f>Model!AL53+Model!AL54+Model!AL55</f>
        <v>0</v>
      </c>
      <c r="AM14" s="48">
        <f>Model!AM53+Model!AM54+Model!AM55</f>
        <v>0</v>
      </c>
      <c r="AN14" s="48">
        <f>Model!AN53+Model!AN54+Model!AN55</f>
        <v>0</v>
      </c>
      <c r="AO14" s="48">
        <f>Model!AO53+Model!AO54+Model!AO55</f>
        <v>0</v>
      </c>
      <c r="AP14" s="48">
        <f>Model!AP53+Model!AP54+Model!AP55</f>
        <v>0</v>
      </c>
      <c r="AQ14" s="48">
        <f>Model!AQ53+Model!AQ54+Model!AQ55</f>
        <v>0</v>
      </c>
      <c r="AR14" s="48">
        <f>Model!AR53+Model!AR54+Model!AR55</f>
        <v>0</v>
      </c>
      <c r="AS14" s="48">
        <f>Model!AS53+Model!AS54+Model!AS55</f>
        <v>0</v>
      </c>
      <c r="AT14" s="48">
        <f>Model!AT53+Model!AT54+Model!AT55</f>
        <v>0</v>
      </c>
      <c r="AU14" s="48">
        <f>Model!AU53+Model!AU54+Model!AU55</f>
        <v>0</v>
      </c>
      <c r="AV14" s="48">
        <f>Model!AV53+Model!AV54+Model!AV55</f>
        <v>0</v>
      </c>
      <c r="AW14" s="48">
        <f>Model!AW53+Model!AW54+Model!AW55</f>
        <v>0</v>
      </c>
      <c r="AX14" s="48">
        <f>Model!AX53+Model!AX54+Model!AX55</f>
        <v>0</v>
      </c>
      <c r="AY14" s="48">
        <f>Model!AY53+Model!AY54+Model!AY55</f>
        <v>0</v>
      </c>
      <c r="AZ14" s="48">
        <f>Model!AZ53+Model!AZ54+Model!AZ55</f>
        <v>0</v>
      </c>
      <c r="BA14" s="48">
        <f>Model!BA53+Model!BA54+Model!BA55</f>
        <v>0</v>
      </c>
      <c r="BB14" s="48">
        <f>Model!BB53+Model!BB54+Model!BB55</f>
        <v>0</v>
      </c>
      <c r="BC14" s="48">
        <f>Model!BC53+Model!BC54+Model!BC55</f>
        <v>0</v>
      </c>
      <c r="BD14" s="48">
        <f>Model!BD53+Model!BD54+Model!BD55</f>
        <v>0</v>
      </c>
      <c r="BE14" s="48">
        <f>Model!BE53+Model!BE54+Model!BE55</f>
        <v>0</v>
      </c>
      <c r="BF14" s="48">
        <f>Model!BF53+Model!BF54+Model!BF55</f>
        <v>0</v>
      </c>
      <c r="BG14" s="48">
        <f>Model!BG53+Model!BG54+Model!BG55</f>
        <v>0</v>
      </c>
      <c r="BH14" s="48">
        <f>Model!BH53+Model!BH54+Model!BH55</f>
        <v>0</v>
      </c>
      <c r="BI14" s="48">
        <f>Model!BI53+Model!BI54+Model!BI55</f>
        <v>0</v>
      </c>
      <c r="BJ14" s="48">
        <f>Model!BJ53+Model!BJ54+Model!BJ55</f>
        <v>0</v>
      </c>
      <c r="BK14" s="48">
        <f>Model!BK53+Model!BK54+Model!BK55</f>
        <v>0</v>
      </c>
      <c r="BL14" s="48">
        <f>Model!BL53+Model!BL54+Model!BL55</f>
        <v>0</v>
      </c>
      <c r="BM14" s="48">
        <f>Model!BM53+Model!BM54+Model!BM55</f>
        <v>0</v>
      </c>
      <c r="BN14" s="48">
        <f>Model!BN53+Model!BN54+Model!BN55</f>
        <v>0</v>
      </c>
      <c r="BO14" s="48">
        <f>Model!BO53+Model!BO54+Model!BO55</f>
        <v>0</v>
      </c>
      <c r="BP14" s="48">
        <f>Model!BP53+Model!BP54+Model!BP55</f>
        <v>0</v>
      </c>
      <c r="BQ14" s="48">
        <f>Model!BQ53+Model!BQ54+Model!BQ55</f>
        <v>0</v>
      </c>
      <c r="BR14" s="48">
        <f>Model!BR53+Model!BR54+Model!BR55</f>
        <v>0</v>
      </c>
      <c r="BS14" s="48">
        <f>Model!BS53+Model!BS54+Model!BS55</f>
        <v>0</v>
      </c>
      <c r="BT14" s="48">
        <f>Model!BT53+Model!BT54+Model!BT55</f>
        <v>0</v>
      </c>
      <c r="BU14" s="48">
        <f>Model!BU53+Model!BU54+Model!BU55</f>
        <v>0</v>
      </c>
      <c r="BV14" s="48">
        <f>Model!BV53+Model!BV54+Model!BV55</f>
        <v>0</v>
      </c>
      <c r="BW14" s="48">
        <f>Model!BW53+Model!BW54+Model!BW55</f>
        <v>0</v>
      </c>
      <c r="BX14" s="48">
        <f>Model!BX53+Model!BX54+Model!BX55</f>
        <v>0</v>
      </c>
      <c r="BY14" s="48">
        <f>Model!BY53+Model!BY54+Model!BY55</f>
        <v>0</v>
      </c>
      <c r="BZ14" s="48">
        <f>Model!BZ53+Model!BZ54+Model!BZ55</f>
        <v>0</v>
      </c>
      <c r="CA14" s="48">
        <f>Model!CA53+Model!CA54+Model!CA55</f>
        <v>0</v>
      </c>
      <c r="CB14" s="48">
        <f>Model!CB53+Model!CB54+Model!CB55</f>
        <v>0</v>
      </c>
      <c r="CC14" s="48">
        <f>Model!CC53+Model!CC54+Model!CC55</f>
        <v>0</v>
      </c>
      <c r="CD14" s="48">
        <f>Model!CD53+Model!CD54+Model!CD55</f>
        <v>0</v>
      </c>
      <c r="CE14" s="48">
        <f>Model!CE53+Model!CE54+Model!CE55</f>
        <v>0</v>
      </c>
      <c r="CF14" s="48">
        <f>Model!CF53+Model!CF54+Model!CF55</f>
        <v>0</v>
      </c>
      <c r="CG14" s="48">
        <f>Model!CG53+Model!CG54+Model!CG55</f>
        <v>0</v>
      </c>
      <c r="CH14" s="48">
        <f>Model!CH53+Model!CH54+Model!CH55</f>
        <v>0</v>
      </c>
    </row>
    <row r="15" spans="1:86" ht="15" customHeight="1" x14ac:dyDescent="0.25">
      <c r="A15" s="51" t="s">
        <v>271</v>
      </c>
      <c r="B15" s="1"/>
      <c r="C15" s="52">
        <v>0</v>
      </c>
      <c r="D15" s="52">
        <v>0</v>
      </c>
      <c r="E15" s="52">
        <v>0</v>
      </c>
      <c r="F15" s="52">
        <v>0</v>
      </c>
      <c r="G15" s="52">
        <f>IF(Projects!$G$11="Yes",-155771,0)</f>
        <v>-155771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0</v>
      </c>
      <c r="O15" s="52">
        <v>0</v>
      </c>
      <c r="P15" s="52">
        <v>0</v>
      </c>
      <c r="Q15" s="52">
        <v>0</v>
      </c>
      <c r="R15" s="52">
        <v>0</v>
      </c>
      <c r="S15" s="52">
        <v>0</v>
      </c>
      <c r="T15" s="52">
        <v>0</v>
      </c>
      <c r="U15" s="52">
        <v>0</v>
      </c>
      <c r="V15" s="52">
        <v>0</v>
      </c>
      <c r="W15" s="52">
        <v>0</v>
      </c>
      <c r="X15" s="52">
        <v>0</v>
      </c>
      <c r="Y15" s="52">
        <v>0</v>
      </c>
      <c r="Z15" s="52">
        <v>0</v>
      </c>
      <c r="AA15" s="52">
        <v>0</v>
      </c>
      <c r="AB15" s="52">
        <v>0</v>
      </c>
      <c r="AC15" s="52">
        <v>0</v>
      </c>
      <c r="AD15" s="52">
        <v>0</v>
      </c>
      <c r="AE15" s="52">
        <v>0</v>
      </c>
      <c r="AF15" s="52">
        <v>0</v>
      </c>
      <c r="AG15" s="52">
        <v>0</v>
      </c>
      <c r="AH15" s="52">
        <v>0</v>
      </c>
      <c r="AI15" s="52">
        <v>0</v>
      </c>
      <c r="AJ15" s="52">
        <v>0</v>
      </c>
      <c r="AK15" s="52">
        <v>0</v>
      </c>
      <c r="AL15" s="52">
        <v>0</v>
      </c>
      <c r="AM15" s="52">
        <v>0</v>
      </c>
      <c r="AN15" s="52">
        <v>0</v>
      </c>
      <c r="AO15" s="52">
        <v>0</v>
      </c>
      <c r="AP15" s="52">
        <v>0</v>
      </c>
      <c r="AQ15" s="52">
        <v>0</v>
      </c>
      <c r="AR15" s="52">
        <v>0</v>
      </c>
      <c r="AS15" s="52">
        <v>0</v>
      </c>
      <c r="AT15" s="52">
        <v>0</v>
      </c>
      <c r="AU15" s="52">
        <v>0</v>
      </c>
      <c r="AV15" s="52">
        <v>0</v>
      </c>
      <c r="AW15" s="52">
        <v>0</v>
      </c>
      <c r="AX15" s="52">
        <v>0</v>
      </c>
      <c r="AY15" s="52">
        <v>0</v>
      </c>
      <c r="AZ15" s="52">
        <v>0</v>
      </c>
      <c r="BA15" s="52">
        <v>0</v>
      </c>
      <c r="BB15" s="52">
        <v>0</v>
      </c>
      <c r="BC15" s="52">
        <v>0</v>
      </c>
      <c r="BD15" s="52">
        <v>0</v>
      </c>
      <c r="BE15" s="52">
        <v>0</v>
      </c>
      <c r="BF15" s="52">
        <v>0</v>
      </c>
      <c r="BG15" s="52">
        <v>0</v>
      </c>
      <c r="BH15" s="52">
        <v>0</v>
      </c>
      <c r="BI15" s="52">
        <v>0</v>
      </c>
      <c r="BJ15" s="52">
        <v>0</v>
      </c>
      <c r="BK15" s="52">
        <v>0</v>
      </c>
      <c r="BL15" s="52">
        <v>0</v>
      </c>
      <c r="BM15" s="52">
        <v>0</v>
      </c>
      <c r="BN15" s="52">
        <v>0</v>
      </c>
      <c r="BO15" s="52">
        <v>0</v>
      </c>
      <c r="BP15" s="52">
        <v>0</v>
      </c>
      <c r="BQ15" s="52">
        <v>0</v>
      </c>
      <c r="BR15" s="52">
        <v>0</v>
      </c>
      <c r="BS15" s="52">
        <v>0</v>
      </c>
      <c r="BT15" s="52">
        <v>0</v>
      </c>
      <c r="BU15" s="52">
        <v>0</v>
      </c>
      <c r="BV15" s="52">
        <v>0</v>
      </c>
      <c r="BW15" s="52">
        <v>0</v>
      </c>
      <c r="BX15" s="52">
        <v>0</v>
      </c>
      <c r="BY15" s="52">
        <v>0</v>
      </c>
      <c r="BZ15" s="52">
        <v>0</v>
      </c>
      <c r="CA15" s="52">
        <v>0</v>
      </c>
      <c r="CB15" s="52">
        <v>0</v>
      </c>
      <c r="CC15" s="52">
        <v>0</v>
      </c>
      <c r="CD15" s="52">
        <v>0</v>
      </c>
      <c r="CE15" s="52">
        <v>0</v>
      </c>
      <c r="CF15" s="52">
        <v>0</v>
      </c>
      <c r="CG15" s="52">
        <v>0</v>
      </c>
      <c r="CH15" s="52">
        <v>0</v>
      </c>
    </row>
    <row r="16" spans="1:86" ht="15" customHeight="1" x14ac:dyDescent="0.25">
      <c r="A16" s="28" t="s">
        <v>268</v>
      </c>
      <c r="B16" s="28"/>
      <c r="C16" s="49">
        <f t="shared" ref="C16:AH16" si="12">C14+C15</f>
        <v>0</v>
      </c>
      <c r="D16" s="49">
        <f t="shared" si="12"/>
        <v>0</v>
      </c>
      <c r="E16" s="49">
        <f t="shared" si="12"/>
        <v>0</v>
      </c>
      <c r="F16" s="49">
        <f t="shared" si="12"/>
        <v>0</v>
      </c>
      <c r="G16" s="49">
        <f t="shared" si="12"/>
        <v>110840.58000000002</v>
      </c>
      <c r="H16" s="49">
        <f t="shared" si="12"/>
        <v>12631.58</v>
      </c>
      <c r="I16" s="49">
        <f t="shared" si="12"/>
        <v>12631.58</v>
      </c>
      <c r="J16" s="49">
        <f t="shared" si="12"/>
        <v>12631.58</v>
      </c>
      <c r="K16" s="49">
        <f t="shared" si="12"/>
        <v>12631.58</v>
      </c>
      <c r="L16" s="49">
        <f t="shared" si="12"/>
        <v>12631.58</v>
      </c>
      <c r="M16" s="49">
        <f t="shared" si="12"/>
        <v>12631.58</v>
      </c>
      <c r="N16" s="49">
        <f t="shared" si="12"/>
        <v>12631.58</v>
      </c>
      <c r="O16" s="49">
        <f t="shared" si="12"/>
        <v>12631.58</v>
      </c>
      <c r="P16" s="49">
        <f t="shared" si="12"/>
        <v>12631.58</v>
      </c>
      <c r="Q16" s="49">
        <f t="shared" si="12"/>
        <v>12631.58</v>
      </c>
      <c r="R16" s="49">
        <f t="shared" si="12"/>
        <v>12631.58</v>
      </c>
      <c r="S16" s="49">
        <f t="shared" si="12"/>
        <v>12631.58</v>
      </c>
      <c r="T16" s="49">
        <f t="shared" si="12"/>
        <v>12631.58</v>
      </c>
      <c r="U16" s="49">
        <f t="shared" si="12"/>
        <v>12631.58</v>
      </c>
      <c r="V16" s="49">
        <f t="shared" si="12"/>
        <v>12631.58</v>
      </c>
      <c r="W16" s="49">
        <f t="shared" si="12"/>
        <v>12631.58</v>
      </c>
      <c r="X16" s="49">
        <f t="shared" si="12"/>
        <v>12631.58</v>
      </c>
      <c r="Y16" s="49">
        <f t="shared" si="12"/>
        <v>12631.58</v>
      </c>
      <c r="Z16" s="49">
        <f t="shared" si="12"/>
        <v>0</v>
      </c>
      <c r="AA16" s="49">
        <f t="shared" si="12"/>
        <v>0</v>
      </c>
      <c r="AB16" s="49">
        <f t="shared" si="12"/>
        <v>0</v>
      </c>
      <c r="AC16" s="49">
        <f t="shared" si="12"/>
        <v>0</v>
      </c>
      <c r="AD16" s="49">
        <f t="shared" si="12"/>
        <v>0</v>
      </c>
      <c r="AE16" s="49">
        <f t="shared" si="12"/>
        <v>0</v>
      </c>
      <c r="AF16" s="49">
        <f t="shared" si="12"/>
        <v>0</v>
      </c>
      <c r="AG16" s="49">
        <f t="shared" si="12"/>
        <v>0</v>
      </c>
      <c r="AH16" s="49">
        <f t="shared" si="12"/>
        <v>0</v>
      </c>
      <c r="AI16" s="49">
        <f t="shared" ref="AI16:BN16" si="13">AI14+AI15</f>
        <v>0</v>
      </c>
      <c r="AJ16" s="49">
        <f t="shared" si="13"/>
        <v>0</v>
      </c>
      <c r="AK16" s="49">
        <f t="shared" si="13"/>
        <v>0</v>
      </c>
      <c r="AL16" s="49">
        <f t="shared" si="13"/>
        <v>0</v>
      </c>
      <c r="AM16" s="49">
        <f t="shared" si="13"/>
        <v>0</v>
      </c>
      <c r="AN16" s="49">
        <f t="shared" si="13"/>
        <v>0</v>
      </c>
      <c r="AO16" s="49">
        <f t="shared" si="13"/>
        <v>0</v>
      </c>
      <c r="AP16" s="49">
        <f t="shared" si="13"/>
        <v>0</v>
      </c>
      <c r="AQ16" s="49">
        <f t="shared" si="13"/>
        <v>0</v>
      </c>
      <c r="AR16" s="49">
        <f t="shared" si="13"/>
        <v>0</v>
      </c>
      <c r="AS16" s="49">
        <f t="shared" si="13"/>
        <v>0</v>
      </c>
      <c r="AT16" s="49">
        <f t="shared" si="13"/>
        <v>0</v>
      </c>
      <c r="AU16" s="49">
        <f t="shared" si="13"/>
        <v>0</v>
      </c>
      <c r="AV16" s="49">
        <f t="shared" si="13"/>
        <v>0</v>
      </c>
      <c r="AW16" s="49">
        <f t="shared" si="13"/>
        <v>0</v>
      </c>
      <c r="AX16" s="49">
        <f t="shared" si="13"/>
        <v>0</v>
      </c>
      <c r="AY16" s="49">
        <f t="shared" si="13"/>
        <v>0</v>
      </c>
      <c r="AZ16" s="49">
        <f t="shared" si="13"/>
        <v>0</v>
      </c>
      <c r="BA16" s="49">
        <f t="shared" si="13"/>
        <v>0</v>
      </c>
      <c r="BB16" s="49">
        <f t="shared" si="13"/>
        <v>0</v>
      </c>
      <c r="BC16" s="49">
        <f t="shared" si="13"/>
        <v>0</v>
      </c>
      <c r="BD16" s="49">
        <f t="shared" si="13"/>
        <v>0</v>
      </c>
      <c r="BE16" s="49">
        <f t="shared" si="13"/>
        <v>0</v>
      </c>
      <c r="BF16" s="49">
        <f t="shared" si="13"/>
        <v>0</v>
      </c>
      <c r="BG16" s="49">
        <f t="shared" si="13"/>
        <v>0</v>
      </c>
      <c r="BH16" s="49">
        <f t="shared" si="13"/>
        <v>0</v>
      </c>
      <c r="BI16" s="49">
        <f t="shared" si="13"/>
        <v>0</v>
      </c>
      <c r="BJ16" s="49">
        <f t="shared" si="13"/>
        <v>0</v>
      </c>
      <c r="BK16" s="49">
        <f t="shared" si="13"/>
        <v>0</v>
      </c>
      <c r="BL16" s="49">
        <f t="shared" si="13"/>
        <v>0</v>
      </c>
      <c r="BM16" s="49">
        <f t="shared" si="13"/>
        <v>0</v>
      </c>
      <c r="BN16" s="49">
        <f t="shared" si="13"/>
        <v>0</v>
      </c>
      <c r="BO16" s="49">
        <f t="shared" ref="BO16:CT16" si="14">BO14+BO15</f>
        <v>0</v>
      </c>
      <c r="BP16" s="49">
        <f t="shared" si="14"/>
        <v>0</v>
      </c>
      <c r="BQ16" s="49">
        <f t="shared" si="14"/>
        <v>0</v>
      </c>
      <c r="BR16" s="49">
        <f t="shared" si="14"/>
        <v>0</v>
      </c>
      <c r="BS16" s="49">
        <f t="shared" si="14"/>
        <v>0</v>
      </c>
      <c r="BT16" s="49">
        <f t="shared" si="14"/>
        <v>0</v>
      </c>
      <c r="BU16" s="49">
        <f t="shared" si="14"/>
        <v>0</v>
      </c>
      <c r="BV16" s="49">
        <f t="shared" si="14"/>
        <v>0</v>
      </c>
      <c r="BW16" s="49">
        <f t="shared" si="14"/>
        <v>0</v>
      </c>
      <c r="BX16" s="49">
        <f t="shared" si="14"/>
        <v>0</v>
      </c>
      <c r="BY16" s="49">
        <f t="shared" si="14"/>
        <v>0</v>
      </c>
      <c r="BZ16" s="49">
        <f t="shared" si="14"/>
        <v>0</v>
      </c>
      <c r="CA16" s="49">
        <f t="shared" si="14"/>
        <v>0</v>
      </c>
      <c r="CB16" s="49">
        <f t="shared" si="14"/>
        <v>0</v>
      </c>
      <c r="CC16" s="49">
        <f t="shared" si="14"/>
        <v>0</v>
      </c>
      <c r="CD16" s="49">
        <f t="shared" si="14"/>
        <v>0</v>
      </c>
      <c r="CE16" s="49">
        <f t="shared" si="14"/>
        <v>0</v>
      </c>
      <c r="CF16" s="49">
        <f t="shared" si="14"/>
        <v>0</v>
      </c>
      <c r="CG16" s="49">
        <f t="shared" si="14"/>
        <v>0</v>
      </c>
      <c r="CH16" s="49">
        <f t="shared" si="14"/>
        <v>0</v>
      </c>
    </row>
    <row r="17" spans="1:86" ht="15" customHeight="1" x14ac:dyDescent="0.25">
      <c r="A17" s="42" t="s">
        <v>269</v>
      </c>
      <c r="B17" s="1"/>
      <c r="C17" s="50">
        <f>C16</f>
        <v>0</v>
      </c>
      <c r="D17" s="50">
        <f t="shared" ref="D17:AI17" si="15">C17+D16</f>
        <v>0</v>
      </c>
      <c r="E17" s="50">
        <f t="shared" si="15"/>
        <v>0</v>
      </c>
      <c r="F17" s="50">
        <f t="shared" si="15"/>
        <v>0</v>
      </c>
      <c r="G17" s="50">
        <f t="shared" si="15"/>
        <v>110840.58000000002</v>
      </c>
      <c r="H17" s="50">
        <f t="shared" si="15"/>
        <v>123472.16000000002</v>
      </c>
      <c r="I17" s="50">
        <f t="shared" si="15"/>
        <v>136103.74000000002</v>
      </c>
      <c r="J17" s="50">
        <f t="shared" si="15"/>
        <v>148735.32</v>
      </c>
      <c r="K17" s="50">
        <f t="shared" si="15"/>
        <v>161366.9</v>
      </c>
      <c r="L17" s="50">
        <f t="shared" si="15"/>
        <v>173998.47999999998</v>
      </c>
      <c r="M17" s="50">
        <f t="shared" si="15"/>
        <v>186630.05999999997</v>
      </c>
      <c r="N17" s="50">
        <f t="shared" si="15"/>
        <v>199261.63999999996</v>
      </c>
      <c r="O17" s="50">
        <f t="shared" si="15"/>
        <v>211893.21999999994</v>
      </c>
      <c r="P17" s="50">
        <f t="shared" si="15"/>
        <v>224524.79999999993</v>
      </c>
      <c r="Q17" s="50">
        <f t="shared" si="15"/>
        <v>237156.37999999992</v>
      </c>
      <c r="R17" s="50">
        <f t="shared" si="15"/>
        <v>249787.9599999999</v>
      </c>
      <c r="S17" s="50">
        <f t="shared" si="15"/>
        <v>262419.53999999992</v>
      </c>
      <c r="T17" s="50">
        <f t="shared" si="15"/>
        <v>275051.11999999994</v>
      </c>
      <c r="U17" s="50">
        <f t="shared" si="15"/>
        <v>287682.69999999995</v>
      </c>
      <c r="V17" s="50">
        <f t="shared" si="15"/>
        <v>300314.27999999997</v>
      </c>
      <c r="W17" s="50">
        <f t="shared" si="15"/>
        <v>312945.86</v>
      </c>
      <c r="X17" s="50">
        <f t="shared" si="15"/>
        <v>325577.44</v>
      </c>
      <c r="Y17" s="50">
        <f t="shared" si="15"/>
        <v>338209.02</v>
      </c>
      <c r="Z17" s="50">
        <f t="shared" si="15"/>
        <v>338209.02</v>
      </c>
      <c r="AA17" s="50">
        <f t="shared" si="15"/>
        <v>338209.02</v>
      </c>
      <c r="AB17" s="50">
        <f t="shared" si="15"/>
        <v>338209.02</v>
      </c>
      <c r="AC17" s="50">
        <f t="shared" si="15"/>
        <v>338209.02</v>
      </c>
      <c r="AD17" s="50">
        <f t="shared" si="15"/>
        <v>338209.02</v>
      </c>
      <c r="AE17" s="50">
        <f t="shared" si="15"/>
        <v>338209.02</v>
      </c>
      <c r="AF17" s="50">
        <f t="shared" si="15"/>
        <v>338209.02</v>
      </c>
      <c r="AG17" s="50">
        <f t="shared" si="15"/>
        <v>338209.02</v>
      </c>
      <c r="AH17" s="50">
        <f t="shared" si="15"/>
        <v>338209.02</v>
      </c>
      <c r="AI17" s="50">
        <f t="shared" si="15"/>
        <v>338209.02</v>
      </c>
      <c r="AJ17" s="50">
        <f t="shared" ref="AJ17:BO17" si="16">AI17+AJ16</f>
        <v>338209.02</v>
      </c>
      <c r="AK17" s="50">
        <f t="shared" si="16"/>
        <v>338209.02</v>
      </c>
      <c r="AL17" s="50">
        <f t="shared" si="16"/>
        <v>338209.02</v>
      </c>
      <c r="AM17" s="50">
        <f t="shared" si="16"/>
        <v>338209.02</v>
      </c>
      <c r="AN17" s="50">
        <f t="shared" si="16"/>
        <v>338209.02</v>
      </c>
      <c r="AO17" s="50">
        <f t="shared" si="16"/>
        <v>338209.02</v>
      </c>
      <c r="AP17" s="50">
        <f t="shared" si="16"/>
        <v>338209.02</v>
      </c>
      <c r="AQ17" s="50">
        <f t="shared" si="16"/>
        <v>338209.02</v>
      </c>
      <c r="AR17" s="50">
        <f t="shared" si="16"/>
        <v>338209.02</v>
      </c>
      <c r="AS17" s="50">
        <f t="shared" si="16"/>
        <v>338209.02</v>
      </c>
      <c r="AT17" s="50">
        <f t="shared" si="16"/>
        <v>338209.02</v>
      </c>
      <c r="AU17" s="50">
        <f t="shared" si="16"/>
        <v>338209.02</v>
      </c>
      <c r="AV17" s="50">
        <f t="shared" si="16"/>
        <v>338209.02</v>
      </c>
      <c r="AW17" s="50">
        <f t="shared" si="16"/>
        <v>338209.02</v>
      </c>
      <c r="AX17" s="50">
        <f t="shared" si="16"/>
        <v>338209.02</v>
      </c>
      <c r="AY17" s="50">
        <f t="shared" si="16"/>
        <v>338209.02</v>
      </c>
      <c r="AZ17" s="50">
        <f t="shared" si="16"/>
        <v>338209.02</v>
      </c>
      <c r="BA17" s="50">
        <f t="shared" si="16"/>
        <v>338209.02</v>
      </c>
      <c r="BB17" s="50">
        <f t="shared" si="16"/>
        <v>338209.02</v>
      </c>
      <c r="BC17" s="50">
        <f t="shared" si="16"/>
        <v>338209.02</v>
      </c>
      <c r="BD17" s="50">
        <f t="shared" si="16"/>
        <v>338209.02</v>
      </c>
      <c r="BE17" s="50">
        <f t="shared" si="16"/>
        <v>338209.02</v>
      </c>
      <c r="BF17" s="50">
        <f t="shared" si="16"/>
        <v>338209.02</v>
      </c>
      <c r="BG17" s="50">
        <f t="shared" si="16"/>
        <v>338209.02</v>
      </c>
      <c r="BH17" s="50">
        <f t="shared" si="16"/>
        <v>338209.02</v>
      </c>
      <c r="BI17" s="50">
        <f t="shared" si="16"/>
        <v>338209.02</v>
      </c>
      <c r="BJ17" s="50">
        <f t="shared" si="16"/>
        <v>338209.02</v>
      </c>
      <c r="BK17" s="50">
        <f t="shared" si="16"/>
        <v>338209.02</v>
      </c>
      <c r="BL17" s="50">
        <f t="shared" si="16"/>
        <v>338209.02</v>
      </c>
      <c r="BM17" s="50">
        <f t="shared" si="16"/>
        <v>338209.02</v>
      </c>
      <c r="BN17" s="50">
        <f t="shared" si="16"/>
        <v>338209.02</v>
      </c>
      <c r="BO17" s="50">
        <f t="shared" si="16"/>
        <v>338209.02</v>
      </c>
      <c r="BP17" s="50">
        <f t="shared" ref="BP17:CU17" si="17">BO17+BP16</f>
        <v>338209.02</v>
      </c>
      <c r="BQ17" s="50">
        <f t="shared" si="17"/>
        <v>338209.02</v>
      </c>
      <c r="BR17" s="50">
        <f t="shared" si="17"/>
        <v>338209.02</v>
      </c>
      <c r="BS17" s="50">
        <f t="shared" si="17"/>
        <v>338209.02</v>
      </c>
      <c r="BT17" s="50">
        <f t="shared" si="17"/>
        <v>338209.02</v>
      </c>
      <c r="BU17" s="50">
        <f t="shared" si="17"/>
        <v>338209.02</v>
      </c>
      <c r="BV17" s="50">
        <f t="shared" si="17"/>
        <v>338209.02</v>
      </c>
      <c r="BW17" s="50">
        <f t="shared" si="17"/>
        <v>338209.02</v>
      </c>
      <c r="BX17" s="50">
        <f t="shared" si="17"/>
        <v>338209.02</v>
      </c>
      <c r="BY17" s="50">
        <f t="shared" si="17"/>
        <v>338209.02</v>
      </c>
      <c r="BZ17" s="50">
        <f t="shared" si="17"/>
        <v>338209.02</v>
      </c>
      <c r="CA17" s="50">
        <f t="shared" si="17"/>
        <v>338209.02</v>
      </c>
      <c r="CB17" s="50">
        <f t="shared" si="17"/>
        <v>338209.02</v>
      </c>
      <c r="CC17" s="50">
        <f t="shared" si="17"/>
        <v>338209.02</v>
      </c>
      <c r="CD17" s="50">
        <f t="shared" si="17"/>
        <v>338209.02</v>
      </c>
      <c r="CE17" s="50">
        <f t="shared" si="17"/>
        <v>338209.02</v>
      </c>
      <c r="CF17" s="50">
        <f t="shared" si="17"/>
        <v>338209.02</v>
      </c>
      <c r="CG17" s="50">
        <f t="shared" si="17"/>
        <v>338209.02</v>
      </c>
      <c r="CH17" s="50">
        <f t="shared" si="17"/>
        <v>338209.02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109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267</v>
      </c>
      <c r="B20" s="1"/>
      <c r="C20" s="48">
        <f>Model!C56+Model!C57+Model!C58</f>
        <v>0</v>
      </c>
      <c r="D20" s="48">
        <f>Model!D56+Model!D57+Model!D58</f>
        <v>0</v>
      </c>
      <c r="E20" s="48">
        <f>Model!E56+Model!E57+Model!E58</f>
        <v>0</v>
      </c>
      <c r="F20" s="48">
        <f>Model!F56+Model!F57+Model!F58</f>
        <v>0</v>
      </c>
      <c r="G20" s="48">
        <f>Model!G56+Model!G57+Model!G58</f>
        <v>0</v>
      </c>
      <c r="H20" s="48">
        <f>Model!H56+Model!H57+Model!H58</f>
        <v>192797.63</v>
      </c>
      <c r="I20" s="48">
        <f>Model!I56+Model!I57+Model!I58</f>
        <v>11052.630000000001</v>
      </c>
      <c r="J20" s="48">
        <f>Model!J56+Model!J57+Model!J58</f>
        <v>11052.630000000001</v>
      </c>
      <c r="K20" s="48">
        <f>Model!K56+Model!K57+Model!K58</f>
        <v>11052.630000000001</v>
      </c>
      <c r="L20" s="48">
        <f>Model!L56+Model!L57+Model!L58</f>
        <v>11052.630000000001</v>
      </c>
      <c r="M20" s="48">
        <f>Model!M56+Model!M57+Model!M58</f>
        <v>11052.630000000001</v>
      </c>
      <c r="N20" s="48">
        <f>Model!N56+Model!N57+Model!N58</f>
        <v>11052.630000000001</v>
      </c>
      <c r="O20" s="48">
        <f>Model!O56+Model!O57+Model!O58</f>
        <v>11052.630000000001</v>
      </c>
      <c r="P20" s="48">
        <f>Model!P56+Model!P57+Model!P58</f>
        <v>11052.630000000001</v>
      </c>
      <c r="Q20" s="48">
        <f>Model!Q56+Model!Q57+Model!Q58</f>
        <v>11052.630000000001</v>
      </c>
      <c r="R20" s="48">
        <f>Model!R56+Model!R57+Model!R58</f>
        <v>11052.630000000001</v>
      </c>
      <c r="S20" s="48">
        <f>Model!S56+Model!S57+Model!S58</f>
        <v>11052.630000000001</v>
      </c>
      <c r="T20" s="48">
        <f>Model!T56+Model!T57+Model!T58</f>
        <v>11052.630000000001</v>
      </c>
      <c r="U20" s="48">
        <f>Model!U56+Model!U57+Model!U58</f>
        <v>11052.630000000001</v>
      </c>
      <c r="V20" s="48">
        <f>Model!V56+Model!V57+Model!V58</f>
        <v>11052.630000000001</v>
      </c>
      <c r="W20" s="48">
        <f>Model!W56+Model!W57+Model!W58</f>
        <v>11052.630000000001</v>
      </c>
      <c r="X20" s="48">
        <f>Model!X56+Model!X57+Model!X58</f>
        <v>11052.630000000001</v>
      </c>
      <c r="Y20" s="48">
        <f>Model!Y56+Model!Y57+Model!Y58</f>
        <v>11052.630000000001</v>
      </c>
      <c r="Z20" s="48">
        <f>Model!Z56+Model!Z57+Model!Z58</f>
        <v>11052.630000000001</v>
      </c>
      <c r="AA20" s="48">
        <f>Model!AA56+Model!AA57+Model!AA58</f>
        <v>0</v>
      </c>
      <c r="AB20" s="48">
        <f>Model!AB56+Model!AB57+Model!AB58</f>
        <v>0</v>
      </c>
      <c r="AC20" s="48">
        <f>Model!AC56+Model!AC57+Model!AC58</f>
        <v>0</v>
      </c>
      <c r="AD20" s="48">
        <f>Model!AD56+Model!AD57+Model!AD58</f>
        <v>0</v>
      </c>
      <c r="AE20" s="48">
        <f>Model!AE56+Model!AE57+Model!AE58</f>
        <v>0</v>
      </c>
      <c r="AF20" s="48">
        <f>Model!AF56+Model!AF57+Model!AF58</f>
        <v>0</v>
      </c>
      <c r="AG20" s="48">
        <f>Model!AG56+Model!AG57+Model!AG58</f>
        <v>0</v>
      </c>
      <c r="AH20" s="48">
        <f>Model!AH56+Model!AH57+Model!AH58</f>
        <v>0</v>
      </c>
      <c r="AI20" s="48">
        <f>Model!AI56+Model!AI57+Model!AI58</f>
        <v>0</v>
      </c>
      <c r="AJ20" s="48">
        <f>Model!AJ56+Model!AJ57+Model!AJ58</f>
        <v>0</v>
      </c>
      <c r="AK20" s="48">
        <f>Model!AK56+Model!AK57+Model!AK58</f>
        <v>0</v>
      </c>
      <c r="AL20" s="48">
        <f>Model!AL56+Model!AL57+Model!AL58</f>
        <v>0</v>
      </c>
      <c r="AM20" s="48">
        <f>Model!AM56+Model!AM57+Model!AM58</f>
        <v>0</v>
      </c>
      <c r="AN20" s="48">
        <f>Model!AN56+Model!AN57+Model!AN58</f>
        <v>0</v>
      </c>
      <c r="AO20" s="48">
        <f>Model!AO56+Model!AO57+Model!AO58</f>
        <v>0</v>
      </c>
      <c r="AP20" s="48">
        <f>Model!AP56+Model!AP57+Model!AP58</f>
        <v>0</v>
      </c>
      <c r="AQ20" s="48">
        <f>Model!AQ56+Model!AQ57+Model!AQ58</f>
        <v>0</v>
      </c>
      <c r="AR20" s="48">
        <f>Model!AR56+Model!AR57+Model!AR58</f>
        <v>0</v>
      </c>
      <c r="AS20" s="48">
        <f>Model!AS56+Model!AS57+Model!AS58</f>
        <v>0</v>
      </c>
      <c r="AT20" s="48">
        <f>Model!AT56+Model!AT57+Model!AT58</f>
        <v>0</v>
      </c>
      <c r="AU20" s="48">
        <f>Model!AU56+Model!AU57+Model!AU58</f>
        <v>0</v>
      </c>
      <c r="AV20" s="48">
        <f>Model!AV56+Model!AV57+Model!AV58</f>
        <v>0</v>
      </c>
      <c r="AW20" s="48">
        <f>Model!AW56+Model!AW57+Model!AW58</f>
        <v>0</v>
      </c>
      <c r="AX20" s="48">
        <f>Model!AX56+Model!AX57+Model!AX58</f>
        <v>0</v>
      </c>
      <c r="AY20" s="48">
        <f>Model!AY56+Model!AY57+Model!AY58</f>
        <v>0</v>
      </c>
      <c r="AZ20" s="48">
        <f>Model!AZ56+Model!AZ57+Model!AZ58</f>
        <v>0</v>
      </c>
      <c r="BA20" s="48">
        <f>Model!BA56+Model!BA57+Model!BA58</f>
        <v>0</v>
      </c>
      <c r="BB20" s="48">
        <f>Model!BB56+Model!BB57+Model!BB58</f>
        <v>0</v>
      </c>
      <c r="BC20" s="48">
        <f>Model!BC56+Model!BC57+Model!BC58</f>
        <v>0</v>
      </c>
      <c r="BD20" s="48">
        <f>Model!BD56+Model!BD57+Model!BD58</f>
        <v>0</v>
      </c>
      <c r="BE20" s="48">
        <f>Model!BE56+Model!BE57+Model!BE58</f>
        <v>0</v>
      </c>
      <c r="BF20" s="48">
        <f>Model!BF56+Model!BF57+Model!BF58</f>
        <v>0</v>
      </c>
      <c r="BG20" s="48">
        <f>Model!BG56+Model!BG57+Model!BG58</f>
        <v>0</v>
      </c>
      <c r="BH20" s="48">
        <f>Model!BH56+Model!BH57+Model!BH58</f>
        <v>0</v>
      </c>
      <c r="BI20" s="48">
        <f>Model!BI56+Model!BI57+Model!BI58</f>
        <v>0</v>
      </c>
      <c r="BJ20" s="48">
        <f>Model!BJ56+Model!BJ57+Model!BJ58</f>
        <v>0</v>
      </c>
      <c r="BK20" s="48">
        <f>Model!BK56+Model!BK57+Model!BK58</f>
        <v>0</v>
      </c>
      <c r="BL20" s="48">
        <f>Model!BL56+Model!BL57+Model!BL58</f>
        <v>0</v>
      </c>
      <c r="BM20" s="48">
        <f>Model!BM56+Model!BM57+Model!BM58</f>
        <v>0</v>
      </c>
      <c r="BN20" s="48">
        <f>Model!BN56+Model!BN57+Model!BN58</f>
        <v>0</v>
      </c>
      <c r="BO20" s="48">
        <f>Model!BO56+Model!BO57+Model!BO58</f>
        <v>0</v>
      </c>
      <c r="BP20" s="48">
        <f>Model!BP56+Model!BP57+Model!BP58</f>
        <v>0</v>
      </c>
      <c r="BQ20" s="48">
        <f>Model!BQ56+Model!BQ57+Model!BQ58</f>
        <v>0</v>
      </c>
      <c r="BR20" s="48">
        <f>Model!BR56+Model!BR57+Model!BR58</f>
        <v>0</v>
      </c>
      <c r="BS20" s="48">
        <f>Model!BS56+Model!BS57+Model!BS58</f>
        <v>0</v>
      </c>
      <c r="BT20" s="48">
        <f>Model!BT56+Model!BT57+Model!BT58</f>
        <v>0</v>
      </c>
      <c r="BU20" s="48">
        <f>Model!BU56+Model!BU57+Model!BU58</f>
        <v>0</v>
      </c>
      <c r="BV20" s="48">
        <f>Model!BV56+Model!BV57+Model!BV58</f>
        <v>0</v>
      </c>
      <c r="BW20" s="48">
        <f>Model!BW56+Model!BW57+Model!BW58</f>
        <v>0</v>
      </c>
      <c r="BX20" s="48">
        <f>Model!BX56+Model!BX57+Model!BX58</f>
        <v>0</v>
      </c>
      <c r="BY20" s="48">
        <f>Model!BY56+Model!BY57+Model!BY58</f>
        <v>0</v>
      </c>
      <c r="BZ20" s="48">
        <f>Model!BZ56+Model!BZ57+Model!BZ58</f>
        <v>0</v>
      </c>
      <c r="CA20" s="48">
        <f>Model!CA56+Model!CA57+Model!CA58</f>
        <v>0</v>
      </c>
      <c r="CB20" s="48">
        <f>Model!CB56+Model!CB57+Model!CB58</f>
        <v>0</v>
      </c>
      <c r="CC20" s="48">
        <f>Model!CC56+Model!CC57+Model!CC58</f>
        <v>0</v>
      </c>
      <c r="CD20" s="48">
        <f>Model!CD56+Model!CD57+Model!CD58</f>
        <v>0</v>
      </c>
      <c r="CE20" s="48">
        <f>Model!CE56+Model!CE57+Model!CE58</f>
        <v>0</v>
      </c>
      <c r="CF20" s="48">
        <f>Model!CF56+Model!CF57+Model!CF58</f>
        <v>0</v>
      </c>
      <c r="CG20" s="48">
        <f>Model!CG56+Model!CG57+Model!CG58</f>
        <v>0</v>
      </c>
      <c r="CH20" s="48">
        <f>Model!CH56+Model!CH57+Model!CH58</f>
        <v>0</v>
      </c>
    </row>
    <row r="21" spans="1:86" ht="15" customHeight="1" x14ac:dyDescent="0.25">
      <c r="A21" s="51" t="s">
        <v>271</v>
      </c>
      <c r="B21" s="1"/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f>IF(Projects!$G$12="Yes",-135452,0)</f>
        <v>-135452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2">
        <v>0</v>
      </c>
      <c r="P21" s="52">
        <v>0</v>
      </c>
      <c r="Q21" s="52">
        <v>0</v>
      </c>
      <c r="R21" s="52">
        <v>0</v>
      </c>
      <c r="S21" s="52">
        <v>0</v>
      </c>
      <c r="T21" s="52">
        <v>0</v>
      </c>
      <c r="U21" s="52">
        <v>0</v>
      </c>
      <c r="V21" s="52">
        <v>0</v>
      </c>
      <c r="W21" s="52">
        <v>0</v>
      </c>
      <c r="X21" s="52">
        <v>0</v>
      </c>
      <c r="Y21" s="52">
        <v>0</v>
      </c>
      <c r="Z21" s="52">
        <v>0</v>
      </c>
      <c r="AA21" s="52">
        <v>0</v>
      </c>
      <c r="AB21" s="52">
        <v>0</v>
      </c>
      <c r="AC21" s="52">
        <v>0</v>
      </c>
      <c r="AD21" s="52">
        <v>0</v>
      </c>
      <c r="AE21" s="52">
        <v>0</v>
      </c>
      <c r="AF21" s="52">
        <v>0</v>
      </c>
      <c r="AG21" s="52">
        <v>0</v>
      </c>
      <c r="AH21" s="52">
        <v>0</v>
      </c>
      <c r="AI21" s="52">
        <v>0</v>
      </c>
      <c r="AJ21" s="52">
        <v>0</v>
      </c>
      <c r="AK21" s="52">
        <v>0</v>
      </c>
      <c r="AL21" s="52">
        <v>0</v>
      </c>
      <c r="AM21" s="52">
        <v>0</v>
      </c>
      <c r="AN21" s="52">
        <v>0</v>
      </c>
      <c r="AO21" s="52">
        <v>0</v>
      </c>
      <c r="AP21" s="52">
        <v>0</v>
      </c>
      <c r="AQ21" s="52">
        <v>0</v>
      </c>
      <c r="AR21" s="52">
        <v>0</v>
      </c>
      <c r="AS21" s="52">
        <v>0</v>
      </c>
      <c r="AT21" s="52">
        <v>0</v>
      </c>
      <c r="AU21" s="52">
        <v>0</v>
      </c>
      <c r="AV21" s="52">
        <v>0</v>
      </c>
      <c r="AW21" s="52">
        <v>0</v>
      </c>
      <c r="AX21" s="52">
        <v>0</v>
      </c>
      <c r="AY21" s="52">
        <v>0</v>
      </c>
      <c r="AZ21" s="52">
        <v>0</v>
      </c>
      <c r="BA21" s="52">
        <v>0</v>
      </c>
      <c r="BB21" s="52">
        <v>0</v>
      </c>
      <c r="BC21" s="52">
        <v>0</v>
      </c>
      <c r="BD21" s="52">
        <v>0</v>
      </c>
      <c r="BE21" s="52">
        <v>0</v>
      </c>
      <c r="BF21" s="52">
        <v>0</v>
      </c>
      <c r="BG21" s="52">
        <v>0</v>
      </c>
      <c r="BH21" s="52">
        <v>0</v>
      </c>
      <c r="BI21" s="52">
        <v>0</v>
      </c>
      <c r="BJ21" s="52">
        <v>0</v>
      </c>
      <c r="BK21" s="52">
        <v>0</v>
      </c>
      <c r="BL21" s="52">
        <v>0</v>
      </c>
      <c r="BM21" s="52">
        <v>0</v>
      </c>
      <c r="BN21" s="52">
        <v>0</v>
      </c>
      <c r="BO21" s="52">
        <v>0</v>
      </c>
      <c r="BP21" s="52">
        <v>0</v>
      </c>
      <c r="BQ21" s="52">
        <v>0</v>
      </c>
      <c r="BR21" s="52">
        <v>0</v>
      </c>
      <c r="BS21" s="52">
        <v>0</v>
      </c>
      <c r="BT21" s="52">
        <v>0</v>
      </c>
      <c r="BU21" s="52">
        <v>0</v>
      </c>
      <c r="BV21" s="52">
        <v>0</v>
      </c>
      <c r="BW21" s="52">
        <v>0</v>
      </c>
      <c r="BX21" s="52">
        <v>0</v>
      </c>
      <c r="BY21" s="52">
        <v>0</v>
      </c>
      <c r="BZ21" s="52">
        <v>0</v>
      </c>
      <c r="CA21" s="52">
        <v>0</v>
      </c>
      <c r="CB21" s="52">
        <v>0</v>
      </c>
      <c r="CC21" s="52">
        <v>0</v>
      </c>
      <c r="CD21" s="52">
        <v>0</v>
      </c>
      <c r="CE21" s="52">
        <v>0</v>
      </c>
      <c r="CF21" s="52">
        <v>0</v>
      </c>
      <c r="CG21" s="52">
        <v>0</v>
      </c>
      <c r="CH21" s="52">
        <v>0</v>
      </c>
    </row>
    <row r="22" spans="1:86" ht="15" customHeight="1" x14ac:dyDescent="0.25">
      <c r="A22" s="28" t="s">
        <v>268</v>
      </c>
      <c r="B22" s="28"/>
      <c r="C22" s="49">
        <f t="shared" ref="C22:AH22" si="18">C20+C21</f>
        <v>0</v>
      </c>
      <c r="D22" s="49">
        <f t="shared" si="18"/>
        <v>0</v>
      </c>
      <c r="E22" s="49">
        <f t="shared" si="18"/>
        <v>0</v>
      </c>
      <c r="F22" s="49">
        <f t="shared" si="18"/>
        <v>0</v>
      </c>
      <c r="G22" s="49">
        <f t="shared" si="18"/>
        <v>0</v>
      </c>
      <c r="H22" s="49">
        <f t="shared" si="18"/>
        <v>57345.630000000005</v>
      </c>
      <c r="I22" s="49">
        <f t="shared" si="18"/>
        <v>11052.630000000001</v>
      </c>
      <c r="J22" s="49">
        <f t="shared" si="18"/>
        <v>11052.630000000001</v>
      </c>
      <c r="K22" s="49">
        <f t="shared" si="18"/>
        <v>11052.630000000001</v>
      </c>
      <c r="L22" s="49">
        <f t="shared" si="18"/>
        <v>11052.630000000001</v>
      </c>
      <c r="M22" s="49">
        <f t="shared" si="18"/>
        <v>11052.630000000001</v>
      </c>
      <c r="N22" s="49">
        <f t="shared" si="18"/>
        <v>11052.630000000001</v>
      </c>
      <c r="O22" s="49">
        <f t="shared" si="18"/>
        <v>11052.630000000001</v>
      </c>
      <c r="P22" s="49">
        <f t="shared" si="18"/>
        <v>11052.630000000001</v>
      </c>
      <c r="Q22" s="49">
        <f t="shared" si="18"/>
        <v>11052.630000000001</v>
      </c>
      <c r="R22" s="49">
        <f t="shared" si="18"/>
        <v>11052.630000000001</v>
      </c>
      <c r="S22" s="49">
        <f t="shared" si="18"/>
        <v>11052.630000000001</v>
      </c>
      <c r="T22" s="49">
        <f t="shared" si="18"/>
        <v>11052.630000000001</v>
      </c>
      <c r="U22" s="49">
        <f t="shared" si="18"/>
        <v>11052.630000000001</v>
      </c>
      <c r="V22" s="49">
        <f t="shared" si="18"/>
        <v>11052.630000000001</v>
      </c>
      <c r="W22" s="49">
        <f t="shared" si="18"/>
        <v>11052.630000000001</v>
      </c>
      <c r="X22" s="49">
        <f t="shared" si="18"/>
        <v>11052.630000000001</v>
      </c>
      <c r="Y22" s="49">
        <f t="shared" si="18"/>
        <v>11052.630000000001</v>
      </c>
      <c r="Z22" s="49">
        <f t="shared" si="18"/>
        <v>11052.630000000001</v>
      </c>
      <c r="AA22" s="49">
        <f t="shared" si="18"/>
        <v>0</v>
      </c>
      <c r="AB22" s="49">
        <f t="shared" si="18"/>
        <v>0</v>
      </c>
      <c r="AC22" s="49">
        <f t="shared" si="18"/>
        <v>0</v>
      </c>
      <c r="AD22" s="49">
        <f t="shared" si="18"/>
        <v>0</v>
      </c>
      <c r="AE22" s="49">
        <f t="shared" si="18"/>
        <v>0</v>
      </c>
      <c r="AF22" s="49">
        <f t="shared" si="18"/>
        <v>0</v>
      </c>
      <c r="AG22" s="49">
        <f t="shared" si="18"/>
        <v>0</v>
      </c>
      <c r="AH22" s="49">
        <f t="shared" si="18"/>
        <v>0</v>
      </c>
      <c r="AI22" s="49">
        <f t="shared" ref="AI22:BN22" si="19">AI20+AI21</f>
        <v>0</v>
      </c>
      <c r="AJ22" s="49">
        <f t="shared" si="19"/>
        <v>0</v>
      </c>
      <c r="AK22" s="49">
        <f t="shared" si="19"/>
        <v>0</v>
      </c>
      <c r="AL22" s="49">
        <f t="shared" si="19"/>
        <v>0</v>
      </c>
      <c r="AM22" s="49">
        <f t="shared" si="19"/>
        <v>0</v>
      </c>
      <c r="AN22" s="49">
        <f t="shared" si="19"/>
        <v>0</v>
      </c>
      <c r="AO22" s="49">
        <f t="shared" si="19"/>
        <v>0</v>
      </c>
      <c r="AP22" s="49">
        <f t="shared" si="19"/>
        <v>0</v>
      </c>
      <c r="AQ22" s="49">
        <f t="shared" si="19"/>
        <v>0</v>
      </c>
      <c r="AR22" s="49">
        <f t="shared" si="19"/>
        <v>0</v>
      </c>
      <c r="AS22" s="49">
        <f t="shared" si="19"/>
        <v>0</v>
      </c>
      <c r="AT22" s="49">
        <f t="shared" si="19"/>
        <v>0</v>
      </c>
      <c r="AU22" s="49">
        <f t="shared" si="19"/>
        <v>0</v>
      </c>
      <c r="AV22" s="49">
        <f t="shared" si="19"/>
        <v>0</v>
      </c>
      <c r="AW22" s="49">
        <f t="shared" si="19"/>
        <v>0</v>
      </c>
      <c r="AX22" s="49">
        <f t="shared" si="19"/>
        <v>0</v>
      </c>
      <c r="AY22" s="49">
        <f t="shared" si="19"/>
        <v>0</v>
      </c>
      <c r="AZ22" s="49">
        <f t="shared" si="19"/>
        <v>0</v>
      </c>
      <c r="BA22" s="49">
        <f t="shared" si="19"/>
        <v>0</v>
      </c>
      <c r="BB22" s="49">
        <f t="shared" si="19"/>
        <v>0</v>
      </c>
      <c r="BC22" s="49">
        <f t="shared" si="19"/>
        <v>0</v>
      </c>
      <c r="BD22" s="49">
        <f t="shared" si="19"/>
        <v>0</v>
      </c>
      <c r="BE22" s="49">
        <f t="shared" si="19"/>
        <v>0</v>
      </c>
      <c r="BF22" s="49">
        <f t="shared" si="19"/>
        <v>0</v>
      </c>
      <c r="BG22" s="49">
        <f t="shared" si="19"/>
        <v>0</v>
      </c>
      <c r="BH22" s="49">
        <f t="shared" si="19"/>
        <v>0</v>
      </c>
      <c r="BI22" s="49">
        <f t="shared" si="19"/>
        <v>0</v>
      </c>
      <c r="BJ22" s="49">
        <f t="shared" si="19"/>
        <v>0</v>
      </c>
      <c r="BK22" s="49">
        <f t="shared" si="19"/>
        <v>0</v>
      </c>
      <c r="BL22" s="49">
        <f t="shared" si="19"/>
        <v>0</v>
      </c>
      <c r="BM22" s="49">
        <f t="shared" si="19"/>
        <v>0</v>
      </c>
      <c r="BN22" s="49">
        <f t="shared" si="19"/>
        <v>0</v>
      </c>
      <c r="BO22" s="49">
        <f t="shared" ref="BO22:CT22" si="20">BO20+BO21</f>
        <v>0</v>
      </c>
      <c r="BP22" s="49">
        <f t="shared" si="20"/>
        <v>0</v>
      </c>
      <c r="BQ22" s="49">
        <f t="shared" si="20"/>
        <v>0</v>
      </c>
      <c r="BR22" s="49">
        <f t="shared" si="20"/>
        <v>0</v>
      </c>
      <c r="BS22" s="49">
        <f t="shared" si="20"/>
        <v>0</v>
      </c>
      <c r="BT22" s="49">
        <f t="shared" si="20"/>
        <v>0</v>
      </c>
      <c r="BU22" s="49">
        <f t="shared" si="20"/>
        <v>0</v>
      </c>
      <c r="BV22" s="49">
        <f t="shared" si="20"/>
        <v>0</v>
      </c>
      <c r="BW22" s="49">
        <f t="shared" si="20"/>
        <v>0</v>
      </c>
      <c r="BX22" s="49">
        <f t="shared" si="20"/>
        <v>0</v>
      </c>
      <c r="BY22" s="49">
        <f t="shared" si="20"/>
        <v>0</v>
      </c>
      <c r="BZ22" s="49">
        <f t="shared" si="20"/>
        <v>0</v>
      </c>
      <c r="CA22" s="49">
        <f t="shared" si="20"/>
        <v>0</v>
      </c>
      <c r="CB22" s="49">
        <f t="shared" si="20"/>
        <v>0</v>
      </c>
      <c r="CC22" s="49">
        <f t="shared" si="20"/>
        <v>0</v>
      </c>
      <c r="CD22" s="49">
        <f t="shared" si="20"/>
        <v>0</v>
      </c>
      <c r="CE22" s="49">
        <f t="shared" si="20"/>
        <v>0</v>
      </c>
      <c r="CF22" s="49">
        <f t="shared" si="20"/>
        <v>0</v>
      </c>
      <c r="CG22" s="49">
        <f t="shared" si="20"/>
        <v>0</v>
      </c>
      <c r="CH22" s="49">
        <f t="shared" si="20"/>
        <v>0</v>
      </c>
    </row>
    <row r="23" spans="1:86" ht="15" customHeight="1" x14ac:dyDescent="0.25">
      <c r="A23" s="42" t="s">
        <v>269</v>
      </c>
      <c r="B23" s="1"/>
      <c r="C23" s="50">
        <f>C22</f>
        <v>0</v>
      </c>
      <c r="D23" s="50">
        <f t="shared" ref="D23:AI23" si="21">C23+D22</f>
        <v>0</v>
      </c>
      <c r="E23" s="50">
        <f t="shared" si="21"/>
        <v>0</v>
      </c>
      <c r="F23" s="50">
        <f t="shared" si="21"/>
        <v>0</v>
      </c>
      <c r="G23" s="50">
        <f t="shared" si="21"/>
        <v>0</v>
      </c>
      <c r="H23" s="50">
        <f t="shared" si="21"/>
        <v>57345.630000000005</v>
      </c>
      <c r="I23" s="50">
        <f t="shared" si="21"/>
        <v>68398.260000000009</v>
      </c>
      <c r="J23" s="50">
        <f t="shared" si="21"/>
        <v>79450.890000000014</v>
      </c>
      <c r="K23" s="50">
        <f t="shared" si="21"/>
        <v>90503.520000000019</v>
      </c>
      <c r="L23" s="50">
        <f t="shared" si="21"/>
        <v>101556.15000000002</v>
      </c>
      <c r="M23" s="50">
        <f t="shared" si="21"/>
        <v>112608.78000000003</v>
      </c>
      <c r="N23" s="50">
        <f t="shared" si="21"/>
        <v>123661.41000000003</v>
      </c>
      <c r="O23" s="50">
        <f t="shared" si="21"/>
        <v>134714.04000000004</v>
      </c>
      <c r="P23" s="50">
        <f t="shared" si="21"/>
        <v>145766.67000000004</v>
      </c>
      <c r="Q23" s="50">
        <f t="shared" si="21"/>
        <v>156819.30000000005</v>
      </c>
      <c r="R23" s="50">
        <f t="shared" si="21"/>
        <v>167871.93000000005</v>
      </c>
      <c r="S23" s="50">
        <f t="shared" si="21"/>
        <v>178924.56000000006</v>
      </c>
      <c r="T23" s="50">
        <f t="shared" si="21"/>
        <v>189977.19000000006</v>
      </c>
      <c r="U23" s="50">
        <f t="shared" si="21"/>
        <v>201029.82000000007</v>
      </c>
      <c r="V23" s="50">
        <f t="shared" si="21"/>
        <v>212082.45000000007</v>
      </c>
      <c r="W23" s="50">
        <f t="shared" si="21"/>
        <v>223135.08000000007</v>
      </c>
      <c r="X23" s="50">
        <f t="shared" si="21"/>
        <v>234187.71000000008</v>
      </c>
      <c r="Y23" s="50">
        <f t="shared" si="21"/>
        <v>245240.34000000008</v>
      </c>
      <c r="Z23" s="50">
        <f t="shared" si="21"/>
        <v>256292.97000000009</v>
      </c>
      <c r="AA23" s="50">
        <f t="shared" si="21"/>
        <v>256292.97000000009</v>
      </c>
      <c r="AB23" s="50">
        <f t="shared" si="21"/>
        <v>256292.97000000009</v>
      </c>
      <c r="AC23" s="50">
        <f t="shared" si="21"/>
        <v>256292.97000000009</v>
      </c>
      <c r="AD23" s="50">
        <f t="shared" si="21"/>
        <v>256292.97000000009</v>
      </c>
      <c r="AE23" s="50">
        <f t="shared" si="21"/>
        <v>256292.97000000009</v>
      </c>
      <c r="AF23" s="50">
        <f t="shared" si="21"/>
        <v>256292.97000000009</v>
      </c>
      <c r="AG23" s="50">
        <f t="shared" si="21"/>
        <v>256292.97000000009</v>
      </c>
      <c r="AH23" s="50">
        <f t="shared" si="21"/>
        <v>256292.97000000009</v>
      </c>
      <c r="AI23" s="50">
        <f t="shared" si="21"/>
        <v>256292.97000000009</v>
      </c>
      <c r="AJ23" s="50">
        <f t="shared" ref="AJ23:BO23" si="22">AI23+AJ22</f>
        <v>256292.97000000009</v>
      </c>
      <c r="AK23" s="50">
        <f t="shared" si="22"/>
        <v>256292.97000000009</v>
      </c>
      <c r="AL23" s="50">
        <f t="shared" si="22"/>
        <v>256292.97000000009</v>
      </c>
      <c r="AM23" s="50">
        <f t="shared" si="22"/>
        <v>256292.97000000009</v>
      </c>
      <c r="AN23" s="50">
        <f t="shared" si="22"/>
        <v>256292.97000000009</v>
      </c>
      <c r="AO23" s="50">
        <f t="shared" si="22"/>
        <v>256292.97000000009</v>
      </c>
      <c r="AP23" s="50">
        <f t="shared" si="22"/>
        <v>256292.97000000009</v>
      </c>
      <c r="AQ23" s="50">
        <f t="shared" si="22"/>
        <v>256292.97000000009</v>
      </c>
      <c r="AR23" s="50">
        <f t="shared" si="22"/>
        <v>256292.97000000009</v>
      </c>
      <c r="AS23" s="50">
        <f t="shared" si="22"/>
        <v>256292.97000000009</v>
      </c>
      <c r="AT23" s="50">
        <f t="shared" si="22"/>
        <v>256292.97000000009</v>
      </c>
      <c r="AU23" s="50">
        <f t="shared" si="22"/>
        <v>256292.97000000009</v>
      </c>
      <c r="AV23" s="50">
        <f t="shared" si="22"/>
        <v>256292.97000000009</v>
      </c>
      <c r="AW23" s="50">
        <f t="shared" si="22"/>
        <v>256292.97000000009</v>
      </c>
      <c r="AX23" s="50">
        <f t="shared" si="22"/>
        <v>256292.97000000009</v>
      </c>
      <c r="AY23" s="50">
        <f t="shared" si="22"/>
        <v>256292.97000000009</v>
      </c>
      <c r="AZ23" s="50">
        <f t="shared" si="22"/>
        <v>256292.97000000009</v>
      </c>
      <c r="BA23" s="50">
        <f t="shared" si="22"/>
        <v>256292.97000000009</v>
      </c>
      <c r="BB23" s="50">
        <f t="shared" si="22"/>
        <v>256292.97000000009</v>
      </c>
      <c r="BC23" s="50">
        <f t="shared" si="22"/>
        <v>256292.97000000009</v>
      </c>
      <c r="BD23" s="50">
        <f t="shared" si="22"/>
        <v>256292.97000000009</v>
      </c>
      <c r="BE23" s="50">
        <f t="shared" si="22"/>
        <v>256292.97000000009</v>
      </c>
      <c r="BF23" s="50">
        <f t="shared" si="22"/>
        <v>256292.97000000009</v>
      </c>
      <c r="BG23" s="50">
        <f t="shared" si="22"/>
        <v>256292.97000000009</v>
      </c>
      <c r="BH23" s="50">
        <f t="shared" si="22"/>
        <v>256292.97000000009</v>
      </c>
      <c r="BI23" s="50">
        <f t="shared" si="22"/>
        <v>256292.97000000009</v>
      </c>
      <c r="BJ23" s="50">
        <f t="shared" si="22"/>
        <v>256292.97000000009</v>
      </c>
      <c r="BK23" s="50">
        <f t="shared" si="22"/>
        <v>256292.97000000009</v>
      </c>
      <c r="BL23" s="50">
        <f t="shared" si="22"/>
        <v>256292.97000000009</v>
      </c>
      <c r="BM23" s="50">
        <f t="shared" si="22"/>
        <v>256292.97000000009</v>
      </c>
      <c r="BN23" s="50">
        <f t="shared" si="22"/>
        <v>256292.97000000009</v>
      </c>
      <c r="BO23" s="50">
        <f t="shared" si="22"/>
        <v>256292.97000000009</v>
      </c>
      <c r="BP23" s="50">
        <f t="shared" ref="BP23:CU23" si="23">BO23+BP22</f>
        <v>256292.97000000009</v>
      </c>
      <c r="BQ23" s="50">
        <f t="shared" si="23"/>
        <v>256292.97000000009</v>
      </c>
      <c r="BR23" s="50">
        <f t="shared" si="23"/>
        <v>256292.97000000009</v>
      </c>
      <c r="BS23" s="50">
        <f t="shared" si="23"/>
        <v>256292.97000000009</v>
      </c>
      <c r="BT23" s="50">
        <f t="shared" si="23"/>
        <v>256292.97000000009</v>
      </c>
      <c r="BU23" s="50">
        <f t="shared" si="23"/>
        <v>256292.97000000009</v>
      </c>
      <c r="BV23" s="50">
        <f t="shared" si="23"/>
        <v>256292.97000000009</v>
      </c>
      <c r="BW23" s="50">
        <f t="shared" si="23"/>
        <v>256292.97000000009</v>
      </c>
      <c r="BX23" s="50">
        <f t="shared" si="23"/>
        <v>256292.97000000009</v>
      </c>
      <c r="BY23" s="50">
        <f t="shared" si="23"/>
        <v>256292.97000000009</v>
      </c>
      <c r="BZ23" s="50">
        <f t="shared" si="23"/>
        <v>256292.97000000009</v>
      </c>
      <c r="CA23" s="50">
        <f t="shared" si="23"/>
        <v>256292.97000000009</v>
      </c>
      <c r="CB23" s="50">
        <f t="shared" si="23"/>
        <v>256292.97000000009</v>
      </c>
      <c r="CC23" s="50">
        <f t="shared" si="23"/>
        <v>256292.97000000009</v>
      </c>
      <c r="CD23" s="50">
        <f t="shared" si="23"/>
        <v>256292.97000000009</v>
      </c>
      <c r="CE23" s="50">
        <f t="shared" si="23"/>
        <v>256292.97000000009</v>
      </c>
      <c r="CF23" s="50">
        <f t="shared" si="23"/>
        <v>256292.97000000009</v>
      </c>
      <c r="CG23" s="50">
        <f t="shared" si="23"/>
        <v>256292.97000000009</v>
      </c>
      <c r="CH23" s="50">
        <f t="shared" si="23"/>
        <v>256292.97000000009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107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267</v>
      </c>
      <c r="B26" s="1"/>
      <c r="C26" s="48">
        <f>Model!C59</f>
        <v>0</v>
      </c>
      <c r="D26" s="48">
        <f>Model!D59</f>
        <v>0</v>
      </c>
      <c r="E26" s="48">
        <f>Model!E59</f>
        <v>0</v>
      </c>
      <c r="F26" s="48">
        <f>Model!F59</f>
        <v>0</v>
      </c>
      <c r="G26" s="48">
        <f>Model!G59</f>
        <v>0</v>
      </c>
      <c r="H26" s="48">
        <f>Model!H59</f>
        <v>0</v>
      </c>
      <c r="I26" s="48">
        <f>Model!I59</f>
        <v>0</v>
      </c>
      <c r="J26" s="48">
        <f>Model!J59</f>
        <v>0</v>
      </c>
      <c r="K26" s="48">
        <f>Model!K59</f>
        <v>0</v>
      </c>
      <c r="L26" s="48">
        <f>Model!L59</f>
        <v>0</v>
      </c>
      <c r="M26" s="48">
        <f>Model!M59</f>
        <v>0</v>
      </c>
      <c r="N26" s="48">
        <f>Model!N59</f>
        <v>0</v>
      </c>
      <c r="O26" s="48">
        <f>Model!O59</f>
        <v>0</v>
      </c>
      <c r="P26" s="48">
        <f>Model!P59</f>
        <v>0</v>
      </c>
      <c r="Q26" s="48">
        <f>Model!Q59</f>
        <v>0</v>
      </c>
      <c r="R26" s="48">
        <f>Model!R59</f>
        <v>0</v>
      </c>
      <c r="S26" s="48">
        <f>Model!S59</f>
        <v>0</v>
      </c>
      <c r="T26" s="48">
        <f>Model!T59</f>
        <v>0</v>
      </c>
      <c r="U26" s="48">
        <f>Model!U59</f>
        <v>0</v>
      </c>
      <c r="V26" s="48">
        <f>Model!V59</f>
        <v>0</v>
      </c>
      <c r="W26" s="48">
        <f>Model!W59</f>
        <v>0</v>
      </c>
      <c r="X26" s="48">
        <f>Model!X59</f>
        <v>0</v>
      </c>
      <c r="Y26" s="48">
        <f>Model!Y59</f>
        <v>0</v>
      </c>
      <c r="Z26" s="48">
        <f>Model!Z59</f>
        <v>0</v>
      </c>
      <c r="AA26" s="48">
        <f>Model!AA59</f>
        <v>0</v>
      </c>
      <c r="AB26" s="48">
        <f>Model!AB59</f>
        <v>0</v>
      </c>
      <c r="AC26" s="48">
        <f>Model!AC59</f>
        <v>0</v>
      </c>
      <c r="AD26" s="48">
        <f>Model!AD59</f>
        <v>0</v>
      </c>
      <c r="AE26" s="48">
        <f>Model!AE59</f>
        <v>0</v>
      </c>
      <c r="AF26" s="48">
        <f>Model!AF59</f>
        <v>0</v>
      </c>
      <c r="AG26" s="48">
        <f>Model!AG59</f>
        <v>0</v>
      </c>
      <c r="AH26" s="48">
        <f>Model!AH59</f>
        <v>0</v>
      </c>
      <c r="AI26" s="48">
        <f>Model!AI59</f>
        <v>0</v>
      </c>
      <c r="AJ26" s="48">
        <f>Model!AJ59</f>
        <v>0</v>
      </c>
      <c r="AK26" s="48">
        <f>Model!AK59</f>
        <v>0</v>
      </c>
      <c r="AL26" s="48">
        <f>Model!AL59</f>
        <v>0</v>
      </c>
      <c r="AM26" s="48">
        <f>Model!AM59</f>
        <v>0</v>
      </c>
      <c r="AN26" s="48">
        <f>Model!AN59</f>
        <v>0</v>
      </c>
      <c r="AO26" s="48">
        <f>Model!AO59</f>
        <v>0</v>
      </c>
      <c r="AP26" s="48">
        <f>Model!AP59</f>
        <v>0</v>
      </c>
      <c r="AQ26" s="48">
        <f>Model!AQ59</f>
        <v>0</v>
      </c>
      <c r="AR26" s="48">
        <f>Model!AR59</f>
        <v>81683</v>
      </c>
      <c r="AS26" s="48">
        <f>Model!AS59</f>
        <v>0</v>
      </c>
      <c r="AT26" s="48">
        <f>Model!AT59</f>
        <v>0</v>
      </c>
      <c r="AU26" s="48">
        <f>Model!AU59</f>
        <v>81682</v>
      </c>
      <c r="AV26" s="48">
        <f>Model!AV59</f>
        <v>0</v>
      </c>
      <c r="AW26" s="48">
        <f>Model!AW59</f>
        <v>0</v>
      </c>
      <c r="AX26" s="48">
        <f>Model!AX59</f>
        <v>81682</v>
      </c>
      <c r="AY26" s="48">
        <f>Model!AY59</f>
        <v>0</v>
      </c>
      <c r="AZ26" s="48">
        <f>Model!AZ59</f>
        <v>0</v>
      </c>
      <c r="BA26" s="48">
        <f>Model!BA59</f>
        <v>81682</v>
      </c>
      <c r="BB26" s="48">
        <f>Model!BB59</f>
        <v>0</v>
      </c>
      <c r="BC26" s="48">
        <f>Model!BC59</f>
        <v>0</v>
      </c>
      <c r="BD26" s="48">
        <f>Model!BD59</f>
        <v>59178</v>
      </c>
      <c r="BE26" s="48">
        <f>Model!BE59</f>
        <v>0</v>
      </c>
      <c r="BF26" s="48">
        <f>Model!BF59</f>
        <v>0</v>
      </c>
      <c r="BG26" s="48">
        <f>Model!BG59</f>
        <v>59176</v>
      </c>
      <c r="BH26" s="48">
        <f>Model!BH59</f>
        <v>0</v>
      </c>
      <c r="BI26" s="48">
        <f>Model!BI59</f>
        <v>0</v>
      </c>
      <c r="BJ26" s="48">
        <f>Model!BJ59</f>
        <v>59176</v>
      </c>
      <c r="BK26" s="48">
        <f>Model!BK59</f>
        <v>0</v>
      </c>
      <c r="BL26" s="48">
        <f>Model!BL59</f>
        <v>0</v>
      </c>
      <c r="BM26" s="48">
        <f>Model!BM59</f>
        <v>59176</v>
      </c>
      <c r="BN26" s="48">
        <f>Model!BN59</f>
        <v>0</v>
      </c>
      <c r="BO26" s="48">
        <f>Model!BO59</f>
        <v>0</v>
      </c>
      <c r="BP26" s="48">
        <f>Model!BP59</f>
        <v>67763</v>
      </c>
      <c r="BQ26" s="48">
        <f>Model!BQ59</f>
        <v>0</v>
      </c>
      <c r="BR26" s="48">
        <f>Model!BR59</f>
        <v>0</v>
      </c>
      <c r="BS26" s="48">
        <f>Model!BS59</f>
        <v>67762</v>
      </c>
      <c r="BT26" s="48">
        <f>Model!BT59</f>
        <v>0</v>
      </c>
      <c r="BU26" s="48">
        <f>Model!BU59</f>
        <v>0</v>
      </c>
      <c r="BV26" s="48">
        <f>Model!BV59</f>
        <v>67762</v>
      </c>
      <c r="BW26" s="48">
        <f>Model!BW59</f>
        <v>0</v>
      </c>
      <c r="BX26" s="48">
        <f>Model!BX59</f>
        <v>0</v>
      </c>
      <c r="BY26" s="48">
        <f>Model!BY59</f>
        <v>67762</v>
      </c>
      <c r="BZ26" s="48">
        <f>Model!BZ59</f>
        <v>0</v>
      </c>
      <c r="CA26" s="48">
        <f>Model!CA59</f>
        <v>0</v>
      </c>
      <c r="CB26" s="48">
        <f>Model!CB59</f>
        <v>76499</v>
      </c>
      <c r="CC26" s="48">
        <f>Model!CC59</f>
        <v>0</v>
      </c>
      <c r="CD26" s="48">
        <f>Model!CD59</f>
        <v>0</v>
      </c>
      <c r="CE26" s="48">
        <f>Model!CE59</f>
        <v>76499</v>
      </c>
      <c r="CF26" s="48">
        <f>Model!CF59</f>
        <v>0</v>
      </c>
      <c r="CG26" s="48">
        <f>Model!CG59</f>
        <v>0</v>
      </c>
      <c r="CH26" s="48">
        <f>Model!CH59</f>
        <v>76499</v>
      </c>
    </row>
    <row r="27" spans="1:86" ht="15" customHeight="1" x14ac:dyDescent="0.25">
      <c r="A27" s="51" t="s">
        <v>271</v>
      </c>
      <c r="B27" s="1"/>
      <c r="C27" s="52">
        <f>Model!C81</f>
        <v>0</v>
      </c>
      <c r="D27" s="52">
        <f>Model!D81</f>
        <v>0</v>
      </c>
      <c r="E27" s="52">
        <f>Model!E81</f>
        <v>0</v>
      </c>
      <c r="F27" s="52">
        <f>Model!F81</f>
        <v>0</v>
      </c>
      <c r="G27" s="52">
        <f>Model!G81</f>
        <v>0</v>
      </c>
      <c r="H27" s="52">
        <f>Model!H81</f>
        <v>0</v>
      </c>
      <c r="I27" s="52">
        <f>Model!I81</f>
        <v>0</v>
      </c>
      <c r="J27" s="52">
        <f>Model!J81</f>
        <v>0</v>
      </c>
      <c r="K27" s="52">
        <f>Model!K81</f>
        <v>0</v>
      </c>
      <c r="L27" s="52">
        <f>Model!L81</f>
        <v>0</v>
      </c>
      <c r="M27" s="52">
        <f>Model!M81</f>
        <v>0</v>
      </c>
      <c r="N27" s="52">
        <f>Model!N81</f>
        <v>0</v>
      </c>
      <c r="O27" s="52">
        <f>Model!O81</f>
        <v>0</v>
      </c>
      <c r="P27" s="52">
        <f>Model!P81</f>
        <v>0</v>
      </c>
      <c r="Q27" s="52">
        <f>Model!Q81</f>
        <v>0</v>
      </c>
      <c r="R27" s="52">
        <f>Model!R81</f>
        <v>0</v>
      </c>
      <c r="S27" s="52">
        <f>Model!S81</f>
        <v>0</v>
      </c>
      <c r="T27" s="52">
        <f>Model!T81</f>
        <v>0</v>
      </c>
      <c r="U27" s="52">
        <f>Model!U81</f>
        <v>0</v>
      </c>
      <c r="V27" s="52">
        <f>Model!V81</f>
        <v>0</v>
      </c>
      <c r="W27" s="52">
        <f>Model!W81</f>
        <v>0</v>
      </c>
      <c r="X27" s="52">
        <f>Model!X81</f>
        <v>0</v>
      </c>
      <c r="Y27" s="52">
        <f>Model!Y81</f>
        <v>0</v>
      </c>
      <c r="Z27" s="52">
        <f>Model!Z81</f>
        <v>0</v>
      </c>
      <c r="AA27" s="52">
        <f>Model!AA81</f>
        <v>0</v>
      </c>
      <c r="AB27" s="52">
        <f>Model!AB81</f>
        <v>0</v>
      </c>
      <c r="AC27" s="52">
        <f>Model!AC81</f>
        <v>0</v>
      </c>
      <c r="AD27" s="52">
        <f>Model!AD81</f>
        <v>0</v>
      </c>
      <c r="AE27" s="52">
        <f>Model!AE81</f>
        <v>0</v>
      </c>
      <c r="AF27" s="52">
        <f>Model!AF81</f>
        <v>0</v>
      </c>
      <c r="AG27" s="52">
        <f>Model!AG81</f>
        <v>0</v>
      </c>
      <c r="AH27" s="52">
        <f>Model!AH81</f>
        <v>0</v>
      </c>
      <c r="AI27" s="52">
        <f>Model!AI81</f>
        <v>0</v>
      </c>
      <c r="AJ27" s="52">
        <f>Model!AJ81</f>
        <v>0</v>
      </c>
      <c r="AK27" s="52">
        <f>Model!AK81</f>
        <v>0</v>
      </c>
      <c r="AL27" s="52">
        <f>Model!AL81</f>
        <v>0</v>
      </c>
      <c r="AM27" s="52">
        <f>Model!AM81</f>
        <v>0</v>
      </c>
      <c r="AN27" s="52">
        <f>Model!AN81</f>
        <v>0</v>
      </c>
      <c r="AO27" s="52">
        <f>Model!AO81</f>
        <v>0</v>
      </c>
      <c r="AP27" s="52">
        <f>Model!AP81</f>
        <v>0</v>
      </c>
      <c r="AQ27" s="52">
        <f>Model!AQ81</f>
        <v>0</v>
      </c>
      <c r="AR27" s="52">
        <f>Model!AR81</f>
        <v>-81683</v>
      </c>
      <c r="AS27" s="52">
        <f>Model!AS81</f>
        <v>0</v>
      </c>
      <c r="AT27" s="52">
        <f>Model!AT81</f>
        <v>0</v>
      </c>
      <c r="AU27" s="52">
        <f>Model!AU81</f>
        <v>-81682</v>
      </c>
      <c r="AV27" s="52">
        <f>Model!AV81</f>
        <v>0</v>
      </c>
      <c r="AW27" s="52">
        <f>Model!AW81</f>
        <v>0</v>
      </c>
      <c r="AX27" s="52">
        <f>Model!AX81</f>
        <v>-81682</v>
      </c>
      <c r="AY27" s="52">
        <f>Model!AY81</f>
        <v>0</v>
      </c>
      <c r="AZ27" s="52">
        <f>Model!AZ81</f>
        <v>0</v>
      </c>
      <c r="BA27" s="52">
        <f>Model!BA81</f>
        <v>-81682</v>
      </c>
      <c r="BB27" s="52">
        <f>Model!BB81</f>
        <v>0</v>
      </c>
      <c r="BC27" s="52">
        <f>Model!BC81</f>
        <v>0</v>
      </c>
      <c r="BD27" s="52">
        <f>Model!BD81</f>
        <v>-59178</v>
      </c>
      <c r="BE27" s="52">
        <f>Model!BE81</f>
        <v>0</v>
      </c>
      <c r="BF27" s="52">
        <f>Model!BF81</f>
        <v>0</v>
      </c>
      <c r="BG27" s="52">
        <f>Model!BG81</f>
        <v>-59176</v>
      </c>
      <c r="BH27" s="52">
        <f>Model!BH81</f>
        <v>0</v>
      </c>
      <c r="BI27" s="52">
        <f>Model!BI81</f>
        <v>0</v>
      </c>
      <c r="BJ27" s="52">
        <f>Model!BJ81</f>
        <v>-59176</v>
      </c>
      <c r="BK27" s="52">
        <f>Model!BK81</f>
        <v>0</v>
      </c>
      <c r="BL27" s="52">
        <f>Model!BL81</f>
        <v>0</v>
      </c>
      <c r="BM27" s="52">
        <f>Model!BM81</f>
        <v>-59176</v>
      </c>
      <c r="BN27" s="52">
        <f>Model!BN81</f>
        <v>0</v>
      </c>
      <c r="BO27" s="52">
        <f>Model!BO81</f>
        <v>0</v>
      </c>
      <c r="BP27" s="52">
        <f>Model!BP81</f>
        <v>-16249.479999999981</v>
      </c>
      <c r="BQ27" s="52">
        <f>Model!BQ81</f>
        <v>0</v>
      </c>
      <c r="BR27" s="52">
        <f>Model!BR81</f>
        <v>0</v>
      </c>
      <c r="BS27" s="52">
        <f>Model!BS81</f>
        <v>0</v>
      </c>
      <c r="BT27" s="52">
        <f>Model!BT81</f>
        <v>0</v>
      </c>
      <c r="BU27" s="52">
        <f>Model!BU81</f>
        <v>0</v>
      </c>
      <c r="BV27" s="52">
        <f>Model!BV81</f>
        <v>0</v>
      </c>
      <c r="BW27" s="52">
        <f>Model!BW81</f>
        <v>0</v>
      </c>
      <c r="BX27" s="52">
        <f>Model!BX81</f>
        <v>0</v>
      </c>
      <c r="BY27" s="52">
        <f>Model!BY81</f>
        <v>0</v>
      </c>
      <c r="BZ27" s="52">
        <f>Model!BZ81</f>
        <v>0</v>
      </c>
      <c r="CA27" s="52">
        <f>Model!CA81</f>
        <v>0</v>
      </c>
      <c r="CB27" s="52">
        <f>Model!CB81</f>
        <v>0</v>
      </c>
      <c r="CC27" s="52">
        <f>Model!CC81</f>
        <v>0</v>
      </c>
      <c r="CD27" s="52">
        <f>Model!CD81</f>
        <v>0</v>
      </c>
      <c r="CE27" s="52">
        <f>Model!CE81</f>
        <v>0</v>
      </c>
      <c r="CF27" s="52">
        <f>Model!CF81</f>
        <v>0</v>
      </c>
      <c r="CG27" s="52">
        <f>Model!CG81</f>
        <v>0</v>
      </c>
      <c r="CH27" s="52">
        <f>Model!CH81</f>
        <v>0</v>
      </c>
    </row>
    <row r="28" spans="1:86" ht="15" customHeight="1" x14ac:dyDescent="0.25">
      <c r="A28" s="28" t="s">
        <v>268</v>
      </c>
      <c r="B28" s="28"/>
      <c r="C28" s="49">
        <f t="shared" ref="C28:AH28" si="24">C26+C27</f>
        <v>0</v>
      </c>
      <c r="D28" s="49">
        <f t="shared" si="24"/>
        <v>0</v>
      </c>
      <c r="E28" s="49">
        <f t="shared" si="24"/>
        <v>0</v>
      </c>
      <c r="F28" s="49">
        <f t="shared" si="24"/>
        <v>0</v>
      </c>
      <c r="G28" s="49">
        <f t="shared" si="24"/>
        <v>0</v>
      </c>
      <c r="H28" s="49">
        <f t="shared" si="24"/>
        <v>0</v>
      </c>
      <c r="I28" s="49">
        <f t="shared" si="24"/>
        <v>0</v>
      </c>
      <c r="J28" s="49">
        <f t="shared" si="24"/>
        <v>0</v>
      </c>
      <c r="K28" s="49">
        <f t="shared" si="24"/>
        <v>0</v>
      </c>
      <c r="L28" s="49">
        <f t="shared" si="24"/>
        <v>0</v>
      </c>
      <c r="M28" s="49">
        <f t="shared" si="24"/>
        <v>0</v>
      </c>
      <c r="N28" s="49">
        <f t="shared" si="24"/>
        <v>0</v>
      </c>
      <c r="O28" s="49">
        <f t="shared" si="24"/>
        <v>0</v>
      </c>
      <c r="P28" s="49">
        <f t="shared" si="24"/>
        <v>0</v>
      </c>
      <c r="Q28" s="49">
        <f t="shared" si="24"/>
        <v>0</v>
      </c>
      <c r="R28" s="49">
        <f t="shared" si="24"/>
        <v>0</v>
      </c>
      <c r="S28" s="49">
        <f t="shared" si="24"/>
        <v>0</v>
      </c>
      <c r="T28" s="49">
        <f t="shared" si="24"/>
        <v>0</v>
      </c>
      <c r="U28" s="49">
        <f t="shared" si="24"/>
        <v>0</v>
      </c>
      <c r="V28" s="49">
        <f t="shared" si="24"/>
        <v>0</v>
      </c>
      <c r="W28" s="49">
        <f t="shared" si="24"/>
        <v>0</v>
      </c>
      <c r="X28" s="49">
        <f t="shared" si="24"/>
        <v>0</v>
      </c>
      <c r="Y28" s="49">
        <f t="shared" si="24"/>
        <v>0</v>
      </c>
      <c r="Z28" s="49">
        <f t="shared" si="24"/>
        <v>0</v>
      </c>
      <c r="AA28" s="49">
        <f t="shared" si="24"/>
        <v>0</v>
      </c>
      <c r="AB28" s="49">
        <f t="shared" si="24"/>
        <v>0</v>
      </c>
      <c r="AC28" s="49">
        <f t="shared" si="24"/>
        <v>0</v>
      </c>
      <c r="AD28" s="49">
        <f t="shared" si="24"/>
        <v>0</v>
      </c>
      <c r="AE28" s="49">
        <f t="shared" si="24"/>
        <v>0</v>
      </c>
      <c r="AF28" s="49">
        <f t="shared" si="24"/>
        <v>0</v>
      </c>
      <c r="AG28" s="49">
        <f t="shared" si="24"/>
        <v>0</v>
      </c>
      <c r="AH28" s="49">
        <f t="shared" si="24"/>
        <v>0</v>
      </c>
      <c r="AI28" s="49">
        <f t="shared" ref="AI28:BN28" si="25">AI26+AI27</f>
        <v>0</v>
      </c>
      <c r="AJ28" s="49">
        <f t="shared" si="25"/>
        <v>0</v>
      </c>
      <c r="AK28" s="49">
        <f t="shared" si="25"/>
        <v>0</v>
      </c>
      <c r="AL28" s="49">
        <f t="shared" si="25"/>
        <v>0</v>
      </c>
      <c r="AM28" s="49">
        <f t="shared" si="25"/>
        <v>0</v>
      </c>
      <c r="AN28" s="49">
        <f t="shared" si="25"/>
        <v>0</v>
      </c>
      <c r="AO28" s="49">
        <f t="shared" si="25"/>
        <v>0</v>
      </c>
      <c r="AP28" s="49">
        <f t="shared" si="25"/>
        <v>0</v>
      </c>
      <c r="AQ28" s="49">
        <f t="shared" si="25"/>
        <v>0</v>
      </c>
      <c r="AR28" s="49">
        <f t="shared" si="25"/>
        <v>0</v>
      </c>
      <c r="AS28" s="49">
        <f t="shared" si="25"/>
        <v>0</v>
      </c>
      <c r="AT28" s="49">
        <f t="shared" si="25"/>
        <v>0</v>
      </c>
      <c r="AU28" s="49">
        <f t="shared" si="25"/>
        <v>0</v>
      </c>
      <c r="AV28" s="49">
        <f t="shared" si="25"/>
        <v>0</v>
      </c>
      <c r="AW28" s="49">
        <f t="shared" si="25"/>
        <v>0</v>
      </c>
      <c r="AX28" s="49">
        <f t="shared" si="25"/>
        <v>0</v>
      </c>
      <c r="AY28" s="49">
        <f t="shared" si="25"/>
        <v>0</v>
      </c>
      <c r="AZ28" s="49">
        <f t="shared" si="25"/>
        <v>0</v>
      </c>
      <c r="BA28" s="49">
        <f t="shared" si="25"/>
        <v>0</v>
      </c>
      <c r="BB28" s="49">
        <f t="shared" si="25"/>
        <v>0</v>
      </c>
      <c r="BC28" s="49">
        <f t="shared" si="25"/>
        <v>0</v>
      </c>
      <c r="BD28" s="49">
        <f t="shared" si="25"/>
        <v>0</v>
      </c>
      <c r="BE28" s="49">
        <f t="shared" si="25"/>
        <v>0</v>
      </c>
      <c r="BF28" s="49">
        <f t="shared" si="25"/>
        <v>0</v>
      </c>
      <c r="BG28" s="49">
        <f t="shared" si="25"/>
        <v>0</v>
      </c>
      <c r="BH28" s="49">
        <f t="shared" si="25"/>
        <v>0</v>
      </c>
      <c r="BI28" s="49">
        <f t="shared" si="25"/>
        <v>0</v>
      </c>
      <c r="BJ28" s="49">
        <f t="shared" si="25"/>
        <v>0</v>
      </c>
      <c r="BK28" s="49">
        <f t="shared" si="25"/>
        <v>0</v>
      </c>
      <c r="BL28" s="49">
        <f t="shared" si="25"/>
        <v>0</v>
      </c>
      <c r="BM28" s="49">
        <f t="shared" si="25"/>
        <v>0</v>
      </c>
      <c r="BN28" s="49">
        <f t="shared" si="25"/>
        <v>0</v>
      </c>
      <c r="BO28" s="49">
        <f t="shared" ref="BO28:CT28" si="26">BO26+BO27</f>
        <v>0</v>
      </c>
      <c r="BP28" s="49">
        <f t="shared" si="26"/>
        <v>51513.520000000019</v>
      </c>
      <c r="BQ28" s="49">
        <f t="shared" si="26"/>
        <v>0</v>
      </c>
      <c r="BR28" s="49">
        <f t="shared" si="26"/>
        <v>0</v>
      </c>
      <c r="BS28" s="49">
        <f t="shared" si="26"/>
        <v>67762</v>
      </c>
      <c r="BT28" s="49">
        <f t="shared" si="26"/>
        <v>0</v>
      </c>
      <c r="BU28" s="49">
        <f t="shared" si="26"/>
        <v>0</v>
      </c>
      <c r="BV28" s="49">
        <f t="shared" si="26"/>
        <v>67762</v>
      </c>
      <c r="BW28" s="49">
        <f t="shared" si="26"/>
        <v>0</v>
      </c>
      <c r="BX28" s="49">
        <f t="shared" si="26"/>
        <v>0</v>
      </c>
      <c r="BY28" s="49">
        <f t="shared" si="26"/>
        <v>67762</v>
      </c>
      <c r="BZ28" s="49">
        <f t="shared" si="26"/>
        <v>0</v>
      </c>
      <c r="CA28" s="49">
        <f t="shared" si="26"/>
        <v>0</v>
      </c>
      <c r="CB28" s="49">
        <f t="shared" si="26"/>
        <v>76499</v>
      </c>
      <c r="CC28" s="49">
        <f t="shared" si="26"/>
        <v>0</v>
      </c>
      <c r="CD28" s="49">
        <f t="shared" si="26"/>
        <v>0</v>
      </c>
      <c r="CE28" s="49">
        <f t="shared" si="26"/>
        <v>76499</v>
      </c>
      <c r="CF28" s="49">
        <f t="shared" si="26"/>
        <v>0</v>
      </c>
      <c r="CG28" s="49">
        <f t="shared" si="26"/>
        <v>0</v>
      </c>
      <c r="CH28" s="49">
        <f t="shared" si="26"/>
        <v>76499</v>
      </c>
    </row>
    <row r="29" spans="1:86" ht="15" customHeight="1" x14ac:dyDescent="0.25">
      <c r="A29" s="42" t="s">
        <v>269</v>
      </c>
      <c r="B29" s="1"/>
      <c r="C29" s="50">
        <f>C28</f>
        <v>0</v>
      </c>
      <c r="D29" s="50">
        <f t="shared" ref="D29:AI29" si="27">C29+D28</f>
        <v>0</v>
      </c>
      <c r="E29" s="50">
        <f t="shared" si="27"/>
        <v>0</v>
      </c>
      <c r="F29" s="50">
        <f t="shared" si="27"/>
        <v>0</v>
      </c>
      <c r="G29" s="50">
        <f t="shared" si="27"/>
        <v>0</v>
      </c>
      <c r="H29" s="50">
        <f t="shared" si="27"/>
        <v>0</v>
      </c>
      <c r="I29" s="50">
        <f t="shared" si="27"/>
        <v>0</v>
      </c>
      <c r="J29" s="50">
        <f t="shared" si="27"/>
        <v>0</v>
      </c>
      <c r="K29" s="50">
        <f t="shared" si="27"/>
        <v>0</v>
      </c>
      <c r="L29" s="50">
        <f t="shared" si="27"/>
        <v>0</v>
      </c>
      <c r="M29" s="50">
        <f t="shared" si="27"/>
        <v>0</v>
      </c>
      <c r="N29" s="50">
        <f t="shared" si="27"/>
        <v>0</v>
      </c>
      <c r="O29" s="50">
        <f t="shared" si="27"/>
        <v>0</v>
      </c>
      <c r="P29" s="50">
        <f t="shared" si="27"/>
        <v>0</v>
      </c>
      <c r="Q29" s="50">
        <f t="shared" si="27"/>
        <v>0</v>
      </c>
      <c r="R29" s="50">
        <f t="shared" si="27"/>
        <v>0</v>
      </c>
      <c r="S29" s="50">
        <f t="shared" si="27"/>
        <v>0</v>
      </c>
      <c r="T29" s="50">
        <f t="shared" si="27"/>
        <v>0</v>
      </c>
      <c r="U29" s="50">
        <f t="shared" si="27"/>
        <v>0</v>
      </c>
      <c r="V29" s="50">
        <f t="shared" si="27"/>
        <v>0</v>
      </c>
      <c r="W29" s="50">
        <f t="shared" si="27"/>
        <v>0</v>
      </c>
      <c r="X29" s="50">
        <f t="shared" si="27"/>
        <v>0</v>
      </c>
      <c r="Y29" s="50">
        <f t="shared" si="27"/>
        <v>0</v>
      </c>
      <c r="Z29" s="50">
        <f t="shared" si="27"/>
        <v>0</v>
      </c>
      <c r="AA29" s="50">
        <f t="shared" si="27"/>
        <v>0</v>
      </c>
      <c r="AB29" s="50">
        <f t="shared" si="27"/>
        <v>0</v>
      </c>
      <c r="AC29" s="50">
        <f t="shared" si="27"/>
        <v>0</v>
      </c>
      <c r="AD29" s="50">
        <f t="shared" si="27"/>
        <v>0</v>
      </c>
      <c r="AE29" s="50">
        <f t="shared" si="27"/>
        <v>0</v>
      </c>
      <c r="AF29" s="50">
        <f t="shared" si="27"/>
        <v>0</v>
      </c>
      <c r="AG29" s="50">
        <f t="shared" si="27"/>
        <v>0</v>
      </c>
      <c r="AH29" s="50">
        <f t="shared" si="27"/>
        <v>0</v>
      </c>
      <c r="AI29" s="50">
        <f t="shared" si="27"/>
        <v>0</v>
      </c>
      <c r="AJ29" s="50">
        <f t="shared" ref="AJ29:BO29" si="28">AI29+AJ28</f>
        <v>0</v>
      </c>
      <c r="AK29" s="50">
        <f t="shared" si="28"/>
        <v>0</v>
      </c>
      <c r="AL29" s="50">
        <f t="shared" si="28"/>
        <v>0</v>
      </c>
      <c r="AM29" s="50">
        <f t="shared" si="28"/>
        <v>0</v>
      </c>
      <c r="AN29" s="50">
        <f t="shared" si="28"/>
        <v>0</v>
      </c>
      <c r="AO29" s="50">
        <f t="shared" si="28"/>
        <v>0</v>
      </c>
      <c r="AP29" s="50">
        <f t="shared" si="28"/>
        <v>0</v>
      </c>
      <c r="AQ29" s="50">
        <f t="shared" si="28"/>
        <v>0</v>
      </c>
      <c r="AR29" s="50">
        <f t="shared" si="28"/>
        <v>0</v>
      </c>
      <c r="AS29" s="50">
        <f t="shared" si="28"/>
        <v>0</v>
      </c>
      <c r="AT29" s="50">
        <f t="shared" si="28"/>
        <v>0</v>
      </c>
      <c r="AU29" s="50">
        <f t="shared" si="28"/>
        <v>0</v>
      </c>
      <c r="AV29" s="50">
        <f t="shared" si="28"/>
        <v>0</v>
      </c>
      <c r="AW29" s="50">
        <f t="shared" si="28"/>
        <v>0</v>
      </c>
      <c r="AX29" s="50">
        <f t="shared" si="28"/>
        <v>0</v>
      </c>
      <c r="AY29" s="50">
        <f t="shared" si="28"/>
        <v>0</v>
      </c>
      <c r="AZ29" s="50">
        <f t="shared" si="28"/>
        <v>0</v>
      </c>
      <c r="BA29" s="50">
        <f t="shared" si="28"/>
        <v>0</v>
      </c>
      <c r="BB29" s="50">
        <f t="shared" si="28"/>
        <v>0</v>
      </c>
      <c r="BC29" s="50">
        <f t="shared" si="28"/>
        <v>0</v>
      </c>
      <c r="BD29" s="50">
        <f t="shared" si="28"/>
        <v>0</v>
      </c>
      <c r="BE29" s="50">
        <f t="shared" si="28"/>
        <v>0</v>
      </c>
      <c r="BF29" s="50">
        <f t="shared" si="28"/>
        <v>0</v>
      </c>
      <c r="BG29" s="50">
        <f t="shared" si="28"/>
        <v>0</v>
      </c>
      <c r="BH29" s="50">
        <f t="shared" si="28"/>
        <v>0</v>
      </c>
      <c r="BI29" s="50">
        <f t="shared" si="28"/>
        <v>0</v>
      </c>
      <c r="BJ29" s="50">
        <f t="shared" si="28"/>
        <v>0</v>
      </c>
      <c r="BK29" s="50">
        <f t="shared" si="28"/>
        <v>0</v>
      </c>
      <c r="BL29" s="50">
        <f t="shared" si="28"/>
        <v>0</v>
      </c>
      <c r="BM29" s="50">
        <f t="shared" si="28"/>
        <v>0</v>
      </c>
      <c r="BN29" s="50">
        <f t="shared" si="28"/>
        <v>0</v>
      </c>
      <c r="BO29" s="50">
        <f t="shared" si="28"/>
        <v>0</v>
      </c>
      <c r="BP29" s="50">
        <f t="shared" ref="BP29:CU29" si="29">BO29+BP28</f>
        <v>51513.520000000019</v>
      </c>
      <c r="BQ29" s="50">
        <f t="shared" si="29"/>
        <v>51513.520000000019</v>
      </c>
      <c r="BR29" s="50">
        <f t="shared" si="29"/>
        <v>51513.520000000019</v>
      </c>
      <c r="BS29" s="50">
        <f t="shared" si="29"/>
        <v>119275.52000000002</v>
      </c>
      <c r="BT29" s="50">
        <f t="shared" si="29"/>
        <v>119275.52000000002</v>
      </c>
      <c r="BU29" s="50">
        <f t="shared" si="29"/>
        <v>119275.52000000002</v>
      </c>
      <c r="BV29" s="50">
        <f t="shared" si="29"/>
        <v>187037.52000000002</v>
      </c>
      <c r="BW29" s="50">
        <f t="shared" si="29"/>
        <v>187037.52000000002</v>
      </c>
      <c r="BX29" s="50">
        <f t="shared" si="29"/>
        <v>187037.52000000002</v>
      </c>
      <c r="BY29" s="50">
        <f t="shared" si="29"/>
        <v>254799.52000000002</v>
      </c>
      <c r="BZ29" s="50">
        <f t="shared" si="29"/>
        <v>254799.52000000002</v>
      </c>
      <c r="CA29" s="50">
        <f t="shared" si="29"/>
        <v>254799.52000000002</v>
      </c>
      <c r="CB29" s="50">
        <f t="shared" si="29"/>
        <v>331298.52</v>
      </c>
      <c r="CC29" s="50">
        <f t="shared" si="29"/>
        <v>331298.52</v>
      </c>
      <c r="CD29" s="50">
        <f t="shared" si="29"/>
        <v>331298.52</v>
      </c>
      <c r="CE29" s="50">
        <f t="shared" si="29"/>
        <v>407797.52</v>
      </c>
      <c r="CF29" s="50">
        <f t="shared" si="29"/>
        <v>407797.52</v>
      </c>
      <c r="CG29" s="50">
        <f t="shared" si="29"/>
        <v>407797.52</v>
      </c>
      <c r="CH29" s="50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112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267</v>
      </c>
      <c r="B32" s="1"/>
      <c r="C32" s="48">
        <f>Model!C60</f>
        <v>0</v>
      </c>
      <c r="D32" s="48">
        <f>Model!D60</f>
        <v>0</v>
      </c>
      <c r="E32" s="48">
        <f>Model!E60</f>
        <v>0</v>
      </c>
      <c r="F32" s="48">
        <f>Model!F60</f>
        <v>0</v>
      </c>
      <c r="G32" s="48">
        <f>Model!G60</f>
        <v>0</v>
      </c>
      <c r="H32" s="48">
        <f>Model!H60</f>
        <v>0</v>
      </c>
      <c r="I32" s="48">
        <f>Model!I60</f>
        <v>0</v>
      </c>
      <c r="J32" s="48">
        <f>Model!J60</f>
        <v>0</v>
      </c>
      <c r="K32" s="48">
        <f>Model!K60</f>
        <v>0</v>
      </c>
      <c r="L32" s="48">
        <f>Model!L60</f>
        <v>0</v>
      </c>
      <c r="M32" s="48">
        <f>Model!M60</f>
        <v>0</v>
      </c>
      <c r="N32" s="48">
        <f>Model!N60</f>
        <v>0</v>
      </c>
      <c r="O32" s="48">
        <f>Model!O60</f>
        <v>0</v>
      </c>
      <c r="P32" s="48">
        <f>Model!P60</f>
        <v>0</v>
      </c>
      <c r="Q32" s="48">
        <f>Model!Q60</f>
        <v>0</v>
      </c>
      <c r="R32" s="48">
        <f>Model!R60</f>
        <v>0</v>
      </c>
      <c r="S32" s="48">
        <f>Model!S60</f>
        <v>0</v>
      </c>
      <c r="T32" s="48">
        <f>Model!T60</f>
        <v>0</v>
      </c>
      <c r="U32" s="48">
        <f>Model!U60</f>
        <v>0</v>
      </c>
      <c r="V32" s="48">
        <f>Model!V60</f>
        <v>0</v>
      </c>
      <c r="W32" s="48">
        <f>Model!W60</f>
        <v>0</v>
      </c>
      <c r="X32" s="48">
        <f>Model!X60</f>
        <v>0</v>
      </c>
      <c r="Y32" s="48">
        <f>Model!Y60</f>
        <v>0</v>
      </c>
      <c r="Z32" s="48">
        <f>Model!Z60</f>
        <v>0</v>
      </c>
      <c r="AA32" s="48">
        <f>Model!AA60</f>
        <v>0</v>
      </c>
      <c r="AB32" s="48">
        <f>Model!AB60</f>
        <v>0</v>
      </c>
      <c r="AC32" s="48">
        <f>Model!AC60</f>
        <v>0</v>
      </c>
      <c r="AD32" s="48">
        <f>Model!AD60</f>
        <v>0</v>
      </c>
      <c r="AE32" s="48">
        <f>Model!AE60</f>
        <v>0</v>
      </c>
      <c r="AF32" s="48">
        <f>Model!AF60</f>
        <v>0</v>
      </c>
      <c r="AG32" s="48">
        <f>Model!AG60</f>
        <v>0</v>
      </c>
      <c r="AH32" s="48">
        <f>Model!AH60</f>
        <v>0</v>
      </c>
      <c r="AI32" s="48">
        <f>Model!AI60</f>
        <v>0</v>
      </c>
      <c r="AJ32" s="48">
        <f>Model!AJ60</f>
        <v>0</v>
      </c>
      <c r="AK32" s="48">
        <f>Model!AK60</f>
        <v>0</v>
      </c>
      <c r="AL32" s="48">
        <f>Model!AL60</f>
        <v>0</v>
      </c>
      <c r="AM32" s="48">
        <f>Model!AM60</f>
        <v>0</v>
      </c>
      <c r="AN32" s="48">
        <f>Model!AN60</f>
        <v>0</v>
      </c>
      <c r="AO32" s="48">
        <f>Model!AO60</f>
        <v>0</v>
      </c>
      <c r="AP32" s="48">
        <f>Model!AP60</f>
        <v>0</v>
      </c>
      <c r="AQ32" s="48">
        <f>Model!AQ60</f>
        <v>0</v>
      </c>
      <c r="AR32" s="48">
        <f>Model!AR60</f>
        <v>0</v>
      </c>
      <c r="AS32" s="48">
        <f>Model!AS60</f>
        <v>0</v>
      </c>
      <c r="AT32" s="48">
        <f>Model!AT60</f>
        <v>0</v>
      </c>
      <c r="AU32" s="48">
        <f>Model!AU60</f>
        <v>0</v>
      </c>
      <c r="AV32" s="48">
        <f>Model!AV60</f>
        <v>0</v>
      </c>
      <c r="AW32" s="48">
        <f>Model!AW60</f>
        <v>0</v>
      </c>
      <c r="AX32" s="48">
        <f>Model!AX60</f>
        <v>0</v>
      </c>
      <c r="AY32" s="48">
        <f>Model!AY60</f>
        <v>0</v>
      </c>
      <c r="AZ32" s="48">
        <f>Model!AZ60</f>
        <v>0</v>
      </c>
      <c r="BA32" s="48">
        <f>Model!BA60</f>
        <v>851839</v>
      </c>
      <c r="BB32" s="48">
        <f>Model!BB60</f>
        <v>0</v>
      </c>
      <c r="BC32" s="48">
        <f>Model!BC60</f>
        <v>0</v>
      </c>
      <c r="BD32" s="48">
        <f>Model!BD60</f>
        <v>71700</v>
      </c>
      <c r="BE32" s="48">
        <f>Model!BE60</f>
        <v>0</v>
      </c>
      <c r="BF32" s="48">
        <f>Model!BF60</f>
        <v>0</v>
      </c>
      <c r="BG32" s="48">
        <f>Model!BG60</f>
        <v>71700</v>
      </c>
      <c r="BH32" s="48">
        <f>Model!BH60</f>
        <v>0</v>
      </c>
      <c r="BI32" s="48">
        <f>Model!BI60</f>
        <v>0</v>
      </c>
      <c r="BJ32" s="48">
        <f>Model!BJ60</f>
        <v>71700</v>
      </c>
      <c r="BK32" s="48">
        <f>Model!BK60</f>
        <v>0</v>
      </c>
      <c r="BL32" s="48">
        <f>Model!BL60</f>
        <v>0</v>
      </c>
      <c r="BM32" s="48">
        <f>Model!BM60</f>
        <v>71700</v>
      </c>
      <c r="BN32" s="48">
        <f>Model!BN60</f>
        <v>0</v>
      </c>
      <c r="BO32" s="48">
        <f>Model!BO60</f>
        <v>0</v>
      </c>
      <c r="BP32" s="48">
        <f>Model!BP60</f>
        <v>74643</v>
      </c>
      <c r="BQ32" s="48">
        <f>Model!BQ60</f>
        <v>0</v>
      </c>
      <c r="BR32" s="48">
        <f>Model!BR60</f>
        <v>0</v>
      </c>
      <c r="BS32" s="48">
        <f>Model!BS60</f>
        <v>74640</v>
      </c>
      <c r="BT32" s="48">
        <f>Model!BT60</f>
        <v>0</v>
      </c>
      <c r="BU32" s="48">
        <f>Model!BU60</f>
        <v>0</v>
      </c>
      <c r="BV32" s="48">
        <f>Model!BV60</f>
        <v>74640</v>
      </c>
      <c r="BW32" s="48">
        <f>Model!BW60</f>
        <v>0</v>
      </c>
      <c r="BX32" s="48">
        <f>Model!BX60</f>
        <v>0</v>
      </c>
      <c r="BY32" s="48">
        <f>Model!BY60</f>
        <v>74640</v>
      </c>
      <c r="BZ32" s="48">
        <f>Model!BZ60</f>
        <v>0</v>
      </c>
      <c r="CA32" s="48">
        <f>Model!CA60</f>
        <v>0</v>
      </c>
      <c r="CB32" s="48">
        <f>Model!CB60</f>
        <v>81363</v>
      </c>
      <c r="CC32" s="48">
        <f>Model!CC60</f>
        <v>0</v>
      </c>
      <c r="CD32" s="48">
        <f>Model!CD60</f>
        <v>0</v>
      </c>
      <c r="CE32" s="48">
        <f>Model!CE60</f>
        <v>81362</v>
      </c>
      <c r="CF32" s="48">
        <f>Model!CF60</f>
        <v>0</v>
      </c>
      <c r="CG32" s="48">
        <f>Model!CG60</f>
        <v>0</v>
      </c>
      <c r="CH32" s="48">
        <f>Model!CH60</f>
        <v>81362</v>
      </c>
    </row>
    <row r="33" spans="1:86" ht="15" customHeight="1" x14ac:dyDescent="0.25">
      <c r="A33" s="51" t="s">
        <v>271</v>
      </c>
      <c r="B33" s="1"/>
      <c r="C33" s="52">
        <f>Model!C82</f>
        <v>0</v>
      </c>
      <c r="D33" s="52">
        <f>Model!D82</f>
        <v>0</v>
      </c>
      <c r="E33" s="52">
        <f>Model!E82</f>
        <v>0</v>
      </c>
      <c r="F33" s="52">
        <f>Model!F82</f>
        <v>0</v>
      </c>
      <c r="G33" s="52">
        <f>Model!G82</f>
        <v>0</v>
      </c>
      <c r="H33" s="52">
        <f>Model!H82</f>
        <v>0</v>
      </c>
      <c r="I33" s="52">
        <f>Model!I82</f>
        <v>0</v>
      </c>
      <c r="J33" s="52">
        <f>Model!J82</f>
        <v>0</v>
      </c>
      <c r="K33" s="52">
        <f>Model!K82</f>
        <v>0</v>
      </c>
      <c r="L33" s="52">
        <f>Model!L82</f>
        <v>0</v>
      </c>
      <c r="M33" s="52">
        <f>Model!M82</f>
        <v>0</v>
      </c>
      <c r="N33" s="52">
        <f>Model!N82</f>
        <v>0</v>
      </c>
      <c r="O33" s="52">
        <f>Model!O82</f>
        <v>0</v>
      </c>
      <c r="P33" s="52">
        <f>Model!P82</f>
        <v>0</v>
      </c>
      <c r="Q33" s="52">
        <f>Model!Q82</f>
        <v>0</v>
      </c>
      <c r="R33" s="52">
        <f>Model!R82</f>
        <v>0</v>
      </c>
      <c r="S33" s="52">
        <f>Model!S82</f>
        <v>0</v>
      </c>
      <c r="T33" s="52">
        <f>Model!T82</f>
        <v>0</v>
      </c>
      <c r="U33" s="52">
        <f>Model!U82</f>
        <v>0</v>
      </c>
      <c r="V33" s="52">
        <f>Model!V82</f>
        <v>0</v>
      </c>
      <c r="W33" s="52">
        <f>Model!W82</f>
        <v>0</v>
      </c>
      <c r="X33" s="52">
        <f>Model!X82</f>
        <v>0</v>
      </c>
      <c r="Y33" s="52">
        <f>Model!Y82</f>
        <v>0</v>
      </c>
      <c r="Z33" s="52">
        <f>Model!Z82</f>
        <v>0</v>
      </c>
      <c r="AA33" s="52">
        <f>Model!AA82</f>
        <v>0</v>
      </c>
      <c r="AB33" s="52">
        <f>Model!AB82</f>
        <v>0</v>
      </c>
      <c r="AC33" s="52">
        <f>Model!AC82</f>
        <v>0</v>
      </c>
      <c r="AD33" s="52">
        <f>Model!AD82</f>
        <v>0</v>
      </c>
      <c r="AE33" s="52">
        <f>Model!AE82</f>
        <v>0</v>
      </c>
      <c r="AF33" s="52">
        <f>Model!AF82</f>
        <v>0</v>
      </c>
      <c r="AG33" s="52">
        <f>Model!AG82</f>
        <v>0</v>
      </c>
      <c r="AH33" s="52">
        <f>Model!AH82</f>
        <v>0</v>
      </c>
      <c r="AI33" s="52">
        <f>Model!AI82</f>
        <v>0</v>
      </c>
      <c r="AJ33" s="52">
        <f>Model!AJ82</f>
        <v>0</v>
      </c>
      <c r="AK33" s="52">
        <f>Model!AK82</f>
        <v>0</v>
      </c>
      <c r="AL33" s="52">
        <f>Model!AL82</f>
        <v>0</v>
      </c>
      <c r="AM33" s="52">
        <f>Model!AM82</f>
        <v>0</v>
      </c>
      <c r="AN33" s="52">
        <f>Model!AN82</f>
        <v>0</v>
      </c>
      <c r="AO33" s="52">
        <f>Model!AO82</f>
        <v>0</v>
      </c>
      <c r="AP33" s="52">
        <f>Model!AP82</f>
        <v>0</v>
      </c>
      <c r="AQ33" s="52">
        <f>Model!AQ82</f>
        <v>0</v>
      </c>
      <c r="AR33" s="52">
        <f>Model!AR82</f>
        <v>0</v>
      </c>
      <c r="AS33" s="52">
        <f>Model!AS82</f>
        <v>0</v>
      </c>
      <c r="AT33" s="52">
        <f>Model!AT82</f>
        <v>0</v>
      </c>
      <c r="AU33" s="52">
        <f>Model!AU82</f>
        <v>0</v>
      </c>
      <c r="AV33" s="52">
        <f>Model!AV82</f>
        <v>0</v>
      </c>
      <c r="AW33" s="52">
        <f>Model!AW82</f>
        <v>0</v>
      </c>
      <c r="AX33" s="52">
        <f>Model!AX82</f>
        <v>0</v>
      </c>
      <c r="AY33" s="52">
        <f>Model!AY82</f>
        <v>0</v>
      </c>
      <c r="AZ33" s="52">
        <f>Model!AZ82</f>
        <v>0</v>
      </c>
      <c r="BA33" s="52">
        <f>Model!BA82</f>
        <v>-851839</v>
      </c>
      <c r="BB33" s="52">
        <f>Model!BB82</f>
        <v>0</v>
      </c>
      <c r="BC33" s="52">
        <f>Model!BC82</f>
        <v>0</v>
      </c>
      <c r="BD33" s="52">
        <f>Model!BD82</f>
        <v>-71700</v>
      </c>
      <c r="BE33" s="52">
        <f>Model!BE82</f>
        <v>0</v>
      </c>
      <c r="BF33" s="52">
        <f>Model!BF82</f>
        <v>0</v>
      </c>
      <c r="BG33" s="52">
        <f>Model!BG82</f>
        <v>-71700</v>
      </c>
      <c r="BH33" s="52">
        <f>Model!BH82</f>
        <v>0</v>
      </c>
      <c r="BI33" s="52">
        <f>Model!BI82</f>
        <v>0</v>
      </c>
      <c r="BJ33" s="52">
        <f>Model!BJ82</f>
        <v>-71700</v>
      </c>
      <c r="BK33" s="52">
        <f>Model!BK82</f>
        <v>0</v>
      </c>
      <c r="BL33" s="52">
        <f>Model!BL82</f>
        <v>0</v>
      </c>
      <c r="BM33" s="52">
        <f>Model!BM82</f>
        <v>-71700</v>
      </c>
      <c r="BN33" s="52">
        <f>Model!BN82</f>
        <v>0</v>
      </c>
      <c r="BO33" s="52">
        <f>Model!BO82</f>
        <v>0</v>
      </c>
      <c r="BP33" s="52">
        <f>Model!BP82</f>
        <v>-74643</v>
      </c>
      <c r="BQ33" s="52">
        <f>Model!BQ82</f>
        <v>0</v>
      </c>
      <c r="BR33" s="52">
        <f>Model!BR82</f>
        <v>0</v>
      </c>
      <c r="BS33" s="52">
        <f>Model!BS82</f>
        <v>-74640</v>
      </c>
      <c r="BT33" s="52">
        <f>Model!BT82</f>
        <v>0</v>
      </c>
      <c r="BU33" s="52">
        <f>Model!BU82</f>
        <v>0</v>
      </c>
      <c r="BV33" s="52">
        <f>Model!BV82</f>
        <v>-74640</v>
      </c>
      <c r="BW33" s="52">
        <f>Model!BW82</f>
        <v>0</v>
      </c>
      <c r="BX33" s="52">
        <f>Model!BX82</f>
        <v>0</v>
      </c>
      <c r="BY33" s="52">
        <f>Model!BY82</f>
        <v>-74640</v>
      </c>
      <c r="BZ33" s="52">
        <f>Model!BZ82</f>
        <v>0</v>
      </c>
      <c r="CA33" s="52">
        <f>Model!CA82</f>
        <v>0</v>
      </c>
      <c r="CB33" s="52">
        <f>Model!CB82</f>
        <v>-81363</v>
      </c>
      <c r="CC33" s="52">
        <f>Model!CC82</f>
        <v>0</v>
      </c>
      <c r="CD33" s="52">
        <f>Model!CD82</f>
        <v>0</v>
      </c>
      <c r="CE33" s="52">
        <f>Model!CE82</f>
        <v>-81362</v>
      </c>
      <c r="CF33" s="52">
        <f>Model!CF82</f>
        <v>0</v>
      </c>
      <c r="CG33" s="52">
        <f>Model!CG82</f>
        <v>0</v>
      </c>
      <c r="CH33" s="52">
        <f>Model!CH82</f>
        <v>-74753.973393520777</v>
      </c>
    </row>
    <row r="34" spans="1:86" ht="15" customHeight="1" x14ac:dyDescent="0.25">
      <c r="A34" s="51" t="s">
        <v>96</v>
      </c>
      <c r="B34" s="1"/>
      <c r="C34" s="52">
        <f>Model!C154</f>
        <v>0</v>
      </c>
      <c r="D34" s="52">
        <f>Model!D154</f>
        <v>0</v>
      </c>
      <c r="E34" s="52">
        <f>Model!E154</f>
        <v>0</v>
      </c>
      <c r="F34" s="52">
        <f>Model!F154</f>
        <v>0</v>
      </c>
      <c r="G34" s="52">
        <f>Model!G154</f>
        <v>0</v>
      </c>
      <c r="H34" s="52">
        <f>Model!H154</f>
        <v>0</v>
      </c>
      <c r="I34" s="52">
        <f>Model!I154</f>
        <v>0</v>
      </c>
      <c r="J34" s="52">
        <f>Model!J154</f>
        <v>0</v>
      </c>
      <c r="K34" s="52">
        <f>Model!K154</f>
        <v>0</v>
      </c>
      <c r="L34" s="52">
        <f>Model!L154</f>
        <v>0</v>
      </c>
      <c r="M34" s="52">
        <f>Model!M154</f>
        <v>0</v>
      </c>
      <c r="N34" s="52">
        <f>Model!N154</f>
        <v>0</v>
      </c>
      <c r="O34" s="52">
        <f>Model!O154</f>
        <v>0</v>
      </c>
      <c r="P34" s="52">
        <f>Model!P154</f>
        <v>0</v>
      </c>
      <c r="Q34" s="52">
        <f>Model!Q154</f>
        <v>0</v>
      </c>
      <c r="R34" s="52">
        <f>Model!R154</f>
        <v>0</v>
      </c>
      <c r="S34" s="52">
        <f>Model!S154</f>
        <v>0</v>
      </c>
      <c r="T34" s="52">
        <f>Model!T154</f>
        <v>0</v>
      </c>
      <c r="U34" s="52">
        <f>Model!U154</f>
        <v>0</v>
      </c>
      <c r="V34" s="52">
        <f>Model!V154</f>
        <v>0</v>
      </c>
      <c r="W34" s="52">
        <f>Model!W154</f>
        <v>0</v>
      </c>
      <c r="X34" s="52">
        <f>Model!X154</f>
        <v>0</v>
      </c>
      <c r="Y34" s="52">
        <f>Model!Y154</f>
        <v>0</v>
      </c>
      <c r="Z34" s="52">
        <f>Model!Z154</f>
        <v>0</v>
      </c>
      <c r="AA34" s="52">
        <f>Model!AA154</f>
        <v>0</v>
      </c>
      <c r="AB34" s="52">
        <f>Model!AB154</f>
        <v>0</v>
      </c>
      <c r="AC34" s="52">
        <f>Model!AC154</f>
        <v>0</v>
      </c>
      <c r="AD34" s="52">
        <f>Model!AD154</f>
        <v>0</v>
      </c>
      <c r="AE34" s="52">
        <f>Model!AE154</f>
        <v>0</v>
      </c>
      <c r="AF34" s="52">
        <f>Model!AF154</f>
        <v>0</v>
      </c>
      <c r="AG34" s="52">
        <f>Model!AG154</f>
        <v>0</v>
      </c>
      <c r="AH34" s="52">
        <f>Model!AH154</f>
        <v>0</v>
      </c>
      <c r="AI34" s="52">
        <f>Model!AI154</f>
        <v>0</v>
      </c>
      <c r="AJ34" s="52">
        <f>Model!AJ154</f>
        <v>0</v>
      </c>
      <c r="AK34" s="52">
        <f>Model!AK154</f>
        <v>0</v>
      </c>
      <c r="AL34" s="52">
        <f>Model!AL154</f>
        <v>0</v>
      </c>
      <c r="AM34" s="52">
        <f>Model!AM154</f>
        <v>0</v>
      </c>
      <c r="AN34" s="52">
        <f>Model!AN154</f>
        <v>0</v>
      </c>
      <c r="AO34" s="52">
        <f>Model!AO154</f>
        <v>0</v>
      </c>
      <c r="AP34" s="52">
        <f>Model!AP154</f>
        <v>0</v>
      </c>
      <c r="AQ34" s="52">
        <f>Model!AQ154</f>
        <v>0</v>
      </c>
      <c r="AR34" s="52">
        <f>Model!AR154</f>
        <v>0</v>
      </c>
      <c r="AS34" s="52">
        <f>Model!AS154</f>
        <v>0</v>
      </c>
      <c r="AT34" s="52">
        <f>Model!AT154</f>
        <v>0</v>
      </c>
      <c r="AU34" s="52">
        <f>Model!AU154</f>
        <v>0</v>
      </c>
      <c r="AV34" s="52">
        <f>Model!AV154</f>
        <v>0</v>
      </c>
      <c r="AW34" s="52">
        <f>Model!AW154</f>
        <v>0</v>
      </c>
      <c r="AX34" s="52">
        <f>Model!AX154</f>
        <v>0</v>
      </c>
      <c r="AY34" s="52">
        <f>Model!AY154</f>
        <v>0</v>
      </c>
      <c r="AZ34" s="52">
        <f>Model!AZ154</f>
        <v>0</v>
      </c>
      <c r="BA34" s="52">
        <f>Model!BA154</f>
        <v>0</v>
      </c>
      <c r="BB34" s="52">
        <f>Model!BB154</f>
        <v>0</v>
      </c>
      <c r="BC34" s="52">
        <f>Model!BC154</f>
        <v>0</v>
      </c>
      <c r="BD34" s="52">
        <f>Model!BD154</f>
        <v>0</v>
      </c>
      <c r="BE34" s="52">
        <f>Model!BE154</f>
        <v>0</v>
      </c>
      <c r="BF34" s="52">
        <f>Model!BF154</f>
        <v>0</v>
      </c>
      <c r="BG34" s="52">
        <f>Model!BG154</f>
        <v>0</v>
      </c>
      <c r="BH34" s="52">
        <f>Model!BH154</f>
        <v>0</v>
      </c>
      <c r="BI34" s="52">
        <f>Model!BI154</f>
        <v>0</v>
      </c>
      <c r="BJ34" s="52">
        <f>Model!BJ154</f>
        <v>0</v>
      </c>
      <c r="BK34" s="52">
        <f>Model!BK154</f>
        <v>0</v>
      </c>
      <c r="BL34" s="52">
        <f>Model!BL154</f>
        <v>0</v>
      </c>
      <c r="BM34" s="52">
        <f>Model!BM154</f>
        <v>0</v>
      </c>
      <c r="BN34" s="52">
        <f>Model!BN154</f>
        <v>0</v>
      </c>
      <c r="BO34" s="52">
        <f>Model!BO154</f>
        <v>0</v>
      </c>
      <c r="BP34" s="52">
        <f>Model!BP154</f>
        <v>0</v>
      </c>
      <c r="BQ34" s="52">
        <f>Model!BQ154</f>
        <v>0</v>
      </c>
      <c r="BR34" s="52">
        <f>Model!BR154</f>
        <v>0</v>
      </c>
      <c r="BS34" s="52">
        <f>Model!BS154</f>
        <v>0</v>
      </c>
      <c r="BT34" s="52">
        <f>Model!BT154</f>
        <v>0</v>
      </c>
      <c r="BU34" s="52">
        <f>Model!BU154</f>
        <v>0</v>
      </c>
      <c r="BV34" s="52">
        <f>Model!BV154</f>
        <v>0</v>
      </c>
      <c r="BW34" s="52">
        <f>Model!BW154</f>
        <v>0</v>
      </c>
      <c r="BX34" s="52">
        <f>Model!BX154</f>
        <v>0</v>
      </c>
      <c r="BY34" s="52">
        <f>Model!BY154</f>
        <v>0</v>
      </c>
      <c r="BZ34" s="52">
        <f>Model!BZ154</f>
        <v>0</v>
      </c>
      <c r="CA34" s="52">
        <f>Model!CA154</f>
        <v>0</v>
      </c>
      <c r="CB34" s="52">
        <f>Model!CB154</f>
        <v>0</v>
      </c>
      <c r="CC34" s="52">
        <f>Model!CC154</f>
        <v>0</v>
      </c>
      <c r="CD34" s="52">
        <f>Model!CD154</f>
        <v>0</v>
      </c>
      <c r="CE34" s="52">
        <f>Model!CE154</f>
        <v>0</v>
      </c>
      <c r="CF34" s="52">
        <f>Model!CF154</f>
        <v>0</v>
      </c>
      <c r="CG34" s="52">
        <f>Model!CG154</f>
        <v>0</v>
      </c>
      <c r="CH34" s="52">
        <f>Model!CH154</f>
        <v>0</v>
      </c>
    </row>
    <row r="35" spans="1:86" ht="15" customHeight="1" x14ac:dyDescent="0.25">
      <c r="A35" s="28" t="s">
        <v>268</v>
      </c>
      <c r="B35" s="28"/>
      <c r="C35" s="49">
        <f t="shared" ref="C35:AH35" si="30">C32+C33+C34</f>
        <v>0</v>
      </c>
      <c r="D35" s="49">
        <f t="shared" si="30"/>
        <v>0</v>
      </c>
      <c r="E35" s="49">
        <f t="shared" si="30"/>
        <v>0</v>
      </c>
      <c r="F35" s="49">
        <f t="shared" si="30"/>
        <v>0</v>
      </c>
      <c r="G35" s="49">
        <f t="shared" si="30"/>
        <v>0</v>
      </c>
      <c r="H35" s="49">
        <f t="shared" si="30"/>
        <v>0</v>
      </c>
      <c r="I35" s="49">
        <f t="shared" si="30"/>
        <v>0</v>
      </c>
      <c r="J35" s="49">
        <f t="shared" si="30"/>
        <v>0</v>
      </c>
      <c r="K35" s="49">
        <f t="shared" si="30"/>
        <v>0</v>
      </c>
      <c r="L35" s="49">
        <f t="shared" si="30"/>
        <v>0</v>
      </c>
      <c r="M35" s="49">
        <f t="shared" si="30"/>
        <v>0</v>
      </c>
      <c r="N35" s="49">
        <f t="shared" si="30"/>
        <v>0</v>
      </c>
      <c r="O35" s="49">
        <f t="shared" si="30"/>
        <v>0</v>
      </c>
      <c r="P35" s="49">
        <f t="shared" si="30"/>
        <v>0</v>
      </c>
      <c r="Q35" s="49">
        <f t="shared" si="30"/>
        <v>0</v>
      </c>
      <c r="R35" s="49">
        <f t="shared" si="30"/>
        <v>0</v>
      </c>
      <c r="S35" s="49">
        <f t="shared" si="30"/>
        <v>0</v>
      </c>
      <c r="T35" s="49">
        <f t="shared" si="30"/>
        <v>0</v>
      </c>
      <c r="U35" s="49">
        <f t="shared" si="30"/>
        <v>0</v>
      </c>
      <c r="V35" s="49">
        <f t="shared" si="30"/>
        <v>0</v>
      </c>
      <c r="W35" s="49">
        <f t="shared" si="30"/>
        <v>0</v>
      </c>
      <c r="X35" s="49">
        <f t="shared" si="30"/>
        <v>0</v>
      </c>
      <c r="Y35" s="49">
        <f t="shared" si="30"/>
        <v>0</v>
      </c>
      <c r="Z35" s="49">
        <f t="shared" si="30"/>
        <v>0</v>
      </c>
      <c r="AA35" s="49">
        <f t="shared" si="30"/>
        <v>0</v>
      </c>
      <c r="AB35" s="49">
        <f t="shared" si="30"/>
        <v>0</v>
      </c>
      <c r="AC35" s="49">
        <f t="shared" si="30"/>
        <v>0</v>
      </c>
      <c r="AD35" s="49">
        <f t="shared" si="30"/>
        <v>0</v>
      </c>
      <c r="AE35" s="49">
        <f t="shared" si="30"/>
        <v>0</v>
      </c>
      <c r="AF35" s="49">
        <f t="shared" si="30"/>
        <v>0</v>
      </c>
      <c r="AG35" s="49">
        <f t="shared" si="30"/>
        <v>0</v>
      </c>
      <c r="AH35" s="49">
        <f t="shared" si="30"/>
        <v>0</v>
      </c>
      <c r="AI35" s="49">
        <f t="shared" ref="AI35:BN35" si="31">AI32+AI33+AI34</f>
        <v>0</v>
      </c>
      <c r="AJ35" s="49">
        <f t="shared" si="31"/>
        <v>0</v>
      </c>
      <c r="AK35" s="49">
        <f t="shared" si="31"/>
        <v>0</v>
      </c>
      <c r="AL35" s="49">
        <f t="shared" si="31"/>
        <v>0</v>
      </c>
      <c r="AM35" s="49">
        <f t="shared" si="31"/>
        <v>0</v>
      </c>
      <c r="AN35" s="49">
        <f t="shared" si="31"/>
        <v>0</v>
      </c>
      <c r="AO35" s="49">
        <f t="shared" si="31"/>
        <v>0</v>
      </c>
      <c r="AP35" s="49">
        <f t="shared" si="31"/>
        <v>0</v>
      </c>
      <c r="AQ35" s="49">
        <f t="shared" si="31"/>
        <v>0</v>
      </c>
      <c r="AR35" s="49">
        <f t="shared" si="31"/>
        <v>0</v>
      </c>
      <c r="AS35" s="49">
        <f t="shared" si="31"/>
        <v>0</v>
      </c>
      <c r="AT35" s="49">
        <f t="shared" si="31"/>
        <v>0</v>
      </c>
      <c r="AU35" s="49">
        <f t="shared" si="31"/>
        <v>0</v>
      </c>
      <c r="AV35" s="49">
        <f t="shared" si="31"/>
        <v>0</v>
      </c>
      <c r="AW35" s="49">
        <f t="shared" si="31"/>
        <v>0</v>
      </c>
      <c r="AX35" s="49">
        <f t="shared" si="31"/>
        <v>0</v>
      </c>
      <c r="AY35" s="49">
        <f t="shared" si="31"/>
        <v>0</v>
      </c>
      <c r="AZ35" s="49">
        <f t="shared" si="31"/>
        <v>0</v>
      </c>
      <c r="BA35" s="49">
        <f t="shared" si="31"/>
        <v>0</v>
      </c>
      <c r="BB35" s="49">
        <f t="shared" si="31"/>
        <v>0</v>
      </c>
      <c r="BC35" s="49">
        <f t="shared" si="31"/>
        <v>0</v>
      </c>
      <c r="BD35" s="49">
        <f t="shared" si="31"/>
        <v>0</v>
      </c>
      <c r="BE35" s="49">
        <f t="shared" si="31"/>
        <v>0</v>
      </c>
      <c r="BF35" s="49">
        <f t="shared" si="31"/>
        <v>0</v>
      </c>
      <c r="BG35" s="49">
        <f t="shared" si="31"/>
        <v>0</v>
      </c>
      <c r="BH35" s="49">
        <f t="shared" si="31"/>
        <v>0</v>
      </c>
      <c r="BI35" s="49">
        <f t="shared" si="31"/>
        <v>0</v>
      </c>
      <c r="BJ35" s="49">
        <f t="shared" si="31"/>
        <v>0</v>
      </c>
      <c r="BK35" s="49">
        <f t="shared" si="31"/>
        <v>0</v>
      </c>
      <c r="BL35" s="49">
        <f t="shared" si="31"/>
        <v>0</v>
      </c>
      <c r="BM35" s="49">
        <f t="shared" si="31"/>
        <v>0</v>
      </c>
      <c r="BN35" s="49">
        <f t="shared" si="31"/>
        <v>0</v>
      </c>
      <c r="BO35" s="49">
        <f t="shared" ref="BO35:CT35" si="32">BO32+BO33+BO34</f>
        <v>0</v>
      </c>
      <c r="BP35" s="49">
        <f t="shared" si="32"/>
        <v>0</v>
      </c>
      <c r="BQ35" s="49">
        <f t="shared" si="32"/>
        <v>0</v>
      </c>
      <c r="BR35" s="49">
        <f t="shared" si="32"/>
        <v>0</v>
      </c>
      <c r="BS35" s="49">
        <f t="shared" si="32"/>
        <v>0</v>
      </c>
      <c r="BT35" s="49">
        <f t="shared" si="32"/>
        <v>0</v>
      </c>
      <c r="BU35" s="49">
        <f t="shared" si="32"/>
        <v>0</v>
      </c>
      <c r="BV35" s="49">
        <f t="shared" si="32"/>
        <v>0</v>
      </c>
      <c r="BW35" s="49">
        <f t="shared" si="32"/>
        <v>0</v>
      </c>
      <c r="BX35" s="49">
        <f t="shared" si="32"/>
        <v>0</v>
      </c>
      <c r="BY35" s="49">
        <f t="shared" si="32"/>
        <v>0</v>
      </c>
      <c r="BZ35" s="49">
        <f t="shared" si="32"/>
        <v>0</v>
      </c>
      <c r="CA35" s="49">
        <f t="shared" si="32"/>
        <v>0</v>
      </c>
      <c r="CB35" s="49">
        <f t="shared" si="32"/>
        <v>0</v>
      </c>
      <c r="CC35" s="49">
        <f t="shared" si="32"/>
        <v>0</v>
      </c>
      <c r="CD35" s="49">
        <f t="shared" si="32"/>
        <v>0</v>
      </c>
      <c r="CE35" s="49">
        <f t="shared" si="32"/>
        <v>0</v>
      </c>
      <c r="CF35" s="49">
        <f t="shared" si="32"/>
        <v>0</v>
      </c>
      <c r="CG35" s="49">
        <f t="shared" si="32"/>
        <v>0</v>
      </c>
      <c r="CH35" s="49">
        <f t="shared" si="32"/>
        <v>6608.0266064792231</v>
      </c>
    </row>
    <row r="36" spans="1:86" ht="15" customHeight="1" x14ac:dyDescent="0.25">
      <c r="A36" s="42" t="s">
        <v>269</v>
      </c>
      <c r="B36" s="1"/>
      <c r="C36" s="50">
        <f>C35</f>
        <v>0</v>
      </c>
      <c r="D36" s="50">
        <f t="shared" ref="D36:AI36" si="33">C36+D35</f>
        <v>0</v>
      </c>
      <c r="E36" s="50">
        <f t="shared" si="33"/>
        <v>0</v>
      </c>
      <c r="F36" s="50">
        <f t="shared" si="33"/>
        <v>0</v>
      </c>
      <c r="G36" s="50">
        <f t="shared" si="33"/>
        <v>0</v>
      </c>
      <c r="H36" s="50">
        <f t="shared" si="33"/>
        <v>0</v>
      </c>
      <c r="I36" s="50">
        <f t="shared" si="33"/>
        <v>0</v>
      </c>
      <c r="J36" s="50">
        <f t="shared" si="33"/>
        <v>0</v>
      </c>
      <c r="K36" s="50">
        <f t="shared" si="33"/>
        <v>0</v>
      </c>
      <c r="L36" s="50">
        <f t="shared" si="33"/>
        <v>0</v>
      </c>
      <c r="M36" s="50">
        <f t="shared" si="33"/>
        <v>0</v>
      </c>
      <c r="N36" s="50">
        <f t="shared" si="33"/>
        <v>0</v>
      </c>
      <c r="O36" s="50">
        <f t="shared" si="33"/>
        <v>0</v>
      </c>
      <c r="P36" s="50">
        <f t="shared" si="33"/>
        <v>0</v>
      </c>
      <c r="Q36" s="50">
        <f t="shared" si="33"/>
        <v>0</v>
      </c>
      <c r="R36" s="50">
        <f t="shared" si="33"/>
        <v>0</v>
      </c>
      <c r="S36" s="50">
        <f t="shared" si="33"/>
        <v>0</v>
      </c>
      <c r="T36" s="50">
        <f t="shared" si="33"/>
        <v>0</v>
      </c>
      <c r="U36" s="50">
        <f t="shared" si="33"/>
        <v>0</v>
      </c>
      <c r="V36" s="50">
        <f t="shared" si="33"/>
        <v>0</v>
      </c>
      <c r="W36" s="50">
        <f t="shared" si="33"/>
        <v>0</v>
      </c>
      <c r="X36" s="50">
        <f t="shared" si="33"/>
        <v>0</v>
      </c>
      <c r="Y36" s="50">
        <f t="shared" si="33"/>
        <v>0</v>
      </c>
      <c r="Z36" s="50">
        <f t="shared" si="33"/>
        <v>0</v>
      </c>
      <c r="AA36" s="50">
        <f t="shared" si="33"/>
        <v>0</v>
      </c>
      <c r="AB36" s="50">
        <f t="shared" si="33"/>
        <v>0</v>
      </c>
      <c r="AC36" s="50">
        <f t="shared" si="33"/>
        <v>0</v>
      </c>
      <c r="AD36" s="50">
        <f t="shared" si="33"/>
        <v>0</v>
      </c>
      <c r="AE36" s="50">
        <f t="shared" si="33"/>
        <v>0</v>
      </c>
      <c r="AF36" s="50">
        <f t="shared" si="33"/>
        <v>0</v>
      </c>
      <c r="AG36" s="50">
        <f t="shared" si="33"/>
        <v>0</v>
      </c>
      <c r="AH36" s="50">
        <f t="shared" si="33"/>
        <v>0</v>
      </c>
      <c r="AI36" s="50">
        <f t="shared" si="33"/>
        <v>0</v>
      </c>
      <c r="AJ36" s="50">
        <f t="shared" ref="AJ36:BO36" si="34">AI36+AJ35</f>
        <v>0</v>
      </c>
      <c r="AK36" s="50">
        <f t="shared" si="34"/>
        <v>0</v>
      </c>
      <c r="AL36" s="50">
        <f t="shared" si="34"/>
        <v>0</v>
      </c>
      <c r="AM36" s="50">
        <f t="shared" si="34"/>
        <v>0</v>
      </c>
      <c r="AN36" s="50">
        <f t="shared" si="34"/>
        <v>0</v>
      </c>
      <c r="AO36" s="50">
        <f t="shared" si="34"/>
        <v>0</v>
      </c>
      <c r="AP36" s="50">
        <f t="shared" si="34"/>
        <v>0</v>
      </c>
      <c r="AQ36" s="50">
        <f t="shared" si="34"/>
        <v>0</v>
      </c>
      <c r="AR36" s="50">
        <f t="shared" si="34"/>
        <v>0</v>
      </c>
      <c r="AS36" s="50">
        <f t="shared" si="34"/>
        <v>0</v>
      </c>
      <c r="AT36" s="50">
        <f t="shared" si="34"/>
        <v>0</v>
      </c>
      <c r="AU36" s="50">
        <f t="shared" si="34"/>
        <v>0</v>
      </c>
      <c r="AV36" s="50">
        <f t="shared" si="34"/>
        <v>0</v>
      </c>
      <c r="AW36" s="50">
        <f t="shared" si="34"/>
        <v>0</v>
      </c>
      <c r="AX36" s="50">
        <f t="shared" si="34"/>
        <v>0</v>
      </c>
      <c r="AY36" s="50">
        <f t="shared" si="34"/>
        <v>0</v>
      </c>
      <c r="AZ36" s="50">
        <f t="shared" si="34"/>
        <v>0</v>
      </c>
      <c r="BA36" s="50">
        <f t="shared" si="34"/>
        <v>0</v>
      </c>
      <c r="BB36" s="50">
        <f t="shared" si="34"/>
        <v>0</v>
      </c>
      <c r="BC36" s="50">
        <f t="shared" si="34"/>
        <v>0</v>
      </c>
      <c r="BD36" s="50">
        <f t="shared" si="34"/>
        <v>0</v>
      </c>
      <c r="BE36" s="50">
        <f t="shared" si="34"/>
        <v>0</v>
      </c>
      <c r="BF36" s="50">
        <f t="shared" si="34"/>
        <v>0</v>
      </c>
      <c r="BG36" s="50">
        <f t="shared" si="34"/>
        <v>0</v>
      </c>
      <c r="BH36" s="50">
        <f t="shared" si="34"/>
        <v>0</v>
      </c>
      <c r="BI36" s="50">
        <f t="shared" si="34"/>
        <v>0</v>
      </c>
      <c r="BJ36" s="50">
        <f t="shared" si="34"/>
        <v>0</v>
      </c>
      <c r="BK36" s="50">
        <f t="shared" si="34"/>
        <v>0</v>
      </c>
      <c r="BL36" s="50">
        <f t="shared" si="34"/>
        <v>0</v>
      </c>
      <c r="BM36" s="50">
        <f t="shared" si="34"/>
        <v>0</v>
      </c>
      <c r="BN36" s="50">
        <f t="shared" si="34"/>
        <v>0</v>
      </c>
      <c r="BO36" s="50">
        <f t="shared" si="34"/>
        <v>0</v>
      </c>
      <c r="BP36" s="50">
        <f t="shared" ref="BP36:CU36" si="35">BO36+BP35</f>
        <v>0</v>
      </c>
      <c r="BQ36" s="50">
        <f t="shared" si="35"/>
        <v>0</v>
      </c>
      <c r="BR36" s="50">
        <f t="shared" si="35"/>
        <v>0</v>
      </c>
      <c r="BS36" s="50">
        <f t="shared" si="35"/>
        <v>0</v>
      </c>
      <c r="BT36" s="50">
        <f t="shared" si="35"/>
        <v>0</v>
      </c>
      <c r="BU36" s="50">
        <f t="shared" si="35"/>
        <v>0</v>
      </c>
      <c r="BV36" s="50">
        <f t="shared" si="35"/>
        <v>0</v>
      </c>
      <c r="BW36" s="50">
        <f t="shared" si="35"/>
        <v>0</v>
      </c>
      <c r="BX36" s="50">
        <f t="shared" si="35"/>
        <v>0</v>
      </c>
      <c r="BY36" s="50">
        <f t="shared" si="35"/>
        <v>0</v>
      </c>
      <c r="BZ36" s="50">
        <f t="shared" si="35"/>
        <v>0</v>
      </c>
      <c r="CA36" s="50">
        <f t="shared" si="35"/>
        <v>0</v>
      </c>
      <c r="CB36" s="50">
        <f t="shared" si="35"/>
        <v>0</v>
      </c>
      <c r="CC36" s="50">
        <f t="shared" si="35"/>
        <v>0</v>
      </c>
      <c r="CD36" s="50">
        <f t="shared" si="35"/>
        <v>0</v>
      </c>
      <c r="CE36" s="50">
        <f t="shared" si="35"/>
        <v>0</v>
      </c>
      <c r="CF36" s="50">
        <f t="shared" si="35"/>
        <v>0</v>
      </c>
      <c r="CG36" s="50">
        <f t="shared" si="35"/>
        <v>0</v>
      </c>
      <c r="CH36" s="50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115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267</v>
      </c>
      <c r="B39" s="1"/>
      <c r="C39" s="48">
        <v>0</v>
      </c>
      <c r="D39" s="48">
        <v>0</v>
      </c>
      <c r="E39" s="48">
        <v>0</v>
      </c>
      <c r="F39" s="48">
        <v>0</v>
      </c>
      <c r="G39" s="48">
        <v>0</v>
      </c>
      <c r="H39" s="48">
        <v>0</v>
      </c>
      <c r="I39" s="48">
        <v>0</v>
      </c>
      <c r="J39" s="48">
        <v>0</v>
      </c>
      <c r="K39" s="48">
        <v>0</v>
      </c>
      <c r="L39" s="48">
        <v>0</v>
      </c>
      <c r="M39" s="48">
        <v>0</v>
      </c>
      <c r="N39" s="48">
        <v>0</v>
      </c>
      <c r="O39" s="48">
        <v>0</v>
      </c>
      <c r="P39" s="48">
        <v>0</v>
      </c>
      <c r="Q39" s="48">
        <v>0</v>
      </c>
      <c r="R39" s="48">
        <v>0</v>
      </c>
      <c r="S39" s="48">
        <v>0</v>
      </c>
      <c r="T39" s="48">
        <v>0</v>
      </c>
      <c r="U39" s="48">
        <v>0</v>
      </c>
      <c r="V39" s="48">
        <v>0</v>
      </c>
      <c r="W39" s="48">
        <v>0</v>
      </c>
      <c r="X39" s="48">
        <v>0</v>
      </c>
      <c r="Y39" s="48">
        <v>0</v>
      </c>
      <c r="Z39" s="48">
        <v>0</v>
      </c>
      <c r="AA39" s="48">
        <v>0</v>
      </c>
      <c r="AB39" s="48">
        <v>0</v>
      </c>
      <c r="AC39" s="48">
        <v>0</v>
      </c>
      <c r="AD39" s="48">
        <v>0</v>
      </c>
      <c r="AE39" s="48">
        <v>0</v>
      </c>
      <c r="AF39" s="48">
        <v>0</v>
      </c>
      <c r="AG39" s="48">
        <v>0</v>
      </c>
      <c r="AH39" s="48">
        <v>0</v>
      </c>
      <c r="AI39" s="48">
        <v>0</v>
      </c>
      <c r="AJ39" s="48">
        <v>0</v>
      </c>
      <c r="AK39" s="48">
        <v>0</v>
      </c>
      <c r="AL39" s="48">
        <v>0</v>
      </c>
      <c r="AM39" s="48">
        <v>0</v>
      </c>
      <c r="AN39" s="48">
        <v>0</v>
      </c>
      <c r="AO39" s="48">
        <v>0</v>
      </c>
      <c r="AP39" s="48">
        <v>0</v>
      </c>
      <c r="AQ39" s="48">
        <v>0</v>
      </c>
      <c r="AR39" s="48">
        <v>0</v>
      </c>
      <c r="AS39" s="48">
        <v>0</v>
      </c>
      <c r="AT39" s="48">
        <v>0</v>
      </c>
      <c r="AU39" s="48">
        <v>0</v>
      </c>
      <c r="AV39" s="48">
        <v>0</v>
      </c>
      <c r="AW39" s="48">
        <v>0</v>
      </c>
      <c r="AX39" s="48">
        <v>0</v>
      </c>
      <c r="AY39" s="48">
        <v>0</v>
      </c>
      <c r="AZ39" s="48">
        <v>0</v>
      </c>
      <c r="BA39" s="48">
        <v>0</v>
      </c>
      <c r="BB39" s="48">
        <v>0</v>
      </c>
      <c r="BC39" s="48">
        <v>0</v>
      </c>
      <c r="BD39" s="48">
        <v>0</v>
      </c>
      <c r="BE39" s="48">
        <v>0</v>
      </c>
      <c r="BF39" s="48">
        <v>0</v>
      </c>
      <c r="BG39" s="48">
        <v>0</v>
      </c>
      <c r="BH39" s="48">
        <v>0</v>
      </c>
      <c r="BI39" s="48">
        <v>0</v>
      </c>
      <c r="BJ39" s="48">
        <v>0</v>
      </c>
      <c r="BK39" s="48">
        <v>0</v>
      </c>
      <c r="BL39" s="48">
        <v>0</v>
      </c>
      <c r="BM39" s="48">
        <v>0</v>
      </c>
      <c r="BN39" s="48">
        <v>0</v>
      </c>
      <c r="BO39" s="48">
        <v>0</v>
      </c>
      <c r="BP39" s="48">
        <v>0</v>
      </c>
      <c r="BQ39" s="48">
        <v>0</v>
      </c>
      <c r="BR39" s="48">
        <v>0</v>
      </c>
      <c r="BS39" s="48">
        <v>0</v>
      </c>
      <c r="BT39" s="48">
        <v>0</v>
      </c>
      <c r="BU39" s="48">
        <v>0</v>
      </c>
      <c r="BV39" s="48">
        <v>0</v>
      </c>
      <c r="BW39" s="48">
        <v>0</v>
      </c>
      <c r="BX39" s="48">
        <v>0</v>
      </c>
      <c r="BY39" s="48">
        <v>0</v>
      </c>
      <c r="BZ39" s="48">
        <v>0</v>
      </c>
      <c r="CA39" s="48">
        <v>0</v>
      </c>
      <c r="CB39" s="48">
        <v>0</v>
      </c>
      <c r="CC39" s="48">
        <v>0</v>
      </c>
      <c r="CD39" s="48">
        <v>0</v>
      </c>
      <c r="CE39" s="48">
        <v>0</v>
      </c>
      <c r="CF39" s="48">
        <v>0</v>
      </c>
      <c r="CG39" s="48">
        <v>0</v>
      </c>
      <c r="CH39" s="48">
        <v>0</v>
      </c>
    </row>
    <row r="40" spans="1:86" ht="15" customHeight="1" x14ac:dyDescent="0.25">
      <c r="A40" s="51" t="s">
        <v>271</v>
      </c>
      <c r="B40" s="1"/>
      <c r="C40" s="52">
        <f>Model!C83</f>
        <v>0</v>
      </c>
      <c r="D40" s="52">
        <f>Model!D83</f>
        <v>0</v>
      </c>
      <c r="E40" s="52">
        <f>Model!E83</f>
        <v>0</v>
      </c>
      <c r="F40" s="52">
        <f>Model!F83</f>
        <v>0</v>
      </c>
      <c r="G40" s="52">
        <f>Model!G83</f>
        <v>0</v>
      </c>
      <c r="H40" s="52">
        <f>Model!H83</f>
        <v>0</v>
      </c>
      <c r="I40" s="52">
        <f>Model!I83</f>
        <v>0</v>
      </c>
      <c r="J40" s="52">
        <f>Model!J83</f>
        <v>0</v>
      </c>
      <c r="K40" s="52">
        <f>Model!K83</f>
        <v>0</v>
      </c>
      <c r="L40" s="52">
        <f>Model!L83</f>
        <v>0</v>
      </c>
      <c r="M40" s="52">
        <f>Model!M83</f>
        <v>0</v>
      </c>
      <c r="N40" s="52">
        <f>Model!N83</f>
        <v>0</v>
      </c>
      <c r="O40" s="52">
        <f>Model!O83</f>
        <v>0</v>
      </c>
      <c r="P40" s="52">
        <f>Model!P83</f>
        <v>0</v>
      </c>
      <c r="Q40" s="52">
        <f>Model!Q83</f>
        <v>0</v>
      </c>
      <c r="R40" s="52">
        <f>Model!R83</f>
        <v>0</v>
      </c>
      <c r="S40" s="52">
        <f>Model!S83</f>
        <v>0</v>
      </c>
      <c r="T40" s="52">
        <f>Model!T83</f>
        <v>0</v>
      </c>
      <c r="U40" s="52">
        <f>Model!U83</f>
        <v>0</v>
      </c>
      <c r="V40" s="52">
        <f>Model!V83</f>
        <v>0</v>
      </c>
      <c r="W40" s="52">
        <f>Model!W83</f>
        <v>0</v>
      </c>
      <c r="X40" s="52">
        <f>Model!X83</f>
        <v>0</v>
      </c>
      <c r="Y40" s="52">
        <f>Model!Y83</f>
        <v>0</v>
      </c>
      <c r="Z40" s="52">
        <f>Model!Z83</f>
        <v>0</v>
      </c>
      <c r="AA40" s="52">
        <f>Model!AA83</f>
        <v>0</v>
      </c>
      <c r="AB40" s="52">
        <f>Model!AB83</f>
        <v>0</v>
      </c>
      <c r="AC40" s="52">
        <f>Model!AC83</f>
        <v>0</v>
      </c>
      <c r="AD40" s="52">
        <f>Model!AD83</f>
        <v>0</v>
      </c>
      <c r="AE40" s="52">
        <f>Model!AE83</f>
        <v>0</v>
      </c>
      <c r="AF40" s="52">
        <f>Model!AF83</f>
        <v>0</v>
      </c>
      <c r="AG40" s="52">
        <f>Model!AG83</f>
        <v>0</v>
      </c>
      <c r="AH40" s="52">
        <f>Model!AH83</f>
        <v>0</v>
      </c>
      <c r="AI40" s="52">
        <f>Model!AI83</f>
        <v>0</v>
      </c>
      <c r="AJ40" s="52">
        <f>Model!AJ83</f>
        <v>0</v>
      </c>
      <c r="AK40" s="52">
        <f>Model!AK83</f>
        <v>0</v>
      </c>
      <c r="AL40" s="52">
        <f>Model!AL83</f>
        <v>0</v>
      </c>
      <c r="AM40" s="52">
        <f>Model!AM83</f>
        <v>0</v>
      </c>
      <c r="AN40" s="52">
        <f>Model!AN83</f>
        <v>0</v>
      </c>
      <c r="AO40" s="52">
        <f>Model!AO83</f>
        <v>0</v>
      </c>
      <c r="AP40" s="52">
        <f>Model!AP83</f>
        <v>0</v>
      </c>
      <c r="AQ40" s="52">
        <f>Model!AQ83</f>
        <v>0</v>
      </c>
      <c r="AR40" s="52">
        <f>Model!AR83</f>
        <v>0</v>
      </c>
      <c r="AS40" s="52">
        <f>Model!AS83</f>
        <v>0</v>
      </c>
      <c r="AT40" s="52">
        <f>Model!AT83</f>
        <v>0</v>
      </c>
      <c r="AU40" s="52">
        <f>Model!AU83</f>
        <v>0</v>
      </c>
      <c r="AV40" s="52">
        <f>Model!AV83</f>
        <v>0</v>
      </c>
      <c r="AW40" s="52">
        <f>Model!AW83</f>
        <v>0</v>
      </c>
      <c r="AX40" s="52">
        <f>Model!AX83</f>
        <v>0</v>
      </c>
      <c r="AY40" s="52">
        <f>Model!AY83</f>
        <v>0</v>
      </c>
      <c r="AZ40" s="52">
        <f>Model!AZ83</f>
        <v>0</v>
      </c>
      <c r="BA40" s="52">
        <f>Model!BA83</f>
        <v>0</v>
      </c>
      <c r="BB40" s="52">
        <f>Model!BB83</f>
        <v>0</v>
      </c>
      <c r="BC40" s="52">
        <f>Model!BC83</f>
        <v>0</v>
      </c>
      <c r="BD40" s="52">
        <f>Model!BD83</f>
        <v>0</v>
      </c>
      <c r="BE40" s="52">
        <f>Model!BE83</f>
        <v>0</v>
      </c>
      <c r="BF40" s="52">
        <f>Model!BF83</f>
        <v>0</v>
      </c>
      <c r="BG40" s="52">
        <f>Model!BG83</f>
        <v>0</v>
      </c>
      <c r="BH40" s="52">
        <f>Model!BH83</f>
        <v>0</v>
      </c>
      <c r="BI40" s="52">
        <f>Model!BI83</f>
        <v>0</v>
      </c>
      <c r="BJ40" s="52">
        <f>Model!BJ83</f>
        <v>0</v>
      </c>
      <c r="BK40" s="52">
        <f>Model!BK83</f>
        <v>0</v>
      </c>
      <c r="BL40" s="52">
        <f>Model!BL83</f>
        <v>0</v>
      </c>
      <c r="BM40" s="52">
        <f>Model!BM83</f>
        <v>0</v>
      </c>
      <c r="BN40" s="52">
        <f>Model!BN83</f>
        <v>0</v>
      </c>
      <c r="BO40" s="52">
        <f>Model!BO83</f>
        <v>0</v>
      </c>
      <c r="BP40" s="52">
        <f>Model!BP83</f>
        <v>0</v>
      </c>
      <c r="BQ40" s="52">
        <f>Model!BQ83</f>
        <v>0</v>
      </c>
      <c r="BR40" s="52">
        <f>Model!BR83</f>
        <v>0</v>
      </c>
      <c r="BS40" s="52">
        <f>Model!BS83</f>
        <v>0</v>
      </c>
      <c r="BT40" s="52">
        <f>Model!BT83</f>
        <v>0</v>
      </c>
      <c r="BU40" s="52">
        <f>Model!BU83</f>
        <v>0</v>
      </c>
      <c r="BV40" s="52">
        <f>Model!BV83</f>
        <v>0</v>
      </c>
      <c r="BW40" s="52">
        <f>Model!BW83</f>
        <v>0</v>
      </c>
      <c r="BX40" s="52">
        <f>Model!BX83</f>
        <v>0</v>
      </c>
      <c r="BY40" s="52">
        <f>Model!BY83</f>
        <v>-73156</v>
      </c>
      <c r="BZ40" s="52">
        <f>Model!BZ83</f>
        <v>0</v>
      </c>
      <c r="CA40" s="52">
        <f>Model!CA83</f>
        <v>0</v>
      </c>
      <c r="CB40" s="52">
        <f>Model!CB83</f>
        <v>-73155</v>
      </c>
      <c r="CC40" s="52">
        <f>Model!CC83</f>
        <v>0</v>
      </c>
      <c r="CD40" s="52">
        <f>Model!CD83</f>
        <v>0</v>
      </c>
      <c r="CE40" s="52">
        <f>Model!CE83</f>
        <v>-73155</v>
      </c>
      <c r="CF40" s="52">
        <f>Model!CF83</f>
        <v>0</v>
      </c>
      <c r="CG40" s="52">
        <f>Model!CG83</f>
        <v>0</v>
      </c>
      <c r="CH40" s="52">
        <f>Model!CH83</f>
        <v>-73155</v>
      </c>
    </row>
    <row r="41" spans="1:86" ht="15" customHeight="1" x14ac:dyDescent="0.25">
      <c r="A41" s="28" t="s">
        <v>268</v>
      </c>
      <c r="B41" s="28"/>
      <c r="C41" s="49">
        <f t="shared" ref="C41:AH41" si="36">C39+C40</f>
        <v>0</v>
      </c>
      <c r="D41" s="49">
        <f t="shared" si="36"/>
        <v>0</v>
      </c>
      <c r="E41" s="49">
        <f t="shared" si="36"/>
        <v>0</v>
      </c>
      <c r="F41" s="49">
        <f t="shared" si="36"/>
        <v>0</v>
      </c>
      <c r="G41" s="49">
        <f t="shared" si="36"/>
        <v>0</v>
      </c>
      <c r="H41" s="49">
        <f t="shared" si="36"/>
        <v>0</v>
      </c>
      <c r="I41" s="49">
        <f t="shared" si="36"/>
        <v>0</v>
      </c>
      <c r="J41" s="49">
        <f t="shared" si="36"/>
        <v>0</v>
      </c>
      <c r="K41" s="49">
        <f t="shared" si="36"/>
        <v>0</v>
      </c>
      <c r="L41" s="49">
        <f t="shared" si="36"/>
        <v>0</v>
      </c>
      <c r="M41" s="49">
        <f t="shared" si="36"/>
        <v>0</v>
      </c>
      <c r="N41" s="49">
        <f t="shared" si="36"/>
        <v>0</v>
      </c>
      <c r="O41" s="49">
        <f t="shared" si="36"/>
        <v>0</v>
      </c>
      <c r="P41" s="49">
        <f t="shared" si="36"/>
        <v>0</v>
      </c>
      <c r="Q41" s="49">
        <f t="shared" si="36"/>
        <v>0</v>
      </c>
      <c r="R41" s="49">
        <f t="shared" si="36"/>
        <v>0</v>
      </c>
      <c r="S41" s="49">
        <f t="shared" si="36"/>
        <v>0</v>
      </c>
      <c r="T41" s="49">
        <f t="shared" si="36"/>
        <v>0</v>
      </c>
      <c r="U41" s="49">
        <f t="shared" si="36"/>
        <v>0</v>
      </c>
      <c r="V41" s="49">
        <f t="shared" si="36"/>
        <v>0</v>
      </c>
      <c r="W41" s="49">
        <f t="shared" si="36"/>
        <v>0</v>
      </c>
      <c r="X41" s="49">
        <f t="shared" si="36"/>
        <v>0</v>
      </c>
      <c r="Y41" s="49">
        <f t="shared" si="36"/>
        <v>0</v>
      </c>
      <c r="Z41" s="49">
        <f t="shared" si="36"/>
        <v>0</v>
      </c>
      <c r="AA41" s="49">
        <f t="shared" si="36"/>
        <v>0</v>
      </c>
      <c r="AB41" s="49">
        <f t="shared" si="36"/>
        <v>0</v>
      </c>
      <c r="AC41" s="49">
        <f t="shared" si="36"/>
        <v>0</v>
      </c>
      <c r="AD41" s="49">
        <f t="shared" si="36"/>
        <v>0</v>
      </c>
      <c r="AE41" s="49">
        <f t="shared" si="36"/>
        <v>0</v>
      </c>
      <c r="AF41" s="49">
        <f t="shared" si="36"/>
        <v>0</v>
      </c>
      <c r="AG41" s="49">
        <f t="shared" si="36"/>
        <v>0</v>
      </c>
      <c r="AH41" s="49">
        <f t="shared" si="36"/>
        <v>0</v>
      </c>
      <c r="AI41" s="49">
        <f t="shared" ref="AI41:BN41" si="37">AI39+AI40</f>
        <v>0</v>
      </c>
      <c r="AJ41" s="49">
        <f t="shared" si="37"/>
        <v>0</v>
      </c>
      <c r="AK41" s="49">
        <f t="shared" si="37"/>
        <v>0</v>
      </c>
      <c r="AL41" s="49">
        <f t="shared" si="37"/>
        <v>0</v>
      </c>
      <c r="AM41" s="49">
        <f t="shared" si="37"/>
        <v>0</v>
      </c>
      <c r="AN41" s="49">
        <f t="shared" si="37"/>
        <v>0</v>
      </c>
      <c r="AO41" s="49">
        <f t="shared" si="37"/>
        <v>0</v>
      </c>
      <c r="AP41" s="49">
        <f t="shared" si="37"/>
        <v>0</v>
      </c>
      <c r="AQ41" s="49">
        <f t="shared" si="37"/>
        <v>0</v>
      </c>
      <c r="AR41" s="49">
        <f t="shared" si="37"/>
        <v>0</v>
      </c>
      <c r="AS41" s="49">
        <f t="shared" si="37"/>
        <v>0</v>
      </c>
      <c r="AT41" s="49">
        <f t="shared" si="37"/>
        <v>0</v>
      </c>
      <c r="AU41" s="49">
        <f t="shared" si="37"/>
        <v>0</v>
      </c>
      <c r="AV41" s="49">
        <f t="shared" si="37"/>
        <v>0</v>
      </c>
      <c r="AW41" s="49">
        <f t="shared" si="37"/>
        <v>0</v>
      </c>
      <c r="AX41" s="49">
        <f t="shared" si="37"/>
        <v>0</v>
      </c>
      <c r="AY41" s="49">
        <f t="shared" si="37"/>
        <v>0</v>
      </c>
      <c r="AZ41" s="49">
        <f t="shared" si="37"/>
        <v>0</v>
      </c>
      <c r="BA41" s="49">
        <f t="shared" si="37"/>
        <v>0</v>
      </c>
      <c r="BB41" s="49">
        <f t="shared" si="37"/>
        <v>0</v>
      </c>
      <c r="BC41" s="49">
        <f t="shared" si="37"/>
        <v>0</v>
      </c>
      <c r="BD41" s="49">
        <f t="shared" si="37"/>
        <v>0</v>
      </c>
      <c r="BE41" s="49">
        <f t="shared" si="37"/>
        <v>0</v>
      </c>
      <c r="BF41" s="49">
        <f t="shared" si="37"/>
        <v>0</v>
      </c>
      <c r="BG41" s="49">
        <f t="shared" si="37"/>
        <v>0</v>
      </c>
      <c r="BH41" s="49">
        <f t="shared" si="37"/>
        <v>0</v>
      </c>
      <c r="BI41" s="49">
        <f t="shared" si="37"/>
        <v>0</v>
      </c>
      <c r="BJ41" s="49">
        <f t="shared" si="37"/>
        <v>0</v>
      </c>
      <c r="BK41" s="49">
        <f t="shared" si="37"/>
        <v>0</v>
      </c>
      <c r="BL41" s="49">
        <f t="shared" si="37"/>
        <v>0</v>
      </c>
      <c r="BM41" s="49">
        <f t="shared" si="37"/>
        <v>0</v>
      </c>
      <c r="BN41" s="49">
        <f t="shared" si="37"/>
        <v>0</v>
      </c>
      <c r="BO41" s="49">
        <f t="shared" ref="BO41:CT41" si="38">BO39+BO40</f>
        <v>0</v>
      </c>
      <c r="BP41" s="49">
        <f t="shared" si="38"/>
        <v>0</v>
      </c>
      <c r="BQ41" s="49">
        <f t="shared" si="38"/>
        <v>0</v>
      </c>
      <c r="BR41" s="49">
        <f t="shared" si="38"/>
        <v>0</v>
      </c>
      <c r="BS41" s="49">
        <f t="shared" si="38"/>
        <v>0</v>
      </c>
      <c r="BT41" s="49">
        <f t="shared" si="38"/>
        <v>0</v>
      </c>
      <c r="BU41" s="49">
        <f t="shared" si="38"/>
        <v>0</v>
      </c>
      <c r="BV41" s="49">
        <f t="shared" si="38"/>
        <v>0</v>
      </c>
      <c r="BW41" s="49">
        <f t="shared" si="38"/>
        <v>0</v>
      </c>
      <c r="BX41" s="49">
        <f t="shared" si="38"/>
        <v>0</v>
      </c>
      <c r="BY41" s="49">
        <f t="shared" si="38"/>
        <v>-73156</v>
      </c>
      <c r="BZ41" s="49">
        <f t="shared" si="38"/>
        <v>0</v>
      </c>
      <c r="CA41" s="49">
        <f t="shared" si="38"/>
        <v>0</v>
      </c>
      <c r="CB41" s="49">
        <f t="shared" si="38"/>
        <v>-73155</v>
      </c>
      <c r="CC41" s="49">
        <f t="shared" si="38"/>
        <v>0</v>
      </c>
      <c r="CD41" s="49">
        <f t="shared" si="38"/>
        <v>0</v>
      </c>
      <c r="CE41" s="49">
        <f t="shared" si="38"/>
        <v>-73155</v>
      </c>
      <c r="CF41" s="49">
        <f t="shared" si="38"/>
        <v>0</v>
      </c>
      <c r="CG41" s="49">
        <f t="shared" si="38"/>
        <v>0</v>
      </c>
      <c r="CH41" s="49">
        <f t="shared" si="38"/>
        <v>-73155</v>
      </c>
    </row>
    <row r="42" spans="1:86" ht="15" customHeight="1" x14ac:dyDescent="0.25">
      <c r="A42" s="42" t="s">
        <v>269</v>
      </c>
      <c r="B42" s="1"/>
      <c r="C42" s="50">
        <f>C41</f>
        <v>0</v>
      </c>
      <c r="D42" s="50">
        <f t="shared" ref="D42:AI42" si="39">C42+D41</f>
        <v>0</v>
      </c>
      <c r="E42" s="50">
        <f t="shared" si="39"/>
        <v>0</v>
      </c>
      <c r="F42" s="50">
        <f t="shared" si="39"/>
        <v>0</v>
      </c>
      <c r="G42" s="50">
        <f t="shared" si="39"/>
        <v>0</v>
      </c>
      <c r="H42" s="50">
        <f t="shared" si="39"/>
        <v>0</v>
      </c>
      <c r="I42" s="50">
        <f t="shared" si="39"/>
        <v>0</v>
      </c>
      <c r="J42" s="50">
        <f t="shared" si="39"/>
        <v>0</v>
      </c>
      <c r="K42" s="50">
        <f t="shared" si="39"/>
        <v>0</v>
      </c>
      <c r="L42" s="50">
        <f t="shared" si="39"/>
        <v>0</v>
      </c>
      <c r="M42" s="50">
        <f t="shared" si="39"/>
        <v>0</v>
      </c>
      <c r="N42" s="50">
        <f t="shared" si="39"/>
        <v>0</v>
      </c>
      <c r="O42" s="50">
        <f t="shared" si="39"/>
        <v>0</v>
      </c>
      <c r="P42" s="50">
        <f t="shared" si="39"/>
        <v>0</v>
      </c>
      <c r="Q42" s="50">
        <f t="shared" si="39"/>
        <v>0</v>
      </c>
      <c r="R42" s="50">
        <f t="shared" si="39"/>
        <v>0</v>
      </c>
      <c r="S42" s="50">
        <f t="shared" si="39"/>
        <v>0</v>
      </c>
      <c r="T42" s="50">
        <f t="shared" si="39"/>
        <v>0</v>
      </c>
      <c r="U42" s="50">
        <f t="shared" si="39"/>
        <v>0</v>
      </c>
      <c r="V42" s="50">
        <f t="shared" si="39"/>
        <v>0</v>
      </c>
      <c r="W42" s="50">
        <f t="shared" si="39"/>
        <v>0</v>
      </c>
      <c r="X42" s="50">
        <f t="shared" si="39"/>
        <v>0</v>
      </c>
      <c r="Y42" s="50">
        <f t="shared" si="39"/>
        <v>0</v>
      </c>
      <c r="Z42" s="50">
        <f t="shared" si="39"/>
        <v>0</v>
      </c>
      <c r="AA42" s="50">
        <f t="shared" si="39"/>
        <v>0</v>
      </c>
      <c r="AB42" s="50">
        <f t="shared" si="39"/>
        <v>0</v>
      </c>
      <c r="AC42" s="50">
        <f t="shared" si="39"/>
        <v>0</v>
      </c>
      <c r="AD42" s="50">
        <f t="shared" si="39"/>
        <v>0</v>
      </c>
      <c r="AE42" s="50">
        <f t="shared" si="39"/>
        <v>0</v>
      </c>
      <c r="AF42" s="50">
        <f t="shared" si="39"/>
        <v>0</v>
      </c>
      <c r="AG42" s="50">
        <f t="shared" si="39"/>
        <v>0</v>
      </c>
      <c r="AH42" s="50">
        <f t="shared" si="39"/>
        <v>0</v>
      </c>
      <c r="AI42" s="50">
        <f t="shared" si="39"/>
        <v>0</v>
      </c>
      <c r="AJ42" s="50">
        <f t="shared" ref="AJ42:BO42" si="40">AI42+AJ41</f>
        <v>0</v>
      </c>
      <c r="AK42" s="50">
        <f t="shared" si="40"/>
        <v>0</v>
      </c>
      <c r="AL42" s="50">
        <f t="shared" si="40"/>
        <v>0</v>
      </c>
      <c r="AM42" s="50">
        <f t="shared" si="40"/>
        <v>0</v>
      </c>
      <c r="AN42" s="50">
        <f t="shared" si="40"/>
        <v>0</v>
      </c>
      <c r="AO42" s="50">
        <f t="shared" si="40"/>
        <v>0</v>
      </c>
      <c r="AP42" s="50">
        <f t="shared" si="40"/>
        <v>0</v>
      </c>
      <c r="AQ42" s="50">
        <f t="shared" si="40"/>
        <v>0</v>
      </c>
      <c r="AR42" s="50">
        <f t="shared" si="40"/>
        <v>0</v>
      </c>
      <c r="AS42" s="50">
        <f t="shared" si="40"/>
        <v>0</v>
      </c>
      <c r="AT42" s="50">
        <f t="shared" si="40"/>
        <v>0</v>
      </c>
      <c r="AU42" s="50">
        <f t="shared" si="40"/>
        <v>0</v>
      </c>
      <c r="AV42" s="50">
        <f t="shared" si="40"/>
        <v>0</v>
      </c>
      <c r="AW42" s="50">
        <f t="shared" si="40"/>
        <v>0</v>
      </c>
      <c r="AX42" s="50">
        <f t="shared" si="40"/>
        <v>0</v>
      </c>
      <c r="AY42" s="50">
        <f t="shared" si="40"/>
        <v>0</v>
      </c>
      <c r="AZ42" s="50">
        <f t="shared" si="40"/>
        <v>0</v>
      </c>
      <c r="BA42" s="50">
        <f t="shared" si="40"/>
        <v>0</v>
      </c>
      <c r="BB42" s="50">
        <f t="shared" si="40"/>
        <v>0</v>
      </c>
      <c r="BC42" s="50">
        <f t="shared" si="40"/>
        <v>0</v>
      </c>
      <c r="BD42" s="50">
        <f t="shared" si="40"/>
        <v>0</v>
      </c>
      <c r="BE42" s="50">
        <f t="shared" si="40"/>
        <v>0</v>
      </c>
      <c r="BF42" s="50">
        <f t="shared" si="40"/>
        <v>0</v>
      </c>
      <c r="BG42" s="50">
        <f t="shared" si="40"/>
        <v>0</v>
      </c>
      <c r="BH42" s="50">
        <f t="shared" si="40"/>
        <v>0</v>
      </c>
      <c r="BI42" s="50">
        <f t="shared" si="40"/>
        <v>0</v>
      </c>
      <c r="BJ42" s="50">
        <f t="shared" si="40"/>
        <v>0</v>
      </c>
      <c r="BK42" s="50">
        <f t="shared" si="40"/>
        <v>0</v>
      </c>
      <c r="BL42" s="50">
        <f t="shared" si="40"/>
        <v>0</v>
      </c>
      <c r="BM42" s="50">
        <f t="shared" si="40"/>
        <v>0</v>
      </c>
      <c r="BN42" s="50">
        <f t="shared" si="40"/>
        <v>0</v>
      </c>
      <c r="BO42" s="50">
        <f t="shared" si="40"/>
        <v>0</v>
      </c>
      <c r="BP42" s="50">
        <f t="shared" ref="BP42:CU42" si="41">BO42+BP41</f>
        <v>0</v>
      </c>
      <c r="BQ42" s="50">
        <f t="shared" si="41"/>
        <v>0</v>
      </c>
      <c r="BR42" s="50">
        <f t="shared" si="41"/>
        <v>0</v>
      </c>
      <c r="BS42" s="50">
        <f t="shared" si="41"/>
        <v>0</v>
      </c>
      <c r="BT42" s="50">
        <f t="shared" si="41"/>
        <v>0</v>
      </c>
      <c r="BU42" s="50">
        <f t="shared" si="41"/>
        <v>0</v>
      </c>
      <c r="BV42" s="50">
        <f t="shared" si="41"/>
        <v>0</v>
      </c>
      <c r="BW42" s="50">
        <f t="shared" si="41"/>
        <v>0</v>
      </c>
      <c r="BX42" s="50">
        <f t="shared" si="41"/>
        <v>0</v>
      </c>
      <c r="BY42" s="50">
        <f t="shared" si="41"/>
        <v>-73156</v>
      </c>
      <c r="BZ42" s="50">
        <f t="shared" si="41"/>
        <v>-73156</v>
      </c>
      <c r="CA42" s="50">
        <f t="shared" si="41"/>
        <v>-73156</v>
      </c>
      <c r="CB42" s="50">
        <f t="shared" si="41"/>
        <v>-146311</v>
      </c>
      <c r="CC42" s="50">
        <f t="shared" si="41"/>
        <v>-146311</v>
      </c>
      <c r="CD42" s="50">
        <f t="shared" si="41"/>
        <v>-146311</v>
      </c>
      <c r="CE42" s="50">
        <f t="shared" si="41"/>
        <v>-219466</v>
      </c>
      <c r="CF42" s="50">
        <f t="shared" si="41"/>
        <v>-219466</v>
      </c>
      <c r="CG42" s="50">
        <f t="shared" si="41"/>
        <v>-219466</v>
      </c>
      <c r="CH42" s="50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272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273</v>
      </c>
      <c r="B45" s="28"/>
      <c r="C45" s="49">
        <f t="shared" ref="C45:AH45" si="42">C5+C10+C16+C22+C28+C35+C41</f>
        <v>33281.25</v>
      </c>
      <c r="D45" s="49">
        <f t="shared" si="42"/>
        <v>33281.25</v>
      </c>
      <c r="E45" s="49">
        <f t="shared" si="42"/>
        <v>33281.25</v>
      </c>
      <c r="F45" s="49">
        <f t="shared" si="42"/>
        <v>33281.25</v>
      </c>
      <c r="G45" s="49">
        <f t="shared" si="42"/>
        <v>144121.83000000002</v>
      </c>
      <c r="H45" s="49">
        <f t="shared" si="42"/>
        <v>103258.46</v>
      </c>
      <c r="I45" s="49">
        <f t="shared" si="42"/>
        <v>56965.460000000006</v>
      </c>
      <c r="J45" s="49">
        <f t="shared" si="42"/>
        <v>47590.460000000006</v>
      </c>
      <c r="K45" s="49">
        <f t="shared" si="42"/>
        <v>47590.460000000006</v>
      </c>
      <c r="L45" s="49">
        <f t="shared" si="42"/>
        <v>47590.460000000006</v>
      </c>
      <c r="M45" s="49">
        <f t="shared" si="42"/>
        <v>47590.460000000006</v>
      </c>
      <c r="N45" s="49">
        <f t="shared" si="42"/>
        <v>47590.460000000006</v>
      </c>
      <c r="O45" s="49">
        <f t="shared" si="42"/>
        <v>47590.460000000006</v>
      </c>
      <c r="P45" s="49">
        <f t="shared" si="42"/>
        <v>47590.460000000006</v>
      </c>
      <c r="Q45" s="49">
        <f t="shared" si="42"/>
        <v>47590.460000000006</v>
      </c>
      <c r="R45" s="49">
        <f t="shared" si="42"/>
        <v>23684.21</v>
      </c>
      <c r="S45" s="49">
        <f t="shared" si="42"/>
        <v>23684.21</v>
      </c>
      <c r="T45" s="49">
        <f t="shared" si="42"/>
        <v>23684.21</v>
      </c>
      <c r="U45" s="49">
        <f t="shared" si="42"/>
        <v>23684.21</v>
      </c>
      <c r="V45" s="49">
        <f t="shared" si="42"/>
        <v>23684.21</v>
      </c>
      <c r="W45" s="49">
        <f t="shared" si="42"/>
        <v>81059.210000000006</v>
      </c>
      <c r="X45" s="49">
        <f t="shared" si="42"/>
        <v>23684.21</v>
      </c>
      <c r="Y45" s="49">
        <f t="shared" si="42"/>
        <v>23684.21</v>
      </c>
      <c r="Z45" s="49">
        <f t="shared" si="42"/>
        <v>68427.63</v>
      </c>
      <c r="AA45" s="49">
        <f t="shared" si="42"/>
        <v>0</v>
      </c>
      <c r="AB45" s="49">
        <f t="shared" si="42"/>
        <v>0</v>
      </c>
      <c r="AC45" s="49">
        <f t="shared" si="42"/>
        <v>57375</v>
      </c>
      <c r="AD45" s="49">
        <f t="shared" si="42"/>
        <v>0</v>
      </c>
      <c r="AE45" s="49">
        <f t="shared" si="42"/>
        <v>0</v>
      </c>
      <c r="AF45" s="49">
        <f t="shared" si="42"/>
        <v>0</v>
      </c>
      <c r="AG45" s="49">
        <f t="shared" si="42"/>
        <v>0</v>
      </c>
      <c r="AH45" s="49">
        <f t="shared" si="42"/>
        <v>0</v>
      </c>
      <c r="AI45" s="49">
        <f t="shared" ref="AI45:BN45" si="43">AI5+AI10+AI16+AI22+AI28+AI35+AI41</f>
        <v>0</v>
      </c>
      <c r="AJ45" s="49">
        <f t="shared" si="43"/>
        <v>0</v>
      </c>
      <c r="AK45" s="49">
        <f t="shared" si="43"/>
        <v>0</v>
      </c>
      <c r="AL45" s="49">
        <f t="shared" si="43"/>
        <v>0</v>
      </c>
      <c r="AM45" s="49">
        <f t="shared" si="43"/>
        <v>0</v>
      </c>
      <c r="AN45" s="49">
        <f t="shared" si="43"/>
        <v>0</v>
      </c>
      <c r="AO45" s="49">
        <f t="shared" si="43"/>
        <v>0</v>
      </c>
      <c r="AP45" s="49">
        <f t="shared" si="43"/>
        <v>0</v>
      </c>
      <c r="AQ45" s="49">
        <f t="shared" si="43"/>
        <v>0</v>
      </c>
      <c r="AR45" s="49">
        <f t="shared" si="43"/>
        <v>0</v>
      </c>
      <c r="AS45" s="49">
        <f t="shared" si="43"/>
        <v>0</v>
      </c>
      <c r="AT45" s="49">
        <f t="shared" si="43"/>
        <v>0</v>
      </c>
      <c r="AU45" s="49">
        <f t="shared" si="43"/>
        <v>0</v>
      </c>
      <c r="AV45" s="49">
        <f t="shared" si="43"/>
        <v>0</v>
      </c>
      <c r="AW45" s="49">
        <f t="shared" si="43"/>
        <v>0</v>
      </c>
      <c r="AX45" s="49">
        <f t="shared" si="43"/>
        <v>0</v>
      </c>
      <c r="AY45" s="49">
        <f t="shared" si="43"/>
        <v>0</v>
      </c>
      <c r="AZ45" s="49">
        <f t="shared" si="43"/>
        <v>0</v>
      </c>
      <c r="BA45" s="49">
        <f t="shared" si="43"/>
        <v>0</v>
      </c>
      <c r="BB45" s="49">
        <f t="shared" si="43"/>
        <v>0</v>
      </c>
      <c r="BC45" s="49">
        <f t="shared" si="43"/>
        <v>0</v>
      </c>
      <c r="BD45" s="49">
        <f t="shared" si="43"/>
        <v>0</v>
      </c>
      <c r="BE45" s="49">
        <f t="shared" si="43"/>
        <v>0</v>
      </c>
      <c r="BF45" s="49">
        <f t="shared" si="43"/>
        <v>0</v>
      </c>
      <c r="BG45" s="49">
        <f t="shared" si="43"/>
        <v>0</v>
      </c>
      <c r="BH45" s="49">
        <f t="shared" si="43"/>
        <v>0</v>
      </c>
      <c r="BI45" s="49">
        <f t="shared" si="43"/>
        <v>0</v>
      </c>
      <c r="BJ45" s="49">
        <f t="shared" si="43"/>
        <v>0</v>
      </c>
      <c r="BK45" s="49">
        <f t="shared" si="43"/>
        <v>0</v>
      </c>
      <c r="BL45" s="49">
        <f t="shared" si="43"/>
        <v>0</v>
      </c>
      <c r="BM45" s="49">
        <f t="shared" si="43"/>
        <v>0</v>
      </c>
      <c r="BN45" s="49">
        <f t="shared" si="43"/>
        <v>0</v>
      </c>
      <c r="BO45" s="49">
        <f t="shared" ref="BO45:CH45" si="44">BO5+BO10+BO16+BO22+BO28+BO35+BO41</f>
        <v>0</v>
      </c>
      <c r="BP45" s="49">
        <f t="shared" si="44"/>
        <v>51513.520000000019</v>
      </c>
      <c r="BQ45" s="49">
        <f t="shared" si="44"/>
        <v>0</v>
      </c>
      <c r="BR45" s="49">
        <f t="shared" si="44"/>
        <v>0</v>
      </c>
      <c r="BS45" s="49">
        <f t="shared" si="44"/>
        <v>67762</v>
      </c>
      <c r="BT45" s="49">
        <f t="shared" si="44"/>
        <v>0</v>
      </c>
      <c r="BU45" s="49">
        <f t="shared" si="44"/>
        <v>0</v>
      </c>
      <c r="BV45" s="49">
        <f t="shared" si="44"/>
        <v>67762</v>
      </c>
      <c r="BW45" s="49">
        <f t="shared" si="44"/>
        <v>0</v>
      </c>
      <c r="BX45" s="49">
        <f t="shared" si="44"/>
        <v>0</v>
      </c>
      <c r="BY45" s="49">
        <f t="shared" si="44"/>
        <v>-5394</v>
      </c>
      <c r="BZ45" s="49">
        <f t="shared" si="44"/>
        <v>0</v>
      </c>
      <c r="CA45" s="49">
        <f t="shared" si="44"/>
        <v>0</v>
      </c>
      <c r="CB45" s="49">
        <f t="shared" si="44"/>
        <v>3344</v>
      </c>
      <c r="CC45" s="49">
        <f t="shared" si="44"/>
        <v>0</v>
      </c>
      <c r="CD45" s="49">
        <f t="shared" si="44"/>
        <v>0</v>
      </c>
      <c r="CE45" s="49">
        <f t="shared" si="44"/>
        <v>3344</v>
      </c>
      <c r="CF45" s="49">
        <f t="shared" si="44"/>
        <v>0</v>
      </c>
      <c r="CG45" s="49">
        <f t="shared" si="44"/>
        <v>0</v>
      </c>
      <c r="CH45" s="49">
        <f t="shared" si="44"/>
        <v>9952.0266064792231</v>
      </c>
    </row>
    <row r="46" spans="1:86" ht="15" customHeight="1" x14ac:dyDescent="0.25">
      <c r="A46" s="53" t="s">
        <v>274</v>
      </c>
      <c r="B46" s="1"/>
      <c r="C46" s="50">
        <f>C45</f>
        <v>33281.25</v>
      </c>
      <c r="D46" s="50">
        <f t="shared" ref="D46:AI46" si="45">C46+D45</f>
        <v>66562.5</v>
      </c>
      <c r="E46" s="50">
        <f t="shared" si="45"/>
        <v>99843.75</v>
      </c>
      <c r="F46" s="50">
        <f t="shared" si="45"/>
        <v>133125</v>
      </c>
      <c r="G46" s="50">
        <f t="shared" si="45"/>
        <v>277246.83</v>
      </c>
      <c r="H46" s="50">
        <f t="shared" si="45"/>
        <v>380505.29000000004</v>
      </c>
      <c r="I46" s="50">
        <f t="shared" si="45"/>
        <v>437470.75000000006</v>
      </c>
      <c r="J46" s="50">
        <f t="shared" si="45"/>
        <v>485061.21000000008</v>
      </c>
      <c r="K46" s="50">
        <f t="shared" si="45"/>
        <v>532651.67000000004</v>
      </c>
      <c r="L46" s="50">
        <f t="shared" si="45"/>
        <v>580242.13</v>
      </c>
      <c r="M46" s="50">
        <f t="shared" si="45"/>
        <v>627832.59</v>
      </c>
      <c r="N46" s="50">
        <f t="shared" si="45"/>
        <v>675423.04999999993</v>
      </c>
      <c r="O46" s="50">
        <f t="shared" si="45"/>
        <v>723013.50999999989</v>
      </c>
      <c r="P46" s="50">
        <f t="shared" si="45"/>
        <v>770603.96999999986</v>
      </c>
      <c r="Q46" s="50">
        <f t="shared" si="45"/>
        <v>818194.42999999982</v>
      </c>
      <c r="R46" s="50">
        <f t="shared" si="45"/>
        <v>841878.63999999978</v>
      </c>
      <c r="S46" s="50">
        <f t="shared" si="45"/>
        <v>865562.84999999974</v>
      </c>
      <c r="T46" s="50">
        <f t="shared" si="45"/>
        <v>889247.05999999971</v>
      </c>
      <c r="U46" s="50">
        <f t="shared" si="45"/>
        <v>912931.26999999967</v>
      </c>
      <c r="V46" s="50">
        <f t="shared" si="45"/>
        <v>936615.47999999963</v>
      </c>
      <c r="W46" s="50">
        <f t="shared" si="45"/>
        <v>1017674.6899999996</v>
      </c>
      <c r="X46" s="50">
        <f t="shared" si="45"/>
        <v>1041358.8999999996</v>
      </c>
      <c r="Y46" s="50">
        <f t="shared" si="45"/>
        <v>1065043.1099999996</v>
      </c>
      <c r="Z46" s="50">
        <f t="shared" si="45"/>
        <v>1133470.7399999998</v>
      </c>
      <c r="AA46" s="50">
        <f t="shared" si="45"/>
        <v>1133470.7399999998</v>
      </c>
      <c r="AB46" s="50">
        <f t="shared" si="45"/>
        <v>1133470.7399999998</v>
      </c>
      <c r="AC46" s="50">
        <f t="shared" si="45"/>
        <v>1190845.7399999998</v>
      </c>
      <c r="AD46" s="50">
        <f t="shared" si="45"/>
        <v>1190845.7399999998</v>
      </c>
      <c r="AE46" s="50">
        <f t="shared" si="45"/>
        <v>1190845.7399999998</v>
      </c>
      <c r="AF46" s="50">
        <f t="shared" si="45"/>
        <v>1190845.7399999998</v>
      </c>
      <c r="AG46" s="50">
        <f t="shared" si="45"/>
        <v>1190845.7399999998</v>
      </c>
      <c r="AH46" s="50">
        <f t="shared" si="45"/>
        <v>1190845.7399999998</v>
      </c>
      <c r="AI46" s="50">
        <f t="shared" si="45"/>
        <v>1190845.7399999998</v>
      </c>
      <c r="AJ46" s="50">
        <f t="shared" ref="AJ46:BO46" si="46">AI46+AJ45</f>
        <v>1190845.7399999998</v>
      </c>
      <c r="AK46" s="50">
        <f t="shared" si="46"/>
        <v>1190845.7399999998</v>
      </c>
      <c r="AL46" s="50">
        <f t="shared" si="46"/>
        <v>1190845.7399999998</v>
      </c>
      <c r="AM46" s="50">
        <f t="shared" si="46"/>
        <v>1190845.7399999998</v>
      </c>
      <c r="AN46" s="50">
        <f t="shared" si="46"/>
        <v>1190845.7399999998</v>
      </c>
      <c r="AO46" s="50">
        <f t="shared" si="46"/>
        <v>1190845.7399999998</v>
      </c>
      <c r="AP46" s="50">
        <f t="shared" si="46"/>
        <v>1190845.7399999998</v>
      </c>
      <c r="AQ46" s="50">
        <f t="shared" si="46"/>
        <v>1190845.7399999998</v>
      </c>
      <c r="AR46" s="50">
        <f t="shared" si="46"/>
        <v>1190845.7399999998</v>
      </c>
      <c r="AS46" s="50">
        <f t="shared" si="46"/>
        <v>1190845.7399999998</v>
      </c>
      <c r="AT46" s="50">
        <f t="shared" si="46"/>
        <v>1190845.7399999998</v>
      </c>
      <c r="AU46" s="50">
        <f t="shared" si="46"/>
        <v>1190845.7399999998</v>
      </c>
      <c r="AV46" s="50">
        <f t="shared" si="46"/>
        <v>1190845.7399999998</v>
      </c>
      <c r="AW46" s="50">
        <f t="shared" si="46"/>
        <v>1190845.7399999998</v>
      </c>
      <c r="AX46" s="50">
        <f t="shared" si="46"/>
        <v>1190845.7399999998</v>
      </c>
      <c r="AY46" s="50">
        <f t="shared" si="46"/>
        <v>1190845.7399999998</v>
      </c>
      <c r="AZ46" s="50">
        <f t="shared" si="46"/>
        <v>1190845.7399999998</v>
      </c>
      <c r="BA46" s="50">
        <f t="shared" si="46"/>
        <v>1190845.7399999998</v>
      </c>
      <c r="BB46" s="50">
        <f t="shared" si="46"/>
        <v>1190845.7399999998</v>
      </c>
      <c r="BC46" s="50">
        <f t="shared" si="46"/>
        <v>1190845.7399999998</v>
      </c>
      <c r="BD46" s="50">
        <f t="shared" si="46"/>
        <v>1190845.7399999998</v>
      </c>
      <c r="BE46" s="50">
        <f t="shared" si="46"/>
        <v>1190845.7399999998</v>
      </c>
      <c r="BF46" s="50">
        <f t="shared" si="46"/>
        <v>1190845.7399999998</v>
      </c>
      <c r="BG46" s="50">
        <f t="shared" si="46"/>
        <v>1190845.7399999998</v>
      </c>
      <c r="BH46" s="50">
        <f t="shared" si="46"/>
        <v>1190845.7399999998</v>
      </c>
      <c r="BI46" s="50">
        <f t="shared" si="46"/>
        <v>1190845.7399999998</v>
      </c>
      <c r="BJ46" s="50">
        <f t="shared" si="46"/>
        <v>1190845.7399999998</v>
      </c>
      <c r="BK46" s="50">
        <f t="shared" si="46"/>
        <v>1190845.7399999998</v>
      </c>
      <c r="BL46" s="50">
        <f t="shared" si="46"/>
        <v>1190845.7399999998</v>
      </c>
      <c r="BM46" s="50">
        <f t="shared" si="46"/>
        <v>1190845.7399999998</v>
      </c>
      <c r="BN46" s="50">
        <f t="shared" si="46"/>
        <v>1190845.7399999998</v>
      </c>
      <c r="BO46" s="50">
        <f t="shared" si="46"/>
        <v>1190845.7399999998</v>
      </c>
      <c r="BP46" s="50">
        <f t="shared" ref="BP46:CU46" si="47">BO46+BP45</f>
        <v>1242359.2599999998</v>
      </c>
      <c r="BQ46" s="50">
        <f t="shared" si="47"/>
        <v>1242359.2599999998</v>
      </c>
      <c r="BR46" s="50">
        <f t="shared" si="47"/>
        <v>1242359.2599999998</v>
      </c>
      <c r="BS46" s="50">
        <f t="shared" si="47"/>
        <v>1310121.2599999998</v>
      </c>
      <c r="BT46" s="50">
        <f t="shared" si="47"/>
        <v>1310121.2599999998</v>
      </c>
      <c r="BU46" s="50">
        <f t="shared" si="47"/>
        <v>1310121.2599999998</v>
      </c>
      <c r="BV46" s="50">
        <f t="shared" si="47"/>
        <v>1377883.2599999998</v>
      </c>
      <c r="BW46" s="50">
        <f t="shared" si="47"/>
        <v>1377883.2599999998</v>
      </c>
      <c r="BX46" s="50">
        <f t="shared" si="47"/>
        <v>1377883.2599999998</v>
      </c>
      <c r="BY46" s="50">
        <f t="shared" si="47"/>
        <v>1372489.2599999998</v>
      </c>
      <c r="BZ46" s="50">
        <f t="shared" si="47"/>
        <v>1372489.2599999998</v>
      </c>
      <c r="CA46" s="50">
        <f t="shared" si="47"/>
        <v>1372489.2599999998</v>
      </c>
      <c r="CB46" s="50">
        <f t="shared" si="47"/>
        <v>1375833.2599999998</v>
      </c>
      <c r="CC46" s="50">
        <f t="shared" si="47"/>
        <v>1375833.2599999998</v>
      </c>
      <c r="CD46" s="50">
        <f t="shared" si="47"/>
        <v>1375833.2599999998</v>
      </c>
      <c r="CE46" s="50">
        <f t="shared" si="47"/>
        <v>1379177.2599999998</v>
      </c>
      <c r="CF46" s="50">
        <f t="shared" si="47"/>
        <v>1379177.2599999998</v>
      </c>
      <c r="CG46" s="50">
        <f t="shared" si="47"/>
        <v>1379177.2599999998</v>
      </c>
      <c r="CH46" s="50">
        <f t="shared" si="47"/>
        <v>1389129.286606479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42" t="s">
        <v>275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276</v>
      </c>
      <c r="B49" s="54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277</v>
      </c>
      <c r="B50" s="54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278</v>
      </c>
      <c r="B51" s="54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279</v>
      </c>
      <c r="B52" s="54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280</v>
      </c>
      <c r="B53" s="54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281</v>
      </c>
      <c r="B54" s="54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282</v>
      </c>
      <c r="B55" s="55" t="s">
        <v>283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42" t="s">
        <v>284</v>
      </c>
      <c r="B56" s="56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180" t="s">
        <v>285</v>
      </c>
      <c r="B1" s="181"/>
      <c r="C1" s="181"/>
      <c r="D1" s="181"/>
      <c r="E1" s="181"/>
      <c r="F1" s="181"/>
      <c r="G1" s="181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286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287</v>
      </c>
      <c r="B4" s="6" t="s">
        <v>288</v>
      </c>
      <c r="C4" s="6" t="s">
        <v>289</v>
      </c>
      <c r="D4" s="6" t="s">
        <v>290</v>
      </c>
      <c r="E4" s="6" t="s">
        <v>291</v>
      </c>
      <c r="F4" s="6" t="s">
        <v>292</v>
      </c>
      <c r="G4" s="6" t="s">
        <v>293</v>
      </c>
      <c r="H4" s="1"/>
      <c r="I4" s="1"/>
    </row>
    <row r="5" spans="1:9" ht="15" customHeight="1" x14ac:dyDescent="0.25">
      <c r="A5" s="16" t="s">
        <v>294</v>
      </c>
      <c r="B5" s="57">
        <f>Assumptions!B4</f>
        <v>0.06</v>
      </c>
      <c r="C5" s="58">
        <v>0.06</v>
      </c>
      <c r="D5" s="59">
        <v>0.04</v>
      </c>
      <c r="E5" s="59">
        <v>0.08</v>
      </c>
      <c r="F5" s="16" t="s">
        <v>295</v>
      </c>
      <c r="G5" s="43" t="s">
        <v>296</v>
      </c>
      <c r="H5" s="1"/>
      <c r="I5" s="1"/>
    </row>
    <row r="6" spans="1:9" ht="15" customHeight="1" x14ac:dyDescent="0.25">
      <c r="A6" s="16" t="s">
        <v>297</v>
      </c>
      <c r="B6" s="57">
        <f>Assumptions!B5</f>
        <v>0.06</v>
      </c>
      <c r="C6" s="58">
        <v>0.06</v>
      </c>
      <c r="D6" s="59">
        <v>0.04</v>
      </c>
      <c r="E6" s="59">
        <v>0.08</v>
      </c>
      <c r="F6" s="16" t="s">
        <v>295</v>
      </c>
      <c r="G6" s="43" t="s">
        <v>296</v>
      </c>
      <c r="H6" s="1"/>
      <c r="I6" s="1"/>
    </row>
    <row r="7" spans="1:9" ht="15" customHeight="1" x14ac:dyDescent="0.25">
      <c r="A7" s="16" t="s">
        <v>298</v>
      </c>
      <c r="B7" s="57">
        <f>Assumptions!B6</f>
        <v>0.02</v>
      </c>
      <c r="C7" s="58">
        <v>0.02</v>
      </c>
      <c r="D7" s="59">
        <v>0.01</v>
      </c>
      <c r="E7" s="59">
        <v>0.03</v>
      </c>
      <c r="F7" s="16" t="s">
        <v>295</v>
      </c>
      <c r="G7" s="43" t="s">
        <v>299</v>
      </c>
      <c r="H7" s="1"/>
      <c r="I7" s="1"/>
    </row>
    <row r="8" spans="1:9" ht="15" customHeight="1" x14ac:dyDescent="0.25">
      <c r="A8" s="16" t="s">
        <v>300</v>
      </c>
      <c r="B8" s="57">
        <f>Assumptions!B8</f>
        <v>9.1999999999999998E-2</v>
      </c>
      <c r="C8" s="58">
        <v>9.1999999999999998E-2</v>
      </c>
      <c r="D8" s="59">
        <v>7.0000000000000007E-2</v>
      </c>
      <c r="E8" s="59">
        <v>0.12</v>
      </c>
      <c r="F8" s="16" t="s">
        <v>295</v>
      </c>
      <c r="G8" s="43" t="s">
        <v>301</v>
      </c>
      <c r="H8" s="1"/>
      <c r="I8" s="1"/>
    </row>
    <row r="9" spans="1:9" ht="15" customHeight="1" x14ac:dyDescent="0.25">
      <c r="A9" s="16" t="s">
        <v>302</v>
      </c>
      <c r="B9" s="57">
        <f>Assumptions!B26</f>
        <v>0.02</v>
      </c>
      <c r="C9" s="58">
        <v>0.02</v>
      </c>
      <c r="D9" s="59">
        <v>0</v>
      </c>
      <c r="E9" s="59">
        <v>0.04</v>
      </c>
      <c r="F9" s="16" t="s">
        <v>295</v>
      </c>
      <c r="G9" s="43" t="s">
        <v>303</v>
      </c>
      <c r="H9" s="1"/>
      <c r="I9" s="1"/>
    </row>
    <row r="10" spans="1:9" ht="15" customHeight="1" x14ac:dyDescent="0.25">
      <c r="A10" s="16" t="s">
        <v>304</v>
      </c>
      <c r="B10" s="57">
        <f>Assumptions!B15</f>
        <v>1.4999999999999999E-2</v>
      </c>
      <c r="C10" s="58">
        <v>1.4999999999999999E-2</v>
      </c>
      <c r="D10" s="59">
        <v>0.01</v>
      </c>
      <c r="E10" s="59">
        <v>0.02</v>
      </c>
      <c r="F10" s="16" t="s">
        <v>295</v>
      </c>
      <c r="G10" s="43" t="s">
        <v>305</v>
      </c>
      <c r="H10" s="1"/>
      <c r="I10" s="1"/>
    </row>
    <row r="11" spans="1:9" ht="15" customHeight="1" x14ac:dyDescent="0.25">
      <c r="A11" s="16" t="s">
        <v>306</v>
      </c>
      <c r="B11" s="57">
        <f>Assumptions!B16</f>
        <v>7.4000000000000003E-3</v>
      </c>
      <c r="C11" s="58">
        <v>7.4000000000000003E-3</v>
      </c>
      <c r="D11" s="59">
        <v>5.0000000000000001E-3</v>
      </c>
      <c r="E11" s="59">
        <v>1.4999999999999999E-2</v>
      </c>
      <c r="F11" s="16" t="s">
        <v>295</v>
      </c>
      <c r="G11" s="43" t="s">
        <v>307</v>
      </c>
      <c r="H11" s="1"/>
      <c r="I11" s="1"/>
    </row>
    <row r="12" spans="1:9" ht="15" customHeight="1" x14ac:dyDescent="0.25">
      <c r="A12" s="16" t="s">
        <v>308</v>
      </c>
      <c r="B12" s="57">
        <f>Assumptions!B17</f>
        <v>3.2500000000000001E-2</v>
      </c>
      <c r="C12" s="58">
        <v>3.2500000000000001E-2</v>
      </c>
      <c r="D12" s="59">
        <v>0.02</v>
      </c>
      <c r="E12" s="59">
        <v>0.05</v>
      </c>
      <c r="F12" s="16" t="s">
        <v>295</v>
      </c>
      <c r="G12" s="43" t="s">
        <v>309</v>
      </c>
      <c r="H12" s="1"/>
      <c r="I12" s="1"/>
    </row>
    <row r="13" spans="1:9" ht="15" customHeight="1" x14ac:dyDescent="0.25">
      <c r="A13" s="16" t="s">
        <v>310</v>
      </c>
      <c r="B13" s="57">
        <f>Assumptions!B34</f>
        <v>0.15</v>
      </c>
      <c r="C13" s="58">
        <v>0.15</v>
      </c>
      <c r="D13" s="59">
        <v>0.1</v>
      </c>
      <c r="E13" s="59">
        <v>0.2</v>
      </c>
      <c r="F13" s="16" t="s">
        <v>295</v>
      </c>
      <c r="G13" s="43" t="s">
        <v>311</v>
      </c>
      <c r="H13" s="1"/>
      <c r="I13" s="1"/>
    </row>
    <row r="14" spans="1:9" ht="15" customHeight="1" x14ac:dyDescent="0.25">
      <c r="A14" s="16" t="s">
        <v>312</v>
      </c>
      <c r="B14" s="48">
        <f>Assumptions!B36</f>
        <v>130000</v>
      </c>
      <c r="C14" s="60">
        <v>130000</v>
      </c>
      <c r="D14" s="61">
        <v>100000</v>
      </c>
      <c r="E14" s="61">
        <v>175000</v>
      </c>
      <c r="F14" s="16" t="s">
        <v>313</v>
      </c>
      <c r="G14" s="43" t="s">
        <v>314</v>
      </c>
      <c r="H14" s="1"/>
      <c r="I14" s="1"/>
    </row>
    <row r="15" spans="1:9" ht="15" customHeight="1" x14ac:dyDescent="0.25">
      <c r="A15" s="16" t="s">
        <v>315</v>
      </c>
      <c r="B15" s="57">
        <f>Assumptions!B58</f>
        <v>0.15</v>
      </c>
      <c r="C15" s="58">
        <v>0.15</v>
      </c>
      <c r="D15" s="59">
        <v>0.1</v>
      </c>
      <c r="E15" s="59">
        <v>0.2</v>
      </c>
      <c r="F15" s="16" t="s">
        <v>295</v>
      </c>
      <c r="G15" s="43" t="s">
        <v>316</v>
      </c>
      <c r="H15" s="1"/>
      <c r="I15" s="1"/>
    </row>
    <row r="16" spans="1:9" ht="15" customHeight="1" x14ac:dyDescent="0.25">
      <c r="A16" s="16" t="s">
        <v>317</v>
      </c>
      <c r="B16" s="57">
        <f>Assumptions!B47</f>
        <v>0.01</v>
      </c>
      <c r="C16" s="58">
        <v>0.01</v>
      </c>
      <c r="D16" s="59">
        <v>5.0000000000000001E-3</v>
      </c>
      <c r="E16" s="59">
        <v>0.02</v>
      </c>
      <c r="F16" s="16" t="s">
        <v>295</v>
      </c>
      <c r="G16" s="43" t="s">
        <v>318</v>
      </c>
      <c r="H16" s="1"/>
      <c r="I16" s="1"/>
    </row>
    <row r="17" spans="1:9" ht="15" customHeight="1" x14ac:dyDescent="0.25">
      <c r="A17" s="16" t="s">
        <v>319</v>
      </c>
      <c r="B17" s="57">
        <f>Assumptions!B48</f>
        <v>0.03</v>
      </c>
      <c r="C17" s="58">
        <v>0.03</v>
      </c>
      <c r="D17" s="59">
        <v>0.02</v>
      </c>
      <c r="E17" s="59">
        <v>0.05</v>
      </c>
      <c r="F17" s="16" t="s">
        <v>295</v>
      </c>
      <c r="G17" s="43" t="s">
        <v>320</v>
      </c>
      <c r="H17" s="1"/>
      <c r="I17" s="1"/>
    </row>
    <row r="18" spans="1:9" ht="15" customHeight="1" x14ac:dyDescent="0.25">
      <c r="A18" s="16" t="s">
        <v>321</v>
      </c>
      <c r="B18" s="62">
        <v>10</v>
      </c>
      <c r="C18" s="63">
        <v>10</v>
      </c>
      <c r="D18" s="64">
        <v>5</v>
      </c>
      <c r="E18" s="64">
        <v>15</v>
      </c>
      <c r="F18" s="16" t="s">
        <v>322</v>
      </c>
      <c r="G18" s="43" t="s">
        <v>323</v>
      </c>
      <c r="H18" s="1"/>
      <c r="I18" s="1"/>
    </row>
    <row r="19" spans="1:9" ht="15" customHeight="1" x14ac:dyDescent="0.25">
      <c r="A19" s="16" t="s">
        <v>324</v>
      </c>
      <c r="B19" s="65">
        <v>18700</v>
      </c>
      <c r="C19" s="60">
        <v>18700</v>
      </c>
      <c r="D19" s="61">
        <v>15000</v>
      </c>
      <c r="E19" s="61">
        <v>25000</v>
      </c>
      <c r="F19" s="16" t="s">
        <v>313</v>
      </c>
      <c r="G19" s="43" t="s">
        <v>325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326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327</v>
      </c>
      <c r="B23" s="6" t="s">
        <v>6</v>
      </c>
      <c r="C23" s="6" t="s">
        <v>328</v>
      </c>
      <c r="D23" s="6" t="s">
        <v>5</v>
      </c>
      <c r="E23" s="6" t="s">
        <v>329</v>
      </c>
      <c r="F23" s="6" t="s">
        <v>330</v>
      </c>
      <c r="G23" s="6" t="s">
        <v>331</v>
      </c>
      <c r="H23" s="1"/>
      <c r="I23" s="1"/>
    </row>
    <row r="24" spans="1:9" ht="15" customHeight="1" x14ac:dyDescent="0.25">
      <c r="A24" s="16" t="s">
        <v>266</v>
      </c>
      <c r="B24" s="66" t="str">
        <f>Projects!$G$2</f>
        <v>Yes</v>
      </c>
      <c r="C24" s="65">
        <v>5321971</v>
      </c>
      <c r="D24" s="16" t="s">
        <v>332</v>
      </c>
      <c r="E24" s="16" t="s">
        <v>333</v>
      </c>
      <c r="F24" s="16" t="s">
        <v>334</v>
      </c>
      <c r="G24" s="16" t="s">
        <v>334</v>
      </c>
      <c r="H24" s="1"/>
      <c r="I24" s="1"/>
    </row>
    <row r="25" spans="1:9" ht="15" customHeight="1" x14ac:dyDescent="0.25">
      <c r="A25" s="16" t="s">
        <v>270</v>
      </c>
      <c r="B25" s="66" t="str">
        <f>Projects!$G$3</f>
        <v>Yes</v>
      </c>
      <c r="C25" s="65">
        <v>19982132</v>
      </c>
      <c r="D25" s="16" t="s">
        <v>332</v>
      </c>
      <c r="E25" s="16" t="s">
        <v>335</v>
      </c>
      <c r="F25" s="16" t="s">
        <v>334</v>
      </c>
      <c r="G25" s="16" t="s">
        <v>334</v>
      </c>
      <c r="H25" s="1"/>
      <c r="I25" s="1"/>
    </row>
    <row r="26" spans="1:9" ht="15" customHeight="1" x14ac:dyDescent="0.25">
      <c r="A26" s="16" t="s">
        <v>214</v>
      </c>
      <c r="B26" s="66" t="str">
        <f>Projects!$G$4</f>
        <v>Yes</v>
      </c>
      <c r="C26" s="65">
        <v>11673185</v>
      </c>
      <c r="D26" s="16" t="s">
        <v>336</v>
      </c>
      <c r="E26" s="16" t="s">
        <v>337</v>
      </c>
      <c r="F26" s="16" t="s">
        <v>334</v>
      </c>
      <c r="G26" s="16" t="s">
        <v>12</v>
      </c>
      <c r="H26" s="1"/>
      <c r="I26" s="1"/>
    </row>
    <row r="27" spans="1:9" ht="15" customHeight="1" x14ac:dyDescent="0.25">
      <c r="A27" s="16" t="s">
        <v>215</v>
      </c>
      <c r="B27" s="66" t="str">
        <f>Projects!$G$5</f>
        <v>Yes</v>
      </c>
      <c r="C27" s="65">
        <v>13492534</v>
      </c>
      <c r="D27" s="16" t="s">
        <v>336</v>
      </c>
      <c r="E27" s="16" t="s">
        <v>337</v>
      </c>
      <c r="F27" s="16" t="s">
        <v>334</v>
      </c>
      <c r="G27" s="16" t="s">
        <v>12</v>
      </c>
      <c r="H27" s="1"/>
      <c r="I27" s="1"/>
    </row>
    <row r="28" spans="1:9" ht="15" customHeight="1" x14ac:dyDescent="0.25">
      <c r="A28" s="16" t="s">
        <v>338</v>
      </c>
      <c r="B28" s="66" t="str">
        <f>Projects!$G$6</f>
        <v>Yes</v>
      </c>
      <c r="C28" s="65">
        <v>4052747</v>
      </c>
      <c r="D28" s="16" t="s">
        <v>336</v>
      </c>
      <c r="E28" s="16" t="s">
        <v>339</v>
      </c>
      <c r="F28" s="16" t="s">
        <v>334</v>
      </c>
      <c r="G28" s="16" t="s">
        <v>12</v>
      </c>
      <c r="H28" s="1"/>
      <c r="I28" s="1"/>
    </row>
    <row r="29" spans="1:9" ht="15" customHeight="1" x14ac:dyDescent="0.25">
      <c r="A29" s="16" t="s">
        <v>107</v>
      </c>
      <c r="B29" s="66" t="str">
        <f>Projects!$G$7</f>
        <v>Yes</v>
      </c>
      <c r="C29" s="65">
        <v>42968448</v>
      </c>
      <c r="D29" s="16" t="s">
        <v>332</v>
      </c>
      <c r="E29" s="16" t="s">
        <v>340</v>
      </c>
      <c r="F29" s="16" t="s">
        <v>12</v>
      </c>
      <c r="G29" s="16" t="s">
        <v>12</v>
      </c>
      <c r="H29" s="1"/>
      <c r="I29" s="1"/>
    </row>
    <row r="30" spans="1:9" ht="15" customHeight="1" x14ac:dyDescent="0.25">
      <c r="A30" s="16" t="s">
        <v>216</v>
      </c>
      <c r="B30" s="66" t="str">
        <f>Projects!$G$8</f>
        <v>Yes</v>
      </c>
      <c r="C30" s="65">
        <v>13625772</v>
      </c>
      <c r="D30" s="16" t="s">
        <v>336</v>
      </c>
      <c r="E30" s="16" t="s">
        <v>339</v>
      </c>
      <c r="F30" s="16" t="s">
        <v>334</v>
      </c>
      <c r="G30" s="16" t="s">
        <v>12</v>
      </c>
      <c r="H30" s="1"/>
      <c r="I30" s="1"/>
    </row>
    <row r="31" spans="1:9" ht="15" customHeight="1" x14ac:dyDescent="0.25">
      <c r="A31" s="16" t="s">
        <v>217</v>
      </c>
      <c r="B31" s="66" t="str">
        <f>Projects!$G$9</f>
        <v>Yes</v>
      </c>
      <c r="C31" s="65">
        <v>15844883</v>
      </c>
      <c r="D31" s="16" t="s">
        <v>336</v>
      </c>
      <c r="E31" s="16" t="s">
        <v>341</v>
      </c>
      <c r="F31" s="16" t="s">
        <v>334</v>
      </c>
      <c r="G31" s="16" t="s">
        <v>12</v>
      </c>
      <c r="H31" s="1"/>
      <c r="I31" s="1"/>
    </row>
    <row r="32" spans="1:9" ht="15" customHeight="1" x14ac:dyDescent="0.25">
      <c r="A32" s="16" t="s">
        <v>111</v>
      </c>
      <c r="B32" s="66" t="str">
        <f>Projects!$G$10</f>
        <v>Yes</v>
      </c>
      <c r="C32" s="65">
        <v>21263405</v>
      </c>
      <c r="D32" s="16" t="s">
        <v>336</v>
      </c>
      <c r="E32" s="16" t="s">
        <v>339</v>
      </c>
      <c r="F32" s="16" t="s">
        <v>334</v>
      </c>
      <c r="G32" s="16" t="s">
        <v>12</v>
      </c>
      <c r="H32" s="1"/>
      <c r="I32" s="1"/>
    </row>
    <row r="33" spans="1:9" ht="15" customHeight="1" x14ac:dyDescent="0.25">
      <c r="A33" s="16" t="s">
        <v>108</v>
      </c>
      <c r="B33" s="66" t="str">
        <f>Projects!$G$11</f>
        <v>Yes</v>
      </c>
      <c r="C33" s="65">
        <v>9577109</v>
      </c>
      <c r="D33" s="16" t="s">
        <v>332</v>
      </c>
      <c r="E33" s="16" t="s">
        <v>339</v>
      </c>
      <c r="F33" s="16" t="s">
        <v>12</v>
      </c>
      <c r="G33" s="16" t="s">
        <v>334</v>
      </c>
      <c r="H33" s="1"/>
      <c r="I33" s="1"/>
    </row>
    <row r="34" spans="1:9" ht="15" customHeight="1" x14ac:dyDescent="0.25">
      <c r="A34" s="16" t="s">
        <v>109</v>
      </c>
      <c r="B34" s="66" t="str">
        <f>Projects!$G$12</f>
        <v>Yes</v>
      </c>
      <c r="C34" s="65">
        <v>7545203</v>
      </c>
      <c r="D34" s="16" t="s">
        <v>332</v>
      </c>
      <c r="E34" s="16" t="s">
        <v>339</v>
      </c>
      <c r="F34" s="16" t="s">
        <v>12</v>
      </c>
      <c r="G34" s="16" t="s">
        <v>334</v>
      </c>
      <c r="H34" s="1"/>
      <c r="I34" s="1"/>
    </row>
    <row r="35" spans="1:9" ht="15" customHeight="1" x14ac:dyDescent="0.25">
      <c r="A35" s="16" t="s">
        <v>112</v>
      </c>
      <c r="B35" s="66" t="str">
        <f>Projects!$G$13</f>
        <v>Yes</v>
      </c>
      <c r="C35" s="65">
        <v>45266770</v>
      </c>
      <c r="D35" s="16" t="s">
        <v>332</v>
      </c>
      <c r="E35" s="16" t="s">
        <v>341</v>
      </c>
      <c r="F35" s="16" t="s">
        <v>12</v>
      </c>
      <c r="G35" s="16" t="s">
        <v>12</v>
      </c>
      <c r="H35" s="1"/>
      <c r="I35" s="1"/>
    </row>
    <row r="36" spans="1:9" ht="15" customHeight="1" x14ac:dyDescent="0.25">
      <c r="A36" s="16" t="s">
        <v>115</v>
      </c>
      <c r="B36" s="66" t="str">
        <f>Projects!$G$14</f>
        <v>Yes</v>
      </c>
      <c r="C36" s="65">
        <v>41354632</v>
      </c>
      <c r="D36" s="16" t="s">
        <v>332</v>
      </c>
      <c r="E36" s="16" t="s">
        <v>341</v>
      </c>
      <c r="F36" s="16" t="s">
        <v>12</v>
      </c>
      <c r="G36" s="16" t="s">
        <v>12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342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343</v>
      </c>
      <c r="B40" s="67" t="s">
        <v>59</v>
      </c>
      <c r="C40" s="67" t="s">
        <v>60</v>
      </c>
      <c r="D40" s="67" t="s">
        <v>61</v>
      </c>
      <c r="E40" s="67" t="s">
        <v>62</v>
      </c>
      <c r="F40" s="67" t="s">
        <v>63</v>
      </c>
      <c r="G40" s="67" t="s">
        <v>64</v>
      </c>
      <c r="H40" s="67" t="s">
        <v>65</v>
      </c>
      <c r="I40" s="67" t="s">
        <v>66</v>
      </c>
    </row>
    <row r="41" spans="1:9" ht="15" customHeight="1" x14ac:dyDescent="0.25">
      <c r="A41" s="28" t="s">
        <v>73</v>
      </c>
      <c r="B41" s="49">
        <f>'Annual Summary'!B8</f>
        <v>1405537.6199999999</v>
      </c>
      <c r="C41" s="49">
        <f>'Annual Summary'!C8</f>
        <v>679001.54999999993</v>
      </c>
      <c r="D41" s="49">
        <f>'Annual Summary'!D8</f>
        <v>620319.48</v>
      </c>
      <c r="E41" s="49">
        <f>'Annual Summary'!E8</f>
        <v>0</v>
      </c>
      <c r="F41" s="49">
        <f>'Annual Summary'!F8</f>
        <v>0</v>
      </c>
      <c r="G41" s="49">
        <f>'Annual Summary'!G8</f>
        <v>0</v>
      </c>
      <c r="H41" s="49">
        <f>'Annual Summary'!H8</f>
        <v>0</v>
      </c>
      <c r="I41" s="49">
        <f>'Annual Summary'!I8</f>
        <v>0</v>
      </c>
    </row>
    <row r="42" spans="1:9" ht="15" customHeight="1" x14ac:dyDescent="0.25">
      <c r="A42" s="68" t="s">
        <v>79</v>
      </c>
      <c r="B42" s="69">
        <f>'Annual Summary'!B15</f>
        <v>-4486236.7075333335</v>
      </c>
      <c r="C42" s="69">
        <f>'Annual Summary'!C15</f>
        <v>-6898330.7912999988</v>
      </c>
      <c r="D42" s="69">
        <f>'Annual Summary'!D15</f>
        <v>-6879729.5216259984</v>
      </c>
      <c r="E42" s="69">
        <f>'Annual Summary'!E15</f>
        <v>-5646418.0612585209</v>
      </c>
      <c r="F42" s="69">
        <f>'Annual Summary'!F15</f>
        <v>-5759346.422483691</v>
      </c>
      <c r="G42" s="69">
        <f>'Annual Summary'!G15</f>
        <v>-5874533.3509333637</v>
      </c>
      <c r="H42" s="69">
        <f>'Annual Summary'!H15</f>
        <v>-5992024.0179520305</v>
      </c>
      <c r="I42" s="69">
        <f>'Annual Summary'!I15</f>
        <v>-1505385.3444115941</v>
      </c>
    </row>
    <row r="43" spans="1:9" ht="15" customHeight="1" x14ac:dyDescent="0.25">
      <c r="A43" s="16" t="s">
        <v>80</v>
      </c>
      <c r="B43" s="57">
        <f>'Annual Summary'!B16</f>
        <v>2595744.0417529508</v>
      </c>
      <c r="C43" s="57">
        <f>'Annual Summary'!C16</f>
        <v>3740614.0224559801</v>
      </c>
      <c r="D43" s="57">
        <f>'Annual Summary'!D16</f>
        <v>1150732.5463923416</v>
      </c>
      <c r="E43" s="57">
        <f>'Annual Summary'!E16</f>
        <v>-2043421.2317130654</v>
      </c>
      <c r="F43" s="57">
        <f>'Annual Summary'!F16</f>
        <v>-4036236.7558170226</v>
      </c>
      <c r="G43" s="57">
        <f>'Annual Summary'!G16</f>
        <v>-5874533.3509333637</v>
      </c>
      <c r="H43" s="57">
        <f>'Annual Summary'!H16</f>
        <v>-5992024.0179520305</v>
      </c>
      <c r="I43" s="57">
        <f>'Annual Summary'!I16</f>
        <v>-1505385.3444115941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81</v>
      </c>
      <c r="B45" s="49">
        <f>'Annual Summary'!B18</f>
        <v>0</v>
      </c>
      <c r="C45" s="49">
        <f>'Annual Summary'!C18</f>
        <v>0</v>
      </c>
      <c r="D45" s="49">
        <f>'Annual Summary'!D18</f>
        <v>0</v>
      </c>
      <c r="E45" s="49">
        <f>'Annual Summary'!E18</f>
        <v>0</v>
      </c>
      <c r="F45" s="49">
        <f>'Annual Summary'!F18</f>
        <v>0</v>
      </c>
      <c r="G45" s="49">
        <f>'Annual Summary'!G18</f>
        <v>0</v>
      </c>
      <c r="H45" s="49">
        <f>'Annual Summary'!H18</f>
        <v>0</v>
      </c>
      <c r="I45" s="49">
        <f>'Annual Summary'!I18</f>
        <v>0</v>
      </c>
    </row>
    <row r="46" spans="1:9" ht="15" customHeight="1" x14ac:dyDescent="0.25">
      <c r="A46" s="68" t="s">
        <v>83</v>
      </c>
      <c r="B46" s="69">
        <f>'Annual Summary'!B20</f>
        <v>-1411304.3699999996</v>
      </c>
      <c r="C46" s="69">
        <f>'Annual Summary'!C20</f>
        <v>-1501176.625</v>
      </c>
      <c r="D46" s="69">
        <f>'Annual Summary'!D20</f>
        <v>-1531200.1575</v>
      </c>
      <c r="E46" s="69">
        <f>'Annual Summary'!E20</f>
        <v>-1725189.16065</v>
      </c>
      <c r="F46" s="69">
        <f>'Annual Summary'!F20</f>
        <v>-2870017.643863</v>
      </c>
      <c r="G46" s="69">
        <f>'Annual Summary'!G20</f>
        <v>-2052206.3367402598</v>
      </c>
      <c r="H46" s="69">
        <f>'Annual Summary'!H20</f>
        <v>-2188891.2938750656</v>
      </c>
      <c r="I46" s="69">
        <f>'Annual Summary'!I20</f>
        <v>-551856.39466839726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68" t="s">
        <v>84</v>
      </c>
      <c r="B48" s="69">
        <f>'Annual Summary'!B22</f>
        <v>0</v>
      </c>
      <c r="C48" s="69">
        <f>'Annual Summary'!C22</f>
        <v>0</v>
      </c>
      <c r="D48" s="69">
        <f>'Annual Summary'!D22</f>
        <v>0</v>
      </c>
      <c r="E48" s="69">
        <f>'Annual Summary'!E22</f>
        <v>0</v>
      </c>
      <c r="F48" s="69">
        <f>'Annual Summary'!F22</f>
        <v>0</v>
      </c>
      <c r="G48" s="69">
        <f>'Annual Summary'!G22</f>
        <v>0</v>
      </c>
      <c r="H48" s="69">
        <f>'Annual Summary'!H22</f>
        <v>0</v>
      </c>
      <c r="I48" s="69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70" t="s">
        <v>102</v>
      </c>
      <c r="B50" s="71">
        <f>'Annual Summary'!B43</f>
        <v>-436131.8899999999</v>
      </c>
      <c r="C50" s="71">
        <f>'Annual Summary'!C43</f>
        <v>-3084254.7382854451</v>
      </c>
      <c r="D50" s="71">
        <f>'Annual Summary'!D43</f>
        <v>-4606783.8457854455</v>
      </c>
      <c r="E50" s="71">
        <f>'Annual Summary'!E43</f>
        <v>-6168608.0064354474</v>
      </c>
      <c r="F50" s="71">
        <f>'Annual Summary'!F43</f>
        <v>-7761668.6502984464</v>
      </c>
      <c r="G50" s="71">
        <f>'Annual Summary'!G43</f>
        <v>-9267314.9870387036</v>
      </c>
      <c r="H50" s="71">
        <f>'Annual Summary'!H43</f>
        <v>-10636213.280913772</v>
      </c>
      <c r="I50" s="71">
        <f>'Annual Summary'!I43</f>
        <v>-10957053.67558217</v>
      </c>
    </row>
    <row r="51" spans="1:9" ht="15" customHeight="1" x14ac:dyDescent="0.25">
      <c r="A51" s="70" t="s">
        <v>99</v>
      </c>
      <c r="B51" s="71">
        <f>'Annual Summary'!B41</f>
        <v>0</v>
      </c>
      <c r="C51" s="71">
        <f>'Annual Summary'!C41</f>
        <v>0</v>
      </c>
      <c r="D51" s="71">
        <f>'Annual Summary'!D41</f>
        <v>0</v>
      </c>
      <c r="E51" s="71">
        <f>'Annual Summary'!E41</f>
        <v>0</v>
      </c>
      <c r="F51" s="71">
        <f>'Annual Summary'!F41</f>
        <v>0</v>
      </c>
      <c r="G51" s="71">
        <f>'Annual Summary'!G41</f>
        <v>0</v>
      </c>
      <c r="H51" s="71">
        <f>'Annual Summary'!H41</f>
        <v>0</v>
      </c>
      <c r="I51" s="71">
        <f>'Annual Summary'!I41</f>
        <v>0</v>
      </c>
    </row>
    <row r="52" spans="1:9" ht="15" customHeight="1" x14ac:dyDescent="0.25">
      <c r="A52" s="70" t="s">
        <v>100</v>
      </c>
      <c r="B52" s="71">
        <f>'Annual Summary'!B42</f>
        <v>4247659.7317529507</v>
      </c>
      <c r="C52" s="71">
        <f>'Annual Summary'!C42</f>
        <v>7988273.7542089317</v>
      </c>
      <c r="D52" s="71">
        <f>'Annual Summary'!D42</f>
        <v>9139006.3006012756</v>
      </c>
      <c r="E52" s="71">
        <f>'Annual Summary'!E42</f>
        <v>7095585.0688882098</v>
      </c>
      <c r="F52" s="71">
        <f>'Annual Summary'!F42</f>
        <v>3059348.3130711862</v>
      </c>
      <c r="G52" s="71">
        <f>'Annual Summary'!G42</f>
        <v>-2815185.0378621784</v>
      </c>
      <c r="H52" s="71">
        <f>'Annual Summary'!H42</f>
        <v>-8807209.0558142103</v>
      </c>
      <c r="I52" s="71">
        <f>'Annual Summary'!I42</f>
        <v>-10312594.400225807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218</v>
      </c>
      <c r="B54" s="48">
        <f>'Annual Summary'!B39</f>
        <v>0</v>
      </c>
      <c r="C54" s="48">
        <f>'Annual Summary'!C39</f>
        <v>0</v>
      </c>
      <c r="D54" s="48">
        <f>'Annual Summary'!D39</f>
        <v>0</v>
      </c>
      <c r="E54" s="48">
        <f>'Annual Summary'!E39</f>
        <v>0</v>
      </c>
      <c r="F54" s="48">
        <f>'Annual Summary'!F39</f>
        <v>0</v>
      </c>
      <c r="G54" s="48">
        <f>'Annual Summary'!G39</f>
        <v>0</v>
      </c>
      <c r="H54" s="48">
        <f>'Annual Summary'!H39</f>
        <v>0</v>
      </c>
      <c r="I54" s="48">
        <f>'Annual Summary'!I39</f>
        <v>0</v>
      </c>
    </row>
    <row r="55" spans="1:9" ht="15" customHeight="1" x14ac:dyDescent="0.25">
      <c r="A55" s="16" t="s">
        <v>344</v>
      </c>
      <c r="B55" s="48">
        <f>'Annual Summary'!B37</f>
        <v>0</v>
      </c>
      <c r="C55" s="48">
        <f>'Annual Summary'!C37</f>
        <v>0</v>
      </c>
      <c r="D55" s="48">
        <f>'Annual Summary'!D37</f>
        <v>0</v>
      </c>
      <c r="E55" s="48">
        <f>'Annual Summary'!E37</f>
        <v>0</v>
      </c>
      <c r="F55" s="48">
        <f>'Annual Summary'!F37</f>
        <v>0</v>
      </c>
      <c r="G55" s="48">
        <f>'Annual Summary'!G37</f>
        <v>0</v>
      </c>
      <c r="H55" s="48">
        <f>'Annual Summary'!H37</f>
        <v>0</v>
      </c>
      <c r="I55" s="48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345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43" t="s">
        <v>346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72" t="s">
        <v>347</v>
      </c>
      <c r="B60" s="73">
        <v>7.0000000000000007E-2</v>
      </c>
      <c r="C60" s="73">
        <v>0.08</v>
      </c>
      <c r="D60" s="73">
        <v>9.1999999999999998E-2</v>
      </c>
      <c r="E60" s="73">
        <v>0.1</v>
      </c>
      <c r="F60" s="73">
        <v>0.12</v>
      </c>
      <c r="G60" s="1"/>
      <c r="H60" s="1"/>
      <c r="I60" s="1"/>
    </row>
    <row r="61" spans="1:9" ht="15" customHeight="1" x14ac:dyDescent="0.25">
      <c r="A61" s="74">
        <v>0.1</v>
      </c>
      <c r="B61" s="61">
        <v>21535794</v>
      </c>
      <c r="C61" s="61">
        <v>21353287</v>
      </c>
      <c r="D61" s="61">
        <v>21138321</v>
      </c>
      <c r="E61" s="61">
        <v>20997399</v>
      </c>
      <c r="F61" s="61">
        <v>20653180</v>
      </c>
      <c r="G61" s="1"/>
      <c r="H61" s="1"/>
      <c r="I61" s="1"/>
    </row>
    <row r="62" spans="1:9" ht="15" customHeight="1" x14ac:dyDescent="0.25">
      <c r="A62" s="74">
        <v>0.12</v>
      </c>
      <c r="B62" s="61">
        <v>25408618</v>
      </c>
      <c r="C62" s="61">
        <v>25196879</v>
      </c>
      <c r="D62" s="61">
        <v>24947405</v>
      </c>
      <c r="E62" s="61">
        <v>24783816</v>
      </c>
      <c r="F62" s="61">
        <v>24384077</v>
      </c>
      <c r="G62" s="1"/>
      <c r="H62" s="1"/>
      <c r="I62" s="1"/>
    </row>
    <row r="63" spans="1:9" ht="15" customHeight="1" x14ac:dyDescent="0.25">
      <c r="A63" s="74">
        <v>0.14000000000000001</v>
      </c>
      <c r="B63" s="61">
        <v>29153414</v>
      </c>
      <c r="C63" s="61">
        <v>28914451</v>
      </c>
      <c r="D63" s="75">
        <v>28632817</v>
      </c>
      <c r="E63" s="61">
        <v>28448089</v>
      </c>
      <c r="F63" s="61">
        <v>27996532</v>
      </c>
      <c r="G63" s="1"/>
      <c r="H63" s="1"/>
      <c r="I63" s="1"/>
    </row>
    <row r="64" spans="1:9" ht="15" customHeight="1" x14ac:dyDescent="0.25">
      <c r="A64" s="74">
        <v>0.16</v>
      </c>
      <c r="B64" s="61">
        <v>32776428</v>
      </c>
      <c r="C64" s="61">
        <v>32512102</v>
      </c>
      <c r="D64" s="61">
        <v>32200484</v>
      </c>
      <c r="E64" s="61">
        <v>31996037</v>
      </c>
      <c r="F64" s="61">
        <v>31496099</v>
      </c>
      <c r="G64" s="1"/>
      <c r="H64" s="1"/>
      <c r="I64" s="1"/>
    </row>
    <row r="65" spans="1:9" ht="15" customHeight="1" x14ac:dyDescent="0.25">
      <c r="A65" s="74">
        <v>0.18</v>
      </c>
      <c r="B65" s="61">
        <v>36283506</v>
      </c>
      <c r="C65" s="61">
        <v>35995542</v>
      </c>
      <c r="D65" s="61">
        <v>35655961</v>
      </c>
      <c r="E65" s="61">
        <v>35433111</v>
      </c>
      <c r="F65" s="61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348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349</v>
      </c>
      <c r="B69" s="6" t="s">
        <v>350</v>
      </c>
      <c r="C69" s="6" t="s">
        <v>351</v>
      </c>
      <c r="D69" s="6" t="s">
        <v>352</v>
      </c>
      <c r="E69" s="6" t="s">
        <v>353</v>
      </c>
      <c r="F69" s="6" t="s">
        <v>354</v>
      </c>
      <c r="G69" s="1"/>
      <c r="H69" s="1"/>
      <c r="I69" s="1"/>
    </row>
    <row r="70" spans="1:9" ht="15" customHeight="1" x14ac:dyDescent="0.25">
      <c r="A70" s="16" t="s">
        <v>355</v>
      </c>
      <c r="B70" s="65">
        <f>'Annual Summary'!B41</f>
        <v>0</v>
      </c>
      <c r="C70" s="61">
        <f>'Annual Summary'!C41</f>
        <v>0</v>
      </c>
      <c r="D70" s="61">
        <f>'Annual Summary'!E41</f>
        <v>0</v>
      </c>
      <c r="E70" s="61">
        <f>'Annual Summary'!G41</f>
        <v>0</v>
      </c>
      <c r="F70" s="61">
        <f>'Annual Summary'!I41</f>
        <v>0</v>
      </c>
      <c r="G70" s="1"/>
      <c r="H70" s="1"/>
      <c r="I70" s="1"/>
    </row>
    <row r="71" spans="1:9" ht="15" customHeight="1" x14ac:dyDescent="0.25">
      <c r="A71" s="16" t="s">
        <v>356</v>
      </c>
      <c r="B71" s="65">
        <f>'Annual Summary'!B42</f>
        <v>4247659.7317529507</v>
      </c>
      <c r="C71" s="61">
        <f>'Annual Summary'!C42</f>
        <v>7988273.7542089317</v>
      </c>
      <c r="D71" s="61">
        <f>'Annual Summary'!E42</f>
        <v>7095585.0688882098</v>
      </c>
      <c r="E71" s="61">
        <f>'Annual Summary'!G42</f>
        <v>-2815185.0378621784</v>
      </c>
      <c r="F71" s="61">
        <f>'Annual Summary'!I42</f>
        <v>-10312594.400225807</v>
      </c>
      <c r="G71" s="1"/>
      <c r="H71" s="1"/>
      <c r="I71" s="1"/>
    </row>
    <row r="72" spans="1:9" ht="15" customHeight="1" x14ac:dyDescent="0.25">
      <c r="A72" s="70" t="s">
        <v>357</v>
      </c>
      <c r="B72" s="76">
        <f>'Annual Summary'!B43</f>
        <v>-436131.8899999999</v>
      </c>
      <c r="C72" s="77">
        <f>'Annual Summary'!C43</f>
        <v>-3084254.7382854451</v>
      </c>
      <c r="D72" s="77">
        <f>'Annual Summary'!E43</f>
        <v>-6168608.0064354474</v>
      </c>
      <c r="E72" s="77">
        <f>'Annual Summary'!G43</f>
        <v>-9267314.9870387036</v>
      </c>
      <c r="F72" s="77">
        <f>'Annual Summary'!I43</f>
        <v>-10957053.67558217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358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327</v>
      </c>
      <c r="B76" s="6" t="s">
        <v>359</v>
      </c>
      <c r="C76" s="6" t="s">
        <v>360</v>
      </c>
      <c r="D76" s="6" t="s">
        <v>361</v>
      </c>
      <c r="E76" s="6" t="s">
        <v>362</v>
      </c>
      <c r="F76" s="6" t="s">
        <v>363</v>
      </c>
      <c r="G76" s="1"/>
      <c r="H76" s="1"/>
      <c r="I76" s="1"/>
    </row>
    <row r="77" spans="1:9" ht="15" customHeight="1" x14ac:dyDescent="0.25">
      <c r="A77" s="16" t="s">
        <v>108</v>
      </c>
      <c r="B77" s="52">
        <v>95771</v>
      </c>
      <c r="C77" s="52">
        <v>60000</v>
      </c>
      <c r="D77" s="52">
        <v>0</v>
      </c>
      <c r="E77" s="50">
        <v>155771</v>
      </c>
      <c r="F77" s="43" t="s">
        <v>364</v>
      </c>
      <c r="G77" s="1"/>
      <c r="H77" s="1"/>
      <c r="I77" s="1"/>
    </row>
    <row r="78" spans="1:9" ht="15" customHeight="1" x14ac:dyDescent="0.25">
      <c r="A78" s="16" t="s">
        <v>109</v>
      </c>
      <c r="B78" s="52">
        <v>75452</v>
      </c>
      <c r="C78" s="52">
        <v>60000</v>
      </c>
      <c r="D78" s="52">
        <v>0</v>
      </c>
      <c r="E78" s="50">
        <v>135452</v>
      </c>
      <c r="F78" s="43" t="s">
        <v>364</v>
      </c>
      <c r="G78" s="1"/>
      <c r="H78" s="1"/>
      <c r="I78" s="1"/>
    </row>
    <row r="79" spans="1:9" ht="15" customHeight="1" x14ac:dyDescent="0.25">
      <c r="A79" s="16" t="s">
        <v>107</v>
      </c>
      <c r="B79" s="52">
        <v>579684</v>
      </c>
      <c r="C79" s="52">
        <v>150000</v>
      </c>
      <c r="D79" s="52">
        <v>0</v>
      </c>
      <c r="E79" s="50">
        <v>729684</v>
      </c>
      <c r="F79" s="43" t="s">
        <v>365</v>
      </c>
      <c r="G79" s="1"/>
      <c r="H79" s="1"/>
      <c r="I79" s="1"/>
    </row>
    <row r="80" spans="1:9" ht="15" customHeight="1" x14ac:dyDescent="0.25">
      <c r="A80" s="16" t="s">
        <v>112</v>
      </c>
      <c r="B80" s="52">
        <v>602668</v>
      </c>
      <c r="C80" s="52">
        <v>150000</v>
      </c>
      <c r="D80" s="52">
        <v>1450000</v>
      </c>
      <c r="E80" s="50">
        <v>752668</v>
      </c>
      <c r="F80" s="43" t="s">
        <v>365</v>
      </c>
      <c r="G80" s="1"/>
      <c r="H80" s="1"/>
      <c r="I80" s="1"/>
    </row>
    <row r="81" spans="1:9" ht="15" customHeight="1" x14ac:dyDescent="0.25">
      <c r="A81" s="16" t="s">
        <v>115</v>
      </c>
      <c r="B81" s="52">
        <v>563546</v>
      </c>
      <c r="C81" s="52">
        <v>150000</v>
      </c>
      <c r="D81" s="52">
        <v>0</v>
      </c>
      <c r="E81" s="50">
        <v>713546</v>
      </c>
      <c r="F81" s="43" t="s">
        <v>366</v>
      </c>
      <c r="G81" s="1"/>
      <c r="H81" s="1"/>
      <c r="I81" s="1"/>
    </row>
    <row r="82" spans="1:9" ht="15" customHeight="1" x14ac:dyDescent="0.25">
      <c r="A82" s="28" t="s">
        <v>367</v>
      </c>
      <c r="B82" s="49">
        <v>1917121</v>
      </c>
      <c r="C82" s="49">
        <v>570000</v>
      </c>
      <c r="D82" s="49">
        <v>1450000</v>
      </c>
      <c r="E82" s="49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368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369</v>
      </c>
      <c r="B86" s="65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370</v>
      </c>
      <c r="B87" s="78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371</v>
      </c>
      <c r="B88" s="58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59</v>
      </c>
      <c r="C89" s="6" t="s">
        <v>60</v>
      </c>
      <c r="D89" s="6" t="s">
        <v>61</v>
      </c>
      <c r="E89" s="6" t="s">
        <v>62</v>
      </c>
      <c r="F89" s="6" t="s">
        <v>372</v>
      </c>
      <c r="G89" s="1"/>
      <c r="H89" s="1"/>
      <c r="I89" s="1"/>
    </row>
    <row r="90" spans="1:9" ht="15" customHeight="1" x14ac:dyDescent="0.25">
      <c r="A90" s="51" t="s">
        <v>373</v>
      </c>
      <c r="B90" s="52">
        <v>0</v>
      </c>
      <c r="C90" s="52">
        <v>-956261</v>
      </c>
      <c r="D90" s="52">
        <v>-1465718</v>
      </c>
      <c r="E90" s="52">
        <v>-967911</v>
      </c>
      <c r="F90" s="52">
        <v>-3389890</v>
      </c>
      <c r="G90" s="1"/>
      <c r="H90" s="1"/>
      <c r="I90" s="1"/>
    </row>
    <row r="91" spans="1:9" ht="15" customHeight="1" x14ac:dyDescent="0.25">
      <c r="A91" s="66" t="s">
        <v>374</v>
      </c>
      <c r="B91" s="48">
        <v>0</v>
      </c>
      <c r="C91" s="48">
        <v>-441351</v>
      </c>
      <c r="D91" s="48">
        <v>-676485</v>
      </c>
      <c r="E91" s="48">
        <v>-446728</v>
      </c>
      <c r="F91" s="48">
        <v>-1564564</v>
      </c>
      <c r="G91" s="1"/>
      <c r="H91" s="1"/>
      <c r="I91" s="1"/>
    </row>
    <row r="92" spans="1:9" ht="15" customHeight="1" x14ac:dyDescent="0.25">
      <c r="A92" s="28" t="s">
        <v>375</v>
      </c>
      <c r="B92" s="49">
        <v>0</v>
      </c>
      <c r="C92" s="49">
        <v>514910</v>
      </c>
      <c r="D92" s="49">
        <v>789233</v>
      </c>
      <c r="E92" s="49">
        <v>521183</v>
      </c>
      <c r="F92" s="49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376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43" t="s">
        <v>377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59</v>
      </c>
      <c r="C97" s="6" t="s">
        <v>60</v>
      </c>
      <c r="D97" s="6" t="s">
        <v>61</v>
      </c>
      <c r="E97" s="6" t="s">
        <v>62</v>
      </c>
      <c r="F97" s="1"/>
      <c r="G97" s="1"/>
      <c r="H97" s="1"/>
      <c r="I97" s="1"/>
    </row>
    <row r="98" spans="1:9" ht="15" customHeight="1" x14ac:dyDescent="0.25">
      <c r="A98" s="16" t="s">
        <v>378</v>
      </c>
      <c r="B98" s="61">
        <f>'Annual Summary'!B39</f>
        <v>0</v>
      </c>
      <c r="C98" s="61">
        <f>'Annual Summary'!C39</f>
        <v>0</v>
      </c>
      <c r="D98" s="61">
        <f>'Annual Summary'!D39</f>
        <v>0</v>
      </c>
      <c r="E98" s="61">
        <f>'Annual Summary'!E39</f>
        <v>0</v>
      </c>
      <c r="F98" s="1"/>
      <c r="G98" s="1"/>
      <c r="H98" s="1"/>
      <c r="I98" s="1"/>
    </row>
    <row r="99" spans="1:9" ht="15" customHeight="1" x14ac:dyDescent="0.25">
      <c r="A99" s="51" t="s">
        <v>379</v>
      </c>
      <c r="B99" s="52">
        <f>B98*0.025</f>
        <v>0</v>
      </c>
      <c r="C99" s="52">
        <f>C98*0.025</f>
        <v>0</v>
      </c>
      <c r="D99" s="52">
        <f>D98*0.025</f>
        <v>0</v>
      </c>
      <c r="E99" s="52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380</v>
      </c>
      <c r="B100" s="61">
        <f>'Annual Summary'!B43</f>
        <v>-436131.8899999999</v>
      </c>
      <c r="C100" s="61">
        <f>'Annual Summary'!C43</f>
        <v>-3084254.7382854451</v>
      </c>
      <c r="D100" s="61">
        <f>'Annual Summary'!D43</f>
        <v>-4606783.8457854455</v>
      </c>
      <c r="E100" s="61">
        <f>'Annual Summary'!E43</f>
        <v>-6168608.0064354474</v>
      </c>
      <c r="F100" s="1"/>
      <c r="G100" s="1"/>
      <c r="H100" s="1"/>
      <c r="I100" s="1"/>
    </row>
    <row r="101" spans="1:9" ht="15" customHeight="1" x14ac:dyDescent="0.25">
      <c r="A101" s="16" t="s">
        <v>381</v>
      </c>
      <c r="B101" s="61">
        <f>'Annual Summary'!B15*0.05</f>
        <v>-224311.83537666668</v>
      </c>
      <c r="C101" s="61">
        <f>'Annual Summary'!C15*0.05</f>
        <v>-344916.53956499998</v>
      </c>
      <c r="D101" s="61">
        <f>'Annual Summary'!D15*0.05</f>
        <v>-343986.47608129994</v>
      </c>
      <c r="E101" s="61">
        <f>'Annual Summary'!E15*0.05</f>
        <v>-282320.90306292608</v>
      </c>
      <c r="F101" s="1"/>
      <c r="G101" s="1"/>
      <c r="H101" s="1"/>
      <c r="I101" s="1"/>
    </row>
    <row r="102" spans="1:9" ht="15" customHeight="1" x14ac:dyDescent="0.25">
      <c r="A102" s="16" t="s">
        <v>382</v>
      </c>
      <c r="B102" s="61">
        <f>B100+B101</f>
        <v>-660443.72537666652</v>
      </c>
      <c r="C102" s="61">
        <f>C100+C101</f>
        <v>-3429171.2778504454</v>
      </c>
      <c r="D102" s="61">
        <f>D100+D101</f>
        <v>-4950770.3218667451</v>
      </c>
      <c r="E102" s="61">
        <f>E100+E101</f>
        <v>-6450928.909498373</v>
      </c>
      <c r="F102" s="1"/>
      <c r="G102" s="1"/>
      <c r="H102" s="1"/>
      <c r="I102" s="1"/>
    </row>
    <row r="103" spans="1:9" ht="15" customHeight="1" x14ac:dyDescent="0.25">
      <c r="A103" s="28" t="s">
        <v>383</v>
      </c>
      <c r="B103" s="49">
        <f>B102-B99</f>
        <v>-660443.72537666652</v>
      </c>
      <c r="C103" s="49">
        <f>C102-C99</f>
        <v>-3429171.2778504454</v>
      </c>
      <c r="D103" s="49">
        <f>D102-D99</f>
        <v>-4950770.3218667451</v>
      </c>
      <c r="E103" s="49">
        <f>E102-E99</f>
        <v>-6450928.909498373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384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385</v>
      </c>
      <c r="B107" s="65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386</v>
      </c>
      <c r="B108" s="78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387</v>
      </c>
      <c r="B109" s="50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388</v>
      </c>
      <c r="B110" s="79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389</v>
      </c>
      <c r="B111" s="49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42" t="s">
        <v>390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60</v>
      </c>
      <c r="C114" s="6" t="s">
        <v>61</v>
      </c>
      <c r="D114" s="6" t="s">
        <v>62</v>
      </c>
      <c r="E114" s="6" t="s">
        <v>63</v>
      </c>
      <c r="F114" s="6" t="s">
        <v>372</v>
      </c>
      <c r="G114" s="1"/>
      <c r="H114" s="1"/>
      <c r="I114" s="1"/>
    </row>
    <row r="115" spans="1:9" ht="15" customHeight="1" x14ac:dyDescent="0.25">
      <c r="A115" s="16" t="s">
        <v>391</v>
      </c>
      <c r="B115" s="61">
        <v>0</v>
      </c>
      <c r="C115" s="61">
        <v>1896887</v>
      </c>
      <c r="D115" s="61">
        <v>1379554</v>
      </c>
      <c r="E115" s="61">
        <v>172444</v>
      </c>
      <c r="F115" s="50">
        <v>3448885</v>
      </c>
      <c r="G115" s="1"/>
      <c r="H115" s="1"/>
      <c r="I115" s="1"/>
    </row>
    <row r="116" spans="1:9" ht="15" customHeight="1" x14ac:dyDescent="0.25">
      <c r="A116" s="16" t="s">
        <v>392</v>
      </c>
      <c r="B116" s="61">
        <v>0</v>
      </c>
      <c r="C116" s="61">
        <v>603555</v>
      </c>
      <c r="D116" s="61">
        <v>948444</v>
      </c>
      <c r="E116" s="61">
        <v>172444</v>
      </c>
      <c r="F116" s="50">
        <v>1724443</v>
      </c>
      <c r="G116" s="1"/>
      <c r="H116" s="1"/>
      <c r="I116" s="1"/>
    </row>
    <row r="117" spans="1:9" ht="15" customHeight="1" x14ac:dyDescent="0.25">
      <c r="A117" s="28" t="s">
        <v>393</v>
      </c>
      <c r="B117" s="49">
        <v>0</v>
      </c>
      <c r="C117" s="49">
        <v>2500442</v>
      </c>
      <c r="D117" s="49">
        <v>2327998</v>
      </c>
      <c r="E117" s="49">
        <v>344888</v>
      </c>
      <c r="F117" s="49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43" t="s">
        <v>394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395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43" t="s">
        <v>396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397</v>
      </c>
      <c r="C124" s="6" t="s">
        <v>398</v>
      </c>
      <c r="D124" s="6" t="s">
        <v>293</v>
      </c>
      <c r="E124" s="1"/>
      <c r="F124" s="1"/>
      <c r="G124" s="1"/>
      <c r="H124" s="1"/>
      <c r="I124" s="1"/>
    </row>
    <row r="125" spans="1:9" ht="15" customHeight="1" x14ac:dyDescent="0.25">
      <c r="A125" s="16" t="s">
        <v>399</v>
      </c>
      <c r="B125" s="65">
        <v>1450000</v>
      </c>
      <c r="C125" s="25" t="s">
        <v>400</v>
      </c>
      <c r="D125" s="43" t="s">
        <v>401</v>
      </c>
      <c r="E125" s="1"/>
      <c r="F125" s="1"/>
      <c r="G125" s="1"/>
      <c r="H125" s="1"/>
      <c r="I125" s="1"/>
    </row>
    <row r="126" spans="1:9" ht="15" customHeight="1" x14ac:dyDescent="0.25">
      <c r="A126" s="16" t="s">
        <v>402</v>
      </c>
      <c r="B126" s="52">
        <v>-1450000</v>
      </c>
      <c r="C126" s="25" t="s">
        <v>403</v>
      </c>
      <c r="D126" s="43" t="s">
        <v>404</v>
      </c>
      <c r="E126" s="1"/>
      <c r="F126" s="1"/>
      <c r="G126" s="1"/>
      <c r="H126" s="1"/>
      <c r="I126" s="1"/>
    </row>
    <row r="127" spans="1:9" ht="15" customHeight="1" x14ac:dyDescent="0.25">
      <c r="A127" s="16" t="s">
        <v>405</v>
      </c>
      <c r="B127" s="1"/>
      <c r="C127" s="25" t="s">
        <v>406</v>
      </c>
      <c r="D127" s="43" t="s">
        <v>407</v>
      </c>
      <c r="E127" s="1"/>
      <c r="F127" s="1"/>
      <c r="G127" s="1"/>
      <c r="H127" s="1"/>
      <c r="I127" s="1"/>
    </row>
    <row r="128" spans="1:9" ht="15" customHeight="1" x14ac:dyDescent="0.25">
      <c r="A128" s="28" t="s">
        <v>408</v>
      </c>
      <c r="B128" s="49">
        <v>0</v>
      </c>
      <c r="C128" s="28" t="s">
        <v>409</v>
      </c>
      <c r="D128" s="28" t="s">
        <v>410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411</v>
      </c>
      <c r="B130" s="80">
        <v>362885</v>
      </c>
      <c r="C130" s="25" t="s">
        <v>412</v>
      </c>
      <c r="D130" s="43" t="s">
        <v>413</v>
      </c>
      <c r="E130" s="1"/>
      <c r="F130" s="1"/>
      <c r="G130" s="1"/>
      <c r="H130" s="1"/>
      <c r="I130" s="1"/>
    </row>
    <row r="131" spans="1:9" ht="15" customHeight="1" x14ac:dyDescent="0.25">
      <c r="A131" s="28" t="s">
        <v>414</v>
      </c>
      <c r="B131" s="49">
        <v>1812885</v>
      </c>
      <c r="C131" s="28" t="s">
        <v>415</v>
      </c>
      <c r="D131" s="28" t="s">
        <v>416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417</v>
      </c>
      <c r="B1" s="3" t="s">
        <v>418</v>
      </c>
      <c r="C1" s="3" t="s">
        <v>419</v>
      </c>
      <c r="D1" s="3" t="s">
        <v>420</v>
      </c>
      <c r="E1" s="3" t="s">
        <v>421</v>
      </c>
      <c r="F1" s="3" t="s">
        <v>422</v>
      </c>
      <c r="G1" s="3" t="s">
        <v>423</v>
      </c>
      <c r="H1" s="3" t="s">
        <v>424</v>
      </c>
      <c r="I1" s="3" t="s">
        <v>425</v>
      </c>
      <c r="J1" s="3" t="s">
        <v>426</v>
      </c>
      <c r="K1" s="3" t="s">
        <v>427</v>
      </c>
      <c r="L1" s="3" t="s">
        <v>428</v>
      </c>
      <c r="M1" s="3" t="s">
        <v>429</v>
      </c>
      <c r="N1" s="3" t="s">
        <v>430</v>
      </c>
      <c r="O1" s="3" t="s">
        <v>431</v>
      </c>
      <c r="P1" s="3" t="s">
        <v>432</v>
      </c>
      <c r="Q1" s="3" t="s">
        <v>433</v>
      </c>
      <c r="R1" s="3" t="s">
        <v>434</v>
      </c>
      <c r="S1" s="3" t="s">
        <v>435</v>
      </c>
      <c r="T1" s="3" t="s">
        <v>436</v>
      </c>
      <c r="U1" s="3" t="s">
        <v>437</v>
      </c>
      <c r="V1" s="3" t="s">
        <v>438</v>
      </c>
      <c r="W1" s="3" t="s">
        <v>439</v>
      </c>
      <c r="X1" s="3" t="s">
        <v>440</v>
      </c>
      <c r="Y1" s="3" t="s">
        <v>441</v>
      </c>
      <c r="Z1" s="3" t="s">
        <v>442</v>
      </c>
      <c r="AA1" s="3" t="s">
        <v>443</v>
      </c>
      <c r="AB1" s="3" t="s">
        <v>444</v>
      </c>
      <c r="AC1" s="3" t="s">
        <v>445</v>
      </c>
      <c r="AD1" s="3" t="s">
        <v>446</v>
      </c>
      <c r="AE1" s="3" t="s">
        <v>447</v>
      </c>
      <c r="AF1" s="3" t="s">
        <v>448</v>
      </c>
      <c r="AG1" s="3" t="s">
        <v>449</v>
      </c>
      <c r="AH1" s="3" t="s">
        <v>450</v>
      </c>
      <c r="AI1" s="3" t="s">
        <v>451</v>
      </c>
      <c r="AJ1" s="3" t="s">
        <v>452</v>
      </c>
      <c r="AK1" s="3" t="s">
        <v>453</v>
      </c>
      <c r="AL1" s="3" t="s">
        <v>454</v>
      </c>
      <c r="AM1" s="3" t="s">
        <v>455</v>
      </c>
      <c r="AN1" s="3" t="s">
        <v>456</v>
      </c>
      <c r="AO1" s="3" t="s">
        <v>457</v>
      </c>
    </row>
    <row r="2" spans="1:41" ht="15" customHeight="1" x14ac:dyDescent="0.25">
      <c r="A2" s="81" t="s">
        <v>458</v>
      </c>
      <c r="B2" s="82">
        <v>1.6101000000000001E-2</v>
      </c>
      <c r="C2" s="82">
        <v>1.8518E-2</v>
      </c>
      <c r="D2" s="82">
        <v>2.1087000000000002E-2</v>
      </c>
      <c r="E2" s="82">
        <v>2.3772999999999999E-2</v>
      </c>
      <c r="F2" s="82">
        <v>2.6535E-2</v>
      </c>
      <c r="G2" s="82">
        <v>2.9322999999999998E-2</v>
      </c>
      <c r="H2" s="82">
        <v>3.2081999999999999E-2</v>
      </c>
      <c r="I2" s="82">
        <v>3.4751999999999998E-2</v>
      </c>
      <c r="J2" s="82">
        <v>3.7268999999999997E-2</v>
      </c>
      <c r="K2" s="82">
        <v>3.9572000000000003E-2</v>
      </c>
      <c r="L2" s="82">
        <v>4.1598999999999997E-2</v>
      </c>
      <c r="M2" s="82">
        <v>4.3295E-2</v>
      </c>
      <c r="N2" s="82">
        <v>4.4613E-2</v>
      </c>
      <c r="O2" s="82">
        <v>4.5512999999999998E-2</v>
      </c>
      <c r="P2" s="82">
        <v>4.5969999999999997E-2</v>
      </c>
      <c r="Q2" s="82">
        <v>4.5969999999999997E-2</v>
      </c>
      <c r="R2" s="82">
        <v>4.5512999999999998E-2</v>
      </c>
      <c r="S2" s="82">
        <v>4.4613E-2</v>
      </c>
      <c r="T2" s="82">
        <v>4.3295E-2</v>
      </c>
      <c r="U2" s="82">
        <v>4.1598999999999997E-2</v>
      </c>
      <c r="V2" s="82">
        <v>3.9572000000000003E-2</v>
      </c>
      <c r="W2" s="82">
        <v>3.7268999999999997E-2</v>
      </c>
      <c r="X2" s="82">
        <v>3.4751999999999998E-2</v>
      </c>
      <c r="Y2" s="82">
        <v>3.2081999999999999E-2</v>
      </c>
      <c r="Z2" s="82">
        <v>2.9322999999999998E-2</v>
      </c>
      <c r="AA2" s="82">
        <v>2.6535E-2</v>
      </c>
      <c r="AB2" s="82">
        <v>2.3772999999999999E-2</v>
      </c>
      <c r="AC2" s="82">
        <v>2.1087000000000002E-2</v>
      </c>
      <c r="AD2" s="82">
        <v>1.8518E-2</v>
      </c>
      <c r="AE2" s="82">
        <v>1.6101000000000001E-2</v>
      </c>
    </row>
    <row r="3" spans="1:41" ht="15" customHeight="1" x14ac:dyDescent="0.25">
      <c r="A3" s="81" t="s">
        <v>459</v>
      </c>
      <c r="B3" s="82">
        <v>2.0497000000000001E-2</v>
      </c>
      <c r="C3" s="82">
        <v>2.4336E-2</v>
      </c>
      <c r="D3" s="82">
        <v>2.8445000000000002E-2</v>
      </c>
      <c r="E3" s="82">
        <v>3.2735E-2</v>
      </c>
      <c r="F3" s="82">
        <v>3.7087000000000002E-2</v>
      </c>
      <c r="G3" s="82">
        <v>4.1368000000000002E-2</v>
      </c>
      <c r="H3" s="82">
        <v>4.5428000000000003E-2</v>
      </c>
      <c r="I3" s="82">
        <v>4.9113999999999998E-2</v>
      </c>
      <c r="J3" s="82">
        <v>5.2277999999999998E-2</v>
      </c>
      <c r="K3" s="82">
        <v>5.4782999999999998E-2</v>
      </c>
      <c r="L3" s="82">
        <v>5.6520000000000001E-2</v>
      </c>
      <c r="M3" s="82">
        <v>5.7409000000000002E-2</v>
      </c>
      <c r="N3" s="82">
        <v>5.7409000000000002E-2</v>
      </c>
      <c r="O3" s="82">
        <v>5.6520000000000001E-2</v>
      </c>
      <c r="P3" s="82">
        <v>5.4782999999999998E-2</v>
      </c>
      <c r="Q3" s="82">
        <v>5.2277999999999998E-2</v>
      </c>
      <c r="R3" s="82">
        <v>4.9113999999999998E-2</v>
      </c>
      <c r="S3" s="82">
        <v>4.5428000000000003E-2</v>
      </c>
      <c r="T3" s="82">
        <v>4.1368000000000002E-2</v>
      </c>
      <c r="U3" s="82">
        <v>3.7087000000000002E-2</v>
      </c>
      <c r="V3" s="82">
        <v>3.2735E-2</v>
      </c>
      <c r="W3" s="82">
        <v>2.8445000000000002E-2</v>
      </c>
      <c r="X3" s="82">
        <v>2.4336E-2</v>
      </c>
      <c r="Y3" s="82">
        <v>2.0497000000000001E-2</v>
      </c>
    </row>
    <row r="4" spans="1:41" ht="15" customHeight="1" x14ac:dyDescent="0.25">
      <c r="A4" s="81" t="s">
        <v>460</v>
      </c>
      <c r="B4" s="82">
        <v>2.6516999999999999E-2</v>
      </c>
      <c r="C4" s="82">
        <v>3.2760999999999998E-2</v>
      </c>
      <c r="D4" s="82">
        <v>3.9482000000000003E-2</v>
      </c>
      <c r="E4" s="82">
        <v>4.6412000000000002E-2</v>
      </c>
      <c r="F4" s="82">
        <v>5.3218000000000001E-2</v>
      </c>
      <c r="G4" s="82">
        <v>5.9521999999999999E-2</v>
      </c>
      <c r="H4" s="82">
        <v>6.4936999999999995E-2</v>
      </c>
      <c r="I4" s="82">
        <v>6.9103999999999999E-2</v>
      </c>
      <c r="J4" s="82">
        <v>7.1732000000000004E-2</v>
      </c>
      <c r="K4" s="82">
        <v>7.263E-2</v>
      </c>
      <c r="L4" s="82">
        <v>7.1732000000000004E-2</v>
      </c>
      <c r="M4" s="82">
        <v>6.9103999999999999E-2</v>
      </c>
      <c r="N4" s="82">
        <v>6.4936999999999995E-2</v>
      </c>
      <c r="O4" s="82">
        <v>5.9521999999999999E-2</v>
      </c>
      <c r="P4" s="82">
        <v>5.3218000000000001E-2</v>
      </c>
      <c r="Q4" s="82">
        <v>4.6412000000000002E-2</v>
      </c>
      <c r="R4" s="82">
        <v>3.9482000000000003E-2</v>
      </c>
      <c r="S4" s="82">
        <v>3.2760999999999998E-2</v>
      </c>
      <c r="T4" s="82">
        <v>2.6516999999999999E-2</v>
      </c>
    </row>
    <row r="5" spans="1:41" ht="15" customHeight="1" x14ac:dyDescent="0.25">
      <c r="A5" s="83" t="s">
        <v>461</v>
      </c>
    </row>
    <row r="6" spans="1:41" ht="15" customHeight="1" x14ac:dyDescent="0.25">
      <c r="A6" s="81" t="s">
        <v>266</v>
      </c>
      <c r="B6" s="82">
        <v>0.176029532991649</v>
      </c>
      <c r="C6" s="82">
        <v>0.16281853697000101</v>
      </c>
      <c r="D6" s="82">
        <v>0.14826708720117601</v>
      </c>
      <c r="E6" s="82">
        <v>0.1329235511272</v>
      </c>
      <c r="F6" s="82">
        <v>0.117325543887316</v>
      </c>
      <c r="G6" s="82">
        <v>0.10194975090498599</v>
      </c>
      <c r="H6" s="82">
        <v>8.7222680190674196E-2</v>
      </c>
      <c r="I6" s="82">
        <v>7.3463316726999003E-2</v>
      </c>
    </row>
    <row r="7" spans="1:41" ht="15" customHeight="1" x14ac:dyDescent="0.25">
      <c r="A7" s="81" t="s">
        <v>270</v>
      </c>
      <c r="B7" s="82">
        <v>7.2508633961636093E-2</v>
      </c>
      <c r="C7" s="82">
        <v>7.5983023342903494E-2</v>
      </c>
      <c r="D7" s="82">
        <v>7.8392210710273399E-2</v>
      </c>
      <c r="E7" s="82">
        <v>7.9625237520631401E-2</v>
      </c>
      <c r="F7" s="82">
        <v>7.9625237520631401E-2</v>
      </c>
      <c r="G7" s="82">
        <v>7.8392210710273399E-2</v>
      </c>
      <c r="H7" s="82">
        <v>7.5983023342903494E-2</v>
      </c>
      <c r="I7" s="82">
        <v>7.2508633961636093E-2</v>
      </c>
      <c r="J7" s="82">
        <v>6.8120223581464398E-2</v>
      </c>
      <c r="K7" s="82">
        <v>6.3007808707471705E-2</v>
      </c>
      <c r="L7" s="82">
        <v>5.7376662644419499E-2</v>
      </c>
      <c r="M7" s="82">
        <v>5.1438993606013998E-2</v>
      </c>
      <c r="N7" s="82">
        <v>4.5402848860594501E-2</v>
      </c>
      <c r="O7" s="82">
        <v>3.9452696986088602E-2</v>
      </c>
      <c r="P7" s="82">
        <v>3.3753588815378897E-2</v>
      </c>
      <c r="Q7" s="82">
        <v>2.842896572768E-2</v>
      </c>
    </row>
    <row r="8" spans="1:41" ht="15" customHeight="1" x14ac:dyDescent="0.25">
      <c r="A8" s="81" t="s">
        <v>214</v>
      </c>
      <c r="B8" s="82">
        <v>6.2255798827366399E-2</v>
      </c>
      <c r="C8" s="82">
        <v>6.9630381784405795E-2</v>
      </c>
      <c r="D8" s="82">
        <v>7.5964989448169706E-2</v>
      </c>
      <c r="E8" s="82">
        <v>8.0839654293027405E-2</v>
      </c>
      <c r="F8" s="82">
        <v>8.3913956959762698E-2</v>
      </c>
      <c r="G8" s="82">
        <v>8.4964460686828197E-2</v>
      </c>
      <c r="H8" s="82">
        <v>8.3913956959762698E-2</v>
      </c>
      <c r="I8" s="82">
        <v>8.0839654293027405E-2</v>
      </c>
      <c r="J8" s="82">
        <v>7.5964989448169706E-2</v>
      </c>
      <c r="K8" s="82">
        <v>6.9630381784405795E-2</v>
      </c>
      <c r="L8" s="82">
        <v>6.2255798827366399E-2</v>
      </c>
      <c r="M8" s="82">
        <v>5.4293963230029899E-2</v>
      </c>
      <c r="N8" s="82">
        <v>4.6187069211584102E-2</v>
      </c>
      <c r="O8" s="82">
        <v>3.8324668822265998E-2</v>
      </c>
      <c r="P8" s="82">
        <v>3.1020275423828E-2</v>
      </c>
    </row>
    <row r="9" spans="1:41" ht="15" customHeight="1" x14ac:dyDescent="0.25">
      <c r="A9" s="81" t="s">
        <v>215</v>
      </c>
      <c r="B9" s="82">
        <v>6.2255798827366399E-2</v>
      </c>
      <c r="C9" s="82">
        <v>6.9630381784405795E-2</v>
      </c>
      <c r="D9" s="82">
        <v>7.5964989448169706E-2</v>
      </c>
      <c r="E9" s="82">
        <v>8.0839654293027405E-2</v>
      </c>
      <c r="F9" s="82">
        <v>8.3913956959762698E-2</v>
      </c>
      <c r="G9" s="82">
        <v>8.4964460686828197E-2</v>
      </c>
      <c r="H9" s="82">
        <v>8.3913956959762698E-2</v>
      </c>
      <c r="I9" s="82">
        <v>8.0839654293027405E-2</v>
      </c>
      <c r="J9" s="82">
        <v>7.5964989448169706E-2</v>
      </c>
      <c r="K9" s="82">
        <v>6.9630381784405795E-2</v>
      </c>
      <c r="L9" s="82">
        <v>6.2255798827366399E-2</v>
      </c>
      <c r="M9" s="82">
        <v>5.4293963230029899E-2</v>
      </c>
      <c r="N9" s="82">
        <v>4.6187069211584102E-2</v>
      </c>
      <c r="O9" s="82">
        <v>3.8324668822265998E-2</v>
      </c>
      <c r="P9" s="82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>
      <selection sqref="A1:D1"/>
    </sheetView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182" t="s">
        <v>462</v>
      </c>
      <c r="B1" s="181"/>
      <c r="C1" s="181"/>
      <c r="D1" s="181"/>
    </row>
    <row r="3" spans="1:4" ht="15" customHeight="1" x14ac:dyDescent="0.25">
      <c r="A3" s="6" t="s">
        <v>463</v>
      </c>
      <c r="B3" s="6"/>
      <c r="C3" s="6"/>
      <c r="D3" s="6"/>
    </row>
    <row r="4" spans="1:4" ht="15" customHeight="1" x14ac:dyDescent="0.25">
      <c r="A4" s="81" t="s">
        <v>464</v>
      </c>
      <c r="B4" s="82">
        <v>0.06</v>
      </c>
    </row>
    <row r="5" spans="1:4" ht="15" customHeight="1" x14ac:dyDescent="0.25">
      <c r="A5" s="81" t="s">
        <v>297</v>
      </c>
      <c r="B5" s="82">
        <v>0.06</v>
      </c>
    </row>
    <row r="6" spans="1:4" ht="15" customHeight="1" x14ac:dyDescent="0.25">
      <c r="A6" s="81" t="s">
        <v>465</v>
      </c>
      <c r="B6" s="82">
        <v>0.02</v>
      </c>
    </row>
    <row r="7" spans="1:4" ht="15" customHeight="1" x14ac:dyDescent="0.25">
      <c r="A7" s="81" t="s">
        <v>466</v>
      </c>
      <c r="B7" s="84">
        <f>B4+B5+B6</f>
        <v>0.13999999999999999</v>
      </c>
    </row>
    <row r="8" spans="1:4" ht="15" customHeight="1" x14ac:dyDescent="0.25">
      <c r="A8" s="81" t="s">
        <v>300</v>
      </c>
      <c r="B8" s="82">
        <v>9.1999999999999998E-2</v>
      </c>
    </row>
    <row r="9" spans="1:4" ht="15" customHeight="1" x14ac:dyDescent="0.25">
      <c r="A9" s="81" t="s">
        <v>467</v>
      </c>
      <c r="B9" s="84">
        <f>B7/(1+B7+B8)</f>
        <v>0.11363636363636363</v>
      </c>
    </row>
    <row r="10" spans="1:4" ht="15" customHeight="1" x14ac:dyDescent="0.25">
      <c r="A10" s="81" t="s">
        <v>468</v>
      </c>
      <c r="B10" s="84">
        <f>B4/(1+B7+B8)</f>
        <v>4.8701298701298697E-2</v>
      </c>
    </row>
    <row r="11" spans="1:4" ht="15" customHeight="1" x14ac:dyDescent="0.25">
      <c r="A11" s="81" t="s">
        <v>469</v>
      </c>
      <c r="B11" s="84">
        <f>B5/(1+B7+B8)</f>
        <v>4.8701298701298697E-2</v>
      </c>
    </row>
    <row r="12" spans="1:4" ht="15" customHeight="1" x14ac:dyDescent="0.25">
      <c r="A12" s="81" t="s">
        <v>470</v>
      </c>
      <c r="B12" s="84">
        <f>B6/(1+B7+B8)</f>
        <v>1.6233766233766236E-2</v>
      </c>
    </row>
    <row r="14" spans="1:4" ht="15" customHeight="1" x14ac:dyDescent="0.25">
      <c r="A14" s="6" t="s">
        <v>471</v>
      </c>
      <c r="B14" s="6"/>
      <c r="C14" s="6"/>
      <c r="D14" s="6"/>
    </row>
    <row r="15" spans="1:4" ht="15" customHeight="1" x14ac:dyDescent="0.25">
      <c r="A15" s="81" t="s">
        <v>304</v>
      </c>
      <c r="B15" s="82">
        <v>1.4999999999999999E-2</v>
      </c>
    </row>
    <row r="16" spans="1:4" ht="15" customHeight="1" x14ac:dyDescent="0.25">
      <c r="A16" s="81" t="s">
        <v>306</v>
      </c>
      <c r="B16" s="82">
        <v>7.4000000000000003E-3</v>
      </c>
    </row>
    <row r="17" spans="1:4" ht="15" customHeight="1" x14ac:dyDescent="0.25">
      <c r="A17" s="81" t="s">
        <v>308</v>
      </c>
      <c r="B17" s="82">
        <v>3.2500000000000001E-2</v>
      </c>
    </row>
    <row r="19" spans="1:4" ht="15" customHeight="1" x14ac:dyDescent="0.25">
      <c r="A19" s="6" t="s">
        <v>472</v>
      </c>
      <c r="B19" s="6"/>
      <c r="C19" s="6"/>
      <c r="D19" s="6"/>
    </row>
    <row r="20" spans="1:4" ht="15" customHeight="1" x14ac:dyDescent="0.25">
      <c r="A20" s="81" t="s">
        <v>473</v>
      </c>
      <c r="B20" s="82">
        <v>0.15</v>
      </c>
    </row>
    <row r="21" spans="1:4" ht="15" customHeight="1" x14ac:dyDescent="0.25">
      <c r="A21" s="81" t="s">
        <v>474</v>
      </c>
      <c r="B21" s="82">
        <v>5.0000000000000001E-3</v>
      </c>
    </row>
    <row r="22" spans="1:4" ht="15" customHeight="1" x14ac:dyDescent="0.25">
      <c r="A22" s="81" t="s">
        <v>475</v>
      </c>
      <c r="B22" s="82">
        <v>0.121</v>
      </c>
    </row>
    <row r="23" spans="1:4" ht="15" customHeight="1" x14ac:dyDescent="0.25">
      <c r="A23" s="81" t="s">
        <v>476</v>
      </c>
      <c r="B23" s="82">
        <v>8.9999999999999993E-3</v>
      </c>
    </row>
    <row r="25" spans="1:4" ht="15" customHeight="1" x14ac:dyDescent="0.25">
      <c r="A25" s="6" t="s">
        <v>477</v>
      </c>
      <c r="B25" s="6"/>
      <c r="C25" s="6"/>
      <c r="D25" s="6"/>
    </row>
    <row r="26" spans="1:4" ht="15" customHeight="1" x14ac:dyDescent="0.25">
      <c r="A26" s="81" t="s">
        <v>478</v>
      </c>
      <c r="B26" s="58">
        <v>0.02</v>
      </c>
    </row>
    <row r="28" spans="1:4" ht="15" customHeight="1" x14ac:dyDescent="0.25">
      <c r="A28" s="6" t="s">
        <v>479</v>
      </c>
      <c r="B28" s="6"/>
      <c r="C28" s="6"/>
      <c r="D28" s="6"/>
    </row>
    <row r="29" spans="1:4" ht="15" customHeight="1" x14ac:dyDescent="0.25">
      <c r="A29" s="81" t="s">
        <v>480</v>
      </c>
      <c r="B29" s="60">
        <v>1651915.69</v>
      </c>
    </row>
    <row r="30" spans="1:4" ht="15" customHeight="1" x14ac:dyDescent="0.25">
      <c r="A30" s="81" t="s">
        <v>481</v>
      </c>
      <c r="B30" s="60">
        <v>451631.16</v>
      </c>
    </row>
    <row r="32" spans="1:4" ht="15" customHeight="1" x14ac:dyDescent="0.25">
      <c r="A32" s="6" t="s">
        <v>482</v>
      </c>
      <c r="B32" s="6"/>
      <c r="C32" s="6"/>
      <c r="D32" s="6"/>
    </row>
    <row r="33" spans="1:4" ht="15" customHeight="1" x14ac:dyDescent="0.25">
      <c r="A33" s="81" t="s">
        <v>483</v>
      </c>
      <c r="B33" s="60">
        <v>1615485</v>
      </c>
    </row>
    <row r="34" spans="1:4" ht="15" customHeight="1" x14ac:dyDescent="0.25">
      <c r="A34" s="81" t="s">
        <v>484</v>
      </c>
      <c r="B34" s="82">
        <v>0.15</v>
      </c>
    </row>
    <row r="35" spans="1:4" ht="15" customHeight="1" x14ac:dyDescent="0.25">
      <c r="A35" s="81" t="s">
        <v>485</v>
      </c>
      <c r="B35" s="84">
        <f>B34/4</f>
        <v>3.7499999999999999E-2</v>
      </c>
    </row>
    <row r="36" spans="1:4" ht="15" customHeight="1" x14ac:dyDescent="0.25">
      <c r="A36" s="81" t="s">
        <v>486</v>
      </c>
      <c r="B36" s="60">
        <v>130000</v>
      </c>
    </row>
    <row r="37" spans="1:4" ht="15" customHeight="1" x14ac:dyDescent="0.25">
      <c r="A37" s="81" t="s">
        <v>487</v>
      </c>
      <c r="B37" s="85">
        <v>7</v>
      </c>
    </row>
    <row r="38" spans="1:4" ht="15" customHeight="1" x14ac:dyDescent="0.25">
      <c r="A38" s="86" t="s">
        <v>488</v>
      </c>
    </row>
    <row r="40" spans="1:4" ht="15" customHeight="1" x14ac:dyDescent="0.25">
      <c r="A40" s="6" t="s">
        <v>489</v>
      </c>
      <c r="B40" s="6"/>
      <c r="C40" s="6"/>
      <c r="D40" s="6"/>
    </row>
    <row r="41" spans="1:4" ht="15" customHeight="1" x14ac:dyDescent="0.25">
      <c r="A41" s="81" t="s">
        <v>490</v>
      </c>
      <c r="B41" s="60">
        <v>1000000</v>
      </c>
    </row>
    <row r="42" spans="1:4" ht="15" customHeight="1" x14ac:dyDescent="0.25">
      <c r="A42" s="81" t="s">
        <v>491</v>
      </c>
      <c r="B42" s="87">
        <f>B41*0.25</f>
        <v>250000</v>
      </c>
    </row>
    <row r="43" spans="1:4" ht="15" customHeight="1" x14ac:dyDescent="0.25">
      <c r="A43" s="81" t="s">
        <v>492</v>
      </c>
      <c r="B43" s="60">
        <v>1000000</v>
      </c>
    </row>
    <row r="44" spans="1:4" ht="15" customHeight="1" x14ac:dyDescent="0.25">
      <c r="A44" s="86" t="s">
        <v>493</v>
      </c>
    </row>
    <row r="46" spans="1:4" ht="15" customHeight="1" x14ac:dyDescent="0.25">
      <c r="A46" s="6" t="s">
        <v>494</v>
      </c>
      <c r="B46" s="6"/>
      <c r="C46" s="6"/>
      <c r="D46" s="6"/>
    </row>
    <row r="47" spans="1:4" ht="15" customHeight="1" x14ac:dyDescent="0.25">
      <c r="A47" s="81" t="s">
        <v>495</v>
      </c>
      <c r="B47" s="82">
        <v>0.01</v>
      </c>
    </row>
    <row r="48" spans="1:4" ht="15" customHeight="1" x14ac:dyDescent="0.25">
      <c r="A48" s="81" t="s">
        <v>496</v>
      </c>
      <c r="B48" s="82">
        <v>0.03</v>
      </c>
    </row>
    <row r="50" spans="1:4" ht="15" customHeight="1" x14ac:dyDescent="0.25">
      <c r="A50" s="6" t="s">
        <v>497</v>
      </c>
      <c r="B50" s="6"/>
      <c r="C50" s="88"/>
      <c r="D50" s="6"/>
    </row>
    <row r="51" spans="1:4" ht="15" customHeight="1" x14ac:dyDescent="0.25">
      <c r="A51" s="81" t="s">
        <v>108</v>
      </c>
      <c r="B51" s="60">
        <v>2000000</v>
      </c>
    </row>
    <row r="52" spans="1:4" ht="15" customHeight="1" x14ac:dyDescent="0.25">
      <c r="A52" s="81" t="s">
        <v>109</v>
      </c>
      <c r="B52" s="60">
        <v>2000000</v>
      </c>
    </row>
    <row r="53" spans="1:4" ht="15" customHeight="1" x14ac:dyDescent="0.25">
      <c r="A53" s="81" t="s">
        <v>107</v>
      </c>
      <c r="B53" s="60">
        <v>5000000</v>
      </c>
      <c r="C53" s="89"/>
    </row>
    <row r="54" spans="1:4" ht="15" customHeight="1" x14ac:dyDescent="0.25">
      <c r="A54" s="81" t="s">
        <v>112</v>
      </c>
      <c r="B54" s="60">
        <v>5000000</v>
      </c>
      <c r="C54" s="89"/>
    </row>
    <row r="55" spans="1:4" ht="15" customHeight="1" x14ac:dyDescent="0.25">
      <c r="A55" s="81" t="s">
        <v>115</v>
      </c>
      <c r="B55" s="60">
        <v>5000000</v>
      </c>
      <c r="C55" s="89"/>
    </row>
    <row r="57" spans="1:4" ht="15" customHeight="1" x14ac:dyDescent="0.25">
      <c r="A57" s="6" t="s">
        <v>498</v>
      </c>
      <c r="B57" s="6"/>
      <c r="C57" s="6"/>
      <c r="D57" s="6"/>
    </row>
    <row r="58" spans="1:4" ht="15" customHeight="1" x14ac:dyDescent="0.25">
      <c r="A58" s="81" t="s">
        <v>499</v>
      </c>
      <c r="B58" s="82">
        <v>0.15</v>
      </c>
    </row>
    <row r="59" spans="1:4" ht="15" customHeight="1" x14ac:dyDescent="0.25">
      <c r="A59" s="81" t="s">
        <v>500</v>
      </c>
      <c r="B59" s="84">
        <f>B58/4</f>
        <v>3.7499999999999999E-2</v>
      </c>
    </row>
    <row r="60" spans="1:4" ht="15" customHeight="1" x14ac:dyDescent="0.25">
      <c r="A60" s="81" t="s">
        <v>501</v>
      </c>
      <c r="B60" s="60">
        <v>0</v>
      </c>
    </row>
    <row r="61" spans="1:4" ht="15" customHeight="1" x14ac:dyDescent="0.25">
      <c r="A61" s="81" t="s">
        <v>502</v>
      </c>
      <c r="B61" s="60">
        <v>0</v>
      </c>
    </row>
    <row r="62" spans="1:4" ht="15" customHeight="1" x14ac:dyDescent="0.25">
      <c r="A62" s="81" t="s">
        <v>503</v>
      </c>
      <c r="B62" s="60">
        <v>1784000</v>
      </c>
    </row>
    <row r="63" spans="1:4" ht="15" customHeight="1" x14ac:dyDescent="0.25">
      <c r="A63" s="81" t="s">
        <v>504</v>
      </c>
      <c r="B63" s="60">
        <v>1766181</v>
      </c>
    </row>
    <row r="64" spans="1:4" ht="15" customHeight="1" x14ac:dyDescent="0.25">
      <c r="A64" s="86" t="s">
        <v>505</v>
      </c>
    </row>
    <row r="66" spans="1:2" ht="15" customHeight="1" x14ac:dyDescent="0.25">
      <c r="A66" s="4" t="s">
        <v>144</v>
      </c>
    </row>
    <row r="67" spans="1:2" ht="15" customHeight="1" x14ac:dyDescent="0.25">
      <c r="A67" s="89" t="s">
        <v>506</v>
      </c>
      <c r="B67" s="90">
        <v>833.33</v>
      </c>
    </row>
    <row r="68" spans="1:2" ht="15" customHeight="1" x14ac:dyDescent="0.25">
      <c r="A68" s="89" t="s">
        <v>507</v>
      </c>
      <c r="B68" s="89">
        <v>5</v>
      </c>
    </row>
    <row r="70" spans="1:2" ht="15" customHeight="1" x14ac:dyDescent="0.25">
      <c r="A70" s="91" t="s">
        <v>508</v>
      </c>
      <c r="B70" s="91"/>
    </row>
    <row r="71" spans="1:2" ht="15" customHeight="1" x14ac:dyDescent="0.25">
      <c r="A71" s="92" t="s">
        <v>509</v>
      </c>
      <c r="B71" s="93">
        <v>1134000</v>
      </c>
    </row>
    <row r="72" spans="1:2" ht="15" customHeight="1" x14ac:dyDescent="0.25">
      <c r="A72" s="94" t="s">
        <v>510</v>
      </c>
      <c r="B72" s="95">
        <v>50000</v>
      </c>
    </row>
    <row r="73" spans="1:2" ht="15" customHeight="1" x14ac:dyDescent="0.25">
      <c r="A73" s="92" t="s">
        <v>511</v>
      </c>
      <c r="B73" s="96">
        <v>14</v>
      </c>
    </row>
    <row r="74" spans="1:2" ht="15" customHeight="1" x14ac:dyDescent="0.25">
      <c r="A74" s="94" t="s">
        <v>210</v>
      </c>
      <c r="B74" s="95">
        <v>-1450000</v>
      </c>
    </row>
    <row r="75" spans="1:2" ht="15" customHeight="1" x14ac:dyDescent="0.25">
      <c r="A75" s="92" t="s">
        <v>512</v>
      </c>
      <c r="B75" s="93">
        <v>264927.15000000002</v>
      </c>
    </row>
    <row r="76" spans="1:2" ht="15" customHeight="1" x14ac:dyDescent="0.25">
      <c r="A76" s="94" t="s">
        <v>513</v>
      </c>
      <c r="B76" s="95">
        <v>883090.5</v>
      </c>
    </row>
    <row r="77" spans="1:2" ht="15" customHeight="1" x14ac:dyDescent="0.25">
      <c r="A77" s="92" t="s">
        <v>205</v>
      </c>
      <c r="B77" s="93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L1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</cols>
  <sheetData>
    <row r="1" spans="1:12" ht="27.75" customHeight="1" x14ac:dyDescent="0.25">
      <c r="A1" s="26" t="s">
        <v>327</v>
      </c>
      <c r="B1" s="26" t="s">
        <v>514</v>
      </c>
      <c r="C1" s="26" t="s">
        <v>4</v>
      </c>
      <c r="D1" s="26" t="s">
        <v>329</v>
      </c>
      <c r="E1" s="26" t="s">
        <v>417</v>
      </c>
      <c r="F1" s="26" t="s">
        <v>515</v>
      </c>
      <c r="G1" s="26" t="s">
        <v>6</v>
      </c>
      <c r="H1" s="26" t="s">
        <v>516</v>
      </c>
      <c r="I1" s="26" t="s">
        <v>517</v>
      </c>
      <c r="J1" s="26" t="s">
        <v>518</v>
      </c>
      <c r="K1" s="26" t="s">
        <v>331</v>
      </c>
      <c r="L1" s="26" t="s">
        <v>5</v>
      </c>
    </row>
    <row r="2" spans="1:12" ht="15" customHeight="1" x14ac:dyDescent="0.25">
      <c r="A2" s="81" t="s">
        <v>266</v>
      </c>
      <c r="B2" s="97">
        <v>5321971</v>
      </c>
      <c r="C2" s="98">
        <v>1</v>
      </c>
      <c r="D2" s="98">
        <v>8</v>
      </c>
      <c r="E2" s="98">
        <v>2</v>
      </c>
      <c r="F2" s="98" t="s">
        <v>334</v>
      </c>
      <c r="G2" s="98" t="s">
        <v>12</v>
      </c>
      <c r="H2" s="98">
        <v>0</v>
      </c>
      <c r="I2" s="84">
        <f>IF(H2=1,Assumptions!$B$16,IF(H2=2,Assumptions!$B$17,0))</f>
        <v>0</v>
      </c>
      <c r="J2" s="98" t="s">
        <v>334</v>
      </c>
      <c r="K2" s="98" t="s">
        <v>334</v>
      </c>
      <c r="L2" s="98" t="s">
        <v>519</v>
      </c>
    </row>
    <row r="3" spans="1:12" ht="15" customHeight="1" x14ac:dyDescent="0.25">
      <c r="A3" s="81" t="s">
        <v>270</v>
      </c>
      <c r="B3" s="97">
        <v>19982132</v>
      </c>
      <c r="C3" s="98">
        <v>1</v>
      </c>
      <c r="D3" s="98">
        <v>16</v>
      </c>
      <c r="E3" s="98">
        <v>2</v>
      </c>
      <c r="F3" s="98" t="s">
        <v>334</v>
      </c>
      <c r="G3" s="98" t="s">
        <v>12</v>
      </c>
      <c r="H3" s="98">
        <v>0</v>
      </c>
      <c r="I3" s="84">
        <f>IF(H3=1,Assumptions!$B$16,IF(H3=2,Assumptions!$B$17,0))</f>
        <v>0</v>
      </c>
      <c r="J3" s="98" t="s">
        <v>334</v>
      </c>
      <c r="K3" s="98" t="s">
        <v>334</v>
      </c>
      <c r="L3" s="98" t="s">
        <v>519</v>
      </c>
    </row>
    <row r="4" spans="1:12" ht="15" customHeight="1" x14ac:dyDescent="0.25">
      <c r="A4" s="81" t="s">
        <v>214</v>
      </c>
      <c r="B4" s="97">
        <v>11673185</v>
      </c>
      <c r="C4" s="98">
        <v>1</v>
      </c>
      <c r="D4" s="98">
        <v>15</v>
      </c>
      <c r="E4" s="98">
        <v>3</v>
      </c>
      <c r="F4" s="98" t="s">
        <v>12</v>
      </c>
      <c r="G4" s="98" t="s">
        <v>12</v>
      </c>
      <c r="H4" s="98">
        <v>1</v>
      </c>
      <c r="I4" s="84">
        <f>IF(H4=1,Assumptions!$B$16,IF(H4=2,Assumptions!$B$17,0))</f>
        <v>7.4000000000000003E-3</v>
      </c>
      <c r="J4" s="98" t="s">
        <v>334</v>
      </c>
      <c r="K4" s="98" t="s">
        <v>12</v>
      </c>
      <c r="L4" s="98" t="s">
        <v>520</v>
      </c>
    </row>
    <row r="5" spans="1:12" ht="15" customHeight="1" x14ac:dyDescent="0.25">
      <c r="A5" s="81" t="s">
        <v>215</v>
      </c>
      <c r="B5" s="97">
        <v>13492534</v>
      </c>
      <c r="C5" s="98">
        <v>1</v>
      </c>
      <c r="D5" s="98">
        <v>15</v>
      </c>
      <c r="E5" s="98">
        <v>3</v>
      </c>
      <c r="F5" s="98" t="s">
        <v>12</v>
      </c>
      <c r="G5" s="98" t="s">
        <v>12</v>
      </c>
      <c r="H5" s="98">
        <v>1</v>
      </c>
      <c r="I5" s="84">
        <f>IF(H5=1,Assumptions!$B$16,IF(H5=2,Assumptions!$B$17,0))</f>
        <v>7.4000000000000003E-3</v>
      </c>
      <c r="J5" s="98" t="s">
        <v>334</v>
      </c>
      <c r="K5" s="98" t="s">
        <v>12</v>
      </c>
      <c r="L5" s="98" t="s">
        <v>520</v>
      </c>
    </row>
    <row r="6" spans="1:12" ht="15" customHeight="1" x14ac:dyDescent="0.25">
      <c r="A6" s="81" t="s">
        <v>338</v>
      </c>
      <c r="B6" s="97">
        <v>4052747</v>
      </c>
      <c r="C6" s="98">
        <v>1</v>
      </c>
      <c r="D6" s="98">
        <v>19</v>
      </c>
      <c r="E6" s="98">
        <v>3</v>
      </c>
      <c r="F6" s="98" t="s">
        <v>334</v>
      </c>
      <c r="G6" s="98" t="s">
        <v>12</v>
      </c>
      <c r="H6" s="98">
        <v>0</v>
      </c>
      <c r="I6" s="84">
        <f>IF(H6=1,Assumptions!$B$16,IF(H6=2,Assumptions!$B$17,0))</f>
        <v>0</v>
      </c>
      <c r="J6" s="98" t="s">
        <v>334</v>
      </c>
      <c r="K6" s="98" t="s">
        <v>12</v>
      </c>
      <c r="L6" s="98" t="s">
        <v>520</v>
      </c>
    </row>
    <row r="7" spans="1:12" ht="15" customHeight="1" x14ac:dyDescent="0.25">
      <c r="A7" s="81" t="s">
        <v>107</v>
      </c>
      <c r="B7" s="97">
        <v>42968448</v>
      </c>
      <c r="C7" s="98">
        <v>4</v>
      </c>
      <c r="D7" s="98">
        <v>30</v>
      </c>
      <c r="E7" s="98">
        <v>1</v>
      </c>
      <c r="F7" s="98" t="s">
        <v>12</v>
      </c>
      <c r="G7" s="98" t="s">
        <v>12</v>
      </c>
      <c r="H7" s="98">
        <v>1</v>
      </c>
      <c r="I7" s="84">
        <f>IF(H7=1,Assumptions!$B$16,IF(H7=2,Assumptions!$B$17,0))</f>
        <v>7.4000000000000003E-3</v>
      </c>
      <c r="J7" s="98" t="s">
        <v>12</v>
      </c>
      <c r="K7" s="98" t="s">
        <v>12</v>
      </c>
      <c r="L7" s="98" t="s">
        <v>519</v>
      </c>
    </row>
    <row r="8" spans="1:12" ht="15" customHeight="1" x14ac:dyDescent="0.25">
      <c r="A8" s="81" t="s">
        <v>216</v>
      </c>
      <c r="B8" s="97">
        <v>13625772</v>
      </c>
      <c r="C8" s="98">
        <v>7</v>
      </c>
      <c r="D8" s="98">
        <v>19</v>
      </c>
      <c r="E8" s="98">
        <v>3</v>
      </c>
      <c r="F8" s="98" t="s">
        <v>12</v>
      </c>
      <c r="G8" s="98" t="s">
        <v>12</v>
      </c>
      <c r="H8" s="98">
        <v>1</v>
      </c>
      <c r="I8" s="84">
        <f>IF(H8=1,Assumptions!$B$16,IF(H8=2,Assumptions!$B$17,0))</f>
        <v>7.4000000000000003E-3</v>
      </c>
      <c r="J8" s="98" t="s">
        <v>334</v>
      </c>
      <c r="K8" s="98" t="s">
        <v>12</v>
      </c>
      <c r="L8" s="98" t="s">
        <v>520</v>
      </c>
    </row>
    <row r="9" spans="1:12" ht="15" customHeight="1" x14ac:dyDescent="0.25">
      <c r="A9" s="81" t="s">
        <v>217</v>
      </c>
      <c r="B9" s="97">
        <v>15844883</v>
      </c>
      <c r="C9" s="98">
        <v>7</v>
      </c>
      <c r="D9" s="98">
        <v>30</v>
      </c>
      <c r="E9" s="98">
        <v>1</v>
      </c>
      <c r="F9" s="98" t="s">
        <v>12</v>
      </c>
      <c r="G9" s="98" t="s">
        <v>12</v>
      </c>
      <c r="H9" s="98">
        <v>1</v>
      </c>
      <c r="I9" s="84">
        <f>IF(H9=1,Assumptions!$B$16,IF(H9=2,Assumptions!$B$17,0))</f>
        <v>7.4000000000000003E-3</v>
      </c>
      <c r="J9" s="98" t="s">
        <v>334</v>
      </c>
      <c r="K9" s="98" t="s">
        <v>12</v>
      </c>
      <c r="L9" s="98" t="s">
        <v>520</v>
      </c>
    </row>
    <row r="10" spans="1:12" ht="15" customHeight="1" x14ac:dyDescent="0.25">
      <c r="A10" s="81" t="s">
        <v>111</v>
      </c>
      <c r="B10" s="97">
        <v>21263405</v>
      </c>
      <c r="C10" s="98">
        <v>8</v>
      </c>
      <c r="D10" s="98">
        <v>24</v>
      </c>
      <c r="E10" s="98">
        <v>2</v>
      </c>
      <c r="F10" s="98" t="s">
        <v>12</v>
      </c>
      <c r="G10" s="98" t="s">
        <v>12</v>
      </c>
      <c r="H10" s="98">
        <v>1</v>
      </c>
      <c r="I10" s="84">
        <f>IF(H10=1,Assumptions!$B$16,IF(H10=2,Assumptions!$B$17,0))</f>
        <v>7.4000000000000003E-3</v>
      </c>
      <c r="J10" s="98" t="s">
        <v>334</v>
      </c>
      <c r="K10" s="98" t="s">
        <v>12</v>
      </c>
      <c r="L10" s="98" t="s">
        <v>520</v>
      </c>
    </row>
    <row r="11" spans="1:12" ht="15" customHeight="1" x14ac:dyDescent="0.25">
      <c r="A11" s="81" t="s">
        <v>108</v>
      </c>
      <c r="B11" s="97">
        <v>9577109</v>
      </c>
      <c r="C11" s="98">
        <v>5</v>
      </c>
      <c r="D11" s="98">
        <v>19</v>
      </c>
      <c r="E11" s="98">
        <v>3</v>
      </c>
      <c r="F11" s="98" t="s">
        <v>334</v>
      </c>
      <c r="G11" s="98" t="s">
        <v>12</v>
      </c>
      <c r="H11" s="98">
        <v>0</v>
      </c>
      <c r="I11" s="84">
        <f>IF(H11=1,Assumptions!$B$16,IF(H11=2,Assumptions!$B$17,0))</f>
        <v>0</v>
      </c>
      <c r="J11" s="98" t="s">
        <v>12</v>
      </c>
      <c r="K11" s="98" t="s">
        <v>334</v>
      </c>
      <c r="L11" s="98" t="s">
        <v>519</v>
      </c>
    </row>
    <row r="12" spans="1:12" ht="15" customHeight="1" x14ac:dyDescent="0.25">
      <c r="A12" s="81" t="s">
        <v>109</v>
      </c>
      <c r="B12" s="97">
        <v>7545203</v>
      </c>
      <c r="C12" s="98">
        <v>6</v>
      </c>
      <c r="D12" s="98">
        <v>19</v>
      </c>
      <c r="E12" s="98">
        <v>3</v>
      </c>
      <c r="F12" s="98" t="s">
        <v>334</v>
      </c>
      <c r="G12" s="98" t="s">
        <v>12</v>
      </c>
      <c r="H12" s="98">
        <v>0</v>
      </c>
      <c r="I12" s="84">
        <f>IF(H12=1,Assumptions!$B$16,IF(H12=2,Assumptions!$B$17,0))</f>
        <v>0</v>
      </c>
      <c r="J12" s="98" t="s">
        <v>12</v>
      </c>
      <c r="K12" s="98" t="s">
        <v>334</v>
      </c>
      <c r="L12" s="98" t="s">
        <v>519</v>
      </c>
    </row>
    <row r="13" spans="1:12" ht="15" customHeight="1" x14ac:dyDescent="0.25">
      <c r="A13" s="81" t="s">
        <v>112</v>
      </c>
      <c r="B13" s="97">
        <v>45266770</v>
      </c>
      <c r="C13" s="98">
        <v>13</v>
      </c>
      <c r="D13" s="98">
        <v>30</v>
      </c>
      <c r="E13" s="98">
        <v>1</v>
      </c>
      <c r="F13" s="98" t="s">
        <v>12</v>
      </c>
      <c r="G13" s="98" t="s">
        <v>12</v>
      </c>
      <c r="H13" s="98">
        <v>2</v>
      </c>
      <c r="I13" s="84">
        <f>IF(H13=1,Assumptions!$B$16,IF(H13=2,Assumptions!$B$17,0))</f>
        <v>3.2500000000000001E-2</v>
      </c>
      <c r="J13" s="98" t="s">
        <v>12</v>
      </c>
      <c r="K13" s="98" t="s">
        <v>12</v>
      </c>
      <c r="L13" s="98" t="s">
        <v>519</v>
      </c>
    </row>
    <row r="14" spans="1:12" ht="15" customHeight="1" x14ac:dyDescent="0.25">
      <c r="A14" s="81" t="s">
        <v>115</v>
      </c>
      <c r="B14" s="97">
        <v>41354632</v>
      </c>
      <c r="C14" s="98">
        <v>27</v>
      </c>
      <c r="D14" s="98">
        <v>30</v>
      </c>
      <c r="E14" s="98">
        <v>1</v>
      </c>
      <c r="F14" s="98" t="s">
        <v>12</v>
      </c>
      <c r="G14" s="98" t="s">
        <v>12</v>
      </c>
      <c r="H14" s="98">
        <v>2</v>
      </c>
      <c r="I14" s="84">
        <f>IF(H14=1,Assumptions!$B$16,IF(H14=2,Assumptions!$B$17,0))</f>
        <v>3.2500000000000001E-2</v>
      </c>
      <c r="J14" s="98" t="s">
        <v>12</v>
      </c>
      <c r="K14" s="98" t="s">
        <v>12</v>
      </c>
      <c r="L14" s="98" t="s">
        <v>519</v>
      </c>
    </row>
    <row r="15" spans="1:12" ht="15" customHeight="1" x14ac:dyDescent="0.25">
      <c r="A15" s="81" t="s">
        <v>113</v>
      </c>
      <c r="B15" s="97">
        <v>15179956</v>
      </c>
      <c r="C15" s="98">
        <v>16</v>
      </c>
      <c r="D15" s="98">
        <v>19</v>
      </c>
      <c r="E15" s="98">
        <v>3</v>
      </c>
      <c r="F15" s="98" t="s">
        <v>12</v>
      </c>
      <c r="G15" s="98" t="s">
        <v>334</v>
      </c>
      <c r="H15" s="98">
        <v>2</v>
      </c>
      <c r="I15" s="84">
        <f>IF(H15=1,Assumptions!$B$16,IF(H15=2,Assumptions!$B$17,0))</f>
        <v>3.2500000000000001E-2</v>
      </c>
      <c r="J15" s="98" t="s">
        <v>334</v>
      </c>
      <c r="K15" s="98" t="s">
        <v>12</v>
      </c>
      <c r="L15" s="98" t="s">
        <v>520</v>
      </c>
    </row>
    <row r="16" spans="1:12" ht="15" customHeight="1" x14ac:dyDescent="0.25">
      <c r="A16" s="81" t="s">
        <v>114</v>
      </c>
      <c r="B16" s="97">
        <v>15179956</v>
      </c>
      <c r="C16" s="98">
        <v>19</v>
      </c>
      <c r="D16" s="98">
        <v>19</v>
      </c>
      <c r="E16" s="98">
        <v>3</v>
      </c>
      <c r="F16" s="98" t="s">
        <v>12</v>
      </c>
      <c r="G16" s="98" t="s">
        <v>334</v>
      </c>
      <c r="H16" s="98">
        <v>2</v>
      </c>
      <c r="I16" s="84">
        <f>IF(H16=1,Assumptions!$B$16,IF(H16=2,Assumptions!$B$17,0))</f>
        <v>3.2500000000000001E-2</v>
      </c>
      <c r="J16" s="98" t="s">
        <v>334</v>
      </c>
      <c r="K16" s="98" t="s">
        <v>12</v>
      </c>
      <c r="L16" s="98" t="s">
        <v>520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I34"/>
  <sheetViews>
    <sheetView zoomScaleNormal="100" workbookViewId="0">
      <selection activeCell="A15" sqref="A15"/>
    </sheetView>
  </sheetViews>
  <sheetFormatPr defaultColWidth="8.7109375" defaultRowHeight="15" customHeight="1" x14ac:dyDescent="0.25"/>
  <cols>
    <col min="1" max="2" width="26" customWidth="1"/>
    <col min="3" max="3" width="16" customWidth="1"/>
    <col min="4" max="5" width="14" customWidth="1"/>
    <col min="7" max="7" width="10" customWidth="1"/>
    <col min="8" max="9" width="12" customWidth="1"/>
  </cols>
  <sheetData>
    <row r="1" spans="1:9" ht="27.75" customHeight="1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</row>
    <row r="2" spans="1:9" ht="15" customHeight="1" x14ac:dyDescent="0.25">
      <c r="A2" s="81" t="s">
        <v>9</v>
      </c>
      <c r="B2" s="81" t="s">
        <v>10</v>
      </c>
      <c r="C2" s="97">
        <v>400000</v>
      </c>
      <c r="D2" s="87">
        <f t="shared" ref="D2:D25" si="0">C2/12</f>
        <v>33333.333333333336</v>
      </c>
      <c r="E2" s="98">
        <v>1</v>
      </c>
      <c r="F2" s="81" t="s">
        <v>11</v>
      </c>
      <c r="G2" s="85" t="s">
        <v>12</v>
      </c>
      <c r="H2" s="82">
        <v>0.5</v>
      </c>
      <c r="I2" s="84">
        <v>0</v>
      </c>
    </row>
    <row r="3" spans="1:9" ht="15" customHeight="1" x14ac:dyDescent="0.25">
      <c r="A3" s="81" t="s">
        <v>13</v>
      </c>
      <c r="B3" s="81" t="s">
        <v>10</v>
      </c>
      <c r="C3" s="97">
        <v>250000</v>
      </c>
      <c r="D3" s="87">
        <f t="shared" si="0"/>
        <v>20833.333333333332</v>
      </c>
      <c r="E3" s="98">
        <v>1</v>
      </c>
      <c r="F3" s="81" t="s">
        <v>11</v>
      </c>
      <c r="G3" s="85" t="s">
        <v>12</v>
      </c>
      <c r="H3" s="82">
        <v>0.5</v>
      </c>
      <c r="I3" s="84">
        <v>0</v>
      </c>
    </row>
    <row r="4" spans="1:9" ht="15" customHeight="1" x14ac:dyDescent="0.25">
      <c r="A4" s="81" t="s">
        <v>14</v>
      </c>
      <c r="B4" s="81" t="s">
        <v>15</v>
      </c>
      <c r="C4" s="97">
        <v>190000</v>
      </c>
      <c r="D4" s="87">
        <f t="shared" si="0"/>
        <v>15833.333333333334</v>
      </c>
      <c r="E4" s="98">
        <v>1</v>
      </c>
      <c r="F4" s="81" t="s">
        <v>11</v>
      </c>
      <c r="G4" s="85" t="s">
        <v>12</v>
      </c>
      <c r="H4" s="82">
        <v>0</v>
      </c>
      <c r="I4" s="84">
        <v>0</v>
      </c>
    </row>
    <row r="5" spans="1:9" ht="15" customHeight="1" x14ac:dyDescent="0.25">
      <c r="A5" s="81" t="s">
        <v>16</v>
      </c>
      <c r="B5" s="81" t="s">
        <v>15</v>
      </c>
      <c r="C5" s="97">
        <v>200000</v>
      </c>
      <c r="D5" s="87">
        <f t="shared" si="0"/>
        <v>16666.666666666668</v>
      </c>
      <c r="E5" s="98">
        <v>1</v>
      </c>
      <c r="F5" s="81" t="s">
        <v>11</v>
      </c>
      <c r="G5" s="85" t="s">
        <v>12</v>
      </c>
      <c r="H5" s="82">
        <v>0</v>
      </c>
      <c r="I5" s="84">
        <v>0</v>
      </c>
    </row>
    <row r="6" spans="1:9" ht="15" customHeight="1" x14ac:dyDescent="0.25">
      <c r="A6" s="99" t="s">
        <v>17</v>
      </c>
      <c r="B6" s="81" t="s">
        <v>15</v>
      </c>
      <c r="C6" s="97">
        <v>175000</v>
      </c>
      <c r="D6" s="87">
        <f t="shared" si="0"/>
        <v>14583.333333333334</v>
      </c>
      <c r="E6" s="98">
        <v>2</v>
      </c>
      <c r="F6" s="81" t="s">
        <v>11</v>
      </c>
      <c r="G6" s="85" t="s">
        <v>12</v>
      </c>
      <c r="H6" s="82">
        <v>0</v>
      </c>
      <c r="I6" s="84">
        <v>0</v>
      </c>
    </row>
    <row r="7" spans="1:9" ht="15" customHeight="1" x14ac:dyDescent="0.25">
      <c r="A7" s="81" t="s">
        <v>18</v>
      </c>
      <c r="B7" s="81" t="s">
        <v>19</v>
      </c>
      <c r="C7" s="97">
        <v>145000</v>
      </c>
      <c r="D7" s="87">
        <f t="shared" si="0"/>
        <v>12083.333333333334</v>
      </c>
      <c r="E7" s="98">
        <v>1</v>
      </c>
      <c r="F7" s="81" t="s">
        <v>11</v>
      </c>
      <c r="G7" s="85" t="s">
        <v>12</v>
      </c>
      <c r="H7" s="82">
        <v>0</v>
      </c>
      <c r="I7" s="84">
        <v>0</v>
      </c>
    </row>
    <row r="8" spans="1:9" ht="15" customHeight="1" x14ac:dyDescent="0.25">
      <c r="A8" s="81" t="s">
        <v>20</v>
      </c>
      <c r="B8" s="81" t="s">
        <v>19</v>
      </c>
      <c r="C8" s="97">
        <v>185000</v>
      </c>
      <c r="D8" s="87">
        <f t="shared" si="0"/>
        <v>15416.666666666666</v>
      </c>
      <c r="E8" s="98">
        <v>1</v>
      </c>
      <c r="F8" s="81" t="s">
        <v>11</v>
      </c>
      <c r="G8" s="85" t="s">
        <v>12</v>
      </c>
      <c r="H8" s="82">
        <v>0</v>
      </c>
      <c r="I8" s="84">
        <v>0</v>
      </c>
    </row>
    <row r="9" spans="1:9" ht="15" customHeight="1" x14ac:dyDescent="0.25">
      <c r="A9" s="99" t="s">
        <v>21</v>
      </c>
      <c r="B9" s="81" t="s">
        <v>19</v>
      </c>
      <c r="C9" s="97">
        <v>135000</v>
      </c>
      <c r="D9" s="87">
        <f t="shared" si="0"/>
        <v>11250</v>
      </c>
      <c r="E9" s="98">
        <v>2</v>
      </c>
      <c r="F9" s="81" t="s">
        <v>11</v>
      </c>
      <c r="G9" s="85" t="s">
        <v>12</v>
      </c>
      <c r="H9" s="82">
        <v>0</v>
      </c>
      <c r="I9" s="84">
        <v>0</v>
      </c>
    </row>
    <row r="10" spans="1:9" ht="15" customHeight="1" x14ac:dyDescent="0.25">
      <c r="A10" s="99" t="s">
        <v>22</v>
      </c>
      <c r="B10" s="81" t="s">
        <v>19</v>
      </c>
      <c r="C10" s="97">
        <v>135000</v>
      </c>
      <c r="D10" s="87">
        <f t="shared" si="0"/>
        <v>11250</v>
      </c>
      <c r="E10" s="98">
        <v>3</v>
      </c>
      <c r="F10" s="81" t="s">
        <v>11</v>
      </c>
      <c r="G10" s="85" t="s">
        <v>12</v>
      </c>
      <c r="H10" s="82">
        <v>0</v>
      </c>
      <c r="I10" s="84">
        <v>0</v>
      </c>
    </row>
    <row r="11" spans="1:9" ht="15" customHeight="1" x14ac:dyDescent="0.25">
      <c r="A11" s="81" t="s">
        <v>23</v>
      </c>
      <c r="B11" s="81" t="s">
        <v>24</v>
      </c>
      <c r="C11" s="97">
        <v>150000</v>
      </c>
      <c r="D11" s="87">
        <f t="shared" si="0"/>
        <v>12500</v>
      </c>
      <c r="E11" s="98">
        <v>1</v>
      </c>
      <c r="F11" s="81" t="s">
        <v>11</v>
      </c>
      <c r="G11" s="85" t="s">
        <v>12</v>
      </c>
      <c r="H11" s="82">
        <v>0</v>
      </c>
      <c r="I11" s="84">
        <v>0</v>
      </c>
    </row>
    <row r="12" spans="1:9" ht="15" customHeight="1" x14ac:dyDescent="0.25">
      <c r="A12" s="81" t="s">
        <v>25</v>
      </c>
      <c r="B12" s="81" t="s">
        <v>24</v>
      </c>
      <c r="C12" s="97">
        <v>150000</v>
      </c>
      <c r="D12" s="87">
        <f t="shared" si="0"/>
        <v>12500</v>
      </c>
      <c r="E12" s="98">
        <v>1</v>
      </c>
      <c r="F12" s="81" t="s">
        <v>11</v>
      </c>
      <c r="G12" s="85" t="s">
        <v>12</v>
      </c>
      <c r="H12" s="82">
        <v>0</v>
      </c>
      <c r="I12" s="84">
        <v>0</v>
      </c>
    </row>
    <row r="13" spans="1:9" ht="15" customHeight="1" x14ac:dyDescent="0.25">
      <c r="A13" s="81" t="s">
        <v>26</v>
      </c>
      <c r="B13" s="81" t="s">
        <v>24</v>
      </c>
      <c r="C13" s="97">
        <v>110000</v>
      </c>
      <c r="D13" s="87">
        <f t="shared" si="0"/>
        <v>9166.6666666666661</v>
      </c>
      <c r="E13" s="98">
        <v>1</v>
      </c>
      <c r="F13" s="81" t="s">
        <v>11</v>
      </c>
      <c r="G13" s="85" t="s">
        <v>12</v>
      </c>
      <c r="H13" s="82">
        <v>0</v>
      </c>
      <c r="I13" s="84">
        <v>0</v>
      </c>
    </row>
    <row r="14" spans="1:9" ht="15" customHeight="1" x14ac:dyDescent="0.25">
      <c r="A14" s="81" t="s">
        <v>27</v>
      </c>
      <c r="B14" s="81" t="s">
        <v>28</v>
      </c>
      <c r="C14" s="97">
        <v>75000</v>
      </c>
      <c r="D14" s="87">
        <f t="shared" si="0"/>
        <v>6250</v>
      </c>
      <c r="E14" s="98">
        <v>1</v>
      </c>
      <c r="F14" s="81" t="s">
        <v>11</v>
      </c>
      <c r="G14" s="85" t="s">
        <v>12</v>
      </c>
      <c r="H14" s="82">
        <v>0</v>
      </c>
      <c r="I14" s="84">
        <v>0</v>
      </c>
    </row>
    <row r="15" spans="1:9" ht="15" customHeight="1" x14ac:dyDescent="0.25">
      <c r="A15" s="99" t="s">
        <v>29</v>
      </c>
      <c r="B15" s="81" t="s">
        <v>28</v>
      </c>
      <c r="C15" s="97">
        <v>125000</v>
      </c>
      <c r="D15" s="87">
        <f t="shared" si="0"/>
        <v>10416.666666666666</v>
      </c>
      <c r="E15" s="98">
        <v>2</v>
      </c>
      <c r="F15" s="81" t="s">
        <v>11</v>
      </c>
      <c r="G15" s="85" t="s">
        <v>12</v>
      </c>
      <c r="H15" s="82">
        <v>0</v>
      </c>
      <c r="I15" s="84">
        <v>0</v>
      </c>
    </row>
    <row r="16" spans="1:9" ht="15" customHeight="1" x14ac:dyDescent="0.25">
      <c r="A16" s="99" t="s">
        <v>30</v>
      </c>
      <c r="B16" s="81" t="s">
        <v>28</v>
      </c>
      <c r="C16" s="97">
        <v>125000</v>
      </c>
      <c r="D16" s="87">
        <f t="shared" si="0"/>
        <v>10416.666666666666</v>
      </c>
      <c r="E16" s="98">
        <v>3</v>
      </c>
      <c r="F16" s="81" t="s">
        <v>11</v>
      </c>
      <c r="G16" s="85" t="s">
        <v>12</v>
      </c>
      <c r="H16" s="82">
        <v>0</v>
      </c>
      <c r="I16" s="84">
        <v>0</v>
      </c>
    </row>
    <row r="17" spans="1:9" ht="15" customHeight="1" x14ac:dyDescent="0.25">
      <c r="A17" s="99" t="s">
        <v>31</v>
      </c>
      <c r="B17" s="81" t="s">
        <v>28</v>
      </c>
      <c r="C17" s="97">
        <v>125000</v>
      </c>
      <c r="D17" s="87">
        <f t="shared" si="0"/>
        <v>10416.666666666666</v>
      </c>
      <c r="E17" s="98">
        <v>4</v>
      </c>
      <c r="F17" s="81" t="s">
        <v>11</v>
      </c>
      <c r="G17" s="85" t="s">
        <v>12</v>
      </c>
      <c r="H17" s="82">
        <v>0</v>
      </c>
      <c r="I17" s="84">
        <v>0</v>
      </c>
    </row>
    <row r="18" spans="1:9" ht="15" customHeight="1" x14ac:dyDescent="0.25">
      <c r="A18" s="99" t="s">
        <v>32</v>
      </c>
      <c r="B18" s="81" t="s">
        <v>28</v>
      </c>
      <c r="C18" s="97">
        <v>125000</v>
      </c>
      <c r="D18" s="87">
        <f t="shared" si="0"/>
        <v>10416.666666666666</v>
      </c>
      <c r="E18" s="98">
        <v>5</v>
      </c>
      <c r="F18" s="81" t="s">
        <v>11</v>
      </c>
      <c r="G18" s="85" t="s">
        <v>12</v>
      </c>
      <c r="H18" s="82">
        <v>0</v>
      </c>
      <c r="I18" s="84">
        <v>0</v>
      </c>
    </row>
    <row r="19" spans="1:9" ht="15" customHeight="1" x14ac:dyDescent="0.25">
      <c r="A19" s="81" t="s">
        <v>33</v>
      </c>
      <c r="B19" s="81" t="s">
        <v>34</v>
      </c>
      <c r="C19" s="97">
        <v>62400</v>
      </c>
      <c r="D19" s="87">
        <f t="shared" si="0"/>
        <v>5200</v>
      </c>
      <c r="E19" s="98">
        <v>1</v>
      </c>
      <c r="F19" s="81" t="s">
        <v>11</v>
      </c>
      <c r="G19" s="85" t="s">
        <v>12</v>
      </c>
      <c r="H19" s="82">
        <v>0</v>
      </c>
      <c r="I19" s="84">
        <v>0</v>
      </c>
    </row>
    <row r="20" spans="1:9" ht="15" customHeight="1" x14ac:dyDescent="0.25">
      <c r="A20" s="81" t="s">
        <v>35</v>
      </c>
      <c r="B20" s="81" t="s">
        <v>34</v>
      </c>
      <c r="C20" s="97">
        <v>85000</v>
      </c>
      <c r="D20" s="87">
        <f t="shared" si="0"/>
        <v>7083.333333333333</v>
      </c>
      <c r="E20" s="98">
        <v>1</v>
      </c>
      <c r="F20" s="81" t="s">
        <v>11</v>
      </c>
      <c r="G20" s="85" t="s">
        <v>12</v>
      </c>
      <c r="H20" s="82">
        <v>0</v>
      </c>
      <c r="I20" s="84">
        <v>0</v>
      </c>
    </row>
    <row r="21" spans="1:9" ht="15" customHeight="1" x14ac:dyDescent="0.25">
      <c r="A21" s="81" t="s">
        <v>36</v>
      </c>
      <c r="B21" s="81" t="s">
        <v>37</v>
      </c>
      <c r="C21" s="97">
        <v>69992</v>
      </c>
      <c r="D21" s="87">
        <f t="shared" si="0"/>
        <v>5832.666666666667</v>
      </c>
      <c r="E21" s="98">
        <v>1</v>
      </c>
      <c r="F21" s="81" t="s">
        <v>11</v>
      </c>
      <c r="G21" s="85" t="s">
        <v>12</v>
      </c>
      <c r="H21" s="82">
        <v>0</v>
      </c>
      <c r="I21" s="84">
        <v>0</v>
      </c>
    </row>
    <row r="22" spans="1:9" ht="15" customHeight="1" x14ac:dyDescent="0.25">
      <c r="A22" s="81" t="s">
        <v>38</v>
      </c>
      <c r="B22" s="81" t="s">
        <v>37</v>
      </c>
      <c r="C22" s="97">
        <v>52000</v>
      </c>
      <c r="D22" s="87">
        <f t="shared" si="0"/>
        <v>4333.333333333333</v>
      </c>
      <c r="E22" s="98">
        <v>1</v>
      </c>
      <c r="F22" s="81" t="s">
        <v>11</v>
      </c>
      <c r="G22" s="85" t="s">
        <v>12</v>
      </c>
      <c r="H22" s="82">
        <v>0</v>
      </c>
      <c r="I22" s="84">
        <v>0</v>
      </c>
    </row>
    <row r="23" spans="1:9" ht="15" customHeight="1" x14ac:dyDescent="0.25">
      <c r="A23" s="81" t="s">
        <v>39</v>
      </c>
      <c r="B23" s="81" t="s">
        <v>40</v>
      </c>
      <c r="C23" s="97">
        <v>70000</v>
      </c>
      <c r="D23" s="87">
        <f t="shared" si="0"/>
        <v>5833.333333333333</v>
      </c>
      <c r="E23" s="98">
        <v>1</v>
      </c>
      <c r="F23" s="81" t="s">
        <v>11</v>
      </c>
      <c r="G23" s="85" t="s">
        <v>12</v>
      </c>
      <c r="H23" s="82">
        <v>0</v>
      </c>
      <c r="I23" s="84">
        <v>0</v>
      </c>
    </row>
    <row r="24" spans="1:9" ht="15" customHeight="1" x14ac:dyDescent="0.25">
      <c r="A24" s="81" t="s">
        <v>41</v>
      </c>
      <c r="B24" s="81" t="s">
        <v>40</v>
      </c>
      <c r="C24" s="97">
        <v>97500</v>
      </c>
      <c r="D24" s="87">
        <f t="shared" si="0"/>
        <v>8125</v>
      </c>
      <c r="E24" s="98">
        <v>1</v>
      </c>
      <c r="F24" s="81" t="s">
        <v>11</v>
      </c>
      <c r="G24" s="85" t="s">
        <v>12</v>
      </c>
      <c r="H24" s="82">
        <v>0</v>
      </c>
      <c r="I24" s="84">
        <v>0</v>
      </c>
    </row>
    <row r="25" spans="1:9" ht="15" customHeight="1" x14ac:dyDescent="0.25">
      <c r="A25" s="99" t="s">
        <v>42</v>
      </c>
      <c r="B25" s="81" t="s">
        <v>40</v>
      </c>
      <c r="C25" s="97">
        <v>100000</v>
      </c>
      <c r="D25" s="87">
        <f t="shared" si="0"/>
        <v>8333.3333333333339</v>
      </c>
      <c r="E25" s="98">
        <v>3</v>
      </c>
      <c r="F25" s="81" t="s">
        <v>11</v>
      </c>
      <c r="G25" s="85" t="s">
        <v>12</v>
      </c>
      <c r="H25" s="82">
        <v>0</v>
      </c>
      <c r="I25" s="84">
        <v>0</v>
      </c>
    </row>
    <row r="27" spans="1:9" ht="15" customHeight="1" x14ac:dyDescent="0.25">
      <c r="A27" s="6" t="s">
        <v>43</v>
      </c>
      <c r="B27" s="6"/>
      <c r="C27" s="6"/>
      <c r="D27" s="6"/>
      <c r="E27" s="6"/>
      <c r="F27" s="6"/>
      <c r="G27" s="6"/>
      <c r="H27" s="6"/>
      <c r="I27" s="6"/>
    </row>
    <row r="28" spans="1:9" ht="15" customHeight="1" x14ac:dyDescent="0.25">
      <c r="A28" s="81" t="s">
        <v>44</v>
      </c>
      <c r="B28" s="81" t="s">
        <v>45</v>
      </c>
      <c r="C28" s="97">
        <v>400000</v>
      </c>
      <c r="D28" s="87">
        <f t="shared" ref="D28:D34" si="1">C28/12</f>
        <v>33333.333333333336</v>
      </c>
      <c r="E28" s="98">
        <v>1</v>
      </c>
      <c r="F28" s="81" t="s">
        <v>46</v>
      </c>
      <c r="G28" s="85" t="s">
        <v>12</v>
      </c>
      <c r="H28" s="82">
        <v>1</v>
      </c>
      <c r="I28" s="58">
        <v>0.5</v>
      </c>
    </row>
    <row r="29" spans="1:9" ht="15" customHeight="1" x14ac:dyDescent="0.25">
      <c r="A29" s="81" t="s">
        <v>47</v>
      </c>
      <c r="B29" s="81" t="s">
        <v>45</v>
      </c>
      <c r="C29" s="97">
        <v>400000</v>
      </c>
      <c r="D29" s="87">
        <f t="shared" si="1"/>
        <v>33333.333333333336</v>
      </c>
      <c r="E29" s="98">
        <v>1</v>
      </c>
      <c r="F29" s="81" t="s">
        <v>46</v>
      </c>
      <c r="G29" s="85" t="s">
        <v>12</v>
      </c>
      <c r="H29" s="82">
        <v>1</v>
      </c>
      <c r="I29" s="58">
        <v>0.2</v>
      </c>
    </row>
    <row r="30" spans="1:9" ht="15" customHeight="1" x14ac:dyDescent="0.25">
      <c r="A30" s="81" t="s">
        <v>48</v>
      </c>
      <c r="B30" s="81" t="s">
        <v>49</v>
      </c>
      <c r="C30" s="97">
        <v>222000</v>
      </c>
      <c r="D30" s="87">
        <f t="shared" si="1"/>
        <v>18500</v>
      </c>
      <c r="E30" s="98">
        <v>1</v>
      </c>
      <c r="F30" s="81" t="s">
        <v>46</v>
      </c>
      <c r="G30" s="85" t="s">
        <v>12</v>
      </c>
      <c r="H30" s="82">
        <v>1</v>
      </c>
      <c r="I30" s="82">
        <v>0</v>
      </c>
    </row>
    <row r="31" spans="1:9" ht="15" customHeight="1" x14ac:dyDescent="0.25">
      <c r="A31" s="81" t="s">
        <v>50</v>
      </c>
      <c r="B31" s="81" t="s">
        <v>51</v>
      </c>
      <c r="C31" s="97">
        <v>115000</v>
      </c>
      <c r="D31" s="87">
        <f t="shared" si="1"/>
        <v>9583.3333333333339</v>
      </c>
      <c r="E31" s="98">
        <v>1</v>
      </c>
      <c r="F31" s="81" t="s">
        <v>46</v>
      </c>
      <c r="G31" s="85" t="s">
        <v>12</v>
      </c>
      <c r="H31" s="82">
        <v>1</v>
      </c>
      <c r="I31" s="82">
        <v>0</v>
      </c>
    </row>
    <row r="32" spans="1:9" ht="15" customHeight="1" x14ac:dyDescent="0.25">
      <c r="A32" s="81" t="s">
        <v>52</v>
      </c>
      <c r="B32" s="81" t="s">
        <v>53</v>
      </c>
      <c r="C32" s="97">
        <v>250000</v>
      </c>
      <c r="D32" s="87">
        <f t="shared" si="1"/>
        <v>20833.333333333332</v>
      </c>
      <c r="E32" s="98">
        <v>1</v>
      </c>
      <c r="F32" s="81" t="s">
        <v>46</v>
      </c>
      <c r="G32" s="85" t="s">
        <v>12</v>
      </c>
      <c r="H32" s="82">
        <v>0</v>
      </c>
      <c r="I32" s="58">
        <v>0.3</v>
      </c>
    </row>
    <row r="33" spans="1:9" ht="15" customHeight="1" x14ac:dyDescent="0.25">
      <c r="A33" s="81" t="s">
        <v>54</v>
      </c>
      <c r="B33" s="81" t="s">
        <v>55</v>
      </c>
      <c r="C33" s="97">
        <v>150000</v>
      </c>
      <c r="D33" s="87">
        <f t="shared" si="1"/>
        <v>12500</v>
      </c>
      <c r="E33" s="98">
        <v>1</v>
      </c>
      <c r="F33" s="81" t="s">
        <v>46</v>
      </c>
      <c r="G33" s="85" t="s">
        <v>12</v>
      </c>
      <c r="H33" s="82">
        <v>0</v>
      </c>
      <c r="I33" s="58">
        <v>0.75</v>
      </c>
    </row>
    <row r="34" spans="1:9" ht="15" customHeight="1" x14ac:dyDescent="0.25">
      <c r="A34" s="81" t="s">
        <v>56</v>
      </c>
      <c r="B34" s="81" t="s">
        <v>57</v>
      </c>
      <c r="C34" s="97">
        <v>250000</v>
      </c>
      <c r="D34" s="87">
        <f t="shared" si="1"/>
        <v>20833.333333333332</v>
      </c>
      <c r="E34" s="98">
        <v>1</v>
      </c>
      <c r="F34" s="81" t="s">
        <v>46</v>
      </c>
      <c r="G34" s="85" t="s">
        <v>12</v>
      </c>
      <c r="H34" s="82">
        <v>0</v>
      </c>
      <c r="I34" s="58">
        <v>0.75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521</v>
      </c>
      <c r="B1" s="2" t="s">
        <v>522</v>
      </c>
    </row>
    <row r="2" spans="1:2" ht="15" customHeight="1" x14ac:dyDescent="0.25">
      <c r="A2" s="100">
        <v>1</v>
      </c>
      <c r="B2" s="101">
        <f>(1+Assumptions!$B$26)^INT((A2-1)/12)</f>
        <v>1</v>
      </c>
    </row>
    <row r="3" spans="1:2" ht="15" customHeight="1" x14ac:dyDescent="0.25">
      <c r="A3" s="100">
        <v>2</v>
      </c>
      <c r="B3" s="101">
        <f>(1+Assumptions!$B$26)^INT((A3-1)/12)</f>
        <v>1</v>
      </c>
    </row>
    <row r="4" spans="1:2" ht="15" customHeight="1" x14ac:dyDescent="0.25">
      <c r="A4" s="100">
        <v>3</v>
      </c>
      <c r="B4" s="101">
        <f>(1+Assumptions!$B$26)^INT((A4-1)/12)</f>
        <v>1</v>
      </c>
    </row>
    <row r="5" spans="1:2" ht="15" customHeight="1" x14ac:dyDescent="0.25">
      <c r="A5" s="100">
        <v>4</v>
      </c>
      <c r="B5" s="101">
        <f>(1+Assumptions!$B$26)^INT((A5-1)/12)</f>
        <v>1</v>
      </c>
    </row>
    <row r="6" spans="1:2" ht="15" customHeight="1" x14ac:dyDescent="0.25">
      <c r="A6" s="100">
        <v>5</v>
      </c>
      <c r="B6" s="101">
        <f>(1+Assumptions!$B$26)^INT((A6-1)/12)</f>
        <v>1</v>
      </c>
    </row>
    <row r="7" spans="1:2" ht="15" customHeight="1" x14ac:dyDescent="0.25">
      <c r="A7" s="100">
        <v>6</v>
      </c>
      <c r="B7" s="101">
        <f>(1+Assumptions!$B$26)^INT((A7-1)/12)</f>
        <v>1</v>
      </c>
    </row>
    <row r="8" spans="1:2" ht="15" customHeight="1" x14ac:dyDescent="0.25">
      <c r="A8" s="100">
        <v>7</v>
      </c>
      <c r="B8" s="101">
        <f>(1+Assumptions!$B$26)^INT((A8-1)/12)</f>
        <v>1</v>
      </c>
    </row>
    <row r="9" spans="1:2" ht="15" customHeight="1" x14ac:dyDescent="0.25">
      <c r="A9" s="100">
        <v>8</v>
      </c>
      <c r="B9" s="101">
        <f>(1+Assumptions!$B$26)^INT((A9-1)/12)</f>
        <v>1</v>
      </c>
    </row>
    <row r="10" spans="1:2" ht="15" customHeight="1" x14ac:dyDescent="0.25">
      <c r="A10" s="100">
        <v>9</v>
      </c>
      <c r="B10" s="101">
        <f>(1+Assumptions!$B$26)^INT((A10-1)/12)</f>
        <v>1</v>
      </c>
    </row>
    <row r="11" spans="1:2" ht="15" customHeight="1" x14ac:dyDescent="0.25">
      <c r="A11" s="100">
        <v>10</v>
      </c>
      <c r="B11" s="101">
        <f>(1+Assumptions!$B$26)^INT((A11-1)/12)</f>
        <v>1</v>
      </c>
    </row>
    <row r="12" spans="1:2" ht="15" customHeight="1" x14ac:dyDescent="0.25">
      <c r="A12" s="100">
        <v>11</v>
      </c>
      <c r="B12" s="101">
        <f>(1+Assumptions!$B$26)^INT((A12-1)/12)</f>
        <v>1</v>
      </c>
    </row>
    <row r="13" spans="1:2" ht="15" customHeight="1" x14ac:dyDescent="0.25">
      <c r="A13" s="100">
        <v>12</v>
      </c>
      <c r="B13" s="101">
        <f>(1+Assumptions!$B$26)^INT((A13-1)/12)</f>
        <v>1</v>
      </c>
    </row>
    <row r="14" spans="1:2" ht="15" customHeight="1" x14ac:dyDescent="0.25">
      <c r="A14" s="100">
        <v>13</v>
      </c>
      <c r="B14" s="101">
        <f>(1+Assumptions!$B$26)^INT((A14-1)/12)</f>
        <v>1.02</v>
      </c>
    </row>
    <row r="15" spans="1:2" ht="15" customHeight="1" x14ac:dyDescent="0.25">
      <c r="A15" s="100">
        <v>14</v>
      </c>
      <c r="B15" s="101">
        <f>(1+Assumptions!$B$26)^INT((A15-1)/12)</f>
        <v>1.02</v>
      </c>
    </row>
    <row r="16" spans="1:2" ht="15" customHeight="1" x14ac:dyDescent="0.25">
      <c r="A16" s="100">
        <v>15</v>
      </c>
      <c r="B16" s="101">
        <f>(1+Assumptions!$B$26)^INT((A16-1)/12)</f>
        <v>1.02</v>
      </c>
    </row>
    <row r="17" spans="1:2" ht="15" customHeight="1" x14ac:dyDescent="0.25">
      <c r="A17" s="100">
        <v>16</v>
      </c>
      <c r="B17" s="101">
        <f>(1+Assumptions!$B$26)^INT((A17-1)/12)</f>
        <v>1.02</v>
      </c>
    </row>
    <row r="18" spans="1:2" ht="15" customHeight="1" x14ac:dyDescent="0.25">
      <c r="A18" s="100">
        <v>17</v>
      </c>
      <c r="B18" s="101">
        <f>(1+Assumptions!$B$26)^INT((A18-1)/12)</f>
        <v>1.02</v>
      </c>
    </row>
    <row r="19" spans="1:2" ht="15" customHeight="1" x14ac:dyDescent="0.25">
      <c r="A19" s="100">
        <v>18</v>
      </c>
      <c r="B19" s="101">
        <f>(1+Assumptions!$B$26)^INT((A19-1)/12)</f>
        <v>1.02</v>
      </c>
    </row>
    <row r="20" spans="1:2" ht="15" customHeight="1" x14ac:dyDescent="0.25">
      <c r="A20" s="100">
        <v>19</v>
      </c>
      <c r="B20" s="101">
        <f>(1+Assumptions!$B$26)^INT((A20-1)/12)</f>
        <v>1.02</v>
      </c>
    </row>
    <row r="21" spans="1:2" ht="15" customHeight="1" x14ac:dyDescent="0.25">
      <c r="A21" s="100">
        <v>20</v>
      </c>
      <c r="B21" s="101">
        <f>(1+Assumptions!$B$26)^INT((A21-1)/12)</f>
        <v>1.02</v>
      </c>
    </row>
    <row r="22" spans="1:2" ht="15" customHeight="1" x14ac:dyDescent="0.25">
      <c r="A22" s="100">
        <v>21</v>
      </c>
      <c r="B22" s="101">
        <f>(1+Assumptions!$B$26)^INT((A22-1)/12)</f>
        <v>1.02</v>
      </c>
    </row>
    <row r="23" spans="1:2" ht="15" customHeight="1" x14ac:dyDescent="0.25">
      <c r="A23" s="100">
        <v>22</v>
      </c>
      <c r="B23" s="101">
        <f>(1+Assumptions!$B$26)^INT((A23-1)/12)</f>
        <v>1.02</v>
      </c>
    </row>
    <row r="24" spans="1:2" ht="15" customHeight="1" x14ac:dyDescent="0.25">
      <c r="A24" s="100">
        <v>23</v>
      </c>
      <c r="B24" s="101">
        <f>(1+Assumptions!$B$26)^INT((A24-1)/12)</f>
        <v>1.02</v>
      </c>
    </row>
    <row r="25" spans="1:2" ht="15" customHeight="1" x14ac:dyDescent="0.25">
      <c r="A25" s="100">
        <v>24</v>
      </c>
      <c r="B25" s="101">
        <f>(1+Assumptions!$B$26)^INT((A25-1)/12)</f>
        <v>1.02</v>
      </c>
    </row>
    <row r="26" spans="1:2" ht="15" customHeight="1" x14ac:dyDescent="0.25">
      <c r="A26" s="100">
        <v>25</v>
      </c>
      <c r="B26" s="101">
        <f>(1+Assumptions!$B$26)^INT((A26-1)/12)</f>
        <v>1.0404</v>
      </c>
    </row>
    <row r="27" spans="1:2" ht="15" customHeight="1" x14ac:dyDescent="0.25">
      <c r="A27" s="100">
        <v>26</v>
      </c>
      <c r="B27" s="101">
        <f>(1+Assumptions!$B$26)^INT((A27-1)/12)</f>
        <v>1.0404</v>
      </c>
    </row>
    <row r="28" spans="1:2" ht="15" customHeight="1" x14ac:dyDescent="0.25">
      <c r="A28" s="100">
        <v>27</v>
      </c>
      <c r="B28" s="101">
        <f>(1+Assumptions!$B$26)^INT((A28-1)/12)</f>
        <v>1.0404</v>
      </c>
    </row>
    <row r="29" spans="1:2" ht="15" customHeight="1" x14ac:dyDescent="0.25">
      <c r="A29" s="100">
        <v>28</v>
      </c>
      <c r="B29" s="101">
        <f>(1+Assumptions!$B$26)^INT((A29-1)/12)</f>
        <v>1.0404</v>
      </c>
    </row>
    <row r="30" spans="1:2" ht="15" customHeight="1" x14ac:dyDescent="0.25">
      <c r="A30" s="100">
        <v>29</v>
      </c>
      <c r="B30" s="101">
        <f>(1+Assumptions!$B$26)^INT((A30-1)/12)</f>
        <v>1.0404</v>
      </c>
    </row>
    <row r="31" spans="1:2" ht="15" customHeight="1" x14ac:dyDescent="0.25">
      <c r="A31" s="100">
        <v>30</v>
      </c>
      <c r="B31" s="101">
        <f>(1+Assumptions!$B$26)^INT((A31-1)/12)</f>
        <v>1.0404</v>
      </c>
    </row>
    <row r="32" spans="1:2" ht="15" customHeight="1" x14ac:dyDescent="0.25">
      <c r="A32" s="100">
        <v>31</v>
      </c>
      <c r="B32" s="101">
        <f>(1+Assumptions!$B$26)^INT((A32-1)/12)</f>
        <v>1.0404</v>
      </c>
    </row>
    <row r="33" spans="1:2" ht="15" customHeight="1" x14ac:dyDescent="0.25">
      <c r="A33" s="100">
        <v>32</v>
      </c>
      <c r="B33" s="101">
        <f>(1+Assumptions!$B$26)^INT((A33-1)/12)</f>
        <v>1.0404</v>
      </c>
    </row>
    <row r="34" spans="1:2" ht="15" customHeight="1" x14ac:dyDescent="0.25">
      <c r="A34" s="100">
        <v>33</v>
      </c>
      <c r="B34" s="101">
        <f>(1+Assumptions!$B$26)^INT((A34-1)/12)</f>
        <v>1.0404</v>
      </c>
    </row>
    <row r="35" spans="1:2" ht="15" customHeight="1" x14ac:dyDescent="0.25">
      <c r="A35" s="100">
        <v>34</v>
      </c>
      <c r="B35" s="101">
        <f>(1+Assumptions!$B$26)^INT((A35-1)/12)</f>
        <v>1.0404</v>
      </c>
    </row>
    <row r="36" spans="1:2" ht="15" customHeight="1" x14ac:dyDescent="0.25">
      <c r="A36" s="100">
        <v>35</v>
      </c>
      <c r="B36" s="101">
        <f>(1+Assumptions!$B$26)^INT((A36-1)/12)</f>
        <v>1.0404</v>
      </c>
    </row>
    <row r="37" spans="1:2" ht="15" customHeight="1" x14ac:dyDescent="0.25">
      <c r="A37" s="100">
        <v>36</v>
      </c>
      <c r="B37" s="101">
        <f>(1+Assumptions!$B$26)^INT((A37-1)/12)</f>
        <v>1.0404</v>
      </c>
    </row>
    <row r="38" spans="1:2" ht="15" customHeight="1" x14ac:dyDescent="0.25">
      <c r="A38" s="100">
        <v>37</v>
      </c>
      <c r="B38" s="101">
        <f>(1+Assumptions!$B$26)^INT((A38-1)/12)</f>
        <v>1.0612079999999999</v>
      </c>
    </row>
    <row r="39" spans="1:2" ht="15" customHeight="1" x14ac:dyDescent="0.25">
      <c r="A39" s="100">
        <v>38</v>
      </c>
      <c r="B39" s="101">
        <f>(1+Assumptions!$B$26)^INT((A39-1)/12)</f>
        <v>1.0612079999999999</v>
      </c>
    </row>
    <row r="40" spans="1:2" ht="15" customHeight="1" x14ac:dyDescent="0.25">
      <c r="A40" s="100">
        <v>39</v>
      </c>
      <c r="B40" s="101">
        <f>(1+Assumptions!$B$26)^INT((A40-1)/12)</f>
        <v>1.0612079999999999</v>
      </c>
    </row>
    <row r="41" spans="1:2" ht="15" customHeight="1" x14ac:dyDescent="0.25">
      <c r="A41" s="100">
        <v>40</v>
      </c>
      <c r="B41" s="101">
        <f>(1+Assumptions!$B$26)^INT((A41-1)/12)</f>
        <v>1.0612079999999999</v>
      </c>
    </row>
    <row r="42" spans="1:2" ht="15" customHeight="1" x14ac:dyDescent="0.25">
      <c r="A42" s="100">
        <v>41</v>
      </c>
      <c r="B42" s="101">
        <f>(1+Assumptions!$B$26)^INT((A42-1)/12)</f>
        <v>1.0612079999999999</v>
      </c>
    </row>
    <row r="43" spans="1:2" ht="15" customHeight="1" x14ac:dyDescent="0.25">
      <c r="A43" s="100">
        <v>42</v>
      </c>
      <c r="B43" s="101">
        <f>(1+Assumptions!$B$26)^INT((A43-1)/12)</f>
        <v>1.0612079999999999</v>
      </c>
    </row>
    <row r="44" spans="1:2" ht="15" customHeight="1" x14ac:dyDescent="0.25">
      <c r="A44" s="100">
        <v>43</v>
      </c>
      <c r="B44" s="101">
        <f>(1+Assumptions!$B$26)^INT((A44-1)/12)</f>
        <v>1.0612079999999999</v>
      </c>
    </row>
    <row r="45" spans="1:2" ht="15" customHeight="1" x14ac:dyDescent="0.25">
      <c r="A45" s="100">
        <v>44</v>
      </c>
      <c r="B45" s="101">
        <f>(1+Assumptions!$B$26)^INT((A45-1)/12)</f>
        <v>1.0612079999999999</v>
      </c>
    </row>
    <row r="46" spans="1:2" ht="15" customHeight="1" x14ac:dyDescent="0.25">
      <c r="A46" s="100">
        <v>45</v>
      </c>
      <c r="B46" s="101">
        <f>(1+Assumptions!$B$26)^INT((A46-1)/12)</f>
        <v>1.0612079999999999</v>
      </c>
    </row>
    <row r="47" spans="1:2" ht="15" customHeight="1" x14ac:dyDescent="0.25">
      <c r="A47" s="100">
        <v>46</v>
      </c>
      <c r="B47" s="101">
        <f>(1+Assumptions!$B$26)^INT((A47-1)/12)</f>
        <v>1.0612079999999999</v>
      </c>
    </row>
    <row r="48" spans="1:2" ht="15" customHeight="1" x14ac:dyDescent="0.25">
      <c r="A48" s="100">
        <v>47</v>
      </c>
      <c r="B48" s="101">
        <f>(1+Assumptions!$B$26)^INT((A48-1)/12)</f>
        <v>1.0612079999999999</v>
      </c>
    </row>
    <row r="49" spans="1:2" ht="15" customHeight="1" x14ac:dyDescent="0.25">
      <c r="A49" s="100">
        <v>48</v>
      </c>
      <c r="B49" s="101">
        <f>(1+Assumptions!$B$26)^INT((A49-1)/12)</f>
        <v>1.0612079999999999</v>
      </c>
    </row>
    <row r="50" spans="1:2" ht="15" customHeight="1" x14ac:dyDescent="0.25">
      <c r="A50" s="100">
        <v>49</v>
      </c>
      <c r="B50" s="101">
        <f>(1+Assumptions!$B$26)^INT((A50-1)/12)</f>
        <v>1.08243216</v>
      </c>
    </row>
    <row r="51" spans="1:2" ht="15" customHeight="1" x14ac:dyDescent="0.25">
      <c r="A51" s="100">
        <v>50</v>
      </c>
      <c r="B51" s="101">
        <f>(1+Assumptions!$B$26)^INT((A51-1)/12)</f>
        <v>1.08243216</v>
      </c>
    </row>
    <row r="52" spans="1:2" ht="15" customHeight="1" x14ac:dyDescent="0.25">
      <c r="A52" s="100">
        <v>51</v>
      </c>
      <c r="B52" s="101">
        <f>(1+Assumptions!$B$26)^INT((A52-1)/12)</f>
        <v>1.08243216</v>
      </c>
    </row>
    <row r="53" spans="1:2" ht="15" customHeight="1" x14ac:dyDescent="0.25">
      <c r="A53" s="100">
        <v>52</v>
      </c>
      <c r="B53" s="101">
        <f>(1+Assumptions!$B$26)^INT((A53-1)/12)</f>
        <v>1.08243216</v>
      </c>
    </row>
    <row r="54" spans="1:2" ht="15" customHeight="1" x14ac:dyDescent="0.25">
      <c r="A54" s="100">
        <v>53</v>
      </c>
      <c r="B54" s="101">
        <f>(1+Assumptions!$B$26)^INT((A54-1)/12)</f>
        <v>1.08243216</v>
      </c>
    </row>
    <row r="55" spans="1:2" ht="15" customHeight="1" x14ac:dyDescent="0.25">
      <c r="A55" s="100">
        <v>54</v>
      </c>
      <c r="B55" s="101">
        <f>(1+Assumptions!$B$26)^INT((A55-1)/12)</f>
        <v>1.08243216</v>
      </c>
    </row>
    <row r="56" spans="1:2" ht="15" customHeight="1" x14ac:dyDescent="0.25">
      <c r="A56" s="100">
        <v>55</v>
      </c>
      <c r="B56" s="101">
        <f>(1+Assumptions!$B$26)^INT((A56-1)/12)</f>
        <v>1.08243216</v>
      </c>
    </row>
    <row r="57" spans="1:2" ht="15" customHeight="1" x14ac:dyDescent="0.25">
      <c r="A57" s="100">
        <v>56</v>
      </c>
      <c r="B57" s="101">
        <f>(1+Assumptions!$B$26)^INT((A57-1)/12)</f>
        <v>1.08243216</v>
      </c>
    </row>
    <row r="58" spans="1:2" ht="15" customHeight="1" x14ac:dyDescent="0.25">
      <c r="A58" s="100">
        <v>57</v>
      </c>
      <c r="B58" s="101">
        <f>(1+Assumptions!$B$26)^INT((A58-1)/12)</f>
        <v>1.08243216</v>
      </c>
    </row>
    <row r="59" spans="1:2" ht="15" customHeight="1" x14ac:dyDescent="0.25">
      <c r="A59" s="100">
        <v>58</v>
      </c>
      <c r="B59" s="101">
        <f>(1+Assumptions!$B$26)^INT((A59-1)/12)</f>
        <v>1.08243216</v>
      </c>
    </row>
    <row r="60" spans="1:2" ht="15" customHeight="1" x14ac:dyDescent="0.25">
      <c r="A60" s="100">
        <v>59</v>
      </c>
      <c r="B60" s="101">
        <f>(1+Assumptions!$B$26)^INT((A60-1)/12)</f>
        <v>1.08243216</v>
      </c>
    </row>
    <row r="61" spans="1:2" ht="15" customHeight="1" x14ac:dyDescent="0.25">
      <c r="A61" s="100">
        <v>60</v>
      </c>
      <c r="B61" s="101">
        <f>(1+Assumptions!$B$26)^INT((A61-1)/12)</f>
        <v>1.08243216</v>
      </c>
    </row>
    <row r="62" spans="1:2" ht="15" customHeight="1" x14ac:dyDescent="0.25">
      <c r="A62" s="100">
        <v>61</v>
      </c>
      <c r="B62" s="101">
        <f>(1+Assumptions!$B$26)^INT((A62-1)/12)</f>
        <v>1.1040808032</v>
      </c>
    </row>
    <row r="63" spans="1:2" ht="15" customHeight="1" x14ac:dyDescent="0.25">
      <c r="A63" s="100">
        <v>62</v>
      </c>
      <c r="B63" s="101">
        <f>(1+Assumptions!$B$26)^INT((A63-1)/12)</f>
        <v>1.1040808032</v>
      </c>
    </row>
    <row r="64" spans="1:2" ht="15" customHeight="1" x14ac:dyDescent="0.25">
      <c r="A64" s="100">
        <v>63</v>
      </c>
      <c r="B64" s="101">
        <f>(1+Assumptions!$B$26)^INT((A64-1)/12)</f>
        <v>1.1040808032</v>
      </c>
    </row>
    <row r="65" spans="1:2" ht="15" customHeight="1" x14ac:dyDescent="0.25">
      <c r="A65" s="100">
        <v>64</v>
      </c>
      <c r="B65" s="101">
        <f>(1+Assumptions!$B$26)^INT((A65-1)/12)</f>
        <v>1.1040808032</v>
      </c>
    </row>
    <row r="66" spans="1:2" ht="15" customHeight="1" x14ac:dyDescent="0.25">
      <c r="A66" s="100">
        <v>65</v>
      </c>
      <c r="B66" s="101">
        <f>(1+Assumptions!$B$26)^INT((A66-1)/12)</f>
        <v>1.1040808032</v>
      </c>
    </row>
    <row r="67" spans="1:2" ht="15" customHeight="1" x14ac:dyDescent="0.25">
      <c r="A67" s="100">
        <v>66</v>
      </c>
      <c r="B67" s="101">
        <f>(1+Assumptions!$B$26)^INT((A67-1)/12)</f>
        <v>1.1040808032</v>
      </c>
    </row>
    <row r="68" spans="1:2" ht="15" customHeight="1" x14ac:dyDescent="0.25">
      <c r="A68" s="100">
        <v>67</v>
      </c>
      <c r="B68" s="101">
        <f>(1+Assumptions!$B$26)^INT((A68-1)/12)</f>
        <v>1.1040808032</v>
      </c>
    </row>
    <row r="69" spans="1:2" ht="15" customHeight="1" x14ac:dyDescent="0.25">
      <c r="A69" s="100">
        <v>68</v>
      </c>
      <c r="B69" s="101">
        <f>(1+Assumptions!$B$26)^INT((A69-1)/12)</f>
        <v>1.1040808032</v>
      </c>
    </row>
    <row r="70" spans="1:2" ht="15" customHeight="1" x14ac:dyDescent="0.25">
      <c r="A70" s="100">
        <v>69</v>
      </c>
      <c r="B70" s="101">
        <f>(1+Assumptions!$B$26)^INT((A70-1)/12)</f>
        <v>1.1040808032</v>
      </c>
    </row>
    <row r="71" spans="1:2" ht="15" customHeight="1" x14ac:dyDescent="0.25">
      <c r="A71" s="100">
        <v>70</v>
      </c>
      <c r="B71" s="101">
        <f>(1+Assumptions!$B$26)^INT((A71-1)/12)</f>
        <v>1.1040808032</v>
      </c>
    </row>
    <row r="72" spans="1:2" ht="15" customHeight="1" x14ac:dyDescent="0.25">
      <c r="A72" s="100">
        <v>71</v>
      </c>
      <c r="B72" s="101">
        <f>(1+Assumptions!$B$26)^INT((A72-1)/12)</f>
        <v>1.1040808032</v>
      </c>
    </row>
    <row r="73" spans="1:2" ht="15" customHeight="1" x14ac:dyDescent="0.25">
      <c r="A73" s="100">
        <v>72</v>
      </c>
      <c r="B73" s="101">
        <f>(1+Assumptions!$B$26)^INT((A73-1)/12)</f>
        <v>1.1040808032</v>
      </c>
    </row>
    <row r="74" spans="1:2" ht="15" customHeight="1" x14ac:dyDescent="0.25">
      <c r="A74" s="100">
        <v>73</v>
      </c>
      <c r="B74" s="101">
        <f>(1+Assumptions!$B$26)^INT((A74-1)/12)</f>
        <v>1.1261624192640001</v>
      </c>
    </row>
    <row r="75" spans="1:2" ht="15" customHeight="1" x14ac:dyDescent="0.25">
      <c r="A75" s="100">
        <v>74</v>
      </c>
      <c r="B75" s="101">
        <f>(1+Assumptions!$B$26)^INT((A75-1)/12)</f>
        <v>1.1261624192640001</v>
      </c>
    </row>
    <row r="76" spans="1:2" ht="15" customHeight="1" x14ac:dyDescent="0.25">
      <c r="A76" s="100">
        <v>75</v>
      </c>
      <c r="B76" s="101">
        <f>(1+Assumptions!$B$26)^INT((A76-1)/12)</f>
        <v>1.1261624192640001</v>
      </c>
    </row>
    <row r="77" spans="1:2" ht="15" customHeight="1" x14ac:dyDescent="0.25">
      <c r="A77" s="100">
        <v>76</v>
      </c>
      <c r="B77" s="101">
        <f>(1+Assumptions!$B$26)^INT((A77-1)/12)</f>
        <v>1.1261624192640001</v>
      </c>
    </row>
    <row r="78" spans="1:2" ht="15" customHeight="1" x14ac:dyDescent="0.25">
      <c r="A78" s="100">
        <v>77</v>
      </c>
      <c r="B78" s="101">
        <f>(1+Assumptions!$B$26)^INT((A78-1)/12)</f>
        <v>1.1261624192640001</v>
      </c>
    </row>
    <row r="79" spans="1:2" ht="15" customHeight="1" x14ac:dyDescent="0.25">
      <c r="A79" s="100">
        <v>78</v>
      </c>
      <c r="B79" s="101">
        <f>(1+Assumptions!$B$26)^INT((A79-1)/12)</f>
        <v>1.1261624192640001</v>
      </c>
    </row>
    <row r="80" spans="1:2" ht="15" customHeight="1" x14ac:dyDescent="0.25">
      <c r="A80" s="100">
        <v>79</v>
      </c>
      <c r="B80" s="101">
        <f>(1+Assumptions!$B$26)^INT((A80-1)/12)</f>
        <v>1.1261624192640001</v>
      </c>
    </row>
    <row r="81" spans="1:2" ht="15" customHeight="1" x14ac:dyDescent="0.25">
      <c r="A81" s="100">
        <v>80</v>
      </c>
      <c r="B81" s="101">
        <f>(1+Assumptions!$B$26)^INT((A81-1)/12)</f>
        <v>1.1261624192640001</v>
      </c>
    </row>
    <row r="82" spans="1:2" ht="15" customHeight="1" x14ac:dyDescent="0.25">
      <c r="A82" s="100">
        <v>81</v>
      </c>
      <c r="B82" s="101">
        <f>(1+Assumptions!$B$26)^INT((A82-1)/12)</f>
        <v>1.1261624192640001</v>
      </c>
    </row>
    <row r="83" spans="1:2" ht="15" customHeight="1" x14ac:dyDescent="0.25">
      <c r="A83" s="100">
        <v>82</v>
      </c>
      <c r="B83" s="101">
        <f>(1+Assumptions!$B$26)^INT((A83-1)/12)</f>
        <v>1.1261624192640001</v>
      </c>
    </row>
    <row r="84" spans="1:2" ht="15" customHeight="1" x14ac:dyDescent="0.25">
      <c r="A84" s="100">
        <v>83</v>
      </c>
      <c r="B84" s="101">
        <f>(1+Assumptions!$B$26)^INT((A84-1)/12)</f>
        <v>1.1261624192640001</v>
      </c>
    </row>
    <row r="85" spans="1:2" ht="15" customHeight="1" x14ac:dyDescent="0.25">
      <c r="A85" s="100">
        <v>84</v>
      </c>
      <c r="B85" s="101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93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182" t="s">
        <v>523</v>
      </c>
      <c r="B1" s="181"/>
      <c r="C1" s="181"/>
      <c r="D1" s="18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81" t="s">
        <v>104</v>
      </c>
      <c r="C3" s="100">
        <v>1</v>
      </c>
      <c r="D3" s="100">
        <v>2</v>
      </c>
      <c r="E3" s="100">
        <v>3</v>
      </c>
      <c r="F3" s="100">
        <v>4</v>
      </c>
      <c r="G3" s="100">
        <v>5</v>
      </c>
      <c r="H3" s="100">
        <v>6</v>
      </c>
      <c r="I3" s="100">
        <v>7</v>
      </c>
      <c r="J3" s="100">
        <v>8</v>
      </c>
      <c r="K3" s="100">
        <v>9</v>
      </c>
      <c r="L3" s="100">
        <v>10</v>
      </c>
      <c r="M3" s="100">
        <v>11</v>
      </c>
      <c r="N3" s="100">
        <v>12</v>
      </c>
      <c r="O3" s="100">
        <v>13</v>
      </c>
      <c r="P3" s="100">
        <v>14</v>
      </c>
      <c r="Q3" s="100">
        <v>15</v>
      </c>
      <c r="R3" s="100">
        <v>16</v>
      </c>
      <c r="S3" s="100">
        <v>17</v>
      </c>
      <c r="T3" s="100">
        <v>18</v>
      </c>
      <c r="U3" s="100">
        <v>19</v>
      </c>
      <c r="V3" s="100">
        <v>20</v>
      </c>
      <c r="W3" s="100">
        <v>21</v>
      </c>
      <c r="X3" s="100">
        <v>22</v>
      </c>
      <c r="Y3" s="100">
        <v>23</v>
      </c>
      <c r="Z3" s="100">
        <v>24</v>
      </c>
      <c r="AA3" s="100">
        <v>25</v>
      </c>
      <c r="AB3" s="100">
        <v>26</v>
      </c>
      <c r="AC3" s="100">
        <v>27</v>
      </c>
      <c r="AD3" s="100">
        <v>28</v>
      </c>
      <c r="AE3" s="100">
        <v>29</v>
      </c>
      <c r="AF3" s="100">
        <v>30</v>
      </c>
      <c r="AG3" s="100">
        <v>31</v>
      </c>
      <c r="AH3" s="100">
        <v>32</v>
      </c>
      <c r="AI3" s="100">
        <v>33</v>
      </c>
      <c r="AJ3" s="100">
        <v>34</v>
      </c>
      <c r="AK3" s="100">
        <v>35</v>
      </c>
      <c r="AL3" s="100">
        <v>36</v>
      </c>
      <c r="AM3" s="100">
        <v>37</v>
      </c>
      <c r="AN3" s="100">
        <v>38</v>
      </c>
      <c r="AO3" s="100">
        <v>39</v>
      </c>
      <c r="AP3" s="100">
        <v>40</v>
      </c>
      <c r="AQ3" s="100">
        <v>41</v>
      </c>
      <c r="AR3" s="100">
        <v>42</v>
      </c>
      <c r="AS3" s="100">
        <v>43</v>
      </c>
      <c r="AT3" s="100">
        <v>44</v>
      </c>
      <c r="AU3" s="100">
        <v>45</v>
      </c>
      <c r="AV3" s="100">
        <v>46</v>
      </c>
      <c r="AW3" s="100">
        <v>47</v>
      </c>
      <c r="AX3" s="100">
        <v>48</v>
      </c>
      <c r="AY3" s="100">
        <v>49</v>
      </c>
      <c r="AZ3" s="100">
        <v>50</v>
      </c>
      <c r="BA3" s="100">
        <v>51</v>
      </c>
      <c r="BB3" s="100">
        <v>52</v>
      </c>
      <c r="BC3" s="100">
        <v>53</v>
      </c>
      <c r="BD3" s="100">
        <v>54</v>
      </c>
      <c r="BE3" s="100">
        <v>55</v>
      </c>
      <c r="BF3" s="100">
        <v>56</v>
      </c>
      <c r="BG3" s="100">
        <v>57</v>
      </c>
      <c r="BH3" s="100">
        <v>58</v>
      </c>
      <c r="BI3" s="100">
        <v>59</v>
      </c>
      <c r="BJ3" s="100">
        <v>60</v>
      </c>
      <c r="BK3" s="100">
        <v>61</v>
      </c>
      <c r="BL3" s="100">
        <v>62</v>
      </c>
      <c r="BM3" s="100">
        <v>63</v>
      </c>
      <c r="BN3" s="100">
        <v>64</v>
      </c>
      <c r="BO3" s="100">
        <v>65</v>
      </c>
      <c r="BP3" s="100">
        <v>66</v>
      </c>
      <c r="BQ3" s="100">
        <v>67</v>
      </c>
      <c r="BR3" s="100">
        <v>68</v>
      </c>
      <c r="BS3" s="100">
        <v>69</v>
      </c>
      <c r="BT3" s="100">
        <v>70</v>
      </c>
      <c r="BU3" s="100">
        <v>71</v>
      </c>
      <c r="BV3" s="100">
        <v>72</v>
      </c>
      <c r="BW3" s="100">
        <v>73</v>
      </c>
      <c r="BX3" s="100">
        <v>74</v>
      </c>
      <c r="BY3" s="100">
        <v>75</v>
      </c>
      <c r="BZ3" s="100">
        <v>76</v>
      </c>
      <c r="CA3" s="100">
        <v>77</v>
      </c>
      <c r="CB3" s="100">
        <v>78</v>
      </c>
      <c r="CC3" s="100">
        <v>79</v>
      </c>
      <c r="CD3" s="100">
        <v>80</v>
      </c>
      <c r="CE3" s="100">
        <v>81</v>
      </c>
      <c r="CF3" s="100">
        <v>82</v>
      </c>
      <c r="CG3" s="100">
        <v>83</v>
      </c>
      <c r="CH3" s="100">
        <v>84</v>
      </c>
    </row>
    <row r="4" spans="1:86" ht="15" customHeight="1" x14ac:dyDescent="0.25">
      <c r="A4" s="81" t="s">
        <v>524</v>
      </c>
      <c r="C4" s="87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195157.66666666669</v>
      </c>
      <c r="D4" s="87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231407.66666666669</v>
      </c>
      <c r="E4" s="87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261407.66666666669</v>
      </c>
      <c r="F4" s="87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271824.33333333337</v>
      </c>
      <c r="G4" s="87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87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87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87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87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87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87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87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87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87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87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87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87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87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87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87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87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87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87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87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87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293643.53639999998</v>
      </c>
      <c r="AB4" s="87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293643.53639999998</v>
      </c>
      <c r="AC4" s="87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293643.53639999998</v>
      </c>
      <c r="AD4" s="87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293643.53639999998</v>
      </c>
      <c r="AE4" s="87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293643.53639999998</v>
      </c>
      <c r="AF4" s="87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293643.53639999998</v>
      </c>
      <c r="AG4" s="87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293643.53639999998</v>
      </c>
      <c r="AH4" s="87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293643.53639999998</v>
      </c>
      <c r="AI4" s="87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293643.53639999998</v>
      </c>
      <c r="AJ4" s="87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293643.53639999998</v>
      </c>
      <c r="AK4" s="87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293643.53639999998</v>
      </c>
      <c r="AL4" s="87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293643.53639999998</v>
      </c>
      <c r="AM4" s="87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299516.40712799999</v>
      </c>
      <c r="AN4" s="87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299516.40712799999</v>
      </c>
      <c r="AO4" s="87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299516.40712799999</v>
      </c>
      <c r="AP4" s="87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299516.40712799999</v>
      </c>
      <c r="AQ4" s="87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299516.40712799999</v>
      </c>
      <c r="AR4" s="87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299516.40712799999</v>
      </c>
      <c r="AS4" s="87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299516.40712799999</v>
      </c>
      <c r="AT4" s="87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299516.40712799999</v>
      </c>
      <c r="AU4" s="87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299516.40712799999</v>
      </c>
      <c r="AV4" s="87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299516.40712799999</v>
      </c>
      <c r="AW4" s="87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299516.40712799999</v>
      </c>
      <c r="AX4" s="87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299516.40712799999</v>
      </c>
      <c r="AY4" s="87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305506.73527056002</v>
      </c>
      <c r="AZ4" s="87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305506.73527056002</v>
      </c>
      <c r="BA4" s="87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305506.73527056002</v>
      </c>
      <c r="BB4" s="87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305506.73527056002</v>
      </c>
      <c r="BC4" s="87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305506.73527056002</v>
      </c>
      <c r="BD4" s="87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305506.73527056002</v>
      </c>
      <c r="BE4" s="87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305506.73527056002</v>
      </c>
      <c r="BF4" s="87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305506.73527056002</v>
      </c>
      <c r="BG4" s="87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305506.73527056002</v>
      </c>
      <c r="BH4" s="87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305506.73527056002</v>
      </c>
      <c r="BI4" s="87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305506.73527056002</v>
      </c>
      <c r="BJ4" s="87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305506.73527056002</v>
      </c>
      <c r="BK4" s="87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311616.86997597123</v>
      </c>
      <c r="BL4" s="87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311616.86997597123</v>
      </c>
      <c r="BM4" s="87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311616.86997597123</v>
      </c>
      <c r="BN4" s="87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311616.86997597123</v>
      </c>
      <c r="BO4" s="87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311616.86997597123</v>
      </c>
      <c r="BP4" s="87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311616.86997597123</v>
      </c>
      <c r="BQ4" s="87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311616.86997597123</v>
      </c>
      <c r="BR4" s="87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311616.86997597123</v>
      </c>
      <c r="BS4" s="87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311616.86997597123</v>
      </c>
      <c r="BT4" s="87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311616.86997597123</v>
      </c>
      <c r="BU4" s="87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311616.86997597123</v>
      </c>
      <c r="BV4" s="87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311616.86997597123</v>
      </c>
      <c r="BW4" s="87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317849.20737549063</v>
      </c>
      <c r="BX4" s="87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317849.20737549063</v>
      </c>
      <c r="BY4" s="87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317849.20737549063</v>
      </c>
      <c r="BZ4" s="87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317849.20737549063</v>
      </c>
      <c r="CA4" s="87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317849.20737549063</v>
      </c>
      <c r="CB4" s="87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317849.20737549063</v>
      </c>
      <c r="CC4" s="87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317849.20737549063</v>
      </c>
      <c r="CD4" s="87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317849.20737549063</v>
      </c>
      <c r="CE4" s="87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317849.20737549063</v>
      </c>
      <c r="CF4" s="87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317849.20737549063</v>
      </c>
      <c r="CG4" s="87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317849.20737549063</v>
      </c>
      <c r="CH4" s="87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317849.20737549063</v>
      </c>
    </row>
    <row r="5" spans="1:86" ht="15" customHeight="1" x14ac:dyDescent="0.25">
      <c r="A5" s="81" t="s">
        <v>525</v>
      </c>
      <c r="C5" s="87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22916.666666666664</v>
      </c>
      <c r="D5" s="87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22916.666666666664</v>
      </c>
      <c r="E5" s="87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22916.666666666664</v>
      </c>
      <c r="F5" s="87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22916.666666666664</v>
      </c>
      <c r="G5" s="87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22916.666666666664</v>
      </c>
      <c r="H5" s="87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22916.666666666664</v>
      </c>
      <c r="I5" s="87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22916.666666666664</v>
      </c>
      <c r="J5" s="87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22916.666666666664</v>
      </c>
      <c r="K5" s="87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22916.666666666664</v>
      </c>
      <c r="L5" s="87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22916.666666666664</v>
      </c>
      <c r="M5" s="87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22916.666666666664</v>
      </c>
      <c r="N5" s="87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22916.666666666664</v>
      </c>
      <c r="O5" s="87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23374.999999999996</v>
      </c>
      <c r="P5" s="87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23374.999999999996</v>
      </c>
      <c r="Q5" s="87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23374.999999999996</v>
      </c>
      <c r="R5" s="87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23374.999999999996</v>
      </c>
      <c r="S5" s="87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23374.999999999996</v>
      </c>
      <c r="T5" s="87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23374.999999999996</v>
      </c>
      <c r="U5" s="87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23374.999999999996</v>
      </c>
      <c r="V5" s="87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23374.999999999996</v>
      </c>
      <c r="W5" s="87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23374.999999999996</v>
      </c>
      <c r="X5" s="87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23374.999999999996</v>
      </c>
      <c r="Y5" s="87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23374.999999999996</v>
      </c>
      <c r="Z5" s="87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23374.999999999996</v>
      </c>
      <c r="AA5" s="87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23842.499999999996</v>
      </c>
      <c r="AB5" s="87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23842.499999999996</v>
      </c>
      <c r="AC5" s="87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23842.499999999996</v>
      </c>
      <c r="AD5" s="87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23842.499999999996</v>
      </c>
      <c r="AE5" s="87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23842.499999999996</v>
      </c>
      <c r="AF5" s="87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23842.499999999996</v>
      </c>
      <c r="AG5" s="87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23842.499999999996</v>
      </c>
      <c r="AH5" s="87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23842.499999999996</v>
      </c>
      <c r="AI5" s="87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23842.499999999996</v>
      </c>
      <c r="AJ5" s="87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23842.499999999996</v>
      </c>
      <c r="AK5" s="87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23842.499999999996</v>
      </c>
      <c r="AL5" s="87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23842.499999999996</v>
      </c>
      <c r="AM5" s="87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24319.349999999995</v>
      </c>
      <c r="AN5" s="87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24319.349999999995</v>
      </c>
      <c r="AO5" s="87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24319.349999999995</v>
      </c>
      <c r="AP5" s="87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24319.349999999995</v>
      </c>
      <c r="AQ5" s="87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24319.349999999995</v>
      </c>
      <c r="AR5" s="87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24319.349999999995</v>
      </c>
      <c r="AS5" s="87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24319.349999999995</v>
      </c>
      <c r="AT5" s="87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24319.349999999995</v>
      </c>
      <c r="AU5" s="87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24319.349999999995</v>
      </c>
      <c r="AV5" s="87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24319.349999999995</v>
      </c>
      <c r="AW5" s="87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24319.349999999995</v>
      </c>
      <c r="AX5" s="87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24319.349999999995</v>
      </c>
      <c r="AY5" s="87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24805.736999999997</v>
      </c>
      <c r="AZ5" s="87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24805.736999999997</v>
      </c>
      <c r="BA5" s="87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24805.736999999997</v>
      </c>
      <c r="BB5" s="87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24805.736999999997</v>
      </c>
      <c r="BC5" s="87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24805.736999999997</v>
      </c>
      <c r="BD5" s="87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24805.736999999997</v>
      </c>
      <c r="BE5" s="87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24805.736999999997</v>
      </c>
      <c r="BF5" s="87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24805.736999999997</v>
      </c>
      <c r="BG5" s="87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24805.736999999997</v>
      </c>
      <c r="BH5" s="87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24805.736999999997</v>
      </c>
      <c r="BI5" s="87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24805.736999999997</v>
      </c>
      <c r="BJ5" s="87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24805.736999999997</v>
      </c>
      <c r="BK5" s="87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25301.851739999998</v>
      </c>
      <c r="BL5" s="87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25301.851739999998</v>
      </c>
      <c r="BM5" s="87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25301.851739999998</v>
      </c>
      <c r="BN5" s="87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25301.851739999998</v>
      </c>
      <c r="BO5" s="87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25301.851739999998</v>
      </c>
      <c r="BP5" s="87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25301.851739999998</v>
      </c>
      <c r="BQ5" s="87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25301.851739999998</v>
      </c>
      <c r="BR5" s="87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25301.851739999998</v>
      </c>
      <c r="BS5" s="87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25301.851739999998</v>
      </c>
      <c r="BT5" s="87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25301.851739999998</v>
      </c>
      <c r="BU5" s="87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25301.851739999998</v>
      </c>
      <c r="BV5" s="87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25301.851739999998</v>
      </c>
      <c r="BW5" s="87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25807.888774799998</v>
      </c>
      <c r="BX5" s="87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25807.888774799998</v>
      </c>
      <c r="BY5" s="87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25807.888774799998</v>
      </c>
      <c r="BZ5" s="87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25807.888774799998</v>
      </c>
      <c r="CA5" s="87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25807.888774799998</v>
      </c>
      <c r="CB5" s="87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25807.888774799998</v>
      </c>
      <c r="CC5" s="87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25807.888774799998</v>
      </c>
      <c r="CD5" s="87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25807.888774799998</v>
      </c>
      <c r="CE5" s="87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25807.888774799998</v>
      </c>
      <c r="CF5" s="87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25807.888774799998</v>
      </c>
      <c r="CG5" s="87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25807.888774799998</v>
      </c>
      <c r="CH5" s="87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25807.888774799998</v>
      </c>
    </row>
    <row r="7" spans="1:86" ht="15" customHeight="1" x14ac:dyDescent="0.25">
      <c r="A7" s="83" t="s">
        <v>526</v>
      </c>
    </row>
    <row r="8" spans="1:86" ht="15" customHeight="1" x14ac:dyDescent="0.25">
      <c r="A8" s="81" t="s">
        <v>214</v>
      </c>
      <c r="C8" s="87">
        <f>IF(AND(Projects!$G$4="Yes",Projects!$F$4="Yes",1&gt;=Projects!$C$4,1&lt;Projects!$C$4+Projects!$D$4),Projects!$B$4*(1-SUMPRODUCT((Curves!$B$8:$AO$8)*(COLUMN(Curves!$B$8:$AO$8)-COLUMN(Curves!$B$8)+1&lt;=1-Projects!$C$4+1))),0)</f>
        <v>10946461.542965369</v>
      </c>
      <c r="D8" s="87">
        <f>IF(AND(Projects!$G$4="Yes",Projects!$F$4="Yes",2&gt;=Projects!$C$4,2&lt;Projects!$C$4+Projects!$D$4),Projects!$B$4*(1-SUMPRODUCT((Curves!$B$8:$AO$8)*(COLUMN(Curves!$B$8:$AO$8)-COLUMN(Curves!$B$8)+1&lt;=2-Projects!$C$4+1))),0)</f>
        <v>10133653.21477537</v>
      </c>
      <c r="E8" s="87">
        <f>IF(AND(Projects!$G$4="Yes",Projects!$F$4="Yes",3&gt;=Projects!$C$4,3&lt;Projects!$C$4+Projects!$D$4),Projects!$B$4*(1-SUMPRODUCT((Curves!$B$8:$AO$8)*(COLUMN(Curves!$B$8:$AO$8)-COLUMN(Curves!$B$8)+1&lt;=3-Projects!$C$4+1))),0)</f>
        <v>9246899.8394238371</v>
      </c>
      <c r="F8" s="87">
        <f>IF(AND(Projects!$G$4="Yes",Projects!$F$4="Yes",4&gt;=Projects!$C$4,4&lt;Projects!$C$4+Projects!$D$4),Projects!$B$4*(1-SUMPRODUCT((Curves!$B$8:$AO$8)*(COLUMN(Curves!$B$8:$AO$8)-COLUMN(Curves!$B$8)+1&lt;=4-Projects!$C$4+1))),0)</f>
        <v>8303243.599525284</v>
      </c>
      <c r="G8" s="87">
        <f>IF(AND(Projects!$G$4="Yes",Projects!$F$4="Yes",5&gt;=Projects!$C$4,5&lt;Projects!$C$4+Projects!$D$4),Projects!$B$4*(1-SUMPRODUCT((Curves!$B$8:$AO$8)*(COLUMN(Curves!$B$8:$AO$8)-COLUMN(Curves!$B$8)+1&lt;=5-Projects!$C$4+1))),0)</f>
        <v>7323700.4558519367</v>
      </c>
      <c r="H8" s="87">
        <f>IF(AND(Projects!$G$4="Yes",Projects!$F$4="Yes",6&gt;=Projects!$C$4,6&lt;Projects!$C$4+Projects!$D$4),Projects!$B$4*(1-SUMPRODUCT((Curves!$B$8:$AO$8)*(COLUMN(Curves!$B$8:$AO$8)-COLUMN(Curves!$B$8)+1&lt;=6-Projects!$C$4+1))),0)</f>
        <v>6331894.5878293645</v>
      </c>
      <c r="I8" s="87">
        <f>IF(AND(Projects!$G$4="Yes",Projects!$F$4="Yes",7&gt;=Projects!$C$4,7&lt;Projects!$C$4+Projects!$D$4),Projects!$B$4*(1-SUMPRODUCT((Curves!$B$8:$AO$8)*(COLUMN(Curves!$B$8:$AO$8)-COLUMN(Curves!$B$8)+1&lt;=7-Projects!$C$4+1))),0)</f>
        <v>5352351.4441560172</v>
      </c>
      <c r="J8" s="87">
        <f>IF(AND(Projects!$G$4="Yes",Projects!$F$4="Yes",8&gt;=Projects!$C$4,8&lt;Projects!$C$4+Projects!$D$4),Projects!$B$4*(1-SUMPRODUCT((Curves!$B$8:$AO$8)*(COLUMN(Curves!$B$8:$AO$8)-COLUMN(Curves!$B$8)+1&lt;=8-Projects!$C$4+1))),0)</f>
        <v>4408695.204257464</v>
      </c>
      <c r="K8" s="87">
        <f>IF(AND(Projects!$G$4="Yes",Projects!$F$4="Yes",9&gt;=Projects!$C$4,9&lt;Projects!$C$4+Projects!$D$4),Projects!$B$4*(1-SUMPRODUCT((Curves!$B$8:$AO$8)*(COLUMN(Curves!$B$8:$AO$8)-COLUMN(Curves!$B$8)+1&lt;=9-Projects!$C$4+1))),0)</f>
        <v>3521941.8289059317</v>
      </c>
      <c r="L8" s="87">
        <f>IF(AND(Projects!$G$4="Yes",Projects!$F$4="Yes",10&gt;=Projects!$C$4,10&lt;Projects!$C$4+Projects!$D$4),Projects!$B$4*(1-SUMPRODUCT((Curves!$B$8:$AO$8)*(COLUMN(Curves!$B$8:$AO$8)-COLUMN(Curves!$B$8)+1&lt;=10-Projects!$C$4+1))),0)</f>
        <v>2709133.5007159319</v>
      </c>
      <c r="M8" s="87">
        <f>IF(AND(Projects!$G$4="Yes",Projects!$F$4="Yes",11&gt;=Projects!$C$4,11&lt;Projects!$C$4+Projects!$D$4),Projects!$B$4*(1-SUMPRODUCT((Curves!$B$8:$AO$8)*(COLUMN(Curves!$B$8:$AO$8)-COLUMN(Curves!$B$8)+1&lt;=11-Projects!$C$4+1))),0)</f>
        <v>1982410.0436813007</v>
      </c>
      <c r="N8" s="87">
        <f>IF(AND(Projects!$G$4="Yes",Projects!$F$4="Yes",12&gt;=Projects!$C$4,12&lt;Projects!$C$4+Projects!$D$4),Projects!$B$4*(1-SUMPRODUCT((Curves!$B$8:$AO$8)*(COLUMN(Curves!$B$8:$AO$8)-COLUMN(Curves!$B$8)+1&lt;=12-Projects!$C$4+1))),0)</f>
        <v>1348626.5665139642</v>
      </c>
      <c r="O8" s="87">
        <f>IF(AND(Projects!$G$4="Yes",Projects!$F$4="Yes",13&gt;=Projects!$C$4,13&lt;Projects!$C$4+Projects!$D$4),Projects!$B$4*(1-SUMPRODUCT((Curves!$B$8:$AO$8)*(COLUMN(Curves!$B$8:$AO$8)-COLUMN(Curves!$B$8)+1&lt;=13-Projects!$C$4+1))),0)</f>
        <v>809476.36299933877</v>
      </c>
      <c r="P8" s="87">
        <f>IF(AND(Projects!$G$4="Yes",Projects!$F$4="Yes",14&gt;=Projects!$C$4,14&lt;Projects!$C$4+Projects!$D$4),Projects!$B$4*(1-SUMPRODUCT((Curves!$B$8:$AO$8)*(COLUMN(Curves!$B$8:$AO$8)-COLUMN(Curves!$B$8)+1&lt;=14-Projects!$C$4+1))),0)</f>
        <v>362105.41377329524</v>
      </c>
      <c r="Q8" s="87">
        <f>IF(AND(Projects!$G$4="Yes",Projects!$F$4="Yes",15&gt;=Projects!$C$4,15&lt;Projects!$C$4+Projects!$D$4),Projects!$B$4*(1-SUMPRODUCT((Curves!$B$8:$AO$8)*(COLUMN(Curves!$B$8:$AO$8)-COLUMN(Curves!$B$8)+1&lt;=15-Projects!$C$4+1))),0)</f>
        <v>-2.5919677515418016E-9</v>
      </c>
      <c r="R8" s="87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87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87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87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87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87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87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87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87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87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87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87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87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87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87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87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87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87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87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87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87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87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87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87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87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87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87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87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87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87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87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87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87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87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87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87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87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87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87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87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87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87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87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87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87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87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87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87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87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87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87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87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87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87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87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87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87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87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87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87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87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87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87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87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87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87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87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87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87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81" t="s">
        <v>215</v>
      </c>
      <c r="C9" s="87">
        <f>IF(AND(Projects!$G$5="Yes",Projects!$F$5="Yes",1&gt;=Projects!$C$5,1&lt;Projects!$C$5+Projects!$D$5),Projects!$B$5*(1-SUMPRODUCT((Curves!$B$9:$AO$9)*(COLUMN(Curves!$B$9:$AO$9)-COLUMN(Curves!$B$9)+1&lt;=1-Projects!$C$5+1))),0)</f>
        <v>12652545.517624598</v>
      </c>
      <c r="D9" s="87">
        <f>IF(AND(Projects!$G$5="Yes",Projects!$F$5="Yes",2&gt;=Projects!$C$5,2&lt;Projects!$C$5+Projects!$D$5),Projects!$B$5*(1-SUMPRODUCT((Curves!$B$9:$AO$9)*(COLUMN(Curves!$B$9:$AO$9)-COLUMN(Curves!$B$9)+1&lt;=2-Projects!$C$5+1))),0)</f>
        <v>11713055.223965524</v>
      </c>
      <c r="E9" s="87">
        <f>IF(AND(Projects!$G$5="Yes",Projects!$F$5="Yes",3&gt;=Projects!$C$5,3&lt;Projects!$C$5+Projects!$D$5),Projects!$B$5*(1-SUMPRODUCT((Curves!$B$9:$AO$9)*(COLUMN(Curves!$B$9:$AO$9)-COLUMN(Curves!$B$9)+1&lt;=3-Projects!$C$5+1))),0)</f>
        <v>10688095.021026451</v>
      </c>
      <c r="F9" s="87">
        <f>IF(AND(Projects!$G$5="Yes",Projects!$F$5="Yes",4&gt;=Projects!$C$5,4&lt;Projects!$C$5+Projects!$D$5),Projects!$B$5*(1-SUMPRODUCT((Curves!$B$9:$AO$9)*(COLUMN(Curves!$B$9:$AO$9)-COLUMN(Curves!$B$9)+1&lt;=4-Projects!$C$5+1))),0)</f>
        <v>9597363.236929534</v>
      </c>
      <c r="G9" s="87">
        <f>IF(AND(Projects!$G$5="Yes",Projects!$F$5="Yes",5&gt;=Projects!$C$5,5&lt;Projects!$C$5+Projects!$D$5),Projects!$B$5*(1-SUMPRODUCT((Curves!$B$9:$AO$9)*(COLUMN(Curves!$B$9:$AO$9)-COLUMN(Curves!$B$9)+1&lt;=5-Projects!$C$5+1))),0)</f>
        <v>8465151.3195753992</v>
      </c>
      <c r="H9" s="87">
        <f>IF(AND(Projects!$G$5="Yes",Projects!$F$5="Yes",6&gt;=Projects!$C$5,6&lt;Projects!$C$5+Projects!$D$5),Projects!$B$5*(1-SUMPRODUCT((Curves!$B$9:$AO$9)*(COLUMN(Curves!$B$9:$AO$9)-COLUMN(Curves!$B$9)+1&lt;=6-Projects!$C$5+1))),0)</f>
        <v>7318765.4449667064</v>
      </c>
      <c r="I9" s="87">
        <f>IF(AND(Projects!$G$5="Yes",Projects!$F$5="Yes",7&gt;=Projects!$C$5,7&lt;Projects!$C$5+Projects!$D$5),Projects!$B$5*(1-SUMPRODUCT((Curves!$B$9:$AO$9)*(COLUMN(Curves!$B$9:$AO$9)-COLUMN(Curves!$B$9)+1&lt;=7-Projects!$C$5+1))),0)</f>
        <v>6186553.5276125716</v>
      </c>
      <c r="J9" s="87">
        <f>IF(AND(Projects!$G$5="Yes",Projects!$F$5="Yes",8&gt;=Projects!$C$5,8&lt;Projects!$C$5+Projects!$D$5),Projects!$B$5*(1-SUMPRODUCT((Curves!$B$9:$AO$9)*(COLUMN(Curves!$B$9:$AO$9)-COLUMN(Curves!$B$9)+1&lt;=8-Projects!$C$5+1))),0)</f>
        <v>5095821.7435156535</v>
      </c>
      <c r="K9" s="87">
        <f>IF(AND(Projects!$G$5="Yes",Projects!$F$5="Yes",9&gt;=Projects!$C$5,9&lt;Projects!$C$5+Projects!$D$5),Projects!$B$5*(1-SUMPRODUCT((Curves!$B$9:$AO$9)*(COLUMN(Curves!$B$9:$AO$9)-COLUMN(Curves!$B$9)+1&lt;=9-Projects!$C$5+1))),0)</f>
        <v>4070861.5405765832</v>
      </c>
      <c r="L9" s="87">
        <f>IF(AND(Projects!$G$5="Yes",Projects!$F$5="Yes",10&gt;=Projects!$C$5,10&lt;Projects!$C$5+Projects!$D$5),Projects!$B$5*(1-SUMPRODUCT((Curves!$B$9:$AO$9)*(COLUMN(Curves!$B$9:$AO$9)-COLUMN(Curves!$B$9)+1&lt;=10-Projects!$C$5+1))),0)</f>
        <v>3131371.2469175067</v>
      </c>
      <c r="M9" s="87">
        <f>IF(AND(Projects!$G$5="Yes",Projects!$F$5="Yes",11&gt;=Projects!$C$5,11&lt;Projects!$C$5+Projects!$D$5),Projects!$B$5*(1-SUMPRODUCT((Curves!$B$9:$AO$9)*(COLUMN(Curves!$B$9:$AO$9)-COLUMN(Curves!$B$9)+1&lt;=11-Projects!$C$5+1))),0)</f>
        <v>2291382.7645421051</v>
      </c>
      <c r="N9" s="87">
        <f>IF(AND(Projects!$G$5="Yes",Projects!$F$5="Yes",12&gt;=Projects!$C$5,12&lt;Projects!$C$5+Projects!$D$5),Projects!$B$5*(1-SUMPRODUCT((Curves!$B$9:$AO$9)*(COLUMN(Curves!$B$9:$AO$9)-COLUMN(Curves!$B$9)+1&lt;=12-Projects!$C$5+1))),0)</f>
        <v>1558819.6196661771</v>
      </c>
      <c r="O9" s="87">
        <f>IF(AND(Projects!$G$5="Yes",Projects!$F$5="Yes",13&gt;=Projects!$C$5,13&lt;Projects!$C$5+Projects!$D$5),Projects!$B$5*(1-SUMPRODUCT((Curves!$B$9:$AO$9)*(COLUMN(Curves!$B$9:$AO$9)-COLUMN(Curves!$B$9)+1&lt;=13-Projects!$C$5+1))),0)</f>
        <v>935639.01796852541</v>
      </c>
      <c r="P9" s="87">
        <f>IF(AND(Projects!$G$5="Yes",Projects!$F$5="Yes",14&gt;=Projects!$C$5,14&lt;Projects!$C$5+Projects!$D$5),Projects!$B$5*(1-SUMPRODUCT((Curves!$B$9:$AO$9)*(COLUMN(Curves!$B$9:$AO$9)-COLUMN(Curves!$B$9)+1&lt;=14-Projects!$C$5+1))),0)</f>
        <v>418542.12084536091</v>
      </c>
      <c r="Q9" s="87">
        <f>IF(AND(Projects!$G$5="Yes",Projects!$F$5="Yes",15&gt;=Projects!$C$5,15&lt;Projects!$C$5+Projects!$D$5),Projects!$B$5*(1-SUMPRODUCT((Curves!$B$9:$AO$9)*(COLUMN(Curves!$B$9:$AO$9)-COLUMN(Curves!$B$9)+1&lt;=15-Projects!$C$5+1))),0)</f>
        <v>-2.9959443814675524E-9</v>
      </c>
      <c r="R9" s="87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87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87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87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87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87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87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87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87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87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87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87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87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87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87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87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87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87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87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87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87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87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87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87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87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87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87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87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87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87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87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87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87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87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87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87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87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87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87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87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87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87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87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87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87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87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87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87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87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87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87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87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87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87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87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87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87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87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87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87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87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87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87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87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87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87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87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87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87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81" t="s">
        <v>107</v>
      </c>
      <c r="C10" s="87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87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87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87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87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87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87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87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87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87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87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87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87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87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87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87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87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87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87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87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87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87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87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87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87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87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87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87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87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87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87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87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87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87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87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87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87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87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87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87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87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87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87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87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87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87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87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87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87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87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87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87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87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87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87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87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87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87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87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87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87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87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87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87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87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87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87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87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87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87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87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87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87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87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87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87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87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87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87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87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87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87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87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87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81" t="s">
        <v>216</v>
      </c>
      <c r="C11" s="87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87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87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87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87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87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87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87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87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87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87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87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87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87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87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87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87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87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87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87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87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87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87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87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87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87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87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87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87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87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87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87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87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87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87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87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87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87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87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87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87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87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87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87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87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87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87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87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87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87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87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87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87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87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87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87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87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87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87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87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87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87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87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87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87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87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87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87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87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87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87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87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87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87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87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87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87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87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87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87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87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87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87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87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81" t="s">
        <v>217</v>
      </c>
      <c r="C12" s="87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87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87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87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87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87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87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87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87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87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87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87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87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87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87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87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87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87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87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87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87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87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87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87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87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87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87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87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87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87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87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87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87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87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87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87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87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87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87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87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87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87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87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87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87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87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87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87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87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87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87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87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87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87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87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87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87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87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87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87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87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87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87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87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87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87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87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87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87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87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87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87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87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87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87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87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87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87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87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87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87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87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87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87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81" t="s">
        <v>111</v>
      </c>
      <c r="C13" s="87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87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87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87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87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87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87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87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87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87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87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87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87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87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87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87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87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87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87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87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87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87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87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87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87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87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87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87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87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87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87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87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87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87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87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87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87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87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87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87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87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87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87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87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87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87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87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87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87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87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87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87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87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87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87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87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87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87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87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87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87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87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87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87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87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87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87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87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87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87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87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87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87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87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87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87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87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87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87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87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87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87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87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87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81" t="s">
        <v>112</v>
      </c>
      <c r="C14" s="87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87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87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87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87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87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87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87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87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87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87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87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87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87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87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87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87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87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87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87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87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87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87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87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87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87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87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87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87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87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87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87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87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87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87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87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87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87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87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87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87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87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87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87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87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87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87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87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87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87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87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87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87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87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87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87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87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87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87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87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87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87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87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87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87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87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87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87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87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87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87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87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87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87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87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87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87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87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87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87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87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87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87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87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81" t="s">
        <v>115</v>
      </c>
      <c r="C15" s="87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87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87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87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87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87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87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87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87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87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87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87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87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87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87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87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87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87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87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87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87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87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87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87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87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87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87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87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87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87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87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87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87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87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87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87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87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87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87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87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87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87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87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87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87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87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87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87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87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87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87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87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87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87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87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87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87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87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87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87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87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87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87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87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87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87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87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87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87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87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87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87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87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87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87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87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87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87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87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87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87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87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87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87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02" t="s">
        <v>218</v>
      </c>
      <c r="C16" s="103">
        <f t="shared" ref="C16:AH16" si="0">SUM(C8:C15)</f>
        <v>23599007.060589969</v>
      </c>
      <c r="D16" s="103">
        <f t="shared" si="0"/>
        <v>21846708.438740894</v>
      </c>
      <c r="E16" s="103">
        <f t="shared" si="0"/>
        <v>19934994.86045029</v>
      </c>
      <c r="F16" s="103">
        <f t="shared" si="0"/>
        <v>59988330.557798818</v>
      </c>
      <c r="G16" s="103">
        <f t="shared" si="0"/>
        <v>56830895.346243337</v>
      </c>
      <c r="H16" s="103">
        <f t="shared" si="0"/>
        <v>53470466.10025207</v>
      </c>
      <c r="I16" s="103">
        <f t="shared" si="0"/>
        <v>78806360.836637586</v>
      </c>
      <c r="J16" s="103">
        <f t="shared" si="0"/>
        <v>95138155.811395124</v>
      </c>
      <c r="K16" s="103">
        <f t="shared" si="0"/>
        <v>89880219.287110507</v>
      </c>
      <c r="L16" s="103">
        <f t="shared" si="0"/>
        <v>84327348.519684434</v>
      </c>
      <c r="M16" s="103">
        <f t="shared" si="0"/>
        <v>78517826.76764141</v>
      </c>
      <c r="N16" s="103">
        <f t="shared" si="0"/>
        <v>72497927.028571129</v>
      </c>
      <c r="O16" s="103">
        <f t="shared" si="0"/>
        <v>110860792.78762487</v>
      </c>
      <c r="P16" s="103">
        <f t="shared" si="0"/>
        <v>103756479.76066665</v>
      </c>
      <c r="Q16" s="103">
        <f t="shared" si="0"/>
        <v>96517203.05507499</v>
      </c>
      <c r="R16" s="103">
        <f t="shared" si="0"/>
        <v>89832380.402736992</v>
      </c>
      <c r="S16" s="103">
        <f t="shared" si="0"/>
        <v>83021753.709655985</v>
      </c>
      <c r="T16" s="103">
        <f t="shared" si="0"/>
        <v>76187589.600928992</v>
      </c>
      <c r="U16" s="103">
        <f t="shared" si="0"/>
        <v>69427945.700481981</v>
      </c>
      <c r="V16" s="103">
        <f t="shared" si="0"/>
        <v>62831519.462921992</v>
      </c>
      <c r="W16" s="103">
        <f t="shared" si="0"/>
        <v>56473335.557831988</v>
      </c>
      <c r="X16" s="103">
        <f t="shared" si="0"/>
        <v>50412135.689663991</v>
      </c>
      <c r="Y16" s="103">
        <f t="shared" si="0"/>
        <v>44689514.450514987</v>
      </c>
      <c r="Z16" s="103">
        <f t="shared" si="0"/>
        <v>39330314.060103998</v>
      </c>
      <c r="AA16" s="103">
        <f t="shared" si="0"/>
        <v>34344660.929919995</v>
      </c>
      <c r="AB16" s="103">
        <f t="shared" si="0"/>
        <v>30015781.278079994</v>
      </c>
      <c r="AC16" s="103">
        <f t="shared" si="0"/>
        <v>67115910.942615986</v>
      </c>
      <c r="AD16" s="103">
        <f t="shared" si="0"/>
        <v>63678669.505812995</v>
      </c>
      <c r="AE16" s="103">
        <f t="shared" si="0"/>
        <v>60195756.503802985</v>
      </c>
      <c r="AF16" s="103">
        <f t="shared" si="0"/>
        <v>56684810.890850991</v>
      </c>
      <c r="AG16" s="103">
        <f t="shared" si="0"/>
        <v>53163021.419371992</v>
      </c>
      <c r="AH16" s="103">
        <f t="shared" si="0"/>
        <v>49646883.209601</v>
      </c>
      <c r="AI16" s="103">
        <f t="shared" ref="AI16:BN16" si="1">SUM(AI8:AI15)</f>
        <v>46152166.879777998</v>
      </c>
      <c r="AJ16" s="103">
        <f t="shared" si="1"/>
        <v>42693842.409563005</v>
      </c>
      <c r="AK16" s="103">
        <f t="shared" si="1"/>
        <v>39286070.295121007</v>
      </c>
      <c r="AL16" s="103">
        <f t="shared" si="1"/>
        <v>35942217.821294002</v>
      </c>
      <c r="AM16" s="103">
        <f t="shared" si="1"/>
        <v>32894612.367548011</v>
      </c>
      <c r="AN16" s="103">
        <f t="shared" si="1"/>
        <v>29903009.833158009</v>
      </c>
      <c r="AO16" s="103">
        <f t="shared" si="1"/>
        <v>26981928.712532006</v>
      </c>
      <c r="AP16" s="103">
        <f t="shared" si="1"/>
        <v>24145214.967326008</v>
      </c>
      <c r="AQ16" s="103">
        <f t="shared" si="1"/>
        <v>21405892.487426009</v>
      </c>
      <c r="AR16" s="103">
        <f t="shared" si="1"/>
        <v>18775979.790616009</v>
      </c>
      <c r="AS16" s="103">
        <f t="shared" si="1"/>
        <v>16893987.491480004</v>
      </c>
      <c r="AT16" s="103">
        <f t="shared" si="1"/>
        <v>15049033.294064002</v>
      </c>
      <c r="AU16" s="103">
        <f t="shared" si="1"/>
        <v>13258584.501624003</v>
      </c>
      <c r="AV16" s="103">
        <f t="shared" si="1"/>
        <v>11538273.165056005</v>
      </c>
      <c r="AW16" s="103">
        <f t="shared" si="1"/>
        <v>9901787.6675520036</v>
      </c>
      <c r="AX16" s="103">
        <f t="shared" si="1"/>
        <v>8360541.8875440042</v>
      </c>
      <c r="AY16" s="103">
        <f t="shared" si="1"/>
        <v>6923385.716280004</v>
      </c>
      <c r="AZ16" s="103">
        <f t="shared" si="1"/>
        <v>5596646.4124560058</v>
      </c>
      <c r="BA16" s="103">
        <f t="shared" si="1"/>
        <v>4384004.5383200068</v>
      </c>
      <c r="BB16" s="103">
        <f t="shared" si="1"/>
        <v>3286659.3782000076</v>
      </c>
      <c r="BC16" s="103">
        <f t="shared" si="1"/>
        <v>2303535.7116640056</v>
      </c>
      <c r="BD16" s="103">
        <f t="shared" si="1"/>
        <v>1431490.5866800072</v>
      </c>
      <c r="BE16" s="103">
        <f t="shared" si="1"/>
        <v>665685.51130400575</v>
      </c>
      <c r="BF16" s="103">
        <f t="shared" si="1"/>
        <v>-165.41852799557415</v>
      </c>
      <c r="BG16" s="103">
        <f t="shared" si="1"/>
        <v>0</v>
      </c>
      <c r="BH16" s="103">
        <f t="shared" si="1"/>
        <v>0</v>
      </c>
      <c r="BI16" s="103">
        <f t="shared" si="1"/>
        <v>0</v>
      </c>
      <c r="BJ16" s="103">
        <f t="shared" si="1"/>
        <v>0</v>
      </c>
      <c r="BK16" s="103">
        <f t="shared" si="1"/>
        <v>0</v>
      </c>
      <c r="BL16" s="103">
        <f t="shared" si="1"/>
        <v>0</v>
      </c>
      <c r="BM16" s="103">
        <f t="shared" si="1"/>
        <v>0</v>
      </c>
      <c r="BN16" s="103">
        <f t="shared" si="1"/>
        <v>0</v>
      </c>
      <c r="BO16" s="103">
        <f t="shared" ref="BO16:CT16" si="2">SUM(BO8:BO15)</f>
        <v>0</v>
      </c>
      <c r="BP16" s="103">
        <f t="shared" si="2"/>
        <v>0</v>
      </c>
      <c r="BQ16" s="103">
        <f t="shared" si="2"/>
        <v>0</v>
      </c>
      <c r="BR16" s="103">
        <f t="shared" si="2"/>
        <v>0</v>
      </c>
      <c r="BS16" s="103">
        <f t="shared" si="2"/>
        <v>0</v>
      </c>
      <c r="BT16" s="103">
        <f t="shared" si="2"/>
        <v>0</v>
      </c>
      <c r="BU16" s="103">
        <f t="shared" si="2"/>
        <v>0</v>
      </c>
      <c r="BV16" s="103">
        <f t="shared" si="2"/>
        <v>0</v>
      </c>
      <c r="BW16" s="103">
        <f t="shared" si="2"/>
        <v>0</v>
      </c>
      <c r="BX16" s="103">
        <f t="shared" si="2"/>
        <v>0</v>
      </c>
      <c r="BY16" s="103">
        <f t="shared" si="2"/>
        <v>0</v>
      </c>
      <c r="BZ16" s="103">
        <f t="shared" si="2"/>
        <v>0</v>
      </c>
      <c r="CA16" s="103">
        <f t="shared" si="2"/>
        <v>0</v>
      </c>
      <c r="CB16" s="103">
        <f t="shared" si="2"/>
        <v>0</v>
      </c>
      <c r="CC16" s="103">
        <f t="shared" si="2"/>
        <v>0</v>
      </c>
      <c r="CD16" s="103">
        <f t="shared" si="2"/>
        <v>0</v>
      </c>
      <c r="CE16" s="103">
        <f t="shared" si="2"/>
        <v>0</v>
      </c>
      <c r="CF16" s="103">
        <f t="shared" si="2"/>
        <v>0</v>
      </c>
      <c r="CG16" s="103">
        <f t="shared" si="2"/>
        <v>0</v>
      </c>
      <c r="CH16" s="103">
        <f t="shared" si="2"/>
        <v>0</v>
      </c>
    </row>
    <row r="18" spans="1:86" ht="15" customHeight="1" x14ac:dyDescent="0.25">
      <c r="A18" s="6" t="s">
        <v>527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81" t="s">
        <v>528</v>
      </c>
      <c r="C19" s="87">
        <f>IF(Projects!$G$7="Yes",Projects!$B$7*Assumptions!$B$47+Assumptions!$B$53*Assumptions!$B$48,0)</f>
        <v>579684.48</v>
      </c>
      <c r="D19" s="87">
        <f t="shared" ref="D19:AI19" si="3">C21</f>
        <v>579684.48</v>
      </c>
      <c r="E19" s="87">
        <f t="shared" si="3"/>
        <v>579684.48</v>
      </c>
      <c r="F19" s="87">
        <f t="shared" si="3"/>
        <v>579684.48</v>
      </c>
      <c r="G19" s="87">
        <f t="shared" si="3"/>
        <v>579684.48</v>
      </c>
      <c r="H19" s="87">
        <f t="shared" si="3"/>
        <v>579684.48</v>
      </c>
      <c r="I19" s="87">
        <f t="shared" si="3"/>
        <v>579684.48</v>
      </c>
      <c r="J19" s="87">
        <f t="shared" si="3"/>
        <v>579684.48</v>
      </c>
      <c r="K19" s="87">
        <f t="shared" si="3"/>
        <v>579684.48</v>
      </c>
      <c r="L19" s="87">
        <f t="shared" si="3"/>
        <v>579684.48</v>
      </c>
      <c r="M19" s="87">
        <f t="shared" si="3"/>
        <v>579684.48</v>
      </c>
      <c r="N19" s="87">
        <f t="shared" si="3"/>
        <v>579684.48</v>
      </c>
      <c r="O19" s="87">
        <f t="shared" si="3"/>
        <v>579684.48</v>
      </c>
      <c r="P19" s="87">
        <f t="shared" si="3"/>
        <v>579684.48</v>
      </c>
      <c r="Q19" s="87">
        <f t="shared" si="3"/>
        <v>579684.48</v>
      </c>
      <c r="R19" s="87">
        <f t="shared" si="3"/>
        <v>579684.48</v>
      </c>
      <c r="S19" s="87">
        <f t="shared" si="3"/>
        <v>579684.48</v>
      </c>
      <c r="T19" s="87">
        <f t="shared" si="3"/>
        <v>579684.48</v>
      </c>
      <c r="U19" s="87">
        <f t="shared" si="3"/>
        <v>579684.48</v>
      </c>
      <c r="V19" s="87">
        <f t="shared" si="3"/>
        <v>579684.48</v>
      </c>
      <c r="W19" s="87">
        <f t="shared" si="3"/>
        <v>579684.48</v>
      </c>
      <c r="X19" s="87">
        <f t="shared" si="3"/>
        <v>579684.48</v>
      </c>
      <c r="Y19" s="87">
        <f t="shared" si="3"/>
        <v>579684.48</v>
      </c>
      <c r="Z19" s="87">
        <f t="shared" si="3"/>
        <v>579684.48</v>
      </c>
      <c r="AA19" s="87">
        <f t="shared" si="3"/>
        <v>579684.48</v>
      </c>
      <c r="AB19" s="87">
        <f t="shared" si="3"/>
        <v>579684.48</v>
      </c>
      <c r="AC19" s="87">
        <f t="shared" si="3"/>
        <v>579684.48</v>
      </c>
      <c r="AD19" s="87">
        <f t="shared" si="3"/>
        <v>579684.48</v>
      </c>
      <c r="AE19" s="87">
        <f t="shared" si="3"/>
        <v>579684.48</v>
      </c>
      <c r="AF19" s="87">
        <f t="shared" si="3"/>
        <v>579684.48</v>
      </c>
      <c r="AG19" s="87">
        <f t="shared" si="3"/>
        <v>579684.48</v>
      </c>
      <c r="AH19" s="87">
        <f t="shared" si="3"/>
        <v>579684.48</v>
      </c>
      <c r="AI19" s="87">
        <f t="shared" si="3"/>
        <v>579684.48</v>
      </c>
      <c r="AJ19" s="87">
        <f t="shared" ref="AJ19:BO19" si="4">AI21</f>
        <v>579684.48</v>
      </c>
      <c r="AK19" s="87">
        <f t="shared" si="4"/>
        <v>579684.48</v>
      </c>
      <c r="AL19" s="87">
        <f t="shared" si="4"/>
        <v>579684.48</v>
      </c>
      <c r="AM19" s="87">
        <f t="shared" si="4"/>
        <v>579684.48</v>
      </c>
      <c r="AN19" s="87">
        <f t="shared" si="4"/>
        <v>579684.48</v>
      </c>
      <c r="AO19" s="87">
        <f t="shared" si="4"/>
        <v>579684.48</v>
      </c>
      <c r="AP19" s="87">
        <f t="shared" si="4"/>
        <v>579684.48</v>
      </c>
      <c r="AQ19" s="87">
        <f t="shared" si="4"/>
        <v>579684.48</v>
      </c>
      <c r="AR19" s="87">
        <f t="shared" si="4"/>
        <v>579684.48</v>
      </c>
      <c r="AS19" s="87">
        <f t="shared" si="4"/>
        <v>498001.48</v>
      </c>
      <c r="AT19" s="87">
        <f t="shared" si="4"/>
        <v>498001.48</v>
      </c>
      <c r="AU19" s="87">
        <f t="shared" si="4"/>
        <v>498001.48</v>
      </c>
      <c r="AV19" s="87">
        <f t="shared" si="4"/>
        <v>416319.48</v>
      </c>
      <c r="AW19" s="87">
        <f t="shared" si="4"/>
        <v>416319.48</v>
      </c>
      <c r="AX19" s="87">
        <f t="shared" si="4"/>
        <v>416319.48</v>
      </c>
      <c r="AY19" s="87">
        <f t="shared" si="4"/>
        <v>334637.48</v>
      </c>
      <c r="AZ19" s="87">
        <f t="shared" si="4"/>
        <v>334637.48</v>
      </c>
      <c r="BA19" s="87">
        <f t="shared" si="4"/>
        <v>334637.48</v>
      </c>
      <c r="BB19" s="87">
        <f t="shared" si="4"/>
        <v>252955.47999999998</v>
      </c>
      <c r="BC19" s="87">
        <f t="shared" si="4"/>
        <v>252955.47999999998</v>
      </c>
      <c r="BD19" s="87">
        <f t="shared" si="4"/>
        <v>252955.47999999998</v>
      </c>
      <c r="BE19" s="87">
        <f t="shared" si="4"/>
        <v>193777.47999999998</v>
      </c>
      <c r="BF19" s="87">
        <f t="shared" si="4"/>
        <v>193777.47999999998</v>
      </c>
      <c r="BG19" s="87">
        <f t="shared" si="4"/>
        <v>193777.47999999998</v>
      </c>
      <c r="BH19" s="87">
        <f t="shared" si="4"/>
        <v>134601.47999999998</v>
      </c>
      <c r="BI19" s="87">
        <f t="shared" si="4"/>
        <v>134601.47999999998</v>
      </c>
      <c r="BJ19" s="87">
        <f t="shared" si="4"/>
        <v>134601.47999999998</v>
      </c>
      <c r="BK19" s="87">
        <f t="shared" si="4"/>
        <v>75425.479999999981</v>
      </c>
      <c r="BL19" s="87">
        <f t="shared" si="4"/>
        <v>75425.479999999981</v>
      </c>
      <c r="BM19" s="87">
        <f t="shared" si="4"/>
        <v>75425.479999999981</v>
      </c>
      <c r="BN19" s="87">
        <f t="shared" si="4"/>
        <v>16249.479999999981</v>
      </c>
      <c r="BO19" s="87">
        <f t="shared" si="4"/>
        <v>16249.479999999981</v>
      </c>
      <c r="BP19" s="87">
        <f t="shared" ref="BP19:CH19" si="5">BO21</f>
        <v>16249.479999999981</v>
      </c>
      <c r="BQ19" s="87">
        <f t="shared" si="5"/>
        <v>0</v>
      </c>
      <c r="BR19" s="87">
        <f t="shared" si="5"/>
        <v>0</v>
      </c>
      <c r="BS19" s="87">
        <f t="shared" si="5"/>
        <v>0</v>
      </c>
      <c r="BT19" s="87">
        <f t="shared" si="5"/>
        <v>0</v>
      </c>
      <c r="BU19" s="87">
        <f t="shared" si="5"/>
        <v>0</v>
      </c>
      <c r="BV19" s="87">
        <f t="shared" si="5"/>
        <v>0</v>
      </c>
      <c r="BW19" s="87">
        <f t="shared" si="5"/>
        <v>0</v>
      </c>
      <c r="BX19" s="87">
        <f t="shared" si="5"/>
        <v>0</v>
      </c>
      <c r="BY19" s="87">
        <f t="shared" si="5"/>
        <v>0</v>
      </c>
      <c r="BZ19" s="87">
        <f t="shared" si="5"/>
        <v>0</v>
      </c>
      <c r="CA19" s="87">
        <f t="shared" si="5"/>
        <v>0</v>
      </c>
      <c r="CB19" s="87">
        <f t="shared" si="5"/>
        <v>0</v>
      </c>
      <c r="CC19" s="87">
        <f t="shared" si="5"/>
        <v>0</v>
      </c>
      <c r="CD19" s="87">
        <f t="shared" si="5"/>
        <v>0</v>
      </c>
      <c r="CE19" s="87">
        <f t="shared" si="5"/>
        <v>0</v>
      </c>
      <c r="CF19" s="87">
        <f t="shared" si="5"/>
        <v>0</v>
      </c>
      <c r="CG19" s="87">
        <f t="shared" si="5"/>
        <v>0</v>
      </c>
      <c r="CH19" s="87">
        <f t="shared" si="5"/>
        <v>0</v>
      </c>
    </row>
    <row r="20" spans="1:86" ht="15" customHeight="1" x14ac:dyDescent="0.25">
      <c r="A20" s="104" t="s">
        <v>529</v>
      </c>
      <c r="C20" s="105">
        <f>MIN(C19,Model!C59)</f>
        <v>0</v>
      </c>
      <c r="D20" s="105">
        <f>MIN(D19,Model!D59)</f>
        <v>0</v>
      </c>
      <c r="E20" s="105">
        <f>MIN(E19,Model!E59)</f>
        <v>0</v>
      </c>
      <c r="F20" s="105">
        <f>MIN(F19,Model!F59)</f>
        <v>0</v>
      </c>
      <c r="G20" s="105">
        <f>MIN(G19,Model!G59)</f>
        <v>0</v>
      </c>
      <c r="H20" s="105">
        <f>MIN(H19,Model!H59)</f>
        <v>0</v>
      </c>
      <c r="I20" s="105">
        <f>MIN(I19,Model!I59)</f>
        <v>0</v>
      </c>
      <c r="J20" s="105">
        <f>MIN(J19,Model!J59)</f>
        <v>0</v>
      </c>
      <c r="K20" s="105">
        <f>MIN(K19,Model!K59)</f>
        <v>0</v>
      </c>
      <c r="L20" s="105">
        <f>MIN(L19,Model!L59)</f>
        <v>0</v>
      </c>
      <c r="M20" s="105">
        <f>MIN(M19,Model!M59)</f>
        <v>0</v>
      </c>
      <c r="N20" s="105">
        <f>MIN(N19,Model!N59)</f>
        <v>0</v>
      </c>
      <c r="O20" s="105">
        <f>MIN(O19,Model!O59)</f>
        <v>0</v>
      </c>
      <c r="P20" s="105">
        <f>MIN(P19,Model!P59)</f>
        <v>0</v>
      </c>
      <c r="Q20" s="105">
        <f>MIN(Q19,Model!Q59)</f>
        <v>0</v>
      </c>
      <c r="R20" s="105">
        <f>MIN(R19,Model!R59)</f>
        <v>0</v>
      </c>
      <c r="S20" s="105">
        <f>MIN(S19,Model!S59)</f>
        <v>0</v>
      </c>
      <c r="T20" s="105">
        <f>MIN(T19,Model!T59)</f>
        <v>0</v>
      </c>
      <c r="U20" s="105">
        <f>MIN(U19,Model!U59)</f>
        <v>0</v>
      </c>
      <c r="V20" s="105">
        <f>MIN(V19,Model!V59)</f>
        <v>0</v>
      </c>
      <c r="W20" s="105">
        <f>MIN(W19,Model!W59)</f>
        <v>0</v>
      </c>
      <c r="X20" s="105">
        <f>MIN(X19,Model!X59)</f>
        <v>0</v>
      </c>
      <c r="Y20" s="105">
        <f>MIN(Y19,Model!Y59)</f>
        <v>0</v>
      </c>
      <c r="Z20" s="105">
        <f>MIN(Z19,Model!Z59)</f>
        <v>0</v>
      </c>
      <c r="AA20" s="105">
        <f>MIN(AA19,Model!AA59)</f>
        <v>0</v>
      </c>
      <c r="AB20" s="105">
        <f>MIN(AB19,Model!AB59)</f>
        <v>0</v>
      </c>
      <c r="AC20" s="105">
        <f>MIN(AC19,Model!AC59)</f>
        <v>0</v>
      </c>
      <c r="AD20" s="105">
        <f>MIN(AD19,Model!AD59)</f>
        <v>0</v>
      </c>
      <c r="AE20" s="105">
        <f>MIN(AE19,Model!AE59)</f>
        <v>0</v>
      </c>
      <c r="AF20" s="105">
        <f>MIN(AF19,Model!AF59)</f>
        <v>0</v>
      </c>
      <c r="AG20" s="105">
        <f>MIN(AG19,Model!AG59)</f>
        <v>0</v>
      </c>
      <c r="AH20" s="105">
        <f>MIN(AH19,Model!AH59)</f>
        <v>0</v>
      </c>
      <c r="AI20" s="105">
        <f>MIN(AI19,Model!AI59)</f>
        <v>0</v>
      </c>
      <c r="AJ20" s="105">
        <f>MIN(AJ19,Model!AJ59)</f>
        <v>0</v>
      </c>
      <c r="AK20" s="105">
        <f>MIN(AK19,Model!AK59)</f>
        <v>0</v>
      </c>
      <c r="AL20" s="105">
        <f>MIN(AL19,Model!AL59)</f>
        <v>0</v>
      </c>
      <c r="AM20" s="105">
        <f>MIN(AM19,Model!AM59)</f>
        <v>0</v>
      </c>
      <c r="AN20" s="105">
        <f>MIN(AN19,Model!AN59)</f>
        <v>0</v>
      </c>
      <c r="AO20" s="105">
        <f>MIN(AO19,Model!AO59)</f>
        <v>0</v>
      </c>
      <c r="AP20" s="105">
        <f>MIN(AP19,Model!AP59)</f>
        <v>0</v>
      </c>
      <c r="AQ20" s="105">
        <f>MIN(AQ19,Model!AQ59)</f>
        <v>0</v>
      </c>
      <c r="AR20" s="105">
        <f>MIN(AR19,Model!AR59)</f>
        <v>81683</v>
      </c>
      <c r="AS20" s="105">
        <f>MIN(AS19,Model!AS59)</f>
        <v>0</v>
      </c>
      <c r="AT20" s="105">
        <f>MIN(AT19,Model!AT59)</f>
        <v>0</v>
      </c>
      <c r="AU20" s="105">
        <f>MIN(AU19,Model!AU59)</f>
        <v>81682</v>
      </c>
      <c r="AV20" s="105">
        <f>MIN(AV19,Model!AV59)</f>
        <v>0</v>
      </c>
      <c r="AW20" s="105">
        <f>MIN(AW19,Model!AW59)</f>
        <v>0</v>
      </c>
      <c r="AX20" s="105">
        <f>MIN(AX19,Model!AX59)</f>
        <v>81682</v>
      </c>
      <c r="AY20" s="105">
        <f>MIN(AY19,Model!AY59)</f>
        <v>0</v>
      </c>
      <c r="AZ20" s="105">
        <f>MIN(AZ19,Model!AZ59)</f>
        <v>0</v>
      </c>
      <c r="BA20" s="105">
        <f>MIN(BA19,Model!BA59)</f>
        <v>81682</v>
      </c>
      <c r="BB20" s="105">
        <f>MIN(BB19,Model!BB59)</f>
        <v>0</v>
      </c>
      <c r="BC20" s="105">
        <f>MIN(BC19,Model!BC59)</f>
        <v>0</v>
      </c>
      <c r="BD20" s="105">
        <f>MIN(BD19,Model!BD59)</f>
        <v>59178</v>
      </c>
      <c r="BE20" s="105">
        <f>MIN(BE19,Model!BE59)</f>
        <v>0</v>
      </c>
      <c r="BF20" s="105">
        <f>MIN(BF19,Model!BF59)</f>
        <v>0</v>
      </c>
      <c r="BG20" s="105">
        <f>MIN(BG19,Model!BG59)</f>
        <v>59176</v>
      </c>
      <c r="BH20" s="105">
        <f>MIN(BH19,Model!BH59)</f>
        <v>0</v>
      </c>
      <c r="BI20" s="105">
        <f>MIN(BI19,Model!BI59)</f>
        <v>0</v>
      </c>
      <c r="BJ20" s="105">
        <f>MIN(BJ19,Model!BJ59)</f>
        <v>59176</v>
      </c>
      <c r="BK20" s="105">
        <f>MIN(BK19,Model!BK59)</f>
        <v>0</v>
      </c>
      <c r="BL20" s="105">
        <f>MIN(BL19,Model!BL59)</f>
        <v>0</v>
      </c>
      <c r="BM20" s="105">
        <f>MIN(BM19,Model!BM59)</f>
        <v>59176</v>
      </c>
      <c r="BN20" s="105">
        <f>MIN(BN19,Model!BN59)</f>
        <v>0</v>
      </c>
      <c r="BO20" s="105">
        <f>MIN(BO19,Model!BO59)</f>
        <v>0</v>
      </c>
      <c r="BP20" s="105">
        <f>MIN(BP19,Model!BP59)</f>
        <v>16249.479999999981</v>
      </c>
      <c r="BQ20" s="105">
        <f>MIN(BQ19,Model!BQ59)</f>
        <v>0</v>
      </c>
      <c r="BR20" s="105">
        <f>MIN(BR19,Model!BR59)</f>
        <v>0</v>
      </c>
      <c r="BS20" s="105">
        <f>MIN(BS19,Model!BS59)</f>
        <v>0</v>
      </c>
      <c r="BT20" s="105">
        <f>MIN(BT19,Model!BT59)</f>
        <v>0</v>
      </c>
      <c r="BU20" s="105">
        <f>MIN(BU19,Model!BU59)</f>
        <v>0</v>
      </c>
      <c r="BV20" s="105">
        <f>MIN(BV19,Model!BV59)</f>
        <v>0</v>
      </c>
      <c r="BW20" s="105">
        <f>MIN(BW19,Model!BW59)</f>
        <v>0</v>
      </c>
      <c r="BX20" s="105">
        <f>MIN(BX19,Model!BX59)</f>
        <v>0</v>
      </c>
      <c r="BY20" s="105">
        <f>MIN(BY19,Model!BY59)</f>
        <v>0</v>
      </c>
      <c r="BZ20" s="105">
        <f>MIN(BZ19,Model!BZ59)</f>
        <v>0</v>
      </c>
      <c r="CA20" s="105">
        <f>MIN(CA19,Model!CA59)</f>
        <v>0</v>
      </c>
      <c r="CB20" s="105">
        <f>MIN(CB19,Model!CB59)</f>
        <v>0</v>
      </c>
      <c r="CC20" s="105">
        <f>MIN(CC19,Model!CC59)</f>
        <v>0</v>
      </c>
      <c r="CD20" s="105">
        <f>MIN(CD19,Model!CD59)</f>
        <v>0</v>
      </c>
      <c r="CE20" s="105">
        <f>MIN(CE19,Model!CE59)</f>
        <v>0</v>
      </c>
      <c r="CF20" s="105">
        <f>MIN(CF19,Model!CF59)</f>
        <v>0</v>
      </c>
      <c r="CG20" s="105">
        <f>MIN(CG19,Model!CG59)</f>
        <v>0</v>
      </c>
      <c r="CH20" s="105">
        <f>MIN(CH19,Model!CH59)</f>
        <v>0</v>
      </c>
    </row>
    <row r="21" spans="1:86" ht="15" customHeight="1" x14ac:dyDescent="0.25">
      <c r="A21" s="102" t="s">
        <v>530</v>
      </c>
      <c r="C21" s="103">
        <f t="shared" ref="C21:AH21" si="6">MAX(0,C19-C20)</f>
        <v>579684.48</v>
      </c>
      <c r="D21" s="103">
        <f t="shared" si="6"/>
        <v>579684.48</v>
      </c>
      <c r="E21" s="103">
        <f t="shared" si="6"/>
        <v>579684.48</v>
      </c>
      <c r="F21" s="103">
        <f t="shared" si="6"/>
        <v>579684.48</v>
      </c>
      <c r="G21" s="103">
        <f t="shared" si="6"/>
        <v>579684.48</v>
      </c>
      <c r="H21" s="103">
        <f t="shared" si="6"/>
        <v>579684.48</v>
      </c>
      <c r="I21" s="103">
        <f t="shared" si="6"/>
        <v>579684.48</v>
      </c>
      <c r="J21" s="103">
        <f t="shared" si="6"/>
        <v>579684.48</v>
      </c>
      <c r="K21" s="103">
        <f t="shared" si="6"/>
        <v>579684.48</v>
      </c>
      <c r="L21" s="103">
        <f t="shared" si="6"/>
        <v>579684.48</v>
      </c>
      <c r="M21" s="103">
        <f t="shared" si="6"/>
        <v>579684.48</v>
      </c>
      <c r="N21" s="103">
        <f t="shared" si="6"/>
        <v>579684.48</v>
      </c>
      <c r="O21" s="103">
        <f t="shared" si="6"/>
        <v>579684.48</v>
      </c>
      <c r="P21" s="103">
        <f t="shared" si="6"/>
        <v>579684.48</v>
      </c>
      <c r="Q21" s="103">
        <f t="shared" si="6"/>
        <v>579684.48</v>
      </c>
      <c r="R21" s="103">
        <f t="shared" si="6"/>
        <v>579684.48</v>
      </c>
      <c r="S21" s="103">
        <f t="shared" si="6"/>
        <v>579684.48</v>
      </c>
      <c r="T21" s="103">
        <f t="shared" si="6"/>
        <v>579684.48</v>
      </c>
      <c r="U21" s="103">
        <f t="shared" si="6"/>
        <v>579684.48</v>
      </c>
      <c r="V21" s="103">
        <f t="shared" si="6"/>
        <v>579684.48</v>
      </c>
      <c r="W21" s="103">
        <f t="shared" si="6"/>
        <v>579684.48</v>
      </c>
      <c r="X21" s="103">
        <f t="shared" si="6"/>
        <v>579684.48</v>
      </c>
      <c r="Y21" s="103">
        <f t="shared" si="6"/>
        <v>579684.48</v>
      </c>
      <c r="Z21" s="103">
        <f t="shared" si="6"/>
        <v>579684.48</v>
      </c>
      <c r="AA21" s="103">
        <f t="shared" si="6"/>
        <v>579684.48</v>
      </c>
      <c r="AB21" s="103">
        <f t="shared" si="6"/>
        <v>579684.48</v>
      </c>
      <c r="AC21" s="103">
        <f t="shared" si="6"/>
        <v>579684.48</v>
      </c>
      <c r="AD21" s="103">
        <f t="shared" si="6"/>
        <v>579684.48</v>
      </c>
      <c r="AE21" s="103">
        <f t="shared" si="6"/>
        <v>579684.48</v>
      </c>
      <c r="AF21" s="103">
        <f t="shared" si="6"/>
        <v>579684.48</v>
      </c>
      <c r="AG21" s="103">
        <f t="shared" si="6"/>
        <v>579684.48</v>
      </c>
      <c r="AH21" s="103">
        <f t="shared" si="6"/>
        <v>579684.48</v>
      </c>
      <c r="AI21" s="103">
        <f t="shared" ref="AI21:BN21" si="7">MAX(0,AI19-AI20)</f>
        <v>579684.48</v>
      </c>
      <c r="AJ21" s="103">
        <f t="shared" si="7"/>
        <v>579684.48</v>
      </c>
      <c r="AK21" s="103">
        <f t="shared" si="7"/>
        <v>579684.48</v>
      </c>
      <c r="AL21" s="103">
        <f t="shared" si="7"/>
        <v>579684.48</v>
      </c>
      <c r="AM21" s="103">
        <f t="shared" si="7"/>
        <v>579684.48</v>
      </c>
      <c r="AN21" s="103">
        <f t="shared" si="7"/>
        <v>579684.48</v>
      </c>
      <c r="AO21" s="103">
        <f t="shared" si="7"/>
        <v>579684.48</v>
      </c>
      <c r="AP21" s="103">
        <f t="shared" si="7"/>
        <v>579684.48</v>
      </c>
      <c r="AQ21" s="103">
        <f t="shared" si="7"/>
        <v>579684.48</v>
      </c>
      <c r="AR21" s="103">
        <f t="shared" si="7"/>
        <v>498001.48</v>
      </c>
      <c r="AS21" s="103">
        <f t="shared" si="7"/>
        <v>498001.48</v>
      </c>
      <c r="AT21" s="103">
        <f t="shared" si="7"/>
        <v>498001.48</v>
      </c>
      <c r="AU21" s="103">
        <f t="shared" si="7"/>
        <v>416319.48</v>
      </c>
      <c r="AV21" s="103">
        <f t="shared" si="7"/>
        <v>416319.48</v>
      </c>
      <c r="AW21" s="103">
        <f t="shared" si="7"/>
        <v>416319.48</v>
      </c>
      <c r="AX21" s="103">
        <f t="shared" si="7"/>
        <v>334637.48</v>
      </c>
      <c r="AY21" s="103">
        <f t="shared" si="7"/>
        <v>334637.48</v>
      </c>
      <c r="AZ21" s="103">
        <f t="shared" si="7"/>
        <v>334637.48</v>
      </c>
      <c r="BA21" s="103">
        <f t="shared" si="7"/>
        <v>252955.47999999998</v>
      </c>
      <c r="BB21" s="103">
        <f t="shared" si="7"/>
        <v>252955.47999999998</v>
      </c>
      <c r="BC21" s="103">
        <f t="shared" si="7"/>
        <v>252955.47999999998</v>
      </c>
      <c r="BD21" s="103">
        <f t="shared" si="7"/>
        <v>193777.47999999998</v>
      </c>
      <c r="BE21" s="103">
        <f t="shared" si="7"/>
        <v>193777.47999999998</v>
      </c>
      <c r="BF21" s="103">
        <f t="shared" si="7"/>
        <v>193777.47999999998</v>
      </c>
      <c r="BG21" s="103">
        <f t="shared" si="7"/>
        <v>134601.47999999998</v>
      </c>
      <c r="BH21" s="103">
        <f t="shared" si="7"/>
        <v>134601.47999999998</v>
      </c>
      <c r="BI21" s="103">
        <f t="shared" si="7"/>
        <v>134601.47999999998</v>
      </c>
      <c r="BJ21" s="103">
        <f t="shared" si="7"/>
        <v>75425.479999999981</v>
      </c>
      <c r="BK21" s="103">
        <f t="shared" si="7"/>
        <v>75425.479999999981</v>
      </c>
      <c r="BL21" s="103">
        <f t="shared" si="7"/>
        <v>75425.479999999981</v>
      </c>
      <c r="BM21" s="103">
        <f t="shared" si="7"/>
        <v>16249.479999999981</v>
      </c>
      <c r="BN21" s="103">
        <f t="shared" si="7"/>
        <v>16249.479999999981</v>
      </c>
      <c r="BO21" s="103">
        <f t="shared" ref="BO21:CT21" si="8">MAX(0,BO19-BO20)</f>
        <v>16249.479999999981</v>
      </c>
      <c r="BP21" s="103">
        <f t="shared" si="8"/>
        <v>0</v>
      </c>
      <c r="BQ21" s="103">
        <f t="shared" si="8"/>
        <v>0</v>
      </c>
      <c r="BR21" s="103">
        <f t="shared" si="8"/>
        <v>0</v>
      </c>
      <c r="BS21" s="103">
        <f t="shared" si="8"/>
        <v>0</v>
      </c>
      <c r="BT21" s="103">
        <f t="shared" si="8"/>
        <v>0</v>
      </c>
      <c r="BU21" s="103">
        <f t="shared" si="8"/>
        <v>0</v>
      </c>
      <c r="BV21" s="103">
        <f t="shared" si="8"/>
        <v>0</v>
      </c>
      <c r="BW21" s="103">
        <f t="shared" si="8"/>
        <v>0</v>
      </c>
      <c r="BX21" s="103">
        <f t="shared" si="8"/>
        <v>0</v>
      </c>
      <c r="BY21" s="103">
        <f t="shared" si="8"/>
        <v>0</v>
      </c>
      <c r="BZ21" s="103">
        <f t="shared" si="8"/>
        <v>0</v>
      </c>
      <c r="CA21" s="103">
        <f t="shared" si="8"/>
        <v>0</v>
      </c>
      <c r="CB21" s="103">
        <f t="shared" si="8"/>
        <v>0</v>
      </c>
      <c r="CC21" s="103">
        <f t="shared" si="8"/>
        <v>0</v>
      </c>
      <c r="CD21" s="103">
        <f t="shared" si="8"/>
        <v>0</v>
      </c>
      <c r="CE21" s="103">
        <f t="shared" si="8"/>
        <v>0</v>
      </c>
      <c r="CF21" s="103">
        <f t="shared" si="8"/>
        <v>0</v>
      </c>
      <c r="CG21" s="103">
        <f t="shared" si="8"/>
        <v>0</v>
      </c>
      <c r="CH21" s="103">
        <f t="shared" si="8"/>
        <v>0</v>
      </c>
    </row>
    <row r="22" spans="1:86" ht="15" customHeight="1" x14ac:dyDescent="0.25">
      <c r="A22" s="81" t="s">
        <v>531</v>
      </c>
      <c r="C22" s="87">
        <f>IF(Projects!$G$13="Yes",Projects!$B$13*Assumptions!$B$47+Assumptions!$B$54*Assumptions!$B$48,0)</f>
        <v>602667.69999999995</v>
      </c>
      <c r="D22" s="87">
        <f t="shared" ref="D22:AI22" si="9">C24</f>
        <v>602667.69999999995</v>
      </c>
      <c r="E22" s="87">
        <f t="shared" si="9"/>
        <v>602667.69999999995</v>
      </c>
      <c r="F22" s="87">
        <f t="shared" si="9"/>
        <v>602667.69999999995</v>
      </c>
      <c r="G22" s="87">
        <f t="shared" si="9"/>
        <v>602667.69999999995</v>
      </c>
      <c r="H22" s="87">
        <f t="shared" si="9"/>
        <v>602667.69999999995</v>
      </c>
      <c r="I22" s="87">
        <f t="shared" si="9"/>
        <v>602667.69999999995</v>
      </c>
      <c r="J22" s="87">
        <f t="shared" si="9"/>
        <v>602667.69999999995</v>
      </c>
      <c r="K22" s="87">
        <f t="shared" si="9"/>
        <v>602667.69999999995</v>
      </c>
      <c r="L22" s="87">
        <f t="shared" si="9"/>
        <v>602667.69999999995</v>
      </c>
      <c r="M22" s="87">
        <f t="shared" si="9"/>
        <v>602667.69999999995</v>
      </c>
      <c r="N22" s="87">
        <f t="shared" si="9"/>
        <v>602667.69999999995</v>
      </c>
      <c r="O22" s="87">
        <f t="shared" si="9"/>
        <v>602667.69999999995</v>
      </c>
      <c r="P22" s="87">
        <f t="shared" si="9"/>
        <v>602667.69999999995</v>
      </c>
      <c r="Q22" s="87">
        <f t="shared" si="9"/>
        <v>602667.69999999995</v>
      </c>
      <c r="R22" s="87">
        <f t="shared" si="9"/>
        <v>602667.69999999995</v>
      </c>
      <c r="S22" s="87">
        <f t="shared" si="9"/>
        <v>602667.69999999995</v>
      </c>
      <c r="T22" s="87">
        <f t="shared" si="9"/>
        <v>602667.69999999995</v>
      </c>
      <c r="U22" s="87">
        <f t="shared" si="9"/>
        <v>602667.69999999995</v>
      </c>
      <c r="V22" s="87">
        <f t="shared" si="9"/>
        <v>602667.69999999995</v>
      </c>
      <c r="W22" s="87">
        <f t="shared" si="9"/>
        <v>602667.69999999995</v>
      </c>
      <c r="X22" s="87">
        <f t="shared" si="9"/>
        <v>602667.69999999995</v>
      </c>
      <c r="Y22" s="87">
        <f t="shared" si="9"/>
        <v>602667.69999999995</v>
      </c>
      <c r="Z22" s="87">
        <f t="shared" si="9"/>
        <v>602667.69999999995</v>
      </c>
      <c r="AA22" s="87">
        <f t="shared" si="9"/>
        <v>602667.69999999995</v>
      </c>
      <c r="AB22" s="87">
        <f t="shared" si="9"/>
        <v>602667.69999999995</v>
      </c>
      <c r="AC22" s="87">
        <f t="shared" si="9"/>
        <v>602667.69999999995</v>
      </c>
      <c r="AD22" s="87">
        <f t="shared" si="9"/>
        <v>602667.69999999995</v>
      </c>
      <c r="AE22" s="87">
        <f t="shared" si="9"/>
        <v>602667.69999999995</v>
      </c>
      <c r="AF22" s="87">
        <f t="shared" si="9"/>
        <v>602667.69999999995</v>
      </c>
      <c r="AG22" s="87">
        <f t="shared" si="9"/>
        <v>602667.69999999995</v>
      </c>
      <c r="AH22" s="87">
        <f t="shared" si="9"/>
        <v>602667.69999999995</v>
      </c>
      <c r="AI22" s="87">
        <f t="shared" si="9"/>
        <v>602667.69999999995</v>
      </c>
      <c r="AJ22" s="87">
        <f t="shared" ref="AJ22:BO22" si="10">AI24</f>
        <v>602667.69999999995</v>
      </c>
      <c r="AK22" s="87">
        <f t="shared" si="10"/>
        <v>602667.69999999995</v>
      </c>
      <c r="AL22" s="87">
        <f t="shared" si="10"/>
        <v>602667.69999999995</v>
      </c>
      <c r="AM22" s="87">
        <f t="shared" si="10"/>
        <v>602667.69999999995</v>
      </c>
      <c r="AN22" s="87">
        <f t="shared" si="10"/>
        <v>602667.69999999995</v>
      </c>
      <c r="AO22" s="87">
        <f t="shared" si="10"/>
        <v>602667.69999999995</v>
      </c>
      <c r="AP22" s="87">
        <f t="shared" si="10"/>
        <v>602667.69999999995</v>
      </c>
      <c r="AQ22" s="87">
        <f t="shared" si="10"/>
        <v>602667.69999999995</v>
      </c>
      <c r="AR22" s="87">
        <f t="shared" si="10"/>
        <v>602667.69999999995</v>
      </c>
      <c r="AS22" s="87">
        <f t="shared" si="10"/>
        <v>602667.69999999995</v>
      </c>
      <c r="AT22" s="87">
        <f t="shared" si="10"/>
        <v>602667.69999999995</v>
      </c>
      <c r="AU22" s="87">
        <f t="shared" si="10"/>
        <v>602667.69999999995</v>
      </c>
      <c r="AV22" s="87">
        <f t="shared" si="10"/>
        <v>602667.69999999995</v>
      </c>
      <c r="AW22" s="87">
        <f t="shared" si="10"/>
        <v>602667.69999999995</v>
      </c>
      <c r="AX22" s="87">
        <f t="shared" si="10"/>
        <v>602667.69999999995</v>
      </c>
      <c r="AY22" s="87">
        <f t="shared" si="10"/>
        <v>602667.69999999995</v>
      </c>
      <c r="AZ22" s="87">
        <f t="shared" si="10"/>
        <v>602667.69999999995</v>
      </c>
      <c r="BA22" s="87">
        <f t="shared" si="10"/>
        <v>602667.69999999995</v>
      </c>
      <c r="BB22" s="87">
        <f t="shared" si="10"/>
        <v>0</v>
      </c>
      <c r="BC22" s="87">
        <f t="shared" si="10"/>
        <v>0</v>
      </c>
      <c r="BD22" s="87">
        <f t="shared" si="10"/>
        <v>0</v>
      </c>
      <c r="BE22" s="87">
        <f t="shared" si="10"/>
        <v>0</v>
      </c>
      <c r="BF22" s="87">
        <f t="shared" si="10"/>
        <v>0</v>
      </c>
      <c r="BG22" s="87">
        <f t="shared" si="10"/>
        <v>0</v>
      </c>
      <c r="BH22" s="87">
        <f t="shared" si="10"/>
        <v>0</v>
      </c>
      <c r="BI22" s="87">
        <f t="shared" si="10"/>
        <v>0</v>
      </c>
      <c r="BJ22" s="87">
        <f t="shared" si="10"/>
        <v>0</v>
      </c>
      <c r="BK22" s="87">
        <f t="shared" si="10"/>
        <v>0</v>
      </c>
      <c r="BL22" s="87">
        <f t="shared" si="10"/>
        <v>0</v>
      </c>
      <c r="BM22" s="87">
        <f t="shared" si="10"/>
        <v>0</v>
      </c>
      <c r="BN22" s="87">
        <f t="shared" si="10"/>
        <v>0</v>
      </c>
      <c r="BO22" s="87">
        <f t="shared" si="10"/>
        <v>0</v>
      </c>
      <c r="BP22" s="87">
        <f t="shared" ref="BP22:CH22" si="11">BO24</f>
        <v>0</v>
      </c>
      <c r="BQ22" s="87">
        <f t="shared" si="11"/>
        <v>0</v>
      </c>
      <c r="BR22" s="87">
        <f t="shared" si="11"/>
        <v>0</v>
      </c>
      <c r="BS22" s="87">
        <f t="shared" si="11"/>
        <v>0</v>
      </c>
      <c r="BT22" s="87">
        <f t="shared" si="11"/>
        <v>0</v>
      </c>
      <c r="BU22" s="87">
        <f t="shared" si="11"/>
        <v>0</v>
      </c>
      <c r="BV22" s="87">
        <f t="shared" si="11"/>
        <v>0</v>
      </c>
      <c r="BW22" s="87">
        <f t="shared" si="11"/>
        <v>0</v>
      </c>
      <c r="BX22" s="87">
        <f t="shared" si="11"/>
        <v>0</v>
      </c>
      <c r="BY22" s="87">
        <f t="shared" si="11"/>
        <v>0</v>
      </c>
      <c r="BZ22" s="87">
        <f t="shared" si="11"/>
        <v>0</v>
      </c>
      <c r="CA22" s="87">
        <f t="shared" si="11"/>
        <v>0</v>
      </c>
      <c r="CB22" s="87">
        <f t="shared" si="11"/>
        <v>0</v>
      </c>
      <c r="CC22" s="87">
        <f t="shared" si="11"/>
        <v>0</v>
      </c>
      <c r="CD22" s="87">
        <f t="shared" si="11"/>
        <v>0</v>
      </c>
      <c r="CE22" s="87">
        <f t="shared" si="11"/>
        <v>0</v>
      </c>
      <c r="CF22" s="87">
        <f t="shared" si="11"/>
        <v>0</v>
      </c>
      <c r="CG22" s="87">
        <f t="shared" si="11"/>
        <v>0</v>
      </c>
      <c r="CH22" s="87">
        <f t="shared" si="11"/>
        <v>0</v>
      </c>
    </row>
    <row r="23" spans="1:86" ht="15" customHeight="1" x14ac:dyDescent="0.25">
      <c r="A23" s="104" t="s">
        <v>532</v>
      </c>
      <c r="C23" s="105">
        <f>MIN(C22,Model!C60)</f>
        <v>0</v>
      </c>
      <c r="D23" s="105">
        <f>MIN(D22,Model!D60)</f>
        <v>0</v>
      </c>
      <c r="E23" s="105">
        <f>MIN(E22,Model!E60)</f>
        <v>0</v>
      </c>
      <c r="F23" s="105">
        <f>MIN(F22,Model!F60)</f>
        <v>0</v>
      </c>
      <c r="G23" s="105">
        <f>MIN(G22,Model!G60)</f>
        <v>0</v>
      </c>
      <c r="H23" s="105">
        <f>MIN(H22,Model!H60)</f>
        <v>0</v>
      </c>
      <c r="I23" s="105">
        <f>MIN(I22,Model!I60)</f>
        <v>0</v>
      </c>
      <c r="J23" s="105">
        <f>MIN(J22,Model!J60)</f>
        <v>0</v>
      </c>
      <c r="K23" s="105">
        <f>MIN(K22,Model!K60)</f>
        <v>0</v>
      </c>
      <c r="L23" s="105">
        <f>MIN(L22,Model!L60)</f>
        <v>0</v>
      </c>
      <c r="M23" s="105">
        <f>MIN(M22,Model!M60)</f>
        <v>0</v>
      </c>
      <c r="N23" s="105">
        <f>MIN(N22,Model!N60)</f>
        <v>0</v>
      </c>
      <c r="O23" s="105">
        <f>MIN(O22,Model!O60)</f>
        <v>0</v>
      </c>
      <c r="P23" s="105">
        <f>MIN(P22,Model!P60)</f>
        <v>0</v>
      </c>
      <c r="Q23" s="105">
        <f>MIN(Q22,Model!Q60)</f>
        <v>0</v>
      </c>
      <c r="R23" s="105">
        <f>MIN(R22,Model!R60)</f>
        <v>0</v>
      </c>
      <c r="S23" s="105">
        <f>MIN(S22,Model!S60)</f>
        <v>0</v>
      </c>
      <c r="T23" s="105">
        <f>MIN(T22,Model!T60)</f>
        <v>0</v>
      </c>
      <c r="U23" s="105">
        <f>MIN(U22,Model!U60)</f>
        <v>0</v>
      </c>
      <c r="V23" s="105">
        <f>MIN(V22,Model!V60)</f>
        <v>0</v>
      </c>
      <c r="W23" s="105">
        <f>MIN(W22,Model!W60)</f>
        <v>0</v>
      </c>
      <c r="X23" s="105">
        <f>MIN(X22,Model!X60)</f>
        <v>0</v>
      </c>
      <c r="Y23" s="105">
        <f>MIN(Y22,Model!Y60)</f>
        <v>0</v>
      </c>
      <c r="Z23" s="105">
        <f>MIN(Z22,Model!Z60)</f>
        <v>0</v>
      </c>
      <c r="AA23" s="105">
        <f>MIN(AA22,Model!AA60)</f>
        <v>0</v>
      </c>
      <c r="AB23" s="105">
        <f>MIN(AB22,Model!AB60)</f>
        <v>0</v>
      </c>
      <c r="AC23" s="105">
        <f>MIN(AC22,Model!AC60)</f>
        <v>0</v>
      </c>
      <c r="AD23" s="105">
        <f>MIN(AD22,Model!AD60)</f>
        <v>0</v>
      </c>
      <c r="AE23" s="105">
        <f>MIN(AE22,Model!AE60)</f>
        <v>0</v>
      </c>
      <c r="AF23" s="105">
        <f>MIN(AF22,Model!AF60)</f>
        <v>0</v>
      </c>
      <c r="AG23" s="105">
        <f>MIN(AG22,Model!AG60)</f>
        <v>0</v>
      </c>
      <c r="AH23" s="105">
        <f>MIN(AH22,Model!AH60)</f>
        <v>0</v>
      </c>
      <c r="AI23" s="105">
        <f>MIN(AI22,Model!AI60)</f>
        <v>0</v>
      </c>
      <c r="AJ23" s="105">
        <f>MIN(AJ22,Model!AJ60)</f>
        <v>0</v>
      </c>
      <c r="AK23" s="105">
        <f>MIN(AK22,Model!AK60)</f>
        <v>0</v>
      </c>
      <c r="AL23" s="105">
        <f>MIN(AL22,Model!AL60)</f>
        <v>0</v>
      </c>
      <c r="AM23" s="105">
        <f>MIN(AM22,Model!AM60)</f>
        <v>0</v>
      </c>
      <c r="AN23" s="105">
        <f>MIN(AN22,Model!AN60)</f>
        <v>0</v>
      </c>
      <c r="AO23" s="105">
        <f>MIN(AO22,Model!AO60)</f>
        <v>0</v>
      </c>
      <c r="AP23" s="105">
        <f>MIN(AP22,Model!AP60)</f>
        <v>0</v>
      </c>
      <c r="AQ23" s="105">
        <f>MIN(AQ22,Model!AQ60)</f>
        <v>0</v>
      </c>
      <c r="AR23" s="105">
        <f>MIN(AR22,Model!AR60)</f>
        <v>0</v>
      </c>
      <c r="AS23" s="105">
        <f>MIN(AS22,Model!AS60)</f>
        <v>0</v>
      </c>
      <c r="AT23" s="105">
        <f>MIN(AT22,Model!AT60)</f>
        <v>0</v>
      </c>
      <c r="AU23" s="105">
        <f>MIN(AU22,Model!AU60)</f>
        <v>0</v>
      </c>
      <c r="AV23" s="105">
        <f>MIN(AV22,Model!AV60)</f>
        <v>0</v>
      </c>
      <c r="AW23" s="105">
        <f>MIN(AW22,Model!AW60)</f>
        <v>0</v>
      </c>
      <c r="AX23" s="105">
        <f>MIN(AX22,Model!AX60)</f>
        <v>0</v>
      </c>
      <c r="AY23" s="105">
        <f>MIN(AY22,Model!AY60)</f>
        <v>0</v>
      </c>
      <c r="AZ23" s="105">
        <f>MIN(AZ22,Model!AZ60)</f>
        <v>0</v>
      </c>
      <c r="BA23" s="105">
        <f>MIN(BA22,Model!BA60)</f>
        <v>602667.69999999995</v>
      </c>
      <c r="BB23" s="105">
        <f>MIN(BB22,Model!BB60)</f>
        <v>0</v>
      </c>
      <c r="BC23" s="105">
        <f>MIN(BC22,Model!BC60)</f>
        <v>0</v>
      </c>
      <c r="BD23" s="105">
        <f>MIN(BD22,Model!BD60)</f>
        <v>0</v>
      </c>
      <c r="BE23" s="105">
        <f>MIN(BE22,Model!BE60)</f>
        <v>0</v>
      </c>
      <c r="BF23" s="105">
        <f>MIN(BF22,Model!BF60)</f>
        <v>0</v>
      </c>
      <c r="BG23" s="105">
        <f>MIN(BG22,Model!BG60)</f>
        <v>0</v>
      </c>
      <c r="BH23" s="105">
        <f>MIN(BH22,Model!BH60)</f>
        <v>0</v>
      </c>
      <c r="BI23" s="105">
        <f>MIN(BI22,Model!BI60)</f>
        <v>0</v>
      </c>
      <c r="BJ23" s="105">
        <f>MIN(BJ22,Model!BJ60)</f>
        <v>0</v>
      </c>
      <c r="BK23" s="105">
        <f>MIN(BK22,Model!BK60)</f>
        <v>0</v>
      </c>
      <c r="BL23" s="105">
        <f>MIN(BL22,Model!BL60)</f>
        <v>0</v>
      </c>
      <c r="BM23" s="105">
        <f>MIN(BM22,Model!BM60)</f>
        <v>0</v>
      </c>
      <c r="BN23" s="105">
        <f>MIN(BN22,Model!BN60)</f>
        <v>0</v>
      </c>
      <c r="BO23" s="105">
        <f>MIN(BO22,Model!BO60)</f>
        <v>0</v>
      </c>
      <c r="BP23" s="105">
        <f>MIN(BP22,Model!BP60)</f>
        <v>0</v>
      </c>
      <c r="BQ23" s="105">
        <f>MIN(BQ22,Model!BQ60)</f>
        <v>0</v>
      </c>
      <c r="BR23" s="105">
        <f>MIN(BR22,Model!BR60)</f>
        <v>0</v>
      </c>
      <c r="BS23" s="105">
        <f>MIN(BS22,Model!BS60)</f>
        <v>0</v>
      </c>
      <c r="BT23" s="105">
        <f>MIN(BT22,Model!BT60)</f>
        <v>0</v>
      </c>
      <c r="BU23" s="105">
        <f>MIN(BU22,Model!BU60)</f>
        <v>0</v>
      </c>
      <c r="BV23" s="105">
        <f>MIN(BV22,Model!BV60)</f>
        <v>0</v>
      </c>
      <c r="BW23" s="105">
        <f>MIN(BW22,Model!BW60)</f>
        <v>0</v>
      </c>
      <c r="BX23" s="105">
        <f>MIN(BX22,Model!BX60)</f>
        <v>0</v>
      </c>
      <c r="BY23" s="105">
        <f>MIN(BY22,Model!BY60)</f>
        <v>0</v>
      </c>
      <c r="BZ23" s="105">
        <f>MIN(BZ22,Model!BZ60)</f>
        <v>0</v>
      </c>
      <c r="CA23" s="105">
        <f>MIN(CA22,Model!CA60)</f>
        <v>0</v>
      </c>
      <c r="CB23" s="105">
        <f>MIN(CB22,Model!CB60)</f>
        <v>0</v>
      </c>
      <c r="CC23" s="105">
        <f>MIN(CC22,Model!CC60)</f>
        <v>0</v>
      </c>
      <c r="CD23" s="105">
        <f>MIN(CD22,Model!CD60)</f>
        <v>0</v>
      </c>
      <c r="CE23" s="105">
        <f>MIN(CE22,Model!CE60)</f>
        <v>0</v>
      </c>
      <c r="CF23" s="105">
        <f>MIN(CF22,Model!CF60)</f>
        <v>0</v>
      </c>
      <c r="CG23" s="105">
        <f>MIN(CG22,Model!CG60)</f>
        <v>0</v>
      </c>
      <c r="CH23" s="105">
        <f>MIN(CH22,Model!CH60)</f>
        <v>0</v>
      </c>
    </row>
    <row r="24" spans="1:86" ht="15" customHeight="1" x14ac:dyDescent="0.25">
      <c r="A24" s="102" t="s">
        <v>533</v>
      </c>
      <c r="C24" s="103">
        <f t="shared" ref="C24:AH24" si="12">MAX(0,C22-C23)</f>
        <v>602667.69999999995</v>
      </c>
      <c r="D24" s="103">
        <f t="shared" si="12"/>
        <v>602667.69999999995</v>
      </c>
      <c r="E24" s="103">
        <f t="shared" si="12"/>
        <v>602667.69999999995</v>
      </c>
      <c r="F24" s="103">
        <f t="shared" si="12"/>
        <v>602667.69999999995</v>
      </c>
      <c r="G24" s="103">
        <f t="shared" si="12"/>
        <v>602667.69999999995</v>
      </c>
      <c r="H24" s="103">
        <f t="shared" si="12"/>
        <v>602667.69999999995</v>
      </c>
      <c r="I24" s="103">
        <f t="shared" si="12"/>
        <v>602667.69999999995</v>
      </c>
      <c r="J24" s="103">
        <f t="shared" si="12"/>
        <v>602667.69999999995</v>
      </c>
      <c r="K24" s="103">
        <f t="shared" si="12"/>
        <v>602667.69999999995</v>
      </c>
      <c r="L24" s="103">
        <f t="shared" si="12"/>
        <v>602667.69999999995</v>
      </c>
      <c r="M24" s="103">
        <f t="shared" si="12"/>
        <v>602667.69999999995</v>
      </c>
      <c r="N24" s="103">
        <f t="shared" si="12"/>
        <v>602667.69999999995</v>
      </c>
      <c r="O24" s="103">
        <f t="shared" si="12"/>
        <v>602667.69999999995</v>
      </c>
      <c r="P24" s="103">
        <f t="shared" si="12"/>
        <v>602667.69999999995</v>
      </c>
      <c r="Q24" s="103">
        <f t="shared" si="12"/>
        <v>602667.69999999995</v>
      </c>
      <c r="R24" s="103">
        <f t="shared" si="12"/>
        <v>602667.69999999995</v>
      </c>
      <c r="S24" s="103">
        <f t="shared" si="12"/>
        <v>602667.69999999995</v>
      </c>
      <c r="T24" s="103">
        <f t="shared" si="12"/>
        <v>602667.69999999995</v>
      </c>
      <c r="U24" s="103">
        <f t="shared" si="12"/>
        <v>602667.69999999995</v>
      </c>
      <c r="V24" s="103">
        <f t="shared" si="12"/>
        <v>602667.69999999995</v>
      </c>
      <c r="W24" s="103">
        <f t="shared" si="12"/>
        <v>602667.69999999995</v>
      </c>
      <c r="X24" s="103">
        <f t="shared" si="12"/>
        <v>602667.69999999995</v>
      </c>
      <c r="Y24" s="103">
        <f t="shared" si="12"/>
        <v>602667.69999999995</v>
      </c>
      <c r="Z24" s="103">
        <f t="shared" si="12"/>
        <v>602667.69999999995</v>
      </c>
      <c r="AA24" s="103">
        <f t="shared" si="12"/>
        <v>602667.69999999995</v>
      </c>
      <c r="AB24" s="103">
        <f t="shared" si="12"/>
        <v>602667.69999999995</v>
      </c>
      <c r="AC24" s="103">
        <f t="shared" si="12"/>
        <v>602667.69999999995</v>
      </c>
      <c r="AD24" s="103">
        <f t="shared" si="12"/>
        <v>602667.69999999995</v>
      </c>
      <c r="AE24" s="103">
        <f t="shared" si="12"/>
        <v>602667.69999999995</v>
      </c>
      <c r="AF24" s="103">
        <f t="shared" si="12"/>
        <v>602667.69999999995</v>
      </c>
      <c r="AG24" s="103">
        <f t="shared" si="12"/>
        <v>602667.69999999995</v>
      </c>
      <c r="AH24" s="103">
        <f t="shared" si="12"/>
        <v>602667.69999999995</v>
      </c>
      <c r="AI24" s="103">
        <f t="shared" ref="AI24:BN24" si="13">MAX(0,AI22-AI23)</f>
        <v>602667.69999999995</v>
      </c>
      <c r="AJ24" s="103">
        <f t="shared" si="13"/>
        <v>602667.69999999995</v>
      </c>
      <c r="AK24" s="103">
        <f t="shared" si="13"/>
        <v>602667.69999999995</v>
      </c>
      <c r="AL24" s="103">
        <f t="shared" si="13"/>
        <v>602667.69999999995</v>
      </c>
      <c r="AM24" s="103">
        <f t="shared" si="13"/>
        <v>602667.69999999995</v>
      </c>
      <c r="AN24" s="103">
        <f t="shared" si="13"/>
        <v>602667.69999999995</v>
      </c>
      <c r="AO24" s="103">
        <f t="shared" si="13"/>
        <v>602667.69999999995</v>
      </c>
      <c r="AP24" s="103">
        <f t="shared" si="13"/>
        <v>602667.69999999995</v>
      </c>
      <c r="AQ24" s="103">
        <f t="shared" si="13"/>
        <v>602667.69999999995</v>
      </c>
      <c r="AR24" s="103">
        <f t="shared" si="13"/>
        <v>602667.69999999995</v>
      </c>
      <c r="AS24" s="103">
        <f t="shared" si="13"/>
        <v>602667.69999999995</v>
      </c>
      <c r="AT24" s="103">
        <f t="shared" si="13"/>
        <v>602667.69999999995</v>
      </c>
      <c r="AU24" s="103">
        <f t="shared" si="13"/>
        <v>602667.69999999995</v>
      </c>
      <c r="AV24" s="103">
        <f t="shared" si="13"/>
        <v>602667.69999999995</v>
      </c>
      <c r="AW24" s="103">
        <f t="shared" si="13"/>
        <v>602667.69999999995</v>
      </c>
      <c r="AX24" s="103">
        <f t="shared" si="13"/>
        <v>602667.69999999995</v>
      </c>
      <c r="AY24" s="103">
        <f t="shared" si="13"/>
        <v>602667.69999999995</v>
      </c>
      <c r="AZ24" s="103">
        <f t="shared" si="13"/>
        <v>602667.69999999995</v>
      </c>
      <c r="BA24" s="103">
        <f t="shared" si="13"/>
        <v>0</v>
      </c>
      <c r="BB24" s="103">
        <f t="shared" si="13"/>
        <v>0</v>
      </c>
      <c r="BC24" s="103">
        <f t="shared" si="13"/>
        <v>0</v>
      </c>
      <c r="BD24" s="103">
        <f t="shared" si="13"/>
        <v>0</v>
      </c>
      <c r="BE24" s="103">
        <f t="shared" si="13"/>
        <v>0</v>
      </c>
      <c r="BF24" s="103">
        <f t="shared" si="13"/>
        <v>0</v>
      </c>
      <c r="BG24" s="103">
        <f t="shared" si="13"/>
        <v>0</v>
      </c>
      <c r="BH24" s="103">
        <f t="shared" si="13"/>
        <v>0</v>
      </c>
      <c r="BI24" s="103">
        <f t="shared" si="13"/>
        <v>0</v>
      </c>
      <c r="BJ24" s="103">
        <f t="shared" si="13"/>
        <v>0</v>
      </c>
      <c r="BK24" s="103">
        <f t="shared" si="13"/>
        <v>0</v>
      </c>
      <c r="BL24" s="103">
        <f t="shared" si="13"/>
        <v>0</v>
      </c>
      <c r="BM24" s="103">
        <f t="shared" si="13"/>
        <v>0</v>
      </c>
      <c r="BN24" s="103">
        <f t="shared" si="13"/>
        <v>0</v>
      </c>
      <c r="BO24" s="103">
        <f t="shared" ref="BO24:CT24" si="14">MAX(0,BO22-BO23)</f>
        <v>0</v>
      </c>
      <c r="BP24" s="103">
        <f t="shared" si="14"/>
        <v>0</v>
      </c>
      <c r="BQ24" s="103">
        <f t="shared" si="14"/>
        <v>0</v>
      </c>
      <c r="BR24" s="103">
        <f t="shared" si="14"/>
        <v>0</v>
      </c>
      <c r="BS24" s="103">
        <f t="shared" si="14"/>
        <v>0</v>
      </c>
      <c r="BT24" s="103">
        <f t="shared" si="14"/>
        <v>0</v>
      </c>
      <c r="BU24" s="103">
        <f t="shared" si="14"/>
        <v>0</v>
      </c>
      <c r="BV24" s="103">
        <f t="shared" si="14"/>
        <v>0</v>
      </c>
      <c r="BW24" s="103">
        <f t="shared" si="14"/>
        <v>0</v>
      </c>
      <c r="BX24" s="103">
        <f t="shared" si="14"/>
        <v>0</v>
      </c>
      <c r="BY24" s="103">
        <f t="shared" si="14"/>
        <v>0</v>
      </c>
      <c r="BZ24" s="103">
        <f t="shared" si="14"/>
        <v>0</v>
      </c>
      <c r="CA24" s="103">
        <f t="shared" si="14"/>
        <v>0</v>
      </c>
      <c r="CB24" s="103">
        <f t="shared" si="14"/>
        <v>0</v>
      </c>
      <c r="CC24" s="103">
        <f t="shared" si="14"/>
        <v>0</v>
      </c>
      <c r="CD24" s="103">
        <f t="shared" si="14"/>
        <v>0</v>
      </c>
      <c r="CE24" s="103">
        <f t="shared" si="14"/>
        <v>0</v>
      </c>
      <c r="CF24" s="103">
        <f t="shared" si="14"/>
        <v>0</v>
      </c>
      <c r="CG24" s="103">
        <f t="shared" si="14"/>
        <v>0</v>
      </c>
      <c r="CH24" s="103">
        <f t="shared" si="14"/>
        <v>0</v>
      </c>
    </row>
    <row r="25" spans="1:86" ht="15" customHeight="1" x14ac:dyDescent="0.25">
      <c r="A25" t="s">
        <v>534</v>
      </c>
      <c r="B25" t="s">
        <v>535</v>
      </c>
      <c r="C25" s="106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536</v>
      </c>
      <c r="C26" s="106">
        <f>MIN(C25,Model!C61)</f>
        <v>0</v>
      </c>
      <c r="D26">
        <f>MIN(D25,Model!D61)</f>
        <v>0</v>
      </c>
      <c r="E26">
        <f>MIN(E25,Model!E61)</f>
        <v>0</v>
      </c>
      <c r="F26">
        <f>MIN(F25,Model!F61)</f>
        <v>0</v>
      </c>
      <c r="G26">
        <f>MIN(G25,Model!G61)</f>
        <v>0</v>
      </c>
      <c r="H26">
        <f>MIN(H25,Model!H61)</f>
        <v>0</v>
      </c>
      <c r="I26">
        <f>MIN(I25,Model!I61)</f>
        <v>0</v>
      </c>
      <c r="J26">
        <f>MIN(J25,Model!J61)</f>
        <v>0</v>
      </c>
      <c r="K26">
        <f>MIN(K25,Model!K61)</f>
        <v>0</v>
      </c>
      <c r="L26">
        <f>MIN(L25,Model!L61)</f>
        <v>0</v>
      </c>
      <c r="M26">
        <f>MIN(M25,Model!M61)</f>
        <v>0</v>
      </c>
      <c r="N26">
        <f>MIN(N25,Model!N61)</f>
        <v>0</v>
      </c>
      <c r="O26">
        <f>MIN(O25,Model!O61)</f>
        <v>0</v>
      </c>
      <c r="P26">
        <f>MIN(P25,Model!P61)</f>
        <v>0</v>
      </c>
      <c r="Q26">
        <f>MIN(Q25,Model!Q61)</f>
        <v>0</v>
      </c>
      <c r="R26">
        <f>MIN(R25,Model!R61)</f>
        <v>0</v>
      </c>
      <c r="S26">
        <f>MIN(S25,Model!S61)</f>
        <v>0</v>
      </c>
      <c r="T26">
        <f>MIN(T25,Model!T61)</f>
        <v>0</v>
      </c>
      <c r="U26">
        <f>MIN(U25,Model!U61)</f>
        <v>0</v>
      </c>
      <c r="V26">
        <f>MIN(V25,Model!V61)</f>
        <v>0</v>
      </c>
      <c r="W26">
        <f>MIN(W25,Model!W61)</f>
        <v>0</v>
      </c>
      <c r="X26">
        <f>MIN(X25,Model!X61)</f>
        <v>0</v>
      </c>
      <c r="Y26">
        <f>MIN(Y25,Model!Y61)</f>
        <v>0</v>
      </c>
      <c r="Z26">
        <f>MIN(Z25,Model!Z61)</f>
        <v>0</v>
      </c>
      <c r="AA26">
        <f>MIN(AA25,Model!AA61)</f>
        <v>0</v>
      </c>
      <c r="AB26">
        <f>MIN(AB25,Model!AB61)</f>
        <v>0</v>
      </c>
      <c r="AC26">
        <f>MIN(AC25,Model!AC61)</f>
        <v>0</v>
      </c>
      <c r="AD26">
        <f>MIN(AD25,Model!AD61)</f>
        <v>0</v>
      </c>
      <c r="AE26">
        <f>MIN(AE25,Model!AE61)</f>
        <v>0</v>
      </c>
      <c r="AF26">
        <f>MIN(AF25,Model!AF61)</f>
        <v>0</v>
      </c>
      <c r="AG26">
        <f>MIN(AG25,Model!AG61)</f>
        <v>0</v>
      </c>
      <c r="AH26">
        <f>MIN(AH25,Model!AH61)</f>
        <v>0</v>
      </c>
      <c r="AI26">
        <f>MIN(AI25,Model!AI61)</f>
        <v>0</v>
      </c>
      <c r="AJ26">
        <f>MIN(AJ25,Model!AJ61)</f>
        <v>0</v>
      </c>
      <c r="AK26">
        <f>MIN(AK25,Model!AK61)</f>
        <v>0</v>
      </c>
      <c r="AL26">
        <f>MIN(AL25,Model!AL61)</f>
        <v>0</v>
      </c>
      <c r="AM26">
        <f>MIN(AM25,Model!AM61)</f>
        <v>0</v>
      </c>
      <c r="AN26">
        <f>MIN(AN25,Model!AN61)</f>
        <v>0</v>
      </c>
      <c r="AO26">
        <f>MIN(AO25,Model!AO61)</f>
        <v>0</v>
      </c>
      <c r="AP26">
        <f>MIN(AP25,Model!AP61)</f>
        <v>0</v>
      </c>
      <c r="AQ26">
        <f>MIN(AQ25,Model!AQ61)</f>
        <v>0</v>
      </c>
      <c r="AR26">
        <f>MIN(AR25,Model!AR61)</f>
        <v>0</v>
      </c>
      <c r="AS26">
        <f>MIN(AS25,Model!AS61)</f>
        <v>0</v>
      </c>
      <c r="AT26">
        <f>MIN(AT25,Model!AT61)</f>
        <v>0</v>
      </c>
      <c r="AU26">
        <f>MIN(AU25,Model!AU61)</f>
        <v>0</v>
      </c>
      <c r="AV26">
        <f>MIN(AV25,Model!AV61)</f>
        <v>0</v>
      </c>
      <c r="AW26">
        <f>MIN(AW25,Model!AW61)</f>
        <v>0</v>
      </c>
      <c r="AX26">
        <f>MIN(AX25,Model!AX61)</f>
        <v>0</v>
      </c>
      <c r="AY26">
        <f>MIN(AY25,Model!AY61)</f>
        <v>0</v>
      </c>
      <c r="AZ26">
        <f>MIN(AZ25,Model!AZ61)</f>
        <v>0</v>
      </c>
      <c r="BA26">
        <f>MIN(BA25,Model!BA61)</f>
        <v>0</v>
      </c>
      <c r="BB26">
        <f>MIN(BB25,Model!BB61)</f>
        <v>0</v>
      </c>
      <c r="BC26">
        <f>MIN(BC25,Model!BC61)</f>
        <v>0</v>
      </c>
      <c r="BD26">
        <f>MIN(BD25,Model!BD61)</f>
        <v>0</v>
      </c>
      <c r="BE26">
        <f>MIN(BE25,Model!BE61)</f>
        <v>0</v>
      </c>
      <c r="BF26">
        <f>MIN(BF25,Model!BF61)</f>
        <v>0</v>
      </c>
      <c r="BG26">
        <f>MIN(BG25,Model!BG61)</f>
        <v>0</v>
      </c>
      <c r="BH26">
        <f>MIN(BH25,Model!BH61)</f>
        <v>0</v>
      </c>
      <c r="BI26">
        <f>MIN(BI25,Model!BI61)</f>
        <v>0</v>
      </c>
      <c r="BJ26">
        <f>MIN(BJ25,Model!BJ61)</f>
        <v>0</v>
      </c>
      <c r="BK26">
        <f>MIN(BK25,Model!BK61)</f>
        <v>0</v>
      </c>
      <c r="BL26">
        <f>MIN(BL25,Model!BL61)</f>
        <v>0</v>
      </c>
      <c r="BM26">
        <f>MIN(BM25,Model!BM61)</f>
        <v>0</v>
      </c>
      <c r="BN26">
        <f>MIN(BN25,Model!BN61)</f>
        <v>0</v>
      </c>
      <c r="BO26">
        <f>MIN(BO25,Model!BO61)</f>
        <v>0</v>
      </c>
      <c r="BP26">
        <f>MIN(BP25,Model!BP61)</f>
        <v>0</v>
      </c>
      <c r="BQ26">
        <f>MIN(BQ25,Model!BQ61)</f>
        <v>0</v>
      </c>
      <c r="BR26">
        <f>MIN(BR25,Model!BR61)</f>
        <v>0</v>
      </c>
      <c r="BS26">
        <f>MIN(BS25,Model!BS61)</f>
        <v>0</v>
      </c>
      <c r="BT26">
        <f>MIN(BT25,Model!BT61)</f>
        <v>0</v>
      </c>
      <c r="BU26">
        <f>MIN(BU25,Model!BU61)</f>
        <v>0</v>
      </c>
      <c r="BV26">
        <f>MIN(BV25,Model!BV61)</f>
        <v>0</v>
      </c>
      <c r="BW26">
        <f>MIN(BW25,Model!BW61)</f>
        <v>0</v>
      </c>
      <c r="BX26">
        <f>MIN(BX25,Model!BX61)</f>
        <v>0</v>
      </c>
      <c r="BY26">
        <f>MIN(BY25,Model!BY61)</f>
        <v>73156</v>
      </c>
      <c r="BZ26">
        <f>MIN(BZ25,Model!BZ61)</f>
        <v>0</v>
      </c>
      <c r="CA26">
        <f>MIN(CA25,Model!CA61)</f>
        <v>0</v>
      </c>
      <c r="CB26">
        <f>MIN(CB25,Model!CB61)</f>
        <v>73155</v>
      </c>
      <c r="CC26">
        <f>MIN(CC25,Model!CC61)</f>
        <v>0</v>
      </c>
      <c r="CD26">
        <f>MIN(CD25,Model!CD61)</f>
        <v>0</v>
      </c>
      <c r="CE26">
        <f>MIN(CE25,Model!CE61)</f>
        <v>73155</v>
      </c>
      <c r="CF26">
        <f>MIN(CF25,Model!CF61)</f>
        <v>0</v>
      </c>
      <c r="CG26">
        <f>MIN(CG25,Model!CG61)</f>
        <v>0</v>
      </c>
      <c r="CH26">
        <f>MIN(CH25,Model!CH61)</f>
        <v>73155</v>
      </c>
    </row>
    <row r="27" spans="1:86" ht="15" customHeight="1" x14ac:dyDescent="0.25">
      <c r="B27" t="s">
        <v>537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91" t="s">
        <v>538</v>
      </c>
      <c r="B30" s="91"/>
      <c r="C30" s="91"/>
      <c r="D30" s="91"/>
      <c r="E30" s="91"/>
      <c r="F30" s="91"/>
      <c r="G30" s="91"/>
      <c r="H30" s="91"/>
      <c r="I30" s="91"/>
    </row>
    <row r="31" spans="1:86" ht="15" customHeight="1" x14ac:dyDescent="0.25">
      <c r="A31" s="107" t="s">
        <v>539</v>
      </c>
    </row>
    <row r="32" spans="1:86" ht="15" customHeight="1" x14ac:dyDescent="0.25">
      <c r="A32" s="108" t="s">
        <v>107</v>
      </c>
      <c r="B32" s="45">
        <f>LOOKUP(2,1/(Model!C59:CH59&gt;0),Model!C59:CH59)</f>
        <v>76499</v>
      </c>
    </row>
    <row r="33" spans="1:2" ht="15" customHeight="1" x14ac:dyDescent="0.25">
      <c r="A33" s="108" t="s">
        <v>115</v>
      </c>
      <c r="B33" s="45">
        <f>LOOKUP(2,1/(Model!C61:CH61&gt;0),Model!C61:CH61)</f>
        <v>73155</v>
      </c>
    </row>
    <row r="34" spans="1:2" ht="15" customHeight="1" x14ac:dyDescent="0.25">
      <c r="A34" s="108" t="s">
        <v>112</v>
      </c>
      <c r="B34" s="45">
        <f>LOOKUP(2,1/(Model!C60:CH60&gt;0),Model!C60:CH60)</f>
        <v>81362</v>
      </c>
    </row>
    <row r="36" spans="1:2" ht="15" customHeight="1" x14ac:dyDescent="0.25">
      <c r="A36" s="107" t="s">
        <v>540</v>
      </c>
    </row>
    <row r="37" spans="1:2" ht="15" customHeight="1" x14ac:dyDescent="0.25">
      <c r="A37" s="108" t="s">
        <v>107</v>
      </c>
      <c r="B37" s="89">
        <f>SUMPRODUCT((Model!C59:CH59&gt;0)*1)</f>
        <v>15</v>
      </c>
    </row>
    <row r="38" spans="1:2" ht="15" customHeight="1" x14ac:dyDescent="0.25">
      <c r="A38" s="108" t="s">
        <v>115</v>
      </c>
      <c r="B38" s="89">
        <f>SUMPRODUCT((Model!C61:CH61&gt;0)*1)</f>
        <v>4</v>
      </c>
    </row>
    <row r="39" spans="1:2" ht="15" customHeight="1" x14ac:dyDescent="0.25">
      <c r="A39" s="108" t="s">
        <v>112</v>
      </c>
      <c r="B39" s="89">
        <f>SUMPRODUCT((Model!C60:CH60&gt;0)*1)</f>
        <v>12</v>
      </c>
    </row>
    <row r="41" spans="1:2" ht="15" customHeight="1" x14ac:dyDescent="0.25">
      <c r="A41" s="107" t="s">
        <v>541</v>
      </c>
    </row>
    <row r="42" spans="1:2" ht="15" customHeight="1" x14ac:dyDescent="0.25">
      <c r="A42" s="108" t="s">
        <v>107</v>
      </c>
      <c r="B42" s="89">
        <f>40-B37</f>
        <v>25</v>
      </c>
    </row>
    <row r="43" spans="1:2" ht="15" customHeight="1" x14ac:dyDescent="0.25">
      <c r="A43" s="108" t="s">
        <v>115</v>
      </c>
      <c r="B43" s="89">
        <f>40-B38</f>
        <v>36</v>
      </c>
    </row>
    <row r="44" spans="1:2" ht="15" customHeight="1" x14ac:dyDescent="0.25">
      <c r="A44" s="108" t="s">
        <v>112</v>
      </c>
      <c r="B44" s="89">
        <f>40-B39</f>
        <v>28</v>
      </c>
    </row>
    <row r="46" spans="1:2" ht="15" customHeight="1" x14ac:dyDescent="0.25">
      <c r="A46" s="107" t="s">
        <v>542</v>
      </c>
    </row>
    <row r="47" spans="1:2" ht="15" customHeight="1" x14ac:dyDescent="0.25">
      <c r="A47" s="108" t="s">
        <v>107</v>
      </c>
      <c r="B47" s="45">
        <f>B32*B42</f>
        <v>1912475</v>
      </c>
    </row>
    <row r="48" spans="1:2" ht="15" customHeight="1" x14ac:dyDescent="0.25">
      <c r="A48" s="108" t="s">
        <v>115</v>
      </c>
      <c r="B48" s="45">
        <f>B33*B43</f>
        <v>2633580</v>
      </c>
    </row>
    <row r="49" spans="1:7" ht="15" customHeight="1" x14ac:dyDescent="0.25">
      <c r="A49" s="108" t="s">
        <v>112</v>
      </c>
      <c r="B49" s="45">
        <f>B34*B44</f>
        <v>2278136</v>
      </c>
    </row>
    <row r="51" spans="1:7" ht="15" customHeight="1" x14ac:dyDescent="0.25">
      <c r="A51" s="91" t="s">
        <v>543</v>
      </c>
      <c r="B51" s="91"/>
      <c r="C51" s="91"/>
      <c r="D51" s="91"/>
      <c r="E51" s="91"/>
      <c r="F51" s="91"/>
      <c r="G51" s="91"/>
    </row>
    <row r="52" spans="1:7" ht="15" customHeight="1" x14ac:dyDescent="0.25">
      <c r="A52" s="107" t="s">
        <v>544</v>
      </c>
      <c r="B52" s="107" t="s">
        <v>545</v>
      </c>
      <c r="C52" s="107" t="s">
        <v>546</v>
      </c>
      <c r="D52" s="107" t="s">
        <v>547</v>
      </c>
      <c r="E52" s="107" t="s">
        <v>548</v>
      </c>
      <c r="F52" s="107" t="s">
        <v>549</v>
      </c>
      <c r="G52" s="107" t="s">
        <v>550</v>
      </c>
    </row>
    <row r="53" spans="1:7" ht="15" customHeight="1" x14ac:dyDescent="0.25">
      <c r="A53" s="89">
        <v>1</v>
      </c>
      <c r="B53" s="45">
        <f t="shared" ref="B53:B92" si="21">$B$33</f>
        <v>73155</v>
      </c>
      <c r="C53" s="45">
        <f>CH27</f>
        <v>270925.32000000007</v>
      </c>
      <c r="D53" s="45">
        <f t="shared" ref="D53:D92" si="22">MIN(C53,B53)</f>
        <v>73155</v>
      </c>
      <c r="E53" s="45">
        <f>Model!CH124</f>
        <v>570021.54700517189</v>
      </c>
      <c r="F53" s="45">
        <f>E53*Assumptions!$B$59</f>
        <v>21375.808012693946</v>
      </c>
      <c r="G53" s="45">
        <f t="shared" ref="G53:G92" si="23">MIN(E53+F53,MAX(0,B53-D53))</f>
        <v>0</v>
      </c>
    </row>
    <row r="54" spans="1:7" ht="15" customHeight="1" x14ac:dyDescent="0.25">
      <c r="A54" s="89">
        <v>2</v>
      </c>
      <c r="B54" s="45">
        <f t="shared" si="21"/>
        <v>73155</v>
      </c>
      <c r="C54" s="45">
        <f t="shared" ref="C54:C92" si="24">MAX(0,C53-D53)</f>
        <v>197770.32000000007</v>
      </c>
      <c r="D54" s="45">
        <f t="shared" si="22"/>
        <v>73155</v>
      </c>
      <c r="E54" s="45">
        <f t="shared" ref="E54:E92" si="25">MAX(0,E53+F53-G53)</f>
        <v>591397.35501786578</v>
      </c>
      <c r="F54" s="45">
        <f>E54*Assumptions!$B$59</f>
        <v>22177.400813169967</v>
      </c>
      <c r="G54" s="45">
        <f t="shared" si="23"/>
        <v>0</v>
      </c>
    </row>
    <row r="55" spans="1:7" ht="15" customHeight="1" x14ac:dyDescent="0.25">
      <c r="A55" s="89">
        <v>3</v>
      </c>
      <c r="B55" s="45">
        <f t="shared" si="21"/>
        <v>73155</v>
      </c>
      <c r="C55" s="45">
        <f t="shared" si="24"/>
        <v>124615.32000000007</v>
      </c>
      <c r="D55" s="45">
        <f t="shared" si="22"/>
        <v>73155</v>
      </c>
      <c r="E55" s="45">
        <f t="shared" si="25"/>
        <v>613574.75583103579</v>
      </c>
      <c r="F55" s="45">
        <f>E55*Assumptions!$B$59</f>
        <v>23009.05334366384</v>
      </c>
      <c r="G55" s="45">
        <f t="shared" si="23"/>
        <v>0</v>
      </c>
    </row>
    <row r="56" spans="1:7" ht="15" customHeight="1" x14ac:dyDescent="0.25">
      <c r="A56" s="89">
        <v>4</v>
      </c>
      <c r="B56" s="45">
        <f t="shared" si="21"/>
        <v>73155</v>
      </c>
      <c r="C56" s="45">
        <f t="shared" si="24"/>
        <v>51460.320000000065</v>
      </c>
      <c r="D56" s="45">
        <f t="shared" si="22"/>
        <v>51460.320000000065</v>
      </c>
      <c r="E56" s="45">
        <f t="shared" si="25"/>
        <v>636583.80917469959</v>
      </c>
      <c r="F56" s="45">
        <f>E56*Assumptions!$B$59</f>
        <v>23871.892844051235</v>
      </c>
      <c r="G56" s="45">
        <f t="shared" si="23"/>
        <v>21694.679999999935</v>
      </c>
    </row>
    <row r="57" spans="1:7" ht="15" customHeight="1" x14ac:dyDescent="0.25">
      <c r="A57" s="89">
        <v>5</v>
      </c>
      <c r="B57" s="45">
        <f t="shared" si="21"/>
        <v>73155</v>
      </c>
      <c r="C57" s="45">
        <f t="shared" si="24"/>
        <v>0</v>
      </c>
      <c r="D57" s="45">
        <f t="shared" si="22"/>
        <v>0</v>
      </c>
      <c r="E57" s="45">
        <f t="shared" si="25"/>
        <v>638761.0220187509</v>
      </c>
      <c r="F57" s="45">
        <f>E57*Assumptions!$B$59</f>
        <v>23953.538325703157</v>
      </c>
      <c r="G57" s="45">
        <f t="shared" si="23"/>
        <v>73155</v>
      </c>
    </row>
    <row r="58" spans="1:7" ht="15" customHeight="1" x14ac:dyDescent="0.25">
      <c r="A58" s="89">
        <v>6</v>
      </c>
      <c r="B58" s="45">
        <f t="shared" si="21"/>
        <v>73155</v>
      </c>
      <c r="C58" s="45">
        <f t="shared" si="24"/>
        <v>0</v>
      </c>
      <c r="D58" s="45">
        <f t="shared" si="22"/>
        <v>0</v>
      </c>
      <c r="E58" s="45">
        <f t="shared" si="25"/>
        <v>589559.56034445402</v>
      </c>
      <c r="F58" s="45">
        <f>E58*Assumptions!$B$59</f>
        <v>22108.483512917024</v>
      </c>
      <c r="G58" s="45">
        <f t="shared" si="23"/>
        <v>73155</v>
      </c>
    </row>
    <row r="59" spans="1:7" ht="15" customHeight="1" x14ac:dyDescent="0.25">
      <c r="A59" s="89">
        <v>7</v>
      </c>
      <c r="B59" s="45">
        <f t="shared" si="21"/>
        <v>73155</v>
      </c>
      <c r="C59" s="45">
        <f t="shared" si="24"/>
        <v>0</v>
      </c>
      <c r="D59" s="45">
        <f t="shared" si="22"/>
        <v>0</v>
      </c>
      <c r="E59" s="45">
        <f t="shared" si="25"/>
        <v>538513.04385737109</v>
      </c>
      <c r="F59" s="45">
        <f>E59*Assumptions!$B$59</f>
        <v>20194.239144651416</v>
      </c>
      <c r="G59" s="45">
        <f t="shared" si="23"/>
        <v>73155</v>
      </c>
    </row>
    <row r="60" spans="1:7" ht="15" customHeight="1" x14ac:dyDescent="0.25">
      <c r="A60" s="89">
        <v>8</v>
      </c>
      <c r="B60" s="45">
        <f t="shared" si="21"/>
        <v>73155</v>
      </c>
      <c r="C60" s="45">
        <f t="shared" si="24"/>
        <v>0</v>
      </c>
      <c r="D60" s="45">
        <f t="shared" si="22"/>
        <v>0</v>
      </c>
      <c r="E60" s="45">
        <f t="shared" si="25"/>
        <v>485552.28300202254</v>
      </c>
      <c r="F60" s="45">
        <f>E60*Assumptions!$B$59</f>
        <v>18208.210612575844</v>
      </c>
      <c r="G60" s="45">
        <f t="shared" si="23"/>
        <v>73155</v>
      </c>
    </row>
    <row r="61" spans="1:7" ht="15" customHeight="1" x14ac:dyDescent="0.25">
      <c r="A61" s="89">
        <v>9</v>
      </c>
      <c r="B61" s="45">
        <f t="shared" si="21"/>
        <v>73155</v>
      </c>
      <c r="C61" s="45">
        <f t="shared" si="24"/>
        <v>0</v>
      </c>
      <c r="D61" s="45">
        <f t="shared" si="22"/>
        <v>0</v>
      </c>
      <c r="E61" s="45">
        <f t="shared" si="25"/>
        <v>430605.49361459841</v>
      </c>
      <c r="F61" s="45">
        <f>E61*Assumptions!$B$59</f>
        <v>16147.706010547439</v>
      </c>
      <c r="G61" s="45">
        <f t="shared" si="23"/>
        <v>73155</v>
      </c>
    </row>
    <row r="62" spans="1:7" ht="15" customHeight="1" x14ac:dyDescent="0.25">
      <c r="A62" s="89">
        <v>10</v>
      </c>
      <c r="B62" s="45">
        <f t="shared" si="21"/>
        <v>73155</v>
      </c>
      <c r="C62" s="45">
        <f t="shared" si="24"/>
        <v>0</v>
      </c>
      <c r="D62" s="45">
        <f t="shared" si="22"/>
        <v>0</v>
      </c>
      <c r="E62" s="45">
        <f t="shared" si="25"/>
        <v>373598.19962514588</v>
      </c>
      <c r="F62" s="45">
        <f>E62*Assumptions!$B$59</f>
        <v>14009.932485942971</v>
      </c>
      <c r="G62" s="45">
        <f t="shared" si="23"/>
        <v>73155</v>
      </c>
    </row>
    <row r="63" spans="1:7" ht="15" customHeight="1" x14ac:dyDescent="0.25">
      <c r="A63" s="89">
        <v>11</v>
      </c>
      <c r="B63" s="45">
        <f t="shared" si="21"/>
        <v>73155</v>
      </c>
      <c r="C63" s="45">
        <f t="shared" si="24"/>
        <v>0</v>
      </c>
      <c r="D63" s="45">
        <f t="shared" si="22"/>
        <v>0</v>
      </c>
      <c r="E63" s="45">
        <f t="shared" si="25"/>
        <v>314453.13211108884</v>
      </c>
      <c r="F63" s="45">
        <f>E63*Assumptions!$B$59</f>
        <v>11791.992454165831</v>
      </c>
      <c r="G63" s="45">
        <f t="shared" si="23"/>
        <v>73155</v>
      </c>
    </row>
    <row r="64" spans="1:7" ht="15" customHeight="1" x14ac:dyDescent="0.25">
      <c r="A64" s="89">
        <v>12</v>
      </c>
      <c r="B64" s="45">
        <f t="shared" si="21"/>
        <v>73155</v>
      </c>
      <c r="C64" s="45">
        <f t="shared" si="24"/>
        <v>0</v>
      </c>
      <c r="D64" s="45">
        <f t="shared" si="22"/>
        <v>0</v>
      </c>
      <c r="E64" s="45">
        <f t="shared" si="25"/>
        <v>253090.12456525466</v>
      </c>
      <c r="F64" s="45">
        <f>E64*Assumptions!$B$59</f>
        <v>9490.8796711970499</v>
      </c>
      <c r="G64" s="45">
        <f t="shared" si="23"/>
        <v>73155</v>
      </c>
    </row>
    <row r="65" spans="1:7" ht="15" customHeight="1" x14ac:dyDescent="0.25">
      <c r="A65" s="89">
        <v>13</v>
      </c>
      <c r="B65" s="45">
        <f t="shared" si="21"/>
        <v>73155</v>
      </c>
      <c r="C65" s="45">
        <f t="shared" si="24"/>
        <v>0</v>
      </c>
      <c r="D65" s="45">
        <f t="shared" si="22"/>
        <v>0</v>
      </c>
      <c r="E65" s="45">
        <f t="shared" si="25"/>
        <v>189426.0042364517</v>
      </c>
      <c r="F65" s="45">
        <f>E65*Assumptions!$B$59</f>
        <v>7103.4751588669387</v>
      </c>
      <c r="G65" s="45">
        <f t="shared" si="23"/>
        <v>73155</v>
      </c>
    </row>
    <row r="66" spans="1:7" ht="15" customHeight="1" x14ac:dyDescent="0.25">
      <c r="A66" s="89">
        <v>14</v>
      </c>
      <c r="B66" s="45">
        <f t="shared" si="21"/>
        <v>73155</v>
      </c>
      <c r="C66" s="45">
        <f t="shared" si="24"/>
        <v>0</v>
      </c>
      <c r="D66" s="45">
        <f t="shared" si="22"/>
        <v>0</v>
      </c>
      <c r="E66" s="45">
        <f t="shared" si="25"/>
        <v>123374.47939531863</v>
      </c>
      <c r="F66" s="45">
        <f>E66*Assumptions!$B$59</f>
        <v>4626.5429773244487</v>
      </c>
      <c r="G66" s="45">
        <f t="shared" si="23"/>
        <v>73155</v>
      </c>
    </row>
    <row r="67" spans="1:7" ht="15" customHeight="1" x14ac:dyDescent="0.25">
      <c r="A67" s="89">
        <v>15</v>
      </c>
      <c r="B67" s="45">
        <f t="shared" si="21"/>
        <v>73155</v>
      </c>
      <c r="C67" s="45">
        <f t="shared" si="24"/>
        <v>0</v>
      </c>
      <c r="D67" s="45">
        <f t="shared" si="22"/>
        <v>0</v>
      </c>
      <c r="E67" s="45">
        <f t="shared" si="25"/>
        <v>54846.022372643085</v>
      </c>
      <c r="F67" s="45">
        <f>E67*Assumptions!$B$59</f>
        <v>2056.7258389741155</v>
      </c>
      <c r="G67" s="45">
        <f t="shared" si="23"/>
        <v>56902.748211617203</v>
      </c>
    </row>
    <row r="68" spans="1:7" ht="15" customHeight="1" x14ac:dyDescent="0.25">
      <c r="A68" s="89">
        <v>16</v>
      </c>
      <c r="B68" s="45">
        <f t="shared" si="21"/>
        <v>73155</v>
      </c>
      <c r="C68" s="45">
        <f t="shared" si="24"/>
        <v>0</v>
      </c>
      <c r="D68" s="45">
        <f t="shared" si="22"/>
        <v>0</v>
      </c>
      <c r="E68" s="45">
        <f t="shared" si="25"/>
        <v>0</v>
      </c>
      <c r="F68" s="45">
        <f>E68*Assumptions!$B$59</f>
        <v>0</v>
      </c>
      <c r="G68" s="45">
        <f t="shared" si="23"/>
        <v>0</v>
      </c>
    </row>
    <row r="69" spans="1:7" ht="15" customHeight="1" x14ac:dyDescent="0.25">
      <c r="A69" s="89">
        <v>17</v>
      </c>
      <c r="B69" s="45">
        <f t="shared" si="21"/>
        <v>73155</v>
      </c>
      <c r="C69" s="45">
        <f t="shared" si="24"/>
        <v>0</v>
      </c>
      <c r="D69" s="45">
        <f t="shared" si="22"/>
        <v>0</v>
      </c>
      <c r="E69" s="45">
        <f t="shared" si="25"/>
        <v>0</v>
      </c>
      <c r="F69" s="45">
        <f>E69*Assumptions!$B$59</f>
        <v>0</v>
      </c>
      <c r="G69" s="45">
        <f t="shared" si="23"/>
        <v>0</v>
      </c>
    </row>
    <row r="70" spans="1:7" ht="15" customHeight="1" x14ac:dyDescent="0.25">
      <c r="A70" s="89">
        <v>18</v>
      </c>
      <c r="B70" s="45">
        <f t="shared" si="21"/>
        <v>73155</v>
      </c>
      <c r="C70" s="45">
        <f t="shared" si="24"/>
        <v>0</v>
      </c>
      <c r="D70" s="45">
        <f t="shared" si="22"/>
        <v>0</v>
      </c>
      <c r="E70" s="45">
        <f t="shared" si="25"/>
        <v>0</v>
      </c>
      <c r="F70" s="45">
        <f>E70*Assumptions!$B$59</f>
        <v>0</v>
      </c>
      <c r="G70" s="45">
        <f t="shared" si="23"/>
        <v>0</v>
      </c>
    </row>
    <row r="71" spans="1:7" ht="15" customHeight="1" x14ac:dyDescent="0.25">
      <c r="A71" s="89">
        <v>19</v>
      </c>
      <c r="B71" s="45">
        <f t="shared" si="21"/>
        <v>73155</v>
      </c>
      <c r="C71" s="45">
        <f t="shared" si="24"/>
        <v>0</v>
      </c>
      <c r="D71" s="45">
        <f t="shared" si="22"/>
        <v>0</v>
      </c>
      <c r="E71" s="45">
        <f t="shared" si="25"/>
        <v>0</v>
      </c>
      <c r="F71" s="45">
        <f>E71*Assumptions!$B$59</f>
        <v>0</v>
      </c>
      <c r="G71" s="45">
        <f t="shared" si="23"/>
        <v>0</v>
      </c>
    </row>
    <row r="72" spans="1:7" ht="15" customHeight="1" x14ac:dyDescent="0.25">
      <c r="A72" s="89">
        <v>20</v>
      </c>
      <c r="B72" s="45">
        <f t="shared" si="21"/>
        <v>73155</v>
      </c>
      <c r="C72" s="45">
        <f t="shared" si="24"/>
        <v>0</v>
      </c>
      <c r="D72" s="45">
        <f t="shared" si="22"/>
        <v>0</v>
      </c>
      <c r="E72" s="45">
        <f t="shared" si="25"/>
        <v>0</v>
      </c>
      <c r="F72" s="45">
        <f>E72*Assumptions!$B$59</f>
        <v>0</v>
      </c>
      <c r="G72" s="45">
        <f t="shared" si="23"/>
        <v>0</v>
      </c>
    </row>
    <row r="73" spans="1:7" ht="15" customHeight="1" x14ac:dyDescent="0.25">
      <c r="A73" s="89">
        <v>21</v>
      </c>
      <c r="B73" s="45">
        <f t="shared" si="21"/>
        <v>73155</v>
      </c>
      <c r="C73" s="45">
        <f t="shared" si="24"/>
        <v>0</v>
      </c>
      <c r="D73" s="45">
        <f t="shared" si="22"/>
        <v>0</v>
      </c>
      <c r="E73" s="45">
        <f t="shared" si="25"/>
        <v>0</v>
      </c>
      <c r="F73" s="45">
        <f>E73*Assumptions!$B$59</f>
        <v>0</v>
      </c>
      <c r="G73" s="45">
        <f t="shared" si="23"/>
        <v>0</v>
      </c>
    </row>
    <row r="74" spans="1:7" ht="15" customHeight="1" x14ac:dyDescent="0.25">
      <c r="A74" s="89">
        <v>22</v>
      </c>
      <c r="B74" s="45">
        <f t="shared" si="21"/>
        <v>73155</v>
      </c>
      <c r="C74" s="45">
        <f t="shared" si="24"/>
        <v>0</v>
      </c>
      <c r="D74" s="45">
        <f t="shared" si="22"/>
        <v>0</v>
      </c>
      <c r="E74" s="45">
        <f t="shared" si="25"/>
        <v>0</v>
      </c>
      <c r="F74" s="45">
        <f>E74*Assumptions!$B$59</f>
        <v>0</v>
      </c>
      <c r="G74" s="45">
        <f t="shared" si="23"/>
        <v>0</v>
      </c>
    </row>
    <row r="75" spans="1:7" ht="15" customHeight="1" x14ac:dyDescent="0.25">
      <c r="A75" s="89">
        <v>23</v>
      </c>
      <c r="B75" s="45">
        <f t="shared" si="21"/>
        <v>73155</v>
      </c>
      <c r="C75" s="45">
        <f t="shared" si="24"/>
        <v>0</v>
      </c>
      <c r="D75" s="45">
        <f t="shared" si="22"/>
        <v>0</v>
      </c>
      <c r="E75" s="45">
        <f t="shared" si="25"/>
        <v>0</v>
      </c>
      <c r="F75" s="45">
        <f>E75*Assumptions!$B$59</f>
        <v>0</v>
      </c>
      <c r="G75" s="45">
        <f t="shared" si="23"/>
        <v>0</v>
      </c>
    </row>
    <row r="76" spans="1:7" ht="15" customHeight="1" x14ac:dyDescent="0.25">
      <c r="A76" s="89">
        <v>24</v>
      </c>
      <c r="B76" s="45">
        <f t="shared" si="21"/>
        <v>73155</v>
      </c>
      <c r="C76" s="45">
        <f t="shared" si="24"/>
        <v>0</v>
      </c>
      <c r="D76" s="45">
        <f t="shared" si="22"/>
        <v>0</v>
      </c>
      <c r="E76" s="45">
        <f t="shared" si="25"/>
        <v>0</v>
      </c>
      <c r="F76" s="45">
        <f>E76*Assumptions!$B$59</f>
        <v>0</v>
      </c>
      <c r="G76" s="45">
        <f t="shared" si="23"/>
        <v>0</v>
      </c>
    </row>
    <row r="77" spans="1:7" ht="15" customHeight="1" x14ac:dyDescent="0.25">
      <c r="A77" s="89">
        <v>25</v>
      </c>
      <c r="B77" s="45">
        <f t="shared" si="21"/>
        <v>73155</v>
      </c>
      <c r="C77" s="45">
        <f t="shared" si="24"/>
        <v>0</v>
      </c>
      <c r="D77" s="45">
        <f t="shared" si="22"/>
        <v>0</v>
      </c>
      <c r="E77" s="45">
        <f t="shared" si="25"/>
        <v>0</v>
      </c>
      <c r="F77" s="45">
        <f>E77*Assumptions!$B$59</f>
        <v>0</v>
      </c>
      <c r="G77" s="45">
        <f t="shared" si="23"/>
        <v>0</v>
      </c>
    </row>
    <row r="78" spans="1:7" ht="15" customHeight="1" x14ac:dyDescent="0.25">
      <c r="A78" s="89">
        <v>26</v>
      </c>
      <c r="B78" s="45">
        <f t="shared" si="21"/>
        <v>73155</v>
      </c>
      <c r="C78" s="45">
        <f t="shared" si="24"/>
        <v>0</v>
      </c>
      <c r="D78" s="45">
        <f t="shared" si="22"/>
        <v>0</v>
      </c>
      <c r="E78" s="45">
        <f t="shared" si="25"/>
        <v>0</v>
      </c>
      <c r="F78" s="45">
        <f>E78*Assumptions!$B$59</f>
        <v>0</v>
      </c>
      <c r="G78" s="45">
        <f t="shared" si="23"/>
        <v>0</v>
      </c>
    </row>
    <row r="79" spans="1:7" ht="15" customHeight="1" x14ac:dyDescent="0.25">
      <c r="A79" s="89">
        <v>27</v>
      </c>
      <c r="B79" s="45">
        <f t="shared" si="21"/>
        <v>73155</v>
      </c>
      <c r="C79" s="45">
        <f t="shared" si="24"/>
        <v>0</v>
      </c>
      <c r="D79" s="45">
        <f t="shared" si="22"/>
        <v>0</v>
      </c>
      <c r="E79" s="45">
        <f t="shared" si="25"/>
        <v>0</v>
      </c>
      <c r="F79" s="45">
        <f>E79*Assumptions!$B$59</f>
        <v>0</v>
      </c>
      <c r="G79" s="45">
        <f t="shared" si="23"/>
        <v>0</v>
      </c>
    </row>
    <row r="80" spans="1:7" ht="15" customHeight="1" x14ac:dyDescent="0.25">
      <c r="A80" s="89">
        <v>28</v>
      </c>
      <c r="B80" s="45">
        <f t="shared" si="21"/>
        <v>73155</v>
      </c>
      <c r="C80" s="45">
        <f t="shared" si="24"/>
        <v>0</v>
      </c>
      <c r="D80" s="45">
        <f t="shared" si="22"/>
        <v>0</v>
      </c>
      <c r="E80" s="45">
        <f t="shared" si="25"/>
        <v>0</v>
      </c>
      <c r="F80" s="45">
        <f>E80*Assumptions!$B$59</f>
        <v>0</v>
      </c>
      <c r="G80" s="45">
        <f t="shared" si="23"/>
        <v>0</v>
      </c>
    </row>
    <row r="81" spans="1:7" ht="15" customHeight="1" x14ac:dyDescent="0.25">
      <c r="A81" s="89">
        <v>29</v>
      </c>
      <c r="B81" s="45">
        <f t="shared" si="21"/>
        <v>73155</v>
      </c>
      <c r="C81" s="45">
        <f t="shared" si="24"/>
        <v>0</v>
      </c>
      <c r="D81" s="45">
        <f t="shared" si="22"/>
        <v>0</v>
      </c>
      <c r="E81" s="45">
        <f t="shared" si="25"/>
        <v>0</v>
      </c>
      <c r="F81" s="45">
        <f>E81*Assumptions!$B$59</f>
        <v>0</v>
      </c>
      <c r="G81" s="45">
        <f t="shared" si="23"/>
        <v>0</v>
      </c>
    </row>
    <row r="82" spans="1:7" ht="15" customHeight="1" x14ac:dyDescent="0.25">
      <c r="A82" s="89">
        <v>30</v>
      </c>
      <c r="B82" s="45">
        <f t="shared" si="21"/>
        <v>73155</v>
      </c>
      <c r="C82" s="45">
        <f t="shared" si="24"/>
        <v>0</v>
      </c>
      <c r="D82" s="45">
        <f t="shared" si="22"/>
        <v>0</v>
      </c>
      <c r="E82" s="45">
        <f t="shared" si="25"/>
        <v>0</v>
      </c>
      <c r="F82" s="45">
        <f>E82*Assumptions!$B$59</f>
        <v>0</v>
      </c>
      <c r="G82" s="45">
        <f t="shared" si="23"/>
        <v>0</v>
      </c>
    </row>
    <row r="83" spans="1:7" ht="15" customHeight="1" x14ac:dyDescent="0.25">
      <c r="A83" s="89">
        <v>31</v>
      </c>
      <c r="B83" s="45">
        <f t="shared" si="21"/>
        <v>73155</v>
      </c>
      <c r="C83" s="45">
        <f t="shared" si="24"/>
        <v>0</v>
      </c>
      <c r="D83" s="45">
        <f t="shared" si="22"/>
        <v>0</v>
      </c>
      <c r="E83" s="45">
        <f t="shared" si="25"/>
        <v>0</v>
      </c>
      <c r="F83" s="45">
        <f>E83*Assumptions!$B$59</f>
        <v>0</v>
      </c>
      <c r="G83" s="45">
        <f t="shared" si="23"/>
        <v>0</v>
      </c>
    </row>
    <row r="84" spans="1:7" ht="15" customHeight="1" x14ac:dyDescent="0.25">
      <c r="A84" s="89">
        <v>32</v>
      </c>
      <c r="B84" s="45">
        <f t="shared" si="21"/>
        <v>73155</v>
      </c>
      <c r="C84" s="45">
        <f t="shared" si="24"/>
        <v>0</v>
      </c>
      <c r="D84" s="45">
        <f t="shared" si="22"/>
        <v>0</v>
      </c>
      <c r="E84" s="45">
        <f t="shared" si="25"/>
        <v>0</v>
      </c>
      <c r="F84" s="45">
        <f>E84*Assumptions!$B$59</f>
        <v>0</v>
      </c>
      <c r="G84" s="45">
        <f t="shared" si="23"/>
        <v>0</v>
      </c>
    </row>
    <row r="85" spans="1:7" ht="15" customHeight="1" x14ac:dyDescent="0.25">
      <c r="A85" s="89">
        <v>33</v>
      </c>
      <c r="B85" s="45">
        <f t="shared" si="21"/>
        <v>73155</v>
      </c>
      <c r="C85" s="45">
        <f t="shared" si="24"/>
        <v>0</v>
      </c>
      <c r="D85" s="45">
        <f t="shared" si="22"/>
        <v>0</v>
      </c>
      <c r="E85" s="45">
        <f t="shared" si="25"/>
        <v>0</v>
      </c>
      <c r="F85" s="45">
        <f>E85*Assumptions!$B$59</f>
        <v>0</v>
      </c>
      <c r="G85" s="45">
        <f t="shared" si="23"/>
        <v>0</v>
      </c>
    </row>
    <row r="86" spans="1:7" ht="15" customHeight="1" x14ac:dyDescent="0.25">
      <c r="A86" s="89">
        <v>34</v>
      </c>
      <c r="B86" s="45">
        <f t="shared" si="21"/>
        <v>73155</v>
      </c>
      <c r="C86" s="45">
        <f t="shared" si="24"/>
        <v>0</v>
      </c>
      <c r="D86" s="45">
        <f t="shared" si="22"/>
        <v>0</v>
      </c>
      <c r="E86" s="45">
        <f t="shared" si="25"/>
        <v>0</v>
      </c>
      <c r="F86" s="45">
        <f>E86*Assumptions!$B$59</f>
        <v>0</v>
      </c>
      <c r="G86" s="45">
        <f t="shared" si="23"/>
        <v>0</v>
      </c>
    </row>
    <row r="87" spans="1:7" ht="15" customHeight="1" x14ac:dyDescent="0.25">
      <c r="A87" s="89">
        <v>35</v>
      </c>
      <c r="B87" s="45">
        <f t="shared" si="21"/>
        <v>73155</v>
      </c>
      <c r="C87" s="45">
        <f t="shared" si="24"/>
        <v>0</v>
      </c>
      <c r="D87" s="45">
        <f t="shared" si="22"/>
        <v>0</v>
      </c>
      <c r="E87" s="45">
        <f t="shared" si="25"/>
        <v>0</v>
      </c>
      <c r="F87" s="45">
        <f>E87*Assumptions!$B$59</f>
        <v>0</v>
      </c>
      <c r="G87" s="45">
        <f t="shared" si="23"/>
        <v>0</v>
      </c>
    </row>
    <row r="88" spans="1:7" ht="15" customHeight="1" x14ac:dyDescent="0.25">
      <c r="A88" s="89">
        <v>36</v>
      </c>
      <c r="B88" s="45">
        <f t="shared" si="21"/>
        <v>73155</v>
      </c>
      <c r="C88" s="45">
        <f t="shared" si="24"/>
        <v>0</v>
      </c>
      <c r="D88" s="45">
        <f t="shared" si="22"/>
        <v>0</v>
      </c>
      <c r="E88" s="45">
        <f t="shared" si="25"/>
        <v>0</v>
      </c>
      <c r="F88" s="45">
        <f>E88*Assumptions!$B$59</f>
        <v>0</v>
      </c>
      <c r="G88" s="45">
        <f t="shared" si="23"/>
        <v>0</v>
      </c>
    </row>
    <row r="89" spans="1:7" ht="15" customHeight="1" x14ac:dyDescent="0.25">
      <c r="A89" s="89">
        <v>37</v>
      </c>
      <c r="B89" s="45">
        <f t="shared" si="21"/>
        <v>73155</v>
      </c>
      <c r="C89" s="45">
        <f t="shared" si="24"/>
        <v>0</v>
      </c>
      <c r="D89" s="45">
        <f t="shared" si="22"/>
        <v>0</v>
      </c>
      <c r="E89" s="45">
        <f t="shared" si="25"/>
        <v>0</v>
      </c>
      <c r="F89" s="45">
        <f>E89*Assumptions!$B$59</f>
        <v>0</v>
      </c>
      <c r="G89" s="45">
        <f t="shared" si="23"/>
        <v>0</v>
      </c>
    </row>
    <row r="90" spans="1:7" ht="15" customHeight="1" x14ac:dyDescent="0.25">
      <c r="A90" s="89">
        <v>38</v>
      </c>
      <c r="B90" s="45">
        <f t="shared" si="21"/>
        <v>73155</v>
      </c>
      <c r="C90" s="45">
        <f t="shared" si="24"/>
        <v>0</v>
      </c>
      <c r="D90" s="45">
        <f t="shared" si="22"/>
        <v>0</v>
      </c>
      <c r="E90" s="45">
        <f t="shared" si="25"/>
        <v>0</v>
      </c>
      <c r="F90" s="45">
        <f>E90*Assumptions!$B$59</f>
        <v>0</v>
      </c>
      <c r="G90" s="45">
        <f t="shared" si="23"/>
        <v>0</v>
      </c>
    </row>
    <row r="91" spans="1:7" ht="15" customHeight="1" x14ac:dyDescent="0.25">
      <c r="A91" s="89">
        <v>39</v>
      </c>
      <c r="B91" s="45">
        <f t="shared" si="21"/>
        <v>73155</v>
      </c>
      <c r="C91" s="45">
        <f t="shared" si="24"/>
        <v>0</v>
      </c>
      <c r="D91" s="45">
        <f t="shared" si="22"/>
        <v>0</v>
      </c>
      <c r="E91" s="45">
        <f t="shared" si="25"/>
        <v>0</v>
      </c>
      <c r="F91" s="45">
        <f>E91*Assumptions!$B$59</f>
        <v>0</v>
      </c>
      <c r="G91" s="45">
        <f t="shared" si="23"/>
        <v>0</v>
      </c>
    </row>
    <row r="92" spans="1:7" ht="15" customHeight="1" x14ac:dyDescent="0.25">
      <c r="A92" s="89">
        <v>40</v>
      </c>
      <c r="B92" s="45">
        <f t="shared" si="21"/>
        <v>73155</v>
      </c>
      <c r="C92" s="45">
        <f t="shared" si="24"/>
        <v>0</v>
      </c>
      <c r="D92" s="45">
        <f t="shared" si="22"/>
        <v>0</v>
      </c>
      <c r="E92" s="45">
        <f t="shared" si="25"/>
        <v>0</v>
      </c>
      <c r="F92" s="45">
        <f>E92*Assumptions!$B$59</f>
        <v>0</v>
      </c>
      <c r="G92" s="45">
        <f t="shared" si="23"/>
        <v>0</v>
      </c>
    </row>
    <row r="93" spans="1:7" ht="15" customHeight="1" x14ac:dyDescent="0.25">
      <c r="A93" s="107" t="s">
        <v>551</v>
      </c>
      <c r="D93" s="109">
        <f>SUM(D53:D92)</f>
        <v>270925.32000000007</v>
      </c>
      <c r="F93" s="109">
        <f>SUM(F53:F92)</f>
        <v>240125.88120644525</v>
      </c>
      <c r="G93" s="109">
        <f>SUM(G53:G92)</f>
        <v>810147.42821161717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10" t="s">
        <v>552</v>
      </c>
    </row>
    <row r="2" spans="1:11" ht="15" customHeight="1" x14ac:dyDescent="0.25">
      <c r="A2" s="89" t="s">
        <v>6</v>
      </c>
      <c r="B2" s="4" t="s">
        <v>334</v>
      </c>
    </row>
    <row r="4" spans="1:11" ht="15" customHeight="1" x14ac:dyDescent="0.25">
      <c r="A4" s="111" t="s">
        <v>553</v>
      </c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5" customHeight="1" x14ac:dyDescent="0.25">
      <c r="A5" s="89" t="s">
        <v>554</v>
      </c>
      <c r="B5" s="89" t="s">
        <v>552</v>
      </c>
    </row>
    <row r="6" spans="1:11" ht="15" customHeight="1" x14ac:dyDescent="0.25">
      <c r="A6" s="89" t="s">
        <v>555</v>
      </c>
      <c r="B6" s="89" t="s">
        <v>556</v>
      </c>
    </row>
    <row r="7" spans="1:11" ht="15" customHeight="1" x14ac:dyDescent="0.25">
      <c r="A7" s="89" t="s">
        <v>557</v>
      </c>
      <c r="B7" s="112">
        <v>60</v>
      </c>
    </row>
    <row r="8" spans="1:11" ht="15" customHeight="1" x14ac:dyDescent="0.25">
      <c r="A8" s="89" t="s">
        <v>558</v>
      </c>
      <c r="B8" s="89" t="s">
        <v>559</v>
      </c>
    </row>
    <row r="9" spans="1:11" ht="15" customHeight="1" x14ac:dyDescent="0.25">
      <c r="A9" s="89" t="s">
        <v>560</v>
      </c>
      <c r="B9" s="45">
        <v>1400000</v>
      </c>
    </row>
    <row r="10" spans="1:11" ht="15" customHeight="1" x14ac:dyDescent="0.25">
      <c r="A10" s="89" t="s">
        <v>561</v>
      </c>
      <c r="B10" s="45">
        <v>1609391</v>
      </c>
    </row>
    <row r="11" spans="1:11" ht="15" customHeight="1" x14ac:dyDescent="0.25">
      <c r="A11" s="89" t="s">
        <v>562</v>
      </c>
      <c r="B11" s="45">
        <v>3419763</v>
      </c>
    </row>
    <row r="12" spans="1:11" ht="15" customHeight="1" x14ac:dyDescent="0.25">
      <c r="A12" s="89" t="s">
        <v>563</v>
      </c>
      <c r="B12" s="5">
        <v>9009665</v>
      </c>
    </row>
    <row r="14" spans="1:11" ht="15" customHeight="1" x14ac:dyDescent="0.25">
      <c r="A14" s="113" t="s">
        <v>564</v>
      </c>
      <c r="B14" s="113"/>
      <c r="C14" s="113"/>
      <c r="D14" s="113"/>
      <c r="E14" s="113"/>
      <c r="F14" s="113"/>
      <c r="G14" s="113"/>
      <c r="H14" s="113"/>
      <c r="I14" s="113"/>
      <c r="J14" s="113"/>
      <c r="K14" s="113"/>
    </row>
    <row r="15" spans="1:11" ht="15" customHeight="1" x14ac:dyDescent="0.25">
      <c r="B15" s="114" t="s">
        <v>372</v>
      </c>
      <c r="C15" s="114" t="s">
        <v>59</v>
      </c>
      <c r="D15" s="114" t="s">
        <v>60</v>
      </c>
      <c r="E15" s="114" t="s">
        <v>61</v>
      </c>
      <c r="F15" s="114" t="s">
        <v>62</v>
      </c>
      <c r="G15" s="114" t="s">
        <v>63</v>
      </c>
      <c r="H15" s="114" t="s">
        <v>64</v>
      </c>
      <c r="I15" s="114" t="s">
        <v>65</v>
      </c>
      <c r="J15" s="114" t="s">
        <v>66</v>
      </c>
    </row>
    <row r="16" spans="1:11" ht="15" customHeight="1" x14ac:dyDescent="0.25">
      <c r="A16" s="89" t="s">
        <v>563</v>
      </c>
      <c r="B16" s="5">
        <f t="shared" ref="B16:B24" si="0">C16+D16+E16+F16+G16+H16+I16+J16</f>
        <v>9009665</v>
      </c>
      <c r="C16" s="45">
        <f t="shared" ref="C16:C24" si="1">SUM(C99:K99)</f>
        <v>0</v>
      </c>
      <c r="D16" s="45">
        <f t="shared" ref="D16:D24" si="2">SUM(L99:W99)</f>
        <v>1084381.6599999999</v>
      </c>
      <c r="E16" s="45">
        <f t="shared" ref="E16:E24" si="3">SUM(X99:AI99)</f>
        <v>3698017.3899999997</v>
      </c>
      <c r="F16" s="45">
        <f t="shared" ref="F16:F24" si="4">SUM(AJ99:AU99)</f>
        <v>2427299.0100000002</v>
      </c>
      <c r="G16" s="45">
        <f t="shared" ref="G16:G24" si="5">SUM(AV99:BG99)</f>
        <v>1369332.42</v>
      </c>
      <c r="H16" s="45">
        <f t="shared" ref="H16:H24" si="6">SUM(BH99:BS99)</f>
        <v>430634.52</v>
      </c>
      <c r="I16" s="45">
        <f t="shared" ref="I16:I24" si="7">SUM(BT99:CE99)</f>
        <v>0</v>
      </c>
      <c r="J16" s="45">
        <f t="shared" ref="J16:J24" si="8">SUM(CF99:CH99)</f>
        <v>0</v>
      </c>
    </row>
    <row r="17" spans="1:11" ht="15" customHeight="1" x14ac:dyDescent="0.25">
      <c r="A17" s="89" t="s">
        <v>565</v>
      </c>
      <c r="B17" s="5">
        <f t="shared" si="0"/>
        <v>-1675044</v>
      </c>
      <c r="C17" s="45">
        <f t="shared" si="1"/>
        <v>0</v>
      </c>
      <c r="D17" s="45">
        <f t="shared" si="2"/>
        <v>-325008</v>
      </c>
      <c r="E17" s="45">
        <f t="shared" si="3"/>
        <v>-450012</v>
      </c>
      <c r="F17" s="45">
        <f t="shared" si="4"/>
        <v>-450012</v>
      </c>
      <c r="G17" s="45">
        <f t="shared" si="5"/>
        <v>-450012</v>
      </c>
      <c r="H17" s="45">
        <f t="shared" si="6"/>
        <v>0</v>
      </c>
      <c r="I17" s="45">
        <f t="shared" si="7"/>
        <v>0</v>
      </c>
      <c r="J17" s="45">
        <f t="shared" si="8"/>
        <v>0</v>
      </c>
    </row>
    <row r="18" spans="1:11" ht="15" customHeight="1" x14ac:dyDescent="0.25">
      <c r="A18" s="89" t="s">
        <v>566</v>
      </c>
      <c r="B18" s="5">
        <f t="shared" si="0"/>
        <v>-536016</v>
      </c>
      <c r="C18" s="45">
        <f t="shared" si="1"/>
        <v>0</v>
      </c>
      <c r="D18" s="45">
        <f t="shared" si="2"/>
        <v>-134004</v>
      </c>
      <c r="E18" s="45">
        <f t="shared" si="3"/>
        <v>-134004</v>
      </c>
      <c r="F18" s="45">
        <f t="shared" si="4"/>
        <v>-134004</v>
      </c>
      <c r="G18" s="45">
        <f t="shared" si="5"/>
        <v>-134004</v>
      </c>
      <c r="H18" s="45">
        <f t="shared" si="6"/>
        <v>0</v>
      </c>
      <c r="I18" s="45">
        <f t="shared" si="7"/>
        <v>0</v>
      </c>
      <c r="J18" s="45">
        <f t="shared" si="8"/>
        <v>0</v>
      </c>
    </row>
    <row r="19" spans="1:11" ht="15" customHeight="1" x14ac:dyDescent="0.25">
      <c r="A19" s="115" t="s">
        <v>567</v>
      </c>
      <c r="B19" s="116">
        <f t="shared" si="0"/>
        <v>6798605</v>
      </c>
      <c r="C19" s="116">
        <f t="shared" si="1"/>
        <v>0</v>
      </c>
      <c r="D19" s="116">
        <f t="shared" si="2"/>
        <v>625369.65999999992</v>
      </c>
      <c r="E19" s="116">
        <f t="shared" si="3"/>
        <v>3114001.3899999997</v>
      </c>
      <c r="F19" s="116">
        <f t="shared" si="4"/>
        <v>1843283.0100000002</v>
      </c>
      <c r="G19" s="116">
        <f t="shared" si="5"/>
        <v>785316.42000000016</v>
      </c>
      <c r="H19" s="116">
        <f t="shared" si="6"/>
        <v>430634.52</v>
      </c>
      <c r="I19" s="116">
        <f t="shared" si="7"/>
        <v>0</v>
      </c>
      <c r="J19" s="116">
        <f t="shared" si="8"/>
        <v>0</v>
      </c>
    </row>
    <row r="20" spans="1:11" ht="15" customHeight="1" x14ac:dyDescent="0.25">
      <c r="A20" s="89" t="s">
        <v>568</v>
      </c>
      <c r="B20" s="5">
        <f t="shared" si="0"/>
        <v>900966.5</v>
      </c>
      <c r="C20" s="45">
        <f t="shared" si="1"/>
        <v>0</v>
      </c>
      <c r="D20" s="45">
        <f t="shared" si="2"/>
        <v>108438.16600000001</v>
      </c>
      <c r="E20" s="45">
        <f t="shared" si="3"/>
        <v>369801.73899999994</v>
      </c>
      <c r="F20" s="45">
        <f t="shared" si="4"/>
        <v>242729.90100000004</v>
      </c>
      <c r="G20" s="45">
        <f t="shared" si="5"/>
        <v>136933.242</v>
      </c>
      <c r="H20" s="45">
        <f t="shared" si="6"/>
        <v>43063.452000000005</v>
      </c>
      <c r="I20" s="45">
        <f t="shared" si="7"/>
        <v>0</v>
      </c>
      <c r="J20" s="45">
        <f t="shared" si="8"/>
        <v>0</v>
      </c>
    </row>
    <row r="21" spans="1:11" ht="15" customHeight="1" x14ac:dyDescent="0.25">
      <c r="A21" s="115" t="s">
        <v>569</v>
      </c>
      <c r="B21" s="116">
        <f t="shared" si="0"/>
        <v>5897638.5</v>
      </c>
      <c r="C21" s="116">
        <f t="shared" si="1"/>
        <v>0</v>
      </c>
      <c r="D21" s="116">
        <f t="shared" si="2"/>
        <v>516931.49399999995</v>
      </c>
      <c r="E21" s="116">
        <f t="shared" si="3"/>
        <v>2744199.6510000001</v>
      </c>
      <c r="F21" s="116">
        <f t="shared" si="4"/>
        <v>1600553.1089999999</v>
      </c>
      <c r="G21" s="116">
        <f t="shared" si="5"/>
        <v>648383.17799999996</v>
      </c>
      <c r="H21" s="116">
        <f t="shared" si="6"/>
        <v>387571.06799999997</v>
      </c>
      <c r="I21" s="116">
        <f t="shared" si="7"/>
        <v>0</v>
      </c>
      <c r="J21" s="116">
        <f t="shared" si="8"/>
        <v>0</v>
      </c>
    </row>
    <row r="22" spans="1:11" ht="15" customHeight="1" x14ac:dyDescent="0.25">
      <c r="A22" s="89" t="s">
        <v>570</v>
      </c>
      <c r="B22" s="5">
        <f t="shared" si="0"/>
        <v>2359055.4</v>
      </c>
      <c r="C22" s="45">
        <f t="shared" si="1"/>
        <v>0</v>
      </c>
      <c r="D22" s="45">
        <f t="shared" si="2"/>
        <v>206772.59760000001</v>
      </c>
      <c r="E22" s="45">
        <f t="shared" si="3"/>
        <v>1097679.8604000001</v>
      </c>
      <c r="F22" s="45">
        <f t="shared" si="4"/>
        <v>640221.24360000005</v>
      </c>
      <c r="G22" s="45">
        <f t="shared" si="5"/>
        <v>259353.27119999999</v>
      </c>
      <c r="H22" s="45">
        <f t="shared" si="6"/>
        <v>155028.42720000001</v>
      </c>
      <c r="I22" s="45">
        <f t="shared" si="7"/>
        <v>0</v>
      </c>
      <c r="J22" s="45">
        <f t="shared" si="8"/>
        <v>0</v>
      </c>
    </row>
    <row r="23" spans="1:11" ht="15" customHeight="1" x14ac:dyDescent="0.25">
      <c r="A23" s="89" t="s">
        <v>571</v>
      </c>
      <c r="B23" s="5">
        <f t="shared" si="0"/>
        <v>3538583.1</v>
      </c>
      <c r="C23" s="45">
        <f t="shared" si="1"/>
        <v>0</v>
      </c>
      <c r="D23" s="45">
        <f t="shared" si="2"/>
        <v>310158.89639999997</v>
      </c>
      <c r="E23" s="45">
        <f t="shared" si="3"/>
        <v>1646519.7905999999</v>
      </c>
      <c r="F23" s="45">
        <f t="shared" si="4"/>
        <v>960331.86539999989</v>
      </c>
      <c r="G23" s="45">
        <f t="shared" si="5"/>
        <v>389029.90680000006</v>
      </c>
      <c r="H23" s="45">
        <f t="shared" si="6"/>
        <v>232542.64079999999</v>
      </c>
      <c r="I23" s="45">
        <f t="shared" si="7"/>
        <v>0</v>
      </c>
      <c r="J23" s="45">
        <f t="shared" si="8"/>
        <v>0</v>
      </c>
    </row>
    <row r="24" spans="1:11" ht="15" customHeight="1" x14ac:dyDescent="0.25">
      <c r="A24" s="117" t="s">
        <v>572</v>
      </c>
      <c r="B24" s="118">
        <f t="shared" si="0"/>
        <v>4439549.5999999996</v>
      </c>
      <c r="C24" s="118">
        <f t="shared" si="1"/>
        <v>0</v>
      </c>
      <c r="D24" s="118">
        <f t="shared" si="2"/>
        <v>418597.0624</v>
      </c>
      <c r="E24" s="118">
        <f t="shared" si="3"/>
        <v>2016321.5295999998</v>
      </c>
      <c r="F24" s="118">
        <f t="shared" si="4"/>
        <v>1203061.7664000001</v>
      </c>
      <c r="G24" s="118">
        <f t="shared" si="5"/>
        <v>525963.14879999997</v>
      </c>
      <c r="H24" s="118">
        <f t="shared" si="6"/>
        <v>275606.09279999998</v>
      </c>
      <c r="I24" s="118">
        <f t="shared" si="7"/>
        <v>0</v>
      </c>
      <c r="J24" s="118">
        <f t="shared" si="8"/>
        <v>0</v>
      </c>
    </row>
    <row r="26" spans="1:11" ht="15" customHeight="1" x14ac:dyDescent="0.25">
      <c r="A26" s="119" t="s">
        <v>573</v>
      </c>
      <c r="B26" s="119"/>
      <c r="C26" s="119"/>
      <c r="D26" s="119"/>
      <c r="E26" s="119"/>
      <c r="F26" s="119"/>
      <c r="G26" s="119"/>
      <c r="H26" s="119"/>
      <c r="I26" s="119"/>
      <c r="J26" s="119"/>
      <c r="K26" s="119"/>
    </row>
    <row r="27" spans="1:11" ht="15" customHeight="1" x14ac:dyDescent="0.25">
      <c r="A27" s="120" t="s">
        <v>574</v>
      </c>
      <c r="B27" s="120" t="s">
        <v>575</v>
      </c>
      <c r="C27" s="120" t="s">
        <v>576</v>
      </c>
      <c r="D27" s="120" t="s">
        <v>560</v>
      </c>
      <c r="E27" s="120" t="s">
        <v>577</v>
      </c>
    </row>
    <row r="28" spans="1:11" ht="15" customHeight="1" x14ac:dyDescent="0.25">
      <c r="A28" s="89" t="s">
        <v>578</v>
      </c>
      <c r="B28" s="112">
        <v>6</v>
      </c>
      <c r="C28" s="89" t="s">
        <v>579</v>
      </c>
      <c r="D28" s="45">
        <v>1400000</v>
      </c>
      <c r="E28" s="121" t="s">
        <v>580</v>
      </c>
    </row>
    <row r="29" spans="1:11" ht="15" customHeight="1" x14ac:dyDescent="0.25">
      <c r="A29" s="89" t="s">
        <v>581</v>
      </c>
      <c r="B29" s="112">
        <v>18</v>
      </c>
      <c r="C29" s="89" t="s">
        <v>582</v>
      </c>
      <c r="D29" s="45">
        <v>1400000</v>
      </c>
      <c r="E29" s="121" t="s">
        <v>583</v>
      </c>
    </row>
    <row r="30" spans="1:11" ht="15" customHeight="1" x14ac:dyDescent="0.25">
      <c r="A30" s="89" t="s">
        <v>584</v>
      </c>
      <c r="B30" s="112">
        <v>18</v>
      </c>
      <c r="C30" s="89" t="s">
        <v>585</v>
      </c>
      <c r="D30" s="45">
        <v>1400000</v>
      </c>
      <c r="E30" s="121" t="s">
        <v>586</v>
      </c>
    </row>
    <row r="31" spans="1:11" ht="15" customHeight="1" x14ac:dyDescent="0.25">
      <c r="A31" s="89" t="s">
        <v>587</v>
      </c>
      <c r="B31" s="112">
        <v>18</v>
      </c>
      <c r="C31" s="89" t="s">
        <v>588</v>
      </c>
      <c r="D31" s="45">
        <v>1400000</v>
      </c>
      <c r="E31" s="121" t="s">
        <v>589</v>
      </c>
    </row>
    <row r="32" spans="1:11" ht="15" customHeight="1" x14ac:dyDescent="0.25">
      <c r="A32" s="120" t="s">
        <v>372</v>
      </c>
      <c r="B32" s="122">
        <v>60</v>
      </c>
      <c r="C32" s="120" t="s">
        <v>590</v>
      </c>
      <c r="D32" s="123">
        <v>1400000</v>
      </c>
    </row>
    <row r="34" spans="1:11" ht="15" customHeight="1" x14ac:dyDescent="0.25">
      <c r="A34" s="124" t="s">
        <v>591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</row>
    <row r="35" spans="1:11" ht="15" customHeight="1" x14ac:dyDescent="0.25">
      <c r="A35" s="125" t="s">
        <v>592</v>
      </c>
      <c r="B35" s="125" t="s">
        <v>593</v>
      </c>
      <c r="C35" s="125" t="s">
        <v>594</v>
      </c>
      <c r="D35" s="125" t="s">
        <v>595</v>
      </c>
      <c r="E35" s="125" t="s">
        <v>596</v>
      </c>
      <c r="F35" s="125" t="s">
        <v>293</v>
      </c>
    </row>
    <row r="36" spans="1:11" ht="15" customHeight="1" x14ac:dyDescent="0.25">
      <c r="A36" s="89" t="s">
        <v>597</v>
      </c>
      <c r="B36" s="89" t="s">
        <v>598</v>
      </c>
      <c r="C36" s="89" t="s">
        <v>599</v>
      </c>
      <c r="D36" s="45">
        <v>14000</v>
      </c>
      <c r="E36" s="45">
        <v>840000</v>
      </c>
      <c r="F36" s="126" t="s">
        <v>600</v>
      </c>
    </row>
    <row r="37" spans="1:11" ht="15" customHeight="1" x14ac:dyDescent="0.25">
      <c r="A37" s="89" t="s">
        <v>601</v>
      </c>
      <c r="B37" s="89" t="s">
        <v>602</v>
      </c>
      <c r="C37" s="89" t="s">
        <v>603</v>
      </c>
      <c r="D37" s="45">
        <v>96563</v>
      </c>
      <c r="E37" s="45">
        <v>5793808</v>
      </c>
      <c r="F37" s="126" t="s">
        <v>604</v>
      </c>
    </row>
    <row r="38" spans="1:11" ht="15" customHeight="1" x14ac:dyDescent="0.25">
      <c r="A38" s="89" t="s">
        <v>605</v>
      </c>
      <c r="B38" s="89" t="s">
        <v>606</v>
      </c>
      <c r="C38" s="89" t="s">
        <v>607</v>
      </c>
      <c r="D38" s="45">
        <v>5400</v>
      </c>
      <c r="E38" s="45">
        <v>324000</v>
      </c>
      <c r="F38" s="126" t="s">
        <v>608</v>
      </c>
    </row>
    <row r="39" spans="1:11" ht="15" customHeight="1" x14ac:dyDescent="0.25">
      <c r="A39" s="89" t="s">
        <v>609</v>
      </c>
      <c r="B39" s="89" t="s">
        <v>598</v>
      </c>
      <c r="C39" s="89" t="s">
        <v>610</v>
      </c>
      <c r="D39" s="45">
        <v>34198</v>
      </c>
      <c r="E39" s="45">
        <v>2051858</v>
      </c>
      <c r="F39" s="126" t="s">
        <v>611</v>
      </c>
    </row>
    <row r="40" spans="1:11" ht="15" customHeight="1" x14ac:dyDescent="0.25">
      <c r="A40" s="125" t="s">
        <v>563</v>
      </c>
      <c r="D40" s="127">
        <v>150161</v>
      </c>
      <c r="E40" s="127">
        <v>9009665</v>
      </c>
    </row>
    <row r="42" spans="1:11" ht="15" customHeight="1" x14ac:dyDescent="0.25">
      <c r="A42" s="128" t="s">
        <v>612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</row>
    <row r="43" spans="1:11" ht="15" customHeight="1" x14ac:dyDescent="0.25">
      <c r="A43" s="129" t="s">
        <v>1</v>
      </c>
      <c r="B43" s="129" t="s">
        <v>613</v>
      </c>
      <c r="C43" s="129" t="s">
        <v>614</v>
      </c>
      <c r="D43" s="129" t="s">
        <v>615</v>
      </c>
      <c r="E43" s="129" t="s">
        <v>616</v>
      </c>
      <c r="F43" s="129" t="s">
        <v>617</v>
      </c>
      <c r="G43" s="129" t="s">
        <v>618</v>
      </c>
    </row>
    <row r="44" spans="1:11" ht="15" customHeight="1" x14ac:dyDescent="0.25">
      <c r="A44" s="89" t="s">
        <v>619</v>
      </c>
      <c r="B44" s="45">
        <v>110000</v>
      </c>
      <c r="C44" s="45">
        <v>9167</v>
      </c>
      <c r="D44" s="89" t="s">
        <v>427</v>
      </c>
      <c r="E44" s="89" t="s">
        <v>620</v>
      </c>
      <c r="F44" s="89">
        <v>48</v>
      </c>
      <c r="G44" s="45">
        <v>440016</v>
      </c>
    </row>
    <row r="45" spans="1:11" ht="15" customHeight="1" x14ac:dyDescent="0.25">
      <c r="A45" s="89" t="s">
        <v>621</v>
      </c>
      <c r="B45" s="45">
        <v>90000</v>
      </c>
      <c r="C45" s="45">
        <v>7500</v>
      </c>
      <c r="D45" s="89" t="s">
        <v>427</v>
      </c>
      <c r="E45" s="89" t="s">
        <v>620</v>
      </c>
      <c r="F45" s="89">
        <v>48</v>
      </c>
      <c r="G45" s="45">
        <v>360000</v>
      </c>
    </row>
    <row r="46" spans="1:11" ht="15" customHeight="1" x14ac:dyDescent="0.25">
      <c r="A46" s="89" t="s">
        <v>622</v>
      </c>
      <c r="B46" s="45">
        <v>125000</v>
      </c>
      <c r="C46" s="45">
        <v>10417</v>
      </c>
      <c r="D46" s="89" t="s">
        <v>433</v>
      </c>
      <c r="E46" s="89" t="s">
        <v>620</v>
      </c>
      <c r="F46" s="89">
        <v>42</v>
      </c>
      <c r="G46" s="45">
        <v>437514</v>
      </c>
    </row>
    <row r="47" spans="1:11" ht="15" customHeight="1" x14ac:dyDescent="0.25">
      <c r="A47" s="89" t="s">
        <v>623</v>
      </c>
      <c r="B47" s="45">
        <v>125000</v>
      </c>
      <c r="C47" s="45">
        <v>10417</v>
      </c>
      <c r="D47" s="89" t="s">
        <v>433</v>
      </c>
      <c r="E47" s="89" t="s">
        <v>620</v>
      </c>
      <c r="F47" s="89">
        <v>42</v>
      </c>
      <c r="G47" s="45">
        <v>437514</v>
      </c>
    </row>
    <row r="48" spans="1:11" ht="15" customHeight="1" x14ac:dyDescent="0.25">
      <c r="A48" s="129" t="s">
        <v>624</v>
      </c>
      <c r="G48" s="130">
        <v>1675044</v>
      </c>
    </row>
    <row r="50" spans="1:11" ht="15" customHeight="1" x14ac:dyDescent="0.25">
      <c r="A50" s="131" t="s">
        <v>625</v>
      </c>
      <c r="B50" s="131"/>
      <c r="C50" s="131"/>
      <c r="D50" s="131"/>
      <c r="E50" s="131"/>
      <c r="F50" s="131"/>
      <c r="G50" s="131"/>
      <c r="H50" s="131"/>
      <c r="I50" s="131"/>
      <c r="J50" s="131"/>
      <c r="K50" s="131"/>
    </row>
    <row r="51" spans="1:11" ht="15" customHeight="1" x14ac:dyDescent="0.25">
      <c r="A51" s="132" t="s">
        <v>626</v>
      </c>
      <c r="B51" s="132" t="s">
        <v>627</v>
      </c>
      <c r="C51" s="132" t="s">
        <v>614</v>
      </c>
      <c r="D51" s="132" t="s">
        <v>628</v>
      </c>
      <c r="E51" s="132" t="s">
        <v>372</v>
      </c>
    </row>
    <row r="52" spans="1:11" ht="15" customHeight="1" x14ac:dyDescent="0.25">
      <c r="A52" s="89" t="s">
        <v>629</v>
      </c>
      <c r="B52" s="45">
        <v>40000</v>
      </c>
      <c r="C52" s="45">
        <v>3333</v>
      </c>
      <c r="D52" s="89">
        <v>4</v>
      </c>
      <c r="E52" s="45">
        <v>160000</v>
      </c>
    </row>
    <row r="53" spans="1:11" ht="15" customHeight="1" x14ac:dyDescent="0.25">
      <c r="A53" s="89" t="s">
        <v>172</v>
      </c>
      <c r="B53" s="45">
        <v>40000</v>
      </c>
      <c r="C53" s="45">
        <v>3333</v>
      </c>
      <c r="D53" s="89">
        <v>4</v>
      </c>
      <c r="E53" s="45">
        <v>160000</v>
      </c>
    </row>
    <row r="54" spans="1:11" ht="15" customHeight="1" x14ac:dyDescent="0.25">
      <c r="A54" s="89" t="s">
        <v>630</v>
      </c>
      <c r="B54" s="45">
        <v>30000</v>
      </c>
      <c r="C54" s="45">
        <v>2500</v>
      </c>
      <c r="D54" s="89">
        <v>4</v>
      </c>
      <c r="E54" s="45">
        <v>120000</v>
      </c>
    </row>
    <row r="55" spans="1:11" ht="15" customHeight="1" x14ac:dyDescent="0.25">
      <c r="A55" s="89" t="s">
        <v>631</v>
      </c>
      <c r="B55" s="45">
        <v>24000</v>
      </c>
      <c r="C55" s="45">
        <v>2000</v>
      </c>
      <c r="D55" s="89">
        <v>4</v>
      </c>
      <c r="E55" s="45">
        <v>96000</v>
      </c>
    </row>
    <row r="56" spans="1:11" ht="15" customHeight="1" x14ac:dyDescent="0.25">
      <c r="A56" s="132" t="s">
        <v>632</v>
      </c>
      <c r="E56" s="133">
        <v>536000</v>
      </c>
    </row>
    <row r="57" spans="1:11" ht="15" customHeight="1" x14ac:dyDescent="0.25">
      <c r="A57" s="134" t="s">
        <v>633</v>
      </c>
    </row>
    <row r="59" spans="1:11" ht="15" customHeight="1" x14ac:dyDescent="0.25">
      <c r="A59" s="135" t="s">
        <v>634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</row>
    <row r="60" spans="1:11" ht="15" customHeight="1" x14ac:dyDescent="0.25">
      <c r="A60" s="89" t="s">
        <v>635</v>
      </c>
      <c r="B60" s="45">
        <v>9009665</v>
      </c>
    </row>
    <row r="61" spans="1:11" ht="15" customHeight="1" x14ac:dyDescent="0.25">
      <c r="A61" s="89" t="s">
        <v>565</v>
      </c>
      <c r="B61" s="45">
        <v>-1675044</v>
      </c>
    </row>
    <row r="62" spans="1:11" ht="15" customHeight="1" x14ac:dyDescent="0.25">
      <c r="A62" s="89" t="s">
        <v>566</v>
      </c>
      <c r="B62" s="45">
        <v>-536000</v>
      </c>
    </row>
    <row r="63" spans="1:11" ht="15" customHeight="1" x14ac:dyDescent="0.25">
      <c r="A63" s="120" t="s">
        <v>567</v>
      </c>
      <c r="B63" s="123">
        <v>6798621</v>
      </c>
    </row>
    <row r="64" spans="1:11" ht="15" customHeight="1" x14ac:dyDescent="0.25">
      <c r="A64" s="89" t="s">
        <v>636</v>
      </c>
      <c r="B64" s="45">
        <v>-900966.5</v>
      </c>
    </row>
    <row r="65" spans="1:11" ht="15" customHeight="1" x14ac:dyDescent="0.25">
      <c r="A65" s="120" t="s">
        <v>569</v>
      </c>
      <c r="B65" s="123">
        <v>5897654.5</v>
      </c>
    </row>
    <row r="66" spans="1:11" ht="15" customHeight="1" x14ac:dyDescent="0.25">
      <c r="A66" s="89" t="s">
        <v>637</v>
      </c>
      <c r="B66" s="45">
        <v>-2359061.7999999998</v>
      </c>
    </row>
    <row r="67" spans="1:11" ht="15" customHeight="1" x14ac:dyDescent="0.25">
      <c r="A67" s="120" t="s">
        <v>571</v>
      </c>
      <c r="B67" s="123">
        <v>3538592.7</v>
      </c>
    </row>
    <row r="68" spans="1:11" ht="15" customHeight="1" x14ac:dyDescent="0.25">
      <c r="A68" s="89" t="s">
        <v>568</v>
      </c>
      <c r="B68" s="45">
        <v>900966.5</v>
      </c>
    </row>
    <row r="69" spans="1:11" ht="15" customHeight="1" x14ac:dyDescent="0.25">
      <c r="A69" s="120" t="s">
        <v>572</v>
      </c>
      <c r="B69" s="123">
        <v>4439559.2</v>
      </c>
    </row>
    <row r="71" spans="1:11" ht="15" customHeight="1" x14ac:dyDescent="0.25">
      <c r="A71" s="124" t="s">
        <v>638</v>
      </c>
      <c r="B71" s="124"/>
      <c r="C71" s="124"/>
      <c r="D71" s="124"/>
      <c r="E71" s="124"/>
      <c r="F71" s="124"/>
      <c r="G71" s="124"/>
      <c r="H71" s="124"/>
      <c r="I71" s="124"/>
      <c r="J71" s="124"/>
      <c r="K71" s="124"/>
    </row>
    <row r="72" spans="1:11" ht="15" customHeight="1" x14ac:dyDescent="0.25">
      <c r="A72" s="125" t="s">
        <v>0</v>
      </c>
      <c r="B72" s="125" t="s">
        <v>1</v>
      </c>
      <c r="C72" s="125" t="s">
        <v>639</v>
      </c>
    </row>
    <row r="73" spans="1:11" ht="31.5" customHeight="1" x14ac:dyDescent="0.25">
      <c r="A73" s="4" t="s">
        <v>50</v>
      </c>
      <c r="B73" s="89" t="s">
        <v>640</v>
      </c>
      <c r="C73" s="183" t="s">
        <v>641</v>
      </c>
      <c r="D73" s="181"/>
      <c r="E73" s="181"/>
      <c r="F73" s="181"/>
      <c r="G73" s="181"/>
    </row>
    <row r="74" spans="1:11" ht="31.5" customHeight="1" x14ac:dyDescent="0.25">
      <c r="A74" s="4" t="s">
        <v>44</v>
      </c>
      <c r="B74" s="89" t="s">
        <v>642</v>
      </c>
      <c r="C74" s="183" t="s">
        <v>643</v>
      </c>
      <c r="D74" s="181"/>
      <c r="E74" s="181"/>
      <c r="F74" s="181"/>
      <c r="G74" s="181"/>
    </row>
    <row r="75" spans="1:11" ht="31.5" customHeight="1" x14ac:dyDescent="0.25">
      <c r="A75" s="4" t="s">
        <v>52</v>
      </c>
      <c r="B75" s="89" t="s">
        <v>644</v>
      </c>
      <c r="C75" s="183" t="s">
        <v>645</v>
      </c>
      <c r="D75" s="181"/>
      <c r="E75" s="181"/>
      <c r="F75" s="181"/>
      <c r="G75" s="181"/>
    </row>
    <row r="76" spans="1:11" ht="31.5" customHeight="1" x14ac:dyDescent="0.25">
      <c r="A76" s="4" t="s">
        <v>56</v>
      </c>
      <c r="B76" s="89" t="s">
        <v>646</v>
      </c>
      <c r="C76" s="183" t="s">
        <v>647</v>
      </c>
      <c r="D76" s="181"/>
      <c r="E76" s="181"/>
      <c r="F76" s="181"/>
      <c r="G76" s="181"/>
    </row>
    <row r="77" spans="1:11" ht="31.5" customHeight="1" x14ac:dyDescent="0.25">
      <c r="A77" s="4" t="s">
        <v>54</v>
      </c>
      <c r="B77" s="89" t="s">
        <v>646</v>
      </c>
      <c r="C77" s="183" t="s">
        <v>648</v>
      </c>
      <c r="D77" s="181"/>
      <c r="E77" s="181"/>
      <c r="F77" s="181"/>
      <c r="G77" s="181"/>
    </row>
    <row r="78" spans="1:11" ht="31.5" customHeight="1" x14ac:dyDescent="0.25">
      <c r="A78" s="4" t="s">
        <v>48</v>
      </c>
      <c r="B78" s="89" t="s">
        <v>649</v>
      </c>
      <c r="C78" s="183" t="s">
        <v>650</v>
      </c>
      <c r="D78" s="181"/>
      <c r="E78" s="181"/>
      <c r="F78" s="181"/>
      <c r="G78" s="181"/>
    </row>
    <row r="80" spans="1:11" ht="15" customHeight="1" x14ac:dyDescent="0.25">
      <c r="A80" s="136" t="s">
        <v>651</v>
      </c>
      <c r="B80" s="136"/>
      <c r="C80" s="136"/>
      <c r="D80" s="136"/>
      <c r="E80" s="136"/>
      <c r="F80" s="136"/>
      <c r="G80" s="136"/>
      <c r="H80" s="136"/>
      <c r="I80" s="136"/>
      <c r="J80" s="136"/>
      <c r="K80" s="136"/>
    </row>
    <row r="81" spans="1:11" ht="27.75" customHeight="1" x14ac:dyDescent="0.25">
      <c r="A81" s="4" t="s">
        <v>652</v>
      </c>
      <c r="B81" s="183" t="s">
        <v>653</v>
      </c>
      <c r="C81" s="181"/>
      <c r="D81" s="181"/>
      <c r="E81" s="181"/>
      <c r="F81" s="181"/>
      <c r="G81" s="181"/>
    </row>
    <row r="82" spans="1:11" ht="27.75" customHeight="1" x14ac:dyDescent="0.25">
      <c r="A82" s="4" t="s">
        <v>654</v>
      </c>
      <c r="B82" s="183" t="s">
        <v>655</v>
      </c>
      <c r="C82" s="181"/>
      <c r="D82" s="181"/>
      <c r="E82" s="181"/>
      <c r="F82" s="181"/>
      <c r="G82" s="181"/>
    </row>
    <row r="83" spans="1:11" ht="27.75" customHeight="1" x14ac:dyDescent="0.25">
      <c r="A83" s="4" t="s">
        <v>656</v>
      </c>
      <c r="B83" s="183" t="s">
        <v>657</v>
      </c>
      <c r="C83" s="181"/>
      <c r="D83" s="181"/>
      <c r="E83" s="181"/>
      <c r="F83" s="181"/>
      <c r="G83" s="181"/>
    </row>
    <row r="84" spans="1:11" ht="27.75" customHeight="1" x14ac:dyDescent="0.25">
      <c r="A84" s="4" t="s">
        <v>658</v>
      </c>
      <c r="B84" s="183" t="s">
        <v>659</v>
      </c>
      <c r="C84" s="181"/>
      <c r="D84" s="181"/>
      <c r="E84" s="181"/>
      <c r="F84" s="181"/>
      <c r="G84" s="181"/>
    </row>
    <row r="85" spans="1:11" ht="27.75" customHeight="1" x14ac:dyDescent="0.25">
      <c r="A85" s="4" t="s">
        <v>660</v>
      </c>
      <c r="B85" s="183" t="s">
        <v>661</v>
      </c>
      <c r="C85" s="181"/>
      <c r="D85" s="181"/>
      <c r="E85" s="181"/>
      <c r="F85" s="181"/>
      <c r="G85" s="181"/>
    </row>
    <row r="86" spans="1:11" ht="27.75" customHeight="1" x14ac:dyDescent="0.25">
      <c r="A86" s="4" t="s">
        <v>662</v>
      </c>
      <c r="B86" s="183" t="s">
        <v>663</v>
      </c>
      <c r="C86" s="181"/>
      <c r="D86" s="181"/>
      <c r="E86" s="181"/>
      <c r="F86" s="181"/>
      <c r="G86" s="181"/>
    </row>
    <row r="87" spans="1:11" ht="27.75" customHeight="1" x14ac:dyDescent="0.25">
      <c r="A87" s="4" t="s">
        <v>664</v>
      </c>
      <c r="B87" s="183" t="s">
        <v>665</v>
      </c>
      <c r="C87" s="181"/>
      <c r="D87" s="181"/>
      <c r="E87" s="181"/>
      <c r="F87" s="181"/>
      <c r="G87" s="181"/>
    </row>
    <row r="88" spans="1:11" ht="27.75" customHeight="1" x14ac:dyDescent="0.25">
      <c r="A88" s="4" t="s">
        <v>666</v>
      </c>
      <c r="B88" s="183" t="s">
        <v>667</v>
      </c>
      <c r="C88" s="181"/>
      <c r="D88" s="181"/>
      <c r="E88" s="181"/>
      <c r="F88" s="181"/>
      <c r="G88" s="181"/>
    </row>
    <row r="89" spans="1:11" ht="27.75" customHeight="1" x14ac:dyDescent="0.25">
      <c r="A89" s="4" t="s">
        <v>668</v>
      </c>
      <c r="B89" s="183" t="s">
        <v>669</v>
      </c>
      <c r="C89" s="181"/>
      <c r="D89" s="181"/>
      <c r="E89" s="181"/>
      <c r="F89" s="181"/>
      <c r="G89" s="181"/>
    </row>
    <row r="90" spans="1:11" ht="27.75" customHeight="1" x14ac:dyDescent="0.25">
      <c r="A90" s="4" t="s">
        <v>670</v>
      </c>
      <c r="B90" s="183" t="s">
        <v>671</v>
      </c>
      <c r="C90" s="181"/>
      <c r="D90" s="181"/>
      <c r="E90" s="181"/>
      <c r="F90" s="181"/>
      <c r="G90" s="181"/>
    </row>
    <row r="93" spans="1:11" ht="15" customHeight="1" x14ac:dyDescent="0.25">
      <c r="A93" s="119" t="s">
        <v>672</v>
      </c>
      <c r="B93" s="119"/>
      <c r="C93" s="119"/>
      <c r="D93" s="119"/>
      <c r="E93" s="119"/>
      <c r="F93" s="119"/>
      <c r="G93" s="119"/>
      <c r="H93" s="119"/>
      <c r="I93" s="119"/>
      <c r="J93" s="119"/>
      <c r="K93" s="119"/>
    </row>
    <row r="94" spans="1:11" ht="15" customHeight="1" x14ac:dyDescent="0.25">
      <c r="A94" s="89" t="s">
        <v>673</v>
      </c>
      <c r="B94" s="137">
        <v>0.1</v>
      </c>
    </row>
    <row r="95" spans="1:11" ht="15" customHeight="1" x14ac:dyDescent="0.25">
      <c r="A95" s="89" t="s">
        <v>674</v>
      </c>
      <c r="B95" s="137">
        <v>0.4</v>
      </c>
    </row>
    <row r="97" spans="1:86" ht="15" customHeight="1" x14ac:dyDescent="0.25">
      <c r="A97" s="138" t="s">
        <v>675</v>
      </c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  <c r="AG97" s="139"/>
      <c r="AH97" s="139"/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  <c r="AS97" s="139"/>
      <c r="AT97" s="139"/>
      <c r="AU97" s="139"/>
      <c r="AV97" s="139"/>
      <c r="AW97" s="139"/>
      <c r="AX97" s="139"/>
      <c r="AY97" s="139"/>
      <c r="AZ97" s="139"/>
      <c r="BA97" s="139"/>
      <c r="BB97" s="139"/>
      <c r="BC97" s="139"/>
      <c r="BD97" s="139"/>
      <c r="BE97" s="139"/>
      <c r="BF97" s="139"/>
      <c r="BG97" s="139"/>
      <c r="BH97" s="139"/>
      <c r="BI97" s="139"/>
      <c r="BJ97" s="139"/>
      <c r="BK97" s="139"/>
      <c r="BL97" s="139"/>
      <c r="BM97" s="139"/>
      <c r="BN97" s="139"/>
      <c r="BO97" s="139"/>
      <c r="BP97" s="139"/>
      <c r="BQ97" s="139"/>
      <c r="BR97" s="139"/>
      <c r="BS97" s="139"/>
      <c r="BT97" s="139"/>
      <c r="BU97" s="139"/>
      <c r="BV97" s="139"/>
      <c r="BW97" s="139"/>
      <c r="BX97" s="139"/>
      <c r="BY97" s="139"/>
      <c r="BZ97" s="139"/>
      <c r="CA97" s="139"/>
      <c r="CB97" s="139"/>
      <c r="CC97" s="139"/>
      <c r="CD97" s="139"/>
      <c r="CE97" s="139"/>
      <c r="CF97" s="139"/>
      <c r="CG97" s="139"/>
      <c r="CH97" s="139"/>
    </row>
    <row r="98" spans="1:86" ht="15" customHeight="1" x14ac:dyDescent="0.25">
      <c r="A98" s="139"/>
      <c r="B98" s="140" t="s">
        <v>372</v>
      </c>
      <c r="C98" s="34">
        <v>1</v>
      </c>
      <c r="D98" s="34">
        <v>2</v>
      </c>
      <c r="E98" s="34">
        <v>3</v>
      </c>
      <c r="F98" s="34">
        <v>4</v>
      </c>
      <c r="G98" s="34">
        <v>5</v>
      </c>
      <c r="H98" s="34">
        <v>6</v>
      </c>
      <c r="I98" s="34">
        <v>7</v>
      </c>
      <c r="J98" s="34">
        <v>8</v>
      </c>
      <c r="K98" s="34">
        <v>9</v>
      </c>
      <c r="L98" s="34">
        <v>10</v>
      </c>
      <c r="M98" s="34">
        <v>11</v>
      </c>
      <c r="N98" s="34">
        <v>12</v>
      </c>
      <c r="O98" s="34">
        <v>13</v>
      </c>
      <c r="P98" s="34">
        <v>14</v>
      </c>
      <c r="Q98" s="34">
        <v>15</v>
      </c>
      <c r="R98" s="34">
        <v>16</v>
      </c>
      <c r="S98" s="34">
        <v>17</v>
      </c>
      <c r="T98" s="34">
        <v>18</v>
      </c>
      <c r="U98" s="34">
        <v>19</v>
      </c>
      <c r="V98" s="34">
        <v>20</v>
      </c>
      <c r="W98" s="34">
        <v>21</v>
      </c>
      <c r="X98" s="34">
        <v>22</v>
      </c>
      <c r="Y98" s="34">
        <v>23</v>
      </c>
      <c r="Z98" s="34">
        <v>24</v>
      </c>
      <c r="AA98" s="34">
        <v>25</v>
      </c>
      <c r="AB98" s="34">
        <v>26</v>
      </c>
      <c r="AC98" s="34">
        <v>27</v>
      </c>
      <c r="AD98" s="34">
        <v>28</v>
      </c>
      <c r="AE98" s="34">
        <v>29</v>
      </c>
      <c r="AF98" s="34">
        <v>30</v>
      </c>
      <c r="AG98" s="34">
        <v>31</v>
      </c>
      <c r="AH98" s="34">
        <v>32</v>
      </c>
      <c r="AI98" s="34">
        <v>33</v>
      </c>
      <c r="AJ98" s="34">
        <v>34</v>
      </c>
      <c r="AK98" s="34">
        <v>35</v>
      </c>
      <c r="AL98" s="34">
        <v>36</v>
      </c>
      <c r="AM98" s="34">
        <v>37</v>
      </c>
      <c r="AN98" s="34">
        <v>38</v>
      </c>
      <c r="AO98" s="34">
        <v>39</v>
      </c>
      <c r="AP98" s="34">
        <v>40</v>
      </c>
      <c r="AQ98" s="34">
        <v>41</v>
      </c>
      <c r="AR98" s="34">
        <v>42</v>
      </c>
      <c r="AS98" s="34">
        <v>43</v>
      </c>
      <c r="AT98" s="34">
        <v>44</v>
      </c>
      <c r="AU98" s="34">
        <v>45</v>
      </c>
      <c r="AV98" s="34">
        <v>46</v>
      </c>
      <c r="AW98" s="34">
        <v>47</v>
      </c>
      <c r="AX98" s="34">
        <v>48</v>
      </c>
      <c r="AY98" s="34">
        <v>49</v>
      </c>
      <c r="AZ98" s="34">
        <v>50</v>
      </c>
      <c r="BA98" s="34">
        <v>51</v>
      </c>
      <c r="BB98" s="34">
        <v>52</v>
      </c>
      <c r="BC98" s="34">
        <v>53</v>
      </c>
      <c r="BD98" s="34">
        <v>54</v>
      </c>
      <c r="BE98" s="34">
        <v>55</v>
      </c>
      <c r="BF98" s="34">
        <v>56</v>
      </c>
      <c r="BG98" s="34">
        <v>57</v>
      </c>
      <c r="BH98" s="34">
        <v>58</v>
      </c>
      <c r="BI98" s="34">
        <v>59</v>
      </c>
      <c r="BJ98" s="34">
        <v>60</v>
      </c>
      <c r="BK98" s="34">
        <v>61</v>
      </c>
      <c r="BL98" s="34">
        <v>62</v>
      </c>
      <c r="BM98" s="34">
        <v>63</v>
      </c>
      <c r="BN98" s="34">
        <v>64</v>
      </c>
      <c r="BO98" s="34">
        <v>65</v>
      </c>
      <c r="BP98" s="34">
        <v>66</v>
      </c>
      <c r="BQ98" s="34">
        <v>67</v>
      </c>
      <c r="BR98" s="34">
        <v>68</v>
      </c>
      <c r="BS98" s="34">
        <v>69</v>
      </c>
      <c r="BT98" s="34">
        <v>70</v>
      </c>
      <c r="BU98" s="34">
        <v>71</v>
      </c>
      <c r="BV98" s="34">
        <v>72</v>
      </c>
      <c r="BW98" s="34">
        <v>73</v>
      </c>
      <c r="BX98" s="34">
        <v>74</v>
      </c>
      <c r="BY98" s="34">
        <v>75</v>
      </c>
      <c r="BZ98" s="34">
        <v>76</v>
      </c>
      <c r="CA98" s="34">
        <v>77</v>
      </c>
      <c r="CB98" s="34">
        <v>78</v>
      </c>
      <c r="CC98" s="34">
        <v>79</v>
      </c>
      <c r="CD98" s="34">
        <v>80</v>
      </c>
      <c r="CE98" s="34">
        <v>81</v>
      </c>
      <c r="CF98" s="34">
        <v>82</v>
      </c>
      <c r="CG98" s="34">
        <v>83</v>
      </c>
      <c r="CH98" s="34">
        <v>84</v>
      </c>
    </row>
    <row r="99" spans="1:86" ht="15" customHeight="1" x14ac:dyDescent="0.25">
      <c r="A99" s="34" t="s">
        <v>563</v>
      </c>
      <c r="B99" s="141">
        <f t="shared" ref="B99:B107" si="9">SUM(C99:CH99)</f>
        <v>9009664.9999999981</v>
      </c>
      <c r="C99" s="139"/>
      <c r="D99" s="139"/>
      <c r="E99" s="139"/>
      <c r="F99" s="139"/>
      <c r="G99" s="139"/>
      <c r="H99" s="139"/>
      <c r="I99" s="139"/>
      <c r="J99" s="139"/>
      <c r="K99" s="139"/>
      <c r="L99" s="142">
        <v>45050.36</v>
      </c>
      <c r="M99" s="142">
        <v>45050.36</v>
      </c>
      <c r="N99" s="142">
        <v>45050.36</v>
      </c>
      <c r="O99" s="142">
        <v>45050.36</v>
      </c>
      <c r="P99" s="142">
        <v>45050.36</v>
      </c>
      <c r="Q99" s="142">
        <v>45050.36</v>
      </c>
      <c r="R99" s="142">
        <v>70944.52</v>
      </c>
      <c r="S99" s="142">
        <v>96838.68</v>
      </c>
      <c r="T99" s="142">
        <v>122732.84</v>
      </c>
      <c r="U99" s="142">
        <v>148626.99</v>
      </c>
      <c r="V99" s="142">
        <v>174521.16</v>
      </c>
      <c r="W99" s="142">
        <v>200415.31</v>
      </c>
      <c r="X99" s="142">
        <v>226309.46</v>
      </c>
      <c r="Y99" s="142">
        <v>252203.62</v>
      </c>
      <c r="Z99" s="142">
        <v>278097.78999999998</v>
      </c>
      <c r="AA99" s="142">
        <v>303991.94</v>
      </c>
      <c r="AB99" s="142">
        <v>329886.11</v>
      </c>
      <c r="AC99" s="142">
        <v>400830.61</v>
      </c>
      <c r="AD99" s="142">
        <v>311512.01</v>
      </c>
      <c r="AE99" s="142">
        <v>312294.13</v>
      </c>
      <c r="AF99" s="142">
        <v>313076.23</v>
      </c>
      <c r="AG99" s="142">
        <v>313858.34000000003</v>
      </c>
      <c r="AH99" s="142">
        <v>314640.44</v>
      </c>
      <c r="AI99" s="142">
        <v>341316.71</v>
      </c>
      <c r="AJ99" s="142">
        <v>316204.67</v>
      </c>
      <c r="AK99" s="142">
        <v>291092.62</v>
      </c>
      <c r="AL99" s="142">
        <v>265980.57</v>
      </c>
      <c r="AM99" s="142">
        <v>240868.51</v>
      </c>
      <c r="AN99" s="142">
        <v>215756.47</v>
      </c>
      <c r="AO99" s="142">
        <v>190644.42</v>
      </c>
      <c r="AP99" s="142">
        <v>165532.35999999999</v>
      </c>
      <c r="AQ99" s="142">
        <v>140420.32</v>
      </c>
      <c r="AR99" s="142">
        <v>115308.27</v>
      </c>
      <c r="AS99" s="142">
        <v>196095.1</v>
      </c>
      <c r="AT99" s="142">
        <v>170200.95</v>
      </c>
      <c r="AU99" s="142">
        <v>119194.75</v>
      </c>
      <c r="AV99" s="142">
        <v>118412.64</v>
      </c>
      <c r="AW99" s="142">
        <v>117630.52</v>
      </c>
      <c r="AX99" s="142">
        <v>116848.42</v>
      </c>
      <c r="AY99" s="142">
        <v>116066.31</v>
      </c>
      <c r="AZ99" s="142">
        <v>115284.2</v>
      </c>
      <c r="BA99" s="142">
        <v>114502.09</v>
      </c>
      <c r="BB99" s="142">
        <v>113719.98</v>
      </c>
      <c r="BC99" s="142">
        <v>112937.87</v>
      </c>
      <c r="BD99" s="142">
        <v>112155.76</v>
      </c>
      <c r="BE99" s="142">
        <v>111373.65</v>
      </c>
      <c r="BF99" s="142">
        <v>110591.54</v>
      </c>
      <c r="BG99" s="142">
        <v>109809.44</v>
      </c>
      <c r="BH99" s="142">
        <v>109027.32</v>
      </c>
      <c r="BI99" s="142">
        <v>108245.21</v>
      </c>
      <c r="BJ99" s="142">
        <v>213361.99</v>
      </c>
      <c r="BK99" s="139"/>
      <c r="BL99" s="139"/>
      <c r="BM99" s="139"/>
      <c r="BN99" s="139"/>
      <c r="BO99" s="139"/>
      <c r="BP99" s="139"/>
      <c r="BQ99" s="139"/>
      <c r="BR99" s="139"/>
      <c r="BS99" s="139"/>
      <c r="BT99" s="139"/>
      <c r="BU99" s="139"/>
      <c r="BV99" s="139"/>
      <c r="BW99" s="139"/>
      <c r="BX99" s="139"/>
      <c r="BY99" s="139"/>
      <c r="BZ99" s="139"/>
      <c r="CA99" s="139"/>
      <c r="CB99" s="139"/>
      <c r="CC99" s="139"/>
      <c r="CD99" s="139"/>
      <c r="CE99" s="139"/>
      <c r="CF99" s="139"/>
      <c r="CG99" s="139"/>
      <c r="CH99" s="139"/>
    </row>
    <row r="100" spans="1:86" ht="15" customHeight="1" x14ac:dyDescent="0.25">
      <c r="A100" s="34" t="s">
        <v>565</v>
      </c>
      <c r="B100" s="141">
        <f t="shared" si="9"/>
        <v>-1675044</v>
      </c>
      <c r="C100" s="139"/>
      <c r="D100" s="139"/>
      <c r="E100" s="139"/>
      <c r="F100" s="139"/>
      <c r="G100" s="139"/>
      <c r="H100" s="139"/>
      <c r="I100" s="139"/>
      <c r="J100" s="139"/>
      <c r="K100" s="139"/>
      <c r="L100" s="142">
        <v>-16667</v>
      </c>
      <c r="M100" s="142">
        <v>-16667</v>
      </c>
      <c r="N100" s="142">
        <v>-16667</v>
      </c>
      <c r="O100" s="142">
        <v>-16667</v>
      </c>
      <c r="P100" s="142">
        <v>-16667</v>
      </c>
      <c r="Q100" s="142">
        <v>-16667</v>
      </c>
      <c r="R100" s="142">
        <v>-37501</v>
      </c>
      <c r="S100" s="142">
        <v>-37501</v>
      </c>
      <c r="T100" s="142">
        <v>-37501</v>
      </c>
      <c r="U100" s="142">
        <v>-37501</v>
      </c>
      <c r="V100" s="142">
        <v>-37501</v>
      </c>
      <c r="W100" s="142">
        <v>-37501</v>
      </c>
      <c r="X100" s="142">
        <v>-37501</v>
      </c>
      <c r="Y100" s="142">
        <v>-37501</v>
      </c>
      <c r="Z100" s="142">
        <v>-37501</v>
      </c>
      <c r="AA100" s="142">
        <v>-37501</v>
      </c>
      <c r="AB100" s="142">
        <v>-37501</v>
      </c>
      <c r="AC100" s="142">
        <v>-37501</v>
      </c>
      <c r="AD100" s="142">
        <v>-37501</v>
      </c>
      <c r="AE100" s="142">
        <v>-37501</v>
      </c>
      <c r="AF100" s="142">
        <v>-37501</v>
      </c>
      <c r="AG100" s="142">
        <v>-37501</v>
      </c>
      <c r="AH100" s="142">
        <v>-37501</v>
      </c>
      <c r="AI100" s="142">
        <v>-37501</v>
      </c>
      <c r="AJ100" s="142">
        <v>-37501</v>
      </c>
      <c r="AK100" s="142">
        <v>-37501</v>
      </c>
      <c r="AL100" s="142">
        <v>-37501</v>
      </c>
      <c r="AM100" s="142">
        <v>-37501</v>
      </c>
      <c r="AN100" s="142">
        <v>-37501</v>
      </c>
      <c r="AO100" s="142">
        <v>-37501</v>
      </c>
      <c r="AP100" s="142">
        <v>-37501</v>
      </c>
      <c r="AQ100" s="142">
        <v>-37501</v>
      </c>
      <c r="AR100" s="142">
        <v>-37501</v>
      </c>
      <c r="AS100" s="142">
        <v>-37501</v>
      </c>
      <c r="AT100" s="142">
        <v>-37501</v>
      </c>
      <c r="AU100" s="142">
        <v>-37501</v>
      </c>
      <c r="AV100" s="142">
        <v>-37501</v>
      </c>
      <c r="AW100" s="142">
        <v>-37501</v>
      </c>
      <c r="AX100" s="142">
        <v>-37501</v>
      </c>
      <c r="AY100" s="142">
        <v>-37501</v>
      </c>
      <c r="AZ100" s="142">
        <v>-37501</v>
      </c>
      <c r="BA100" s="142">
        <v>-37501</v>
      </c>
      <c r="BB100" s="142">
        <v>-37501</v>
      </c>
      <c r="BC100" s="142">
        <v>-37501</v>
      </c>
      <c r="BD100" s="142">
        <v>-37501</v>
      </c>
      <c r="BE100" s="142">
        <v>-37501</v>
      </c>
      <c r="BF100" s="142">
        <v>-37501</v>
      </c>
      <c r="BG100" s="142">
        <v>-37501</v>
      </c>
      <c r="BH100" s="139"/>
      <c r="BI100" s="139"/>
      <c r="BJ100" s="139"/>
      <c r="BK100" s="139"/>
      <c r="BL100" s="139"/>
      <c r="BM100" s="139"/>
      <c r="BN100" s="139"/>
      <c r="BO100" s="139"/>
      <c r="BP100" s="139"/>
      <c r="BQ100" s="139"/>
      <c r="BR100" s="139"/>
      <c r="BS100" s="139"/>
      <c r="BT100" s="139"/>
      <c r="BU100" s="139"/>
      <c r="BV100" s="139"/>
      <c r="BW100" s="139"/>
      <c r="BX100" s="139"/>
      <c r="BY100" s="139"/>
      <c r="BZ100" s="139"/>
      <c r="CA100" s="139"/>
      <c r="CB100" s="139"/>
      <c r="CC100" s="139"/>
      <c r="CD100" s="139"/>
      <c r="CE100" s="139"/>
      <c r="CF100" s="139"/>
      <c r="CG100" s="139"/>
      <c r="CH100" s="139"/>
    </row>
    <row r="101" spans="1:86" ht="15" customHeight="1" x14ac:dyDescent="0.25">
      <c r="A101" s="34" t="s">
        <v>566</v>
      </c>
      <c r="B101" s="141">
        <f t="shared" si="9"/>
        <v>-536016</v>
      </c>
      <c r="C101" s="139"/>
      <c r="D101" s="139"/>
      <c r="E101" s="139"/>
      <c r="F101" s="139"/>
      <c r="G101" s="139"/>
      <c r="H101" s="139"/>
      <c r="I101" s="139"/>
      <c r="J101" s="139"/>
      <c r="K101" s="139"/>
      <c r="L101" s="142">
        <v>-11167</v>
      </c>
      <c r="M101" s="142">
        <v>-11167</v>
      </c>
      <c r="N101" s="142">
        <v>-11167</v>
      </c>
      <c r="O101" s="142">
        <v>-11167</v>
      </c>
      <c r="P101" s="142">
        <v>-11167</v>
      </c>
      <c r="Q101" s="142">
        <v>-11167</v>
      </c>
      <c r="R101" s="142">
        <v>-11167</v>
      </c>
      <c r="S101" s="142">
        <v>-11167</v>
      </c>
      <c r="T101" s="142">
        <v>-11167</v>
      </c>
      <c r="U101" s="142">
        <v>-11167</v>
      </c>
      <c r="V101" s="142">
        <v>-11167</v>
      </c>
      <c r="W101" s="142">
        <v>-11167</v>
      </c>
      <c r="X101" s="142">
        <v>-11167</v>
      </c>
      <c r="Y101" s="142">
        <v>-11167</v>
      </c>
      <c r="Z101" s="142">
        <v>-11167</v>
      </c>
      <c r="AA101" s="142">
        <v>-11167</v>
      </c>
      <c r="AB101" s="142">
        <v>-11167</v>
      </c>
      <c r="AC101" s="142">
        <v>-11167</v>
      </c>
      <c r="AD101" s="142">
        <v>-11167</v>
      </c>
      <c r="AE101" s="142">
        <v>-11167</v>
      </c>
      <c r="AF101" s="142">
        <v>-11167</v>
      </c>
      <c r="AG101" s="142">
        <v>-11167</v>
      </c>
      <c r="AH101" s="142">
        <v>-11167</v>
      </c>
      <c r="AI101" s="142">
        <v>-11167</v>
      </c>
      <c r="AJ101" s="142">
        <v>-11167</v>
      </c>
      <c r="AK101" s="142">
        <v>-11167</v>
      </c>
      <c r="AL101" s="142">
        <v>-11167</v>
      </c>
      <c r="AM101" s="142">
        <v>-11167</v>
      </c>
      <c r="AN101" s="142">
        <v>-11167</v>
      </c>
      <c r="AO101" s="142">
        <v>-11167</v>
      </c>
      <c r="AP101" s="142">
        <v>-11167</v>
      </c>
      <c r="AQ101" s="142">
        <v>-11167</v>
      </c>
      <c r="AR101" s="142">
        <v>-11167</v>
      </c>
      <c r="AS101" s="142">
        <v>-11167</v>
      </c>
      <c r="AT101" s="142">
        <v>-11167</v>
      </c>
      <c r="AU101" s="142">
        <v>-11167</v>
      </c>
      <c r="AV101" s="142">
        <v>-11167</v>
      </c>
      <c r="AW101" s="142">
        <v>-11167</v>
      </c>
      <c r="AX101" s="142">
        <v>-11167</v>
      </c>
      <c r="AY101" s="142">
        <v>-11167</v>
      </c>
      <c r="AZ101" s="142">
        <v>-11167</v>
      </c>
      <c r="BA101" s="142">
        <v>-11167</v>
      </c>
      <c r="BB101" s="142">
        <v>-11167</v>
      </c>
      <c r="BC101" s="142">
        <v>-11167</v>
      </c>
      <c r="BD101" s="142">
        <v>-11167</v>
      </c>
      <c r="BE101" s="142">
        <v>-11167</v>
      </c>
      <c r="BF101" s="142">
        <v>-11167</v>
      </c>
      <c r="BG101" s="142">
        <v>-11167</v>
      </c>
      <c r="BH101" s="139"/>
      <c r="BI101" s="139"/>
      <c r="BJ101" s="139"/>
      <c r="BK101" s="139"/>
      <c r="BL101" s="139"/>
      <c r="BM101" s="139"/>
      <c r="BN101" s="139"/>
      <c r="BO101" s="139"/>
      <c r="BP101" s="139"/>
      <c r="BQ101" s="139"/>
      <c r="BR101" s="139"/>
      <c r="BS101" s="139"/>
      <c r="BT101" s="139"/>
      <c r="BU101" s="139"/>
      <c r="BV101" s="139"/>
      <c r="BW101" s="139"/>
      <c r="BX101" s="139"/>
      <c r="BY101" s="139"/>
      <c r="BZ101" s="139"/>
      <c r="CA101" s="139"/>
      <c r="CB101" s="139"/>
      <c r="CC101" s="139"/>
      <c r="CD101" s="139"/>
      <c r="CE101" s="139"/>
      <c r="CF101" s="139"/>
      <c r="CG101" s="139"/>
      <c r="CH101" s="139"/>
    </row>
    <row r="102" spans="1:86" ht="15" customHeight="1" x14ac:dyDescent="0.25">
      <c r="A102" s="34" t="s">
        <v>567</v>
      </c>
      <c r="B102" s="141">
        <f t="shared" si="9"/>
        <v>6798604.9999999991</v>
      </c>
      <c r="C102" s="143">
        <f t="shared" ref="C102:AH102" si="10">C99+C100+C101</f>
        <v>0</v>
      </c>
      <c r="D102" s="143">
        <f t="shared" si="10"/>
        <v>0</v>
      </c>
      <c r="E102" s="143">
        <f t="shared" si="10"/>
        <v>0</v>
      </c>
      <c r="F102" s="143">
        <f t="shared" si="10"/>
        <v>0</v>
      </c>
      <c r="G102" s="143">
        <f t="shared" si="10"/>
        <v>0</v>
      </c>
      <c r="H102" s="143">
        <f t="shared" si="10"/>
        <v>0</v>
      </c>
      <c r="I102" s="143">
        <f t="shared" si="10"/>
        <v>0</v>
      </c>
      <c r="J102" s="143">
        <f t="shared" si="10"/>
        <v>0</v>
      </c>
      <c r="K102" s="143">
        <f t="shared" si="10"/>
        <v>0</v>
      </c>
      <c r="L102" s="143">
        <f t="shared" si="10"/>
        <v>17216.36</v>
      </c>
      <c r="M102" s="143">
        <f t="shared" si="10"/>
        <v>17216.36</v>
      </c>
      <c r="N102" s="143">
        <f t="shared" si="10"/>
        <v>17216.36</v>
      </c>
      <c r="O102" s="143">
        <f t="shared" si="10"/>
        <v>17216.36</v>
      </c>
      <c r="P102" s="143">
        <f t="shared" si="10"/>
        <v>17216.36</v>
      </c>
      <c r="Q102" s="143">
        <f t="shared" si="10"/>
        <v>17216.36</v>
      </c>
      <c r="R102" s="143">
        <f t="shared" si="10"/>
        <v>22276.520000000004</v>
      </c>
      <c r="S102" s="143">
        <f t="shared" si="10"/>
        <v>48170.679999999993</v>
      </c>
      <c r="T102" s="143">
        <f t="shared" si="10"/>
        <v>74064.84</v>
      </c>
      <c r="U102" s="143">
        <f t="shared" si="10"/>
        <v>99958.989999999991</v>
      </c>
      <c r="V102" s="143">
        <f t="shared" si="10"/>
        <v>125853.16</v>
      </c>
      <c r="W102" s="143">
        <f t="shared" si="10"/>
        <v>151747.31</v>
      </c>
      <c r="X102" s="143">
        <f t="shared" si="10"/>
        <v>177641.46</v>
      </c>
      <c r="Y102" s="143">
        <f t="shared" si="10"/>
        <v>203535.62</v>
      </c>
      <c r="Z102" s="143">
        <f t="shared" si="10"/>
        <v>229429.78999999998</v>
      </c>
      <c r="AA102" s="143">
        <f t="shared" si="10"/>
        <v>255323.94</v>
      </c>
      <c r="AB102" s="143">
        <f t="shared" si="10"/>
        <v>281218.11</v>
      </c>
      <c r="AC102" s="143">
        <f t="shared" si="10"/>
        <v>352162.61</v>
      </c>
      <c r="AD102" s="143">
        <f t="shared" si="10"/>
        <v>262844.01</v>
      </c>
      <c r="AE102" s="143">
        <f t="shared" si="10"/>
        <v>263626.13</v>
      </c>
      <c r="AF102" s="143">
        <f t="shared" si="10"/>
        <v>264408.23</v>
      </c>
      <c r="AG102" s="143">
        <f t="shared" si="10"/>
        <v>265190.34000000003</v>
      </c>
      <c r="AH102" s="143">
        <f t="shared" si="10"/>
        <v>265972.44</v>
      </c>
      <c r="AI102" s="143">
        <f t="shared" ref="AI102:BN102" si="11">AI99+AI100+AI101</f>
        <v>292648.71000000002</v>
      </c>
      <c r="AJ102" s="143">
        <f t="shared" si="11"/>
        <v>267536.67</v>
      </c>
      <c r="AK102" s="143">
        <f t="shared" si="11"/>
        <v>242424.62</v>
      </c>
      <c r="AL102" s="143">
        <f t="shared" si="11"/>
        <v>217312.57</v>
      </c>
      <c r="AM102" s="143">
        <f t="shared" si="11"/>
        <v>192200.51</v>
      </c>
      <c r="AN102" s="143">
        <f t="shared" si="11"/>
        <v>167088.47</v>
      </c>
      <c r="AO102" s="143">
        <f t="shared" si="11"/>
        <v>141976.42000000001</v>
      </c>
      <c r="AP102" s="143">
        <f t="shared" si="11"/>
        <v>116864.35999999999</v>
      </c>
      <c r="AQ102" s="143">
        <f t="shared" si="11"/>
        <v>91752.320000000007</v>
      </c>
      <c r="AR102" s="143">
        <f t="shared" si="11"/>
        <v>66640.27</v>
      </c>
      <c r="AS102" s="143">
        <f t="shared" si="11"/>
        <v>147427.1</v>
      </c>
      <c r="AT102" s="143">
        <f t="shared" si="11"/>
        <v>121532.95000000001</v>
      </c>
      <c r="AU102" s="143">
        <f t="shared" si="11"/>
        <v>70526.75</v>
      </c>
      <c r="AV102" s="143">
        <f t="shared" si="11"/>
        <v>69744.639999999999</v>
      </c>
      <c r="AW102" s="143">
        <f t="shared" si="11"/>
        <v>68962.52</v>
      </c>
      <c r="AX102" s="143">
        <f t="shared" si="11"/>
        <v>68180.42</v>
      </c>
      <c r="AY102" s="143">
        <f t="shared" si="11"/>
        <v>67398.31</v>
      </c>
      <c r="AZ102" s="143">
        <f t="shared" si="11"/>
        <v>66616.2</v>
      </c>
      <c r="BA102" s="143">
        <f t="shared" si="11"/>
        <v>65834.09</v>
      </c>
      <c r="BB102" s="143">
        <f t="shared" si="11"/>
        <v>65051.979999999996</v>
      </c>
      <c r="BC102" s="143">
        <f t="shared" si="11"/>
        <v>64269.869999999995</v>
      </c>
      <c r="BD102" s="143">
        <f t="shared" si="11"/>
        <v>63487.759999999995</v>
      </c>
      <c r="BE102" s="143">
        <f t="shared" si="11"/>
        <v>62705.649999999994</v>
      </c>
      <c r="BF102" s="143">
        <f t="shared" si="11"/>
        <v>61923.539999999994</v>
      </c>
      <c r="BG102" s="143">
        <f t="shared" si="11"/>
        <v>61141.440000000002</v>
      </c>
      <c r="BH102" s="143">
        <f t="shared" si="11"/>
        <v>109027.32</v>
      </c>
      <c r="BI102" s="143">
        <f t="shared" si="11"/>
        <v>108245.21</v>
      </c>
      <c r="BJ102" s="143">
        <f t="shared" si="11"/>
        <v>213361.99</v>
      </c>
      <c r="BK102" s="143">
        <f t="shared" si="11"/>
        <v>0</v>
      </c>
      <c r="BL102" s="143">
        <f t="shared" si="11"/>
        <v>0</v>
      </c>
      <c r="BM102" s="143">
        <f t="shared" si="11"/>
        <v>0</v>
      </c>
      <c r="BN102" s="143">
        <f t="shared" si="11"/>
        <v>0</v>
      </c>
      <c r="BO102" s="143">
        <f t="shared" ref="BO102:CT102" si="12">BO99+BO100+BO101</f>
        <v>0</v>
      </c>
      <c r="BP102" s="143">
        <f t="shared" si="12"/>
        <v>0</v>
      </c>
      <c r="BQ102" s="143">
        <f t="shared" si="12"/>
        <v>0</v>
      </c>
      <c r="BR102" s="143">
        <f t="shared" si="12"/>
        <v>0</v>
      </c>
      <c r="BS102" s="143">
        <f t="shared" si="12"/>
        <v>0</v>
      </c>
      <c r="BT102" s="143">
        <f t="shared" si="12"/>
        <v>0</v>
      </c>
      <c r="BU102" s="143">
        <f t="shared" si="12"/>
        <v>0</v>
      </c>
      <c r="BV102" s="143">
        <f t="shared" si="12"/>
        <v>0</v>
      </c>
      <c r="BW102" s="143">
        <f t="shared" si="12"/>
        <v>0</v>
      </c>
      <c r="BX102" s="143">
        <f t="shared" si="12"/>
        <v>0</v>
      </c>
      <c r="BY102" s="143">
        <f t="shared" si="12"/>
        <v>0</v>
      </c>
      <c r="BZ102" s="143">
        <f t="shared" si="12"/>
        <v>0</v>
      </c>
      <c r="CA102" s="143">
        <f t="shared" si="12"/>
        <v>0</v>
      </c>
      <c r="CB102" s="143">
        <f t="shared" si="12"/>
        <v>0</v>
      </c>
      <c r="CC102" s="143">
        <f t="shared" si="12"/>
        <v>0</v>
      </c>
      <c r="CD102" s="143">
        <f t="shared" si="12"/>
        <v>0</v>
      </c>
      <c r="CE102" s="143">
        <f t="shared" si="12"/>
        <v>0</v>
      </c>
      <c r="CF102" s="143">
        <f t="shared" si="12"/>
        <v>0</v>
      </c>
      <c r="CG102" s="143">
        <f t="shared" si="12"/>
        <v>0</v>
      </c>
      <c r="CH102" s="143">
        <f t="shared" si="12"/>
        <v>0</v>
      </c>
    </row>
    <row r="103" spans="1:86" ht="15" customHeight="1" x14ac:dyDescent="0.25">
      <c r="A103" s="34" t="s">
        <v>568</v>
      </c>
      <c r="B103" s="141">
        <f t="shared" si="9"/>
        <v>900966.50000000023</v>
      </c>
      <c r="C103" s="143">
        <f t="shared" ref="C103:AH103" si="13">C99*$B$94</f>
        <v>0</v>
      </c>
      <c r="D103" s="143">
        <f t="shared" si="13"/>
        <v>0</v>
      </c>
      <c r="E103" s="143">
        <f t="shared" si="13"/>
        <v>0</v>
      </c>
      <c r="F103" s="143">
        <f t="shared" si="13"/>
        <v>0</v>
      </c>
      <c r="G103" s="143">
        <f t="shared" si="13"/>
        <v>0</v>
      </c>
      <c r="H103" s="143">
        <f t="shared" si="13"/>
        <v>0</v>
      </c>
      <c r="I103" s="143">
        <f t="shared" si="13"/>
        <v>0</v>
      </c>
      <c r="J103" s="143">
        <f t="shared" si="13"/>
        <v>0</v>
      </c>
      <c r="K103" s="143">
        <f t="shared" si="13"/>
        <v>0</v>
      </c>
      <c r="L103" s="143">
        <f t="shared" si="13"/>
        <v>4505.0360000000001</v>
      </c>
      <c r="M103" s="143">
        <f t="shared" si="13"/>
        <v>4505.0360000000001</v>
      </c>
      <c r="N103" s="143">
        <f t="shared" si="13"/>
        <v>4505.0360000000001</v>
      </c>
      <c r="O103" s="143">
        <f t="shared" si="13"/>
        <v>4505.0360000000001</v>
      </c>
      <c r="P103" s="143">
        <f t="shared" si="13"/>
        <v>4505.0360000000001</v>
      </c>
      <c r="Q103" s="143">
        <f t="shared" si="13"/>
        <v>4505.0360000000001</v>
      </c>
      <c r="R103" s="143">
        <f t="shared" si="13"/>
        <v>7094.4520000000011</v>
      </c>
      <c r="S103" s="143">
        <f t="shared" si="13"/>
        <v>9683.8680000000004</v>
      </c>
      <c r="T103" s="143">
        <f t="shared" si="13"/>
        <v>12273.284</v>
      </c>
      <c r="U103" s="143">
        <f t="shared" si="13"/>
        <v>14862.699000000001</v>
      </c>
      <c r="V103" s="143">
        <f t="shared" si="13"/>
        <v>17452.116000000002</v>
      </c>
      <c r="W103" s="143">
        <f t="shared" si="13"/>
        <v>20041.531000000003</v>
      </c>
      <c r="X103" s="143">
        <f t="shared" si="13"/>
        <v>22630.946</v>
      </c>
      <c r="Y103" s="143">
        <f t="shared" si="13"/>
        <v>25220.362000000001</v>
      </c>
      <c r="Z103" s="143">
        <f t="shared" si="13"/>
        <v>27809.778999999999</v>
      </c>
      <c r="AA103" s="143">
        <f t="shared" si="13"/>
        <v>30399.194000000003</v>
      </c>
      <c r="AB103" s="143">
        <f t="shared" si="13"/>
        <v>32988.610999999997</v>
      </c>
      <c r="AC103" s="143">
        <f t="shared" si="13"/>
        <v>40083.061000000002</v>
      </c>
      <c r="AD103" s="143">
        <f t="shared" si="13"/>
        <v>31151.201000000001</v>
      </c>
      <c r="AE103" s="143">
        <f t="shared" si="13"/>
        <v>31229.413</v>
      </c>
      <c r="AF103" s="143">
        <f t="shared" si="13"/>
        <v>31307.623</v>
      </c>
      <c r="AG103" s="143">
        <f t="shared" si="13"/>
        <v>31385.834000000003</v>
      </c>
      <c r="AH103" s="143">
        <f t="shared" si="13"/>
        <v>31464.044000000002</v>
      </c>
      <c r="AI103" s="143">
        <f t="shared" ref="AI103:BN103" si="14">AI99*$B$94</f>
        <v>34131.671000000002</v>
      </c>
      <c r="AJ103" s="143">
        <f t="shared" si="14"/>
        <v>31620.467000000001</v>
      </c>
      <c r="AK103" s="143">
        <f t="shared" si="14"/>
        <v>29109.262000000002</v>
      </c>
      <c r="AL103" s="143">
        <f t="shared" si="14"/>
        <v>26598.057000000001</v>
      </c>
      <c r="AM103" s="143">
        <f t="shared" si="14"/>
        <v>24086.851000000002</v>
      </c>
      <c r="AN103" s="143">
        <f t="shared" si="14"/>
        <v>21575.647000000001</v>
      </c>
      <c r="AO103" s="143">
        <f t="shared" si="14"/>
        <v>19064.442000000003</v>
      </c>
      <c r="AP103" s="143">
        <f t="shared" si="14"/>
        <v>16553.236000000001</v>
      </c>
      <c r="AQ103" s="143">
        <f t="shared" si="14"/>
        <v>14042.032000000001</v>
      </c>
      <c r="AR103" s="143">
        <f t="shared" si="14"/>
        <v>11530.827000000001</v>
      </c>
      <c r="AS103" s="143">
        <f t="shared" si="14"/>
        <v>19609.510000000002</v>
      </c>
      <c r="AT103" s="143">
        <f t="shared" si="14"/>
        <v>17020.095000000001</v>
      </c>
      <c r="AU103" s="143">
        <f t="shared" si="14"/>
        <v>11919.475</v>
      </c>
      <c r="AV103" s="143">
        <f t="shared" si="14"/>
        <v>11841.264000000001</v>
      </c>
      <c r="AW103" s="143">
        <f t="shared" si="14"/>
        <v>11763.052000000001</v>
      </c>
      <c r="AX103" s="143">
        <f t="shared" si="14"/>
        <v>11684.842000000001</v>
      </c>
      <c r="AY103" s="143">
        <f t="shared" si="14"/>
        <v>11606.631000000001</v>
      </c>
      <c r="AZ103" s="143">
        <f t="shared" si="14"/>
        <v>11528.42</v>
      </c>
      <c r="BA103" s="143">
        <f t="shared" si="14"/>
        <v>11450.209000000001</v>
      </c>
      <c r="BB103" s="143">
        <f t="shared" si="14"/>
        <v>11371.998</v>
      </c>
      <c r="BC103" s="143">
        <f t="shared" si="14"/>
        <v>11293.787</v>
      </c>
      <c r="BD103" s="143">
        <f t="shared" si="14"/>
        <v>11215.576000000001</v>
      </c>
      <c r="BE103" s="143">
        <f t="shared" si="14"/>
        <v>11137.365</v>
      </c>
      <c r="BF103" s="143">
        <f t="shared" si="14"/>
        <v>11059.154</v>
      </c>
      <c r="BG103" s="143">
        <f t="shared" si="14"/>
        <v>10980.944000000001</v>
      </c>
      <c r="BH103" s="143">
        <f t="shared" si="14"/>
        <v>10902.732000000002</v>
      </c>
      <c r="BI103" s="143">
        <f t="shared" si="14"/>
        <v>10824.521000000001</v>
      </c>
      <c r="BJ103" s="143">
        <f t="shared" si="14"/>
        <v>21336.199000000001</v>
      </c>
      <c r="BK103" s="143">
        <f t="shared" si="14"/>
        <v>0</v>
      </c>
      <c r="BL103" s="143">
        <f t="shared" si="14"/>
        <v>0</v>
      </c>
      <c r="BM103" s="143">
        <f t="shared" si="14"/>
        <v>0</v>
      </c>
      <c r="BN103" s="143">
        <f t="shared" si="14"/>
        <v>0</v>
      </c>
      <c r="BO103" s="143">
        <f t="shared" ref="BO103:CH103" si="15">BO99*$B$94</f>
        <v>0</v>
      </c>
      <c r="BP103" s="143">
        <f t="shared" si="15"/>
        <v>0</v>
      </c>
      <c r="BQ103" s="143">
        <f t="shared" si="15"/>
        <v>0</v>
      </c>
      <c r="BR103" s="143">
        <f t="shared" si="15"/>
        <v>0</v>
      </c>
      <c r="BS103" s="143">
        <f t="shared" si="15"/>
        <v>0</v>
      </c>
      <c r="BT103" s="143">
        <f t="shared" si="15"/>
        <v>0</v>
      </c>
      <c r="BU103" s="143">
        <f t="shared" si="15"/>
        <v>0</v>
      </c>
      <c r="BV103" s="143">
        <f t="shared" si="15"/>
        <v>0</v>
      </c>
      <c r="BW103" s="143">
        <f t="shared" si="15"/>
        <v>0</v>
      </c>
      <c r="BX103" s="143">
        <f t="shared" si="15"/>
        <v>0</v>
      </c>
      <c r="BY103" s="143">
        <f t="shared" si="15"/>
        <v>0</v>
      </c>
      <c r="BZ103" s="143">
        <f t="shared" si="15"/>
        <v>0</v>
      </c>
      <c r="CA103" s="143">
        <f t="shared" si="15"/>
        <v>0</v>
      </c>
      <c r="CB103" s="143">
        <f t="shared" si="15"/>
        <v>0</v>
      </c>
      <c r="CC103" s="143">
        <f t="shared" si="15"/>
        <v>0</v>
      </c>
      <c r="CD103" s="143">
        <f t="shared" si="15"/>
        <v>0</v>
      </c>
      <c r="CE103" s="143">
        <f t="shared" si="15"/>
        <v>0</v>
      </c>
      <c r="CF103" s="143">
        <f t="shared" si="15"/>
        <v>0</v>
      </c>
      <c r="CG103" s="143">
        <f t="shared" si="15"/>
        <v>0</v>
      </c>
      <c r="CH103" s="143">
        <f t="shared" si="15"/>
        <v>0</v>
      </c>
    </row>
    <row r="104" spans="1:86" ht="15" customHeight="1" x14ac:dyDescent="0.25">
      <c r="A104" s="34" t="s">
        <v>569</v>
      </c>
      <c r="B104" s="141">
        <f t="shared" si="9"/>
        <v>5897638.5000000019</v>
      </c>
      <c r="C104" s="143">
        <f t="shared" ref="C104:AH104" si="16">C102-C103</f>
        <v>0</v>
      </c>
      <c r="D104" s="143">
        <f t="shared" si="16"/>
        <v>0</v>
      </c>
      <c r="E104" s="143">
        <f t="shared" si="16"/>
        <v>0</v>
      </c>
      <c r="F104" s="143">
        <f t="shared" si="16"/>
        <v>0</v>
      </c>
      <c r="G104" s="143">
        <f t="shared" si="16"/>
        <v>0</v>
      </c>
      <c r="H104" s="143">
        <f t="shared" si="16"/>
        <v>0</v>
      </c>
      <c r="I104" s="143">
        <f t="shared" si="16"/>
        <v>0</v>
      </c>
      <c r="J104" s="143">
        <f t="shared" si="16"/>
        <v>0</v>
      </c>
      <c r="K104" s="143">
        <f t="shared" si="16"/>
        <v>0</v>
      </c>
      <c r="L104" s="143">
        <f t="shared" si="16"/>
        <v>12711.324000000001</v>
      </c>
      <c r="M104" s="143">
        <f t="shared" si="16"/>
        <v>12711.324000000001</v>
      </c>
      <c r="N104" s="143">
        <f t="shared" si="16"/>
        <v>12711.324000000001</v>
      </c>
      <c r="O104" s="143">
        <f t="shared" si="16"/>
        <v>12711.324000000001</v>
      </c>
      <c r="P104" s="143">
        <f t="shared" si="16"/>
        <v>12711.324000000001</v>
      </c>
      <c r="Q104" s="143">
        <f t="shared" si="16"/>
        <v>12711.324000000001</v>
      </c>
      <c r="R104" s="143">
        <f t="shared" si="16"/>
        <v>15182.068000000003</v>
      </c>
      <c r="S104" s="143">
        <f t="shared" si="16"/>
        <v>38486.811999999991</v>
      </c>
      <c r="T104" s="143">
        <f t="shared" si="16"/>
        <v>61791.555999999997</v>
      </c>
      <c r="U104" s="143">
        <f t="shared" si="16"/>
        <v>85096.290999999997</v>
      </c>
      <c r="V104" s="143">
        <f t="shared" si="16"/>
        <v>108401.04399999999</v>
      </c>
      <c r="W104" s="143">
        <f t="shared" si="16"/>
        <v>131705.77899999998</v>
      </c>
      <c r="X104" s="143">
        <f t="shared" si="16"/>
        <v>155010.514</v>
      </c>
      <c r="Y104" s="143">
        <f t="shared" si="16"/>
        <v>178315.258</v>
      </c>
      <c r="Z104" s="143">
        <f t="shared" si="16"/>
        <v>201620.01099999997</v>
      </c>
      <c r="AA104" s="143">
        <f t="shared" si="16"/>
        <v>224924.74599999998</v>
      </c>
      <c r="AB104" s="143">
        <f t="shared" si="16"/>
        <v>248229.49899999998</v>
      </c>
      <c r="AC104" s="143">
        <f t="shared" si="16"/>
        <v>312079.549</v>
      </c>
      <c r="AD104" s="143">
        <f t="shared" si="16"/>
        <v>231692.80900000001</v>
      </c>
      <c r="AE104" s="143">
        <f t="shared" si="16"/>
        <v>232396.717</v>
      </c>
      <c r="AF104" s="143">
        <f t="shared" si="16"/>
        <v>233100.60699999999</v>
      </c>
      <c r="AG104" s="143">
        <f t="shared" si="16"/>
        <v>233804.50600000002</v>
      </c>
      <c r="AH104" s="143">
        <f t="shared" si="16"/>
        <v>234508.39600000001</v>
      </c>
      <c r="AI104" s="143">
        <f t="shared" ref="AI104:BN104" si="17">AI102-AI103</f>
        <v>258517.03900000002</v>
      </c>
      <c r="AJ104" s="143">
        <f t="shared" si="17"/>
        <v>235916.20299999998</v>
      </c>
      <c r="AK104" s="143">
        <f t="shared" si="17"/>
        <v>213315.35800000001</v>
      </c>
      <c r="AL104" s="143">
        <f t="shared" si="17"/>
        <v>190714.51300000001</v>
      </c>
      <c r="AM104" s="143">
        <f t="shared" si="17"/>
        <v>168113.65900000001</v>
      </c>
      <c r="AN104" s="143">
        <f t="shared" si="17"/>
        <v>145512.823</v>
      </c>
      <c r="AO104" s="143">
        <f t="shared" si="17"/>
        <v>122911.978</v>
      </c>
      <c r="AP104" s="143">
        <f t="shared" si="17"/>
        <v>100311.12399999998</v>
      </c>
      <c r="AQ104" s="143">
        <f t="shared" si="17"/>
        <v>77710.288</v>
      </c>
      <c r="AR104" s="143">
        <f t="shared" si="17"/>
        <v>55109.442999999999</v>
      </c>
      <c r="AS104" s="143">
        <f t="shared" si="17"/>
        <v>127817.59</v>
      </c>
      <c r="AT104" s="143">
        <f t="shared" si="17"/>
        <v>104512.85500000001</v>
      </c>
      <c r="AU104" s="143">
        <f t="shared" si="17"/>
        <v>58607.275000000001</v>
      </c>
      <c r="AV104" s="143">
        <f t="shared" si="17"/>
        <v>57903.375999999997</v>
      </c>
      <c r="AW104" s="143">
        <f t="shared" si="17"/>
        <v>57199.468000000001</v>
      </c>
      <c r="AX104" s="143">
        <f t="shared" si="17"/>
        <v>56495.577999999994</v>
      </c>
      <c r="AY104" s="143">
        <f t="shared" si="17"/>
        <v>55791.678999999996</v>
      </c>
      <c r="AZ104" s="143">
        <f t="shared" si="17"/>
        <v>55087.78</v>
      </c>
      <c r="BA104" s="143">
        <f t="shared" si="17"/>
        <v>54383.880999999994</v>
      </c>
      <c r="BB104" s="143">
        <f t="shared" si="17"/>
        <v>53679.981999999996</v>
      </c>
      <c r="BC104" s="143">
        <f t="shared" si="17"/>
        <v>52976.082999999999</v>
      </c>
      <c r="BD104" s="143">
        <f t="shared" si="17"/>
        <v>52272.183999999994</v>
      </c>
      <c r="BE104" s="143">
        <f t="shared" si="17"/>
        <v>51568.284999999996</v>
      </c>
      <c r="BF104" s="143">
        <f t="shared" si="17"/>
        <v>50864.385999999991</v>
      </c>
      <c r="BG104" s="143">
        <f t="shared" si="17"/>
        <v>50160.495999999999</v>
      </c>
      <c r="BH104" s="143">
        <f t="shared" si="17"/>
        <v>98124.588000000003</v>
      </c>
      <c r="BI104" s="143">
        <f t="shared" si="17"/>
        <v>97420.689000000013</v>
      </c>
      <c r="BJ104" s="143">
        <f t="shared" si="17"/>
        <v>192025.791</v>
      </c>
      <c r="BK104" s="143">
        <f t="shared" si="17"/>
        <v>0</v>
      </c>
      <c r="BL104" s="143">
        <f t="shared" si="17"/>
        <v>0</v>
      </c>
      <c r="BM104" s="143">
        <f t="shared" si="17"/>
        <v>0</v>
      </c>
      <c r="BN104" s="143">
        <f t="shared" si="17"/>
        <v>0</v>
      </c>
      <c r="BO104" s="143">
        <f t="shared" ref="BO104:CT104" si="18">BO102-BO103</f>
        <v>0</v>
      </c>
      <c r="BP104" s="143">
        <f t="shared" si="18"/>
        <v>0</v>
      </c>
      <c r="BQ104" s="143">
        <f t="shared" si="18"/>
        <v>0</v>
      </c>
      <c r="BR104" s="143">
        <f t="shared" si="18"/>
        <v>0</v>
      </c>
      <c r="BS104" s="143">
        <f t="shared" si="18"/>
        <v>0</v>
      </c>
      <c r="BT104" s="143">
        <f t="shared" si="18"/>
        <v>0</v>
      </c>
      <c r="BU104" s="143">
        <f t="shared" si="18"/>
        <v>0</v>
      </c>
      <c r="BV104" s="143">
        <f t="shared" si="18"/>
        <v>0</v>
      </c>
      <c r="BW104" s="143">
        <f t="shared" si="18"/>
        <v>0</v>
      </c>
      <c r="BX104" s="143">
        <f t="shared" si="18"/>
        <v>0</v>
      </c>
      <c r="BY104" s="143">
        <f t="shared" si="18"/>
        <v>0</v>
      </c>
      <c r="BZ104" s="143">
        <f t="shared" si="18"/>
        <v>0</v>
      </c>
      <c r="CA104" s="143">
        <f t="shared" si="18"/>
        <v>0</v>
      </c>
      <c r="CB104" s="143">
        <f t="shared" si="18"/>
        <v>0</v>
      </c>
      <c r="CC104" s="143">
        <f t="shared" si="18"/>
        <v>0</v>
      </c>
      <c r="CD104" s="143">
        <f t="shared" si="18"/>
        <v>0</v>
      </c>
      <c r="CE104" s="143">
        <f t="shared" si="18"/>
        <v>0</v>
      </c>
      <c r="CF104" s="143">
        <f t="shared" si="18"/>
        <v>0</v>
      </c>
      <c r="CG104" s="143">
        <f t="shared" si="18"/>
        <v>0</v>
      </c>
      <c r="CH104" s="143">
        <f t="shared" si="18"/>
        <v>0</v>
      </c>
    </row>
    <row r="105" spans="1:86" ht="15" customHeight="1" x14ac:dyDescent="0.25">
      <c r="A105" s="34" t="s">
        <v>570</v>
      </c>
      <c r="B105" s="141">
        <f t="shared" si="9"/>
        <v>2359055.4</v>
      </c>
      <c r="C105" s="143">
        <f t="shared" ref="C105:AH105" si="19">MAX(0,C104)*$B$95</f>
        <v>0</v>
      </c>
      <c r="D105" s="143">
        <f t="shared" si="19"/>
        <v>0</v>
      </c>
      <c r="E105" s="143">
        <f t="shared" si="19"/>
        <v>0</v>
      </c>
      <c r="F105" s="143">
        <f t="shared" si="19"/>
        <v>0</v>
      </c>
      <c r="G105" s="143">
        <f t="shared" si="19"/>
        <v>0</v>
      </c>
      <c r="H105" s="143">
        <f t="shared" si="19"/>
        <v>0</v>
      </c>
      <c r="I105" s="143">
        <f t="shared" si="19"/>
        <v>0</v>
      </c>
      <c r="J105" s="143">
        <f t="shared" si="19"/>
        <v>0</v>
      </c>
      <c r="K105" s="143">
        <f t="shared" si="19"/>
        <v>0</v>
      </c>
      <c r="L105" s="143">
        <f t="shared" si="19"/>
        <v>5084.5296000000008</v>
      </c>
      <c r="M105" s="143">
        <f t="shared" si="19"/>
        <v>5084.5296000000008</v>
      </c>
      <c r="N105" s="143">
        <f t="shared" si="19"/>
        <v>5084.5296000000008</v>
      </c>
      <c r="O105" s="143">
        <f t="shared" si="19"/>
        <v>5084.5296000000008</v>
      </c>
      <c r="P105" s="143">
        <f t="shared" si="19"/>
        <v>5084.5296000000008</v>
      </c>
      <c r="Q105" s="143">
        <f t="shared" si="19"/>
        <v>5084.5296000000008</v>
      </c>
      <c r="R105" s="143">
        <f t="shared" si="19"/>
        <v>6072.8272000000015</v>
      </c>
      <c r="S105" s="143">
        <f t="shared" si="19"/>
        <v>15394.724799999996</v>
      </c>
      <c r="T105" s="143">
        <f t="shared" si="19"/>
        <v>24716.6224</v>
      </c>
      <c r="U105" s="143">
        <f t="shared" si="19"/>
        <v>34038.5164</v>
      </c>
      <c r="V105" s="143">
        <f t="shared" si="19"/>
        <v>43360.417600000001</v>
      </c>
      <c r="W105" s="143">
        <f t="shared" si="19"/>
        <v>52682.311599999994</v>
      </c>
      <c r="X105" s="143">
        <f t="shared" si="19"/>
        <v>62004.205600000001</v>
      </c>
      <c r="Y105" s="143">
        <f t="shared" si="19"/>
        <v>71326.103199999998</v>
      </c>
      <c r="Z105" s="143">
        <f t="shared" si="19"/>
        <v>80648.004399999991</v>
      </c>
      <c r="AA105" s="143">
        <f t="shared" si="19"/>
        <v>89969.898400000005</v>
      </c>
      <c r="AB105" s="143">
        <f t="shared" si="19"/>
        <v>99291.799599999998</v>
      </c>
      <c r="AC105" s="143">
        <f t="shared" si="19"/>
        <v>124831.8196</v>
      </c>
      <c r="AD105" s="143">
        <f t="shared" si="19"/>
        <v>92677.123600000006</v>
      </c>
      <c r="AE105" s="143">
        <f t="shared" si="19"/>
        <v>92958.68680000001</v>
      </c>
      <c r="AF105" s="143">
        <f t="shared" si="19"/>
        <v>93240.242800000007</v>
      </c>
      <c r="AG105" s="143">
        <f t="shared" si="19"/>
        <v>93521.802400000015</v>
      </c>
      <c r="AH105" s="143">
        <f t="shared" si="19"/>
        <v>93803.358400000012</v>
      </c>
      <c r="AI105" s="143">
        <f t="shared" ref="AI105:BN105" si="20">MAX(0,AI104)*$B$95</f>
        <v>103406.81560000002</v>
      </c>
      <c r="AJ105" s="143">
        <f t="shared" si="20"/>
        <v>94366.481199999995</v>
      </c>
      <c r="AK105" s="143">
        <f t="shared" si="20"/>
        <v>85326.143200000006</v>
      </c>
      <c r="AL105" s="143">
        <f t="shared" si="20"/>
        <v>76285.805200000003</v>
      </c>
      <c r="AM105" s="143">
        <f t="shared" si="20"/>
        <v>67245.463600000003</v>
      </c>
      <c r="AN105" s="143">
        <f t="shared" si="20"/>
        <v>58205.129200000003</v>
      </c>
      <c r="AO105" s="143">
        <f t="shared" si="20"/>
        <v>49164.791200000007</v>
      </c>
      <c r="AP105" s="143">
        <f t="shared" si="20"/>
        <v>40124.449599999993</v>
      </c>
      <c r="AQ105" s="143">
        <f t="shared" si="20"/>
        <v>31084.1152</v>
      </c>
      <c r="AR105" s="143">
        <f t="shared" si="20"/>
        <v>22043.7772</v>
      </c>
      <c r="AS105" s="143">
        <f t="shared" si="20"/>
        <v>51127.036</v>
      </c>
      <c r="AT105" s="143">
        <f t="shared" si="20"/>
        <v>41805.142000000007</v>
      </c>
      <c r="AU105" s="143">
        <f t="shared" si="20"/>
        <v>23442.910000000003</v>
      </c>
      <c r="AV105" s="143">
        <f t="shared" si="20"/>
        <v>23161.350399999999</v>
      </c>
      <c r="AW105" s="143">
        <f t="shared" si="20"/>
        <v>22879.787200000002</v>
      </c>
      <c r="AX105" s="143">
        <f t="shared" si="20"/>
        <v>22598.231199999998</v>
      </c>
      <c r="AY105" s="143">
        <f t="shared" si="20"/>
        <v>22316.671600000001</v>
      </c>
      <c r="AZ105" s="143">
        <f t="shared" si="20"/>
        <v>22035.112000000001</v>
      </c>
      <c r="BA105" s="143">
        <f t="shared" si="20"/>
        <v>21753.5524</v>
      </c>
      <c r="BB105" s="143">
        <f t="shared" si="20"/>
        <v>21471.9928</v>
      </c>
      <c r="BC105" s="143">
        <f t="shared" si="20"/>
        <v>21190.433199999999</v>
      </c>
      <c r="BD105" s="143">
        <f t="shared" si="20"/>
        <v>20908.873599999999</v>
      </c>
      <c r="BE105" s="143">
        <f t="shared" si="20"/>
        <v>20627.313999999998</v>
      </c>
      <c r="BF105" s="143">
        <f t="shared" si="20"/>
        <v>20345.754399999998</v>
      </c>
      <c r="BG105" s="143">
        <f t="shared" si="20"/>
        <v>20064.198400000001</v>
      </c>
      <c r="BH105" s="143">
        <f t="shared" si="20"/>
        <v>39249.835200000001</v>
      </c>
      <c r="BI105" s="143">
        <f t="shared" si="20"/>
        <v>38968.275600000008</v>
      </c>
      <c r="BJ105" s="143">
        <f t="shared" si="20"/>
        <v>76810.316399999996</v>
      </c>
      <c r="BK105" s="143">
        <f t="shared" si="20"/>
        <v>0</v>
      </c>
      <c r="BL105" s="143">
        <f t="shared" si="20"/>
        <v>0</v>
      </c>
      <c r="BM105" s="143">
        <f t="shared" si="20"/>
        <v>0</v>
      </c>
      <c r="BN105" s="143">
        <f t="shared" si="20"/>
        <v>0</v>
      </c>
      <c r="BO105" s="143">
        <f t="shared" ref="BO105:CT105" si="21">MAX(0,BO104)*$B$95</f>
        <v>0</v>
      </c>
      <c r="BP105" s="143">
        <f t="shared" si="21"/>
        <v>0</v>
      </c>
      <c r="BQ105" s="143">
        <f t="shared" si="21"/>
        <v>0</v>
      </c>
      <c r="BR105" s="143">
        <f t="shared" si="21"/>
        <v>0</v>
      </c>
      <c r="BS105" s="143">
        <f t="shared" si="21"/>
        <v>0</v>
      </c>
      <c r="BT105" s="143">
        <f t="shared" si="21"/>
        <v>0</v>
      </c>
      <c r="BU105" s="143">
        <f t="shared" si="21"/>
        <v>0</v>
      </c>
      <c r="BV105" s="143">
        <f t="shared" si="21"/>
        <v>0</v>
      </c>
      <c r="BW105" s="143">
        <f t="shared" si="21"/>
        <v>0</v>
      </c>
      <c r="BX105" s="143">
        <f t="shared" si="21"/>
        <v>0</v>
      </c>
      <c r="BY105" s="143">
        <f t="shared" si="21"/>
        <v>0</v>
      </c>
      <c r="BZ105" s="143">
        <f t="shared" si="21"/>
        <v>0</v>
      </c>
      <c r="CA105" s="143">
        <f t="shared" si="21"/>
        <v>0</v>
      </c>
      <c r="CB105" s="143">
        <f t="shared" si="21"/>
        <v>0</v>
      </c>
      <c r="CC105" s="143">
        <f t="shared" si="21"/>
        <v>0</v>
      </c>
      <c r="CD105" s="143">
        <f t="shared" si="21"/>
        <v>0</v>
      </c>
      <c r="CE105" s="143">
        <f t="shared" si="21"/>
        <v>0</v>
      </c>
      <c r="CF105" s="143">
        <f t="shared" si="21"/>
        <v>0</v>
      </c>
      <c r="CG105" s="143">
        <f t="shared" si="21"/>
        <v>0</v>
      </c>
      <c r="CH105" s="143">
        <f t="shared" si="21"/>
        <v>0</v>
      </c>
    </row>
    <row r="106" spans="1:86" ht="15" customHeight="1" x14ac:dyDescent="0.25">
      <c r="A106" s="34" t="s">
        <v>571</v>
      </c>
      <c r="B106" s="141">
        <f t="shared" si="9"/>
        <v>3538583.0999999996</v>
      </c>
      <c r="C106" s="143">
        <f t="shared" ref="C106:AH106" si="22">C104-C105</f>
        <v>0</v>
      </c>
      <c r="D106" s="143">
        <f t="shared" si="22"/>
        <v>0</v>
      </c>
      <c r="E106" s="143">
        <f t="shared" si="22"/>
        <v>0</v>
      </c>
      <c r="F106" s="143">
        <f t="shared" si="22"/>
        <v>0</v>
      </c>
      <c r="G106" s="143">
        <f t="shared" si="22"/>
        <v>0</v>
      </c>
      <c r="H106" s="143">
        <f t="shared" si="22"/>
        <v>0</v>
      </c>
      <c r="I106" s="143">
        <f t="shared" si="22"/>
        <v>0</v>
      </c>
      <c r="J106" s="143">
        <f t="shared" si="22"/>
        <v>0</v>
      </c>
      <c r="K106" s="143">
        <f t="shared" si="22"/>
        <v>0</v>
      </c>
      <c r="L106" s="143">
        <f t="shared" si="22"/>
        <v>7626.7943999999998</v>
      </c>
      <c r="M106" s="143">
        <f t="shared" si="22"/>
        <v>7626.7943999999998</v>
      </c>
      <c r="N106" s="143">
        <f t="shared" si="22"/>
        <v>7626.7943999999998</v>
      </c>
      <c r="O106" s="143">
        <f t="shared" si="22"/>
        <v>7626.7943999999998</v>
      </c>
      <c r="P106" s="143">
        <f t="shared" si="22"/>
        <v>7626.7943999999998</v>
      </c>
      <c r="Q106" s="143">
        <f t="shared" si="22"/>
        <v>7626.7943999999998</v>
      </c>
      <c r="R106" s="143">
        <f t="shared" si="22"/>
        <v>9109.2408000000014</v>
      </c>
      <c r="S106" s="143">
        <f t="shared" si="22"/>
        <v>23092.087199999994</v>
      </c>
      <c r="T106" s="143">
        <f t="shared" si="22"/>
        <v>37074.933599999997</v>
      </c>
      <c r="U106" s="143">
        <f t="shared" si="22"/>
        <v>51057.774599999997</v>
      </c>
      <c r="V106" s="143">
        <f t="shared" si="22"/>
        <v>65040.626399999994</v>
      </c>
      <c r="W106" s="143">
        <f t="shared" si="22"/>
        <v>79023.467399999994</v>
      </c>
      <c r="X106" s="143">
        <f t="shared" si="22"/>
        <v>93006.308399999994</v>
      </c>
      <c r="Y106" s="143">
        <f t="shared" si="22"/>
        <v>106989.1548</v>
      </c>
      <c r="Z106" s="143">
        <f t="shared" si="22"/>
        <v>120972.00659999998</v>
      </c>
      <c r="AA106" s="143">
        <f t="shared" si="22"/>
        <v>134954.84759999998</v>
      </c>
      <c r="AB106" s="143">
        <f t="shared" si="22"/>
        <v>148937.69939999998</v>
      </c>
      <c r="AC106" s="143">
        <f t="shared" si="22"/>
        <v>187247.72940000001</v>
      </c>
      <c r="AD106" s="143">
        <f t="shared" si="22"/>
        <v>139015.68540000002</v>
      </c>
      <c r="AE106" s="143">
        <f t="shared" si="22"/>
        <v>139438.03019999998</v>
      </c>
      <c r="AF106" s="143">
        <f t="shared" si="22"/>
        <v>139860.36419999998</v>
      </c>
      <c r="AG106" s="143">
        <f t="shared" si="22"/>
        <v>140282.70360000001</v>
      </c>
      <c r="AH106" s="143">
        <f t="shared" si="22"/>
        <v>140705.03759999998</v>
      </c>
      <c r="AI106" s="143">
        <f t="shared" ref="AI106:BN106" si="23">AI104-AI105</f>
        <v>155110.22340000002</v>
      </c>
      <c r="AJ106" s="143">
        <f t="shared" si="23"/>
        <v>141549.7218</v>
      </c>
      <c r="AK106" s="143">
        <f t="shared" si="23"/>
        <v>127989.2148</v>
      </c>
      <c r="AL106" s="143">
        <f t="shared" si="23"/>
        <v>114428.7078</v>
      </c>
      <c r="AM106" s="143">
        <f t="shared" si="23"/>
        <v>100868.19540000001</v>
      </c>
      <c r="AN106" s="143">
        <f t="shared" si="23"/>
        <v>87307.693800000008</v>
      </c>
      <c r="AO106" s="143">
        <f t="shared" si="23"/>
        <v>73747.186799999996</v>
      </c>
      <c r="AP106" s="143">
        <f t="shared" si="23"/>
        <v>60186.674399999989</v>
      </c>
      <c r="AQ106" s="143">
        <f t="shared" si="23"/>
        <v>46626.1728</v>
      </c>
      <c r="AR106" s="143">
        <f t="shared" si="23"/>
        <v>33065.665800000002</v>
      </c>
      <c r="AS106" s="143">
        <f t="shared" si="23"/>
        <v>76690.554000000004</v>
      </c>
      <c r="AT106" s="143">
        <f t="shared" si="23"/>
        <v>62707.713000000003</v>
      </c>
      <c r="AU106" s="143">
        <f t="shared" si="23"/>
        <v>35164.364999999998</v>
      </c>
      <c r="AV106" s="143">
        <f t="shared" si="23"/>
        <v>34742.025599999994</v>
      </c>
      <c r="AW106" s="143">
        <f t="shared" si="23"/>
        <v>34319.680800000002</v>
      </c>
      <c r="AX106" s="143">
        <f t="shared" si="23"/>
        <v>33897.346799999999</v>
      </c>
      <c r="AY106" s="143">
        <f t="shared" si="23"/>
        <v>33475.007399999995</v>
      </c>
      <c r="AZ106" s="143">
        <f t="shared" si="23"/>
        <v>33052.667999999998</v>
      </c>
      <c r="BA106" s="143">
        <f t="shared" si="23"/>
        <v>32630.328599999993</v>
      </c>
      <c r="BB106" s="143">
        <f t="shared" si="23"/>
        <v>32207.989199999996</v>
      </c>
      <c r="BC106" s="143">
        <f t="shared" si="23"/>
        <v>31785.649799999999</v>
      </c>
      <c r="BD106" s="143">
        <f t="shared" si="23"/>
        <v>31363.310399999995</v>
      </c>
      <c r="BE106" s="143">
        <f t="shared" si="23"/>
        <v>30940.970999999998</v>
      </c>
      <c r="BF106" s="143">
        <f t="shared" si="23"/>
        <v>30518.631599999993</v>
      </c>
      <c r="BG106" s="143">
        <f t="shared" si="23"/>
        <v>30096.297599999998</v>
      </c>
      <c r="BH106" s="143">
        <f t="shared" si="23"/>
        <v>58874.752800000002</v>
      </c>
      <c r="BI106" s="143">
        <f t="shared" si="23"/>
        <v>58452.413400000005</v>
      </c>
      <c r="BJ106" s="143">
        <f t="shared" si="23"/>
        <v>115215.4746</v>
      </c>
      <c r="BK106" s="143">
        <f t="shared" si="23"/>
        <v>0</v>
      </c>
      <c r="BL106" s="143">
        <f t="shared" si="23"/>
        <v>0</v>
      </c>
      <c r="BM106" s="143">
        <f t="shared" si="23"/>
        <v>0</v>
      </c>
      <c r="BN106" s="143">
        <f t="shared" si="23"/>
        <v>0</v>
      </c>
      <c r="BO106" s="143">
        <f t="shared" ref="BO106:CT106" si="24">BO104-BO105</f>
        <v>0</v>
      </c>
      <c r="BP106" s="143">
        <f t="shared" si="24"/>
        <v>0</v>
      </c>
      <c r="BQ106" s="143">
        <f t="shared" si="24"/>
        <v>0</v>
      </c>
      <c r="BR106" s="143">
        <f t="shared" si="24"/>
        <v>0</v>
      </c>
      <c r="BS106" s="143">
        <f t="shared" si="24"/>
        <v>0</v>
      </c>
      <c r="BT106" s="143">
        <f t="shared" si="24"/>
        <v>0</v>
      </c>
      <c r="BU106" s="143">
        <f t="shared" si="24"/>
        <v>0</v>
      </c>
      <c r="BV106" s="143">
        <f t="shared" si="24"/>
        <v>0</v>
      </c>
      <c r="BW106" s="143">
        <f t="shared" si="24"/>
        <v>0</v>
      </c>
      <c r="BX106" s="143">
        <f t="shared" si="24"/>
        <v>0</v>
      </c>
      <c r="BY106" s="143">
        <f t="shared" si="24"/>
        <v>0</v>
      </c>
      <c r="BZ106" s="143">
        <f t="shared" si="24"/>
        <v>0</v>
      </c>
      <c r="CA106" s="143">
        <f t="shared" si="24"/>
        <v>0</v>
      </c>
      <c r="CB106" s="143">
        <f t="shared" si="24"/>
        <v>0</v>
      </c>
      <c r="CC106" s="143">
        <f t="shared" si="24"/>
        <v>0</v>
      </c>
      <c r="CD106" s="143">
        <f t="shared" si="24"/>
        <v>0</v>
      </c>
      <c r="CE106" s="143">
        <f t="shared" si="24"/>
        <v>0</v>
      </c>
      <c r="CF106" s="143">
        <f t="shared" si="24"/>
        <v>0</v>
      </c>
      <c r="CG106" s="143">
        <f t="shared" si="24"/>
        <v>0</v>
      </c>
      <c r="CH106" s="143">
        <f t="shared" si="24"/>
        <v>0</v>
      </c>
    </row>
    <row r="107" spans="1:86" ht="15" customHeight="1" x14ac:dyDescent="0.25">
      <c r="A107" s="34" t="s">
        <v>572</v>
      </c>
      <c r="B107" s="141">
        <f t="shared" si="9"/>
        <v>4439549.5999999996</v>
      </c>
      <c r="C107" s="143">
        <f t="shared" ref="C107:AH107" si="25">C103+C106</f>
        <v>0</v>
      </c>
      <c r="D107" s="143">
        <f t="shared" si="25"/>
        <v>0</v>
      </c>
      <c r="E107" s="143">
        <f t="shared" si="25"/>
        <v>0</v>
      </c>
      <c r="F107" s="143">
        <f t="shared" si="25"/>
        <v>0</v>
      </c>
      <c r="G107" s="143">
        <f t="shared" si="25"/>
        <v>0</v>
      </c>
      <c r="H107" s="143">
        <f t="shared" si="25"/>
        <v>0</v>
      </c>
      <c r="I107" s="143">
        <f t="shared" si="25"/>
        <v>0</v>
      </c>
      <c r="J107" s="143">
        <f t="shared" si="25"/>
        <v>0</v>
      </c>
      <c r="K107" s="143">
        <f t="shared" si="25"/>
        <v>0</v>
      </c>
      <c r="L107" s="143">
        <f t="shared" si="25"/>
        <v>12131.830399999999</v>
      </c>
      <c r="M107" s="143">
        <f t="shared" si="25"/>
        <v>12131.830399999999</v>
      </c>
      <c r="N107" s="143">
        <f t="shared" si="25"/>
        <v>12131.830399999999</v>
      </c>
      <c r="O107" s="143">
        <f t="shared" si="25"/>
        <v>12131.830399999999</v>
      </c>
      <c r="P107" s="143">
        <f t="shared" si="25"/>
        <v>12131.830399999999</v>
      </c>
      <c r="Q107" s="143">
        <f t="shared" si="25"/>
        <v>12131.830399999999</v>
      </c>
      <c r="R107" s="143">
        <f t="shared" si="25"/>
        <v>16203.692800000003</v>
      </c>
      <c r="S107" s="143">
        <f t="shared" si="25"/>
        <v>32775.955199999997</v>
      </c>
      <c r="T107" s="143">
        <f t="shared" si="25"/>
        <v>49348.217599999996</v>
      </c>
      <c r="U107" s="143">
        <f t="shared" si="25"/>
        <v>65920.473599999998</v>
      </c>
      <c r="V107" s="143">
        <f t="shared" si="25"/>
        <v>82492.742399999988</v>
      </c>
      <c r="W107" s="143">
        <f t="shared" si="25"/>
        <v>99064.998399999997</v>
      </c>
      <c r="X107" s="143">
        <f t="shared" si="25"/>
        <v>115637.25439999999</v>
      </c>
      <c r="Y107" s="143">
        <f t="shared" si="25"/>
        <v>132209.51680000001</v>
      </c>
      <c r="Z107" s="143">
        <f t="shared" si="25"/>
        <v>148781.78559999997</v>
      </c>
      <c r="AA107" s="143">
        <f t="shared" si="25"/>
        <v>165354.0416</v>
      </c>
      <c r="AB107" s="143">
        <f t="shared" si="25"/>
        <v>181926.31039999999</v>
      </c>
      <c r="AC107" s="143">
        <f t="shared" si="25"/>
        <v>227330.7904</v>
      </c>
      <c r="AD107" s="143">
        <f t="shared" si="25"/>
        <v>170166.88640000002</v>
      </c>
      <c r="AE107" s="143">
        <f t="shared" si="25"/>
        <v>170667.44319999998</v>
      </c>
      <c r="AF107" s="143">
        <f t="shared" si="25"/>
        <v>171167.98719999997</v>
      </c>
      <c r="AG107" s="143">
        <f t="shared" si="25"/>
        <v>171668.53760000001</v>
      </c>
      <c r="AH107" s="143">
        <f t="shared" si="25"/>
        <v>172169.08159999998</v>
      </c>
      <c r="AI107" s="143">
        <f t="shared" ref="AI107:BN107" si="26">AI103+AI106</f>
        <v>189241.89440000002</v>
      </c>
      <c r="AJ107" s="143">
        <f t="shared" si="26"/>
        <v>173170.1888</v>
      </c>
      <c r="AK107" s="143">
        <f t="shared" si="26"/>
        <v>157098.4768</v>
      </c>
      <c r="AL107" s="143">
        <f t="shared" si="26"/>
        <v>141026.7648</v>
      </c>
      <c r="AM107" s="143">
        <f t="shared" si="26"/>
        <v>124955.04640000002</v>
      </c>
      <c r="AN107" s="143">
        <f t="shared" si="26"/>
        <v>108883.34080000001</v>
      </c>
      <c r="AO107" s="143">
        <f t="shared" si="26"/>
        <v>92811.628800000006</v>
      </c>
      <c r="AP107" s="143">
        <f t="shared" si="26"/>
        <v>76739.910399999993</v>
      </c>
      <c r="AQ107" s="143">
        <f t="shared" si="26"/>
        <v>60668.2048</v>
      </c>
      <c r="AR107" s="143">
        <f t="shared" si="26"/>
        <v>44596.492800000007</v>
      </c>
      <c r="AS107" s="143">
        <f t="shared" si="26"/>
        <v>96300.064000000013</v>
      </c>
      <c r="AT107" s="143">
        <f t="shared" si="26"/>
        <v>79727.808000000005</v>
      </c>
      <c r="AU107" s="143">
        <f t="shared" si="26"/>
        <v>47083.839999999997</v>
      </c>
      <c r="AV107" s="143">
        <f t="shared" si="26"/>
        <v>46583.289599999996</v>
      </c>
      <c r="AW107" s="143">
        <f t="shared" si="26"/>
        <v>46082.732800000005</v>
      </c>
      <c r="AX107" s="143">
        <f t="shared" si="26"/>
        <v>45582.188800000004</v>
      </c>
      <c r="AY107" s="143">
        <f t="shared" si="26"/>
        <v>45081.638399999996</v>
      </c>
      <c r="AZ107" s="143">
        <f t="shared" si="26"/>
        <v>44581.087999999996</v>
      </c>
      <c r="BA107" s="143">
        <f t="shared" si="26"/>
        <v>44080.537599999996</v>
      </c>
      <c r="BB107" s="143">
        <f t="shared" si="26"/>
        <v>43579.987199999996</v>
      </c>
      <c r="BC107" s="143">
        <f t="shared" si="26"/>
        <v>43079.436799999996</v>
      </c>
      <c r="BD107" s="143">
        <f t="shared" si="26"/>
        <v>42578.886399999996</v>
      </c>
      <c r="BE107" s="143">
        <f t="shared" si="26"/>
        <v>42078.335999999996</v>
      </c>
      <c r="BF107" s="143">
        <f t="shared" si="26"/>
        <v>41577.785599999996</v>
      </c>
      <c r="BG107" s="143">
        <f t="shared" si="26"/>
        <v>41077.241600000001</v>
      </c>
      <c r="BH107" s="143">
        <f t="shared" si="26"/>
        <v>69777.484800000006</v>
      </c>
      <c r="BI107" s="143">
        <f t="shared" si="26"/>
        <v>69276.934399999998</v>
      </c>
      <c r="BJ107" s="143">
        <f t="shared" si="26"/>
        <v>136551.67360000001</v>
      </c>
      <c r="BK107" s="143">
        <f t="shared" si="26"/>
        <v>0</v>
      </c>
      <c r="BL107" s="143">
        <f t="shared" si="26"/>
        <v>0</v>
      </c>
      <c r="BM107" s="143">
        <f t="shared" si="26"/>
        <v>0</v>
      </c>
      <c r="BN107" s="143">
        <f t="shared" si="26"/>
        <v>0</v>
      </c>
      <c r="BO107" s="143">
        <f t="shared" ref="BO107:CT107" si="27">BO103+BO106</f>
        <v>0</v>
      </c>
      <c r="BP107" s="143">
        <f t="shared" si="27"/>
        <v>0</v>
      </c>
      <c r="BQ107" s="143">
        <f t="shared" si="27"/>
        <v>0</v>
      </c>
      <c r="BR107" s="143">
        <f t="shared" si="27"/>
        <v>0</v>
      </c>
      <c r="BS107" s="143">
        <f t="shared" si="27"/>
        <v>0</v>
      </c>
      <c r="BT107" s="143">
        <f t="shared" si="27"/>
        <v>0</v>
      </c>
      <c r="BU107" s="143">
        <f t="shared" si="27"/>
        <v>0</v>
      </c>
      <c r="BV107" s="143">
        <f t="shared" si="27"/>
        <v>0</v>
      </c>
      <c r="BW107" s="143">
        <f t="shared" si="27"/>
        <v>0</v>
      </c>
      <c r="BX107" s="143">
        <f t="shared" si="27"/>
        <v>0</v>
      </c>
      <c r="BY107" s="143">
        <f t="shared" si="27"/>
        <v>0</v>
      </c>
      <c r="BZ107" s="143">
        <f t="shared" si="27"/>
        <v>0</v>
      </c>
      <c r="CA107" s="143">
        <f t="shared" si="27"/>
        <v>0</v>
      </c>
      <c r="CB107" s="143">
        <f t="shared" si="27"/>
        <v>0</v>
      </c>
      <c r="CC107" s="143">
        <f t="shared" si="27"/>
        <v>0</v>
      </c>
      <c r="CD107" s="143">
        <f t="shared" si="27"/>
        <v>0</v>
      </c>
      <c r="CE107" s="143">
        <f t="shared" si="27"/>
        <v>0</v>
      </c>
      <c r="CF107" s="143">
        <f t="shared" si="27"/>
        <v>0</v>
      </c>
      <c r="CG107" s="143">
        <f t="shared" si="27"/>
        <v>0</v>
      </c>
      <c r="CH107" s="143">
        <f t="shared" si="27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6.149999999999999" customHeight="1" x14ac:dyDescent="0.3">
      <c r="A1" s="144" t="s">
        <v>676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89"/>
      <c r="AU1" s="89"/>
      <c r="AV1" s="89"/>
      <c r="AW1" s="89"/>
      <c r="AX1" s="89"/>
      <c r="AY1" s="89"/>
      <c r="AZ1" s="89"/>
      <c r="BA1" s="89"/>
      <c r="BB1" s="89"/>
      <c r="BC1" s="89"/>
      <c r="BD1" s="89"/>
      <c r="BE1" s="89"/>
      <c r="BF1" s="89"/>
      <c r="BG1" s="89"/>
      <c r="BH1" s="89"/>
      <c r="BI1" s="89"/>
      <c r="BJ1" s="89"/>
      <c r="BK1" s="89"/>
      <c r="BL1" s="89"/>
      <c r="BM1" s="89"/>
      <c r="BN1" s="89"/>
      <c r="BO1" s="89"/>
      <c r="BP1" s="89"/>
      <c r="BQ1" s="89"/>
      <c r="BR1" s="89"/>
      <c r="BS1" s="89"/>
      <c r="BT1" s="89"/>
      <c r="BU1" s="89"/>
      <c r="BV1" s="89"/>
      <c r="BW1" s="89"/>
      <c r="BX1" s="89"/>
      <c r="BY1" s="89"/>
      <c r="BZ1" s="89"/>
      <c r="CA1" s="89"/>
      <c r="CB1" s="89"/>
      <c r="CC1" s="89"/>
      <c r="CD1" s="89"/>
      <c r="CE1" s="89"/>
      <c r="CF1" s="89"/>
      <c r="CG1" s="89"/>
      <c r="CH1" s="89"/>
    </row>
    <row r="2" spans="1:86" ht="15" customHeight="1" x14ac:dyDescent="0.25">
      <c r="A2" s="89"/>
      <c r="B2" s="89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  <c r="CE2" s="145"/>
      <c r="CF2" s="145"/>
      <c r="CG2" s="145"/>
      <c r="CH2" s="145"/>
    </row>
    <row r="3" spans="1:86" ht="15" customHeight="1" x14ac:dyDescent="0.25">
      <c r="A3" s="146"/>
      <c r="B3" s="147" t="s">
        <v>677</v>
      </c>
      <c r="C3" s="147" t="s">
        <v>678</v>
      </c>
      <c r="D3" s="147" t="s">
        <v>679</v>
      </c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89"/>
      <c r="BD3" s="89"/>
      <c r="BE3" s="89"/>
      <c r="BF3" s="89"/>
      <c r="BG3" s="89"/>
      <c r="BH3" s="89"/>
      <c r="BI3" s="89"/>
      <c r="BJ3" s="89"/>
      <c r="BK3" s="89"/>
      <c r="BL3" s="89"/>
      <c r="BM3" s="89"/>
      <c r="BN3" s="89"/>
      <c r="BO3" s="89"/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C3" s="89"/>
      <c r="CD3" s="89"/>
      <c r="CE3" s="89"/>
      <c r="CF3" s="89"/>
      <c r="CG3" s="89"/>
      <c r="CH3" s="89"/>
    </row>
    <row r="4" spans="1:86" ht="15" customHeight="1" x14ac:dyDescent="0.25">
      <c r="A4" s="89"/>
      <c r="B4" s="45"/>
      <c r="C4" s="45"/>
      <c r="D4" s="45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  <c r="BG4" s="89"/>
      <c r="BH4" s="89"/>
      <c r="BI4" s="89"/>
      <c r="BJ4" s="89"/>
      <c r="BK4" s="89"/>
      <c r="BL4" s="89"/>
      <c r="BM4" s="89"/>
      <c r="BN4" s="89"/>
      <c r="BO4" s="89"/>
      <c r="BP4" s="89"/>
      <c r="BQ4" s="89"/>
      <c r="BR4" s="89"/>
      <c r="BS4" s="89"/>
      <c r="BT4" s="89"/>
      <c r="BU4" s="89"/>
      <c r="BV4" s="89"/>
      <c r="BW4" s="89"/>
      <c r="BX4" s="89"/>
      <c r="BY4" s="89"/>
      <c r="BZ4" s="89"/>
      <c r="CA4" s="89"/>
      <c r="CB4" s="89"/>
      <c r="CC4" s="89"/>
      <c r="CD4" s="89"/>
      <c r="CE4" s="89"/>
      <c r="CF4" s="89"/>
      <c r="CG4" s="89"/>
      <c r="CH4" s="89"/>
    </row>
    <row r="5" spans="1:86" ht="15" customHeight="1" x14ac:dyDescent="0.25">
      <c r="A5" s="148" t="s">
        <v>107</v>
      </c>
      <c r="B5" s="149"/>
      <c r="C5" s="149"/>
      <c r="D5" s="149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</row>
    <row r="6" spans="1:86" ht="15" customHeight="1" x14ac:dyDescent="0.25">
      <c r="A6" s="150" t="s">
        <v>680</v>
      </c>
      <c r="B6" s="151">
        <f>SUM(Model!C59:CH59)</f>
        <v>1063981</v>
      </c>
      <c r="C6" s="151">
        <f>Helpers!B47</f>
        <v>1912475</v>
      </c>
      <c r="D6" s="151">
        <f>B6+C6</f>
        <v>2976456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G6" s="45"/>
      <c r="CH6" s="45"/>
    </row>
    <row r="7" spans="1:86" ht="15" customHeight="1" x14ac:dyDescent="0.25">
      <c r="A7" s="89" t="s">
        <v>681</v>
      </c>
      <c r="B7" s="45">
        <f>-Projects!$B$7*Assumptions!$B$47</f>
        <v>-429684.47999999998</v>
      </c>
      <c r="C7" s="45">
        <v>0</v>
      </c>
      <c r="D7" s="45">
        <f>B7+C7</f>
        <v>-429684.47999999998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G7" s="45"/>
      <c r="CH7" s="45"/>
    </row>
    <row r="8" spans="1:86" ht="15" customHeight="1" x14ac:dyDescent="0.25">
      <c r="A8" s="150" t="s">
        <v>682</v>
      </c>
      <c r="B8" s="151">
        <f>-Assumptions!$B$53*Assumptions!$B$48</f>
        <v>-150000</v>
      </c>
      <c r="C8" s="151">
        <v>0</v>
      </c>
      <c r="D8" s="151">
        <f>B8+C8</f>
        <v>-150000</v>
      </c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</row>
    <row r="9" spans="1:86" ht="15" customHeight="1" x14ac:dyDescent="0.25">
      <c r="A9" s="89" t="s">
        <v>549</v>
      </c>
      <c r="B9" s="45">
        <v>0</v>
      </c>
      <c r="C9" s="45">
        <v>0</v>
      </c>
      <c r="D9" s="45">
        <f>B9+C9</f>
        <v>0</v>
      </c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</row>
    <row r="10" spans="1:86" ht="15" customHeight="1" x14ac:dyDescent="0.25">
      <c r="A10" s="120" t="s">
        <v>683</v>
      </c>
      <c r="B10" s="123">
        <f>SUM(B6:B9)</f>
        <v>484296.52</v>
      </c>
      <c r="C10" s="123">
        <f>SUM(C6:C9)</f>
        <v>1912475</v>
      </c>
      <c r="D10" s="123">
        <f>SUM(D6:D9)</f>
        <v>2396771.52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</row>
    <row r="11" spans="1:86" ht="15" customHeight="1" x14ac:dyDescent="0.25">
      <c r="A11" s="152"/>
      <c r="B11" s="153"/>
      <c r="C11" s="153"/>
      <c r="D11" s="153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</row>
    <row r="12" spans="1:86" ht="15" customHeight="1" x14ac:dyDescent="0.25">
      <c r="A12" s="91" t="s">
        <v>684</v>
      </c>
      <c r="B12" s="91"/>
      <c r="C12" s="154"/>
      <c r="D12" s="154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</row>
    <row r="13" spans="1:86" ht="15" customHeight="1" x14ac:dyDescent="0.25">
      <c r="A13" s="150" t="s">
        <v>680</v>
      </c>
      <c r="B13" s="151">
        <f>SUM(Model!C61:CH61)</f>
        <v>292621</v>
      </c>
      <c r="C13" s="151">
        <f>Helpers!B48</f>
        <v>2633580</v>
      </c>
      <c r="D13" s="151">
        <f>B13+C13</f>
        <v>2926201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</row>
    <row r="14" spans="1:86" ht="15" customHeight="1" x14ac:dyDescent="0.25">
      <c r="A14" s="155" t="s">
        <v>681</v>
      </c>
      <c r="B14" s="156">
        <f>-Projects!$B$14*Assumptions!$B$47</f>
        <v>-413546.32</v>
      </c>
      <c r="C14" s="156">
        <v>0</v>
      </c>
      <c r="D14" s="156">
        <f>B14+C14</f>
        <v>-413546.32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  <c r="CD14" s="45"/>
      <c r="CE14" s="45"/>
      <c r="CF14" s="45"/>
      <c r="CG14" s="45"/>
      <c r="CH14" s="45"/>
    </row>
    <row r="15" spans="1:86" ht="15" customHeight="1" x14ac:dyDescent="0.25">
      <c r="A15" s="150" t="s">
        <v>682</v>
      </c>
      <c r="B15" s="151">
        <f>-Assumptions!$B$55*Assumptions!$B$48</f>
        <v>-150000</v>
      </c>
      <c r="C15" s="151">
        <v>0</v>
      </c>
      <c r="D15" s="151">
        <f>B15+C15</f>
        <v>-150000</v>
      </c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89"/>
      <c r="AX15" s="89"/>
      <c r="AY15" s="89"/>
      <c r="AZ15" s="89"/>
      <c r="BA15" s="89"/>
      <c r="BB15" s="89"/>
      <c r="BC15" s="89"/>
      <c r="BD15" s="89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89"/>
      <c r="BQ15" s="89"/>
      <c r="BR15" s="89"/>
      <c r="BS15" s="89"/>
      <c r="BT15" s="89"/>
      <c r="BU15" s="89"/>
      <c r="BV15" s="89"/>
      <c r="BW15" s="89"/>
      <c r="BX15" s="89"/>
      <c r="BY15" s="89"/>
      <c r="BZ15" s="89"/>
      <c r="CA15" s="89"/>
      <c r="CB15" s="89"/>
      <c r="CC15" s="89"/>
      <c r="CD15" s="89"/>
      <c r="CE15" s="89"/>
      <c r="CF15" s="89"/>
      <c r="CG15" s="89"/>
      <c r="CH15" s="89"/>
    </row>
    <row r="16" spans="1:86" ht="15" customHeight="1" x14ac:dyDescent="0.25">
      <c r="A16" s="155" t="s">
        <v>549</v>
      </c>
      <c r="B16" s="156">
        <f>-SUM(Model!C121:CH121)</f>
        <v>-603840.54700517165</v>
      </c>
      <c r="C16" s="156">
        <f>-Helpers!F93</f>
        <v>-240125.88120644525</v>
      </c>
      <c r="D16" s="156">
        <f>B16+C16</f>
        <v>-843966.42821161693</v>
      </c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89"/>
      <c r="BQ16" s="89"/>
      <c r="BR16" s="89"/>
      <c r="BS16" s="89"/>
      <c r="BT16" s="89"/>
      <c r="BU16" s="89"/>
      <c r="BV16" s="89"/>
      <c r="BW16" s="89"/>
      <c r="BX16" s="89"/>
      <c r="BY16" s="89"/>
      <c r="BZ16" s="89"/>
      <c r="CA16" s="89"/>
      <c r="CB16" s="89"/>
      <c r="CC16" s="89"/>
      <c r="CD16" s="89"/>
      <c r="CE16" s="89"/>
      <c r="CF16" s="89"/>
      <c r="CG16" s="89"/>
      <c r="CH16" s="89"/>
    </row>
    <row r="17" spans="1:86" ht="15" customHeight="1" x14ac:dyDescent="0.25">
      <c r="A17" s="4" t="s">
        <v>683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</row>
    <row r="18" spans="1:86" ht="15" customHeight="1" x14ac:dyDescent="0.25">
      <c r="A18" s="157"/>
      <c r="B18" s="158"/>
      <c r="C18" s="158"/>
      <c r="D18" s="158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</row>
    <row r="19" spans="1:86" ht="15" customHeight="1" x14ac:dyDescent="0.25">
      <c r="A19" s="159" t="s">
        <v>112</v>
      </c>
      <c r="B19" s="160"/>
      <c r="C19" s="160"/>
      <c r="D19" s="160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</row>
    <row r="20" spans="1:86" ht="15" customHeight="1" x14ac:dyDescent="0.25">
      <c r="A20" s="161" t="s">
        <v>680</v>
      </c>
      <c r="B20" s="162">
        <f>SUM(Model!C60:CH60)</f>
        <v>1681289</v>
      </c>
      <c r="C20" s="162">
        <f>Helpers!B49</f>
        <v>2278136</v>
      </c>
      <c r="D20" s="162">
        <f>B20+C20</f>
        <v>3959425</v>
      </c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89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89"/>
      <c r="BQ20" s="89"/>
      <c r="BR20" s="89"/>
      <c r="BS20" s="89"/>
      <c r="BT20" s="89"/>
      <c r="BU20" s="89"/>
      <c r="BV20" s="89"/>
      <c r="BW20" s="89"/>
      <c r="BX20" s="89"/>
      <c r="BY20" s="89"/>
      <c r="BZ20" s="89"/>
      <c r="CA20" s="89"/>
      <c r="CB20" s="89"/>
      <c r="CC20" s="89"/>
      <c r="CD20" s="89"/>
      <c r="CE20" s="89"/>
      <c r="CF20" s="89"/>
      <c r="CG20" s="89"/>
      <c r="CH20" s="89"/>
    </row>
    <row r="21" spans="1:86" ht="15" customHeight="1" x14ac:dyDescent="0.25">
      <c r="A21" s="163" t="s">
        <v>681</v>
      </c>
      <c r="B21" s="164">
        <f>-Projects!$B$13*Assumptions!$B$47</f>
        <v>-452667.7</v>
      </c>
      <c r="C21" s="164">
        <v>0</v>
      </c>
      <c r="D21" s="164">
        <f>B21+C21</f>
        <v>-452667.7</v>
      </c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  <c r="BR21" s="89"/>
      <c r="BS21" s="89"/>
      <c r="BT21" s="89"/>
      <c r="BU21" s="89"/>
      <c r="BV21" s="89"/>
      <c r="BW21" s="89"/>
      <c r="BX21" s="89"/>
      <c r="BY21" s="89"/>
      <c r="BZ21" s="89"/>
      <c r="CA21" s="89"/>
      <c r="CB21" s="89"/>
      <c r="CC21" s="89"/>
      <c r="CD21" s="89"/>
      <c r="CE21" s="89"/>
      <c r="CF21" s="89"/>
      <c r="CG21" s="89"/>
      <c r="CH21" s="89"/>
    </row>
    <row r="22" spans="1:86" ht="15" customHeight="1" x14ac:dyDescent="0.25">
      <c r="A22" s="161" t="s">
        <v>682</v>
      </c>
      <c r="B22" s="162">
        <f>-Assumptions!$B$54*Assumptions!$B$48</f>
        <v>-150000</v>
      </c>
      <c r="C22" s="162">
        <v>0</v>
      </c>
      <c r="D22" s="162">
        <f>B22+C22</f>
        <v>-150000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</row>
    <row r="23" spans="1:86" ht="15" customHeight="1" x14ac:dyDescent="0.25">
      <c r="A23" s="89" t="s">
        <v>549</v>
      </c>
      <c r="B23" s="45">
        <f>-SUM(Model!C126:CH126)</f>
        <v>-738013.27339352097</v>
      </c>
      <c r="C23" s="45">
        <v>0</v>
      </c>
      <c r="D23" s="45">
        <f>B23+C23</f>
        <v>-738013.27339352097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</row>
    <row r="24" spans="1:86" ht="15" customHeight="1" x14ac:dyDescent="0.25">
      <c r="A24" s="125" t="s">
        <v>683</v>
      </c>
      <c r="B24" s="127">
        <f>SUM(B20:B23)</f>
        <v>340608.02660647908</v>
      </c>
      <c r="C24" s="127">
        <f>SUM(C20:C23)</f>
        <v>2278136</v>
      </c>
      <c r="D24" s="127">
        <f>SUM(D20:D23)</f>
        <v>2618744.0266064787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</row>
    <row r="25" spans="1:86" ht="15" customHeight="1" x14ac:dyDescent="0.25">
      <c r="A25" s="108"/>
      <c r="B25" s="165"/>
      <c r="C25" s="165"/>
      <c r="D25" s="16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  <c r="CD25" s="45"/>
      <c r="CE25" s="45"/>
      <c r="CF25" s="45"/>
      <c r="CG25" s="45"/>
      <c r="CH25" s="45"/>
    </row>
    <row r="26" spans="1:86" ht="15" customHeight="1" x14ac:dyDescent="0.25">
      <c r="A26" s="166" t="s">
        <v>685</v>
      </c>
      <c r="B26" s="167"/>
      <c r="C26" s="167"/>
      <c r="D26" s="167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  <c r="CD26" s="45"/>
      <c r="CE26" s="45"/>
      <c r="CF26" s="45"/>
      <c r="CG26" s="45"/>
      <c r="CH26" s="45"/>
    </row>
    <row r="27" spans="1:86" ht="15" customHeight="1" x14ac:dyDescent="0.25">
      <c r="A27" s="168" t="s">
        <v>686</v>
      </c>
      <c r="B27" s="169">
        <f t="shared" ref="B27:D31" si="0">B6+B13+B20</f>
        <v>3037891</v>
      </c>
      <c r="C27" s="169">
        <f t="shared" si="0"/>
        <v>6824191</v>
      </c>
      <c r="D27" s="169">
        <f t="shared" si="0"/>
        <v>9862082</v>
      </c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89"/>
      <c r="AY27" s="89"/>
      <c r="AZ27" s="89"/>
      <c r="BA27" s="89"/>
      <c r="BB27" s="89"/>
      <c r="BC27" s="89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89"/>
      <c r="BQ27" s="89"/>
      <c r="BR27" s="89"/>
      <c r="BS27" s="89"/>
      <c r="BT27" s="89"/>
      <c r="BU27" s="89"/>
      <c r="BV27" s="89"/>
      <c r="BW27" s="89"/>
      <c r="BX27" s="89"/>
      <c r="BY27" s="89"/>
      <c r="BZ27" s="89"/>
      <c r="CA27" s="89"/>
      <c r="CB27" s="89"/>
      <c r="CC27" s="89"/>
      <c r="CD27" s="89"/>
      <c r="CE27" s="89"/>
      <c r="CF27" s="89"/>
      <c r="CG27" s="89"/>
      <c r="CH27" s="89"/>
    </row>
    <row r="28" spans="1:86" ht="15" customHeight="1" x14ac:dyDescent="0.25">
      <c r="A28" s="89" t="s">
        <v>687</v>
      </c>
      <c r="B28" s="45">
        <f t="shared" si="0"/>
        <v>-1295898.5</v>
      </c>
      <c r="C28" s="45">
        <f t="shared" si="0"/>
        <v>0</v>
      </c>
      <c r="D28" s="45">
        <f t="shared" si="0"/>
        <v>-1295898.5</v>
      </c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89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89"/>
      <c r="BQ28" s="89"/>
      <c r="BR28" s="89"/>
      <c r="BS28" s="89"/>
      <c r="BT28" s="89"/>
      <c r="BU28" s="89"/>
      <c r="BV28" s="89"/>
      <c r="BW28" s="89"/>
      <c r="BX28" s="89"/>
      <c r="BY28" s="89"/>
      <c r="BZ28" s="89"/>
      <c r="CA28" s="89"/>
      <c r="CB28" s="89"/>
      <c r="CC28" s="89"/>
      <c r="CD28" s="89"/>
      <c r="CE28" s="89"/>
      <c r="CF28" s="89"/>
      <c r="CG28" s="89"/>
      <c r="CH28" s="89"/>
    </row>
    <row r="29" spans="1:86" ht="15" customHeight="1" x14ac:dyDescent="0.25">
      <c r="A29" s="170" t="s">
        <v>688</v>
      </c>
      <c r="B29" s="171">
        <f t="shared" si="0"/>
        <v>-450000</v>
      </c>
      <c r="C29" s="171">
        <f t="shared" si="0"/>
        <v>0</v>
      </c>
      <c r="D29" s="171">
        <f t="shared" si="0"/>
        <v>-450000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  <c r="CD29" s="45"/>
      <c r="CE29" s="45"/>
      <c r="CF29" s="45"/>
      <c r="CG29" s="45"/>
      <c r="CH29" s="45"/>
    </row>
    <row r="30" spans="1:86" ht="15" customHeight="1" x14ac:dyDescent="0.25">
      <c r="A30" s="172" t="s">
        <v>689</v>
      </c>
      <c r="B30" s="173">
        <f t="shared" si="0"/>
        <v>-1341853.8203986925</v>
      </c>
      <c r="C30" s="173">
        <f t="shared" si="0"/>
        <v>-240125.88120644525</v>
      </c>
      <c r="D30" s="173">
        <f t="shared" si="0"/>
        <v>-1581979.7016051379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  <c r="CD30" s="45"/>
      <c r="CE30" s="45"/>
      <c r="CF30" s="45"/>
      <c r="CG30" s="45"/>
      <c r="CH30" s="45"/>
    </row>
    <row r="31" spans="1:86" ht="15" customHeight="1" x14ac:dyDescent="0.25">
      <c r="A31" s="4" t="s">
        <v>690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  <c r="CD31" s="45"/>
      <c r="CE31" s="45"/>
      <c r="CF31" s="45"/>
      <c r="CG31" s="45"/>
      <c r="CH31" s="45"/>
    </row>
    <row r="32" spans="1:86" ht="15" customHeight="1" x14ac:dyDescent="0.25">
      <c r="A32" s="174"/>
      <c r="B32" s="175"/>
      <c r="C32" s="175"/>
      <c r="D32" s="175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89"/>
      <c r="BX32" s="89"/>
      <c r="BY32" s="89"/>
      <c r="BZ32" s="89"/>
      <c r="CA32" s="89"/>
      <c r="CB32" s="89"/>
      <c r="CC32" s="89"/>
      <c r="CD32" s="89"/>
      <c r="CE32" s="89"/>
      <c r="CF32" s="89"/>
      <c r="CG32" s="89"/>
      <c r="CH32" s="89"/>
    </row>
    <row r="33" spans="1:86" ht="15" customHeight="1" x14ac:dyDescent="0.25">
      <c r="A33" s="108"/>
      <c r="B33" s="165"/>
      <c r="C33" s="165"/>
      <c r="D33" s="16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  <c r="CD33" s="45"/>
      <c r="CE33" s="45"/>
      <c r="CF33" s="45"/>
      <c r="CG33" s="45"/>
      <c r="CH33" s="45"/>
    </row>
    <row r="34" spans="1:86" ht="15" customHeight="1" x14ac:dyDescent="0.25">
      <c r="A34" s="174"/>
      <c r="B34" s="175"/>
      <c r="C34" s="175"/>
      <c r="D34" s="175"/>
    </row>
    <row r="35" spans="1:86" ht="15" customHeight="1" x14ac:dyDescent="0.25">
      <c r="A35" s="152"/>
      <c r="B35" s="153"/>
      <c r="C35" s="153"/>
      <c r="D35" s="153"/>
    </row>
    <row r="37" spans="1:86" ht="15" customHeight="1" x14ac:dyDescent="0.25">
      <c r="A37" s="176"/>
    </row>
    <row r="38" spans="1:86" ht="15" customHeight="1" x14ac:dyDescent="0.25">
      <c r="A38" s="177"/>
    </row>
    <row r="39" spans="1:86" ht="15" customHeight="1" x14ac:dyDescent="0.25">
      <c r="A39" s="177"/>
    </row>
    <row r="40" spans="1:86" ht="15" customHeight="1" x14ac:dyDescent="0.25">
      <c r="A40" s="177" t="s">
        <v>691</v>
      </c>
    </row>
    <row r="41" spans="1:86" ht="15" customHeight="1" x14ac:dyDescent="0.25">
      <c r="A41" s="177" t="s">
        <v>692</v>
      </c>
    </row>
    <row r="42" spans="1:86" ht="15" customHeight="1" x14ac:dyDescent="0.25">
      <c r="A42" s="177" t="s">
        <v>693</v>
      </c>
    </row>
    <row r="43" spans="1:86" ht="15" customHeight="1" x14ac:dyDescent="0.25">
      <c r="A43" s="177" t="s">
        <v>694</v>
      </c>
    </row>
    <row r="44" spans="1:86" ht="15" customHeight="1" x14ac:dyDescent="0.25">
      <c r="A44" s="177" t="s">
        <v>695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2026-03-31T10:53:06Z</dcterms:modified>
  <dc:language>en-US</dc:language>
</cp:coreProperties>
</file>