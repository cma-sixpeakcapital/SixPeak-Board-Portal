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<sst xmlns="http://schemas.openxmlformats.org/spreadsheetml/2006/main" count="1212" uniqueCount="706">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</sst>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3682035.49760552</v>
      </c>
      <c r="D5" s="10" t="n">
        <f aca="false">Model!X8+Model!Y8+Model!Z8+Model!AA8+Model!AB8+Model!AC8+Model!AD8+Model!AE8+Model!AF8+Model!AG8+Model!AH8+Model!AI8</f>
        <v>3104814.05531656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4155089.10846587</v>
      </c>
      <c r="D6" s="10" t="n">
        <f aca="false">Model!X9+Model!Y9+Model!Z9+Model!AA9+Model!AB9+Model!AC9+Model!AD9+Model!AE9+Model!AF9+Model!AG9+Model!AH9+Model!AI9</f>
        <v>2580433.04679308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1126834.58149351</v>
      </c>
      <c r="D7" s="10" t="n">
        <f aca="false">Model!X10+Model!Y10+Model!Z10+Model!AA10+Model!AB10+Model!AC10+Model!AD10+Model!AE10+Model!AF10+Model!AG10+Model!AH10+Model!AI10</f>
        <v>1034938.01843885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9642960.73756489</v>
      </c>
      <c r="D9" s="12" t="n">
        <f aca="false">Model!X12+Model!Y12+Model!Z12+Model!AA12+Model!AB12+Model!AC12+Model!AD12+Model!AE12+Model!AF12+Model!AG12+Model!AH12+Model!AI12</f>
        <v>7340504.60054849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10" t="n">
        <f aca="false">Model!CF16+Model!CF17+Model!CG16+Model!CG17+Model!CH16+Model!CH17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-4068226.8442</v>
      </c>
      <c r="C15" s="12" t="n">
        <f aca="false">Model!L39+Model!M39+Model!N39+Model!O39+Model!P39+Model!Q39+Model!R39+Model!S39+Model!T39+Model!U39+Model!V39+Model!W39</f>
        <v>-6143885.2157</v>
      </c>
      <c r="D15" s="12" t="n">
        <f aca="false">Model!X39+Model!Y39+Model!Z39+Model!AA39+Model!AB39+Model!AC39+Model!AD39+Model!AE39+Model!AF39+Model!AG39+Model!AH39+Model!AI39</f>
        <v>-6048457.194514</v>
      </c>
      <c r="E15" s="12" t="n">
        <f aca="false">Model!AJ39+Model!AK39+Model!AL39+Model!AM39+Model!AN39+Model!AO39+Model!AP39+Model!AQ39+Model!AR39+Model!AS39+Model!AT39+Model!AU39</f>
        <v>-4736782.44760428</v>
      </c>
      <c r="F15" s="12" t="n">
        <f aca="false">Model!AV39+Model!AW39+Model!AX39+Model!AY39+Model!AZ39+Model!BA39+Model!BB39+Model!BC39+Model!BD39+Model!BE39+Model!BF39+Model!BG39</f>
        <v>-4769780.25655637</v>
      </c>
      <c r="G15" s="12" t="n">
        <f aca="false">Model!BH39+Model!BI39+Model!BJ39+Model!BK39+Model!BL39+Model!BM39+Model!BN39+Model!BO39+Model!BP39+Model!BQ39+Model!BR39+Model!BS39</f>
        <v>-4803438.0216875</v>
      </c>
      <c r="H15" s="12" t="n">
        <f aca="false">Model!BT39+Model!BU39+Model!BV39+Model!BW39+Model!BX39+Model!BY39+Model!BZ39+Model!CA39+Model!CB39+Model!CC39+Model!CD39+Model!CE39</f>
        <v>-4837768.94212125</v>
      </c>
      <c r="I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2376128.6951103</v>
      </c>
      <c r="C16" s="16" t="n">
        <f aca="false">Model!L41+Model!M41+Model!N41+Model!O41+Model!P41+Model!Q41+Model!R41+Model!S41+Model!T41+Model!U41+Model!V41+Model!W41</f>
        <v>3499075.52186489</v>
      </c>
      <c r="D16" s="16" t="n">
        <f aca="false">Model!X41+Model!Y41+Model!Z41+Model!AA41+Model!AB41+Model!AC41+Model!AD41+Model!AE41+Model!AF41+Model!AG41+Model!AH41+Model!AI41</f>
        <v>1292047.40603449</v>
      </c>
      <c r="E16" s="16" t="n">
        <f aca="false">Model!AJ41+Model!AK41+Model!AL41+Model!AM41+Model!AN41+Model!AO41+Model!AP41+Model!AQ41+Model!AR41+Model!AS41+Model!AT41+Model!AU41</f>
        <v>-911771.100516892</v>
      </c>
      <c r="F16" s="16" t="n">
        <f aca="false">Model!AV41+Model!AW41+Model!AX41+Model!AY41+Model!AZ41+Model!BA41+Model!BB41+Model!BC41+Model!BD41+Model!BE41+Model!BF41+Model!BG41</f>
        <v>-2985975.94282639</v>
      </c>
      <c r="G16" s="16" t="n">
        <f aca="false">Model!BH41+Model!BI41+Model!BJ41+Model!BK41+Model!BL41+Model!BM41+Model!BN41+Model!BO41+Model!BP41+Model!BQ41+Model!BR41+Model!BS41</f>
        <v>-4803438.0216875</v>
      </c>
      <c r="H16" s="16" t="n">
        <f aca="false">Model!BT41+Model!BU41+Model!BV41+Model!BW41+Model!BX41+Model!BY41+Model!BZ41+Model!CA41+Model!CB41+Model!CC41+Model!CD41+Model!CE41</f>
        <v>-4837768.94212125</v>
      </c>
      <c r="I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0.368714711752947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0.362863192860879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0.176016156428531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-0.23837082240584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-1.67393694467677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733409.5624</v>
      </c>
      <c r="D19" s="19" t="n">
        <f aca="false">Model!X64+Model!Y64+Model!Z64+Model!AA64+Model!AB64+Model!AC64+Model!AD64+Model!AE64+Model!AF64+Model!AG64+Model!AH64+Model!AI64</f>
        <v>2216571.5296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-1095331.25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-724883.35</v>
      </c>
      <c r="C21" s="16" t="n">
        <f aca="false">Model!L87+Model!M87+Model!N87+Model!O87+Model!P87+Model!Q87+Model!R87+Model!S87+Model!T87+Model!U87+Model!V87+Model!W87</f>
        <v>-734272.0626</v>
      </c>
      <c r="D21" s="16" t="n">
        <f aca="false">Model!X87+Model!Y87+Model!Z87+Model!AA87+Model!AB87+Model!AC87+Model!AD87+Model!AE87+Model!AF87+Model!AG87+Model!AH87+Model!AI87</f>
        <v>719536.2721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2764803.45926489</v>
      </c>
      <c r="D23" s="16" t="n">
        <f aca="false">Model!X96+Model!Y96+Model!Z96+Model!AA96+Model!AB96+Model!AC96+Model!AD96+Model!AE96+Model!AF96+Model!AG96+Model!AH96+Model!AI96</f>
        <v>2011583.67813449</v>
      </c>
      <c r="E23" s="16" t="n">
        <f aca="false">Model!AJ96+Model!AK96+Model!AL96+Model!AM96+Model!AN96+Model!AO96+Model!AP96+Model!AQ96+Model!AR96+Model!AS96+Model!AT96+Model!AU96</f>
        <v>-1235685.29676689</v>
      </c>
      <c r="F23" s="16" t="n">
        <f aca="false">Model!AV96+Model!AW96+Model!AX96+Model!AY96+Model!AZ96+Model!BA96+Model!BB96+Model!BC96+Model!BD96+Model!BE96+Model!BF96+Model!BG96</f>
        <v>-4017528.27592939</v>
      </c>
      <c r="G23" s="16" t="n">
        <f aca="false">Model!BH96+Model!BI96+Model!BJ96+Model!BK96+Model!BL96+Model!BM96+Model!BN96+Model!BO96+Model!BP96+Model!BQ96+Model!BR96+Model!BS96</f>
        <v>-5997222.20042856</v>
      </c>
      <c r="H23" s="16" t="n">
        <f aca="false">Model!BT96+Model!BU96+Model!BV96+Model!BW96+Model!BX96+Model!BY96+Model!BZ96+Model!CA96+Model!CB96+Model!CC96+Model!CD96+Model!CE96</f>
        <v>-6169686.04949312</v>
      </c>
      <c r="I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4028044.3851103</v>
      </c>
      <c r="C42" s="21" t="n">
        <f aca="false">Model!W148</f>
        <v>7527119.9069752</v>
      </c>
      <c r="D42" s="21" t="n">
        <f aca="false">Model!AI148</f>
        <v>8819167.31300969</v>
      </c>
      <c r="E42" s="21" t="n">
        <f aca="false">Model!AU148</f>
        <v>7907396.2124928</v>
      </c>
      <c r="F42" s="21" t="n">
        <f aca="false">Model!BG148</f>
        <v>4921420.2696664</v>
      </c>
      <c r="G42" s="21" t="n">
        <f aca="false">Model!BS148</f>
        <v>117982.24797891</v>
      </c>
      <c r="H42" s="21" t="n">
        <f aca="false">Model!CE148</f>
        <v>-4719786.69414233</v>
      </c>
      <c r="I42" s="21" t="n">
        <f aca="false">Model!CH148</f>
        <v>-5931385.18206442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-663252.19</v>
      </c>
      <c r="C43" s="21" t="n">
        <f aca="false">Model!W156</f>
        <v>-3143493.49588545</v>
      </c>
      <c r="D43" s="21" t="n">
        <f aca="false">Model!AI156</f>
        <v>-2673957.22378545</v>
      </c>
      <c r="E43" s="21" t="n">
        <f aca="false">Model!AU156</f>
        <v>-3247871.42003545</v>
      </c>
      <c r="F43" s="21" t="n">
        <f aca="false">Model!BG156</f>
        <v>-4279423.75313845</v>
      </c>
      <c r="G43" s="21" t="n">
        <f aca="false">Model!BS156</f>
        <v>-5473207.9318795</v>
      </c>
      <c r="H43" s="21" t="n">
        <f aca="false">Model!CE156</f>
        <v>-6805125.03925138</v>
      </c>
      <c r="I43" s="21" t="n">
        <f aca="false">Model!CH156</f>
        <v>-7116674.59396085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-829441.037779468</v>
      </c>
      <c r="E44" s="21" t="n">
        <f aca="false">Model!AJ160+Model!AK160+Model!AL160+Model!AM160+Model!AN160+Model!AO160+Model!AP160+Model!AQ160+Model!AR160+Model!AS160+Model!AT160+Model!AU160</f>
        <v>-603475.103440348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4383626.41108975</v>
      </c>
      <c r="D45" s="23" t="n">
        <f aca="false">Model!AI161</f>
        <v>6145210.08922424</v>
      </c>
      <c r="E45" s="23" t="n">
        <f aca="false">Model!AU161</f>
        <v>4659524.79245735</v>
      </c>
      <c r="F45" s="23" t="n">
        <f aca="false">Model!BG161</f>
        <v>641996.516527959</v>
      </c>
      <c r="G45" s="23" t="n">
        <f aca="false">Model!BS161</f>
        <v>-5355225.68390059</v>
      </c>
      <c r="H45" s="23" t="n">
        <f aca="false">Model!CE161</f>
        <v>-11524911.7333937</v>
      </c>
      <c r="I45" s="23" t="n">
        <f aca="false">Model!CH161</f>
        <v>-13048059.7760253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344065.846611201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246933.518486201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246933.518486201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259183.518486201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234683.518486201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234683.518486201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234683.518486201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234683.518486201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234683.518486201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392924.376004927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322505.132514363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322333.896698099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327584.04608833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305191.798328669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294169.222881599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280428.890004526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264764.132006082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247950.018062847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97546.3082454004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78227.8394954004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78227.8394954004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78227.8394954004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78227.8394954004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78227.8394954004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78227.8394954004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78227.8394954004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78227.8394954004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834536.530861529</v>
      </c>
      <c r="S12" s="12" t="n">
        <f aca="false">S8+S9+S10+S11</f>
        <v>647666.490495964</v>
      </c>
      <c r="T12" s="12" t="n">
        <f aca="false">T8+T9+T10+T11</f>
        <v>647495.254679701</v>
      </c>
      <c r="U12" s="12" t="n">
        <f aca="false">U8+U9+U10+U11</f>
        <v>664995.404069931</v>
      </c>
      <c r="V12" s="12" t="n">
        <f aca="false">V8+V9+V10+V11</f>
        <v>618103.156310271</v>
      </c>
      <c r="W12" s="12" t="n">
        <f aca="false">W8+W9+W10+W11</f>
        <v>607080.580863201</v>
      </c>
      <c r="X12" s="12" t="n">
        <f aca="false">X8+X9+X10+X11</f>
        <v>593340.247986128</v>
      </c>
      <c r="Y12" s="12" t="n">
        <f aca="false">Y8+Y9+Y10+Y11</f>
        <v>577675.489987684</v>
      </c>
      <c r="Z12" s="12" t="n">
        <f aca="false">Z8+Z9+Z10+Z11</f>
        <v>560861.376044448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-18664.5074</v>
      </c>
      <c r="Y19" s="10" t="n">
        <f aca="false">-Helpers!Y4*Assumptions!$B$20</f>
        <v>-18664.5074</v>
      </c>
      <c r="Z19" s="10" t="n">
        <f aca="false">-Helpers!Z4*Assumptions!$B$20</f>
        <v>-18664.5074</v>
      </c>
      <c r="AA19" s="10" t="n">
        <f aca="false">-Helpers!AA4*Assumptions!$B$20</f>
        <v>-19037.797548</v>
      </c>
      <c r="AB19" s="10" t="n">
        <f aca="false">-Helpers!AB4*Assumptions!$B$20</f>
        <v>-19037.797548</v>
      </c>
      <c r="AC19" s="10" t="n">
        <f aca="false">-Helpers!AC4*Assumptions!$B$20</f>
        <v>-19037.797548</v>
      </c>
      <c r="AD19" s="10" t="n">
        <f aca="false">-Helpers!AD4*Assumptions!$B$20</f>
        <v>-19037.797548</v>
      </c>
      <c r="AE19" s="10" t="n">
        <f aca="false">-Helpers!AE4*Assumptions!$B$20</f>
        <v>-19037.797548</v>
      </c>
      <c r="AF19" s="10" t="n">
        <f aca="false">-Helpers!AF4*Assumptions!$B$20</f>
        <v>-19037.797548</v>
      </c>
      <c r="AG19" s="10" t="n">
        <f aca="false">-Helpers!AG4*Assumptions!$B$20</f>
        <v>-19037.797548</v>
      </c>
      <c r="AH19" s="10" t="n">
        <f aca="false">-Helpers!AH4*Assumptions!$B$20</f>
        <v>-19037.797548</v>
      </c>
      <c r="AI19" s="10" t="n">
        <f aca="false">-Helpers!AI4*Assumptions!$B$20</f>
        <v>-19037.797548</v>
      </c>
      <c r="AJ19" s="10" t="n">
        <f aca="false">-Helpers!AJ4*Assumptions!$B$20</f>
        <v>-19037.797548</v>
      </c>
      <c r="AK19" s="10" t="n">
        <f aca="false">-Helpers!AK4*Assumptions!$B$20</f>
        <v>-19037.797548</v>
      </c>
      <c r="AL19" s="10" t="n">
        <f aca="false">-Helpers!AL4*Assumptions!$B$20</f>
        <v>-19037.797548</v>
      </c>
      <c r="AM19" s="10" t="n">
        <f aca="false">-Helpers!AM4*Assumptions!$B$20</f>
        <v>-19418.55349896</v>
      </c>
      <c r="AN19" s="10" t="n">
        <f aca="false">-Helpers!AN4*Assumptions!$B$20</f>
        <v>-19418.55349896</v>
      </c>
      <c r="AO19" s="10" t="n">
        <f aca="false">-Helpers!AO4*Assumptions!$B$20</f>
        <v>-19418.55349896</v>
      </c>
      <c r="AP19" s="10" t="n">
        <f aca="false">-Helpers!AP4*Assumptions!$B$20</f>
        <v>-19418.55349896</v>
      </c>
      <c r="AQ19" s="10" t="n">
        <f aca="false">-Helpers!AQ4*Assumptions!$B$20</f>
        <v>-19418.55349896</v>
      </c>
      <c r="AR19" s="10" t="n">
        <f aca="false">-Helpers!AR4*Assumptions!$B$20</f>
        <v>-19418.55349896</v>
      </c>
      <c r="AS19" s="10" t="n">
        <f aca="false">-Helpers!AS4*Assumptions!$B$20</f>
        <v>-19418.55349896</v>
      </c>
      <c r="AT19" s="10" t="n">
        <f aca="false">-Helpers!AT4*Assumptions!$B$20</f>
        <v>-19418.55349896</v>
      </c>
      <c r="AU19" s="10" t="n">
        <f aca="false">-Helpers!AU4*Assumptions!$B$20</f>
        <v>-19418.55349896</v>
      </c>
      <c r="AV19" s="10" t="n">
        <f aca="false">-Helpers!AV4*Assumptions!$B$20</f>
        <v>-19418.55349896</v>
      </c>
      <c r="AW19" s="10" t="n">
        <f aca="false">-Helpers!AW4*Assumptions!$B$20</f>
        <v>-19418.55349896</v>
      </c>
      <c r="AX19" s="10" t="n">
        <f aca="false">-Helpers!AX4*Assumptions!$B$20</f>
        <v>-19418.55349896</v>
      </c>
      <c r="AY19" s="10" t="n">
        <f aca="false">-Helpers!AY4*Assumptions!$B$20</f>
        <v>-19806.9245689392</v>
      </c>
      <c r="AZ19" s="10" t="n">
        <f aca="false">-Helpers!AZ4*Assumptions!$B$20</f>
        <v>-19806.9245689392</v>
      </c>
      <c r="BA19" s="10" t="n">
        <f aca="false">-Helpers!BA4*Assumptions!$B$20</f>
        <v>-19806.9245689392</v>
      </c>
      <c r="BB19" s="10" t="n">
        <f aca="false">-Helpers!BB4*Assumptions!$B$20</f>
        <v>-19806.9245689392</v>
      </c>
      <c r="BC19" s="10" t="n">
        <f aca="false">-Helpers!BC4*Assumptions!$B$20</f>
        <v>-19806.9245689392</v>
      </c>
      <c r="BD19" s="10" t="n">
        <f aca="false">-Helpers!BD4*Assumptions!$B$20</f>
        <v>-19806.9245689392</v>
      </c>
      <c r="BE19" s="10" t="n">
        <f aca="false">-Helpers!BE4*Assumptions!$B$20</f>
        <v>-19806.9245689392</v>
      </c>
      <c r="BF19" s="10" t="n">
        <f aca="false">-Helpers!BF4*Assumptions!$B$20</f>
        <v>-19806.9245689392</v>
      </c>
      <c r="BG19" s="10" t="n">
        <f aca="false">-Helpers!BG4*Assumptions!$B$20</f>
        <v>-19806.9245689392</v>
      </c>
      <c r="BH19" s="10" t="n">
        <f aca="false">-Helpers!BH4*Assumptions!$B$20</f>
        <v>-19806.9245689392</v>
      </c>
      <c r="BI19" s="10" t="n">
        <f aca="false">-Helpers!BI4*Assumptions!$B$20</f>
        <v>-19806.9245689392</v>
      </c>
      <c r="BJ19" s="10" t="n">
        <f aca="false">-Helpers!BJ4*Assumptions!$B$20</f>
        <v>-19806.9245689392</v>
      </c>
      <c r="BK19" s="10" t="n">
        <f aca="false">-Helpers!BK4*Assumptions!$B$20</f>
        <v>-20203.063060318</v>
      </c>
      <c r="BL19" s="10" t="n">
        <f aca="false">-Helpers!BL4*Assumptions!$B$20</f>
        <v>-20203.063060318</v>
      </c>
      <c r="BM19" s="10" t="n">
        <f aca="false">-Helpers!BM4*Assumptions!$B$20</f>
        <v>-20203.063060318</v>
      </c>
      <c r="BN19" s="10" t="n">
        <f aca="false">-Helpers!BN4*Assumptions!$B$20</f>
        <v>-20203.063060318</v>
      </c>
      <c r="BO19" s="10" t="n">
        <f aca="false">-Helpers!BO4*Assumptions!$B$20</f>
        <v>-20203.063060318</v>
      </c>
      <c r="BP19" s="10" t="n">
        <f aca="false">-Helpers!BP4*Assumptions!$B$20</f>
        <v>-20203.063060318</v>
      </c>
      <c r="BQ19" s="10" t="n">
        <f aca="false">-Helpers!BQ4*Assumptions!$B$20</f>
        <v>-20203.063060318</v>
      </c>
      <c r="BR19" s="10" t="n">
        <f aca="false">-Helpers!BR4*Assumptions!$B$20</f>
        <v>-20203.063060318</v>
      </c>
      <c r="BS19" s="10" t="n">
        <f aca="false">-Helpers!BS4*Assumptions!$B$20</f>
        <v>-20203.063060318</v>
      </c>
      <c r="BT19" s="10" t="n">
        <f aca="false">-Helpers!BT4*Assumptions!$B$20</f>
        <v>-20203.063060318</v>
      </c>
      <c r="BU19" s="10" t="n">
        <f aca="false">-Helpers!BU4*Assumptions!$B$20</f>
        <v>-20203.063060318</v>
      </c>
      <c r="BV19" s="10" t="n">
        <f aca="false">-Helpers!BV4*Assumptions!$B$20</f>
        <v>-20203.063060318</v>
      </c>
      <c r="BW19" s="10" t="n">
        <f aca="false">-Helpers!BW4*Assumptions!$B$20</f>
        <v>-20607.1243215244</v>
      </c>
      <c r="BX19" s="10" t="n">
        <f aca="false">-Helpers!BX4*Assumptions!$B$20</f>
        <v>-20607.1243215244</v>
      </c>
      <c r="BY19" s="10" t="n">
        <f aca="false">-Helpers!BY4*Assumptions!$B$20</f>
        <v>-20607.1243215244</v>
      </c>
      <c r="BZ19" s="10" t="n">
        <f aca="false">-Helpers!BZ4*Assumptions!$B$20</f>
        <v>-20607.1243215244</v>
      </c>
      <c r="CA19" s="10" t="n">
        <f aca="false">-Helpers!CA4*Assumptions!$B$20</f>
        <v>-20607.1243215244</v>
      </c>
      <c r="CB19" s="10" t="n">
        <f aca="false">-Helpers!CB4*Assumptions!$B$20</f>
        <v>-20607.1243215244</v>
      </c>
      <c r="CC19" s="10" t="n">
        <f aca="false">-Helpers!CC4*Assumptions!$B$20</f>
        <v>-20607.1243215244</v>
      </c>
      <c r="CD19" s="10" t="n">
        <f aca="false">-Helpers!CD4*Assumptions!$B$20</f>
        <v>-20607.1243215244</v>
      </c>
      <c r="CE19" s="10" t="n">
        <f aca="false">-Helpers!CE4*Assumptions!$B$20</f>
        <v>-20607.1243215244</v>
      </c>
      <c r="CF19" s="10" t="n">
        <f aca="false">-Helpers!CF4*Assumptions!$B$20</f>
        <v>-20607.1243215244</v>
      </c>
      <c r="CG19" s="10" t="n">
        <f aca="false">-Helpers!CG4*Assumptions!$B$20</f>
        <v>-20607.1243215244</v>
      </c>
      <c r="CH19" s="10" t="n">
        <f aca="false">-Helpers!CH4*Assumptions!$B$20</f>
        <v>-20607.1243215244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-1333.1791</v>
      </c>
      <c r="Y20" s="10" t="n">
        <f aca="false">-Helpers!Y4*Assumptions!$B$21</f>
        <v>-1333.1791</v>
      </c>
      <c r="Z20" s="10" t="n">
        <f aca="false">-Helpers!Z4*Assumptions!$B$21</f>
        <v>-1333.1791</v>
      </c>
      <c r="AA20" s="10" t="n">
        <f aca="false">-Helpers!AA4*Assumptions!$B$21</f>
        <v>-1359.842682</v>
      </c>
      <c r="AB20" s="10" t="n">
        <f aca="false">-Helpers!AB4*Assumptions!$B$21</f>
        <v>-1359.842682</v>
      </c>
      <c r="AC20" s="10" t="n">
        <f aca="false">-Helpers!AC4*Assumptions!$B$21</f>
        <v>-1359.842682</v>
      </c>
      <c r="AD20" s="10" t="n">
        <f aca="false">-Helpers!AD4*Assumptions!$B$21</f>
        <v>-1359.842682</v>
      </c>
      <c r="AE20" s="10" t="n">
        <f aca="false">-Helpers!AE4*Assumptions!$B$21</f>
        <v>-1359.842682</v>
      </c>
      <c r="AF20" s="10" t="n">
        <f aca="false">-Helpers!AF4*Assumptions!$B$21</f>
        <v>-1359.842682</v>
      </c>
      <c r="AG20" s="10" t="n">
        <f aca="false">-Helpers!AG4*Assumptions!$B$21</f>
        <v>-1359.842682</v>
      </c>
      <c r="AH20" s="10" t="n">
        <f aca="false">-Helpers!AH4*Assumptions!$B$21</f>
        <v>-1359.842682</v>
      </c>
      <c r="AI20" s="10" t="n">
        <f aca="false">-Helpers!AI4*Assumptions!$B$21</f>
        <v>-1359.842682</v>
      </c>
      <c r="AJ20" s="10" t="n">
        <f aca="false">-Helpers!AJ4*Assumptions!$B$21</f>
        <v>-1359.842682</v>
      </c>
      <c r="AK20" s="10" t="n">
        <f aca="false">-Helpers!AK4*Assumptions!$B$21</f>
        <v>-1359.842682</v>
      </c>
      <c r="AL20" s="10" t="n">
        <f aca="false">-Helpers!AL4*Assumptions!$B$21</f>
        <v>-1359.842682</v>
      </c>
      <c r="AM20" s="10" t="n">
        <f aca="false">-Helpers!AM4*Assumptions!$B$21</f>
        <v>-1387.03953564</v>
      </c>
      <c r="AN20" s="10" t="n">
        <f aca="false">-Helpers!AN4*Assumptions!$B$21</f>
        <v>-1387.03953564</v>
      </c>
      <c r="AO20" s="10" t="n">
        <f aca="false">-Helpers!AO4*Assumptions!$B$21</f>
        <v>-1387.03953564</v>
      </c>
      <c r="AP20" s="10" t="n">
        <f aca="false">-Helpers!AP4*Assumptions!$B$21</f>
        <v>-1387.03953564</v>
      </c>
      <c r="AQ20" s="10" t="n">
        <f aca="false">-Helpers!AQ4*Assumptions!$B$21</f>
        <v>-1387.03953564</v>
      </c>
      <c r="AR20" s="10" t="n">
        <f aca="false">-Helpers!AR4*Assumptions!$B$21</f>
        <v>-1387.03953564</v>
      </c>
      <c r="AS20" s="10" t="n">
        <f aca="false">-Helpers!AS4*Assumptions!$B$21</f>
        <v>-1387.03953564</v>
      </c>
      <c r="AT20" s="10" t="n">
        <f aca="false">-Helpers!AT4*Assumptions!$B$21</f>
        <v>-1387.03953564</v>
      </c>
      <c r="AU20" s="10" t="n">
        <f aca="false">-Helpers!AU4*Assumptions!$B$21</f>
        <v>-1387.03953564</v>
      </c>
      <c r="AV20" s="10" t="n">
        <f aca="false">-Helpers!AV4*Assumptions!$B$21</f>
        <v>-1387.03953564</v>
      </c>
      <c r="AW20" s="10" t="n">
        <f aca="false">-Helpers!AW4*Assumptions!$B$21</f>
        <v>-1387.03953564</v>
      </c>
      <c r="AX20" s="10" t="n">
        <f aca="false">-Helpers!AX4*Assumptions!$B$21</f>
        <v>-1387.03953564</v>
      </c>
      <c r="AY20" s="10" t="n">
        <f aca="false">-Helpers!AY4*Assumptions!$B$21</f>
        <v>-1414.7803263528</v>
      </c>
      <c r="AZ20" s="10" t="n">
        <f aca="false">-Helpers!AZ4*Assumptions!$B$21</f>
        <v>-1414.7803263528</v>
      </c>
      <c r="BA20" s="10" t="n">
        <f aca="false">-Helpers!BA4*Assumptions!$B$21</f>
        <v>-1414.7803263528</v>
      </c>
      <c r="BB20" s="10" t="n">
        <f aca="false">-Helpers!BB4*Assumptions!$B$21</f>
        <v>-1414.7803263528</v>
      </c>
      <c r="BC20" s="10" t="n">
        <f aca="false">-Helpers!BC4*Assumptions!$B$21</f>
        <v>-1414.7803263528</v>
      </c>
      <c r="BD20" s="10" t="n">
        <f aca="false">-Helpers!BD4*Assumptions!$B$21</f>
        <v>-1414.7803263528</v>
      </c>
      <c r="BE20" s="10" t="n">
        <f aca="false">-Helpers!BE4*Assumptions!$B$21</f>
        <v>-1414.7803263528</v>
      </c>
      <c r="BF20" s="10" t="n">
        <f aca="false">-Helpers!BF4*Assumptions!$B$21</f>
        <v>-1414.7803263528</v>
      </c>
      <c r="BG20" s="10" t="n">
        <f aca="false">-Helpers!BG4*Assumptions!$B$21</f>
        <v>-1414.7803263528</v>
      </c>
      <c r="BH20" s="10" t="n">
        <f aca="false">-Helpers!BH4*Assumptions!$B$21</f>
        <v>-1414.7803263528</v>
      </c>
      <c r="BI20" s="10" t="n">
        <f aca="false">-Helpers!BI4*Assumptions!$B$21</f>
        <v>-1414.7803263528</v>
      </c>
      <c r="BJ20" s="10" t="n">
        <f aca="false">-Helpers!BJ4*Assumptions!$B$21</f>
        <v>-1414.7803263528</v>
      </c>
      <c r="BK20" s="10" t="n">
        <f aca="false">-Helpers!BK4*Assumptions!$B$21</f>
        <v>-1443.07593287986</v>
      </c>
      <c r="BL20" s="10" t="n">
        <f aca="false">-Helpers!BL4*Assumptions!$B$21</f>
        <v>-1443.07593287986</v>
      </c>
      <c r="BM20" s="10" t="n">
        <f aca="false">-Helpers!BM4*Assumptions!$B$21</f>
        <v>-1443.07593287986</v>
      </c>
      <c r="BN20" s="10" t="n">
        <f aca="false">-Helpers!BN4*Assumptions!$B$21</f>
        <v>-1443.07593287986</v>
      </c>
      <c r="BO20" s="10" t="n">
        <f aca="false">-Helpers!BO4*Assumptions!$B$21</f>
        <v>-1443.07593287986</v>
      </c>
      <c r="BP20" s="10" t="n">
        <f aca="false">-Helpers!BP4*Assumptions!$B$21</f>
        <v>-1443.07593287986</v>
      </c>
      <c r="BQ20" s="10" t="n">
        <f aca="false">-Helpers!BQ4*Assumptions!$B$21</f>
        <v>-1443.07593287986</v>
      </c>
      <c r="BR20" s="10" t="n">
        <f aca="false">-Helpers!BR4*Assumptions!$B$21</f>
        <v>-1443.07593287986</v>
      </c>
      <c r="BS20" s="10" t="n">
        <f aca="false">-Helpers!BS4*Assumptions!$B$21</f>
        <v>-1443.07593287986</v>
      </c>
      <c r="BT20" s="10" t="n">
        <f aca="false">-Helpers!BT4*Assumptions!$B$21</f>
        <v>-1443.07593287986</v>
      </c>
      <c r="BU20" s="10" t="n">
        <f aca="false">-Helpers!BU4*Assumptions!$B$21</f>
        <v>-1443.07593287986</v>
      </c>
      <c r="BV20" s="10" t="n">
        <f aca="false">-Helpers!BV4*Assumptions!$B$21</f>
        <v>-1443.07593287986</v>
      </c>
      <c r="BW20" s="10" t="n">
        <f aca="false">-Helpers!BW4*Assumptions!$B$21</f>
        <v>-1471.93745153745</v>
      </c>
      <c r="BX20" s="10" t="n">
        <f aca="false">-Helpers!BX4*Assumptions!$B$21</f>
        <v>-1471.93745153745</v>
      </c>
      <c r="BY20" s="10" t="n">
        <f aca="false">-Helpers!BY4*Assumptions!$B$21</f>
        <v>-1471.93745153745</v>
      </c>
      <c r="BZ20" s="10" t="n">
        <f aca="false">-Helpers!BZ4*Assumptions!$B$21</f>
        <v>-1471.93745153745</v>
      </c>
      <c r="CA20" s="10" t="n">
        <f aca="false">-Helpers!CA4*Assumptions!$B$21</f>
        <v>-1471.93745153745</v>
      </c>
      <c r="CB20" s="10" t="n">
        <f aca="false">-Helpers!CB4*Assumptions!$B$21</f>
        <v>-1471.93745153745</v>
      </c>
      <c r="CC20" s="10" t="n">
        <f aca="false">-Helpers!CC4*Assumptions!$B$21</f>
        <v>-1471.93745153745</v>
      </c>
      <c r="CD20" s="10" t="n">
        <f aca="false">-Helpers!CD4*Assumptions!$B$21</f>
        <v>-1471.93745153745</v>
      </c>
      <c r="CE20" s="10" t="n">
        <f aca="false">-Helpers!CE4*Assumptions!$B$21</f>
        <v>-1471.93745153745</v>
      </c>
      <c r="CF20" s="10" t="n">
        <f aca="false">-Helpers!CF4*Assumptions!$B$21</f>
        <v>-1471.93745153745</v>
      </c>
      <c r="CG20" s="10" t="n">
        <f aca="false">-Helpers!CG4*Assumptions!$B$21</f>
        <v>-1471.93745153745</v>
      </c>
      <c r="CH20" s="10" t="n">
        <f aca="false">-Helpers!CH4*Assumptions!$B$21</f>
        <v>-1471.93745153745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-18664.5074</v>
      </c>
      <c r="Y21" s="10" t="n">
        <f aca="false">-Helpers!Y4*Assumptions!$B$22</f>
        <v>-18664.5074</v>
      </c>
      <c r="Z21" s="10" t="n">
        <f aca="false">-Helpers!Z4*Assumptions!$B$22</f>
        <v>-18664.5074</v>
      </c>
      <c r="AA21" s="10" t="n">
        <f aca="false">-Helpers!AA4*Assumptions!$B$22</f>
        <v>-19037.797548</v>
      </c>
      <c r="AB21" s="10" t="n">
        <f aca="false">-Helpers!AB4*Assumptions!$B$22</f>
        <v>-19037.797548</v>
      </c>
      <c r="AC21" s="10" t="n">
        <f aca="false">-Helpers!AC4*Assumptions!$B$22</f>
        <v>-19037.797548</v>
      </c>
      <c r="AD21" s="10" t="n">
        <f aca="false">-Helpers!AD4*Assumptions!$B$22</f>
        <v>-19037.797548</v>
      </c>
      <c r="AE21" s="10" t="n">
        <f aca="false">-Helpers!AE4*Assumptions!$B$22</f>
        <v>-19037.797548</v>
      </c>
      <c r="AF21" s="10" t="n">
        <f aca="false">-Helpers!AF4*Assumptions!$B$22</f>
        <v>-19037.797548</v>
      </c>
      <c r="AG21" s="10" t="n">
        <f aca="false">-Helpers!AG4*Assumptions!$B$22</f>
        <v>-19037.797548</v>
      </c>
      <c r="AH21" s="10" t="n">
        <f aca="false">-Helpers!AH4*Assumptions!$B$22</f>
        <v>-19037.797548</v>
      </c>
      <c r="AI21" s="10" t="n">
        <f aca="false">-Helpers!AI4*Assumptions!$B$22</f>
        <v>-19037.797548</v>
      </c>
      <c r="AJ21" s="10" t="n">
        <f aca="false">-Helpers!AJ4*Assumptions!$B$22</f>
        <v>-19037.797548</v>
      </c>
      <c r="AK21" s="10" t="n">
        <f aca="false">-Helpers!AK4*Assumptions!$B$22</f>
        <v>-19037.797548</v>
      </c>
      <c r="AL21" s="10" t="n">
        <f aca="false">-Helpers!AL4*Assumptions!$B$22</f>
        <v>-19037.797548</v>
      </c>
      <c r="AM21" s="10" t="n">
        <f aca="false">-Helpers!AM4*Assumptions!$B$22</f>
        <v>-19418.55349896</v>
      </c>
      <c r="AN21" s="10" t="n">
        <f aca="false">-Helpers!AN4*Assumptions!$B$22</f>
        <v>-19418.55349896</v>
      </c>
      <c r="AO21" s="10" t="n">
        <f aca="false">-Helpers!AO4*Assumptions!$B$22</f>
        <v>-19418.55349896</v>
      </c>
      <c r="AP21" s="10" t="n">
        <f aca="false">-Helpers!AP4*Assumptions!$B$22</f>
        <v>-19418.55349896</v>
      </c>
      <c r="AQ21" s="10" t="n">
        <f aca="false">-Helpers!AQ4*Assumptions!$B$22</f>
        <v>-19418.55349896</v>
      </c>
      <c r="AR21" s="10" t="n">
        <f aca="false">-Helpers!AR4*Assumptions!$B$22</f>
        <v>-19418.55349896</v>
      </c>
      <c r="AS21" s="10" t="n">
        <f aca="false">-Helpers!AS4*Assumptions!$B$22</f>
        <v>-19418.55349896</v>
      </c>
      <c r="AT21" s="10" t="n">
        <f aca="false">-Helpers!AT4*Assumptions!$B$22</f>
        <v>-19418.55349896</v>
      </c>
      <c r="AU21" s="10" t="n">
        <f aca="false">-Helpers!AU4*Assumptions!$B$22</f>
        <v>-19418.55349896</v>
      </c>
      <c r="AV21" s="10" t="n">
        <f aca="false">-Helpers!AV4*Assumptions!$B$22</f>
        <v>-19418.55349896</v>
      </c>
      <c r="AW21" s="10" t="n">
        <f aca="false">-Helpers!AW4*Assumptions!$B$22</f>
        <v>-19418.55349896</v>
      </c>
      <c r="AX21" s="10" t="n">
        <f aca="false">-Helpers!AX4*Assumptions!$B$22</f>
        <v>-19418.55349896</v>
      </c>
      <c r="AY21" s="10" t="n">
        <f aca="false">-Helpers!AY4*Assumptions!$B$22</f>
        <v>-19806.9245689392</v>
      </c>
      <c r="AZ21" s="10" t="n">
        <f aca="false">-Helpers!AZ4*Assumptions!$B$22</f>
        <v>-19806.9245689392</v>
      </c>
      <c r="BA21" s="10" t="n">
        <f aca="false">-Helpers!BA4*Assumptions!$B$22</f>
        <v>-19806.9245689392</v>
      </c>
      <c r="BB21" s="10" t="n">
        <f aca="false">-Helpers!BB4*Assumptions!$B$22</f>
        <v>-19806.9245689392</v>
      </c>
      <c r="BC21" s="10" t="n">
        <f aca="false">-Helpers!BC4*Assumptions!$B$22</f>
        <v>-19806.9245689392</v>
      </c>
      <c r="BD21" s="10" t="n">
        <f aca="false">-Helpers!BD4*Assumptions!$B$22</f>
        <v>-19806.9245689392</v>
      </c>
      <c r="BE21" s="10" t="n">
        <f aca="false">-Helpers!BE4*Assumptions!$B$22</f>
        <v>-19806.9245689392</v>
      </c>
      <c r="BF21" s="10" t="n">
        <f aca="false">-Helpers!BF4*Assumptions!$B$22</f>
        <v>-19806.9245689392</v>
      </c>
      <c r="BG21" s="10" t="n">
        <f aca="false">-Helpers!BG4*Assumptions!$B$22</f>
        <v>-19806.9245689392</v>
      </c>
      <c r="BH21" s="10" t="n">
        <f aca="false">-Helpers!BH4*Assumptions!$B$22</f>
        <v>-19806.9245689392</v>
      </c>
      <c r="BI21" s="10" t="n">
        <f aca="false">-Helpers!BI4*Assumptions!$B$22</f>
        <v>-19806.9245689392</v>
      </c>
      <c r="BJ21" s="10" t="n">
        <f aca="false">-Helpers!BJ4*Assumptions!$B$22</f>
        <v>-19806.9245689392</v>
      </c>
      <c r="BK21" s="10" t="n">
        <f aca="false">-Helpers!BK4*Assumptions!$B$22</f>
        <v>-20203.063060318</v>
      </c>
      <c r="BL21" s="10" t="n">
        <f aca="false">-Helpers!BL4*Assumptions!$B$22</f>
        <v>-20203.063060318</v>
      </c>
      <c r="BM21" s="10" t="n">
        <f aca="false">-Helpers!BM4*Assumptions!$B$22</f>
        <v>-20203.063060318</v>
      </c>
      <c r="BN21" s="10" t="n">
        <f aca="false">-Helpers!BN4*Assumptions!$B$22</f>
        <v>-20203.063060318</v>
      </c>
      <c r="BO21" s="10" t="n">
        <f aca="false">-Helpers!BO4*Assumptions!$B$22</f>
        <v>-20203.063060318</v>
      </c>
      <c r="BP21" s="10" t="n">
        <f aca="false">-Helpers!BP4*Assumptions!$B$22</f>
        <v>-20203.063060318</v>
      </c>
      <c r="BQ21" s="10" t="n">
        <f aca="false">-Helpers!BQ4*Assumptions!$B$22</f>
        <v>-20203.063060318</v>
      </c>
      <c r="BR21" s="10" t="n">
        <f aca="false">-Helpers!BR4*Assumptions!$B$22</f>
        <v>-20203.063060318</v>
      </c>
      <c r="BS21" s="10" t="n">
        <f aca="false">-Helpers!BS4*Assumptions!$B$22</f>
        <v>-20203.063060318</v>
      </c>
      <c r="BT21" s="10" t="n">
        <f aca="false">-Helpers!BT4*Assumptions!$B$22</f>
        <v>-20203.063060318</v>
      </c>
      <c r="BU21" s="10" t="n">
        <f aca="false">-Helpers!BU4*Assumptions!$B$22</f>
        <v>-20203.063060318</v>
      </c>
      <c r="BV21" s="10" t="n">
        <f aca="false">-Helpers!BV4*Assumptions!$B$22</f>
        <v>-20203.063060318</v>
      </c>
      <c r="BW21" s="10" t="n">
        <f aca="false">-Helpers!BW4*Assumptions!$B$22</f>
        <v>-20607.1243215244</v>
      </c>
      <c r="BX21" s="10" t="n">
        <f aca="false">-Helpers!BX4*Assumptions!$B$22</f>
        <v>-20607.1243215244</v>
      </c>
      <c r="BY21" s="10" t="n">
        <f aca="false">-Helpers!BY4*Assumptions!$B$22</f>
        <v>-20607.1243215244</v>
      </c>
      <c r="BZ21" s="10" t="n">
        <f aca="false">-Helpers!BZ4*Assumptions!$B$22</f>
        <v>-20607.1243215244</v>
      </c>
      <c r="CA21" s="10" t="n">
        <f aca="false">-Helpers!CA4*Assumptions!$B$22</f>
        <v>-20607.1243215244</v>
      </c>
      <c r="CB21" s="10" t="n">
        <f aca="false">-Helpers!CB4*Assumptions!$B$22</f>
        <v>-20607.1243215244</v>
      </c>
      <c r="CC21" s="10" t="n">
        <f aca="false">-Helpers!CC4*Assumptions!$B$22</f>
        <v>-20607.1243215244</v>
      </c>
      <c r="CD21" s="10" t="n">
        <f aca="false">-Helpers!CD4*Assumptions!$B$22</f>
        <v>-20607.1243215244</v>
      </c>
      <c r="CE21" s="10" t="n">
        <f aca="false">-Helpers!CE4*Assumptions!$B$22</f>
        <v>-20607.1243215244</v>
      </c>
      <c r="CF21" s="10" t="n">
        <f aca="false">-Helpers!CF4*Assumptions!$B$22</f>
        <v>-20607.1243215244</v>
      </c>
      <c r="CG21" s="10" t="n">
        <f aca="false">-Helpers!CG4*Assumptions!$B$22</f>
        <v>-20607.1243215244</v>
      </c>
      <c r="CH21" s="10" t="n">
        <f aca="false">-Helpers!CH4*Assumptions!$B$22</f>
        <v>-20607.1243215244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-5332.7164</v>
      </c>
      <c r="Y22" s="10" t="n">
        <f aca="false">-Helpers!Y4*Assumptions!$B$23</f>
        <v>-5332.7164</v>
      </c>
      <c r="Z22" s="10" t="n">
        <f aca="false">-Helpers!Z4*Assumptions!$B$23</f>
        <v>-5332.7164</v>
      </c>
      <c r="AA22" s="10" t="n">
        <f aca="false">-Helpers!AA4*Assumptions!$B$23</f>
        <v>-5439.370728</v>
      </c>
      <c r="AB22" s="10" t="n">
        <f aca="false">-Helpers!AB4*Assumptions!$B$23</f>
        <v>-5439.370728</v>
      </c>
      <c r="AC22" s="10" t="n">
        <f aca="false">-Helpers!AC4*Assumptions!$B$23</f>
        <v>-5439.370728</v>
      </c>
      <c r="AD22" s="10" t="n">
        <f aca="false">-Helpers!AD4*Assumptions!$B$23</f>
        <v>-5439.370728</v>
      </c>
      <c r="AE22" s="10" t="n">
        <f aca="false">-Helpers!AE4*Assumptions!$B$23</f>
        <v>-5439.370728</v>
      </c>
      <c r="AF22" s="10" t="n">
        <f aca="false">-Helpers!AF4*Assumptions!$B$23</f>
        <v>-5439.370728</v>
      </c>
      <c r="AG22" s="10" t="n">
        <f aca="false">-Helpers!AG4*Assumptions!$B$23</f>
        <v>-5439.370728</v>
      </c>
      <c r="AH22" s="10" t="n">
        <f aca="false">-Helpers!AH4*Assumptions!$B$23</f>
        <v>-5439.370728</v>
      </c>
      <c r="AI22" s="10" t="n">
        <f aca="false">-Helpers!AI4*Assumptions!$B$23</f>
        <v>-5439.370728</v>
      </c>
      <c r="AJ22" s="10" t="n">
        <f aca="false">-Helpers!AJ4*Assumptions!$B$23</f>
        <v>-5439.370728</v>
      </c>
      <c r="AK22" s="10" t="n">
        <f aca="false">-Helpers!AK4*Assumptions!$B$23</f>
        <v>-5439.370728</v>
      </c>
      <c r="AL22" s="10" t="n">
        <f aca="false">-Helpers!AL4*Assumptions!$B$23</f>
        <v>-5439.370728</v>
      </c>
      <c r="AM22" s="10" t="n">
        <f aca="false">-Helpers!AM4*Assumptions!$B$23</f>
        <v>-5548.15814256</v>
      </c>
      <c r="AN22" s="10" t="n">
        <f aca="false">-Helpers!AN4*Assumptions!$B$23</f>
        <v>-5548.15814256</v>
      </c>
      <c r="AO22" s="10" t="n">
        <f aca="false">-Helpers!AO4*Assumptions!$B$23</f>
        <v>-5548.15814256</v>
      </c>
      <c r="AP22" s="10" t="n">
        <f aca="false">-Helpers!AP4*Assumptions!$B$23</f>
        <v>-5548.15814256</v>
      </c>
      <c r="AQ22" s="10" t="n">
        <f aca="false">-Helpers!AQ4*Assumptions!$B$23</f>
        <v>-5548.15814256</v>
      </c>
      <c r="AR22" s="10" t="n">
        <f aca="false">-Helpers!AR4*Assumptions!$B$23</f>
        <v>-5548.15814256</v>
      </c>
      <c r="AS22" s="10" t="n">
        <f aca="false">-Helpers!AS4*Assumptions!$B$23</f>
        <v>-5548.15814256</v>
      </c>
      <c r="AT22" s="10" t="n">
        <f aca="false">-Helpers!AT4*Assumptions!$B$23</f>
        <v>-5548.15814256</v>
      </c>
      <c r="AU22" s="10" t="n">
        <f aca="false">-Helpers!AU4*Assumptions!$B$23</f>
        <v>-5548.15814256</v>
      </c>
      <c r="AV22" s="10" t="n">
        <f aca="false">-Helpers!AV4*Assumptions!$B$23</f>
        <v>-5548.15814256</v>
      </c>
      <c r="AW22" s="10" t="n">
        <f aca="false">-Helpers!AW4*Assumptions!$B$23</f>
        <v>-5548.15814256</v>
      </c>
      <c r="AX22" s="10" t="n">
        <f aca="false">-Helpers!AX4*Assumptions!$B$23</f>
        <v>-5548.15814256</v>
      </c>
      <c r="AY22" s="10" t="n">
        <f aca="false">-Helpers!AY4*Assumptions!$B$23</f>
        <v>-5659.1213054112</v>
      </c>
      <c r="AZ22" s="10" t="n">
        <f aca="false">-Helpers!AZ4*Assumptions!$B$23</f>
        <v>-5659.1213054112</v>
      </c>
      <c r="BA22" s="10" t="n">
        <f aca="false">-Helpers!BA4*Assumptions!$B$23</f>
        <v>-5659.1213054112</v>
      </c>
      <c r="BB22" s="10" t="n">
        <f aca="false">-Helpers!BB4*Assumptions!$B$23</f>
        <v>-5659.1213054112</v>
      </c>
      <c r="BC22" s="10" t="n">
        <f aca="false">-Helpers!BC4*Assumptions!$B$23</f>
        <v>-5659.1213054112</v>
      </c>
      <c r="BD22" s="10" t="n">
        <f aca="false">-Helpers!BD4*Assumptions!$B$23</f>
        <v>-5659.1213054112</v>
      </c>
      <c r="BE22" s="10" t="n">
        <f aca="false">-Helpers!BE4*Assumptions!$B$23</f>
        <v>-5659.1213054112</v>
      </c>
      <c r="BF22" s="10" t="n">
        <f aca="false">-Helpers!BF4*Assumptions!$B$23</f>
        <v>-5659.1213054112</v>
      </c>
      <c r="BG22" s="10" t="n">
        <f aca="false">-Helpers!BG4*Assumptions!$B$23</f>
        <v>-5659.1213054112</v>
      </c>
      <c r="BH22" s="10" t="n">
        <f aca="false">-Helpers!BH4*Assumptions!$B$23</f>
        <v>-5659.1213054112</v>
      </c>
      <c r="BI22" s="10" t="n">
        <f aca="false">-Helpers!BI4*Assumptions!$B$23</f>
        <v>-5659.1213054112</v>
      </c>
      <c r="BJ22" s="10" t="n">
        <f aca="false">-Helpers!BJ4*Assumptions!$B$23</f>
        <v>-5659.1213054112</v>
      </c>
      <c r="BK22" s="10" t="n">
        <f aca="false">-Helpers!BK4*Assumptions!$B$23</f>
        <v>-5772.30373151943</v>
      </c>
      <c r="BL22" s="10" t="n">
        <f aca="false">-Helpers!BL4*Assumptions!$B$23</f>
        <v>-5772.30373151943</v>
      </c>
      <c r="BM22" s="10" t="n">
        <f aca="false">-Helpers!BM4*Assumptions!$B$23</f>
        <v>-5772.30373151943</v>
      </c>
      <c r="BN22" s="10" t="n">
        <f aca="false">-Helpers!BN4*Assumptions!$B$23</f>
        <v>-5772.30373151943</v>
      </c>
      <c r="BO22" s="10" t="n">
        <f aca="false">-Helpers!BO4*Assumptions!$B$23</f>
        <v>-5772.30373151943</v>
      </c>
      <c r="BP22" s="10" t="n">
        <f aca="false">-Helpers!BP4*Assumptions!$B$23</f>
        <v>-5772.30373151943</v>
      </c>
      <c r="BQ22" s="10" t="n">
        <f aca="false">-Helpers!BQ4*Assumptions!$B$23</f>
        <v>-5772.30373151943</v>
      </c>
      <c r="BR22" s="10" t="n">
        <f aca="false">-Helpers!BR4*Assumptions!$B$23</f>
        <v>-5772.30373151943</v>
      </c>
      <c r="BS22" s="10" t="n">
        <f aca="false">-Helpers!BS4*Assumptions!$B$23</f>
        <v>-5772.30373151943</v>
      </c>
      <c r="BT22" s="10" t="n">
        <f aca="false">-Helpers!BT4*Assumptions!$B$23</f>
        <v>-5772.30373151943</v>
      </c>
      <c r="BU22" s="10" t="n">
        <f aca="false">-Helpers!BU4*Assumptions!$B$23</f>
        <v>-5772.30373151943</v>
      </c>
      <c r="BV22" s="10" t="n">
        <f aca="false">-Helpers!BV4*Assumptions!$B$23</f>
        <v>-5772.30373151943</v>
      </c>
      <c r="BW22" s="10" t="n">
        <f aca="false">-Helpers!BW4*Assumptions!$B$23</f>
        <v>-5887.74980614981</v>
      </c>
      <c r="BX22" s="10" t="n">
        <f aca="false">-Helpers!BX4*Assumptions!$B$23</f>
        <v>-5887.74980614981</v>
      </c>
      <c r="BY22" s="10" t="n">
        <f aca="false">-Helpers!BY4*Assumptions!$B$23</f>
        <v>-5887.74980614981</v>
      </c>
      <c r="BZ22" s="10" t="n">
        <f aca="false">-Helpers!BZ4*Assumptions!$B$23</f>
        <v>-5887.74980614981</v>
      </c>
      <c r="CA22" s="10" t="n">
        <f aca="false">-Helpers!CA4*Assumptions!$B$23</f>
        <v>-5887.74980614981</v>
      </c>
      <c r="CB22" s="10" t="n">
        <f aca="false">-Helpers!CB4*Assumptions!$B$23</f>
        <v>-5887.74980614981</v>
      </c>
      <c r="CC22" s="10" t="n">
        <f aca="false">-Helpers!CC4*Assumptions!$B$23</f>
        <v>-5887.74980614981</v>
      </c>
      <c r="CD22" s="10" t="n">
        <f aca="false">-Helpers!CD4*Assumptions!$B$23</f>
        <v>-5887.74980614981</v>
      </c>
      <c r="CE22" s="10" t="n">
        <f aca="false">-Helpers!CE4*Assumptions!$B$23</f>
        <v>-5887.74980614981</v>
      </c>
      <c r="CF22" s="10" t="n">
        <f aca="false">-Helpers!CF4*Assumptions!$B$23</f>
        <v>-5887.74980614981</v>
      </c>
      <c r="CG22" s="10" t="n">
        <f aca="false">-Helpers!CG4*Assumptions!$B$23</f>
        <v>-5887.74980614981</v>
      </c>
      <c r="CH22" s="10" t="n">
        <f aca="false">-Helpers!CH4*Assumptions!$B$23</f>
        <v>-5887.74980614981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-705406.463533333</v>
      </c>
      <c r="G39" s="12" t="n">
        <f aca="false">G15+G16+G17+G18+G19+G20+G21+G22+G23+SUM(G24:G38)</f>
        <v>-387439.948333333</v>
      </c>
      <c r="H39" s="12" t="n">
        <f aca="false">H15+H16+H17+H18+H19+H20+H21+H22+H23+SUM(H24:H38)</f>
        <v>-387439.948333333</v>
      </c>
      <c r="I39" s="12" t="n">
        <f aca="false">I15+I16+I17+I18+I19+I20+I21+I22+I23+SUM(I24:I38)</f>
        <v>-605522.795333333</v>
      </c>
      <c r="J39" s="12" t="n">
        <f aca="false">J15+J16+J17+J18+J19+J20+J21+J22+J23+SUM(J24:J38)</f>
        <v>-544789.145333333</v>
      </c>
      <c r="K39" s="12" t="n">
        <f aca="false">K15+K16+K17+K18+K19+K20+K21+K22+K23+SUM(K24:K38)</f>
        <v>-387439.948333333</v>
      </c>
      <c r="L39" s="12" t="n">
        <f aca="false">L15+L16+L17+L18+L19+L20+L21+L22+L23+SUM(L24:L38)</f>
        <v>-387439.948333333</v>
      </c>
      <c r="M39" s="12" t="n">
        <f aca="false">M15+M16+M17+M18+M19+M20+M21+M22+M23+SUM(M24:M38)</f>
        <v>-387439.948333333</v>
      </c>
      <c r="N39" s="12" t="n">
        <f aca="false">N15+N16+N17+N18+N19+N20+N21+N22+N23+SUM(N24:N38)</f>
        <v>-387439.948333333</v>
      </c>
      <c r="O39" s="12" t="n">
        <f aca="false">O15+O16+O17+O18+O19+O20+O21+O22+O23+SUM(O24:O38)</f>
        <v>-1861213.9523</v>
      </c>
      <c r="P39" s="12" t="n">
        <f aca="false">P15+P16+P17+P18+P19+P20+P21+P22+P23+SUM(P24:P38)</f>
        <v>-390043.9273</v>
      </c>
      <c r="Q39" s="12" t="n">
        <f aca="false">Q15+Q16+Q17+Q18+Q19+Q20+Q21+Q22+Q23+SUM(Q24:Q38)</f>
        <v>-390043.9273</v>
      </c>
      <c r="R39" s="12" t="n">
        <f aca="false">R15+R16+R17+R18+R19+R20+R21+R22+R23+SUM(R24:R38)</f>
        <v>-390043.9273</v>
      </c>
      <c r="S39" s="12" t="n">
        <f aca="false">S15+S16+S17+S18+S19+S20+S21+S22+S23+SUM(S24:S38)</f>
        <v>-390043.9273</v>
      </c>
      <c r="T39" s="12" t="n">
        <f aca="false">T15+T16+T17+T18+T19+T20+T21+T22+T23+SUM(T24:T38)</f>
        <v>-390043.9273</v>
      </c>
      <c r="U39" s="12" t="n">
        <f aca="false">U15+U16+U17+U18+U19+U20+U21+U22+U23+SUM(U24:U38)</f>
        <v>-390043.9273</v>
      </c>
      <c r="V39" s="12" t="n">
        <f aca="false">V15+V16+V17+V18+V19+V20+V21+V22+V23+SUM(V24:V38)</f>
        <v>-390043.9273</v>
      </c>
      <c r="W39" s="12" t="n">
        <f aca="false">W15+W16+W17+W18+W19+W20+W21+W22+W23+SUM(W24:W38)</f>
        <v>-390043.9273</v>
      </c>
      <c r="X39" s="12" t="n">
        <f aca="false">X15+X16+X17+X18+X19+X20+X21+X22+X23+SUM(X24:X38)</f>
        <v>-390043.9273</v>
      </c>
      <c r="Y39" s="12" t="n">
        <f aca="false">Y15+Y16+Y17+Y18+Y19+Y20+Y21+Y22+Y23+SUM(Y24:Y38)</f>
        <v>-390043.9273</v>
      </c>
      <c r="Z39" s="12" t="n">
        <f aca="false">Z15+Z16+Z17+Z18+Z19+Z20+Z21+Z22+Z23+SUM(Z24:Z38)</f>
        <v>-390043.9273</v>
      </c>
      <c r="AA39" s="12" t="n">
        <f aca="false">AA15+AA16+AA17+AA18+AA19+AA20+AA21+AA22+AA23+SUM(AA24:AA38)</f>
        <v>-392699.985846</v>
      </c>
      <c r="AB39" s="12" t="n">
        <f aca="false">AB15+AB16+AB17+AB18+AB19+AB20+AB21+AB22+AB23+SUM(AB24:AB38)</f>
        <v>-392699.985846</v>
      </c>
      <c r="AC39" s="12" t="n">
        <f aca="false">AC15+AC16+AC17+AC18+AC19+AC20+AC21+AC22+AC23+SUM(AC24:AC38)</f>
        <v>-1736725.525846</v>
      </c>
      <c r="AD39" s="12" t="n">
        <f aca="false">AD15+AD16+AD17+AD18+AD19+AD20+AD21+AD22+AD23+SUM(AD24:AD38)</f>
        <v>-392699.985846</v>
      </c>
      <c r="AE39" s="12" t="n">
        <f aca="false">AE15+AE16+AE17+AE18+AE19+AE20+AE21+AE22+AE23+SUM(AE24:AE38)</f>
        <v>-392699.985846</v>
      </c>
      <c r="AF39" s="12" t="n">
        <f aca="false">AF15+AF16+AF17+AF18+AF19+AF20+AF21+AF22+AF23+SUM(AF24:AF38)</f>
        <v>-392699.985846</v>
      </c>
      <c r="AG39" s="12" t="n">
        <f aca="false">AG15+AG16+AG17+AG18+AG19+AG20+AG21+AG22+AG23+SUM(AG24:AG38)</f>
        <v>-392699.985846</v>
      </c>
      <c r="AH39" s="12" t="n">
        <f aca="false">AH15+AH16+AH17+AH18+AH19+AH20+AH21+AH22+AH23+SUM(AH24:AH38)</f>
        <v>-392699.985846</v>
      </c>
      <c r="AI39" s="12" t="n">
        <f aca="false">AI15+AI16+AI17+AI18+AI19+AI20+AI21+AI22+AI23+SUM(AI24:AI38)</f>
        <v>-392699.985846</v>
      </c>
      <c r="AJ39" s="12" t="n">
        <f aca="false">AJ15+AJ16+AJ17+AJ18+AJ19+AJ20+AJ21+AJ22+AJ23+SUM(AJ24:AJ38)</f>
        <v>-392699.985846</v>
      </c>
      <c r="AK39" s="12" t="n">
        <f aca="false">AK15+AK16+AK17+AK18+AK19+AK20+AK21+AK22+AK23+SUM(AK24:AK38)</f>
        <v>-392699.985846</v>
      </c>
      <c r="AL39" s="12" t="n">
        <f aca="false">AL15+AL16+AL17+AL18+AL19+AL20+AL21+AL22+AL23+SUM(AL24:AL38)</f>
        <v>-392699.985846</v>
      </c>
      <c r="AM39" s="12" t="n">
        <f aca="false">AM15+AM16+AM17+AM18+AM19+AM20+AM21+AM22+AM23+SUM(AM24:AM38)</f>
        <v>-395409.16556292</v>
      </c>
      <c r="AN39" s="12" t="n">
        <f aca="false">AN15+AN16+AN17+AN18+AN19+AN20+AN21+AN22+AN23+SUM(AN24:AN38)</f>
        <v>-395409.16556292</v>
      </c>
      <c r="AO39" s="12" t="n">
        <f aca="false">AO15+AO16+AO17+AO18+AO19+AO20+AO21+AO22+AO23+SUM(AO24:AO38)</f>
        <v>-395409.16556292</v>
      </c>
      <c r="AP39" s="12" t="n">
        <f aca="false">AP15+AP16+AP17+AP18+AP19+AP20+AP21+AP22+AP23+SUM(AP24:AP38)</f>
        <v>-395409.16556292</v>
      </c>
      <c r="AQ39" s="12" t="n">
        <f aca="false">AQ15+AQ16+AQ17+AQ18+AQ19+AQ20+AQ21+AQ22+AQ23+SUM(AQ24:AQ38)</f>
        <v>-395409.16556292</v>
      </c>
      <c r="AR39" s="12" t="n">
        <f aca="false">AR15+AR16+AR17+AR18+AR19+AR20+AR21+AR22+AR23+SUM(AR24:AR38)</f>
        <v>-395409.16556292</v>
      </c>
      <c r="AS39" s="12" t="n">
        <f aca="false">AS15+AS16+AS17+AS18+AS19+AS20+AS21+AS22+AS23+SUM(AS24:AS38)</f>
        <v>-395409.16556292</v>
      </c>
      <c r="AT39" s="12" t="n">
        <f aca="false">AT15+AT16+AT17+AT18+AT19+AT20+AT21+AT22+AT23+SUM(AT24:AT38)</f>
        <v>-395409.16556292</v>
      </c>
      <c r="AU39" s="12" t="n">
        <f aca="false">AU15+AU16+AU17+AU18+AU19+AU20+AU21+AU22+AU23+SUM(AU24:AU38)</f>
        <v>-395409.16556292</v>
      </c>
      <c r="AV39" s="12" t="n">
        <f aca="false">AV15+AV16+AV17+AV18+AV19+AV20+AV21+AV22+AV23+SUM(AV24:AV38)</f>
        <v>-395409.16556292</v>
      </c>
      <c r="AW39" s="12" t="n">
        <f aca="false">AW15+AW16+AW17+AW18+AW19+AW20+AW21+AW22+AW23+SUM(AW24:AW38)</f>
        <v>-395409.16556292</v>
      </c>
      <c r="AX39" s="12" t="n">
        <f aca="false">AX15+AX16+AX17+AX18+AX19+AX20+AX21+AX22+AX23+SUM(AX24:AX38)</f>
        <v>-395409.16556292</v>
      </c>
      <c r="AY39" s="12" t="n">
        <f aca="false">AY15+AY16+AY17+AY18+AY19+AY20+AY21+AY22+AY23+SUM(AY24:AY38)</f>
        <v>-398172.528874179</v>
      </c>
      <c r="AZ39" s="12" t="n">
        <f aca="false">AZ15+AZ16+AZ17+AZ18+AZ19+AZ20+AZ21+AZ22+AZ23+SUM(AZ24:AZ38)</f>
        <v>-398172.528874179</v>
      </c>
      <c r="BA39" s="12" t="n">
        <f aca="false">BA15+BA16+BA17+BA18+BA19+BA20+BA21+BA22+BA23+SUM(BA24:BA38)</f>
        <v>-398172.528874179</v>
      </c>
      <c r="BB39" s="12" t="n">
        <f aca="false">BB15+BB16+BB17+BB18+BB19+BB20+BB21+BB22+BB23+SUM(BB24:BB38)</f>
        <v>-398172.528874179</v>
      </c>
      <c r="BC39" s="12" t="n">
        <f aca="false">BC15+BC16+BC17+BC18+BC19+BC20+BC21+BC22+BC23+SUM(BC24:BC38)</f>
        <v>-398172.528874179</v>
      </c>
      <c r="BD39" s="12" t="n">
        <f aca="false">BD15+BD16+BD17+BD18+BD19+BD20+BD21+BD22+BD23+SUM(BD24:BD38)</f>
        <v>-398172.528874179</v>
      </c>
      <c r="BE39" s="12" t="n">
        <f aca="false">BE15+BE16+BE17+BE18+BE19+BE20+BE21+BE22+BE23+SUM(BE24:BE38)</f>
        <v>-398172.528874179</v>
      </c>
      <c r="BF39" s="12" t="n">
        <f aca="false">BF15+BF16+BF17+BF18+BF19+BF20+BF21+BF22+BF23+SUM(BF24:BF38)</f>
        <v>-398172.528874179</v>
      </c>
      <c r="BG39" s="12" t="n">
        <f aca="false">BG15+BG16+BG17+BG18+BG19+BG20+BG21+BG22+BG23+SUM(BG24:BG38)</f>
        <v>-398172.528874179</v>
      </c>
      <c r="BH39" s="12" t="n">
        <f aca="false">BH15+BH16+BH17+BH18+BH19+BH20+BH21+BH22+BH23+SUM(BH24:BH38)</f>
        <v>-398172.528874179</v>
      </c>
      <c r="BI39" s="12" t="n">
        <f aca="false">BI15+BI16+BI17+BI18+BI19+BI20+BI21+BI22+BI23+SUM(BI24:BI38)</f>
        <v>-398172.528874179</v>
      </c>
      <c r="BJ39" s="12" t="n">
        <f aca="false">BJ15+BJ16+BJ17+BJ18+BJ19+BJ20+BJ21+BJ22+BJ23+SUM(BJ24:BJ38)</f>
        <v>-398172.528874179</v>
      </c>
      <c r="BK39" s="12" t="n">
        <f aca="false">BK15+BK16+BK17+BK18+BK19+BK20+BK21+BK22+BK23+SUM(BK24:BK38)</f>
        <v>-400991.159451662</v>
      </c>
      <c r="BL39" s="12" t="n">
        <f aca="false">BL15+BL16+BL17+BL18+BL19+BL20+BL21+BL22+BL23+SUM(BL24:BL38)</f>
        <v>-400991.159451662</v>
      </c>
      <c r="BM39" s="12" t="n">
        <f aca="false">BM15+BM16+BM17+BM18+BM19+BM20+BM21+BM22+BM23+SUM(BM24:BM38)</f>
        <v>-400991.159451662</v>
      </c>
      <c r="BN39" s="12" t="n">
        <f aca="false">BN15+BN16+BN17+BN18+BN19+BN20+BN21+BN22+BN23+SUM(BN24:BN38)</f>
        <v>-400991.159451662</v>
      </c>
      <c r="BO39" s="12" t="n">
        <f aca="false">BO15+BO16+BO17+BO18+BO19+BO20+BO21+BO22+BO23+SUM(BO24:BO38)</f>
        <v>-400991.159451662</v>
      </c>
      <c r="BP39" s="12" t="n">
        <f aca="false">BP15+BP16+BP17+BP18+BP19+BP20+BP21+BP22+BP23+SUM(BP24:BP38)</f>
        <v>-400991.159451662</v>
      </c>
      <c r="BQ39" s="12" t="n">
        <f aca="false">BQ15+BQ16+BQ17+BQ18+BQ19+BQ20+BQ21+BQ22+BQ23+SUM(BQ24:BQ38)</f>
        <v>-400991.159451662</v>
      </c>
      <c r="BR39" s="12" t="n">
        <f aca="false">BR15+BR16+BR17+BR18+BR19+BR20+BR21+BR22+BR23+SUM(BR24:BR38)</f>
        <v>-400991.159451662</v>
      </c>
      <c r="BS39" s="12" t="n">
        <f aca="false">BS15+BS16+BS17+BS18+BS19+BS20+BS21+BS22+BS23+SUM(BS24:BS38)</f>
        <v>-400991.159451662</v>
      </c>
      <c r="BT39" s="12" t="n">
        <f aca="false">BT15+BT16+BT17+BT18+BT19+BT20+BT21+BT22+BT23+SUM(BT24:BT38)</f>
        <v>-400991.159451662</v>
      </c>
      <c r="BU39" s="12" t="n">
        <f aca="false">BU15+BU16+BU17+BU18+BU19+BU20+BU21+BU22+BU23+SUM(BU24:BU38)</f>
        <v>-400991.159451662</v>
      </c>
      <c r="BV39" s="12" t="n">
        <f aca="false">BV15+BV16+BV17+BV18+BV19+BV20+BV21+BV22+BV23+SUM(BV24:BV38)</f>
        <v>-400991.159451662</v>
      </c>
      <c r="BW39" s="12" t="n">
        <f aca="false">BW15+BW16+BW17+BW18+BW19+BW20+BW21+BW22+BW23+SUM(BW24:BW38)</f>
        <v>-403866.162640695</v>
      </c>
      <c r="BX39" s="12" t="n">
        <f aca="false">BX15+BX16+BX17+BX18+BX19+BX20+BX21+BX22+BX23+SUM(BX24:BX38)</f>
        <v>-403866.162640695</v>
      </c>
      <c r="BY39" s="12" t="n">
        <f aca="false">BY15+BY16+BY17+BY18+BY19+BY20+BY21+BY22+BY23+SUM(BY24:BY38)</f>
        <v>-403866.162640695</v>
      </c>
      <c r="BZ39" s="12" t="n">
        <f aca="false">BZ15+BZ16+BZ17+BZ18+BZ19+BZ20+BZ21+BZ22+BZ23+SUM(BZ24:BZ38)</f>
        <v>-403866.162640695</v>
      </c>
      <c r="CA39" s="12" t="n">
        <f aca="false">CA15+CA16+CA17+CA18+CA19+CA20+CA21+CA22+CA23+SUM(CA24:CA38)</f>
        <v>-403866.162640695</v>
      </c>
      <c r="CB39" s="12" t="n">
        <f aca="false">CB15+CB16+CB17+CB18+CB19+CB20+CB21+CB22+CB23+SUM(CB24:CB38)</f>
        <v>-403866.162640695</v>
      </c>
      <c r="CC39" s="12" t="n">
        <f aca="false">CC15+CC16+CC17+CC18+CC19+CC20+CC21+CC22+CC23+SUM(CC24:CC38)</f>
        <v>-403866.162640695</v>
      </c>
      <c r="CD39" s="12" t="n">
        <f aca="false">CD15+CD16+CD17+CD18+CD19+CD20+CD21+CD22+CD23+SUM(CD24:CD38)</f>
        <v>-403866.162640695</v>
      </c>
      <c r="CE39" s="12" t="n">
        <f aca="false">CE15+CE16+CE17+CE18+CE19+CE20+CE21+CE22+CE23+SUM(CE24:CE38)</f>
        <v>-403866.162640695</v>
      </c>
      <c r="CF39" s="12" t="n">
        <f aca="false">CF15+CF16+CF17+CF18+CF19+CF20+CF21+CF22+CF23+SUM(CF24:CF38)</f>
        <v>-403866.162640695</v>
      </c>
      <c r="CG39" s="12" t="n">
        <f aca="false">CG15+CG16+CG17+CG18+CG19+CG20+CG21+CG22+CG23+SUM(CG24:CG38)</f>
        <v>-403866.162640695</v>
      </c>
      <c r="CH39" s="12" t="n">
        <f aca="false">CH15+CH16+CH17+CH18+CH19+CH20+CH21+CH22+CH23+SUM(CH24:CH38)</f>
        <v>-403866.162640695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485002.427596377</v>
      </c>
      <c r="G41" s="16" t="n">
        <f aca="false">G12+G39</f>
        <v>167089.09331542</v>
      </c>
      <c r="H41" s="16" t="n">
        <f aca="false">H12+H39</f>
        <v>172737.021718898</v>
      </c>
      <c r="I41" s="16" t="n">
        <f aca="false">I12+I39</f>
        <v>504522.210377636</v>
      </c>
      <c r="J41" s="16" t="n">
        <f aca="false">J12+J39</f>
        <v>552872.091829295</v>
      </c>
      <c r="K41" s="16" t="n">
        <f aca="false">K12+K39</f>
        <v>331043.980342874</v>
      </c>
      <c r="L41" s="16" t="n">
        <f aca="false">L12+L39</f>
        <v>340131.439500752</v>
      </c>
      <c r="M41" s="16" t="n">
        <f aca="false">M12+M39</f>
        <v>346631.350937816</v>
      </c>
      <c r="N41" s="16" t="n">
        <f aca="false">N12+N39</f>
        <v>350382.620938278</v>
      </c>
      <c r="O41" s="16" t="n">
        <f aca="false">O12+O39</f>
        <v>-316770.991969663</v>
      </c>
      <c r="P41" s="16" t="n">
        <f aca="false">P12+P39</f>
        <v>478153.397906424</v>
      </c>
      <c r="Q41" s="16" t="n">
        <f aca="false">Q12+Q39</f>
        <v>620933.85107069</v>
      </c>
      <c r="R41" s="16" t="n">
        <f aca="false">R12+R39</f>
        <v>444492.603561529</v>
      </c>
      <c r="S41" s="16" t="n">
        <f aca="false">S12+S39</f>
        <v>257622.563195964</v>
      </c>
      <c r="T41" s="16" t="n">
        <f aca="false">T12+T39</f>
        <v>257451.327379701</v>
      </c>
      <c r="U41" s="16" t="n">
        <f aca="false">U12+U39</f>
        <v>274951.476769931</v>
      </c>
      <c r="V41" s="16" t="n">
        <f aca="false">V12+V39</f>
        <v>228059.229010271</v>
      </c>
      <c r="W41" s="16" t="n">
        <f aca="false">W12+W39</f>
        <v>217036.653563201</v>
      </c>
      <c r="X41" s="16" t="n">
        <f aca="false">X12+X39</f>
        <v>203296.320686128</v>
      </c>
      <c r="Y41" s="16" t="n">
        <f aca="false">Y12+Y39</f>
        <v>187631.562687684</v>
      </c>
      <c r="Z41" s="16" t="n">
        <f aca="false">Z12+Z39</f>
        <v>170817.448744448</v>
      </c>
      <c r="AA41" s="16" t="n">
        <f aca="false">AA12+AA39</f>
        <v>228297.924424959</v>
      </c>
      <c r="AB41" s="16" t="n">
        <f aca="false">AB12+AB39</f>
        <v>76252.8105730042</v>
      </c>
      <c r="AC41" s="16" t="n">
        <f aca="false">AC12+AC39</f>
        <v>-565857.826780972</v>
      </c>
      <c r="AD41" s="16" t="n">
        <f aca="false">AD12+AD39</f>
        <v>120036.649433576</v>
      </c>
      <c r="AE41" s="16" t="n">
        <f aca="false">AE12+AE39</f>
        <v>122149.700745913</v>
      </c>
      <c r="AF41" s="16" t="n">
        <f aca="false">AF12+AF39</f>
        <v>123446.664076833</v>
      </c>
      <c r="AG41" s="16" t="n">
        <f aca="false">AG12+AG39</f>
        <v>244763.169706735</v>
      </c>
      <c r="AH41" s="16" t="n">
        <f aca="false">AH12+AH39</f>
        <v>69032.5911753314</v>
      </c>
      <c r="AI41" s="16" t="n">
        <f aca="false">AI12+AI39</f>
        <v>312180.390560854</v>
      </c>
      <c r="AJ41" s="16" t="n">
        <f aca="false">AJ12+AJ39</f>
        <v>-21997.2665801005</v>
      </c>
      <c r="AK41" s="16" t="n">
        <f aca="false">AK12+AK39</f>
        <v>-24336.1336897279</v>
      </c>
      <c r="AL41" s="16" t="n">
        <f aca="false">AL12+AL39</f>
        <v>62734.2895935067</v>
      </c>
      <c r="AM41" s="16" t="n">
        <f aca="false">AM12+AM39</f>
        <v>-76287.4053652636</v>
      </c>
      <c r="AN41" s="16" t="n">
        <f aca="false">AN12+AN39</f>
        <v>-78881.3818560234</v>
      </c>
      <c r="AO41" s="16" t="n">
        <f aca="false">AO12+AO39</f>
        <v>-82144.1420707539</v>
      </c>
      <c r="AP41" s="16" t="n">
        <f aca="false">AP12+AP39</f>
        <v>-86047.5027841792</v>
      </c>
      <c r="AQ41" s="16" t="n">
        <f aca="false">AQ12+AQ39</f>
        <v>-90553.4298316159</v>
      </c>
      <c r="AR41" s="16" t="n">
        <f aca="false">AR12+AR39</f>
        <v>161582.148385811</v>
      </c>
      <c r="AS41" s="16" t="n">
        <f aca="false">AS12+AS39</f>
        <v>-223291.511660611</v>
      </c>
      <c r="AT41" s="16" t="n">
        <f aca="false">AT12+AT39</f>
        <v>-225013.502424896</v>
      </c>
      <c r="AU41" s="16" t="n">
        <f aca="false">AU12+AU39</f>
        <v>-227535.262233039</v>
      </c>
      <c r="AV41" s="16" t="n">
        <f aca="false">AV12+AV39</f>
        <v>-230780.258162182</v>
      </c>
      <c r="AW41" s="16" t="n">
        <f aca="false">AW12+AW39</f>
        <v>-234658.564027968</v>
      </c>
      <c r="AX41" s="16" t="n">
        <f aca="false">AX12+AX39</f>
        <v>-239064.947061468</v>
      </c>
      <c r="AY41" s="16" t="n">
        <f aca="false">AY12+AY39</f>
        <v>-246644.144543512</v>
      </c>
      <c r="AZ41" s="16" t="n">
        <f aca="false">AZ12+AZ39</f>
        <v>-251752.717144226</v>
      </c>
      <c r="BA41" s="16" t="n">
        <f aca="false">BA12+BA39</f>
        <v>-257031.575498298</v>
      </c>
      <c r="BB41" s="16" t="n">
        <f aca="false">BB12+BB39</f>
        <v>-262365.92022144</v>
      </c>
      <c r="BC41" s="16" t="n">
        <f aca="false">BC12+BC39</f>
        <v>-267650.518544726</v>
      </c>
      <c r="BD41" s="16" t="n">
        <f aca="false">BD12+BD39</f>
        <v>-272789.704314583</v>
      </c>
      <c r="BE41" s="16" t="n">
        <f aca="false">BE12+BE39</f>
        <v>-277705.031285083</v>
      </c>
      <c r="BF41" s="16" t="n">
        <f aca="false">BF12+BF39</f>
        <v>-47360.0331487261</v>
      </c>
      <c r="BG41" s="16" t="n">
        <f aca="false">BG12+BG39</f>
        <v>-398172.528874179</v>
      </c>
      <c r="BH41" s="16" t="n">
        <f aca="false">BH12+BH39</f>
        <v>-398172.528874179</v>
      </c>
      <c r="BI41" s="16" t="n">
        <f aca="false">BI12+BI39</f>
        <v>-398172.528874179</v>
      </c>
      <c r="BJ41" s="16" t="n">
        <f aca="false">BJ12+BJ39</f>
        <v>-398172.528874179</v>
      </c>
      <c r="BK41" s="16" t="n">
        <f aca="false">BK12+BK39</f>
        <v>-400991.159451662</v>
      </c>
      <c r="BL41" s="16" t="n">
        <f aca="false">BL12+BL39</f>
        <v>-400991.159451662</v>
      </c>
      <c r="BM41" s="16" t="n">
        <f aca="false">BM12+BM39</f>
        <v>-400991.159451662</v>
      </c>
      <c r="BN41" s="16" t="n">
        <f aca="false">BN12+BN39</f>
        <v>-400991.159451662</v>
      </c>
      <c r="BO41" s="16" t="n">
        <f aca="false">BO12+BO39</f>
        <v>-400991.159451662</v>
      </c>
      <c r="BP41" s="16" t="n">
        <f aca="false">BP12+BP39</f>
        <v>-400991.159451662</v>
      </c>
      <c r="BQ41" s="16" t="n">
        <f aca="false">BQ12+BQ39</f>
        <v>-400991.159451662</v>
      </c>
      <c r="BR41" s="16" t="n">
        <f aca="false">BR12+BR39</f>
        <v>-400991.159451662</v>
      </c>
      <c r="BS41" s="16" t="n">
        <f aca="false">BS12+BS39</f>
        <v>-400991.159451662</v>
      </c>
      <c r="BT41" s="16" t="n">
        <f aca="false">BT12+BT39</f>
        <v>-400991.159451662</v>
      </c>
      <c r="BU41" s="16" t="n">
        <f aca="false">BU12+BU39</f>
        <v>-400991.159451662</v>
      </c>
      <c r="BV41" s="16" t="n">
        <f aca="false">BV12+BV39</f>
        <v>-400991.159451662</v>
      </c>
      <c r="BW41" s="16" t="n">
        <f aca="false">BW12+BW39</f>
        <v>-403866.162640695</v>
      </c>
      <c r="BX41" s="16" t="n">
        <f aca="false">BX12+BX39</f>
        <v>-403866.162640695</v>
      </c>
      <c r="BY41" s="16" t="n">
        <f aca="false">BY12+BY39</f>
        <v>-403866.162640695</v>
      </c>
      <c r="BZ41" s="16" t="n">
        <f aca="false">BZ12+BZ39</f>
        <v>-403866.162640695</v>
      </c>
      <c r="CA41" s="16" t="n">
        <f aca="false">CA12+CA39</f>
        <v>-403866.162640695</v>
      </c>
      <c r="CB41" s="16" t="n">
        <f aca="false">CB12+CB39</f>
        <v>-403866.162640695</v>
      </c>
      <c r="CC41" s="16" t="n">
        <f aca="false">CC12+CC39</f>
        <v>-403866.162640695</v>
      </c>
      <c r="CD41" s="16" t="n">
        <f aca="false">CD12+CD39</f>
        <v>-403866.162640695</v>
      </c>
      <c r="CE41" s="16" t="n">
        <f aca="false">CE12+CE39</f>
        <v>-403866.162640695</v>
      </c>
      <c r="CF41" s="16" t="n">
        <f aca="false">CF12+CF39</f>
        <v>-403866.162640695</v>
      </c>
      <c r="CG41" s="16" t="n">
        <f aca="false">CG12+CG39</f>
        <v>-403866.162640695</v>
      </c>
      <c r="CH41" s="16" t="n">
        <f aca="false">CH12+CH39</f>
        <v>-403866.162640695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0.407425071511441</v>
      </c>
      <c r="G42" s="32" t="n">
        <f aca="false">IF(G12&lt;&gt;0,G41/G12,0)</f>
        <v>0.301317119151456</v>
      </c>
      <c r="H42" s="32" t="n">
        <f aca="false">IF(H12&lt;&gt;0,H41/H12,0)</f>
        <v>0.308361519579772</v>
      </c>
      <c r="I42" s="32" t="n">
        <f aca="false">IF(I12&lt;&gt;0,I41/I12,0)</f>
        <v>0.454506085592896</v>
      </c>
      <c r="J42" s="32" t="n">
        <f aca="false">IF(J12&lt;&gt;0,J41/J12,0)</f>
        <v>0.503681894842554</v>
      </c>
      <c r="K42" s="32" t="n">
        <f aca="false">IF(K12&lt;&gt;0,K41/K12,0)</f>
        <v>0.460753493752903</v>
      </c>
      <c r="L42" s="32" t="n">
        <f aca="false">IF(L12&lt;&gt;0,L41/L12,0)</f>
        <v>0.467488751190852</v>
      </c>
      <c r="M42" s="32" t="n">
        <f aca="false">IF(M12&lt;&gt;0,M41/M12,0)</f>
        <v>0.472203927986262</v>
      </c>
      <c r="N42" s="32" t="n">
        <f aca="false">IF(N12&lt;&gt;0,N41/N12,0)</f>
        <v>0.474887372019781</v>
      </c>
      <c r="O42" s="32" t="n">
        <f aca="false">IF(O12&lt;&gt;0,O41/O12,0)</f>
        <v>-0.205103717072147</v>
      </c>
      <c r="P42" s="32" t="n">
        <f aca="false">IF(P12&lt;&gt;0,P41/P12,0)</f>
        <v>0.55074276782958</v>
      </c>
      <c r="Q42" s="32" t="n">
        <f aca="false">IF(Q12&lt;&gt;0,Q41/Q12,0)</f>
        <v>0.614191394069411</v>
      </c>
      <c r="R42" s="32" t="n">
        <f aca="false">IF(R12&lt;&gt;0,R41/R12,0)</f>
        <v>0.532622104753952</v>
      </c>
      <c r="S42" s="32" t="n">
        <f aca="false">IF(S12&lt;&gt;0,S41/S12,0)</f>
        <v>0.397770406492212</v>
      </c>
      <c r="T42" s="32" t="n">
        <f aca="false">IF(T12&lt;&gt;0,T41/T12,0)</f>
        <v>0.397611141578258</v>
      </c>
      <c r="U42" s="32" t="n">
        <f aca="false">IF(U12&lt;&gt;0,U41/U12,0)</f>
        <v>0.413463724842551</v>
      </c>
      <c r="V42" s="32" t="n">
        <f aca="false">IF(V12&lt;&gt;0,V41/V12,0)</f>
        <v>0.368966290953207</v>
      </c>
      <c r="W42" s="32" t="n">
        <f aca="false">IF(W12&lt;&gt;0,W41/W12,0)</f>
        <v>0.357508805922599</v>
      </c>
      <c r="X42" s="32" t="n">
        <f aca="false">IF(X12&lt;&gt;0,X41/X12,0)</f>
        <v>0.34263025536552</v>
      </c>
      <c r="Y42" s="32" t="n">
        <f aca="false">IF(Y12&lt;&gt;0,Y41/Y12,0)</f>
        <v>0.324804437681239</v>
      </c>
      <c r="Z42" s="32" t="n">
        <f aca="false">IF(Z12&lt;&gt;0,Z41/Z12,0)</f>
        <v>0.304562688821901</v>
      </c>
      <c r="AA42" s="32" t="n">
        <f aca="false">IF(AA12&lt;&gt;0,AA41/AA12,0)</f>
        <v>0.36763074504606</v>
      </c>
      <c r="AB42" s="32" t="n">
        <f aca="false">IF(AB12&lt;&gt;0,AB41/AB12,0)</f>
        <v>0.162602315532144</v>
      </c>
      <c r="AC42" s="32" t="n">
        <f aca="false">IF(AC12&lt;&gt;0,AC41/AC12,0)</f>
        <v>-0.483280756000722</v>
      </c>
      <c r="AD42" s="32" t="n">
        <f aca="false">IF(AD12&lt;&gt;0,AD41/AD12,0)</f>
        <v>0.234109757669499</v>
      </c>
      <c r="AE42" s="32" t="n">
        <f aca="false">IF(AE12&lt;&gt;0,AE41/AE12,0)</f>
        <v>0.237253132180175</v>
      </c>
      <c r="AF42" s="32" t="n">
        <f aca="false">IF(AF12&lt;&gt;0,AF41/AF12,0)</f>
        <v>0.239169747774764</v>
      </c>
      <c r="AG42" s="32" t="n">
        <f aca="false">IF(AG12&lt;&gt;0,AG41/AG12,0)</f>
        <v>0.383964418295681</v>
      </c>
      <c r="AH42" s="32" t="n">
        <f aca="false">IF(AH12&lt;&gt;0,AH41/AH12,0)</f>
        <v>0.149507733720383</v>
      </c>
      <c r="AI42" s="32" t="n">
        <f aca="false">IF(AI12&lt;&gt;0,AI41/AI12,0)</f>
        <v>0.442884212711668</v>
      </c>
      <c r="AJ42" s="32" t="n">
        <f aca="false">IF(AJ12&lt;&gt;0,AJ41/AJ12,0)</f>
        <v>-0.0593393720544093</v>
      </c>
      <c r="AK42" s="32" t="n">
        <f aca="false">IF(AK12&lt;&gt;0,AK41/AK12,0)</f>
        <v>-0.0660654772374453</v>
      </c>
      <c r="AL42" s="32" t="n">
        <f aca="false">IF(AL12&lt;&gt;0,AL41/AL12,0)</f>
        <v>0.137746087584134</v>
      </c>
      <c r="AM42" s="32" t="n">
        <f aca="false">IF(AM12&lt;&gt;0,AM41/AM12,0)</f>
        <v>-0.239054225941888</v>
      </c>
      <c r="AN42" s="32" t="n">
        <f aca="false">IF(AN12&lt;&gt;0,AN41/AN12,0)</f>
        <v>-0.249208397860793</v>
      </c>
      <c r="AO42" s="32" t="n">
        <f aca="false">IF(AO12&lt;&gt;0,AO41/AO12,0)</f>
        <v>-0.262219322013803</v>
      </c>
      <c r="AP42" s="32" t="n">
        <f aca="false">IF(AP12&lt;&gt;0,AP41/AP12,0)</f>
        <v>-0.278145333236463</v>
      </c>
      <c r="AQ42" s="32" t="n">
        <f aca="false">IF(AQ12&lt;&gt;0,AQ41/AQ12,0)</f>
        <v>-0.297036989034802</v>
      </c>
      <c r="AR42" s="32" t="n">
        <f aca="false">IF(AR12&lt;&gt;0,AR41/AR12,0)</f>
        <v>0.290098147564082</v>
      </c>
      <c r="AS42" s="32" t="n">
        <f aca="false">IF(AS12&lt;&gt;0,AS41/AS12,0)</f>
        <v>-1.29731905239277</v>
      </c>
      <c r="AT42" s="32" t="n">
        <f aca="false">IF(AT12&lt;&gt;0,AT41/AT12,0)</f>
        <v>-1.32053538382976</v>
      </c>
      <c r="AU42" s="32" t="n">
        <f aca="false">IF(AU12&lt;&gt;0,AU41/AU12,0)</f>
        <v>-1.35539388624282</v>
      </c>
      <c r="AV42" s="32" t="n">
        <f aca="false">IF(AV12&lt;&gt;0,AV41/AV12,0)</f>
        <v>-1.40182099125774</v>
      </c>
      <c r="AW42" s="32" t="n">
        <f aca="false">IF(AW12&lt;&gt;0,AW41/AW12,0)</f>
        <v>-1.4597678751264</v>
      </c>
      <c r="AX42" s="32" t="n">
        <f aca="false">IF(AX12&lt;&gt;0,AX41/AX12,0)</f>
        <v>-1.52909362017277</v>
      </c>
      <c r="AY42" s="32" t="n">
        <f aca="false">IF(AY12&lt;&gt;0,AY41/AY12,0)</f>
        <v>-1.62770919542891</v>
      </c>
      <c r="AZ42" s="32" t="n">
        <f aca="false">IF(AZ12&lt;&gt;0,AZ41/AZ12,0)</f>
        <v>-1.71938970669176</v>
      </c>
      <c r="BA42" s="32" t="n">
        <f aca="false">IF(BA12&lt;&gt;0,BA41/BA12,0)</f>
        <v>-1.82109847886447</v>
      </c>
      <c r="BB42" s="32" t="n">
        <f aca="false">IF(BB12&lt;&gt;0,BB41/BB12,0)</f>
        <v>-1.93190834248957</v>
      </c>
      <c r="BC42" s="32" t="n">
        <f aca="false">IF(BC12&lt;&gt;0,BC41/BC12,0)</f>
        <v>-2.05061596790569</v>
      </c>
      <c r="BD42" s="32" t="n">
        <f aca="false">IF(BD12&lt;&gt;0,BD41/BD12,0)</f>
        <v>-2.1756544827631</v>
      </c>
      <c r="BE42" s="32" t="n">
        <f aca="false">IF(BE12&lt;&gt;0,BE41/BE12,0)</f>
        <v>-2.30522785683083</v>
      </c>
      <c r="BF42" s="32" t="n">
        <f aca="false">IF(BF12&lt;&gt;0,BF41/BF12,0)</f>
        <v>-0.135000986925478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582</v>
      </c>
      <c r="B63" s="33">
        <v>4101960.074</v>
      </c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23132.2304</v>
      </c>
      <c r="M63" s="10" t="n">
        <f aca="false">IF(Uplifters!$B$2="Yes",Uplifters!M107,0)</f>
        <v>16882.0304</v>
      </c>
      <c r="N63" s="10" t="n">
        <f aca="false">IF(Uplifters!$B$2="Yes",Uplifters!N107,0)</f>
        <v>16882.0304</v>
      </c>
      <c r="O63" s="10" t="n">
        <f aca="false">IF(Uplifters!$B$2="Yes",Uplifters!O107,0)</f>
        <v>16882.0304</v>
      </c>
      <c r="P63" s="10" t="n">
        <f aca="false">IF(Uplifters!$B$2="Yes",Uplifters!P107,0)</f>
        <v>12382.0304</v>
      </c>
      <c r="Q63" s="10" t="n">
        <f aca="false">IF(Uplifters!$B$2="Yes",Uplifters!Q107,0)</f>
        <v>12382.0304</v>
      </c>
      <c r="R63" s="10" t="n">
        <f aca="false">IF(Uplifters!$B$2="Yes",Uplifters!R107,0)</f>
        <v>28954.2928</v>
      </c>
      <c r="S63" s="10" t="n">
        <f aca="false">IF(Uplifters!$B$2="Yes",Uplifters!S107,0)</f>
        <v>45526.555199999995</v>
      </c>
      <c r="T63" s="10" t="n">
        <f aca="false">IF(Uplifters!$B$2="Yes",Uplifters!T107,0)</f>
        <v>62098.817599999995</v>
      </c>
      <c r="U63" s="10" t="n">
        <f aca="false">IF(Uplifters!$B$2="Yes",Uplifters!U107,0)</f>
        <v>72225.794</v>
      </c>
      <c r="V63" s="10" t="n">
        <f aca="false">IF(Uplifters!$B$2="Yes",Uplifters!V107,0)</f>
        <v>87762.296</v>
      </c>
      <c r="W63" s="10" t="n">
        <f aca="false">IF(Uplifters!$B$2="Yes",Uplifters!W107,0)</f>
        <v>103298.786</v>
      </c>
      <c r="X63" s="10" t="n">
        <f aca="false">IF(Uplifters!$B$2="Yes",Uplifters!X107,0)</f>
        <v>118835.276</v>
      </c>
      <c r="Y63" s="10" t="n">
        <f aca="false">IF(Uplifters!$B$2="Yes",Uplifters!Y107,0)</f>
        <v>134371.772</v>
      </c>
      <c r="Z63" s="10" t="n">
        <f aca="false">IF(Uplifters!$B$2="Yes",Uplifters!Z107,0)</f>
        <v>149908.27399999998</v>
      </c>
      <c r="AA63" s="10" t="n">
        <f aca="false">IF(Uplifters!$B$2="Yes",Uplifters!AA107,0)</f>
        <v>152699.367</v>
      </c>
      <c r="AB63" s="10" t="n">
        <f aca="false">IF(Uplifters!$B$2="Yes",Uplifters!AB107,0)</f>
        <v>166941.1605</v>
      </c>
      <c r="AC63" s="10" t="n">
        <f aca="false">IF(Uplifters!$B$2="Yes",Uplifters!AC107,0)</f>
        <v>200231.2855</v>
      </c>
      <c r="AD63" s="10" t="n">
        <f aca="false">IF(Uplifters!$B$2="Yes",Uplifters!AD107,0)</f>
        <v>151106.05550000002</v>
      </c>
      <c r="AE63" s="10" t="n">
        <f aca="false">IF(Uplifters!$B$2="Yes",Uplifters!AE107,0)</f>
        <v>151536.22149999999</v>
      </c>
      <c r="AF63" s="10" t="n">
        <f aca="false">IF(Uplifters!$B$2="Yes",Uplifters!AF107,0)</f>
        <v>151966.37649999998</v>
      </c>
      <c r="AG63" s="10" t="n">
        <f aca="false">IF(Uplifters!$B$2="Yes",Uplifters!AG107,0)</f>
        <v>152396.537</v>
      </c>
      <c r="AH63" s="10" t="n">
        <f aca="false">IF(Uplifters!$B$2="Yes",Uplifters!AH107,0)</f>
        <v>152826.69199999998</v>
      </c>
      <c r="AI63" s="10" t="n">
        <f aca="false">IF(Uplifters!$B$2="Yes",Uplifters!AI107,0)</f>
        <v>167498.6405</v>
      </c>
      <c r="AJ63" s="10" t="n">
        <f aca="false">IF(Uplifters!$B$2="Yes",Uplifters!AJ107,0)</f>
        <v>153687.0185</v>
      </c>
      <c r="AK63" s="10" t="n">
        <f aca="false">IF(Uplifters!$B$2="Yes",Uplifters!AK107,0)</f>
        <v>139875.391</v>
      </c>
      <c r="AL63" s="10" t="n">
        <f aca="false">IF(Uplifters!$B$2="Yes",Uplifters!AL107,0)</f>
        <v>126063.7635</v>
      </c>
      <c r="AM63" s="10" t="n">
        <f aca="false">IF(Uplifters!$B$2="Yes",Uplifters!AM107,0)</f>
        <v>112252.1305</v>
      </c>
      <c r="AN63" s="10" t="n">
        <f aca="false">IF(Uplifters!$B$2="Yes",Uplifters!AN107,0)</f>
        <v>90627.735</v>
      </c>
      <c r="AO63" s="10" t="n">
        <f aca="false">IF(Uplifters!$B$2="Yes",Uplifters!AO107,0)</f>
        <v>78071.71</v>
      </c>
      <c r="AP63" s="10" t="n">
        <f aca="false">IF(Uplifters!$B$2="Yes",Uplifters!AP107,0)</f>
        <v>65515.67999999999</v>
      </c>
      <c r="AQ63" s="10" t="n">
        <f aca="false">IF(Uplifters!$B$2="Yes",Uplifters!AQ107,0)</f>
        <v>52959.66</v>
      </c>
      <c r="AR63" s="10" t="n">
        <f aca="false">IF(Uplifters!$B$2="Yes",Uplifters!AR107,0)</f>
        <v>39919.048500000004</v>
      </c>
      <c r="AS63" s="10" t="n">
        <f aca="false">IF(Uplifters!$B$2="Yes",Uplifters!AS107,0)</f>
        <v>80797.05</v>
      </c>
      <c r="AT63" s="10" t="n">
        <f aca="false">IF(Uplifters!$B$2="Yes",Uplifters!AT107,0)</f>
        <v>67849.975</v>
      </c>
      <c r="AU63" s="10" t="n">
        <f aca="false">IF(Uplifters!$B$2="Yes",Uplifters!AU107,0)</f>
        <v>42056.6125</v>
      </c>
      <c r="AV63" s="10" t="n">
        <f aca="false">IF(Uplifters!$B$2="Yes",Uplifters!AV107,0)</f>
        <v>41626.452</v>
      </c>
      <c r="AW63" s="10" t="n">
        <f aca="false">IF(Uplifters!$B$2="Yes",Uplifters!AW107,0)</f>
        <v>41196.286</v>
      </c>
      <c r="AX63" s="10" t="n">
        <f aca="false">IF(Uplifters!$B$2="Yes",Uplifters!AX107,0)</f>
        <v>40766.130999999994</v>
      </c>
      <c r="AY63" s="10" t="n">
        <f aca="false">IF(Uplifters!$B$2="Yes",Uplifters!AY107,0)</f>
        <v>40335.970499999996</v>
      </c>
      <c r="AZ63" s="10" t="n">
        <f aca="false">IF(Uplifters!$B$2="Yes",Uplifters!AZ107,0)</f>
        <v>39905.81</v>
      </c>
      <c r="BA63" s="10" t="n">
        <f aca="false">IF(Uplifters!$B$2="Yes",Uplifters!BA107,0)</f>
        <v>39475.6495</v>
      </c>
      <c r="BB63" s="10" t="n">
        <f aca="false">IF(Uplifters!$B$2="Yes",Uplifters!BB107,0)</f>
        <v>39045.489</v>
      </c>
      <c r="BC63" s="10" t="n">
        <f aca="false">IF(Uplifters!$B$2="Yes",Uplifters!BC107,0)</f>
        <v>38615.3285</v>
      </c>
      <c r="BD63" s="10" t="n">
        <f aca="false">IF(Uplifters!$B$2="Yes",Uplifters!BD107,0)</f>
        <v>38185.168</v>
      </c>
      <c r="BE63" s="10" t="n">
        <f aca="false">IF(Uplifters!$B$2="Yes",Uplifters!BE107,0)</f>
        <v>37755.0075</v>
      </c>
      <c r="BF63" s="10" t="n">
        <f aca="false">IF(Uplifters!$B$2="Yes",Uplifters!BF107,0)</f>
        <v>37324.846999999994</v>
      </c>
      <c r="BG63" s="10" t="n">
        <f aca="false">IF(Uplifters!$B$2="Yes",Uplifters!BG107,0)</f>
        <v>36894.692</v>
      </c>
      <c r="BH63" s="10" t="n">
        <f aca="false">IF(Uplifters!$B$2="Yes",Uplifters!BH107,0)</f>
        <v>59965.026000000005</v>
      </c>
      <c r="BI63" s="10" t="n">
        <f aca="false">IF(Uplifters!$B$2="Yes",Uplifters!BI107,0)</f>
        <v>59534.86550000001</v>
      </c>
      <c r="BJ63" s="10" t="n">
        <f aca="false">IF(Uplifters!$B$2="Yes",Uplifters!BJ107,0)</f>
        <v>112930.995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45538.0804</v>
      </c>
      <c r="M64" s="34" t="n">
        <f aca="false">SUM(M47:M63)</f>
        <v>45538.0804</v>
      </c>
      <c r="N64" s="34" t="n">
        <f aca="false">SUM(N47:N63)</f>
        <v>45538.0804</v>
      </c>
      <c r="O64" s="34" t="n">
        <f aca="false">SUM(O47:O63)</f>
        <v>45538.0804</v>
      </c>
      <c r="P64" s="34" t="n">
        <f aca="false">SUM(P47:P63)</f>
        <v>45538.0804</v>
      </c>
      <c r="Q64" s="34" t="n">
        <f aca="false">SUM(Q47:Q63)</f>
        <v>45538.0804</v>
      </c>
      <c r="R64" s="34" t="n">
        <f aca="false">SUM(R47:R63)</f>
        <v>25703.6928</v>
      </c>
      <c r="S64" s="34" t="n">
        <f aca="false">SUM(S47:S63)</f>
        <v>42275.9552</v>
      </c>
      <c r="T64" s="34" t="n">
        <f aca="false">SUM(T47:T63)</f>
        <v>58848.2176</v>
      </c>
      <c r="U64" s="34" t="n">
        <f aca="false">SUM(U47:U63)</f>
        <v>75420.4736</v>
      </c>
      <c r="V64" s="34" t="n">
        <f aca="false">SUM(V47:V63)</f>
        <v>91992.7424</v>
      </c>
      <c r="W64" s="34" t="n">
        <f aca="false">SUM(W47:W63)</f>
        <v>165939.9984</v>
      </c>
      <c r="X64" s="34" t="n">
        <f aca="false">SUM(X47:X63)</f>
        <v>125137.2544</v>
      </c>
      <c r="Y64" s="34" t="n">
        <f aca="false">SUM(Y47:Y63)</f>
        <v>141709.5168</v>
      </c>
      <c r="Z64" s="34" t="n">
        <f aca="false">SUM(Z47:Z63)</f>
        <v>215656.7856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-116814.583333333</v>
      </c>
      <c r="H85" s="12" t="n">
        <f aca="false">H66+H67+H68+H69+H70+SUM(H71:H84)</f>
        <v>-116814.583333333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-73200.0033333333</v>
      </c>
      <c r="H87" s="16" t="n">
        <f aca="false">H64+H85</f>
        <v>-74033.3333333333</v>
      </c>
      <c r="I87" s="16" t="n">
        <f aca="false">I64+I85</f>
        <v>-74033.3333333333</v>
      </c>
      <c r="J87" s="16" t="n">
        <f aca="false">J64+J85</f>
        <v>-83408.3333333333</v>
      </c>
      <c r="K87" s="16" t="n">
        <f aca="false">K64+K85</f>
        <v>-104408.333333333</v>
      </c>
      <c r="L87" s="16" t="n">
        <f aca="false">L64+L85</f>
        <v>-71276.5029333333</v>
      </c>
      <c r="M87" s="16" t="n">
        <f aca="false">M64+M85</f>
        <v>-71276.5029333333</v>
      </c>
      <c r="N87" s="16" t="n">
        <f aca="false">N64+N85</f>
        <v>-71276.5029333333</v>
      </c>
      <c r="O87" s="16" t="n">
        <f aca="false">O64+O85</f>
        <v>-73612.7946</v>
      </c>
      <c r="P87" s="16" t="n">
        <f aca="false">P64+P85</f>
        <v>-73612.7946</v>
      </c>
      <c r="Q87" s="16" t="n">
        <f aca="false">Q64+Q85</f>
        <v>-73612.7946</v>
      </c>
      <c r="R87" s="16" t="n">
        <f aca="false">R64+R85</f>
        <v>-116907.1822</v>
      </c>
      <c r="S87" s="16" t="n">
        <f aca="false">S64+S85</f>
        <v>-76874.9198</v>
      </c>
      <c r="T87" s="16" t="n">
        <f aca="false">T64+T85</f>
        <v>-60302.6574</v>
      </c>
      <c r="U87" s="16" t="n">
        <f aca="false">U64+U85</f>
        <v>-43730.4014</v>
      </c>
      <c r="V87" s="16" t="n">
        <f aca="false">V64+V85</f>
        <v>-27158.1326</v>
      </c>
      <c r="W87" s="16" t="n">
        <f aca="false">W64+W85</f>
        <v>25369.1234</v>
      </c>
      <c r="X87" s="16" t="n">
        <f aca="false">X64+X85</f>
        <v>5986.37939999999</v>
      </c>
      <c r="Y87" s="16" t="n">
        <f aca="false">Y64+Y85</f>
        <v>22558.6418</v>
      </c>
      <c r="Z87" s="16" t="n">
        <f aca="false">Z64+Z85</f>
        <v>96505.9106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834536.530861529</v>
      </c>
      <c r="S90" s="10" t="n">
        <f aca="false">S12</f>
        <v>647666.490495964</v>
      </c>
      <c r="T90" s="10" t="n">
        <f aca="false">T12</f>
        <v>647495.254679701</v>
      </c>
      <c r="U90" s="10" t="n">
        <f aca="false">U12</f>
        <v>664995.404069931</v>
      </c>
      <c r="V90" s="10" t="n">
        <f aca="false">V12</f>
        <v>618103.156310271</v>
      </c>
      <c r="W90" s="10" t="n">
        <f aca="false">W12</f>
        <v>607080.580863201</v>
      </c>
      <c r="X90" s="10" t="n">
        <f aca="false">X12</f>
        <v>593340.247986128</v>
      </c>
      <c r="Y90" s="10" t="n">
        <f aca="false">Y12</f>
        <v>577675.489987684</v>
      </c>
      <c r="Z90" s="10" t="n">
        <f aca="false">Z12</f>
        <v>560861.376044448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45538.0804</v>
      </c>
      <c r="M91" s="10" t="n">
        <f aca="false">M64</f>
        <v>45538.0804</v>
      </c>
      <c r="N91" s="10" t="n">
        <f aca="false">N64</f>
        <v>45538.0804</v>
      </c>
      <c r="O91" s="10" t="n">
        <f aca="false">O64</f>
        <v>45538.0804</v>
      </c>
      <c r="P91" s="10" t="n">
        <f aca="false">P64</f>
        <v>45538.0804</v>
      </c>
      <c r="Q91" s="10" t="n">
        <f aca="false">Q64</f>
        <v>45538.0804</v>
      </c>
      <c r="R91" s="10" t="n">
        <f aca="false">R64</f>
        <v>25703.6928</v>
      </c>
      <c r="S91" s="10" t="n">
        <f aca="false">S64</f>
        <v>42275.9552</v>
      </c>
      <c r="T91" s="10" t="n">
        <f aca="false">T64</f>
        <v>58848.2176</v>
      </c>
      <c r="U91" s="10" t="n">
        <f aca="false">U64</f>
        <v>75420.4736</v>
      </c>
      <c r="V91" s="10" t="n">
        <f aca="false">V64</f>
        <v>91992.7424</v>
      </c>
      <c r="W91" s="10" t="n">
        <f aca="false">W64</f>
        <v>165939.9984</v>
      </c>
      <c r="X91" s="10" t="n">
        <f aca="false">X64</f>
        <v>125137.2544</v>
      </c>
      <c r="Y91" s="10" t="n">
        <f aca="false">Y64</f>
        <v>141709.5168</v>
      </c>
      <c r="Z91" s="10" t="n">
        <f aca="false">Z64</f>
        <v>215656.7856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773109.468234085</v>
      </c>
      <c r="M92" s="12" t="n">
        <f aca="false">M90+M91</f>
        <v>779609.379671149</v>
      </c>
      <c r="N92" s="12" t="n">
        <f aca="false">N90+N91</f>
        <v>783360.649671611</v>
      </c>
      <c r="O92" s="12" t="n">
        <f aca="false">O90+O91</f>
        <v>1589981.04073034</v>
      </c>
      <c r="P92" s="12" t="n">
        <f aca="false">P90+P91</f>
        <v>913735.405606424</v>
      </c>
      <c r="Q92" s="12" t="n">
        <f aca="false">Q90+Q91</f>
        <v>1056515.85877069</v>
      </c>
      <c r="R92" s="12" t="n">
        <f aca="false">R90+R91</f>
        <v>860240.223661529</v>
      </c>
      <c r="S92" s="12" t="n">
        <f aca="false">S90+S91</f>
        <v>689942.445695964</v>
      </c>
      <c r="T92" s="12" t="n">
        <f aca="false">T90+T91</f>
        <v>706343.472279701</v>
      </c>
      <c r="U92" s="12" t="n">
        <f aca="false">U90+U91</f>
        <v>740415.877669931</v>
      </c>
      <c r="V92" s="12" t="n">
        <f aca="false">V90+V91</f>
        <v>710095.898710271</v>
      </c>
      <c r="W92" s="12" t="n">
        <f aca="false">W90+W91</f>
        <v>773020.579263201</v>
      </c>
      <c r="X92" s="12" t="n">
        <f aca="false">X90+X91</f>
        <v>718477.502386128</v>
      </c>
      <c r="Y92" s="12" t="n">
        <f aca="false">Y90+Y91</f>
        <v>719385.006787684</v>
      </c>
      <c r="Z92" s="12" t="n">
        <f aca="false">Z90+Z91</f>
        <v>776518.161644448</v>
      </c>
      <c r="AA92" s="12" t="n">
        <f aca="false">AA90+AA91</f>
        <v>795851.951870959</v>
      </c>
      <c r="AB92" s="12" t="n">
        <f aca="false">AB90+AB91</f>
        <v>660379.106819004</v>
      </c>
      <c r="AC92" s="12" t="n">
        <f aca="false">AC90+AC91</f>
        <v>1465073.48946503</v>
      </c>
      <c r="AD92" s="12" t="n">
        <f aca="false">AD90+AD91</f>
        <v>692403.521679576</v>
      </c>
      <c r="AE92" s="12" t="n">
        <f aca="false">AE90+AE91</f>
        <v>695017.129791913</v>
      </c>
      <c r="AF92" s="12" t="n">
        <f aca="false">AF90+AF91</f>
        <v>696814.637122833</v>
      </c>
      <c r="AG92" s="12" t="n">
        <f aca="false">AG90+AG91</f>
        <v>809131.693152735</v>
      </c>
      <c r="AH92" s="12" t="n">
        <f aca="false">AH90+AH91</f>
        <v>633901.658621331</v>
      </c>
      <c r="AI92" s="12" t="n">
        <f aca="false">AI90+AI91</f>
        <v>894122.270806854</v>
      </c>
      <c r="AJ92" s="12" t="n">
        <f aca="false">AJ90+AJ91</f>
        <v>543872.9080659</v>
      </c>
      <c r="AK92" s="12" t="n">
        <f aca="false">AK90+AK91</f>
        <v>525462.328956272</v>
      </c>
      <c r="AL92" s="12" t="n">
        <f aca="false">AL90+AL91</f>
        <v>596461.040239507</v>
      </c>
      <c r="AM92" s="12" t="n">
        <f aca="false">AM90+AM91</f>
        <v>444076.806597656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-705406.463533333</v>
      </c>
      <c r="G93" s="10" t="n">
        <f aca="false">G39</f>
        <v>-387439.948333333</v>
      </c>
      <c r="H93" s="10" t="n">
        <f aca="false">H39</f>
        <v>-387439.948333333</v>
      </c>
      <c r="I93" s="10" t="n">
        <f aca="false">I39</f>
        <v>-605522.795333333</v>
      </c>
      <c r="J93" s="10" t="n">
        <f aca="false">J39</f>
        <v>-544789.145333333</v>
      </c>
      <c r="K93" s="10" t="n">
        <f aca="false">K39</f>
        <v>-387439.948333333</v>
      </c>
      <c r="L93" s="10" t="n">
        <f aca="false">L39</f>
        <v>-387439.948333333</v>
      </c>
      <c r="M93" s="10" t="n">
        <f aca="false">M39</f>
        <v>-387439.948333333</v>
      </c>
      <c r="N93" s="10" t="n">
        <f aca="false">N39</f>
        <v>-387439.948333333</v>
      </c>
      <c r="O93" s="10" t="n">
        <f aca="false">O39</f>
        <v>-1861213.9523</v>
      </c>
      <c r="P93" s="10" t="n">
        <f aca="false">P39</f>
        <v>-390043.9273</v>
      </c>
      <c r="Q93" s="10" t="n">
        <f aca="false">Q39</f>
        <v>-390043.9273</v>
      </c>
      <c r="R93" s="10" t="n">
        <f aca="false">R39</f>
        <v>-390043.9273</v>
      </c>
      <c r="S93" s="10" t="n">
        <f aca="false">S39</f>
        <v>-390043.9273</v>
      </c>
      <c r="T93" s="10" t="n">
        <f aca="false">T39</f>
        <v>-390043.9273</v>
      </c>
      <c r="U93" s="10" t="n">
        <f aca="false">U39</f>
        <v>-390043.9273</v>
      </c>
      <c r="V93" s="10" t="n">
        <f aca="false">V39</f>
        <v>-390043.9273</v>
      </c>
      <c r="W93" s="10" t="n">
        <f aca="false">W39</f>
        <v>-390043.9273</v>
      </c>
      <c r="X93" s="10" t="n">
        <f aca="false">X39</f>
        <v>-390043.9273</v>
      </c>
      <c r="Y93" s="10" t="n">
        <f aca="false">Y39</f>
        <v>-390043.9273</v>
      </c>
      <c r="Z93" s="10" t="n">
        <f aca="false">Z39</f>
        <v>-390043.9273</v>
      </c>
      <c r="AA93" s="10" t="n">
        <f aca="false">AA39</f>
        <v>-392699.985846</v>
      </c>
      <c r="AB93" s="10" t="n">
        <f aca="false">AB39</f>
        <v>-392699.985846</v>
      </c>
      <c r="AC93" s="10" t="n">
        <f aca="false">AC39</f>
        <v>-1736725.525846</v>
      </c>
      <c r="AD93" s="10" t="n">
        <f aca="false">AD39</f>
        <v>-392699.985846</v>
      </c>
      <c r="AE93" s="10" t="n">
        <f aca="false">AE39</f>
        <v>-392699.985846</v>
      </c>
      <c r="AF93" s="10" t="n">
        <f aca="false">AF39</f>
        <v>-392699.985846</v>
      </c>
      <c r="AG93" s="10" t="n">
        <f aca="false">AG39</f>
        <v>-392699.985846</v>
      </c>
      <c r="AH93" s="10" t="n">
        <f aca="false">AH39</f>
        <v>-392699.985846</v>
      </c>
      <c r="AI93" s="10" t="n">
        <f aca="false">AI39</f>
        <v>-392699.985846</v>
      </c>
      <c r="AJ93" s="10" t="n">
        <f aca="false">AJ39</f>
        <v>-392699.985846</v>
      </c>
      <c r="AK93" s="10" t="n">
        <f aca="false">AK39</f>
        <v>-392699.985846</v>
      </c>
      <c r="AL93" s="10" t="n">
        <f aca="false">AL39</f>
        <v>-392699.985846</v>
      </c>
      <c r="AM93" s="10" t="n">
        <f aca="false">AM39</f>
        <v>-395409.16556292</v>
      </c>
      <c r="AN93" s="10" t="n">
        <f aca="false">AN39</f>
        <v>-395409.16556292</v>
      </c>
      <c r="AO93" s="10" t="n">
        <f aca="false">AO39</f>
        <v>-395409.16556292</v>
      </c>
      <c r="AP93" s="10" t="n">
        <f aca="false">AP39</f>
        <v>-395409.16556292</v>
      </c>
      <c r="AQ93" s="10" t="n">
        <f aca="false">AQ39</f>
        <v>-395409.16556292</v>
      </c>
      <c r="AR93" s="10" t="n">
        <f aca="false">AR39</f>
        <v>-395409.16556292</v>
      </c>
      <c r="AS93" s="10" t="n">
        <f aca="false">AS39</f>
        <v>-395409.16556292</v>
      </c>
      <c r="AT93" s="10" t="n">
        <f aca="false">AT39</f>
        <v>-395409.16556292</v>
      </c>
      <c r="AU93" s="10" t="n">
        <f aca="false">AU39</f>
        <v>-395409.16556292</v>
      </c>
      <c r="AV93" s="10" t="n">
        <f aca="false">AV39</f>
        <v>-395409.16556292</v>
      </c>
      <c r="AW93" s="10" t="n">
        <f aca="false">AW39</f>
        <v>-395409.16556292</v>
      </c>
      <c r="AX93" s="10" t="n">
        <f aca="false">AX39</f>
        <v>-395409.16556292</v>
      </c>
      <c r="AY93" s="10" t="n">
        <f aca="false">AY39</f>
        <v>-398172.528874179</v>
      </c>
      <c r="AZ93" s="10" t="n">
        <f aca="false">AZ39</f>
        <v>-398172.528874179</v>
      </c>
      <c r="BA93" s="10" t="n">
        <f aca="false">BA39</f>
        <v>-398172.528874179</v>
      </c>
      <c r="BB93" s="10" t="n">
        <f aca="false">BB39</f>
        <v>-398172.528874179</v>
      </c>
      <c r="BC93" s="10" t="n">
        <f aca="false">BC39</f>
        <v>-398172.528874179</v>
      </c>
      <c r="BD93" s="10" t="n">
        <f aca="false">BD39</f>
        <v>-398172.528874179</v>
      </c>
      <c r="BE93" s="10" t="n">
        <f aca="false">BE39</f>
        <v>-398172.528874179</v>
      </c>
      <c r="BF93" s="10" t="n">
        <f aca="false">BF39</f>
        <v>-398172.528874179</v>
      </c>
      <c r="BG93" s="10" t="n">
        <f aca="false">BG39</f>
        <v>-398172.528874179</v>
      </c>
      <c r="BH93" s="10" t="n">
        <f aca="false">BH39</f>
        <v>-398172.528874179</v>
      </c>
      <c r="BI93" s="10" t="n">
        <f aca="false">BI39</f>
        <v>-398172.528874179</v>
      </c>
      <c r="BJ93" s="10" t="n">
        <f aca="false">BJ39</f>
        <v>-398172.528874179</v>
      </c>
      <c r="BK93" s="10" t="n">
        <f aca="false">BK39</f>
        <v>-400991.159451662</v>
      </c>
      <c r="BL93" s="10" t="n">
        <f aca="false">BL39</f>
        <v>-400991.159451662</v>
      </c>
      <c r="BM93" s="10" t="n">
        <f aca="false">BM39</f>
        <v>-400991.159451662</v>
      </c>
      <c r="BN93" s="10" t="n">
        <f aca="false">BN39</f>
        <v>-400991.159451662</v>
      </c>
      <c r="BO93" s="10" t="n">
        <f aca="false">BO39</f>
        <v>-400991.159451662</v>
      </c>
      <c r="BP93" s="10" t="n">
        <f aca="false">BP39</f>
        <v>-400991.159451662</v>
      </c>
      <c r="BQ93" s="10" t="n">
        <f aca="false">BQ39</f>
        <v>-400991.159451662</v>
      </c>
      <c r="BR93" s="10" t="n">
        <f aca="false">BR39</f>
        <v>-400991.159451662</v>
      </c>
      <c r="BS93" s="10" t="n">
        <f aca="false">BS39</f>
        <v>-400991.159451662</v>
      </c>
      <c r="BT93" s="10" t="n">
        <f aca="false">BT39</f>
        <v>-400991.159451662</v>
      </c>
      <c r="BU93" s="10" t="n">
        <f aca="false">BU39</f>
        <v>-400991.159451662</v>
      </c>
      <c r="BV93" s="10" t="n">
        <f aca="false">BV39</f>
        <v>-400991.159451662</v>
      </c>
      <c r="BW93" s="10" t="n">
        <f aca="false">BW39</f>
        <v>-403866.162640695</v>
      </c>
      <c r="BX93" s="10" t="n">
        <f aca="false">BX39</f>
        <v>-403866.162640695</v>
      </c>
      <c r="BY93" s="10" t="n">
        <f aca="false">BY39</f>
        <v>-403866.162640695</v>
      </c>
      <c r="BZ93" s="10" t="n">
        <f aca="false">BZ39</f>
        <v>-403866.162640695</v>
      </c>
      <c r="CA93" s="10" t="n">
        <f aca="false">CA39</f>
        <v>-403866.162640695</v>
      </c>
      <c r="CB93" s="10" t="n">
        <f aca="false">CB39</f>
        <v>-403866.162640695</v>
      </c>
      <c r="CC93" s="10" t="n">
        <f aca="false">CC39</f>
        <v>-403866.162640695</v>
      </c>
      <c r="CD93" s="10" t="n">
        <f aca="false">CD39</f>
        <v>-403866.162640695</v>
      </c>
      <c r="CE93" s="10" t="n">
        <f aca="false">CE39</f>
        <v>-403866.162640695</v>
      </c>
      <c r="CF93" s="10" t="n">
        <f aca="false">CF39</f>
        <v>-403866.162640695</v>
      </c>
      <c r="CG93" s="10" t="n">
        <f aca="false">CG39</f>
        <v>-403866.162640695</v>
      </c>
      <c r="CH93" s="10" t="n">
        <f aca="false">CH39</f>
        <v>-403866.162640695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-116814.583333333</v>
      </c>
      <c r="H94" s="10" t="n">
        <f aca="false">H85</f>
        <v>-116814.583333333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-504254.531666667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-509194.8023</v>
      </c>
      <c r="R95" s="12" t="n">
        <f aca="false">R93+R94</f>
        <v>-532654.8023</v>
      </c>
      <c r="S95" s="12" t="n">
        <f aca="false">S93+S94</f>
        <v>-509194.8023</v>
      </c>
      <c r="T95" s="12" t="n">
        <f aca="false">T93+T94</f>
        <v>-509194.8023</v>
      </c>
      <c r="U95" s="12" t="n">
        <f aca="false">U93+U94</f>
        <v>-509194.8023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-509194.8023</v>
      </c>
      <c r="Y95" s="12" t="n">
        <f aca="false">Y93+Y94</f>
        <v>-509194.8023</v>
      </c>
      <c r="Z95" s="12" t="n">
        <f aca="false">Z93+Z94</f>
        <v>-509194.8023</v>
      </c>
      <c r="AA95" s="12" t="n">
        <f aca="false">AA93+AA94</f>
        <v>-514233.878346</v>
      </c>
      <c r="AB95" s="12" t="n">
        <f aca="false">AB93+AB94</f>
        <v>-514233.878346</v>
      </c>
      <c r="AC95" s="12" t="n">
        <f aca="false">AC93+AC94</f>
        <v>-1858259.418346</v>
      </c>
      <c r="AD95" s="12" t="n">
        <f aca="false">AD93+AD94</f>
        <v>-538163.078346</v>
      </c>
      <c r="AE95" s="12" t="n">
        <f aca="false">AE93+AE94</f>
        <v>-514233.878346</v>
      </c>
      <c r="AF95" s="12" t="n">
        <f aca="false">AF93+AF94</f>
        <v>-514233.878346</v>
      </c>
      <c r="AG95" s="12" t="n">
        <f aca="false">AG93+AG94</f>
        <v>-514233.878346</v>
      </c>
      <c r="AH95" s="12" t="n">
        <f aca="false">AH93+AH94</f>
        <v>-514233.878346</v>
      </c>
      <c r="AI95" s="12" t="n">
        <f aca="false">AI93+AI94</f>
        <v>-536082.278346</v>
      </c>
      <c r="AJ95" s="12" t="n">
        <f aca="false">AJ93+AJ94</f>
        <v>-514233.878346</v>
      </c>
      <c r="AK95" s="12" t="n">
        <f aca="false">AK93+AK94</f>
        <v>-514233.878346</v>
      </c>
      <c r="AL95" s="12" t="n">
        <f aca="false">AL93+AL94</f>
        <v>-514233.878346</v>
      </c>
      <c r="AM95" s="12" t="n">
        <f aca="false">AM93+AM94</f>
        <v>-519373.73591292</v>
      </c>
      <c r="AN95" s="12" t="n">
        <f aca="false">AN93+AN94</f>
        <v>-519373.73591292</v>
      </c>
      <c r="AO95" s="12" t="n">
        <f aca="false">AO93+AO94</f>
        <v>-519373.73591292</v>
      </c>
      <c r="AP95" s="12" t="n">
        <f aca="false">AP93+AP94</f>
        <v>-543781.51991292</v>
      </c>
      <c r="AQ95" s="12" t="n">
        <f aca="false">AQ93+AQ94</f>
        <v>-519373.73591292</v>
      </c>
      <c r="AR95" s="12" t="n">
        <f aca="false">AR93+AR94</f>
        <v>-601056.73591292</v>
      </c>
      <c r="AS95" s="12" t="n">
        <f aca="false">AS93+AS94</f>
        <v>-519373.73591292</v>
      </c>
      <c r="AT95" s="12" t="n">
        <f aca="false">AT93+AT94</f>
        <v>-519373.73591292</v>
      </c>
      <c r="AU95" s="12" t="n">
        <f aca="false">AU93+AU94</f>
        <v>-623341.10391292</v>
      </c>
      <c r="AV95" s="12" t="n">
        <f aca="false">AV93+AV94</f>
        <v>-519373.73591292</v>
      </c>
      <c r="AW95" s="12" t="n">
        <f aca="false">AW93+AW94</f>
        <v>-519373.73591292</v>
      </c>
      <c r="AX95" s="12" t="n">
        <f aca="false">AX93+AX94</f>
        <v>-601055.73591292</v>
      </c>
      <c r="AY95" s="12" t="n">
        <f aca="false">AY93+AY94</f>
        <v>-524616.390631178</v>
      </c>
      <c r="AZ95" s="12" t="n">
        <f aca="false">AZ93+AZ94</f>
        <v>-524616.390631178</v>
      </c>
      <c r="BA95" s="12" t="n">
        <f aca="false">BA93+BA94</f>
        <v>-1458137.39063118</v>
      </c>
      <c r="BB95" s="12" t="n">
        <f aca="false">BB93+BB94</f>
        <v>-549512.330311179</v>
      </c>
      <c r="BC95" s="12" t="n">
        <f aca="false">BC93+BC94</f>
        <v>-524616.390631178</v>
      </c>
      <c r="BD95" s="12" t="n">
        <f aca="false">BD93+BD94</f>
        <v>-655494.390631178</v>
      </c>
      <c r="BE95" s="12" t="n">
        <f aca="false">BE93+BE94</f>
        <v>-524616.390631178</v>
      </c>
      <c r="BF95" s="12" t="n">
        <f aca="false">BF93+BF94</f>
        <v>-524616.390631178</v>
      </c>
      <c r="BG95" s="12" t="n">
        <f aca="false">BG93+BG94</f>
        <v>-678223.465991179</v>
      </c>
      <c r="BH95" s="12" t="n">
        <f aca="false">BH93+BH94</f>
        <v>-524616.390631178</v>
      </c>
      <c r="BI95" s="12" t="n">
        <f aca="false">BI93+BI94</f>
        <v>-524616.390631178</v>
      </c>
      <c r="BJ95" s="12" t="n">
        <f aca="false">BJ93+BJ94</f>
        <v>-655492.390631178</v>
      </c>
      <c r="BK95" s="12" t="n">
        <f aca="false">BK93+BK94</f>
        <v>-529963.898443802</v>
      </c>
      <c r="BL95" s="12" t="n">
        <f aca="false">BL93+BL94</f>
        <v>-529963.898443802</v>
      </c>
      <c r="BM95" s="12" t="n">
        <f aca="false">BM93+BM94</f>
        <v>-660839.898443802</v>
      </c>
      <c r="BN95" s="12" t="n">
        <f aca="false">BN93+BN94</f>
        <v>-555357.756917402</v>
      </c>
      <c r="BO95" s="12" t="n">
        <f aca="false">BO93+BO94</f>
        <v>-529963.898443802</v>
      </c>
      <c r="BP95" s="12" t="n">
        <f aca="false">BP93+BP94</f>
        <v>-620856.378443802</v>
      </c>
      <c r="BQ95" s="12" t="n">
        <f aca="false">BQ93+BQ94</f>
        <v>-529963.898443802</v>
      </c>
      <c r="BR95" s="12" t="n">
        <f aca="false">BR93+BR94</f>
        <v>-529963.898443802</v>
      </c>
      <c r="BS95" s="12" t="n">
        <f aca="false">BS93+BS94</f>
        <v>-627789.595311002</v>
      </c>
      <c r="BT95" s="12" t="n">
        <f aca="false">BT93+BT94</f>
        <v>-529963.898443802</v>
      </c>
      <c r="BU95" s="12" t="n">
        <f aca="false">BU93+BU94</f>
        <v>-529963.898443802</v>
      </c>
      <c r="BV95" s="12" t="n">
        <f aca="false">BV93+BV94</f>
        <v>-604603.898443802</v>
      </c>
      <c r="BW95" s="12" t="n">
        <f aca="false">BW93+BW94</f>
        <v>-535418.356412678</v>
      </c>
      <c r="BX95" s="12" t="n">
        <f aca="false">BX93+BX94</f>
        <v>-535418.356412678</v>
      </c>
      <c r="BY95" s="12" t="n">
        <f aca="false">BY93+BY94</f>
        <v>-683214.356412678</v>
      </c>
      <c r="BZ95" s="12" t="n">
        <f aca="false">BZ93+BZ94</f>
        <v>-561320.09205575</v>
      </c>
      <c r="CA95" s="12" t="n">
        <f aca="false">CA93+CA94</f>
        <v>-535418.356412678</v>
      </c>
      <c r="CB95" s="12" t="n">
        <f aca="false">CB93+CB94</f>
        <v>-689936.356412678</v>
      </c>
      <c r="CC95" s="12" t="n">
        <f aca="false">CC93+CC94</f>
        <v>-535418.356412678</v>
      </c>
      <c r="CD95" s="12" t="n">
        <f aca="false">CD93+CD94</f>
        <v>-535418.356412678</v>
      </c>
      <c r="CE95" s="12" t="n">
        <f aca="false">CE93+CE94</f>
        <v>-713584.767217222</v>
      </c>
      <c r="CF95" s="12" t="n">
        <f aca="false">CF93+CF94</f>
        <v>-535418.356412678</v>
      </c>
      <c r="CG95" s="12" t="n">
        <f aca="false">CG93+CG94</f>
        <v>-535418.356412678</v>
      </c>
      <c r="CH95" s="12" t="n">
        <f aca="false">CH93+CH94</f>
        <v>-683327.329806199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388802.424263044</v>
      </c>
      <c r="G96" s="16" t="n">
        <f aca="false">G92+G95</f>
        <v>93889.0899820866</v>
      </c>
      <c r="H96" s="16" t="n">
        <f aca="false">H92+H95</f>
        <v>98703.688385565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226635.647009541</v>
      </c>
      <c r="L96" s="16" t="n">
        <f aca="false">L92+L95</f>
        <v>268854.936567418</v>
      </c>
      <c r="M96" s="16" t="n">
        <f aca="false">M92+M95</f>
        <v>275354.848004482</v>
      </c>
      <c r="N96" s="16" t="n">
        <f aca="false">N92+N95</f>
        <v>279106.118004945</v>
      </c>
      <c r="O96" s="16" t="n">
        <f aca="false">O92+O95</f>
        <v>-390383.786569663</v>
      </c>
      <c r="P96" s="16" t="n">
        <f aca="false">P92+P95</f>
        <v>404540.603306424</v>
      </c>
      <c r="Q96" s="16" t="n">
        <f aca="false">Q92+Q95</f>
        <v>547321.05647069</v>
      </c>
      <c r="R96" s="16" t="n">
        <f aca="false">R92+R95</f>
        <v>327585.421361529</v>
      </c>
      <c r="S96" s="16" t="n">
        <f aca="false">S92+S95</f>
        <v>180747.643395964</v>
      </c>
      <c r="T96" s="16" t="n">
        <f aca="false">T92+T95</f>
        <v>197148.669979701</v>
      </c>
      <c r="U96" s="16" t="n">
        <f aca="false">U92+U95</f>
        <v>231221.075369931</v>
      </c>
      <c r="V96" s="16" t="n">
        <f aca="false">V92+V95</f>
        <v>200901.096410271</v>
      </c>
      <c r="W96" s="16" t="n">
        <f aca="false">W92+W95</f>
        <v>242405.776963201</v>
      </c>
      <c r="X96" s="16" t="n">
        <f aca="false">X92+X95</f>
        <v>209282.700086128</v>
      </c>
      <c r="Y96" s="16" t="n">
        <f aca="false">Y92+Y95</f>
        <v>210190.204487684</v>
      </c>
      <c r="Z96" s="16" t="n">
        <f aca="false">Z92+Z95</f>
        <v>267323.359344448</v>
      </c>
      <c r="AA96" s="16" t="n">
        <f aca="false">AA92+AA95</f>
        <v>281618.073524959</v>
      </c>
      <c r="AB96" s="16" t="n">
        <f aca="false">AB92+AB95</f>
        <v>146145.228473004</v>
      </c>
      <c r="AC96" s="16" t="n">
        <f aca="false">AC92+AC95</f>
        <v>-393185.928880972</v>
      </c>
      <c r="AD96" s="16" t="n">
        <f aca="false">AD92+AD95</f>
        <v>154240.443333576</v>
      </c>
      <c r="AE96" s="16" t="n">
        <f aca="false">AE92+AE95</f>
        <v>180783.251445913</v>
      </c>
      <c r="AF96" s="16" t="n">
        <f aca="false">AF92+AF95</f>
        <v>182580.758776833</v>
      </c>
      <c r="AG96" s="16" t="n">
        <f aca="false">AG92+AG95</f>
        <v>294897.814806735</v>
      </c>
      <c r="AH96" s="16" t="n">
        <f aca="false">AH92+AH95</f>
        <v>119667.780275331</v>
      </c>
      <c r="AI96" s="16" t="n">
        <f aca="false">AI92+AI95</f>
        <v>358039.992460854</v>
      </c>
      <c r="AJ96" s="16" t="n">
        <f aca="false">AJ92+AJ95</f>
        <v>29639.0297198995</v>
      </c>
      <c r="AK96" s="16" t="n">
        <f aca="false">AK92+AK95</f>
        <v>11228.4506102722</v>
      </c>
      <c r="AL96" s="16" t="n">
        <f aca="false">AL92+AL95</f>
        <v>82227.1618935067</v>
      </c>
      <c r="AM96" s="16" t="n">
        <f aca="false">AM92+AM95</f>
        <v>-75296.9293152636</v>
      </c>
      <c r="AN96" s="16" t="n">
        <f aca="false">AN92+AN95</f>
        <v>-93962.6114060234</v>
      </c>
      <c r="AO96" s="16" t="n">
        <f aca="false">AO92+AO95</f>
        <v>-113297.083620754</v>
      </c>
      <c r="AP96" s="16" t="n">
        <f aca="false">AP92+AP95</f>
        <v>-157679.946734179</v>
      </c>
      <c r="AQ96" s="16" t="n">
        <f aca="false">AQ92+AQ95</f>
        <v>-153849.795381616</v>
      </c>
      <c r="AR96" s="16" t="n">
        <f aca="false">AR92+AR95</f>
        <v>82214.0708358111</v>
      </c>
      <c r="AS96" s="16" t="n">
        <f aca="false">AS92+AS95</f>
        <v>-250956.01801061</v>
      </c>
      <c r="AT96" s="16" t="n">
        <f aca="false">AT92+AT95</f>
        <v>-269250.264774896</v>
      </c>
      <c r="AU96" s="16" t="n">
        <f aca="false">AU92+AU95</f>
        <v>-326701.360583039</v>
      </c>
      <c r="AV96" s="16" t="n">
        <f aca="false">AV92+AV95</f>
        <v>-308161.538912182</v>
      </c>
      <c r="AW96" s="16" t="n">
        <f aca="false">AW92+AW95</f>
        <v>-312540.401577968</v>
      </c>
      <c r="AX96" s="16" t="n">
        <f aca="false">AX92+AX95</f>
        <v>-317447.328611468</v>
      </c>
      <c r="AY96" s="16" t="n">
        <f aca="false">AY92+AY95</f>
        <v>-328006.367900512</v>
      </c>
      <c r="AZ96" s="16" t="n">
        <f aca="false">AZ92+AZ95</f>
        <v>-333615.490901226</v>
      </c>
      <c r="BA96" s="16" t="n">
        <f aca="false">BA92+BA95</f>
        <v>-339394.899655297</v>
      </c>
      <c r="BB96" s="16" t="n">
        <f aca="false">BB92+BB95</f>
        <v>-370125.73445844</v>
      </c>
      <c r="BC96" s="16" t="n">
        <f aca="false">BC92+BC95</f>
        <v>-351014.943501726</v>
      </c>
      <c r="BD96" s="16" t="n">
        <f aca="false">BD92+BD95</f>
        <v>-356654.679671583</v>
      </c>
      <c r="BE96" s="16" t="n">
        <f aca="false">BE92+BE95</f>
        <v>-362070.557042083</v>
      </c>
      <c r="BF96" s="16" t="n">
        <f aca="false">BF92+BF95</f>
        <v>-132226.109305726</v>
      </c>
      <c r="BG96" s="16" t="n">
        <f aca="false">BG92+BG95</f>
        <v>-506270.224391179</v>
      </c>
      <c r="BH96" s="16" t="n">
        <f aca="false">BH92+BH95</f>
        <v>-454838.905831178</v>
      </c>
      <c r="BI96" s="16" t="n">
        <f aca="false">BI92+BI95</f>
        <v>-455339.456231178</v>
      </c>
      <c r="BJ96" s="16" t="n">
        <f aca="false">BJ92+BJ95</f>
        <v>-388064.717031178</v>
      </c>
      <c r="BK96" s="16" t="n">
        <f aca="false">BK92+BK95</f>
        <v>-529963.898443802</v>
      </c>
      <c r="BL96" s="16" t="n">
        <f aca="false">BL92+BL95</f>
        <v>-529963.898443802</v>
      </c>
      <c r="BM96" s="16" t="n">
        <f aca="false">BM92+BM95</f>
        <v>-529963.898443802</v>
      </c>
      <c r="BN96" s="16" t="n">
        <f aca="false">BN92+BN95</f>
        <v>-555357.756917402</v>
      </c>
      <c r="BO96" s="16" t="n">
        <f aca="false">BO92+BO95</f>
        <v>-529963.898443802</v>
      </c>
      <c r="BP96" s="16" t="n">
        <f aca="false">BP92+BP95</f>
        <v>-478450.378443802</v>
      </c>
      <c r="BQ96" s="16" t="n">
        <f aca="false">BQ92+BQ95</f>
        <v>-529963.898443802</v>
      </c>
      <c r="BR96" s="16" t="n">
        <f aca="false">BR92+BR95</f>
        <v>-529963.898443802</v>
      </c>
      <c r="BS96" s="16" t="n">
        <f aca="false">BS92+BS95</f>
        <v>-485387.595311002</v>
      </c>
      <c r="BT96" s="16" t="n">
        <f aca="false">BT92+BT95</f>
        <v>-529963.898443802</v>
      </c>
      <c r="BU96" s="16" t="n">
        <f aca="false">BU92+BU95</f>
        <v>-529963.898443802</v>
      </c>
      <c r="BV96" s="16" t="n">
        <f aca="false">BV92+BV95</f>
        <v>-462201.898443802</v>
      </c>
      <c r="BW96" s="16" t="n">
        <f aca="false">BW92+BW95</f>
        <v>-535418.356412678</v>
      </c>
      <c r="BX96" s="16" t="n">
        <f aca="false">BX92+BX95</f>
        <v>-535418.356412678</v>
      </c>
      <c r="BY96" s="16" t="n">
        <f aca="false">BY92+BY95</f>
        <v>-467656.356412678</v>
      </c>
      <c r="BZ96" s="16" t="n">
        <f aca="false">BZ92+BZ95</f>
        <v>-561320.09205575</v>
      </c>
      <c r="CA96" s="16" t="n">
        <f aca="false">CA92+CA95</f>
        <v>-535418.356412678</v>
      </c>
      <c r="CB96" s="16" t="n">
        <f aca="false">CB92+CB95</f>
        <v>-458919.356412678</v>
      </c>
      <c r="CC96" s="16" t="n">
        <f aca="false">CC92+CC95</f>
        <v>-535418.356412678</v>
      </c>
      <c r="CD96" s="16" t="n">
        <f aca="false">CD92+CD95</f>
        <v>-535418.356412678</v>
      </c>
      <c r="CE96" s="16" t="n">
        <f aca="false">CE92+CE95</f>
        <v>-482568.767217222</v>
      </c>
      <c r="CF96" s="16" t="n">
        <f aca="false">CF92+CF95</f>
        <v>-535418.356412678</v>
      </c>
      <c r="CG96" s="16" t="n">
        <f aca="false">CG92+CG95</f>
        <v>-535418.356412678</v>
      </c>
      <c r="CH96" s="16" t="n">
        <f aca="false">CH92+CH95</f>
        <v>-452311.329806199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2299779.98752618</v>
      </c>
      <c r="H146" s="10" t="n">
        <f aca="false">G148</f>
        <v>2466869.0808416</v>
      </c>
      <c r="I146" s="10" t="n">
        <f aca="false">H148</f>
        <v>2639606.1025605</v>
      </c>
      <c r="J146" s="10" t="n">
        <f aca="false">I148</f>
        <v>3144128.31293813</v>
      </c>
      <c r="K146" s="10" t="n">
        <f aca="false">J148</f>
        <v>3697000.40476743</v>
      </c>
      <c r="L146" s="10" t="n">
        <f aca="false">K148</f>
        <v>4028044.3851103</v>
      </c>
      <c r="M146" s="10" t="n">
        <f aca="false">L148</f>
        <v>4368175.82461106</v>
      </c>
      <c r="N146" s="10" t="n">
        <f aca="false">M148</f>
        <v>4714807.17554887</v>
      </c>
      <c r="O146" s="10" t="n">
        <f aca="false">N148</f>
        <v>5065189.79648715</v>
      </c>
      <c r="P146" s="10" t="n">
        <f aca="false">O148</f>
        <v>4748418.80451749</v>
      </c>
      <c r="Q146" s="10" t="n">
        <f aca="false">P148</f>
        <v>5226572.20242391</v>
      </c>
      <c r="R146" s="10" t="n">
        <f aca="false">Q148</f>
        <v>5847506.0534946</v>
      </c>
      <c r="S146" s="10" t="n">
        <f aca="false">R148</f>
        <v>6291998.65705613</v>
      </c>
      <c r="T146" s="10" t="n">
        <f aca="false">S148</f>
        <v>6549621.22025209</v>
      </c>
      <c r="U146" s="10" t="n">
        <f aca="false">T148</f>
        <v>6807072.54763179</v>
      </c>
      <c r="V146" s="10" t="n">
        <f aca="false">U148</f>
        <v>7082024.02440172</v>
      </c>
      <c r="W146" s="10" t="n">
        <f aca="false">V148</f>
        <v>7310083.253412</v>
      </c>
      <c r="X146" s="10" t="n">
        <f aca="false">W148</f>
        <v>7527119.9069752</v>
      </c>
      <c r="Y146" s="10" t="n">
        <f aca="false">X148</f>
        <v>7730416.22766132</v>
      </c>
      <c r="Z146" s="10" t="n">
        <f aca="false">Y148</f>
        <v>7918047.79034901</v>
      </c>
      <c r="AA146" s="10" t="n">
        <f aca="false">Z148</f>
        <v>8088865.23909346</v>
      </c>
      <c r="AB146" s="10" t="n">
        <f aca="false">AA148</f>
        <v>8317163.16351841</v>
      </c>
      <c r="AC146" s="10" t="n">
        <f aca="false">AB148</f>
        <v>8393415.97409142</v>
      </c>
      <c r="AD146" s="10" t="n">
        <f aca="false">AC148</f>
        <v>7827558.14731045</v>
      </c>
      <c r="AE146" s="10" t="n">
        <f aca="false">AD148</f>
        <v>7947594.79674402</v>
      </c>
      <c r="AF146" s="10" t="n">
        <f aca="false">AE148</f>
        <v>8069744.49748994</v>
      </c>
      <c r="AG146" s="10" t="n">
        <f aca="false">AF148</f>
        <v>8193191.16156677</v>
      </c>
      <c r="AH146" s="10" t="n">
        <f aca="false">AG148</f>
        <v>8437954.3312735</v>
      </c>
      <c r="AI146" s="10" t="n">
        <f aca="false">AH148</f>
        <v>8506986.92244883</v>
      </c>
      <c r="AJ146" s="10" t="n">
        <f aca="false">AI148</f>
        <v>8819167.31300969</v>
      </c>
      <c r="AK146" s="10" t="n">
        <f aca="false">AJ148</f>
        <v>8797170.04642959</v>
      </c>
      <c r="AL146" s="10" t="n">
        <f aca="false">AK148</f>
        <v>8772833.91273986</v>
      </c>
      <c r="AM146" s="10" t="n">
        <f aca="false">AL148</f>
        <v>8835568.20233337</v>
      </c>
      <c r="AN146" s="10" t="n">
        <f aca="false">AM148</f>
        <v>8759280.7969681</v>
      </c>
      <c r="AO146" s="10" t="n">
        <f aca="false">AN148</f>
        <v>8680399.41511208</v>
      </c>
      <c r="AP146" s="10" t="n">
        <f aca="false">AO148</f>
        <v>8598255.27304133</v>
      </c>
      <c r="AQ146" s="10" t="n">
        <f aca="false">AP148</f>
        <v>8512207.77025715</v>
      </c>
      <c r="AR146" s="10" t="n">
        <f aca="false">AQ148</f>
        <v>8421654.34042553</v>
      </c>
      <c r="AS146" s="10" t="n">
        <f aca="false">AR148</f>
        <v>8583236.48881134</v>
      </c>
      <c r="AT146" s="10" t="n">
        <f aca="false">AS148</f>
        <v>8359944.97715073</v>
      </c>
      <c r="AU146" s="10" t="n">
        <f aca="false">AT148</f>
        <v>8134931.47472583</v>
      </c>
      <c r="AV146" s="10" t="n">
        <f aca="false">AU148</f>
        <v>7907396.2124928</v>
      </c>
      <c r="AW146" s="10" t="n">
        <f aca="false">AV148</f>
        <v>7676615.95433061</v>
      </c>
      <c r="AX146" s="10" t="n">
        <f aca="false">AW148</f>
        <v>7441957.39030265</v>
      </c>
      <c r="AY146" s="10" t="n">
        <f aca="false">AX148</f>
        <v>7202892.44324118</v>
      </c>
      <c r="AZ146" s="10" t="n">
        <f aca="false">AY148</f>
        <v>6956248.29869767</v>
      </c>
      <c r="BA146" s="10" t="n">
        <f aca="false">AZ148</f>
        <v>6704495.58155344</v>
      </c>
      <c r="BB146" s="10" t="n">
        <f aca="false">BA148</f>
        <v>6447464.00605514</v>
      </c>
      <c r="BC146" s="10" t="n">
        <f aca="false">BB148</f>
        <v>6185098.0858337</v>
      </c>
      <c r="BD146" s="10" t="n">
        <f aca="false">BC148</f>
        <v>5917447.56728898</v>
      </c>
      <c r="BE146" s="10" t="n">
        <f aca="false">BD148</f>
        <v>5644657.86297439</v>
      </c>
      <c r="BF146" s="10" t="n">
        <f aca="false">BE148</f>
        <v>5366952.83168931</v>
      </c>
      <c r="BG146" s="10" t="n">
        <f aca="false">BF148</f>
        <v>5319592.79854058</v>
      </c>
      <c r="BH146" s="10" t="n">
        <f aca="false">BG148</f>
        <v>4921420.2696664</v>
      </c>
      <c r="BI146" s="10" t="n">
        <f aca="false">BH148</f>
        <v>4523247.74079223</v>
      </c>
      <c r="BJ146" s="10" t="n">
        <f aca="false">BI148</f>
        <v>4125075.21191805</v>
      </c>
      <c r="BK146" s="10" t="n">
        <f aca="false">BJ148</f>
        <v>3726902.68304387</v>
      </c>
      <c r="BL146" s="10" t="n">
        <f aca="false">BK148</f>
        <v>3325911.52359221</v>
      </c>
      <c r="BM146" s="10" t="n">
        <f aca="false">BL148</f>
        <v>2924920.36414055</v>
      </c>
      <c r="BN146" s="10" t="n">
        <f aca="false">BM148</f>
        <v>2523929.20468888</v>
      </c>
      <c r="BO146" s="10" t="n">
        <f aca="false">BN148</f>
        <v>2122938.04523722</v>
      </c>
      <c r="BP146" s="10" t="n">
        <f aca="false">BO148</f>
        <v>1721946.88578556</v>
      </c>
      <c r="BQ146" s="10" t="n">
        <f aca="false">BP148</f>
        <v>1320955.7263339</v>
      </c>
      <c r="BR146" s="10" t="n">
        <f aca="false">BQ148</f>
        <v>919964.566882235</v>
      </c>
      <c r="BS146" s="10" t="n">
        <f aca="false">BR148</f>
        <v>518973.407430572</v>
      </c>
      <c r="BT146" s="10" t="n">
        <f aca="false">BS148</f>
        <v>117982.24797891</v>
      </c>
      <c r="BU146" s="10" t="n">
        <f aca="false">BT148</f>
        <v>-283008.911472752</v>
      </c>
      <c r="BV146" s="10" t="n">
        <f aca="false">BU148</f>
        <v>-684000.070924414</v>
      </c>
      <c r="BW146" s="10" t="n">
        <f aca="false">BV148</f>
        <v>-1084991.23037608</v>
      </c>
      <c r="BX146" s="10" t="n">
        <f aca="false">BW148</f>
        <v>-1488857.39301677</v>
      </c>
      <c r="BY146" s="10" t="n">
        <f aca="false">BX148</f>
        <v>-1892723.55565747</v>
      </c>
      <c r="BZ146" s="10" t="n">
        <f aca="false">BY148</f>
        <v>-2296589.71829816</v>
      </c>
      <c r="CA146" s="10" t="n">
        <f aca="false">BZ148</f>
        <v>-2700455.88093886</v>
      </c>
      <c r="CB146" s="10" t="n">
        <f aca="false">CA148</f>
        <v>-3104322.04357955</v>
      </c>
      <c r="CC146" s="10" t="n">
        <f aca="false">CB148</f>
        <v>-3508188.20622025</v>
      </c>
      <c r="CD146" s="10" t="n">
        <f aca="false">CC148</f>
        <v>-3912054.36886094</v>
      </c>
      <c r="CE146" s="10" t="n">
        <f aca="false">CD148</f>
        <v>-4315920.53150164</v>
      </c>
      <c r="CF146" s="10" t="n">
        <f aca="false">CE148</f>
        <v>-4719786.69414233</v>
      </c>
      <c r="CG146" s="10" t="n">
        <f aca="false">CF148</f>
        <v>-5123652.85678303</v>
      </c>
      <c r="CH146" s="10" t="n">
        <f aca="false">CG148</f>
        <v>-5527519.01942373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485002.427596377</v>
      </c>
      <c r="G147" s="10" t="n">
        <f aca="false">G41</f>
        <v>167089.09331542</v>
      </c>
      <c r="H147" s="10" t="n">
        <f aca="false">H41</f>
        <v>172737.021718898</v>
      </c>
      <c r="I147" s="10" t="n">
        <f aca="false">I41</f>
        <v>504522.210377636</v>
      </c>
      <c r="J147" s="10" t="n">
        <f aca="false">J41</f>
        <v>552872.091829295</v>
      </c>
      <c r="K147" s="10" t="n">
        <f aca="false">K41</f>
        <v>331043.980342874</v>
      </c>
      <c r="L147" s="10" t="n">
        <f aca="false">L41</f>
        <v>340131.439500752</v>
      </c>
      <c r="M147" s="10" t="n">
        <f aca="false">M41</f>
        <v>346631.350937816</v>
      </c>
      <c r="N147" s="10" t="n">
        <f aca="false">N41</f>
        <v>350382.620938278</v>
      </c>
      <c r="O147" s="10" t="n">
        <f aca="false">O41</f>
        <v>-316770.991969663</v>
      </c>
      <c r="P147" s="10" t="n">
        <f aca="false">P41</f>
        <v>478153.397906424</v>
      </c>
      <c r="Q147" s="10" t="n">
        <f aca="false">Q41</f>
        <v>620933.85107069</v>
      </c>
      <c r="R147" s="10" t="n">
        <f aca="false">R41</f>
        <v>444492.603561529</v>
      </c>
      <c r="S147" s="10" t="n">
        <f aca="false">S41</f>
        <v>257622.563195964</v>
      </c>
      <c r="T147" s="10" t="n">
        <f aca="false">T41</f>
        <v>257451.327379701</v>
      </c>
      <c r="U147" s="10" t="n">
        <f aca="false">U41</f>
        <v>274951.476769931</v>
      </c>
      <c r="V147" s="10" t="n">
        <f aca="false">V41</f>
        <v>228059.229010271</v>
      </c>
      <c r="W147" s="10" t="n">
        <f aca="false">W41</f>
        <v>217036.653563201</v>
      </c>
      <c r="X147" s="10" t="n">
        <f aca="false">X41</f>
        <v>203296.320686128</v>
      </c>
      <c r="Y147" s="10" t="n">
        <f aca="false">Y41</f>
        <v>187631.562687684</v>
      </c>
      <c r="Z147" s="10" t="n">
        <f aca="false">Z41</f>
        <v>170817.448744448</v>
      </c>
      <c r="AA147" s="10" t="n">
        <f aca="false">AA41</f>
        <v>228297.924424959</v>
      </c>
      <c r="AB147" s="10" t="n">
        <f aca="false">AB41</f>
        <v>76252.8105730042</v>
      </c>
      <c r="AC147" s="10" t="n">
        <f aca="false">AC41</f>
        <v>-565857.826780972</v>
      </c>
      <c r="AD147" s="10" t="n">
        <f aca="false">AD41</f>
        <v>120036.649433576</v>
      </c>
      <c r="AE147" s="10" t="n">
        <f aca="false">AE41</f>
        <v>122149.700745913</v>
      </c>
      <c r="AF147" s="10" t="n">
        <f aca="false">AF41</f>
        <v>123446.664076833</v>
      </c>
      <c r="AG147" s="10" t="n">
        <f aca="false">AG41</f>
        <v>244763.169706735</v>
      </c>
      <c r="AH147" s="10" t="n">
        <f aca="false">AH41</f>
        <v>69032.5911753314</v>
      </c>
      <c r="AI147" s="10" t="n">
        <f aca="false">AI41</f>
        <v>312180.390560854</v>
      </c>
      <c r="AJ147" s="10" t="n">
        <f aca="false">AJ41</f>
        <v>-21997.2665801005</v>
      </c>
      <c r="AK147" s="10" t="n">
        <f aca="false">AK41</f>
        <v>-24336.1336897279</v>
      </c>
      <c r="AL147" s="10" t="n">
        <f aca="false">AL41</f>
        <v>62734.2895935067</v>
      </c>
      <c r="AM147" s="10" t="n">
        <f aca="false">AM41</f>
        <v>-76287.4053652636</v>
      </c>
      <c r="AN147" s="10" t="n">
        <f aca="false">AN41</f>
        <v>-78881.3818560234</v>
      </c>
      <c r="AO147" s="10" t="n">
        <f aca="false">AO41</f>
        <v>-82144.1420707539</v>
      </c>
      <c r="AP147" s="10" t="n">
        <f aca="false">AP41</f>
        <v>-86047.5027841792</v>
      </c>
      <c r="AQ147" s="10" t="n">
        <f aca="false">AQ41</f>
        <v>-90553.4298316159</v>
      </c>
      <c r="AR147" s="10" t="n">
        <f aca="false">AR41</f>
        <v>161582.148385811</v>
      </c>
      <c r="AS147" s="10" t="n">
        <f aca="false">AS41</f>
        <v>-223291.511660611</v>
      </c>
      <c r="AT147" s="10" t="n">
        <f aca="false">AT41</f>
        <v>-225013.502424896</v>
      </c>
      <c r="AU147" s="10" t="n">
        <f aca="false">AU41</f>
        <v>-227535.262233039</v>
      </c>
      <c r="AV147" s="10" t="n">
        <f aca="false">AV41</f>
        <v>-230780.258162182</v>
      </c>
      <c r="AW147" s="10" t="n">
        <f aca="false">AW41</f>
        <v>-234658.564027968</v>
      </c>
      <c r="AX147" s="10" t="n">
        <f aca="false">AX41</f>
        <v>-239064.947061468</v>
      </c>
      <c r="AY147" s="10" t="n">
        <f aca="false">AY41</f>
        <v>-246644.144543512</v>
      </c>
      <c r="AZ147" s="10" t="n">
        <f aca="false">AZ41</f>
        <v>-251752.717144226</v>
      </c>
      <c r="BA147" s="10" t="n">
        <f aca="false">BA41</f>
        <v>-257031.575498298</v>
      </c>
      <c r="BB147" s="10" t="n">
        <f aca="false">BB41</f>
        <v>-262365.92022144</v>
      </c>
      <c r="BC147" s="10" t="n">
        <f aca="false">BC41</f>
        <v>-267650.518544726</v>
      </c>
      <c r="BD147" s="10" t="n">
        <f aca="false">BD41</f>
        <v>-272789.704314583</v>
      </c>
      <c r="BE147" s="10" t="n">
        <f aca="false">BE41</f>
        <v>-277705.031285083</v>
      </c>
      <c r="BF147" s="10" t="n">
        <f aca="false">BF41</f>
        <v>-47360.0331487261</v>
      </c>
      <c r="BG147" s="10" t="n">
        <f aca="false">BG41</f>
        <v>-398172.528874179</v>
      </c>
      <c r="BH147" s="10" t="n">
        <f aca="false">BH41</f>
        <v>-398172.528874179</v>
      </c>
      <c r="BI147" s="10" t="n">
        <f aca="false">BI41</f>
        <v>-398172.528874179</v>
      </c>
      <c r="BJ147" s="10" t="n">
        <f aca="false">BJ41</f>
        <v>-398172.528874179</v>
      </c>
      <c r="BK147" s="10" t="n">
        <f aca="false">BK41</f>
        <v>-400991.159451662</v>
      </c>
      <c r="BL147" s="10" t="n">
        <f aca="false">BL41</f>
        <v>-400991.159451662</v>
      </c>
      <c r="BM147" s="10" t="n">
        <f aca="false">BM41</f>
        <v>-400991.159451662</v>
      </c>
      <c r="BN147" s="10" t="n">
        <f aca="false">BN41</f>
        <v>-400991.159451662</v>
      </c>
      <c r="BO147" s="10" t="n">
        <f aca="false">BO41</f>
        <v>-400991.159451662</v>
      </c>
      <c r="BP147" s="10" t="n">
        <f aca="false">BP41</f>
        <v>-400991.159451662</v>
      </c>
      <c r="BQ147" s="10" t="n">
        <f aca="false">BQ41</f>
        <v>-400991.159451662</v>
      </c>
      <c r="BR147" s="10" t="n">
        <f aca="false">BR41</f>
        <v>-400991.159451662</v>
      </c>
      <c r="BS147" s="10" t="n">
        <f aca="false">BS41</f>
        <v>-400991.159451662</v>
      </c>
      <c r="BT147" s="10" t="n">
        <f aca="false">BT41</f>
        <v>-400991.159451662</v>
      </c>
      <c r="BU147" s="10" t="n">
        <f aca="false">BU41</f>
        <v>-400991.159451662</v>
      </c>
      <c r="BV147" s="10" t="n">
        <f aca="false">BV41</f>
        <v>-400991.159451662</v>
      </c>
      <c r="BW147" s="10" t="n">
        <f aca="false">BW41</f>
        <v>-403866.162640695</v>
      </c>
      <c r="BX147" s="10" t="n">
        <f aca="false">BX41</f>
        <v>-403866.162640695</v>
      </c>
      <c r="BY147" s="10" t="n">
        <f aca="false">BY41</f>
        <v>-403866.162640695</v>
      </c>
      <c r="BZ147" s="10" t="n">
        <f aca="false">BZ41</f>
        <v>-403866.162640695</v>
      </c>
      <c r="CA147" s="10" t="n">
        <f aca="false">CA41</f>
        <v>-403866.162640695</v>
      </c>
      <c r="CB147" s="10" t="n">
        <f aca="false">CB41</f>
        <v>-403866.162640695</v>
      </c>
      <c r="CC147" s="10" t="n">
        <f aca="false">CC41</f>
        <v>-403866.162640695</v>
      </c>
      <c r="CD147" s="10" t="n">
        <f aca="false">CD41</f>
        <v>-403866.162640695</v>
      </c>
      <c r="CE147" s="10" t="n">
        <f aca="false">CE41</f>
        <v>-403866.162640695</v>
      </c>
      <c r="CF147" s="10" t="n">
        <f aca="false">CF41</f>
        <v>-403866.162640695</v>
      </c>
      <c r="CG147" s="10" t="n">
        <f aca="false">CG41</f>
        <v>-403866.162640695</v>
      </c>
      <c r="CH147" s="10" t="n">
        <f aca="false">CH41</f>
        <v>-403866.162640695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2299779.98752618</v>
      </c>
      <c r="G148" s="61" t="n">
        <f aca="false">G146+G147</f>
        <v>2466869.0808416</v>
      </c>
      <c r="H148" s="61" t="n">
        <f aca="false">H146+H147</f>
        <v>2639606.1025605</v>
      </c>
      <c r="I148" s="61" t="n">
        <f aca="false">I146+I147</f>
        <v>3144128.31293813</v>
      </c>
      <c r="J148" s="61" t="n">
        <f aca="false">J146+J147</f>
        <v>3697000.40476743</v>
      </c>
      <c r="K148" s="61" t="n">
        <f aca="false">K146+K147</f>
        <v>4028044.3851103</v>
      </c>
      <c r="L148" s="61" t="n">
        <f aca="false">L146+L147</f>
        <v>4368175.82461106</v>
      </c>
      <c r="M148" s="61" t="n">
        <f aca="false">M146+M147</f>
        <v>4714807.17554887</v>
      </c>
      <c r="N148" s="61" t="n">
        <f aca="false">N146+N147</f>
        <v>5065189.79648715</v>
      </c>
      <c r="O148" s="61" t="n">
        <f aca="false">O146+O147</f>
        <v>4748418.80451749</v>
      </c>
      <c r="P148" s="61" t="n">
        <f aca="false">P146+P147</f>
        <v>5226572.20242391</v>
      </c>
      <c r="Q148" s="61" t="n">
        <f aca="false">Q146+Q147</f>
        <v>5847506.0534946</v>
      </c>
      <c r="R148" s="61" t="n">
        <f aca="false">R146+R147</f>
        <v>6291998.65705613</v>
      </c>
      <c r="S148" s="61" t="n">
        <f aca="false">S146+S147</f>
        <v>6549621.22025209</v>
      </c>
      <c r="T148" s="61" t="n">
        <f aca="false">T146+T147</f>
        <v>6807072.54763179</v>
      </c>
      <c r="U148" s="61" t="n">
        <f aca="false">U146+U147</f>
        <v>7082024.02440172</v>
      </c>
      <c r="V148" s="61" t="n">
        <f aca="false">V146+V147</f>
        <v>7310083.253412</v>
      </c>
      <c r="W148" s="61" t="n">
        <f aca="false">W146+W147</f>
        <v>7527119.9069752</v>
      </c>
      <c r="X148" s="61" t="n">
        <f aca="false">X146+X147</f>
        <v>7730416.22766132</v>
      </c>
      <c r="Y148" s="61" t="n">
        <f aca="false">Y146+Y147</f>
        <v>7918047.79034901</v>
      </c>
      <c r="Z148" s="61" t="n">
        <f aca="false">Z146+Z147</f>
        <v>8088865.23909346</v>
      </c>
      <c r="AA148" s="61" t="n">
        <f aca="false">AA146+AA147</f>
        <v>8317163.16351841</v>
      </c>
      <c r="AB148" s="61" t="n">
        <f aca="false">AB146+AB147</f>
        <v>8393415.97409142</v>
      </c>
      <c r="AC148" s="61" t="n">
        <f aca="false">AC146+AC147</f>
        <v>7827558.14731045</v>
      </c>
      <c r="AD148" s="61" t="n">
        <f aca="false">AD146+AD147</f>
        <v>7947594.79674402</v>
      </c>
      <c r="AE148" s="61" t="n">
        <f aca="false">AE146+AE147</f>
        <v>8069744.49748994</v>
      </c>
      <c r="AF148" s="61" t="n">
        <f aca="false">AF146+AF147</f>
        <v>8193191.16156677</v>
      </c>
      <c r="AG148" s="61" t="n">
        <f aca="false">AG146+AG147</f>
        <v>8437954.3312735</v>
      </c>
      <c r="AH148" s="61" t="n">
        <f aca="false">AH146+AH147</f>
        <v>8506986.92244883</v>
      </c>
      <c r="AI148" s="61" t="n">
        <f aca="false">AI146+AI147</f>
        <v>8819167.31300969</v>
      </c>
      <c r="AJ148" s="61" t="n">
        <f aca="false">AJ146+AJ147</f>
        <v>8797170.04642959</v>
      </c>
      <c r="AK148" s="61" t="n">
        <f aca="false">AK146+AK147</f>
        <v>8772833.91273986</v>
      </c>
      <c r="AL148" s="61" t="n">
        <f aca="false">AL146+AL147</f>
        <v>8835568.20233337</v>
      </c>
      <c r="AM148" s="61" t="n">
        <f aca="false">AM146+AM147</f>
        <v>8759280.7969681</v>
      </c>
      <c r="AN148" s="61" t="n">
        <f aca="false">AN146+AN147</f>
        <v>8680399.41511208</v>
      </c>
      <c r="AO148" s="61" t="n">
        <f aca="false">AO146+AO147</f>
        <v>8598255.27304133</v>
      </c>
      <c r="AP148" s="61" t="n">
        <f aca="false">AP146+AP147</f>
        <v>8512207.77025715</v>
      </c>
      <c r="AQ148" s="61" t="n">
        <f aca="false">AQ146+AQ147</f>
        <v>8421654.34042553</v>
      </c>
      <c r="AR148" s="61" t="n">
        <f aca="false">AR146+AR147</f>
        <v>8583236.48881134</v>
      </c>
      <c r="AS148" s="61" t="n">
        <f aca="false">AS146+AS147</f>
        <v>8359944.97715073</v>
      </c>
      <c r="AT148" s="61" t="n">
        <f aca="false">AT146+AT147</f>
        <v>8134931.47472583</v>
      </c>
      <c r="AU148" s="61" t="n">
        <f aca="false">AU146+AU147</f>
        <v>7907396.2124928</v>
      </c>
      <c r="AV148" s="61" t="n">
        <f aca="false">AV146+AV147</f>
        <v>7676615.95433061</v>
      </c>
      <c r="AW148" s="61" t="n">
        <f aca="false">AW146+AW147</f>
        <v>7441957.39030265</v>
      </c>
      <c r="AX148" s="61" t="n">
        <f aca="false">AX146+AX147</f>
        <v>7202892.44324118</v>
      </c>
      <c r="AY148" s="61" t="n">
        <f aca="false">AY146+AY147</f>
        <v>6956248.29869767</v>
      </c>
      <c r="AZ148" s="61" t="n">
        <f aca="false">AZ146+AZ147</f>
        <v>6704495.58155344</v>
      </c>
      <c r="BA148" s="61" t="n">
        <f aca="false">BA146+BA147</f>
        <v>6447464.00605514</v>
      </c>
      <c r="BB148" s="61" t="n">
        <f aca="false">BB146+BB147</f>
        <v>6185098.0858337</v>
      </c>
      <c r="BC148" s="61" t="n">
        <f aca="false">BC146+BC147</f>
        <v>5917447.56728898</v>
      </c>
      <c r="BD148" s="61" t="n">
        <f aca="false">BD146+BD147</f>
        <v>5644657.86297439</v>
      </c>
      <c r="BE148" s="61" t="n">
        <f aca="false">BE146+BE147</f>
        <v>5366952.83168931</v>
      </c>
      <c r="BF148" s="61" t="n">
        <f aca="false">BF146+BF147</f>
        <v>5319592.79854058</v>
      </c>
      <c r="BG148" s="61" t="n">
        <f aca="false">BG146+BG147</f>
        <v>4921420.2696664</v>
      </c>
      <c r="BH148" s="61" t="n">
        <f aca="false">BH146+BH147</f>
        <v>4523247.74079223</v>
      </c>
      <c r="BI148" s="61" t="n">
        <f aca="false">BI146+BI147</f>
        <v>4125075.21191805</v>
      </c>
      <c r="BJ148" s="61" t="n">
        <f aca="false">BJ146+BJ147</f>
        <v>3726902.68304387</v>
      </c>
      <c r="BK148" s="61" t="n">
        <f aca="false">BK146+BK147</f>
        <v>3325911.52359221</v>
      </c>
      <c r="BL148" s="61" t="n">
        <f aca="false">BL146+BL147</f>
        <v>2924920.36414055</v>
      </c>
      <c r="BM148" s="61" t="n">
        <f aca="false">BM146+BM147</f>
        <v>2523929.20468888</v>
      </c>
      <c r="BN148" s="61" t="n">
        <f aca="false">BN146+BN147</f>
        <v>2122938.04523722</v>
      </c>
      <c r="BO148" s="61" t="n">
        <f aca="false">BO146+BO147</f>
        <v>1721946.88578556</v>
      </c>
      <c r="BP148" s="61" t="n">
        <f aca="false">BP146+BP147</f>
        <v>1320955.7263339</v>
      </c>
      <c r="BQ148" s="61" t="n">
        <f aca="false">BQ146+BQ147</f>
        <v>919964.566882235</v>
      </c>
      <c r="BR148" s="61" t="n">
        <f aca="false">BR146+BR147</f>
        <v>518973.407430572</v>
      </c>
      <c r="BS148" s="61" t="n">
        <f aca="false">BS146+BS147</f>
        <v>117982.24797891</v>
      </c>
      <c r="BT148" s="61" t="n">
        <f aca="false">BT146+BT147</f>
        <v>-283008.911472752</v>
      </c>
      <c r="BU148" s="61" t="n">
        <f aca="false">BU146+BU147</f>
        <v>-684000.070924414</v>
      </c>
      <c r="BV148" s="61" t="n">
        <f aca="false">BV146+BV147</f>
        <v>-1084991.23037608</v>
      </c>
      <c r="BW148" s="61" t="n">
        <f aca="false">BW146+BW147</f>
        <v>-1488857.39301677</v>
      </c>
      <c r="BX148" s="61" t="n">
        <f aca="false">BX146+BX147</f>
        <v>-1892723.55565747</v>
      </c>
      <c r="BY148" s="61" t="n">
        <f aca="false">BY146+BY147</f>
        <v>-2296589.71829816</v>
      </c>
      <c r="BZ148" s="61" t="n">
        <f aca="false">BZ146+BZ147</f>
        <v>-2700455.88093886</v>
      </c>
      <c r="CA148" s="61" t="n">
        <f aca="false">CA146+CA147</f>
        <v>-3104322.04357955</v>
      </c>
      <c r="CB148" s="61" t="n">
        <f aca="false">CB146+CB147</f>
        <v>-3508188.20622025</v>
      </c>
      <c r="CC148" s="61" t="n">
        <f aca="false">CC146+CC147</f>
        <v>-3912054.36886094</v>
      </c>
      <c r="CD148" s="61" t="n">
        <f aca="false">CD146+CD147</f>
        <v>-4315920.53150164</v>
      </c>
      <c r="CE148" s="61" t="n">
        <f aca="false">CE146+CE147</f>
        <v>-4719786.69414233</v>
      </c>
      <c r="CF148" s="61" t="n">
        <f aca="false">CF146+CF147</f>
        <v>-5123652.85678303</v>
      </c>
      <c r="CG148" s="61" t="n">
        <f aca="false">CG146+CG147</f>
        <v>-5527519.01942373</v>
      </c>
      <c r="CH148" s="61" t="n">
        <f aca="false">CH146+CH147</f>
        <v>-5931385.18206442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62631.1433333333</v>
      </c>
      <c r="I151" s="10" t="n">
        <f aca="false">H156</f>
        <v>-11402.19</v>
      </c>
      <c r="J151" s="10" t="n">
        <f aca="false">I156</f>
        <v>-215435.523333333</v>
      </c>
      <c r="K151" s="10" t="n">
        <f aca="false">J156</f>
        <v>-428843.856666667</v>
      </c>
      <c r="L151" s="10" t="n">
        <f aca="false">K156</f>
        <v>-663252.19</v>
      </c>
      <c r="M151" s="10" t="n">
        <f aca="false">L156</f>
        <v>-864528.692933333</v>
      </c>
      <c r="N151" s="10" t="n">
        <f aca="false">M156</f>
        <v>-1315805.19586667</v>
      </c>
      <c r="O151" s="10" t="n">
        <f aca="false">N156</f>
        <v>-1517081.6988</v>
      </c>
      <c r="P151" s="10" t="n">
        <f aca="false">O156</f>
        <v>-1720694.4934</v>
      </c>
      <c r="Q151" s="10" t="n">
        <f aca="false">P156</f>
        <v>-1924307.288</v>
      </c>
      <c r="R151" s="10" t="n">
        <f aca="false">Q156</f>
        <v>-2127920.0826</v>
      </c>
      <c r="S151" s="10" t="n">
        <f aca="false">R156</f>
        <v>-2374827.2648</v>
      </c>
      <c r="T151" s="10" t="n">
        <f aca="false">S156</f>
        <v>-2581702.1846</v>
      </c>
      <c r="U151" s="10" t="n">
        <f aca="false">T156</f>
        <v>-2772004.842</v>
      </c>
      <c r="V151" s="10" t="n">
        <f aca="false">U156</f>
        <v>-2945735.2434</v>
      </c>
      <c r="W151" s="10" t="n">
        <f aca="false">V156</f>
        <v>-3102893.376</v>
      </c>
      <c r="X151" s="10" t="n">
        <f aca="false">W156</f>
        <v>-3143493.49588545</v>
      </c>
      <c r="Y151" s="10" t="n">
        <f aca="false">X156</f>
        <v>-3137507.11648545</v>
      </c>
      <c r="Z151" s="10" t="n">
        <f aca="false">Y156</f>
        <v>-3364948.47468545</v>
      </c>
      <c r="AA151" s="10" t="n">
        <f aca="false">Z156</f>
        <v>-3268442.56408545</v>
      </c>
      <c r="AB151" s="10" t="n">
        <f aca="false">AA156</f>
        <v>-3215122.41498545</v>
      </c>
      <c r="AC151" s="10" t="n">
        <f aca="false">AB156</f>
        <v>-3145229.99708545</v>
      </c>
      <c r="AD151" s="10" t="n">
        <f aca="false">AC156</f>
        <v>-2972558.09918545</v>
      </c>
      <c r="AE151" s="10" t="n">
        <f aca="false">AD156</f>
        <v>-2938354.30528545</v>
      </c>
      <c r="AF151" s="10" t="n">
        <f aca="false">AE156</f>
        <v>-2879720.75458545</v>
      </c>
      <c r="AG151" s="10" t="n">
        <f aca="false">AF156</f>
        <v>-2820586.65988545</v>
      </c>
      <c r="AH151" s="10" t="n">
        <f aca="false">AG156</f>
        <v>-2770452.01478545</v>
      </c>
      <c r="AI151" s="10" t="n">
        <f aca="false">AH156</f>
        <v>-2719816.82568545</v>
      </c>
      <c r="AJ151" s="10" t="n">
        <f aca="false">AI156</f>
        <v>-2673957.22378545</v>
      </c>
      <c r="AK151" s="10" t="n">
        <f aca="false">AJ156</f>
        <v>-2622320.92748545</v>
      </c>
      <c r="AL151" s="10" t="n">
        <f aca="false">AK156</f>
        <v>-2836756.34318545</v>
      </c>
      <c r="AM151" s="10" t="n">
        <f aca="false">AL156</f>
        <v>-2817263.47088545</v>
      </c>
      <c r="AN151" s="10" t="n">
        <f aca="false">AM156</f>
        <v>-2816272.99483545</v>
      </c>
      <c r="AO151" s="10" t="n">
        <f aca="false">AN156</f>
        <v>-2831354.22438545</v>
      </c>
      <c r="AP151" s="10" t="n">
        <f aca="false">AO156</f>
        <v>-2862507.16593545</v>
      </c>
      <c r="AQ151" s="10" t="n">
        <f aca="false">AP156</f>
        <v>-2934139.60988545</v>
      </c>
      <c r="AR151" s="10" t="n">
        <f aca="false">AQ156</f>
        <v>-2997435.97543545</v>
      </c>
      <c r="AS151" s="10" t="n">
        <f aca="false">AR156</f>
        <v>-3076804.05298545</v>
      </c>
      <c r="AT151" s="10" t="n">
        <f aca="false">AS156</f>
        <v>-3104468.55933545</v>
      </c>
      <c r="AU151" s="10" t="n">
        <f aca="false">AT156</f>
        <v>-3148705.32168545</v>
      </c>
      <c r="AV151" s="10" t="n">
        <f aca="false">AU156</f>
        <v>-3247871.42003545</v>
      </c>
      <c r="AW151" s="10" t="n">
        <f aca="false">AV156</f>
        <v>-3325252.70078545</v>
      </c>
      <c r="AX151" s="10" t="n">
        <f aca="false">AW156</f>
        <v>-3403134.53833545</v>
      </c>
      <c r="AY151" s="10" t="n">
        <f aca="false">AX156</f>
        <v>-3481516.91988545</v>
      </c>
      <c r="AZ151" s="10" t="n">
        <f aca="false">AY156</f>
        <v>-3562879.14324245</v>
      </c>
      <c r="BA151" s="10" t="n">
        <f aca="false">AZ156</f>
        <v>-3644741.91699945</v>
      </c>
      <c r="BB151" s="10" t="n">
        <f aca="false">BA156</f>
        <v>-3727105.24115645</v>
      </c>
      <c r="BC151" s="10" t="n">
        <f aca="false">BB156</f>
        <v>-3834865.05539345</v>
      </c>
      <c r="BD151" s="10" t="n">
        <f aca="false">BC156</f>
        <v>-3918229.48035045</v>
      </c>
      <c r="BE151" s="10" t="n">
        <f aca="false">BD156</f>
        <v>-4002094.45570745</v>
      </c>
      <c r="BF151" s="10" t="n">
        <f aca="false">BE156</f>
        <v>-4086459.98146445</v>
      </c>
      <c r="BG151" s="10" t="n">
        <f aca="false">BF156</f>
        <v>-4171326.05762145</v>
      </c>
      <c r="BH151" s="10" t="n">
        <f aca="false">BG156</f>
        <v>-4279423.75313845</v>
      </c>
      <c r="BI151" s="10" t="n">
        <f aca="false">BH156</f>
        <v>-4336090.13009545</v>
      </c>
      <c r="BJ151" s="10" t="n">
        <f aca="false">BI156</f>
        <v>-4393257.05745245</v>
      </c>
      <c r="BK151" s="10" t="n">
        <f aca="false">BJ156</f>
        <v>-4383149.24560945</v>
      </c>
      <c r="BL151" s="10" t="n">
        <f aca="false">BK156</f>
        <v>-4512121.98460159</v>
      </c>
      <c r="BM151" s="10" t="n">
        <f aca="false">BL156</f>
        <v>-4641094.72359373</v>
      </c>
      <c r="BN151" s="10" t="n">
        <f aca="false">BM156</f>
        <v>-4770067.46258587</v>
      </c>
      <c r="BO151" s="10" t="n">
        <f aca="false">BN156</f>
        <v>-4924434.0600516</v>
      </c>
      <c r="BP151" s="10" t="n">
        <f aca="false">BO156</f>
        <v>-5053406.79904374</v>
      </c>
      <c r="BQ151" s="10" t="n">
        <f aca="false">BP156</f>
        <v>-5130866.01803588</v>
      </c>
      <c r="BR151" s="10" t="n">
        <f aca="false">BQ156</f>
        <v>-5259838.75702802</v>
      </c>
      <c r="BS151" s="10" t="n">
        <f aca="false">BR156</f>
        <v>-5388811.49602016</v>
      </c>
      <c r="BT151" s="10" t="n">
        <f aca="false">BS156</f>
        <v>-5473207.9318795</v>
      </c>
      <c r="BU151" s="10" t="n">
        <f aca="false">BT156</f>
        <v>-5602180.67087164</v>
      </c>
      <c r="BV151" s="10" t="n">
        <f aca="false">BU156</f>
        <v>-5731153.40986378</v>
      </c>
      <c r="BW151" s="10" t="n">
        <f aca="false">BV156</f>
        <v>-5792364.14885592</v>
      </c>
      <c r="BX151" s="10" t="n">
        <f aca="false">BW156</f>
        <v>-5923916.34262791</v>
      </c>
      <c r="BY151" s="10" t="n">
        <f aca="false">BX156</f>
        <v>-6055468.53639989</v>
      </c>
      <c r="BZ151" s="10" t="n">
        <f aca="false">BY156</f>
        <v>-6119258.73017187</v>
      </c>
      <c r="CA151" s="10" t="n">
        <f aca="false">BZ156</f>
        <v>-6276712.65958693</v>
      </c>
      <c r="CB151" s="10" t="n">
        <f aca="false">CA156</f>
        <v>-6408264.85335891</v>
      </c>
      <c r="CC151" s="10" t="n">
        <f aca="false">CB156</f>
        <v>-6463318.04713089</v>
      </c>
      <c r="CD151" s="10" t="n">
        <f aca="false">CC156</f>
        <v>-6594870.24090287</v>
      </c>
      <c r="CE151" s="10" t="n">
        <f aca="false">CD156</f>
        <v>-6726422.43467486</v>
      </c>
      <c r="CF151" s="10" t="n">
        <f aca="false">CE156</f>
        <v>-6805125.03925138</v>
      </c>
      <c r="CG151" s="10" t="n">
        <f aca="false">CF156</f>
        <v>-6936677.23302337</v>
      </c>
      <c r="CH151" s="10" t="n">
        <f aca="false">CG156</f>
        <v>-7068229.42679535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-73200.0033333333</v>
      </c>
      <c r="H152" s="10" t="n">
        <f aca="false">H87</f>
        <v>-74033.3333333333</v>
      </c>
      <c r="I152" s="10" t="n">
        <f aca="false">I87</f>
        <v>-74033.3333333333</v>
      </c>
      <c r="J152" s="10" t="n">
        <f aca="false">J87</f>
        <v>-83408.3333333333</v>
      </c>
      <c r="K152" s="10" t="n">
        <f aca="false">K87</f>
        <v>-104408.333333333</v>
      </c>
      <c r="L152" s="10" t="n">
        <f aca="false">L87</f>
        <v>-71276.5029333333</v>
      </c>
      <c r="M152" s="10" t="n">
        <f aca="false">M87</f>
        <v>-71276.5029333333</v>
      </c>
      <c r="N152" s="10" t="n">
        <f aca="false">N87</f>
        <v>-71276.5029333333</v>
      </c>
      <c r="O152" s="10" t="n">
        <f aca="false">O87</f>
        <v>-73612.7946</v>
      </c>
      <c r="P152" s="10" t="n">
        <f aca="false">P87</f>
        <v>-73612.7946</v>
      </c>
      <c r="Q152" s="10" t="n">
        <f aca="false">Q87</f>
        <v>-73612.7946</v>
      </c>
      <c r="R152" s="10" t="n">
        <f aca="false">R87</f>
        <v>-116907.1822</v>
      </c>
      <c r="S152" s="10" t="n">
        <f aca="false">S87</f>
        <v>-76874.9198</v>
      </c>
      <c r="T152" s="10" t="n">
        <f aca="false">T87</f>
        <v>-60302.6574</v>
      </c>
      <c r="U152" s="10" t="n">
        <f aca="false">U87</f>
        <v>-43730.4014</v>
      </c>
      <c r="V152" s="10" t="n">
        <f aca="false">V87</f>
        <v>-27158.1326</v>
      </c>
      <c r="W152" s="10" t="n">
        <f aca="false">W87</f>
        <v>25369.1234</v>
      </c>
      <c r="X152" s="10" t="n">
        <f aca="false">X87</f>
        <v>5986.37939999999</v>
      </c>
      <c r="Y152" s="10" t="n">
        <f aca="false">Y87</f>
        <v>22558.6418</v>
      </c>
      <c r="Z152" s="10" t="n">
        <f aca="false">Z87</f>
        <v>96505.9106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62631.1433333333</v>
      </c>
      <c r="H156" s="61" t="n">
        <f aca="false">H151+H152+H153+H154+H155</f>
        <v>-11402.19</v>
      </c>
      <c r="I156" s="61" t="n">
        <f aca="false">I151+I152+I153+I154+I155</f>
        <v>-215435.523333333</v>
      </c>
      <c r="J156" s="61" t="n">
        <f aca="false">J151+J152+J153+J154+J155</f>
        <v>-428843.856666667</v>
      </c>
      <c r="K156" s="61" t="n">
        <f aca="false">K151+K152+K153+K154+K155</f>
        <v>-663252.19</v>
      </c>
      <c r="L156" s="61" t="n">
        <f aca="false">L151+L152+L153+L154+L155</f>
        <v>-864528.692933333</v>
      </c>
      <c r="M156" s="61" t="n">
        <f aca="false">M151+M152+M153+M154+M155</f>
        <v>-1315805.19586667</v>
      </c>
      <c r="N156" s="61" t="n">
        <f aca="false">N151+N152+N153+N154+N155</f>
        <v>-1517081.6988</v>
      </c>
      <c r="O156" s="61" t="n">
        <f aca="false">O151+O152+O153+O154+O155</f>
        <v>-1720694.4934</v>
      </c>
      <c r="P156" s="61" t="n">
        <f aca="false">P151+P152+P153+P154+P155</f>
        <v>-1924307.288</v>
      </c>
      <c r="Q156" s="61" t="n">
        <f aca="false">Q151+Q152+Q153+Q154+Q155</f>
        <v>-2127920.0826</v>
      </c>
      <c r="R156" s="61" t="n">
        <f aca="false">R151+R152+R153+R154+R155</f>
        <v>-2374827.2648</v>
      </c>
      <c r="S156" s="61" t="n">
        <f aca="false">S151+S152+S153+S154+S155</f>
        <v>-2581702.1846</v>
      </c>
      <c r="T156" s="61" t="n">
        <f aca="false">T151+T152+T153+T154+T155</f>
        <v>-2772004.842</v>
      </c>
      <c r="U156" s="61" t="n">
        <f aca="false">U151+U152+U153+U154+U155</f>
        <v>-2945735.2434</v>
      </c>
      <c r="V156" s="61" t="n">
        <f aca="false">V151+V152+V153+V154+V155</f>
        <v>-3102893.376</v>
      </c>
      <c r="W156" s="61" t="n">
        <f aca="false">W151+W152+W153+W154+W155</f>
        <v>-3143493.49588545</v>
      </c>
      <c r="X156" s="61" t="n">
        <f aca="false">X151+X152+X153+X154+X155</f>
        <v>-3137507.11648545</v>
      </c>
      <c r="Y156" s="61" t="n">
        <f aca="false">Y151+Y152+Y153+Y154+Y155</f>
        <v>-3364948.47468545</v>
      </c>
      <c r="Z156" s="61" t="n">
        <f aca="false">Z151+Z152+Z153+Z154+Z155</f>
        <v>-3268442.56408545</v>
      </c>
      <c r="AA156" s="61" t="n">
        <f aca="false">AA151+AA152+AA153+AA154+AA155</f>
        <v>-3215122.41498545</v>
      </c>
      <c r="AB156" s="61" t="n">
        <f aca="false">AB151+AB152+AB153+AB154+AB155</f>
        <v>-3145229.99708545</v>
      </c>
      <c r="AC156" s="61" t="n">
        <f aca="false">AC151+AC152+AC153+AC154+AC155</f>
        <v>-2972558.09918545</v>
      </c>
      <c r="AD156" s="61" t="n">
        <f aca="false">AD151+AD152+AD153+AD154+AD155</f>
        <v>-2938354.30528545</v>
      </c>
      <c r="AE156" s="61" t="n">
        <f aca="false">AE151+AE152+AE153+AE154+AE155</f>
        <v>-2879720.75458545</v>
      </c>
      <c r="AF156" s="61" t="n">
        <f aca="false">AF151+AF152+AF153+AF154+AF155</f>
        <v>-2820586.65988545</v>
      </c>
      <c r="AG156" s="61" t="n">
        <f aca="false">AG151+AG152+AG153+AG154+AG155</f>
        <v>-2770452.01478545</v>
      </c>
      <c r="AH156" s="61" t="n">
        <f aca="false">AH151+AH152+AH153+AH154+AH155</f>
        <v>-2719816.82568545</v>
      </c>
      <c r="AI156" s="61" t="n">
        <f aca="false">AI151+AI152+AI153+AI154+AI155</f>
        <v>-2673957.22378545</v>
      </c>
      <c r="AJ156" s="61" t="n">
        <f aca="false">AJ151+AJ152+AJ153+AJ154+AJ155</f>
        <v>-2622320.92748545</v>
      </c>
      <c r="AK156" s="61" t="n">
        <f aca="false">AK151+AK152+AK153+AK154+AK155</f>
        <v>-2836756.34318545</v>
      </c>
      <c r="AL156" s="61" t="n">
        <f aca="false">AL151+AL152+AL153+AL154+AL155</f>
        <v>-2817263.47088545</v>
      </c>
      <c r="AM156" s="61" t="n">
        <f aca="false">AM151+AM152+AM153+AM154+AM155</f>
        <v>-2816272.99483545</v>
      </c>
      <c r="AN156" s="61" t="n">
        <f aca="false">AN151+AN152+AN153+AN154+AN155</f>
        <v>-2831354.22438545</v>
      </c>
      <c r="AO156" s="61" t="n">
        <f aca="false">AO151+AO152+AO153+AO154+AO155</f>
        <v>-2862507.16593545</v>
      </c>
      <c r="AP156" s="61" t="n">
        <f aca="false">AP151+AP152+AP153+AP154+AP155</f>
        <v>-2934139.60988545</v>
      </c>
      <c r="AQ156" s="61" t="n">
        <f aca="false">AQ151+AQ152+AQ153+AQ154+AQ155</f>
        <v>-2997435.97543545</v>
      </c>
      <c r="AR156" s="61" t="n">
        <f aca="false">AR151+AR152+AR153+AR154+AR155</f>
        <v>-3076804.05298545</v>
      </c>
      <c r="AS156" s="61" t="n">
        <f aca="false">AS151+AS152+AS153+AS154+AS155</f>
        <v>-3104468.55933545</v>
      </c>
      <c r="AT156" s="61" t="n">
        <f aca="false">AT151+AT152+AT153+AT154+AT155</f>
        <v>-3148705.32168545</v>
      </c>
      <c r="AU156" s="61" t="n">
        <f aca="false">AU151+AU152+AU153+AU154+AU155</f>
        <v>-3247871.42003545</v>
      </c>
      <c r="AV156" s="61" t="n">
        <f aca="false">AV151+AV152+AV153+AV154+AV155</f>
        <v>-3325252.70078545</v>
      </c>
      <c r="AW156" s="61" t="n">
        <f aca="false">AW151+AW152+AW153+AW154+AW155</f>
        <v>-3403134.53833545</v>
      </c>
      <c r="AX156" s="61" t="n">
        <f aca="false">AX151+AX152+AX153+AX154+AX155</f>
        <v>-3481516.91988545</v>
      </c>
      <c r="AY156" s="61" t="n">
        <f aca="false">AY151+AY152+AY153+AY154+AY155</f>
        <v>-3562879.14324245</v>
      </c>
      <c r="AZ156" s="61" t="n">
        <f aca="false">AZ151+AZ152+AZ153+AZ154+AZ155</f>
        <v>-3644741.91699945</v>
      </c>
      <c r="BA156" s="61" t="n">
        <f aca="false">BA151+BA152+BA153+BA154+BA155</f>
        <v>-3727105.24115645</v>
      </c>
      <c r="BB156" s="61" t="n">
        <f aca="false">BB151+BB152+BB153+BB154+BB155</f>
        <v>-3834865.05539345</v>
      </c>
      <c r="BC156" s="61" t="n">
        <f aca="false">BC151+BC152+BC153+BC154+BC155</f>
        <v>-3918229.48035045</v>
      </c>
      <c r="BD156" s="61" t="n">
        <f aca="false">BD151+BD152+BD153+BD154+BD155</f>
        <v>-4002094.45570745</v>
      </c>
      <c r="BE156" s="61" t="n">
        <f aca="false">BE151+BE152+BE153+BE154+BE155</f>
        <v>-4086459.98146445</v>
      </c>
      <c r="BF156" s="61" t="n">
        <f aca="false">BF151+BF152+BF153+BF154+BF155</f>
        <v>-4171326.05762145</v>
      </c>
      <c r="BG156" s="61" t="n">
        <f aca="false">BG151+BG152+BG153+BG154+BG155</f>
        <v>-4279423.75313845</v>
      </c>
      <c r="BH156" s="61" t="n">
        <f aca="false">BH151+BH152+BH153+BH154+BH155</f>
        <v>-4336090.13009545</v>
      </c>
      <c r="BI156" s="61" t="n">
        <f aca="false">BI151+BI152+BI153+BI154+BI155</f>
        <v>-4393257.05745245</v>
      </c>
      <c r="BJ156" s="61" t="n">
        <f aca="false">BJ151+BJ152+BJ153+BJ154+BJ155</f>
        <v>-4383149.24560945</v>
      </c>
      <c r="BK156" s="61" t="n">
        <f aca="false">BK151+BK152+BK153+BK154+BK155</f>
        <v>-4512121.98460159</v>
      </c>
      <c r="BL156" s="61" t="n">
        <f aca="false">BL151+BL152+BL153+BL154+BL155</f>
        <v>-4641094.72359373</v>
      </c>
      <c r="BM156" s="61" t="n">
        <f aca="false">BM151+BM152+BM153+BM154+BM155</f>
        <v>-4770067.46258587</v>
      </c>
      <c r="BN156" s="61" t="n">
        <f aca="false">BN151+BN152+BN153+BN154+BN155</f>
        <v>-4924434.0600516</v>
      </c>
      <c r="BO156" s="61" t="n">
        <f aca="false">BO151+BO152+BO153+BO154+BO155</f>
        <v>-5053406.79904374</v>
      </c>
      <c r="BP156" s="61" t="n">
        <f aca="false">BP151+BP152+BP153+BP154+BP155</f>
        <v>-5130866.01803588</v>
      </c>
      <c r="BQ156" s="61" t="n">
        <f aca="false">BQ151+BQ152+BQ153+BQ154+BQ155</f>
        <v>-5259838.75702802</v>
      </c>
      <c r="BR156" s="61" t="n">
        <f aca="false">BR151+BR152+BR153+BR154+BR155</f>
        <v>-5388811.49602016</v>
      </c>
      <c r="BS156" s="61" t="n">
        <f aca="false">BS151+BS152+BS153+BS154+BS155</f>
        <v>-5473207.9318795</v>
      </c>
      <c r="BT156" s="61" t="n">
        <f aca="false">BT151+BT152+BT153+BT154+BT155</f>
        <v>-5602180.67087164</v>
      </c>
      <c r="BU156" s="61" t="n">
        <f aca="false">BU151+BU152+BU153+BU154+BU155</f>
        <v>-5731153.40986378</v>
      </c>
      <c r="BV156" s="61" t="n">
        <f aca="false">BV151+BV152+BV153+BV154+BV155</f>
        <v>-5792364.14885592</v>
      </c>
      <c r="BW156" s="61" t="n">
        <f aca="false">BW151+BW152+BW153+BW154+BW155</f>
        <v>-5923916.34262791</v>
      </c>
      <c r="BX156" s="61" t="n">
        <f aca="false">BX151+BX152+BX153+BX154+BX155</f>
        <v>-6055468.53639989</v>
      </c>
      <c r="BY156" s="61" t="n">
        <f aca="false">BY151+BY152+BY153+BY154+BY155</f>
        <v>-6119258.73017187</v>
      </c>
      <c r="BZ156" s="61" t="n">
        <f aca="false">BZ151+BZ152+BZ153+BZ154+BZ155</f>
        <v>-6276712.65958693</v>
      </c>
      <c r="CA156" s="61" t="n">
        <f aca="false">CA151+CA152+CA153+CA154+CA155</f>
        <v>-6408264.85335891</v>
      </c>
      <c r="CB156" s="61" t="n">
        <f aca="false">CB151+CB152+CB153+CB154+CB155</f>
        <v>-6463318.04713089</v>
      </c>
      <c r="CC156" s="61" t="n">
        <f aca="false">CC151+CC152+CC153+CC154+CC155</f>
        <v>-6594870.24090287</v>
      </c>
      <c r="CD156" s="61" t="n">
        <f aca="false">CD151+CD152+CD153+CD154+CD155</f>
        <v>-6726422.43467486</v>
      </c>
      <c r="CE156" s="61" t="n">
        <f aca="false">CE151+CE152+CE153+CE154+CE155</f>
        <v>-6805125.03925138</v>
      </c>
      <c r="CF156" s="61" t="n">
        <f aca="false">CF151+CF152+CF153+CF154+CF155</f>
        <v>-6936677.23302337</v>
      </c>
      <c r="CG156" s="61" t="n">
        <f aca="false">CG151+CG152+CG153+CG154+CG155</f>
        <v>-7068229.42679535</v>
      </c>
      <c r="CH156" s="61" t="n">
        <f aca="false">CH151+CH152+CH153+CH154+CH155</f>
        <v>-7116674.59396085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3503647.13167772</v>
      </c>
      <c r="N159" s="10" t="n">
        <f aca="false">N146+N151</f>
        <v>3399001.9796822</v>
      </c>
      <c r="O159" s="10" t="n">
        <f aca="false">O146+O151</f>
        <v>3548108.09768715</v>
      </c>
      <c r="P159" s="10" t="n">
        <f aca="false">P146+P151</f>
        <v>3027724.31111749</v>
      </c>
      <c r="Q159" s="10" t="n">
        <f aca="false">Q146+Q151</f>
        <v>3302264.91442391</v>
      </c>
      <c r="R159" s="10" t="n">
        <f aca="false">R146+R151</f>
        <v>3719585.9708946</v>
      </c>
      <c r="S159" s="10" t="n">
        <f aca="false">S146+S151</f>
        <v>3917171.39225613</v>
      </c>
      <c r="T159" s="10" t="n">
        <f aca="false">T146+T151</f>
        <v>3967919.03565209</v>
      </c>
      <c r="U159" s="10" t="n">
        <f aca="false">U146+U151</f>
        <v>4035067.70563179</v>
      </c>
      <c r="V159" s="10" t="n">
        <f aca="false">V146+V151</f>
        <v>4136288.78100173</v>
      </c>
      <c r="W159" s="10" t="n">
        <f aca="false">W146+W151</f>
        <v>4207189.877412</v>
      </c>
      <c r="X159" s="10" t="n">
        <f aca="false">X146+X151</f>
        <v>4383626.41108975</v>
      </c>
      <c r="Y159" s="10" t="n">
        <f aca="false">Y146+Y151</f>
        <v>4592909.11117588</v>
      </c>
      <c r="Z159" s="10" t="n">
        <f aca="false">Z146+Z151</f>
        <v>4553099.31566356</v>
      </c>
      <c r="AA159" s="10" t="n">
        <f aca="false">AA146+AA151</f>
        <v>4820422.67500801</v>
      </c>
      <c r="AB159" s="10" t="n">
        <f aca="false">AB146+AB151</f>
        <v>5102040.74853297</v>
      </c>
      <c r="AC159" s="10" t="n">
        <f aca="false">AC146+AC151</f>
        <v>5248185.97700597</v>
      </c>
      <c r="AD159" s="10" t="n">
        <f aca="false">AD146+AD151</f>
        <v>4855000.048125</v>
      </c>
      <c r="AE159" s="10" t="n">
        <f aca="false">AE146+AE151</f>
        <v>5009240.49145858</v>
      </c>
      <c r="AF159" s="10" t="n">
        <f aca="false">AF146+AF151</f>
        <v>5190023.74290449</v>
      </c>
      <c r="AG159" s="10" t="n">
        <f aca="false">AG146+AG151</f>
        <v>5372604.50168132</v>
      </c>
      <c r="AH159" s="10" t="n">
        <f aca="false">AH146+AH151</f>
        <v>5667502.31648806</v>
      </c>
      <c r="AI159" s="10" t="n">
        <f aca="false">AI146+AI151</f>
        <v>5787170.09676339</v>
      </c>
      <c r="AJ159" s="10" t="n">
        <f aca="false">AJ146+AJ151</f>
        <v>6145210.08922424</v>
      </c>
      <c r="AK159" s="10" t="n">
        <f aca="false">AK146+AK151</f>
        <v>6174849.11894414</v>
      </c>
      <c r="AL159" s="10" t="n">
        <f aca="false">AL146+AL151</f>
        <v>5936077.56955442</v>
      </c>
      <c r="AM159" s="10" t="n">
        <f aca="false">AM146+AM151</f>
        <v>6018304.73144792</v>
      </c>
      <c r="AN159" s="10" t="n">
        <f aca="false">AN146+AN151</f>
        <v>5943007.80213266</v>
      </c>
      <c r="AO159" s="10" t="n">
        <f aca="false">AO146+AO151</f>
        <v>5849045.19072663</v>
      </c>
      <c r="AP159" s="10" t="n">
        <f aca="false">AP146+AP151</f>
        <v>5735748.10710588</v>
      </c>
      <c r="AQ159" s="10" t="n">
        <f aca="false">AQ146+AQ151</f>
        <v>5578068.1603717</v>
      </c>
      <c r="AR159" s="10" t="n">
        <f aca="false">AR146+AR151</f>
        <v>5424218.36499008</v>
      </c>
      <c r="AS159" s="10" t="n">
        <f aca="false">AS146+AS151</f>
        <v>5506432.4358259</v>
      </c>
      <c r="AT159" s="10" t="n">
        <f aca="false">AT146+AT151</f>
        <v>5255476.41781529</v>
      </c>
      <c r="AU159" s="10" t="n">
        <f aca="false">AU146+AU151</f>
        <v>4986226.15304039</v>
      </c>
      <c r="AV159" s="10" t="n">
        <f aca="false">AV146+AV151</f>
        <v>4659524.79245735</v>
      </c>
      <c r="AW159" s="10" t="n">
        <f aca="false">AW146+AW151</f>
        <v>4351363.25354517</v>
      </c>
      <c r="AX159" s="10" t="n">
        <f aca="false">AX146+AX151</f>
        <v>4038822.8519672</v>
      </c>
      <c r="AY159" s="10" t="n">
        <f aca="false">AY146+AY151</f>
        <v>3721375.52335573</v>
      </c>
      <c r="AZ159" s="10" t="n">
        <f aca="false">AZ146+AZ151</f>
        <v>3393369.15545522</v>
      </c>
      <c r="BA159" s="10" t="n">
        <f aca="false">BA146+BA151</f>
        <v>3059753.66455399</v>
      </c>
      <c r="BB159" s="10" t="n">
        <f aca="false">BB146+BB151</f>
        <v>2720358.7648987</v>
      </c>
      <c r="BC159" s="10" t="n">
        <f aca="false">BC146+BC151</f>
        <v>2350233.03044026</v>
      </c>
      <c r="BD159" s="10" t="n">
        <f aca="false">BD146+BD151</f>
        <v>1999218.08693853</v>
      </c>
      <c r="BE159" s="10" t="n">
        <f aca="false">BE146+BE151</f>
        <v>1642563.40726695</v>
      </c>
      <c r="BF159" s="10" t="n">
        <f aca="false">BF146+BF151</f>
        <v>1280492.85022486</v>
      </c>
      <c r="BG159" s="10" t="n">
        <f aca="false">BG146+BG151</f>
        <v>1148266.74091914</v>
      </c>
      <c r="BH159" s="10" t="n">
        <f aca="false">BH146+BH151</f>
        <v>641996.516527959</v>
      </c>
      <c r="BI159" s="10" t="n">
        <f aca="false">BI146+BI151</f>
        <v>187157.610696781</v>
      </c>
      <c r="BJ159" s="10" t="n">
        <f aca="false">BJ146+BJ151</f>
        <v>-268181.845534398</v>
      </c>
      <c r="BK159" s="10" t="n">
        <f aca="false">BK146+BK151</f>
        <v>-656246.562565576</v>
      </c>
      <c r="BL159" s="10" t="n">
        <f aca="false">BL146+BL151</f>
        <v>-1186210.46100938</v>
      </c>
      <c r="BM159" s="10" t="n">
        <f aca="false">BM146+BM151</f>
        <v>-1716174.35945318</v>
      </c>
      <c r="BN159" s="10" t="n">
        <f aca="false">BN146+BN151</f>
        <v>-2246138.25789698</v>
      </c>
      <c r="BO159" s="10" t="n">
        <f aca="false">BO146+BO151</f>
        <v>-2801496.01481438</v>
      </c>
      <c r="BP159" s="10" t="n">
        <f aca="false">BP146+BP151</f>
        <v>-3331459.91325819</v>
      </c>
      <c r="BQ159" s="10" t="n">
        <f aca="false">BQ146+BQ151</f>
        <v>-3809910.29170199</v>
      </c>
      <c r="BR159" s="10" t="n">
        <f aca="false">BR146+BR151</f>
        <v>-4339874.19014579</v>
      </c>
      <c r="BS159" s="10" t="n">
        <f aca="false">BS146+BS151</f>
        <v>-4869838.08858959</v>
      </c>
      <c r="BT159" s="10" t="n">
        <f aca="false">BT146+BT151</f>
        <v>-5355225.68390059</v>
      </c>
      <c r="BU159" s="10" t="n">
        <f aca="false">BU146+BU151</f>
        <v>-5885189.5823444</v>
      </c>
      <c r="BV159" s="10" t="n">
        <f aca="false">BV146+BV151</f>
        <v>-6415153.4807882</v>
      </c>
      <c r="BW159" s="10" t="n">
        <f aca="false">BW146+BW151</f>
        <v>-6877355.379232</v>
      </c>
      <c r="BX159" s="10" t="n">
        <f aca="false">BX146+BX151</f>
        <v>-7412773.73564468</v>
      </c>
      <c r="BY159" s="10" t="n">
        <f aca="false">BY146+BY151</f>
        <v>-7948192.09205736</v>
      </c>
      <c r="BZ159" s="10" t="n">
        <f aca="false">BZ146+BZ151</f>
        <v>-8415848.44847003</v>
      </c>
      <c r="CA159" s="10" t="n">
        <f aca="false">CA146+CA151</f>
        <v>-8977168.54052578</v>
      </c>
      <c r="CB159" s="10" t="n">
        <f aca="false">CB146+CB151</f>
        <v>-9512586.89693846</v>
      </c>
      <c r="CC159" s="10" t="n">
        <f aca="false">CC146+CC151</f>
        <v>-9971506.25335114</v>
      </c>
      <c r="CD159" s="10" t="n">
        <f aca="false">CD146+CD151</f>
        <v>-10506924.6097638</v>
      </c>
      <c r="CE159" s="10" t="n">
        <f aca="false">CE146+CE151</f>
        <v>-11042342.9661765</v>
      </c>
      <c r="CF159" s="10" t="n">
        <f aca="false">CF146+CF151</f>
        <v>-11524911.7333937</v>
      </c>
      <c r="CG159" s="10" t="n">
        <f aca="false">CG146+CG151</f>
        <v>-12060330.0898064</v>
      </c>
      <c r="CH159" s="10" t="n">
        <f aca="false">CH146+CH151</f>
        <v>-12595748.4462191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-829441.037779468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-603475.103440348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3503647.13167772</v>
      </c>
      <c r="M161" s="61" t="n">
        <f aca="false">M159+M147+M152+M153+M154+M155+M160</f>
        <v>3399001.97968221</v>
      </c>
      <c r="N161" s="61" t="n">
        <f aca="false">N159+N147+N152+N153+N154+N155+N160</f>
        <v>3052734.49415406</v>
      </c>
      <c r="O161" s="61" t="n">
        <f aca="false">O159+O147+O152+O153+O154+O155+O160</f>
        <v>3027724.31111749</v>
      </c>
      <c r="P161" s="61" t="n">
        <f aca="false">P159+P147+P152+P153+P154+P155+P160</f>
        <v>3302264.91442391</v>
      </c>
      <c r="Q161" s="61" t="n">
        <f aca="false">Q159+Q147+Q152+Q153+Q154+Q155+Q160</f>
        <v>3719585.9708946</v>
      </c>
      <c r="R161" s="61" t="n">
        <f aca="false">R159+R147+R152+R153+R154+R155+R160</f>
        <v>3917171.39225613</v>
      </c>
      <c r="S161" s="61" t="n">
        <f aca="false">S159+S147+S152+S153+S154+S155+S160</f>
        <v>3967919.03565209</v>
      </c>
      <c r="T161" s="61" t="n">
        <f aca="false">T159+T147+T152+T153+T154+T155+T160</f>
        <v>4035067.70563179</v>
      </c>
      <c r="U161" s="61" t="n">
        <f aca="false">U159+U147+U152+U153+U154+U155+U160</f>
        <v>4136288.78100172</v>
      </c>
      <c r="V161" s="61" t="n">
        <f aca="false">V159+V147+V152+V153+V154+V155+V160</f>
        <v>4207189.877412</v>
      </c>
      <c r="W161" s="61" t="n">
        <f aca="false">W159+W147+W152+W153+W154+W155+W160</f>
        <v>4383626.41108975</v>
      </c>
      <c r="X161" s="61" t="n">
        <f aca="false">X159+X147+X152+X153+X154+X155+X160</f>
        <v>4592909.11117588</v>
      </c>
      <c r="Y161" s="61" t="n">
        <f aca="false">Y159+Y147+Y152+Y153+Y154+Y155+Y160</f>
        <v>4553099.31566356</v>
      </c>
      <c r="Z161" s="61" t="n">
        <f aca="false">Z159+Z147+Z152+Z153+Z154+Z155+Z160</f>
        <v>3990981.63722854</v>
      </c>
      <c r="AA161" s="61" t="n">
        <f aca="false">AA159+AA147+AA152+AA153+AA154+AA155+AA160</f>
        <v>5102040.74853297</v>
      </c>
      <c r="AB161" s="61" t="n">
        <f aca="false">AB159+AB147+AB152+AB153+AB154+AB155+AB160</f>
        <v>5248185.97700597</v>
      </c>
      <c r="AC161" s="61" t="n">
        <f aca="false">AC159+AC147+AC152+AC153+AC154+AC155+AC160</f>
        <v>4855000.048125</v>
      </c>
      <c r="AD161" s="61" t="n">
        <f aca="false">AD159+AD147+AD152+AD153+AD154+AD155+AD160</f>
        <v>5009240.49145858</v>
      </c>
      <c r="AE161" s="61" t="n">
        <f aca="false">AE159+AE147+AE152+AE153+AE154+AE155+AE160</f>
        <v>5190023.74290449</v>
      </c>
      <c r="AF161" s="61" t="n">
        <f aca="false">AF159+AF147+AF152+AF153+AF154+AF155+AF160</f>
        <v>5372604.50168132</v>
      </c>
      <c r="AG161" s="61" t="n">
        <f aca="false">AG159+AG147+AG152+AG153+AG154+AG155+AG160</f>
        <v>5667502.31648806</v>
      </c>
      <c r="AH161" s="61" t="n">
        <f aca="false">AH159+AH147+AH152+AH153+AH154+AH155+AH160</f>
        <v>5787170.09676339</v>
      </c>
      <c r="AI161" s="61" t="n">
        <f aca="false">AI159+AI147+AI152+AI153+AI154+AI155+AI160</f>
        <v>6145210.08922424</v>
      </c>
      <c r="AJ161" s="61" t="n">
        <f aca="false">AJ159+AJ147+AJ152+AJ153+AJ154+AJ155+AJ160</f>
        <v>6174849.11894414</v>
      </c>
      <c r="AK161" s="61" t="n">
        <f aca="false">AK159+AK147+AK152+AK153+AK154+AK155+AK160</f>
        <v>5936077.56955442</v>
      </c>
      <c r="AL161" s="61" t="n">
        <f aca="false">AL159+AL147+AL152+AL153+AL154+AL155+AL160</f>
        <v>5414829.62800757</v>
      </c>
      <c r="AM161" s="61" t="n">
        <f aca="false">AM159+AM147+AM152+AM153+AM154+AM155+AM160</f>
        <v>5943007.80213266</v>
      </c>
      <c r="AN161" s="61" t="n">
        <f aca="false">AN159+AN147+AN152+AN153+AN154+AN155+AN160</f>
        <v>5849045.19072663</v>
      </c>
      <c r="AO161" s="61" t="n">
        <f aca="false">AO159+AO147+AO152+AO153+AO154+AO155+AO160</f>
        <v>5735748.10710588</v>
      </c>
      <c r="AP161" s="61" t="n">
        <f aca="false">AP159+AP147+AP152+AP153+AP154+AP155+AP160</f>
        <v>5578068.1603717</v>
      </c>
      <c r="AQ161" s="61" t="n">
        <f aca="false">AQ159+AQ147+AQ152+AQ153+AQ154+AQ155+AQ160</f>
        <v>5424218.36499008</v>
      </c>
      <c r="AR161" s="61" t="n">
        <f aca="false">AR159+AR147+AR152+AR153+AR154+AR155+AR160</f>
        <v>5506432.4358259</v>
      </c>
      <c r="AS161" s="61" t="n">
        <f aca="false">AS159+AS147+AS152+AS153+AS154+AS155+AS160</f>
        <v>5255476.41781528</v>
      </c>
      <c r="AT161" s="61" t="n">
        <f aca="false">AT159+AT147+AT152+AT153+AT154+AT155+AT160</f>
        <v>4986226.15304039</v>
      </c>
      <c r="AU161" s="61" t="n">
        <f aca="false">AU159+AU147+AU152+AU153+AU154+AU155+AU160</f>
        <v>4659524.79245735</v>
      </c>
      <c r="AV161" s="61" t="n">
        <f aca="false">AV159+AV147+AV152+AV153+AV154+AV155+AV160</f>
        <v>4351363.25354517</v>
      </c>
      <c r="AW161" s="61" t="n">
        <f aca="false">AW159+AW147+AW152+AW153+AW154+AW155+AW160</f>
        <v>4038822.8519672</v>
      </c>
      <c r="AX161" s="61" t="n">
        <f aca="false">AX159+AX147+AX152+AX153+AX154+AX155+AX160</f>
        <v>3721375.52335573</v>
      </c>
      <c r="AY161" s="61" t="n">
        <f aca="false">AY159+AY147+AY152+AY153+AY154+AY155+AY160</f>
        <v>3393369.15545522</v>
      </c>
      <c r="AZ161" s="61" t="n">
        <f aca="false">AZ159+AZ147+AZ152+AZ153+AZ154+AZ155+AZ160</f>
        <v>3059753.66455399</v>
      </c>
      <c r="BA161" s="61" t="n">
        <f aca="false">BA159+BA147+BA152+BA153+BA154+BA155+BA160</f>
        <v>2720358.7648987</v>
      </c>
      <c r="BB161" s="61" t="n">
        <f aca="false">BB159+BB147+BB152+BB153+BB154+BB155+BB160</f>
        <v>2350233.03044026</v>
      </c>
      <c r="BC161" s="61" t="n">
        <f aca="false">BC159+BC147+BC152+BC153+BC154+BC155+BC160</f>
        <v>1999218.08693853</v>
      </c>
      <c r="BD161" s="61" t="n">
        <f aca="false">BD159+BD147+BD152+BD153+BD154+BD155+BD160</f>
        <v>1642563.40726695</v>
      </c>
      <c r="BE161" s="61" t="n">
        <f aca="false">BE159+BE147+BE152+BE153+BE154+BE155+BE160</f>
        <v>1280492.85022486</v>
      </c>
      <c r="BF161" s="61" t="n">
        <f aca="false">BF159+BF147+BF152+BF153+BF154+BF155+BF160</f>
        <v>1148266.74091914</v>
      </c>
      <c r="BG161" s="61" t="n">
        <f aca="false">BG159+BG147+BG152+BG153+BG154+BG155+BG160</f>
        <v>641996.516527959</v>
      </c>
      <c r="BH161" s="61" t="n">
        <f aca="false">BH159+BH147+BH152+BH153+BH154+BH155+BH160</f>
        <v>187157.610696781</v>
      </c>
      <c r="BI161" s="61" t="n">
        <f aca="false">BI159+BI147+BI152+BI153+BI154+BI155+BI160</f>
        <v>-268181.845534398</v>
      </c>
      <c r="BJ161" s="61" t="n">
        <f aca="false">BJ159+BJ147+BJ152+BJ153+BJ154+BJ155+BJ160</f>
        <v>-656246.562565577</v>
      </c>
      <c r="BK161" s="61" t="n">
        <f aca="false">BK159+BK147+BK152+BK153+BK154+BK155+BK160</f>
        <v>-1186210.46100938</v>
      </c>
      <c r="BL161" s="61" t="n">
        <f aca="false">BL159+BL147+BL152+BL153+BL154+BL155+BL160</f>
        <v>-1716174.35945318</v>
      </c>
      <c r="BM161" s="61" t="n">
        <f aca="false">BM159+BM147+BM152+BM153+BM154+BM155+BM160</f>
        <v>-2246138.25789698</v>
      </c>
      <c r="BN161" s="61" t="n">
        <f aca="false">BN159+BN147+BN152+BN153+BN154+BN155+BN160</f>
        <v>-2801496.01481438</v>
      </c>
      <c r="BO161" s="61" t="n">
        <f aca="false">BO159+BO147+BO152+BO153+BO154+BO155+BO160</f>
        <v>-3331459.91325819</v>
      </c>
      <c r="BP161" s="61" t="n">
        <f aca="false">BP159+BP147+BP152+BP153+BP154+BP155+BP160</f>
        <v>-3809910.29170199</v>
      </c>
      <c r="BQ161" s="61" t="n">
        <f aca="false">BQ159+BQ147+BQ152+BQ153+BQ154+BQ155+BQ160</f>
        <v>-4339874.19014579</v>
      </c>
      <c r="BR161" s="61" t="n">
        <f aca="false">BR159+BR147+BR152+BR153+BR154+BR155+BR160</f>
        <v>-4869838.08858959</v>
      </c>
      <c r="BS161" s="61" t="n">
        <f aca="false">BS159+BS147+BS152+BS153+BS154+BS155+BS160</f>
        <v>-5355225.68390059</v>
      </c>
      <c r="BT161" s="61" t="n">
        <f aca="false">BT159+BT147+BT152+BT153+BT154+BT155+BT160</f>
        <v>-5885189.58234439</v>
      </c>
      <c r="BU161" s="61" t="n">
        <f aca="false">BU159+BU147+BU152+BU153+BU154+BU155+BU160</f>
        <v>-6415153.4807882</v>
      </c>
      <c r="BV161" s="61" t="n">
        <f aca="false">BV159+BV147+BV152+BV153+BV154+BV155+BV160</f>
        <v>-6877355.379232</v>
      </c>
      <c r="BW161" s="61" t="n">
        <f aca="false">BW159+BW147+BW152+BW153+BW154+BW155+BW160</f>
        <v>-7412773.73564468</v>
      </c>
      <c r="BX161" s="61" t="n">
        <f aca="false">BX159+BX147+BX152+BX153+BX154+BX155+BX160</f>
        <v>-7948192.09205736</v>
      </c>
      <c r="BY161" s="61" t="n">
        <f aca="false">BY159+BY147+BY152+BY153+BY154+BY155+BY160</f>
        <v>-8415848.44847003</v>
      </c>
      <c r="BZ161" s="61" t="n">
        <f aca="false">BZ159+BZ147+BZ152+BZ153+BZ154+BZ155+BZ160</f>
        <v>-8977168.54052578</v>
      </c>
      <c r="CA161" s="61" t="n">
        <f aca="false">CA159+CA147+CA152+CA153+CA154+CA155+CA160</f>
        <v>-9512586.89693846</v>
      </c>
      <c r="CB161" s="61" t="n">
        <f aca="false">CB159+CB147+CB152+CB153+CB154+CB155+CB160</f>
        <v>-9971506.25335114</v>
      </c>
      <c r="CC161" s="61" t="n">
        <f aca="false">CC159+CC147+CC152+CC153+CC154+CC155+CC160</f>
        <v>-10506924.6097638</v>
      </c>
      <c r="CD161" s="61" t="n">
        <f aca="false">CD159+CD147+CD152+CD153+CD154+CD155+CD160</f>
        <v>-11042342.9661765</v>
      </c>
      <c r="CE161" s="61" t="n">
        <f aca="false">CE159+CE147+CE152+CE153+CE154+CE155+CE160</f>
        <v>-11524911.7333937</v>
      </c>
      <c r="CF161" s="61" t="n">
        <f aca="false">CF159+CF147+CF152+CF153+CF154+CF155+CF160</f>
        <v>-12060330.0898064</v>
      </c>
      <c r="CG161" s="61" t="n">
        <f aca="false">CG159+CG147+CG152+CG153+CG154+CG155+CG160</f>
        <v>-12595748.4462191</v>
      </c>
      <c r="CH161" s="61" t="n">
        <f aca="false">CH159+CH147+CH152+CH153+CH154+CH155+CH160</f>
        <v>-13048059.7760253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837932.883583604</v>
      </c>
      <c r="H5" s="10" t="n">
        <f aca="false">Model!U8+Model!V8+Model!W8</f>
        <v>728550.555458604</v>
      </c>
      <c r="I5" s="10" t="n">
        <f aca="false">Model!X8+Model!Y8+Model!Z8</f>
        <v>704050.555458604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1037763.40521739</v>
      </c>
      <c r="H6" s="10" t="n">
        <f aca="false">Model!U9+Model!V9+Model!W9</f>
        <v>926945.067298597</v>
      </c>
      <c r="I6" s="10" t="n">
        <f aca="false">Model!X9+Model!Y9+Model!Z9</f>
        <v>793143.040073454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254001.987236201</v>
      </c>
      <c r="H7" s="10" t="n">
        <f aca="false">Model!U10+Model!V10+Model!W10</f>
        <v>234683.518486201</v>
      </c>
      <c r="I7" s="10" t="n">
        <f aca="false">Model!X10+Model!Y10+Model!Z10</f>
        <v>234683.518486201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2129698.27603719</v>
      </c>
      <c r="H9" s="12" t="n">
        <f aca="false">Model!U12+Model!V12+Model!W12</f>
        <v>1890179.1412434</v>
      </c>
      <c r="I9" s="12" t="n">
        <f aca="false">Model!X12+Model!Y12+Model!Z12</f>
        <v>1731877.11401826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-771723</v>
      </c>
      <c r="J13" s="10" t="n">
        <f aca="false">Model!AA16+Model!AB16+Model!AC16+Model!AA17+Model!AB17+Model!AC17</f>
        <v>-771723</v>
      </c>
      <c r="K13" s="10" t="n">
        <f aca="false">Model!AD16+Model!AE16+Model!AF16+Model!AD17+Model!AE17+Model!AF17</f>
        <v>-771723</v>
      </c>
      <c r="L13" s="10" t="n">
        <f aca="false">Model!AG16+Model!AH16+Model!AI16+Model!AG17+Model!AH17+Model!AI17</f>
        <v>-771723</v>
      </c>
      <c r="M13" s="10" t="n">
        <f aca="false">Model!AJ16+Model!AK16+Model!AL16+Model!AJ17+Model!AK17+Model!AL17</f>
        <v>-771723</v>
      </c>
      <c r="N13" s="10" t="n">
        <f aca="false">Model!AM16+Model!AN16+Model!AO16+Model!AM17+Model!AN17+Model!AO17</f>
        <v>-771723</v>
      </c>
      <c r="O13" s="10" t="n">
        <f aca="false">Model!AP16+Model!AQ16+Model!AR16+Model!AP17+Model!AQ17+Model!AR17</f>
        <v>-771723</v>
      </c>
      <c r="P13" s="10" t="n">
        <f aca="false">Model!AS16+Model!AT16+Model!AU16+Model!AS17+Model!AT17+Model!AU17</f>
        <v>-771723</v>
      </c>
      <c r="Q13" s="10" t="n">
        <f aca="false">Model!AV16+Model!AW16+Model!AX16+Model!AV17+Model!AW17+Model!AX17</f>
        <v>-771723</v>
      </c>
      <c r="R13" s="10" t="n">
        <f aca="false">Model!AY16+Model!AZ16+Model!BA16+Model!AY17+Model!AZ17+Model!BA17</f>
        <v>-771723</v>
      </c>
      <c r="S13" s="10" t="n">
        <f aca="false">Model!BB16+Model!BC16+Model!BD16+Model!BB17+Model!BC17+Model!BD17</f>
        <v>-771723</v>
      </c>
      <c r="T13" s="10" t="n">
        <f aca="false">Model!BE16+Model!BF16+Model!BG16+Model!BE17+Model!BF17+Model!BG17</f>
        <v>-771723</v>
      </c>
      <c r="U13" s="10" t="n">
        <f aca="false">Model!BH16+Model!BI16+Model!BJ16+Model!BH17+Model!BI17+Model!BJ17</f>
        <v>-771723</v>
      </c>
      <c r="V13" s="10" t="n">
        <f aca="false">Model!BK16+Model!BL16+Model!BM16+Model!BK17+Model!BL17+Model!BM17</f>
        <v>-771723</v>
      </c>
      <c r="W13" s="10" t="n">
        <f aca="false">Model!BN16+Model!BO16+Model!BP16+Model!BN17+Model!BO17+Model!BP17</f>
        <v>-771723</v>
      </c>
      <c r="X13" s="10" t="n">
        <f aca="false">Model!BQ16+Model!BR16+Model!BS16+Model!BQ17+Model!BR17+Model!BS17</f>
        <v>-771723</v>
      </c>
      <c r="Y13" s="10" t="n">
        <f aca="false">Model!BT16+Model!BU16+Model!BV16+Model!BT17+Model!BU17+Model!BV17</f>
        <v>-771723</v>
      </c>
      <c r="Z13" s="10" t="n">
        <f aca="false">Model!BW16+Model!BX16+Model!BY16+Model!BW17+Model!BX17+Model!BY17</f>
        <v>-771723</v>
      </c>
      <c r="AA13" s="10" t="n">
        <f aca="false">Model!BZ16+Model!CA16+Model!CB16+Model!BZ17+Model!CA17+Model!CB17</f>
        <v>-771723</v>
      </c>
      <c r="AB13" s="10" t="n">
        <f aca="false">Model!CC16+Model!CD16+Model!CE16+Model!CC17+Model!CD17+Model!CE17</f>
        <v>-771723</v>
      </c>
      <c r="AC13" s="10" t="n">
        <f aca="false">Model!CF16+Model!CG16+Model!CH16+Model!CF17+Model!CG17+Model!CH17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-1480286.3602</v>
      </c>
      <c r="D15" s="12" t="n">
        <f aca="false">Model!I39+Model!J39+Model!K39</f>
        <v>-1537751.889</v>
      </c>
      <c r="E15" s="12" t="n">
        <f aca="false">Model!L39+Model!M39+Model!N39</f>
        <v>-1162319.845</v>
      </c>
      <c r="F15" s="12" t="n">
        <f aca="false">Model!O39+Model!P39+Model!Q39</f>
        <v>-2641301.8069</v>
      </c>
      <c r="G15" s="12" t="n">
        <f aca="false">Model!R39+Model!S39+Model!T39</f>
        <v>-1170131.7819</v>
      </c>
      <c r="H15" s="12" t="n">
        <f aca="false">Model!U39+Model!V39+Model!W39</f>
        <v>-1170131.7819</v>
      </c>
      <c r="I15" s="12" t="n">
        <f aca="false">Model!X39+Model!Y39+Model!Z39</f>
        <v>-1170131.7819</v>
      </c>
      <c r="J15" s="12" t="n">
        <f aca="false">Model!AA39+Model!AB39+Model!AC39</f>
        <v>-2522125.497538</v>
      </c>
      <c r="K15" s="12" t="n">
        <f aca="false">Model!AD39+Model!AE39+Model!AF39</f>
        <v>-1178099.957538</v>
      </c>
      <c r="L15" s="12" t="n">
        <f aca="false">Model!AG39+Model!AH39+Model!AI39</f>
        <v>-1178099.957538</v>
      </c>
      <c r="M15" s="12" t="n">
        <f aca="false">Model!AJ39+Model!AK39+Model!AL39</f>
        <v>-1178099.957538</v>
      </c>
      <c r="N15" s="12" t="n">
        <f aca="false">Model!AM39+Model!AN39+Model!AO39</f>
        <v>-1186227.49668876</v>
      </c>
      <c r="O15" s="12" t="n">
        <f aca="false">Model!AP39+Model!AQ39+Model!AR39</f>
        <v>-1186227.49668876</v>
      </c>
      <c r="P15" s="12" t="n">
        <f aca="false">Model!AS39+Model!AT39+Model!AU39</f>
        <v>-1186227.49668876</v>
      </c>
      <c r="Q15" s="12" t="n">
        <f aca="false">Model!AV39+Model!AW39+Model!AX39</f>
        <v>-1186227.49668876</v>
      </c>
      <c r="R15" s="12" t="n">
        <f aca="false">Model!AY39+Model!AZ39+Model!BA39</f>
        <v>-1194517.58662254</v>
      </c>
      <c r="S15" s="12" t="n">
        <f aca="false">Model!BB39+Model!BC39+Model!BD39</f>
        <v>-1194517.58662254</v>
      </c>
      <c r="T15" s="12" t="n">
        <f aca="false">Model!BE39+Model!BF39+Model!BG39</f>
        <v>-1194517.58662254</v>
      </c>
      <c r="U15" s="12" t="n">
        <f aca="false">Model!BH39+Model!BI39+Model!BJ39</f>
        <v>-1194517.58662254</v>
      </c>
      <c r="V15" s="12" t="n">
        <f aca="false">Model!BK39+Model!BL39+Model!BM39</f>
        <v>-1202973.47835499</v>
      </c>
      <c r="W15" s="12" t="n">
        <f aca="false">Model!BN39+Model!BO39+Model!BP39</f>
        <v>-1202973.47835499</v>
      </c>
      <c r="X15" s="12" t="n">
        <f aca="false">Model!BQ39+Model!BR39+Model!BS39</f>
        <v>-1202973.47835499</v>
      </c>
      <c r="Y15" s="12" t="n">
        <f aca="false">Model!BT39+Model!BU39+Model!BV39</f>
        <v>-1202973.47835499</v>
      </c>
      <c r="Z15" s="12" t="n">
        <f aca="false">Model!BW39+Model!BX39+Model!BY39</f>
        <v>-1211598.48792209</v>
      </c>
      <c r="AA15" s="12" t="n">
        <f aca="false">Model!BZ39+Model!CA39+Model!CB39</f>
        <v>-1211598.48792209</v>
      </c>
      <c r="AB15" s="12" t="n">
        <f aca="false">Model!CC39+Model!CD39+Model!CE39</f>
        <v>-1211598.48792209</v>
      </c>
      <c r="AC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824828.542630695</v>
      </c>
      <c r="D16" s="16" t="n">
        <f aca="false">Model!I41+Model!J41+Model!K41</f>
        <v>1388438.28254981</v>
      </c>
      <c r="E16" s="16" t="n">
        <f aca="false">Model!L41+Model!M41+Model!N41</f>
        <v>1037145.41137685</v>
      </c>
      <c r="F16" s="16" t="n">
        <f aca="false">Model!O41+Model!P41+Model!Q41</f>
        <v>782316.25700745</v>
      </c>
      <c r="G16" s="16" t="n">
        <f aca="false">Model!R41+Model!S41+Model!T41</f>
        <v>959566.494137194</v>
      </c>
      <c r="H16" s="16" t="n">
        <f aca="false">Model!U41+Model!V41+Model!W41</f>
        <v>720047.359343402</v>
      </c>
      <c r="I16" s="16" t="n">
        <f aca="false">Model!X41+Model!Y41+Model!Z41</f>
        <v>561745.33211826</v>
      </c>
      <c r="J16" s="16" t="n">
        <f aca="false">Model!AA41+Model!AB41+Model!AC41</f>
        <v>-261307.091783009</v>
      </c>
      <c r="K16" s="16" t="n">
        <f aca="false">Model!AD41+Model!AE41+Model!AF41</f>
        <v>365633.014256322</v>
      </c>
      <c r="L16" s="16" t="n">
        <f aca="false">Model!AG41+Model!AH41+Model!AI41</f>
        <v>625976.15144292</v>
      </c>
      <c r="M16" s="16" t="n">
        <f aca="false">Model!AJ41+Model!AK41+Model!AL41</f>
        <v>16400.8893236784</v>
      </c>
      <c r="N16" s="16" t="n">
        <f aca="false">Model!AM41+Model!AN41+Model!AO41</f>
        <v>-237312.929292041</v>
      </c>
      <c r="O16" s="16" t="n">
        <f aca="false">Model!AP41+Model!AQ41+Model!AR41</f>
        <v>-15018.784229984</v>
      </c>
      <c r="P16" s="16" t="n">
        <f aca="false">Model!AS41+Model!AT41+Model!AU41</f>
        <v>-675840.276318546</v>
      </c>
      <c r="Q16" s="16" t="n">
        <f aca="false">Model!AV41+Model!AW41+Model!AX41</f>
        <v>-704503.769251617</v>
      </c>
      <c r="R16" s="16" t="n">
        <f aca="false">Model!AY41+Model!AZ41+Model!BA41</f>
        <v>-755428.437186036</v>
      </c>
      <c r="S16" s="16" t="n">
        <f aca="false">Model!BB41+Model!BC41+Model!BD41</f>
        <v>-802806.14308075</v>
      </c>
      <c r="T16" s="16" t="n">
        <f aca="false">Model!BE41+Model!BF41+Model!BG41</f>
        <v>-723237.593307988</v>
      </c>
      <c r="U16" s="16" t="n">
        <f aca="false">Model!BH41+Model!BI41+Model!BJ41</f>
        <v>-1194517.58662254</v>
      </c>
      <c r="V16" s="16" t="n">
        <f aca="false">Model!BK41+Model!BL41+Model!BM41</f>
        <v>-1202973.47835499</v>
      </c>
      <c r="W16" s="16" t="n">
        <f aca="false">Model!BN41+Model!BO41+Model!BP41</f>
        <v>-1202973.47835499</v>
      </c>
      <c r="X16" s="16" t="n">
        <f aca="false">Model!BQ41+Model!BR41+Model!BS41</f>
        <v>-1202973.47835499</v>
      </c>
      <c r="Y16" s="16" t="n">
        <f aca="false">Model!BT41+Model!BU41+Model!BV41</f>
        <v>-1202973.47835499</v>
      </c>
      <c r="Z16" s="16" t="n">
        <f aca="false">Model!BW41+Model!BX41+Model!BY41</f>
        <v>-1211598.48792209</v>
      </c>
      <c r="AA16" s="16" t="n">
        <f aca="false">Model!BZ41+Model!CA41+Model!CB41</f>
        <v>-1211598.48792209</v>
      </c>
      <c r="AB16" s="16" t="n">
        <f aca="false">Model!CC41+Model!CD41+Model!CE41</f>
        <v>-1211598.48792209</v>
      </c>
      <c r="AC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0.357825348149804</v>
      </c>
      <c r="D17" s="17" t="n">
        <f aca="false">IF((Model!I12+Model!J12+Model!K12)&lt;&gt;0,(Model!I41+Model!J41+Model!K41)/(Model!I12+Model!J12+Model!K12),0)</f>
        <v>0.474486687860907</v>
      </c>
      <c r="E17" s="17" t="n">
        <f aca="false">IF((Model!L12+Model!M12+Model!N12)&lt;&gt;0,(Model!L41+Model!M41+Model!N41)/(Model!L12+Model!M12+Model!N12),0)</f>
        <v>0.471544348504656</v>
      </c>
      <c r="F17" s="17" t="n">
        <f aca="false">IF((Model!O12+Model!P12+Model!Q12)&lt;&gt;0,(Model!O41+Model!P41+Model!Q41)/(Model!O12+Model!P12+Model!Q12),0)</f>
        <v>0.228505704317548</v>
      </c>
      <c r="G17" s="17" t="n">
        <f aca="false">IF((Model!R12+Model!S12+Model!T12)&lt;&gt;0,(Model!R41+Model!S41+Model!T41)/(Model!R12+Model!S12+Model!T12),0)</f>
        <v>0.450564525939653</v>
      </c>
      <c r="H17" s="17" t="n">
        <f aca="false">IF((Model!U12+Model!V12+Model!W12)&lt;&gt;0,(Model!U41+Model!V41+Model!W41)/(Model!U12+Model!V12+Model!W12),0)</f>
        <v>0.380941331766966</v>
      </c>
      <c r="I17" s="17" t="n">
        <f aca="false">IF((Model!X12+Model!Y12+Model!Z12)&lt;&gt;0,(Model!X41+Model!Y41+Model!Z41)/(Model!X12+Model!Y12+Model!Z12),0)</f>
        <v>0.32435634582347</v>
      </c>
      <c r="J17" s="17" t="n">
        <f aca="false">IF((Model!AA12+Model!AB12+Model!AC12)&lt;&gt;0,(Model!AA41+Model!AB41+Model!AC41)/(Model!AA12+Model!AB12+Model!AC12),0)</f>
        <v>-0.115580752137298</v>
      </c>
      <c r="K17" s="17" t="n">
        <f aca="false">IF((Model!AD12+Model!AE12+Model!AF12)&lt;&gt;0,(Model!AD41+Model!AE41+Model!AF41)/(Model!AD12+Model!AE12+Model!AF12),0)</f>
        <v>0.236849909237436</v>
      </c>
      <c r="L17" s="17" t="n">
        <f aca="false">IF((Model!AG12+Model!AH12+Model!AI12)&lt;&gt;0,(Model!AG41+Model!AH41+Model!AI41)/(Model!AG12+Model!AH12+Model!AI12),0)</f>
        <v>0.346978793370596</v>
      </c>
      <c r="M17" s="17" t="n">
        <f aca="false">IF((Model!AJ12+Model!AK12+Model!AL12)&lt;&gt;0,(Model!AJ41+Model!AK41+Model!AL41)/(Model!AJ12+Model!AK12+Model!AL12),0)</f>
        <v>0.0137303287534442</v>
      </c>
      <c r="N17" s="17" t="n">
        <f aca="false">IF((Model!AM12+Model!AN12+Model!AO12)&lt;&gt;0,(Model!AM41+Model!AN41+Model!AO41)/(Model!AM12+Model!AN12+Model!AO12),0)</f>
        <v>-0.250088825112141</v>
      </c>
      <c r="O17" s="17" t="n">
        <f aca="false">IF((Model!AP12+Model!AQ12+Model!AR12)&lt;&gt;0,(Model!AP41+Model!AQ41+Model!AR41)/(Model!AP12+Model!AQ12+Model!AR12),0)</f>
        <v>-0.0128233201053076</v>
      </c>
      <c r="P17" s="17" t="n">
        <f aca="false">IF((Model!AS12+Model!AT12+Model!AU12)&lt;&gt;0,(Model!AS41+Model!AT41+Model!AU41)/(Model!AS12+Model!AT12+Model!AU12),0)</f>
        <v>-1.32417162762876</v>
      </c>
      <c r="Q17" s="17" t="n">
        <f aca="false">IF((Model!AV12+Model!AW12+Model!AX12)&lt;&gt;0,(Model!AV41+Model!AW41+Model!AX41)/(Model!AV12+Model!AW12+Model!AX12),0)</f>
        <v>-1.46246433199316</v>
      </c>
      <c r="R17" s="17" t="n">
        <f aca="false">IF((Model!AY12+Model!AZ12+Model!BA12)&lt;&gt;0,(Model!AY41+Model!AZ41+Model!BA41)/(Model!AY12+Model!AZ12+Model!BA12),0)</f>
        <v>-1.72044432925638</v>
      </c>
      <c r="S17" s="17" t="n">
        <f aca="false">IF((Model!BB12+Model!BC12+Model!BD12)&lt;&gt;0,(Model!BB41+Model!BC41+Model!BD41)/(Model!BB12+Model!BC12+Model!BD12),0)</f>
        <v>-2.04948350709879</v>
      </c>
      <c r="T17" s="17" t="n">
        <f aca="false">IF((Model!BE12+Model!BF12+Model!BG12)&lt;&gt;0,(Model!BE41+Model!BF41+Model!BG41)/(Model!BE12+Model!BF12+Model!BG12),0)</f>
        <v>-1.53462401028612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136614.2412</v>
      </c>
      <c r="F19" s="19" t="n">
        <f aca="false">Model!O64+Model!P64+Model!Q64</f>
        <v>136614.2412</v>
      </c>
      <c r="G19" s="19" t="n">
        <f aca="false">Model!R64+Model!S64+Model!T64</f>
        <v>126827.8656</v>
      </c>
      <c r="H19" s="19" t="n">
        <f aca="false">Model!U64+Model!V64+Model!W64</f>
        <v>333353.2144</v>
      </c>
      <c r="I19" s="19" t="n">
        <f aca="false">Model!X64+Model!Y64+Model!Z64</f>
        <v>482503.5568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-373443.75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-243433.34</v>
      </c>
      <c r="D21" s="16" t="n">
        <f aca="false">Model!I87+Model!J87+Model!K87</f>
        <v>-261850</v>
      </c>
      <c r="E21" s="16" t="n">
        <f aca="false">Model!L87+Model!M87+Model!N87</f>
        <v>-213829.5088</v>
      </c>
      <c r="F21" s="16" t="n">
        <f aca="false">Model!O87+Model!P87+Model!Q87</f>
        <v>-220838.3838</v>
      </c>
      <c r="G21" s="16" t="n">
        <f aca="false">Model!R87+Model!S87+Model!T87</f>
        <v>-254084.7594</v>
      </c>
      <c r="H21" s="16" t="n">
        <f aca="false">Model!U87+Model!V87+Model!W87</f>
        <v>-45519.4106</v>
      </c>
      <c r="I21" s="16" t="n">
        <f aca="false">Model!X87+Model!Y87+Model!Z87</f>
        <v>125050.9318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823315.902576845</v>
      </c>
      <c r="F23" s="16" t="n">
        <f aca="false">Model!O96+Model!P96+Model!Q96</f>
        <v>561477.873207451</v>
      </c>
      <c r="G23" s="16" t="n">
        <f aca="false">Model!R96+Model!S96+Model!T96</f>
        <v>705481.734737194</v>
      </c>
      <c r="H23" s="16" t="n">
        <f aca="false">Model!U96+Model!V96+Model!W96</f>
        <v>674527.948743402</v>
      </c>
      <c r="I23" s="16" t="n">
        <f aca="false">Model!X96+Model!Y96+Model!Z96</f>
        <v>686796.263918259</v>
      </c>
      <c r="J23" s="16" t="n">
        <f aca="false">Model!AA96+Model!AB96+Model!AC96</f>
        <v>34577.3731169909</v>
      </c>
      <c r="K23" s="16" t="n">
        <f aca="false">Model!AD96+Model!AE96+Model!AF96</f>
        <v>517604.453556322</v>
      </c>
      <c r="L23" s="16" t="n">
        <f aca="false">Model!AG96+Model!AH96+Model!AI96</f>
        <v>772605.587542921</v>
      </c>
      <c r="M23" s="16" t="n">
        <f aca="false">Model!AJ96+Model!AK96+Model!AL96</f>
        <v>123094.642223678</v>
      </c>
      <c r="N23" s="16" t="n">
        <f aca="false">Model!AM96+Model!AN96+Model!AO96</f>
        <v>-282556.624342041</v>
      </c>
      <c r="O23" s="16" t="n">
        <f aca="false">Model!AP96+Model!AQ96+Model!AR96</f>
        <v>-229315.671279984</v>
      </c>
      <c r="P23" s="16" t="n">
        <f aca="false">Model!AS96+Model!AT96+Model!AU96</f>
        <v>-846907.643368546</v>
      </c>
      <c r="Q23" s="16" t="n">
        <f aca="false">Model!AV96+Model!AW96+Model!AX96</f>
        <v>-938149.269101617</v>
      </c>
      <c r="R23" s="16" t="n">
        <f aca="false">Model!AY96+Model!AZ96+Model!BA96</f>
        <v>-1001016.75845704</v>
      </c>
      <c r="S23" s="16" t="n">
        <f aca="false">Model!BB96+Model!BC96+Model!BD96</f>
        <v>-1077795.35763175</v>
      </c>
      <c r="T23" s="16" t="n">
        <f aca="false">Model!BE96+Model!BF96+Model!BG96</f>
        <v>-1000566.89073899</v>
      </c>
      <c r="U23" s="16" t="n">
        <f aca="false">Model!BH96+Model!BI96+Model!BJ96</f>
        <v>-1298243.07909354</v>
      </c>
      <c r="V23" s="16" t="n">
        <f aca="false">Model!BK96+Model!BL96+Model!BM96</f>
        <v>-1589891.69533141</v>
      </c>
      <c r="W23" s="16" t="n">
        <f aca="false">Model!BN96+Model!BO96+Model!BP96</f>
        <v>-1563772.03380501</v>
      </c>
      <c r="X23" s="16" t="n">
        <f aca="false">Model!BQ96+Model!BR96+Model!BS96</f>
        <v>-1545315.39219861</v>
      </c>
      <c r="Y23" s="16" t="n">
        <f aca="false">Model!BT96+Model!BU96+Model!BV96</f>
        <v>-1522129.69533141</v>
      </c>
      <c r="Z23" s="16" t="n">
        <f aca="false">Model!BW96+Model!BX96+Model!BY96</f>
        <v>-1538493.06923803</v>
      </c>
      <c r="AA23" s="16" t="n">
        <f aca="false">Model!BZ96+Model!CA96+Model!CB96</f>
        <v>-1555657.80488111</v>
      </c>
      <c r="AB23" s="16" t="n">
        <f aca="false">Model!CC96+Model!CD96+Model!CE96</f>
        <v>-1553405.48004258</v>
      </c>
      <c r="AC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2639606.1025605</v>
      </c>
      <c r="D42" s="21" t="n">
        <f aca="false">Model!K148</f>
        <v>4028044.3851103</v>
      </c>
      <c r="E42" s="21" t="n">
        <f aca="false">Model!N148</f>
        <v>5065189.79648715</v>
      </c>
      <c r="F42" s="21" t="n">
        <f aca="false">Model!Q148</f>
        <v>5847506.0534946</v>
      </c>
      <c r="G42" s="21" t="n">
        <f aca="false">Model!T148</f>
        <v>6807072.54763179</v>
      </c>
      <c r="H42" s="21" t="n">
        <f aca="false">Model!W148</f>
        <v>7527119.9069752</v>
      </c>
      <c r="I42" s="21" t="n">
        <f aca="false">Model!Z148</f>
        <v>8088865.23909346</v>
      </c>
      <c r="J42" s="21" t="n">
        <f aca="false">Model!AC148</f>
        <v>7827558.14731045</v>
      </c>
      <c r="K42" s="21" t="n">
        <f aca="false">Model!AF148</f>
        <v>8193191.16156677</v>
      </c>
      <c r="L42" s="21" t="n">
        <f aca="false">Model!AI148</f>
        <v>8819167.31300969</v>
      </c>
      <c r="M42" s="21" t="n">
        <f aca="false">Model!AL148</f>
        <v>8835568.20233337</v>
      </c>
      <c r="N42" s="21" t="n">
        <f aca="false">Model!AO148</f>
        <v>8598255.27304133</v>
      </c>
      <c r="O42" s="21" t="n">
        <f aca="false">Model!AR148</f>
        <v>8583236.48881134</v>
      </c>
      <c r="P42" s="21" t="n">
        <f aca="false">Model!AU148</f>
        <v>7907396.2124928</v>
      </c>
      <c r="Q42" s="21" t="n">
        <f aca="false">Model!AX148</f>
        <v>7202892.44324118</v>
      </c>
      <c r="R42" s="21" t="n">
        <f aca="false">Model!BA148</f>
        <v>6447464.00605514</v>
      </c>
      <c r="S42" s="21" t="n">
        <f aca="false">Model!BD148</f>
        <v>5644657.86297439</v>
      </c>
      <c r="T42" s="21" t="n">
        <f aca="false">Model!BG148</f>
        <v>4921420.2696664</v>
      </c>
      <c r="U42" s="21" t="n">
        <f aca="false">Model!BJ148</f>
        <v>3726902.68304387</v>
      </c>
      <c r="V42" s="21" t="n">
        <f aca="false">Model!BM148</f>
        <v>2523929.20468888</v>
      </c>
      <c r="W42" s="21" t="n">
        <f aca="false">Model!BP148</f>
        <v>1320955.7263339</v>
      </c>
      <c r="X42" s="21" t="n">
        <f aca="false">Model!BS148</f>
        <v>117982.24797891</v>
      </c>
      <c r="Y42" s="21" t="n">
        <f aca="false">Model!BV148</f>
        <v>-1084991.23037608</v>
      </c>
      <c r="Z42" s="21" t="n">
        <f aca="false">Model!BY148</f>
        <v>-2296589.71829816</v>
      </c>
      <c r="AA42" s="21" t="n">
        <f aca="false">Model!CB148</f>
        <v>-3508188.20622025</v>
      </c>
      <c r="AB42" s="21" t="n">
        <f aca="false">Model!CE148</f>
        <v>-4719786.69414233</v>
      </c>
      <c r="AC42" s="21" t="n">
        <f aca="false">Model!CH148</f>
        <v>-5931385.18206442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-11402.19</v>
      </c>
      <c r="D43" s="21" t="n">
        <f aca="false">Model!K156</f>
        <v>-663252.19</v>
      </c>
      <c r="E43" s="21" t="n">
        <f aca="false">Model!N156</f>
        <v>-1517081.6988</v>
      </c>
      <c r="F43" s="21" t="n">
        <f aca="false">Model!Q156</f>
        <v>-2127920.0826</v>
      </c>
      <c r="G43" s="21" t="n">
        <f aca="false">Model!T156</f>
        <v>-2772004.842</v>
      </c>
      <c r="H43" s="21" t="n">
        <f aca="false">Model!W156</f>
        <v>-3143493.49588545</v>
      </c>
      <c r="I43" s="21" t="n">
        <f aca="false">Model!Z156</f>
        <v>-3268442.56408545</v>
      </c>
      <c r="J43" s="21" t="n">
        <f aca="false">Model!AC156</f>
        <v>-2972558.09918545</v>
      </c>
      <c r="K43" s="21" t="n">
        <f aca="false">Model!AF156</f>
        <v>-2820586.65988545</v>
      </c>
      <c r="L43" s="21" t="n">
        <f aca="false">Model!AI156</f>
        <v>-2673957.22378545</v>
      </c>
      <c r="M43" s="21" t="n">
        <f aca="false">Model!AL156</f>
        <v>-2817263.47088545</v>
      </c>
      <c r="N43" s="21" t="n">
        <f aca="false">Model!AO156</f>
        <v>-2862507.16593545</v>
      </c>
      <c r="O43" s="21" t="n">
        <f aca="false">Model!AR156</f>
        <v>-3076804.05298545</v>
      </c>
      <c r="P43" s="21" t="n">
        <f aca="false">Model!AU156</f>
        <v>-3247871.42003545</v>
      </c>
      <c r="Q43" s="21" t="n">
        <f aca="false">Model!AX156</f>
        <v>-3481516.91988545</v>
      </c>
      <c r="R43" s="21" t="n">
        <f aca="false">Model!BA156</f>
        <v>-3727105.24115645</v>
      </c>
      <c r="S43" s="21" t="n">
        <f aca="false">Model!BD156</f>
        <v>-4002094.45570745</v>
      </c>
      <c r="T43" s="21" t="n">
        <f aca="false">Model!BG156</f>
        <v>-4279423.75313845</v>
      </c>
      <c r="U43" s="21" t="n">
        <f aca="false">Model!BJ156</f>
        <v>-4383149.24560945</v>
      </c>
      <c r="V43" s="21" t="n">
        <f aca="false">Model!BM156</f>
        <v>-4770067.46258587</v>
      </c>
      <c r="W43" s="21" t="n">
        <f aca="false">Model!BP156</f>
        <v>-5130866.01803588</v>
      </c>
      <c r="X43" s="21" t="n">
        <f aca="false">Model!BS156</f>
        <v>-5473207.9318795</v>
      </c>
      <c r="Y43" s="21" t="n">
        <f aca="false">Model!BV156</f>
        <v>-5792364.14885592</v>
      </c>
      <c r="Z43" s="21" t="n">
        <f aca="false">Model!BY156</f>
        <v>-6119258.73017187</v>
      </c>
      <c r="AA43" s="21" t="n">
        <f aca="false">Model!CB156</f>
        <v>-6463318.04713089</v>
      </c>
      <c r="AB43" s="21" t="n">
        <f aca="false">Model!CE156</f>
        <v>-6805125.03925138</v>
      </c>
      <c r="AC43" s="21" t="n">
        <f aca="false">Model!CH156</f>
        <v>-7116674.59396085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-829441.037779468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-603475.103440348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3052734.49415406</v>
      </c>
      <c r="F45" s="23" t="n">
        <f aca="false">Model!Q161</f>
        <v>3719585.9708946</v>
      </c>
      <c r="G45" s="23" t="n">
        <f aca="false">Model!T161</f>
        <v>4035067.70563179</v>
      </c>
      <c r="H45" s="23" t="n">
        <f aca="false">Model!W161</f>
        <v>4383626.41108975</v>
      </c>
      <c r="I45" s="23" t="n">
        <f aca="false">Model!Z161</f>
        <v>3990981.63722854</v>
      </c>
      <c r="J45" s="23" t="n">
        <f aca="false">Model!AC161</f>
        <v>4855000.048125</v>
      </c>
      <c r="K45" s="23" t="n">
        <f aca="false">Model!AF161</f>
        <v>5372604.50168132</v>
      </c>
      <c r="L45" s="23" t="n">
        <f aca="false">Model!AI161</f>
        <v>6145210.08922424</v>
      </c>
      <c r="M45" s="23" t="n">
        <f aca="false">Model!AL161</f>
        <v>5414829.62800757</v>
      </c>
      <c r="N45" s="23" t="n">
        <f aca="false">Model!AO161</f>
        <v>5735748.10710588</v>
      </c>
      <c r="O45" s="23" t="n">
        <f aca="false">Model!AR161</f>
        <v>5506432.4358259</v>
      </c>
      <c r="P45" s="23" t="n">
        <f aca="false">Model!AU161</f>
        <v>4659524.79245735</v>
      </c>
      <c r="Q45" s="23" t="n">
        <f aca="false">Model!AX161</f>
        <v>3721375.52335573</v>
      </c>
      <c r="R45" s="23" t="n">
        <f aca="false">Model!BA161</f>
        <v>2720358.7648987</v>
      </c>
      <c r="S45" s="23" t="n">
        <f aca="false">Model!BD161</f>
        <v>1642563.40726695</v>
      </c>
      <c r="T45" s="23" t="n">
        <f aca="false">Model!BG161</f>
        <v>641996.516527959</v>
      </c>
      <c r="U45" s="23" t="n">
        <f aca="false">Model!BJ161</f>
        <v>-656246.562565577</v>
      </c>
      <c r="V45" s="23" t="n">
        <f aca="false">Model!BM161</f>
        <v>-2246138.25789698</v>
      </c>
      <c r="W45" s="23" t="n">
        <f aca="false">Model!BP161</f>
        <v>-3809910.29170199</v>
      </c>
      <c r="X45" s="23" t="n">
        <f aca="false">Model!BS161</f>
        <v>-5355225.68390059</v>
      </c>
      <c r="Y45" s="23" t="n">
        <f aca="false">Model!BV161</f>
        <v>-6877355.379232</v>
      </c>
      <c r="Z45" s="23" t="n">
        <f aca="false">Model!BY161</f>
        <v>-8415848.44847003</v>
      </c>
      <c r="AA45" s="23" t="n">
        <f aca="false">Model!CB161</f>
        <v>-9971506.25335114</v>
      </c>
      <c r="AB45" s="23" t="n">
        <f aca="false">Model!CE161</f>
        <v>-11524911.7333937</v>
      </c>
      <c r="AC45" s="23" t="n">
        <f aca="false">Model!CH161</f>
        <v>-13048059.7760253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-4068226.8442</v>
      </c>
      <c r="C42" s="89" t="n">
        <f aca="false">'Annual Summary'!C15</f>
        <v>-6143885.2157</v>
      </c>
      <c r="D42" s="89" t="n">
        <f aca="false">'Annual Summary'!D15</f>
        <v>-6048457.194514</v>
      </c>
      <c r="E42" s="89" t="n">
        <f aca="false">'Annual Summary'!E15</f>
        <v>-4736782.44760428</v>
      </c>
      <c r="F42" s="89" t="n">
        <f aca="false">'Annual Summary'!F15</f>
        <v>-4769780.25655637</v>
      </c>
      <c r="G42" s="89" t="n">
        <f aca="false">'Annual Summary'!G15</f>
        <v>-4803438.0216875</v>
      </c>
      <c r="H42" s="89" t="n">
        <f aca="false">'Annual Summary'!H15</f>
        <v>-4837768.94212125</v>
      </c>
      <c r="I42" s="89" t="n">
        <f aca="false">'Annual Summary'!I15</f>
        <v>-1211598.48792209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2376128.6951103</v>
      </c>
      <c r="C43" s="77" t="n">
        <f aca="false">'Annual Summary'!C16</f>
        <v>3499075.52186489</v>
      </c>
      <c r="D43" s="77" t="n">
        <f aca="false">'Annual Summary'!D16</f>
        <v>1292047.40603449</v>
      </c>
      <c r="E43" s="77" t="n">
        <f aca="false">'Annual Summary'!E16</f>
        <v>-911771.100516892</v>
      </c>
      <c r="F43" s="77" t="n">
        <f aca="false">'Annual Summary'!F16</f>
        <v>-2985975.94282639</v>
      </c>
      <c r="G43" s="77" t="n">
        <f aca="false">'Annual Summary'!G16</f>
        <v>-4803438.0216875</v>
      </c>
      <c r="H43" s="77" t="n">
        <f aca="false">'Annual Summary'!H16</f>
        <v>-4837768.94212125</v>
      </c>
      <c r="I43" s="77" t="n">
        <f aca="false">'Annual Summary'!I16</f>
        <v>-1211598.48792209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-1095331.25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-663252.19</v>
      </c>
      <c r="C50" s="91" t="n">
        <f aca="false">'Annual Summary'!C43</f>
        <v>-3143493.49588545</v>
      </c>
      <c r="D50" s="91" t="n">
        <f aca="false">'Annual Summary'!D43</f>
        <v>-2673957.22378545</v>
      </c>
      <c r="E50" s="91" t="n">
        <f aca="false">'Annual Summary'!E43</f>
        <v>-3247871.42003545</v>
      </c>
      <c r="F50" s="91" t="n">
        <f aca="false">'Annual Summary'!F43</f>
        <v>-4279423.75313845</v>
      </c>
      <c r="G50" s="91" t="n">
        <f aca="false">'Annual Summary'!G43</f>
        <v>-5473207.9318795</v>
      </c>
      <c r="H50" s="91" t="n">
        <f aca="false">'Annual Summary'!H43</f>
        <v>-6805125.03925138</v>
      </c>
      <c r="I50" s="91" t="n">
        <f aca="false">'Annual Summary'!I43</f>
        <v>-7116674.59396085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4028044.3851103</v>
      </c>
      <c r="C52" s="91" t="n">
        <f aca="false">'Annual Summary'!C42</f>
        <v>7527119.9069752</v>
      </c>
      <c r="D52" s="91" t="n">
        <f aca="false">'Annual Summary'!D42</f>
        <v>8819167.31300969</v>
      </c>
      <c r="E52" s="91" t="n">
        <f aca="false">'Annual Summary'!E42</f>
        <v>7907396.2124928</v>
      </c>
      <c r="F52" s="91" t="n">
        <f aca="false">'Annual Summary'!F42</f>
        <v>4921420.2696664</v>
      </c>
      <c r="G52" s="91" t="n">
        <f aca="false">'Annual Summary'!G42</f>
        <v>117982.24797891</v>
      </c>
      <c r="H52" s="91" t="n">
        <f aca="false">'Annual Summary'!H42</f>
        <v>-4719786.69414233</v>
      </c>
      <c r="I52" s="91" t="n">
        <f aca="false">'Annual Summary'!I42</f>
        <v>-5931385.18206442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4028044.3851103</v>
      </c>
      <c r="C71" s="81" t="n">
        <f aca="false">'Annual Summary'!C42</f>
        <v>7527119.9069752</v>
      </c>
      <c r="D71" s="81" t="n">
        <f aca="false">'Annual Summary'!E42</f>
        <v>7907396.2124928</v>
      </c>
      <c r="E71" s="81" t="n">
        <f aca="false">'Annual Summary'!G42</f>
        <v>117982.24797891</v>
      </c>
      <c r="F71" s="81" t="n">
        <f aca="false">'Annual Summary'!I42</f>
        <v>-5931385.18206442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-663252.19</v>
      </c>
      <c r="C72" s="97" t="n">
        <f aca="false">'Annual Summary'!C43</f>
        <v>-3143493.49588545</v>
      </c>
      <c r="D72" s="97" t="n">
        <f aca="false">'Annual Summary'!E43</f>
        <v>-3247871.42003545</v>
      </c>
      <c r="E72" s="97" t="n">
        <f aca="false">'Annual Summary'!G43</f>
        <v>-5473207.9318795</v>
      </c>
      <c r="F72" s="97" t="n">
        <f aca="false">'Annual Summary'!I43</f>
        <v>-7116674.59396085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-663252.19</v>
      </c>
      <c r="C100" s="81" t="n">
        <f aca="false">'Annual Summary'!C43</f>
        <v>-3143493.49588545</v>
      </c>
      <c r="D100" s="81" t="n">
        <f aca="false">'Annual Summary'!D43</f>
        <v>-2673957.22378545</v>
      </c>
      <c r="E100" s="81" t="n">
        <f aca="false">'Annual Summary'!E43</f>
        <v>-3247871.42003545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-203411.34221</v>
      </c>
      <c r="C101" s="81" t="n">
        <f aca="false">'Annual Summary'!C15*0.05</f>
        <v>-307194.260785</v>
      </c>
      <c r="D101" s="81" t="n">
        <f aca="false">'Annual Summary'!D15*0.05</f>
        <v>-302422.8597257</v>
      </c>
      <c r="E101" s="81" t="n">
        <f aca="false">'Annual Summary'!E15*0.05</f>
        <v>-236839.122380214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-866663.53221</v>
      </c>
      <c r="C102" s="81" t="n">
        <f aca="false">C100+C101</f>
        <v>-3450687.75667044</v>
      </c>
      <c r="D102" s="81" t="n">
        <f aca="false">D100+D101</f>
        <v>-2976380.08351115</v>
      </c>
      <c r="E102" s="81" t="n">
        <f aca="false">E100+E101</f>
        <v>-3484710.54241566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-866663.53221</v>
      </c>
      <c r="C103" s="69" t="n">
        <f aca="false">C102-C99</f>
        <v>-3450687.75667044</v>
      </c>
      <c r="D103" s="69" t="n">
        <f aca="false">D102-D99</f>
        <v>-2976380.08351115</v>
      </c>
      <c r="E103" s="69" t="n">
        <f aca="false">E102-E99</f>
        <v>-3484710.54241566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279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279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279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279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999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999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