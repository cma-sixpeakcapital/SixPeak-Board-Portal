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nnual Summary" sheetId="1" state="visible" r:id="rId3"/>
    <sheet name="Model" sheetId="2" state="visible" r:id="rId4"/>
    <sheet name="QTR Summary" sheetId="3" state="visible" r:id="rId5"/>
    <sheet name="Appendix" sheetId="4" state="hidden" r:id="rId6"/>
    <sheet name="Sensitivity" sheetId="5" state="hidden" r:id="rId7"/>
    <sheet name="Curves" sheetId="6" state="hidden" r:id="rId8"/>
    <sheet name="Assumptions" sheetId="7" state="visible" r:id="rId9"/>
    <sheet name="Projects" sheetId="8" state="visible" r:id="rId10"/>
    <sheet name="Personnel" sheetId="9" state="visible" r:id="rId11"/>
    <sheet name="Escalation" sheetId="10" state="hidden" r:id="rId12"/>
    <sheet name="Helpers" sheetId="11" state="hidden" r:id="rId13"/>
    <sheet name="Uplifters" sheetId="12" state="visible" r:id="rId14"/>
    <sheet name="LIHTC Project P&amp;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<sst xmlns="http://schemas.openxmlformats.org/spreadsheetml/2006/main" count="1173" uniqueCount="696">
  <si>
    <t xml:space="preserve">Six Peak Capital - Annual Summary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</si>
  <si>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</si>
  <si>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</si>
  <si>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</si>
  <si>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</si>
  <si>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</si>
  <si>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</si>
  <si>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</si>
  <si>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</si>
  <si>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Construction Billing</t>
  </si>
  <si>
    <t xml:space="preserve"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</si>
  <si>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</si>
  <si>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</si>
  <si>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</si>
  <si>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</si>
  <si>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 xml:space="preserve">Total GC Revenue</t>
  </si>
  <si>
    <t xml:space="preserve">GC Costs</t>
  </si>
  <si>
    <t xml:space="preserve">  Bonding Costs</t>
  </si>
  <si>
    <t xml:space="preserve">  GC Personnel</t>
  </si>
  <si>
    <t xml:space="preserve">  SP Allocated to LV</t>
  </si>
  <si>
    <t xml:space="preserve">Total GC Costs</t>
  </si>
  <si>
    <t xml:space="preserve">GC Net Income</t>
  </si>
  <si>
    <t xml:space="preserve">GC Profit Margin %</t>
  </si>
  <si>
    <t xml:space="preserve">Six Peak Revenue</t>
  </si>
  <si>
    <t xml:space="preserve">Six Peak Expenses</t>
  </si>
  <si>
    <t xml:space="preserve">Six Peak Net Income</t>
  </si>
  <si>
    <t xml:space="preserve">Consolidated Net Income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</si>
  <si>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</si>
  <si>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</si>
  <si>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</si>
  <si>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</si>
  <si>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</si>
  <si>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</si>
  <si>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</si>
  <si>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</si>
  <si>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</si>
  <si>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</si>
  <si>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</si>
  <si>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</si>
  <si>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</si>
  <si>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</si>
  <si>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LV Ending Cash</t>
  </si>
  <si>
    <t xml:space="preserve">SP Ending Cash</t>
  </si>
  <si>
    <t xml:space="preserve">Tax Distribution (30% Consol NI)</t>
  </si>
  <si>
    <t xml:space="preserve">Total Ending Cash</t>
  </si>
  <si>
    <t xml:space="preserve">Six Peak Capital - Financial Projections</t>
  </si>
  <si>
    <t xml:space="preserve">Month #</t>
  </si>
  <si>
    <t xml:space="preserve">GC CONSTRUCTION P&amp;L</t>
  </si>
  <si>
    <t xml:space="preserve">Crenshaw, Ramsgate, Califa, Whipple, Nelrose</t>
  </si>
  <si>
    <t xml:space="preserve">Francis</t>
  </si>
  <si>
    <t xml:space="preserve">Klump</t>
  </si>
  <si>
    <t xml:space="preserve">Scott</t>
  </si>
  <si>
    <t xml:space="preserve">Lexington, Denny</t>
  </si>
  <si>
    <t xml:space="preserve">Acama</t>
  </si>
  <si>
    <t xml:space="preserve">Reseda</t>
  </si>
  <si>
    <t xml:space="preserve">HVN Pipeline 1</t>
  </si>
  <si>
    <t xml:space="preserve">HVN Pipeline 2</t>
  </si>
  <si>
    <t xml:space="preserve">3rd St</t>
  </si>
  <si>
    <t xml:space="preserve">Project Supervision Revenue</t>
  </si>
  <si>
    <t xml:space="preserve">GC-CM Fee Revenue</t>
  </si>
  <si>
    <t xml:space="preserve">Project Administration Revenue</t>
  </si>
  <si>
    <t xml:space="preserve">Bonding Revenue</t>
  </si>
  <si>
    <t xml:space="preserve">Bonding Costs</t>
  </si>
  <si>
    <t xml:space="preserve">GC Personnel Costs</t>
  </si>
  <si>
    <t xml:space="preserve">SP Allocated to LV</t>
  </si>
  <si>
    <t xml:space="preserve">GC Payroll Tax</t>
  </si>
  <si>
    <t xml:space="preserve">GC Payroll Servicing</t>
  </si>
  <si>
    <t xml:space="preserve">GC Employee Benefits</t>
  </si>
  <si>
    <t xml:space="preserve">GC Workers Comp</t>
  </si>
  <si>
    <t xml:space="preserve">Rent Expense</t>
  </si>
  <si>
    <t xml:space="preserve">Office Supplies</t>
  </si>
  <si>
    <t xml:space="preserve">Postage and Delivery</t>
  </si>
  <si>
    <t xml:space="preserve">Computer &amp; IT Expenses</t>
  </si>
  <si>
    <t xml:space="preserve">Internet</t>
  </si>
  <si>
    <t xml:space="preserve">Telephone Expenses</t>
  </si>
  <si>
    <t xml:space="preserve">Meal and Entertainment</t>
  </si>
  <si>
    <t xml:space="preserve">Legal and Professional Fees</t>
  </si>
  <si>
    <t xml:space="preserve">Accounting/Consulting</t>
  </si>
  <si>
    <t xml:space="preserve">Entity Filing and Formation Fees</t>
  </si>
  <si>
    <t xml:space="preserve">General Insurance</t>
  </si>
  <si>
    <t xml:space="preserve">Other Utilities</t>
  </si>
  <si>
    <t xml:space="preserve">Gas Expense</t>
  </si>
  <si>
    <t xml:space="preserve">Auto &amp; Truck Expense</t>
  </si>
  <si>
    <t xml:space="preserve">Bank Service Charges</t>
  </si>
  <si>
    <t xml:space="preserve">Warranty</t>
  </si>
  <si>
    <t xml:space="preserve">SIX PEAK CAPITAL P&amp;L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</si>
  <si>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</si>
  <si>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</si>
  <si>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</si>
  <si>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</si>
  <si>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</si>
  <si>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</si>
  <si>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</si>
  <si>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</si>
  <si>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</si>
  <si>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</si>
  <si>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</si>
  <si>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</si>
  <si>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</si>
  <si>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</si>
  <si>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</si>
  <si>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</si>
  <si>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</si>
  <si>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</si>
  <si>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Personnel</t>
  </si>
  <si>
    <t xml:space="preserve">SP Payroll Tax</t>
  </si>
  <si>
    <t xml:space="preserve">SP Payroll Servicing</t>
  </si>
  <si>
    <t xml:space="preserve">SP Employee Benefits</t>
  </si>
  <si>
    <t xml:space="preserve">SP Workers Comp</t>
  </si>
  <si>
    <t xml:space="preserve">NYC Rent</t>
  </si>
  <si>
    <t xml:space="preserve">LA Rent</t>
  </si>
  <si>
    <t xml:space="preserve">Yardi Bill Pay</t>
  </si>
  <si>
    <t xml:space="preserve">Office and IT</t>
  </si>
  <si>
    <t xml:space="preserve">Travel and M&amp;E</t>
  </si>
  <si>
    <t xml:space="preserve">Insurance</t>
  </si>
  <si>
    <t xml:space="preserve">Other Operating Expenses</t>
  </si>
  <si>
    <t xml:space="preserve">Yardi License (Annual)</t>
  </si>
  <si>
    <t xml:space="preserve">Juniper Square (Annual)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</si>
  <si>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</si>
  <si>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</si>
  <si>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</si>
  <si>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</si>
  <si>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</si>
  <si>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</si>
  <si>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CONSOLIDATED P&amp;L</t>
  </si>
  <si>
    <t xml:space="preserve">Total Revenue</t>
  </si>
  <si>
    <t xml:space="preserve">Total Expenses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</si>
  <si>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</si>
  <si>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</si>
  <si>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</si>
  <si>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</si>
  <si>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</si>
  <si>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</si>
  <si>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</si>
  <si>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</si>
  <si>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</si>
  <si>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</si>
  <si>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</si>
  <si>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</si>
  <si>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</si>
  <si>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</si>
  <si>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</si>
  <si>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</si>
  <si>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</si>
  <si>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</si>
  <si>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</si>
  <si>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</si>
  <si>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</si>
  <si>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</si>
  <si>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</si>
  <si>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</si>
  <si>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</si>
  <si>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</si>
  <si>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</si>
  <si>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</si>
  <si>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</si>
  <si>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Califa</t>
  </si>
  <si>
    <t xml:space="preserve">Whipple</t>
  </si>
  <si>
    <t xml:space="preserve">Lexington</t>
  </si>
  <si>
    <t xml:space="preserve">Denny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</si>
  <si>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</si>
  <si>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</si>
  <si>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</si>
  <si>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</si>
  <si>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</si>
  <si>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</si>
  <si>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</si>
  <si>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</si>
  <si>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</si>
  <si>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</si>
  <si>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</si>
  <si>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Consolidated Cash</t>
  </si>
  <si>
    <t xml:space="preserve">Total Beginning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</si>
  <si>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</si>
  <si>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</si>
  <si>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</si>
  <si>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</si>
  <si>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</si>
  <si>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QTR Summary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</si>
  <si>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</si>
  <si>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</si>
  <si>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</si>
  <si>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</si>
  <si>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</si>
  <si>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</si>
  <si>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</si>
  <si>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</si>
  <si>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</si>
  <si>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</si>
  <si>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</si>
  <si>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</si>
  <si>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</si>
  <si>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</si>
  <si>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</si>
  <si>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</si>
  <si>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</si>
  <si>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</si>
  <si>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</si>
  <si>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</si>
  <si>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</si>
  <si>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</si>
  <si>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</si>
  <si>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</si>
  <si>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</si>
  <si>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</si>
  <si>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</si>
  <si>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</si>
  <si>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Six Peak Capital - GC + Developer Deal Profitability (Net of Steyn Fees)</t>
  </si>
  <si>
    <t xml:space="preserve">Crenshaw</t>
  </si>
  <si>
    <t xml:space="preserve">  Revenue</t>
  </si>
  <si>
    <t xml:space="preserve">  Net to Six Peak</t>
  </si>
  <si>
    <t xml:space="preserve">  Cumulative Net</t>
  </si>
  <si>
    <t xml:space="preserve">Ramsgate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</si>
  <si>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</si>
  <si>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</si>
  <si>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</si>
  <si>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</si>
  <si>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</si>
  <si>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</si>
  <si>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</si>
  <si>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</si>
  <si>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</si>
  <si>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</si>
  <si>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</si>
  <si>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</si>
  <si>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</si>
  <si>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</si>
  <si>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</si>
  <si>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</si>
  <si>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</si>
  <si>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</si>
  <si>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</si>
  <si>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</si>
  <si>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</si>
  <si>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</si>
  <si>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Notes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</si>
  <si>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</si>
  <si>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</si>
  <si>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</si>
  <si>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</si>
  <si>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</si>
  <si>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</si>
  <si>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Overhead Rate</t>
  </si>
  <si>
    <t xml:space="preserve">Higher overhead reduces effective GMP revenue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</si>
  <si>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</si>
  <si>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</si>
  <si>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</si>
  <si>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</si>
  <si>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</si>
  <si>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</si>
  <si>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</si>
  <si>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</si>
  <si>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</si>
  <si>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</si>
  <si>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</si>
  <si>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</si>
  <si>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</si>
  <si>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</si>
  <si>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</si>
  <si>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</si>
  <si>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</si>
  <si>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</si>
  <si>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</si>
  <si>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</si>
  <si>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</si>
  <si>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</si>
  <si>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</si>
  <si>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</si>
  <si>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</si>
  <si>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Project</t>
  </si>
  <si>
    <t xml:space="preserve">Active</t>
  </si>
  <si>
    <t xml:space="preserve">GMP</t>
  </si>
  <si>
    <t xml:space="preserve">Type</t>
  </si>
  <si>
    <t xml:space="preserve">Duration</t>
  </si>
  <si>
    <t xml:space="preserve">Steyn</t>
  </si>
  <si>
    <t xml:space="preserve">LIHTC</t>
  </si>
  <si>
    <t xml:space="preserve">Dev</t>
  </si>
  <si>
    <t xml:space="preserve">8 mo</t>
  </si>
  <si>
    <t xml:space="preserve">No</t>
  </si>
  <si>
    <t xml:space="preserve">16 mo</t>
  </si>
  <si>
    <t xml:space="preserve">3PGC</t>
  </si>
  <si>
    <t xml:space="preserve">15 mo</t>
  </si>
  <si>
    <t xml:space="preserve">Yes</t>
  </si>
  <si>
    <t xml:space="preserve">Nelrose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</si>
  <si>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</si>
  <si>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</si>
  <si>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</si>
  <si>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</si>
  <si>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</si>
  <si>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</si>
  <si>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</si>
  <si>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</si>
  <si>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</si>
  <si>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</si>
  <si>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</si>
  <si>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</si>
  <si>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</si>
  <si>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</si>
  <si>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</si>
  <si>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</si>
  <si>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</si>
  <si>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</si>
  <si>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</si>
  <si>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</si>
  <si>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</si>
  <si>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</si>
  <si>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</si>
  <si>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</si>
  <si>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</si>
  <si>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</si>
  <si>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</si>
  <si>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</si>
  <si>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TOTAL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</si>
  <si>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</si>
  <si>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</si>
  <si>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</si>
  <si>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</si>
  <si>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Total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</si>
  <si>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</si>
  <si>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</si>
  <si>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</si>
  <si>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</si>
  <si>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</si>
  <si>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</si>
  <si>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</si>
  <si>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</si>
  <si>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</si>
  <si>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</si>
  <si>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</si>
  <si>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</si>
  <si>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</si>
  <si>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</si>
  <si>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</si>
  <si>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</si>
  <si>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</si>
  <si>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</si>
  <si>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</si>
  <si>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</si>
  <si>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</si>
  <si>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</si>
  <si>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</si>
  <si>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</si>
  <si>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</si>
  <si>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</si>
  <si>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</si>
  <si>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</si>
  <si>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</si>
  <si>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</si>
  <si>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</si>
  <si>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</si>
  <si>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</si>
  <si>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</si>
  <si>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</si>
  <si>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</si>
  <si>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</si>
  <si>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</si>
  <si>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</si>
  <si>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</si>
  <si>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</si>
  <si>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</si>
  <si>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</si>
  <si>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</si>
  <si>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Curve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</si>
  <si>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</si>
  <si>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</si>
  <si>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</si>
  <si>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</si>
  <si>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</si>
  <si>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</si>
  <si>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</si>
  <si>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</si>
  <si>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</si>
  <si>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</si>
  <si>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</si>
  <si>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</si>
  <si>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</si>
  <si>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</si>
  <si>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</si>
  <si>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</si>
  <si>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</si>
  <si>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</si>
  <si>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Mo 19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</si>
  <si>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</si>
  <si>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</si>
  <si>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</si>
  <si>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</si>
  <si>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</si>
  <si>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</si>
  <si>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</si>
  <si>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</si>
  <si>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</si>
  <si>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</si>
  <si>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</si>
  <si>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</si>
  <si>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</si>
  <si>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</si>
  <si>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</si>
  <si>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</si>
  <si>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</si>
  <si>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</si>
  <si>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</si>
  <si>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</si>
  <si>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</si>
  <si>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</si>
  <si>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</si>
  <si>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</si>
  <si>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</si>
  <si>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</si>
  <si>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</si>
  <si>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</si>
  <si>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</si>
  <si>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</si>
  <si>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</si>
  <si>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</si>
  <si>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</si>
  <si>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</si>
  <si>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</si>
  <si>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</si>
  <si>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</si>
  <si>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</si>
  <si>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</si>
  <si>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</si>
  <si>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</si>
  <si>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</si>
  <si>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</si>
  <si>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</si>
  <si>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</si>
  <si>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</si>
  <si>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</si>
  <si>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</si>
  <si>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</si>
  <si>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</si>
  <si>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</si>
  <si>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</si>
  <si>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</si>
  <si>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</si>
  <si>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</si>
  <si>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</si>
  <si>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</si>
  <si>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</si>
  <si>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</si>
  <si>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</si>
  <si>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</si>
  <si>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</si>
  <si>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</si>
  <si>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</si>
  <si>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</si>
  <si>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</si>
  <si>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</si>
  <si>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</si>
  <si>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</si>
  <si>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</si>
  <si>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</si>
  <si>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</si>
  <si>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</si>
  <si>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</si>
  <si>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</si>
  <si>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</si>
  <si>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</si>
  <si>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Contract Value</t>
  </si>
  <si>
    <t xml:space="preserve">Start Month</t>
  </si>
  <si>
    <t xml:space="preserve">Bonded</t>
  </si>
  <si>
    <t xml:space="preserve">Bond Tier</t>
  </si>
  <si>
    <t xml:space="preserve">Bond Cost Rate</t>
  </si>
  <si>
    <t xml:space="preserve">Steyn Guaranty</t>
  </si>
  <si>
    <t xml:space="preserve">GC + Developer</t>
  </si>
  <si>
    <t xml:space="preserve">3rd Party GC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</si>
  <si>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</si>
  <si>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</si>
  <si>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</si>
  <si>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</si>
  <si>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</si>
  <si>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</si>
  <si>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Grady LaKamp</t>
  </si>
  <si>
    <t xml:space="preserve">Executive</t>
  </si>
  <si>
    <t xml:space="preserve">GC</t>
  </si>
  <si>
    <t xml:space="preserve">Joe LaKamp</t>
  </si>
  <si>
    <t xml:space="preserve">Pedro Rosalas</t>
  </si>
  <si>
    <t xml:space="preserve">Project Manager</t>
  </si>
  <si>
    <t xml:space="preserve">Greg Smith</t>
  </si>
  <si>
    <t xml:space="preserve">New Hire - PM</t>
  </si>
  <si>
    <t xml:space="preserve">Dorian Puentes</t>
  </si>
  <si>
    <t xml:space="preserve">Asst Project Manager</t>
  </si>
  <si>
    <t xml:space="preserve">Roy Torries</t>
  </si>
  <si>
    <t xml:space="preserve">Lucy Mohler</t>
  </si>
  <si>
    <t xml:space="preserve">New Hire - APM 2</t>
  </si>
  <si>
    <t xml:space="preserve">Mike Savaiki</t>
  </si>
  <si>
    <t xml:space="preserve">Senior Superintendent</t>
  </si>
  <si>
    <t xml:space="preserve">Daniel Carrillo</t>
  </si>
  <si>
    <t xml:space="preserve">Alex Gottlieb</t>
  </si>
  <si>
    <t xml:space="preserve">Nick Donald</t>
  </si>
  <si>
    <t xml:space="preserve">Site Superintendent</t>
  </si>
  <si>
    <t xml:space="preserve">Steve Garcia</t>
  </si>
  <si>
    <t xml:space="preserve">Logan Terriquez</t>
  </si>
  <si>
    <t xml:space="preserve">New Hire - Site Supt 3</t>
  </si>
  <si>
    <t xml:space="preserve">New Hire - Site Supt 4</t>
  </si>
  <si>
    <t xml:space="preserve">Ivan Delgado</t>
  </si>
  <si>
    <t xml:space="preserve">Field Engineer</t>
  </si>
  <si>
    <t xml:space="preserve">Jonas Dobkin</t>
  </si>
  <si>
    <t xml:space="preserve">Carlos Rocha</t>
  </si>
  <si>
    <t xml:space="preserve">Laborer</t>
  </si>
  <si>
    <t xml:space="preserve">Devis Tejada</t>
  </si>
  <si>
    <t xml:space="preserve">Kim Moreno</t>
  </si>
  <si>
    <t xml:space="preserve">Project Coordinator/Admin</t>
  </si>
  <si>
    <t xml:space="preserve">Alina Akopian</t>
  </si>
  <si>
    <t xml:space="preserve">New Hire - Admin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</si>
  <si>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</si>
  <si>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</si>
  <si>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</si>
  <si>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</si>
  <si>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</si>
  <si>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</si>
  <si>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</si>
  <si>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</si>
  <si>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</si>
  <si>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</si>
  <si>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</si>
  <si>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</si>
  <si>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</si>
  <si>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</si>
  <si>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</si>
  <si>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</si>
  <si>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</si>
  <si>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</si>
  <si>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</si>
  <si>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</si>
  <si>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</si>
  <si>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</si>
  <si>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</si>
  <si>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</si>
  <si>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</si>
  <si>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</si>
  <si>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</si>
  <si>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</si>
  <si>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</si>
  <si>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</si>
  <si>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</si>
  <si>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</si>
  <si>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</si>
  <si>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</si>
  <si>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</si>
  <si>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</si>
  <si>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</si>
  <si>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</si>
  <si>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</si>
  <si>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</si>
  <si>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</si>
  <si>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</si>
  <si>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</si>
  <si>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</si>
  <si>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</si>
  <si>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</si>
  <si>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</si>
  <si>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</si>
  <si>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</si>
  <si>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</si>
  <si>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</si>
  <si>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</si>
  <si>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</si>
  <si>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</si>
  <si>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</si>
  <si>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</si>
  <si>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</si>
  <si>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Total Fee Revenue</t>
  </si>
  <si>
    <t xml:space="preserve">ANNUAL P&amp;L SUMMARY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</si>
  <si>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</si>
  <si>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</si>
  <si>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</si>
  <si>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</si>
  <si>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</si>
  <si>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</si>
  <si>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</si>
  <si>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</si>
  <si>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</si>
  <si>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</si>
  <si>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</si>
  <si>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</si>
  <si>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</si>
  <si>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</si>
  <si>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</si>
  <si>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</si>
  <si>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</si>
  <si>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</si>
  <si>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</si>
  <si>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</si>
  <si>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</si>
  <si>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</si>
  <si>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</si>
  <si>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</si>
  <si>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</si>
  <si>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</si>
  <si>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</si>
  <si>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</si>
  <si>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</si>
  <si>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</si>
  <si>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</si>
  <si>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</si>
  <si>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</si>
  <si>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</si>
  <si>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</si>
  <si>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</si>
  <si>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</si>
  <si>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</si>
  <si>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</si>
  <si>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</si>
  <si>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</si>
  <si>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</si>
  <si>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</si>
  <si>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</si>
  <si>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</si>
  <si>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</si>
  <si>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</si>
  <si>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</si>
  <si>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</si>
  <si>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</si>
  <si>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</si>
  <si>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</si>
  <si>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</si>
  <si>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</si>
  <si>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Accountant</t>
  </si>
  <si>
    <t xml:space="preserve">Mo 57</t>
  </si>
  <si>
    <t xml:space="preserve">Project Coordinator</t>
  </si>
  <si>
    <t xml:space="preserve">Project Manager 1</t>
  </si>
  <si>
    <t xml:space="preserve">Project Manager 2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</si>
  <si>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</si>
  <si>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</si>
  <si>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</si>
  <si>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</si>
  <si>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</si>
  <si>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</si>
  <si>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</si>
  <si>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</si>
  <si>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</si>
  <si>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</si>
  <si>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</si>
  <si>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</si>
  <si>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of Revenue)</t>
  </si>
  <si>
    <t xml:space="preserve">Schuyler Bonus (40% of Net)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</si>
  <si>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</si>
  <si>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</si>
  <si>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</si>
  <si>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</si>
  <si>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</si>
  <si>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</si>
  <si>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</si>
  <si>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</si>
  <si>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</si>
  <si>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</si>
  <si>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</si>
  <si>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</si>
  <si>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</si>
  <si>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</si>
  <si>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</si>
  <si>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</si>
  <si>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</si>
  <si>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</si>
  <si>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</si>
  <si>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</si>
  <si>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</si>
  <si>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</si>
  <si>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</si>
  <si>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retained by Six Peak as management fee.</t>
  </si>
  <si>
    <t xml:space="preserve">6.</t>
  </si>
  <si>
    <t xml:space="preserve">Schuyler bonus is 40% of net income after overhead, staffing, and other opex. Paid on positive months only.</t>
  </si>
  <si>
    <t xml:space="preserve">7.</t>
  </si>
  <si>
    <t xml:space="preserve">Staffing: Accountant ($110K) &amp; PC ($90K) start Mo 10; two PMs ($125K each) start Mo 16.</t>
  </si>
  <si>
    <t xml:space="preserve">8.</t>
  </si>
  <si>
    <t xml:space="preserve">Other OpEx: Acctg/Audit/Tax ($40K/yr), Insurance ($40K/yr),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</si>
  <si>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</si>
  <si>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</si>
  <si>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</si>
  <si>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</si>
  <si>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SP INTEGRATION ASSUMPTIONS</t>
  </si>
  <si>
    <t xml:space="preserve">SP Overhead Rate</t>
  </si>
  <si>
    <t xml:space="preserve">Schuyler Bonus Rate</t>
  </si>
  <si>
    <t xml:space="preserve">MONTHLY P&amp;L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</si>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</sst>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\$* #,##0_);[RED]_(\$* \(#,##0\);_(\$* \-_);_(@_)"/>
    <numFmt numFmtId="166" formatCode="0.0%"/>
    <numFmt numFmtId="167" formatCode="mmm\-yy"/>
    <numFmt numFmtId="168" formatCode="0.00%"/>
    <numFmt numFmtId="169" formatCode="#,##0"/>
    <numFmt numFmtId="170" formatCode="#,##0.00"/>
    <numFmt numFmtId="171" formatCode="0.0000"/>
    <numFmt numFmtId="172" formatCode="[$$-409]#,##0.00;[RED]\-[$$-409]#,##0.0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b val="true"/>
      <sz val="11"/>
      <color rgb="FFF8FAFC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ptos"/>
      <family val="0"/>
      <charset val="1"/>
    </font>
    <font>
      <sz val="10"/>
      <color rgb="FF2C3A51"/>
      <name val="Aptos"/>
      <family val="0"/>
      <charset val="1"/>
    </font>
    <font>
      <sz val="10"/>
      <name val="Aptos"/>
      <family val="2"/>
      <charset val="1"/>
    </font>
    <font>
      <sz val="11"/>
      <color theme="1"/>
      <name val="Aptos"/>
      <family val="0"/>
      <charset val="1"/>
    </font>
    <font>
      <sz val="10"/>
      <color rgb="FF0B1833"/>
      <name val="Aptos"/>
      <family val="0"/>
      <charset val="1"/>
    </font>
    <font>
      <i val="true"/>
      <sz val="8"/>
      <color rgb="FFF8FAFC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1"/>
      <color rgb="FF000000"/>
      <name val="Aptos"/>
      <family val="0"/>
      <charset val="1"/>
    </font>
    <font>
      <sz val="11"/>
      <name val="Cambria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name val="Aptos"/>
      <family val="0"/>
      <charset val="1"/>
    </font>
    <font>
      <sz val="11"/>
      <name val="Calibri"/>
      <family val="2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b val="true"/>
      <sz val="11"/>
      <color rgb="FF0B1833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sz val="10"/>
      <color rgb="FF0000FF"/>
      <name val="Aptos"/>
      <family val="0"/>
      <charset val="1"/>
    </font>
    <font>
      <b val="true"/>
      <sz val="10"/>
      <color rgb="FFC4581A"/>
      <name val="Aptos"/>
      <family val="0"/>
      <charset val="1"/>
    </font>
    <font>
      <i val="true"/>
      <sz val="9"/>
      <color rgb="FF99999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8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8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1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4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0" fillId="2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0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I16" activeCellId="0" sqref="I1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</row>
    <row r="2" customFormat="false" ht="15" hidden="false" customHeight="tru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customFormat="false" ht="15" hidden="false" customHeight="true" outlineLevel="0" collapsed="false">
      <c r="A3" s="6" t="s">
        <v>9</v>
      </c>
      <c r="B3" s="7" t="n">
        <f aca="false">Model!C7+Model!D7+Model!E7+Model!F7+Model!G7+Model!H7+Model!I7+Model!J7+Model!K7</f>
        <v>49799774.8170812</v>
      </c>
      <c r="C3" s="7" t="n">
        <f aca="false">Model!L7+Model!M7+Model!N7+Model!O7+Model!P7+Model!Q7+Model!R7+Model!S7+Model!T7+Model!U7+Model!V7+Model!W7</f>
        <v>87218736.6250868</v>
      </c>
      <c r="D3" s="7" t="n">
        <f aca="false">Model!X7+Model!Y7+Model!Z7+Model!AA7+Model!AB7+Model!AC7+Model!AD7+Model!AE7+Model!AF7+Model!AG7+Model!AH7+Model!AI7</f>
        <v>51675800.678054</v>
      </c>
      <c r="E3" s="7" t="n">
        <f aca="false">Model!AJ7+Model!AK7+Model!AL7+Model!AM7+Model!AN7+Model!AO7+Model!AP7+Model!AQ7+Model!AR7+Model!AS7+Model!AT7+Model!AU7</f>
        <v>32893826.824766</v>
      </c>
      <c r="F3" s="7" t="n">
        <f aca="false">Model!AV7+Model!AW7+Model!AX7+Model!AY7+Model!AZ7+Model!BA7+Model!BB7+Model!BC7+Model!BD7+Model!BE7+Model!BF7+Model!BG7</f>
        <v>13258749.920152</v>
      </c>
      <c r="G3" s="7" t="n">
        <f aca="false">Model!BH7+Model!BI7+Model!BJ7+Model!BK7+Model!BL7+Model!BM7+Model!BN7+Model!BO7+Model!BP7+Model!BQ7+Model!BR7+Model!BS7</f>
        <v>0</v>
      </c>
      <c r="H3" s="7" t="n">
        <f aca="false">Model!BT7+Model!BU7+Model!BV7+Model!BW7+Model!BX7+Model!BY7+Model!BZ7+Model!CA7+Model!CB7+Model!CC7+Model!CD7+Model!CE7</f>
        <v>0</v>
      </c>
      <c r="I3" s="7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9" t="s">
        <v>11</v>
      </c>
      <c r="B5" s="10" t="n">
        <f aca="false">Model!C8+Model!D8+Model!E8+Model!F8+Model!G8+Model!H8+Model!I8+Model!J8+Model!K8</f>
        <v>2232648.81587491</v>
      </c>
      <c r="C5" s="10" t="n">
        <f aca="false">Model!L8+Model!M8+Model!N8+Model!O8+Model!P8+Model!Q8+Model!R8+Model!S8+Model!T8+Model!U8+Model!V8+Model!W8</f>
        <v>3751686.30284518</v>
      </c>
      <c r="D5" s="10" t="n">
        <f aca="false">Model!X8+Model!Y8+Model!Z8+Model!AA8+Model!AB8+Model!AC8+Model!AD8+Model!AE8+Model!AF8+Model!AG8+Model!AH8+Model!AI8</f>
        <v>3068658.61342276</v>
      </c>
      <c r="E5" s="10" t="n">
        <f aca="false">Model!AJ8+Model!AK8+Model!AL8+Model!AM8+Model!AN8+Model!AO8+Model!AP8+Model!AQ8+Model!AR8+Model!AS8+Model!AT8+Model!AU8</f>
        <v>1544141.49837662</v>
      </c>
      <c r="F5" s="10" t="n">
        <f aca="false">Model!AV8+Model!AW8+Model!AX8+Model!AY8+Model!AZ8+Model!BA8+Model!BB8+Model!BC8+Model!BD8+Model!BE8+Model!BF8+Model!BG8</f>
        <v>738475.571428571</v>
      </c>
      <c r="G5" s="10" t="n">
        <f aca="false">Model!BH8+Model!BI8+Model!BJ8+Model!BK8+Model!BL8+Model!BM8+Model!BN8+Model!BO8+Model!BP8+Model!BQ8+Model!BR8+Model!BS8</f>
        <v>0</v>
      </c>
      <c r="H5" s="10" t="n">
        <f aca="false">Model!BT8+Model!BU8+Model!BV8+Model!BW8+Model!BX8+Model!BY8+Model!BZ8+Model!CA8+Model!CB8+Model!CC8+Model!CD8+Model!CE8</f>
        <v>0</v>
      </c>
      <c r="I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Model!C9+Model!D9+Model!E9+Model!F9+Model!G9+Model!H9+Model!I9+Model!J9+Model!K9</f>
        <v>2357172.97376965</v>
      </c>
      <c r="C6" s="10" t="n">
        <f aca="false">Model!L9+Model!M9+Model!N9+Model!O9+Model!P9+Model!Q9+Model!R9+Model!S9+Model!T9+Model!U9+Model!V9+Model!W9</f>
        <v>3824039.14495044</v>
      </c>
      <c r="D6" s="10" t="n">
        <f aca="false">Model!X9+Model!Y9+Model!Z9+Model!AA9+Model!AB9+Model!AC9+Model!AD9+Model!AE9+Model!AF9+Model!AG9+Model!AH9+Model!AI9</f>
        <v>3068658.61342276</v>
      </c>
      <c r="E6" s="10" t="n">
        <f aca="false">Model!AJ9+Model!AK9+Model!AL9+Model!AM9+Model!AN9+Model!AO9+Model!AP9+Model!AQ9+Model!AR9+Model!AS9+Model!AT9+Model!AU9</f>
        <v>1544141.49837662</v>
      </c>
      <c r="F6" s="10" t="n">
        <f aca="false">Model!AV9+Model!AW9+Model!AX9+Model!AY9+Model!AZ9+Model!BA9+Model!BB9+Model!BC9+Model!BD9+Model!BE9+Model!BF9+Model!BG9</f>
        <v>738475.571428571</v>
      </c>
      <c r="G6" s="10" t="n">
        <f aca="false">Model!BH9+Model!BI9+Model!BJ9+Model!BK9+Model!BL9+Model!BM9+Model!BN9+Model!BO9+Model!BP9+Model!BQ9+Model!BR9+Model!BS9</f>
        <v>0</v>
      </c>
      <c r="H6" s="10" t="n">
        <f aca="false">Model!BT9+Model!BU9+Model!BV9+Model!BW9+Model!BX9+Model!BY9+Model!BZ9+Model!CA9+Model!CB9+Model!CC9+Model!CD9+Model!CE9</f>
        <v>0</v>
      </c>
      <c r="I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Model!C10+Model!D10+Model!E10+Model!F10+Model!G10+Model!H10+Model!I10+Model!J10+Model!K10</f>
        <v>619717.290598656</v>
      </c>
      <c r="C7" s="10" t="n">
        <f aca="false">Model!L10+Model!M10+Model!N10+Model!O10+Model!P10+Model!Q10+Model!R10+Model!S10+Model!T10+Model!U10+Model!V10+Model!W10</f>
        <v>1155343.74897471</v>
      </c>
      <c r="D7" s="10" t="n">
        <f aca="false">Model!X10+Model!Y10+Model!Z10+Model!AA10+Model!AB10+Model!AC10+Model!AD10+Model!AE10+Model!AF10+Model!AG10+Model!AH10+Model!AI10</f>
        <v>1022886.20447425</v>
      </c>
      <c r="E7" s="10" t="n">
        <f aca="false">Model!AJ10+Model!AK10+Model!AL10+Model!AM10+Model!AN10+Model!AO10+Model!AP10+Model!AQ10+Model!AR10+Model!AS10+Model!AT10+Model!AU10</f>
        <v>514713.832792208</v>
      </c>
      <c r="F7" s="10" t="n">
        <f aca="false">Model!AV10+Model!AW10+Model!AX10+Model!AY10+Model!AZ10+Model!BA10+Model!BB10+Model!BC10+Model!BD10+Model!BE10+Model!BF10+Model!BG10</f>
        <v>246158.523809524</v>
      </c>
      <c r="G7" s="10" t="n">
        <f aca="false">Model!BH10+Model!BI10+Model!BJ10+Model!BK10+Model!BL10+Model!BM10+Model!BN10+Model!BO10+Model!BP10+Model!BQ10+Model!BR10+Model!BS10</f>
        <v>0</v>
      </c>
      <c r="H7" s="10" t="n">
        <f aca="false">Model!BT10+Model!BU10+Model!BV10+Model!BW10+Model!BX10+Model!BY10+Model!BZ10+Model!CA10+Model!CB10+Model!CC10+Model!CD10+Model!CE10</f>
        <v>0</v>
      </c>
      <c r="I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Model!C11+Model!D11+Model!E11+Model!F11+Model!G11+Model!H11+Model!I11+Model!J11+Model!K11</f>
        <v>1405537.62</v>
      </c>
      <c r="C8" s="10" t="n">
        <f aca="false">Model!L11+Model!M11+Model!N11+Model!O11+Model!P11+Model!Q11+Model!R11+Model!S11+Model!T11+Model!U11+Model!V11+Model!W11</f>
        <v>679001.55</v>
      </c>
      <c r="D8" s="10" t="n">
        <f aca="false">Model!X11+Model!Y11+Model!Z11+Model!AA11+Model!AB11+Model!AC11+Model!AD11+Model!AE11+Model!AF11+Model!AG11+Model!AH11+Model!AI11</f>
        <v>620319.48</v>
      </c>
      <c r="E8" s="10" t="n">
        <f aca="false">Model!AJ11+Model!AK11+Model!AL11+Model!AM11+Model!AN11+Model!AO11+Model!AP11+Model!AQ11+Model!AR11+Model!AS11+Model!AT11+Model!AU11</f>
        <v>0</v>
      </c>
      <c r="F8" s="10" t="n">
        <f aca="false">Model!AV11+Model!AW11+Model!AX11+Model!AY11+Model!AZ11+Model!BA11+Model!BB11+Model!BC11+Model!BD11+Model!BE11+Model!BF11+Model!BG11</f>
        <v>0</v>
      </c>
      <c r="G8" s="10" t="n">
        <f aca="false">Model!BH11+Model!BI11+Model!BJ11+Model!BK11+Model!BL11+Model!BM11+Model!BN11+Model!BO11+Model!BP11+Model!BQ11+Model!BR11+Model!BS11</f>
        <v>0</v>
      </c>
      <c r="H8" s="10" t="n">
        <f aca="false">Model!BT11+Model!BU11+Model!BV11+Model!BW11+Model!BX11+Model!BY11+Model!BZ11+Model!CA11+Model!CB11+Model!CC11+Model!CD11+Model!CE11</f>
        <v>0</v>
      </c>
      <c r="I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Model!C12+Model!D12+Model!E12+Model!F12+Model!G12+Model!H12+Model!I12+Model!J12+Model!K12</f>
        <v>6615076.70024322</v>
      </c>
      <c r="C9" s="12" t="n">
        <f aca="false">Model!L12+Model!M12+Model!N12+Model!O12+Model!P12+Model!Q12+Model!R12+Model!S12+Model!T12+Model!U12+Model!V12+Model!W12</f>
        <v>9410070.74677033</v>
      </c>
      <c r="D9" s="12" t="n">
        <f aca="false">Model!X12+Model!Y12+Model!Z12+Model!AA12+Model!AB12+Model!AC12+Model!AD12+Model!AE12+Model!AF12+Model!AG12+Model!AH12+Model!AI12</f>
        <v>7780522.91131978</v>
      </c>
      <c r="E9" s="12" t="n">
        <f aca="false">Model!AJ12+Model!AK12+Model!AL12+Model!AM12+Model!AN12+Model!AO12+Model!AP12+Model!AQ12+Model!AR12+Model!AS12+Model!AT12+Model!AU12</f>
        <v>3602996.82954545</v>
      </c>
      <c r="F9" s="12" t="n">
        <f aca="false">Model!AV12+Model!AW12+Model!AX12+Model!AY12+Model!AZ12+Model!BA12+Model!BB12+Model!BC12+Model!BD12+Model!BE12+Model!BF12+Model!BG12</f>
        <v>1723109.66666667</v>
      </c>
      <c r="G9" s="12" t="n">
        <f aca="false">Model!BH12+Model!BI12+Model!BJ12+Model!BK12+Model!BL12+Model!BM12+Model!BN12+Model!BO12+Model!BP12+Model!BQ12+Model!BR12+Model!BS12</f>
        <v>0</v>
      </c>
      <c r="H9" s="12" t="n">
        <f aca="false">Model!BT12+Model!BU12+Model!BV12+Model!BW12+Model!BX12+Model!BY12+Model!BZ12+Model!CA12+Model!CB12+Model!CC12+Model!CD12+Model!CE12</f>
        <v>0</v>
      </c>
      <c r="I9" s="12" t="n">
        <f aca="false">Model!CF12+Model!CG12+Model!CH12</f>
        <v>0</v>
      </c>
    </row>
    <row r="10" customFormat="false" ht="15" hidden="false" customHeight="true" outlineLevel="0" collapsed="false">
      <c r="A10" s="3"/>
      <c r="B10" s="13"/>
      <c r="C10" s="13"/>
      <c r="D10" s="13"/>
      <c r="E10" s="13"/>
      <c r="F10" s="13"/>
      <c r="G10" s="13"/>
      <c r="H10" s="13"/>
      <c r="I10" s="3"/>
    </row>
    <row r="11" customFormat="false" ht="15" hidden="false" customHeight="true" outlineLevel="0" collapsed="false">
      <c r="A11" s="8" t="s">
        <v>16</v>
      </c>
      <c r="B11" s="14"/>
      <c r="C11" s="14"/>
      <c r="D11" s="14"/>
      <c r="E11" s="14"/>
      <c r="F11" s="14"/>
      <c r="G11" s="14"/>
      <c r="H11" s="14"/>
      <c r="I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Model!C15+Model!D15+Model!E15+Model!F15+Model!G15+Model!H15+Model!I15+Model!J15+Model!K15</f>
        <v>-693398.5592</v>
      </c>
      <c r="C12" s="10" t="n">
        <f aca="false">Model!L15+Model!M15+Model!N15+Model!O15+Model!P15+Model!Q15+Model!R15+Model!S15+Model!T15+Model!U15+Model!V15+Model!W15</f>
        <v>-1471170.025</v>
      </c>
      <c r="D12" s="10" t="n">
        <f aca="false">Model!X15+Model!Y15+Model!Z15+Model!AA15+Model!AB15+Model!AC15+Model!AD15+Model!AE15+Model!AF15+Model!AG15+Model!AH15+Model!AI15</f>
        <v>-1344025.54</v>
      </c>
      <c r="E12" s="10" t="n">
        <f aca="false">Model!AJ15+Model!AK15+Model!AL15+Model!AM15+Model!AN15+Model!AO15+Model!AP15+Model!AQ15+Model!AR15+Model!AS15+Model!AT15+Model!AU15</f>
        <v>-0</v>
      </c>
      <c r="F12" s="10" t="n">
        <f aca="false">Model!AV15+Model!AW15+Model!AX15+Model!AY15+Model!AZ15+Model!BA15+Model!BB15+Model!BC15+Model!BD15+Model!BE15+Model!BF15+Model!BG15</f>
        <v>-0</v>
      </c>
      <c r="G12" s="10" t="n">
        <f aca="false">Model!BH15+Model!BI15+Model!BJ15+Model!BK15+Model!BL15+Model!BM15+Model!BN15+Model!BO15+Model!BP15+Model!BQ15+Model!BR15+Model!BS15</f>
        <v>-0</v>
      </c>
      <c r="H12" s="10" t="n">
        <f aca="false">Model!BT15+Model!BU15+Model!BV15+Model!BW15+Model!BX15+Model!BY15+Model!BZ15+Model!CA15+Model!CB15+Model!CC15+Model!CD15+Model!CE15</f>
        <v>-0</v>
      </c>
      <c r="I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Model!C16+Model!D16+Model!E16+Model!F16+Model!G16+Model!H16+Model!I16+Model!J16+Model!K16</f>
        <v>-2218919</v>
      </c>
      <c r="C13" s="10" t="n">
        <f aca="false">Model!L16+Model!M16+Model!N16+Model!O16+Model!P16+Model!Q16+Model!R16+Model!S16+Model!T16+Model!U16+Model!V16+Model!W16</f>
        <v>-3133195.38</v>
      </c>
      <c r="D13" s="10" t="n">
        <f aca="false">Model!X16+Model!Y16+Model!Z16+Model!AA16+Model!AB16+Model!AC16+Model!AD16+Model!AE16+Model!AF16+Model!AG16+Model!AH16+Model!AI16</f>
        <v>-3195859.2876</v>
      </c>
      <c r="E13" s="10" t="n">
        <f aca="false">Model!AJ16+Model!AK16+Model!AL16+Model!AM16+Model!AN16+Model!AO16+Model!AP16+Model!AQ16+Model!AR16+Model!AS16+Model!AT16+Model!AU16</f>
        <v>-3259776.473352</v>
      </c>
      <c r="F13" s="10" t="n">
        <f aca="false">Model!AV16+Model!AW16+Model!AX16+Model!AY16+Model!AZ16+Model!BA16+Model!BB16+Model!BC16+Model!BD16+Model!BE16+Model!BF16+Model!BG16</f>
        <v>-3324972.00281904</v>
      </c>
      <c r="G13" s="10" t="n">
        <f aca="false">Model!BH16+Model!BI16+Model!BJ16+Model!BK16+Model!BL16+Model!BM16+Model!BN16+Model!BO16+Model!BP16+Model!BQ16+Model!BR16+Model!BS16</f>
        <v>-3391471.44287542</v>
      </c>
      <c r="H13" s="10" t="n">
        <f aca="false">Model!BT16+Model!BU16+Model!BV16+Model!BW16+Model!BX16+Model!BY16+Model!BZ16+Model!CA16+Model!CB16+Model!CC16+Model!CD16+Model!CE16</f>
        <v>-3459300.87173293</v>
      </c>
      <c r="I13" s="10" t="n">
        <f aca="false">Model!CF16+Model!CG16+Model!CH16</f>
        <v>-869085.440681672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Model!C17+Model!D17+Model!E17+Model!F17+Model!G17+Model!H17+Model!I17+Model!J17+Model!K17</f>
        <v>-491250</v>
      </c>
      <c r="C14" s="10" t="n">
        <f aca="false">Model!L17+Model!M17+Model!N17+Model!O17+Model!P17+Model!Q17+Model!R17+Model!S17+Model!T17+Model!U17+Model!V17+Model!W17</f>
        <v>-664825</v>
      </c>
      <c r="D14" s="10" t="n">
        <f aca="false">Model!X17+Model!Y17+Model!Z17+Model!AA17+Model!AB17+Model!AC17+Model!AD17+Model!AE17+Model!AF17+Model!AG17+Model!AH17+Model!AI17</f>
        <v>-678121.5</v>
      </c>
      <c r="E14" s="10" t="n">
        <f aca="false">Model!AJ17+Model!AK17+Model!AL17+Model!AM17+Model!AN17+Model!AO17+Model!AP17+Model!AQ17+Model!AR17+Model!AS17+Model!AT17+Model!AU17</f>
        <v>-691683.93</v>
      </c>
      <c r="F14" s="10" t="n">
        <f aca="false">Model!AV17+Model!AW17+Model!AX17+Model!AY17+Model!AZ17+Model!BA17+Model!BB17+Model!BC17+Model!BD17+Model!BE17+Model!BF17+Model!BG17</f>
        <v>-705517.6086</v>
      </c>
      <c r="G14" s="10" t="n">
        <f aca="false">Model!BH17+Model!BI17+Model!BJ17+Model!BK17+Model!BL17+Model!BM17+Model!BN17+Model!BO17+Model!BP17+Model!BQ17+Model!BR17+Model!BS17</f>
        <v>-719627.960772</v>
      </c>
      <c r="H14" s="10" t="n">
        <f aca="false">Model!BT17+Model!BU17+Model!BV17+Model!BW17+Model!BX17+Model!BY17+Model!BZ17+Model!CA17+Model!CB17+Model!CC17+Model!CD17+Model!CE17</f>
        <v>-734020.51998744</v>
      </c>
      <c r="I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Model!C38+Model!D38+Model!E38+Model!F38+Model!G38+Model!H38+Model!I38+Model!J38+Model!K38</f>
        <v>-4338997.1242</v>
      </c>
      <c r="C15" s="12" t="n">
        <f aca="false">Model!L38+Model!M38+Model!N38+Model!O38+Model!P38+Model!Q38+Model!R38+Model!S38+Model!T38+Model!U38+Model!V38+Model!W38</f>
        <v>-6572262.0413</v>
      </c>
      <c r="D15" s="12" t="n">
        <f aca="false">Model!X38+Model!Y38+Model!Z38+Model!AA38+Model!AB38+Model!AC38+Model!AD38+Model!AE38+Model!AF38+Model!AG38+Model!AH38+Model!AI38</f>
        <v>-6547139.396626</v>
      </c>
      <c r="E15" s="12" t="n">
        <f aca="false">Model!AJ38+Model!AK38+Model!AL38+Model!AM38+Model!AN38+Model!AO38+Model!AP38+Model!AQ38+Model!AR38+Model!AS38+Model!AT38+Model!AU38</f>
        <v>-5307176.13375852</v>
      </c>
      <c r="F15" s="12" t="n">
        <f aca="false">Model!AV38+Model!AW38+Model!AX38+Model!AY38+Model!AZ38+Model!BA38+Model!BB38+Model!BC38+Model!BD38+Model!BE38+Model!BF38+Model!BG38</f>
        <v>-5413319.65643369</v>
      </c>
      <c r="G15" s="12" t="n">
        <f aca="false">Model!BH38+Model!BI38+Model!BJ38+Model!BK38+Model!BL38+Model!BM38+Model!BN38+Model!BO38+Model!BP38+Model!BQ38+Model!BR38+Model!BS38</f>
        <v>-5521586.04956237</v>
      </c>
      <c r="H15" s="12" t="n">
        <f aca="false">Model!BT38+Model!BU38+Model!BV38+Model!BW38+Model!BX38+Model!BY38+Model!BZ38+Model!CA38+Model!CB38+Model!CC38+Model!CD38+Model!CE38</f>
        <v>-5632017.77055361</v>
      </c>
      <c r="I15" s="12" t="n">
        <f aca="false">Model!CF38+Model!CG38+Model!CH38</f>
        <v>-1414940.42511445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Model!C40+Model!D40+Model!E40+Model!F40+Model!G40+Model!H40+Model!I40+Model!J40+Model!K40</f>
        <v>2276079.57604322</v>
      </c>
      <c r="C16" s="16" t="n">
        <f aca="false">Model!L40+Model!M40+Model!N40+Model!O40+Model!P40+Model!Q40+Model!R40+Model!S40+Model!T40+Model!U40+Model!V40+Model!W40</f>
        <v>2837808.70547033</v>
      </c>
      <c r="D16" s="16" t="n">
        <f aca="false">Model!X40+Model!Y40+Model!Z40+Model!AA40+Model!AB40+Model!AC40+Model!AD40+Model!AE40+Model!AF40+Model!AG40+Model!AH40+Model!AI40</f>
        <v>1233383.51469378</v>
      </c>
      <c r="E16" s="16" t="n">
        <f aca="false">Model!AJ40+Model!AK40+Model!AL40+Model!AM40+Model!AN40+Model!AO40+Model!AP40+Model!AQ40+Model!AR40+Model!AS40+Model!AT40+Model!AU40</f>
        <v>-1704179.30421307</v>
      </c>
      <c r="F16" s="16" t="n">
        <f aca="false">Model!AV40+Model!AW40+Model!AX40+Model!AY40+Model!AZ40+Model!BA40+Model!BB40+Model!BC40+Model!BD40+Model!BE40+Model!BF40+Model!BG40</f>
        <v>-3690209.98976702</v>
      </c>
      <c r="G16" s="16" t="n">
        <f aca="false">Model!BH40+Model!BI40+Model!BJ40+Model!BK40+Model!BL40+Model!BM40+Model!BN40+Model!BO40+Model!BP40+Model!BQ40+Model!BR40+Model!BS40</f>
        <v>-5521586.04956237</v>
      </c>
      <c r="H16" s="16" t="n">
        <f aca="false">Model!BT40+Model!BU40+Model!BV40+Model!BW40+Model!BX40+Model!BY40+Model!BZ40+Model!CA40+Model!CB40+Model!CC40+Model!CD40+Model!CE40</f>
        <v>-5632017.77055361</v>
      </c>
      <c r="I16" s="16" t="n">
        <f aca="false">Model!CF40+Model!CG40+Model!CH40</f>
        <v>-1414940.42511445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+Model!F12+Model!G12+Model!H12+Model!I12+Model!J12+Model!K12)&lt;&gt;0,(Model!C40+Model!D40+Model!E40+Model!F40+Model!G40+Model!H40+Model!I40+Model!J40+Model!K40)/(Model!C12+Model!D12+Model!E12+Model!F12+Model!G12+Model!H12+Model!I12+Model!J12+Model!K12),0)</f>
        <v>0.34407455562224</v>
      </c>
      <c r="C17" s="17" t="n">
        <f aca="false">IF((Model!L12+Model!M12+Model!N12+Model!O12+Model!P12+Model!Q12+Model!R12+Model!S12+Model!T12+Model!U12+Model!V12+Model!W12)&lt;&gt;0,(Model!L40+Model!M40+Model!N40+Model!O40+Model!P40+Model!Q40+Model!R40+Model!S40+Model!T40+Model!U40+Model!V40+Model!W40)/(Model!L12+Model!M12+Model!N12+Model!O12+Model!P12+Model!Q12+Model!R12+Model!S12+Model!T12+Model!U12+Model!V12+Model!W12),0)</f>
        <v>0.301571452737941</v>
      </c>
      <c r="D17" s="17" t="n">
        <f aca="false">IF((Model!X12+Model!Y12+Model!Z12+Model!AA12+Model!AB12+Model!AC12+Model!AD12+Model!AE12+Model!AF12+Model!AG12+Model!AH12+Model!AI12)&lt;&gt;0,(Model!X40+Model!Y40+Model!Z40+Model!AA40+Model!AB40+Model!AC40+Model!AD40+Model!AE40+Model!AF40+Model!AG40+Model!AH40+Model!AI40)/(Model!X12+Model!Y12+Model!Z12+Model!AA12+Model!AB12+Model!AC12+Model!AD12+Model!AE12+Model!AF12+Model!AG12+Model!AH12+Model!AI12),0)</f>
        <v>0.158521930820272</v>
      </c>
      <c r="E17" s="17" t="n">
        <f aca="false">IF((Model!AJ12+Model!AK12+Model!AL12+Model!AM12+Model!AN12+Model!AO12+Model!AP12+Model!AQ12+Model!AR12+Model!AS12+Model!AT12+Model!AU12)&lt;&gt;0,(Model!AJ40+Model!AK40+Model!AL40+Model!AM40+Model!AN40+Model!AO40+Model!AP40+Model!AQ40+Model!AR40+Model!AS40+Model!AT40+Model!AU40)/(Model!AJ12+Model!AK12+Model!AL12+Model!AM12+Model!AN12+Model!AO12+Model!AP12+Model!AQ12+Model!AR12+Model!AS12+Model!AT12+Model!AU12),0)</f>
        <v>-0.472989398780032</v>
      </c>
      <c r="F17" s="17" t="n">
        <f aca="false">IF((Model!AV12+Model!AW12+Model!AX12+Model!AY12+Model!AZ12+Model!BA12+Model!BB12+Model!BC12+Model!BD12+Model!BE12+Model!BF12+Model!BG12)&lt;&gt;0,(Model!AV40+Model!AW40+Model!AX40+Model!AY40+Model!AZ40+Model!BA40+Model!BB40+Model!BC40+Model!BD40+Model!BE40+Model!BF40+Model!BG40)/(Model!AV12+Model!AW12+Model!AX12+Model!AY12+Model!AZ12+Model!BA12+Model!BB12+Model!BC12+Model!BD12+Model!BE12+Model!BF12+Model!BG12),0)</f>
        <v>-2.14159902944871</v>
      </c>
      <c r="G17" s="17" t="n">
        <f aca="false">IF((Model!BH12+Model!BI12+Model!BJ12+Model!BK12+Model!BL12+Model!BM12+Model!BN12+Model!BO12+Model!BP12+Model!BQ12+Model!BR12+Model!BS12)&lt;&gt;0,(Model!BH40+Model!BI40+Model!BJ40+Model!BK40+Model!BL40+Model!BM40+Model!BN40+Model!BO40+Model!BP40+Model!BQ40+Model!BR40+Model!BS40)/(Model!BH12+Model!BI12+Model!BJ12+Model!BK12+Model!BL12+Model!BM12+Model!BN12+Model!BO12+Model!BP12+Model!BQ12+Model!BR12+Model!BS12),0)</f>
        <v>0</v>
      </c>
      <c r="H17" s="17" t="n">
        <f aca="false">IF((Model!BT12+Model!BU12+Model!BV12+Model!BW12+Model!BX12+Model!BY12+Model!BZ12+Model!CA12+Model!CB12+Model!CC12+Model!CD12+Model!CE12)&lt;&gt;0,(Model!BT40+Model!BU40+Model!BV40+Model!BW40+Model!BX40+Model!BY40+Model!BZ40+Model!CA40+Model!CB40+Model!CC40+Model!CD40+Model!CE40)/(Model!BT12+Model!BU12+Model!BV12+Model!BW12+Model!BX12+Model!BY12+Model!BZ12+Model!CA12+Model!CB12+Model!CC12+Model!CD12+Model!CE12),0)</f>
        <v>0</v>
      </c>
      <c r="I17" s="17" t="n">
        <f aca="false">IF((Model!CF12+Model!CG12+Model!CH12)&lt;&gt;0,(Model!CF40+Model!CG40+Model!CH40)/(Model!CF12+Model!CG12+Model!CH12),0)</f>
        <v>0</v>
      </c>
    </row>
    <row r="18" customFormat="false" ht="15" hidden="false" customHeight="true" outlineLevel="0" collapsed="false">
      <c r="A18" s="3"/>
      <c r="B18" s="13"/>
      <c r="C18" s="13"/>
      <c r="D18" s="13"/>
      <c r="E18" s="13"/>
      <c r="F18" s="13"/>
      <c r="G18" s="13"/>
      <c r="H18" s="13"/>
      <c r="I18" s="3"/>
    </row>
    <row r="19" customFormat="false" ht="15" hidden="false" customHeight="true" outlineLevel="0" collapsed="false">
      <c r="A19" s="18" t="s">
        <v>23</v>
      </c>
      <c r="B19" s="19" t="n">
        <f aca="false">Model!C63+Model!D63+Model!E63+Model!F63+Model!G63+Model!H63+Model!I63+Model!J63+Model!K63</f>
        <v>370447.9</v>
      </c>
      <c r="C19" s="19" t="n">
        <f aca="false">Model!L63+Model!M63+Model!N63+Model!O63+Model!P63+Model!Q63+Model!R63+Model!S63+Model!T63+Model!U63+Model!V63+Model!W63</f>
        <v>733409.5624</v>
      </c>
      <c r="D19" s="19" t="n">
        <f aca="false">Model!X63+Model!Y63+Model!Z63+Model!AA63+Model!AB63+Model!AC63+Model!AD63+Model!AE63+Model!AF63+Model!AG63+Model!AH63+Model!AI63</f>
        <v>2216571.5296</v>
      </c>
      <c r="E19" s="19" t="n">
        <f aca="false">Model!AJ63+Model!AK63+Model!AL63+Model!AM63+Model!AN63+Model!AO63+Model!AP63+Model!AQ63+Model!AR63+Model!AS63+Model!AT63+Model!AU63</f>
        <v>1366426.7664</v>
      </c>
      <c r="F19" s="19" t="n">
        <f aca="false">Model!AV63+Model!AW63+Model!AX63+Model!AY63+Model!AZ63+Model!BA63+Model!BB63+Model!BC63+Model!BD63+Model!BE63+Model!BF63+Model!BG63</f>
        <v>1802920.1488</v>
      </c>
      <c r="G19" s="19" t="n">
        <f aca="false">Model!BH63+Model!BI63+Model!BJ63+Model!BK63+Model!BL63+Model!BM63+Model!BN63+Model!BO63+Model!BP63+Model!BQ63+Model!BR63+Model!BS63</f>
        <v>822166.0928</v>
      </c>
      <c r="H19" s="19" t="n">
        <f aca="false">Model!BT63+Model!BU63+Model!BV63+Model!BW63+Model!BX63+Model!BY63+Model!BZ63+Model!CA63+Model!CB63+Model!CC63+Model!CD63+Model!CE63</f>
        <v>819993</v>
      </c>
      <c r="I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Model!C84+Model!D84+Model!E84+Model!F84+Model!G84+Model!H84+Model!I84+Model!J84+Model!K84</f>
        <v>-1120081.25</v>
      </c>
      <c r="C20" s="10" t="n">
        <f aca="false">Model!L84+Model!M84+Model!N84+Model!O84+Model!P84+Model!Q84+Model!R84+Model!S84+Model!T84+Model!U84+Model!V84+Model!W84</f>
        <v>-1501176.625</v>
      </c>
      <c r="D20" s="10" t="n">
        <f aca="false">Model!X84+Model!Y84+Model!Z84+Model!AA84+Model!AB84+Model!AC84+Model!AD84+Model!AE84+Model!AF84+Model!AG84+Model!AH84+Model!AI84</f>
        <v>-1531200.1575</v>
      </c>
      <c r="E20" s="10" t="n">
        <f aca="false">Model!AJ84+Model!AK84+Model!AL84+Model!AM84+Model!AN84+Model!AO84+Model!AP84+Model!AQ84+Model!AR84+Model!AS84+Model!AT84+Model!AU84</f>
        <v>-1725189.16065</v>
      </c>
      <c r="F20" s="10" t="n">
        <f aca="false">Model!AV84+Model!AW84+Model!AX84+Model!AY84+Model!AZ84+Model!BA84+Model!BB84+Model!BC84+Model!BD84+Model!BE84+Model!BF84+Model!BG84</f>
        <v>-2870017.643863</v>
      </c>
      <c r="G20" s="10" t="n">
        <f aca="false">Model!BH84+Model!BI84+Model!BJ84+Model!BK84+Model!BL84+Model!BM84+Model!BN84+Model!BO84+Model!BP84+Model!BQ84+Model!BR84+Model!BS84</f>
        <v>-2052206.33674026</v>
      </c>
      <c r="H20" s="10" t="n">
        <f aca="false">Model!BT84+Model!BU84+Model!BV84+Model!BW84+Model!BX84+Model!BY84+Model!BZ84+Model!CA84+Model!CB84+Model!CC84+Model!CD84+Model!CE84</f>
        <v>-2188891.29387507</v>
      </c>
      <c r="I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Model!C86+Model!D86+Model!E86+Model!F86+Model!G86+Model!H86+Model!I86+Model!J86+Model!K86</f>
        <v>-749633.35</v>
      </c>
      <c r="C21" s="16" t="n">
        <f aca="false">Model!L86+Model!M86+Model!N86+Model!O86+Model!P86+Model!Q86+Model!R86+Model!S86+Model!T86+Model!U86+Model!V86+Model!W86</f>
        <v>-767767.0626</v>
      </c>
      <c r="D21" s="16" t="n">
        <f aca="false">Model!X86+Model!Y86+Model!Z86+Model!AA86+Model!AB86+Model!AC86+Model!AD86+Model!AE86+Model!AF86+Model!AG86+Model!AH86+Model!AI86</f>
        <v>685371.3721</v>
      </c>
      <c r="E21" s="16" t="n">
        <f aca="false">Model!AJ86+Model!AK86+Model!AL86+Model!AM86+Model!AN86+Model!AO86+Model!AP86+Model!AQ86+Model!AR86+Model!AS86+Model!AT86+Model!AU86</f>
        <v>-358762.39425</v>
      </c>
      <c r="F21" s="16" t="n">
        <f aca="false">Model!AV86+Model!AW86+Model!AX86+Model!AY86+Model!AZ86+Model!BA86+Model!BB86+Model!BC86+Model!BD86+Model!BE86+Model!BF86+Model!BG86</f>
        <v>-1067097.495063</v>
      </c>
      <c r="G21" s="16" t="n">
        <f aca="false">Model!BH86+Model!BI86+Model!BJ86+Model!BK86+Model!BL86+Model!BM86+Model!BN86+Model!BO86+Model!BP86+Model!BQ86+Model!BR86+Model!BS86</f>
        <v>-1230040.24394026</v>
      </c>
      <c r="H21" s="16" t="n">
        <f aca="false">Model!BT86+Model!BU86+Model!BV86+Model!BW86+Model!BX86+Model!BY86+Model!BZ86+Model!CA86+Model!CB86+Model!CC86+Model!CD86+Model!CE86</f>
        <v>-1368898.29387507</v>
      </c>
      <c r="I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13"/>
      <c r="C22" s="13"/>
      <c r="D22" s="13"/>
      <c r="E22" s="13"/>
      <c r="F22" s="13"/>
      <c r="G22" s="13"/>
      <c r="H22" s="13"/>
      <c r="I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Model!C95+Model!D95+Model!E95+Model!F95+Model!G95+Model!H95+Model!I95+Model!J95+Model!K95</f>
        <v>1526446.22604322</v>
      </c>
      <c r="C23" s="16" t="n">
        <f aca="false">Model!L95+Model!M95+Model!N95+Model!O95+Model!P95+Model!Q95+Model!R95+Model!S95+Model!T95+Model!U95+Model!V95+Model!W95</f>
        <v>2070041.64287033</v>
      </c>
      <c r="D23" s="16" t="n">
        <f aca="false">Model!X95+Model!Y95+Model!Z95+Model!AA95+Model!AB95+Model!AC95+Model!AD95+Model!AE95+Model!AF95+Model!AG95+Model!AH95+Model!AI95</f>
        <v>1918754.88679378</v>
      </c>
      <c r="E23" s="16" t="n">
        <f aca="false">Model!AJ95+Model!AK95+Model!AL95+Model!AM95+Model!AN95+Model!AO95+Model!AP95+Model!AQ95+Model!AR95+Model!AS95+Model!AT95+Model!AU95</f>
        <v>-2062941.69846307</v>
      </c>
      <c r="F23" s="16" t="n">
        <f aca="false">Model!AV95+Model!AW95+Model!AX95+Model!AY95+Model!AZ95+Model!BA95+Model!BB95+Model!BC95+Model!BD95+Model!BE95+Model!BF95+Model!BG95</f>
        <v>-4757307.48483003</v>
      </c>
      <c r="G23" s="16" t="n">
        <f aca="false">Model!BH95+Model!BI95+Model!BJ95+Model!BK95+Model!BL95+Model!BM95+Model!BN95+Model!BO95+Model!BP95+Model!BQ95+Model!BR95+Model!BS95</f>
        <v>-6751626.29350262</v>
      </c>
      <c r="H23" s="16" t="n">
        <f aca="false">Model!BT95+Model!BU95+Model!BV95+Model!BW95+Model!BX95+Model!BY95+Model!BZ95+Model!CA95+Model!CB95+Model!CC95+Model!CD95+Model!CE95</f>
        <v>-7000916.06442868</v>
      </c>
      <c r="I23" s="16" t="n">
        <f aca="false">Model!CF95+Model!CG95+Model!CH95</f>
        <v>-1735780.81978285</v>
      </c>
    </row>
    <row r="24" customFormat="false" ht="15" hidden="false" customHeight="true" outlineLevel="0" collapsed="false">
      <c r="A24" s="3"/>
      <c r="B24" s="13"/>
      <c r="C24" s="13"/>
      <c r="D24" s="13"/>
      <c r="E24" s="13"/>
      <c r="F24" s="13"/>
      <c r="G24" s="13"/>
      <c r="H24" s="13"/>
      <c r="I24" s="3"/>
    </row>
    <row r="25" customFormat="false" ht="15" hidden="false" customHeight="true" outlineLevel="0" collapsed="false">
      <c r="A25" s="8" t="s">
        <v>27</v>
      </c>
      <c r="B25" s="14"/>
      <c r="C25" s="14"/>
      <c r="D25" s="14"/>
      <c r="E25" s="14"/>
      <c r="F25" s="14"/>
      <c r="G25" s="14"/>
      <c r="H25" s="14"/>
      <c r="I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Model!C79+Model!D79+Model!E79+Model!F79+Model!G79+Model!H79+Model!I79+Model!J79+Model!K79</f>
        <v>-0</v>
      </c>
      <c r="C26" s="10" t="n">
        <f aca="false">Model!L79+Model!M79+Model!N79+Model!O79+Model!P79+Model!Q79+Model!R79+Model!S79+Model!T79+Model!U79+Model!V79+Model!W79</f>
        <v>-0</v>
      </c>
      <c r="D26" s="10" t="n">
        <f aca="false">Model!X79+Model!Y79+Model!Z79+Model!AA79+Model!AB79+Model!AC79+Model!AD79+Model!AE79+Model!AF79+Model!AG79+Model!AH79+Model!AI79</f>
        <v>-0</v>
      </c>
      <c r="E26" s="10" t="n">
        <f aca="false">Model!AJ79+Model!AK79+Model!AL79+Model!AM79+Model!AN79+Model!AO79+Model!AP79+Model!AQ79+Model!AR79+Model!AS79+Model!AT79+Model!AU79</f>
        <v>-0</v>
      </c>
      <c r="F26" s="10" t="n">
        <f aca="false">Model!AV79+Model!AW79+Model!AX79+Model!AY79+Model!AZ79+Model!BA79+Model!BB79+Model!BC79+Model!BD79+Model!BE79+Model!BF79+Model!BG79</f>
        <v>-0</v>
      </c>
      <c r="G26" s="10" t="n">
        <f aca="false">Model!BH79+Model!BI79+Model!BJ79+Model!BK79+Model!BL79+Model!BM79+Model!BN79+Model!BO79+Model!BP79+Model!BQ79+Model!BR79+Model!BS79</f>
        <v>-0</v>
      </c>
      <c r="H26" s="10" t="n">
        <f aca="false">Model!BT79+Model!BU79+Model!BV79+Model!BW79+Model!BX79+Model!BY79+Model!BZ79+Model!CA79+Model!CB79+Model!CC79+Model!CD79+Model!CE79</f>
        <v>-0</v>
      </c>
      <c r="I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Model!C80+Model!D80+Model!E80+Model!F80+Model!G80+Model!H80+Model!I80+Model!J80+Model!K80</f>
        <v>-0</v>
      </c>
      <c r="C27" s="10" t="n">
        <f aca="false">Model!L80+Model!M80+Model!N80+Model!O80+Model!P80+Model!Q80+Model!R80+Model!S80+Model!T80+Model!U80+Model!V80+Model!W80</f>
        <v>-0</v>
      </c>
      <c r="D27" s="10" t="n">
        <f aca="false">Model!X80+Model!Y80+Model!Z80+Model!AA80+Model!AB80+Model!AC80+Model!AD80+Model!AE80+Model!AF80+Model!AG80+Model!AH80+Model!AI80</f>
        <v>-0</v>
      </c>
      <c r="E27" s="10" t="n">
        <f aca="false">Model!AJ80+Model!AK80+Model!AL80+Model!AM80+Model!AN80+Model!AO80+Model!AP80+Model!AQ80+Model!AR80+Model!AS80+Model!AT80+Model!AU80</f>
        <v>-0</v>
      </c>
      <c r="F27" s="10" t="n">
        <f aca="false">Model!AV80+Model!AW80+Model!AX80+Model!AY80+Model!AZ80+Model!BA80+Model!BB80+Model!BC80+Model!BD80+Model!BE80+Model!BF80+Model!BG80</f>
        <v>-0</v>
      </c>
      <c r="G27" s="10" t="n">
        <f aca="false">Model!BH80+Model!BI80+Model!BJ80+Model!BK80+Model!BL80+Model!BM80+Model!BN80+Model!BO80+Model!BP80+Model!BQ80+Model!BR80+Model!BS80</f>
        <v>-0</v>
      </c>
      <c r="H27" s="10" t="n">
        <f aca="false">Model!BT80+Model!BU80+Model!BV80+Model!BW80+Model!BX80+Model!BY80+Model!BZ80+Model!CA80+Model!CB80+Model!CC80+Model!CD80+Model!CE80</f>
        <v>-0</v>
      </c>
      <c r="I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Model!C81+Model!D81+Model!E81+Model!F81+Model!G81+Model!H81+Model!I81+Model!J81+Model!K81</f>
        <v>-0</v>
      </c>
      <c r="C28" s="10" t="n">
        <f aca="false">Model!L81+Model!M81+Model!N81+Model!O81+Model!P81+Model!Q81+Model!R81+Model!S81+Model!T81+Model!U81+Model!V81+Model!W81</f>
        <v>-0</v>
      </c>
      <c r="D28" s="10" t="n">
        <f aca="false">Model!X81+Model!Y81+Model!Z81+Model!AA81+Model!AB81+Model!AC81+Model!AD81+Model!AE81+Model!AF81+Model!AG81+Model!AH81+Model!AI81</f>
        <v>-0</v>
      </c>
      <c r="E28" s="10" t="n">
        <f aca="false">Model!AJ81+Model!AK81+Model!AL81+Model!AM81+Model!AN81+Model!AO81+Model!AP81+Model!AQ81+Model!AR81+Model!AS81+Model!AT81+Model!AU81</f>
        <v>-163365</v>
      </c>
      <c r="F28" s="10" t="n">
        <f aca="false">Model!AV81+Model!AW81+Model!AX81+Model!AY81+Model!AZ81+Model!BA81+Model!BB81+Model!BC81+Model!BD81+Model!BE81+Model!BF81+Model!BG81</f>
        <v>-281718</v>
      </c>
      <c r="G28" s="10" t="n">
        <f aca="false">Model!BH81+Model!BI81+Model!BJ81+Model!BK81+Model!BL81+Model!BM81+Model!BN81+Model!BO81+Model!BP81+Model!BQ81+Model!BR81+Model!BS81</f>
        <v>-134601.48</v>
      </c>
      <c r="H28" s="10" t="n">
        <f aca="false">Model!BT81+Model!BU81+Model!BV81+Model!BW81+Model!BX81+Model!BY81+Model!BZ81+Model!CA81+Model!CB81+Model!CC81+Model!CD81+Model!CE81</f>
        <v>-0</v>
      </c>
      <c r="I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Model!C82+Model!D82+Model!E82+Model!F82+Model!G82+Model!H82+Model!I82+Model!J82+Model!K82</f>
        <v>-0</v>
      </c>
      <c r="C29" s="10" t="n">
        <f aca="false">Model!L82+Model!M82+Model!N82+Model!O82+Model!P82+Model!Q82+Model!R82+Model!S82+Model!T82+Model!U82+Model!V82+Model!W82</f>
        <v>-0</v>
      </c>
      <c r="D29" s="10" t="n">
        <f aca="false">Model!X82+Model!Y82+Model!Z82+Model!AA82+Model!AB82+Model!AC82+Model!AD82+Model!AE82+Model!AF82+Model!AG82+Model!AH82+Model!AI82</f>
        <v>-0</v>
      </c>
      <c r="E29" s="10" t="n">
        <f aca="false">Model!AJ82+Model!AK82+Model!AL82+Model!AM82+Model!AN82+Model!AO82+Model!AP82+Model!AQ82+Model!AR82+Model!AS82+Model!AT82+Model!AU82</f>
        <v>-0</v>
      </c>
      <c r="F29" s="10" t="n">
        <f aca="false">Model!AV82+Model!AW82+Model!AX82+Model!AY82+Model!AZ82+Model!BA82+Model!BB82+Model!BC82+Model!BD82+Model!BE82+Model!BF82+Model!BG82</f>
        <v>-995239</v>
      </c>
      <c r="G29" s="10" t="n">
        <f aca="false">Model!BH82+Model!BI82+Model!BJ82+Model!BK82+Model!BL82+Model!BM82+Model!BN82+Model!BO82+Model!BP82+Model!BQ82+Model!BR82+Model!BS82</f>
        <v>-292683</v>
      </c>
      <c r="H29" s="10" t="n">
        <f aca="false">Model!BT82+Model!BU82+Model!BV82+Model!BW82+Model!BX82+Model!BY82+Model!BZ82+Model!CA82+Model!CB82+Model!CC82+Model!CD82+Model!CE82</f>
        <v>-312005</v>
      </c>
      <c r="I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Model!C83+Model!D83+Model!E83+Model!F83+Model!G83+Model!H83+Model!I83+Model!J83+Model!K83</f>
        <v>-0</v>
      </c>
      <c r="C30" s="10" t="n">
        <f aca="false">Model!L83+Model!M83+Model!N83+Model!O83+Model!P83+Model!Q83+Model!R83+Model!S83+Model!T83+Model!U83+Model!V83+Model!W83</f>
        <v>-0</v>
      </c>
      <c r="D30" s="10" t="n">
        <f aca="false">Model!X83+Model!Y83+Model!Z83+Model!AA83+Model!AB83+Model!AC83+Model!AD83+Model!AE83+Model!AF83+Model!AG83+Model!AH83+Model!AI83</f>
        <v>-0</v>
      </c>
      <c r="E30" s="10" t="n">
        <f aca="false">Model!AJ83+Model!AK83+Model!AL83+Model!AM83+Model!AN83+Model!AO83+Model!AP83+Model!AQ83+Model!AR83+Model!AS83+Model!AT83+Model!AU83</f>
        <v>-0</v>
      </c>
      <c r="F30" s="10" t="n">
        <f aca="false">Model!AV83+Model!AW83+Model!AX83+Model!AY83+Model!AZ83+Model!BA83+Model!BB83+Model!BC83+Model!BD83+Model!BE83+Model!BF83+Model!BG83</f>
        <v>-0</v>
      </c>
      <c r="G30" s="10" t="n">
        <f aca="false">Model!BH83+Model!BI83+Model!BJ83+Model!BK83+Model!BL83+Model!BM83+Model!BN83+Model!BO83+Model!BP83+Model!BQ83+Model!BR83+Model!BS83</f>
        <v>-0</v>
      </c>
      <c r="H30" s="10" t="n">
        <f aca="false">Model!BT83+Model!BU83+Model!BV83+Model!BW83+Model!BX83+Model!BY83+Model!BZ83+Model!CA83+Model!CB83+Model!CC83+Model!CD83+Model!CE83</f>
        <v>-219466</v>
      </c>
      <c r="I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13"/>
      <c r="C31" s="13"/>
      <c r="D31" s="13"/>
      <c r="E31" s="13"/>
      <c r="F31" s="13"/>
      <c r="G31" s="13"/>
      <c r="H31" s="13"/>
      <c r="I31" s="3"/>
    </row>
    <row r="32" customFormat="false" ht="15" hidden="false" customHeight="true" outlineLevel="0" collapsed="false">
      <c r="A32" s="8" t="s">
        <v>33</v>
      </c>
      <c r="B32" s="14"/>
      <c r="C32" s="14"/>
      <c r="D32" s="14"/>
      <c r="E32" s="14"/>
      <c r="F32" s="14"/>
      <c r="G32" s="14"/>
      <c r="H32" s="14"/>
      <c r="I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Model!C100+Model!D100+Model!E100+Model!F100+Model!G100+Model!H100+Model!I100+Model!J100+Model!K100</f>
        <v>-390000</v>
      </c>
      <c r="C33" s="10" t="n">
        <f aca="false">Model!L100+Model!M100+Model!N100+Model!O100+Model!P100+Model!Q100+Model!R100+Model!S100+Model!T100+Model!U100+Model!V100+Model!W100</f>
        <v>-1495969.24328545</v>
      </c>
      <c r="D33" s="10" t="n">
        <f aca="false">Model!X100+Model!Y100+Model!Z100+Model!AA100+Model!AB100+Model!AC100+Model!AD100+Model!AE100+Model!AF100+Model!AG100+Model!AH100+Model!AI100</f>
        <v>0</v>
      </c>
      <c r="E33" s="10" t="n">
        <f aca="false">Model!AJ100+Model!AK100+Model!AL100+Model!AM100+Model!AN100+Model!AO100+Model!AP100+Model!AQ100+Model!AR100+Model!AS100+Model!AT100+Model!AU100</f>
        <v>0</v>
      </c>
      <c r="F33" s="10" t="n">
        <f aca="false">Model!AV100+Model!AW100+Model!AX100+Model!AY100+Model!AZ100+Model!BA100+Model!BB100+Model!BC100+Model!BD100+Model!BE100+Model!BF100+Model!BG100</f>
        <v>0</v>
      </c>
      <c r="G33" s="10" t="n">
        <f aca="false">Model!BH100+Model!BI100+Model!BJ100+Model!BK100+Model!BL100+Model!BM100+Model!BN100+Model!BO100+Model!BP100+Model!BQ100+Model!BR100+Model!BS100</f>
        <v>0</v>
      </c>
      <c r="H33" s="10" t="n">
        <f aca="false">Model!BT100+Model!BU100+Model!BV100+Model!BW100+Model!BX100+Model!BY100+Model!BZ100+Model!CA100+Model!CB100+Model!CC100+Model!CD100+Model!CE100</f>
        <v>0</v>
      </c>
      <c r="I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Model!K101</f>
        <v>1404377.58143555</v>
      </c>
      <c r="C34" s="10" t="n">
        <f aca="false">Model!W101</f>
        <v>0</v>
      </c>
      <c r="D34" s="10" t="n">
        <f aca="false">Model!AI101</f>
        <v>0</v>
      </c>
      <c r="E34" s="10" t="n">
        <f aca="false">Model!AU101</f>
        <v>0</v>
      </c>
      <c r="F34" s="10" t="n">
        <f aca="false">Model!BG101</f>
        <v>0</v>
      </c>
      <c r="G34" s="10" t="n">
        <f aca="false">Model!BS101</f>
        <v>0</v>
      </c>
      <c r="H34" s="10" t="n">
        <f aca="false">Model!CE101</f>
        <v>0</v>
      </c>
      <c r="I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Model!C106+Model!D106+Model!E106+Model!F106+Model!G106+Model!H106+Model!I106+Model!J106+Model!K106</f>
        <v>0</v>
      </c>
      <c r="C35" s="10" t="n">
        <f aca="false">Model!L106+Model!M106+Model!N106+Model!O106+Model!P106+Model!Q106+Model!R106+Model!S106+Model!T106+Model!U106+Model!V106+Model!W106</f>
        <v>-250000</v>
      </c>
      <c r="D35" s="10" t="n">
        <f aca="false">Model!X106+Model!Y106+Model!Z106+Model!AA106+Model!AB106+Model!AC106+Model!AD106+Model!AE106+Model!AF106+Model!AG106+Model!AH106+Model!AI106</f>
        <v>-250000</v>
      </c>
      <c r="E35" s="10" t="n">
        <f aca="false">Model!AJ106+Model!AK106+Model!AL106+Model!AM106+Model!AN106+Model!AO106+Model!AP106+Model!AQ106+Model!AR106+Model!AS106+Model!AT106+Model!AU106</f>
        <v>-250000</v>
      </c>
      <c r="F35" s="10" t="n">
        <f aca="false">Model!AV106+Model!AW106+Model!AX106+Model!AY106+Model!AZ106+Model!BA106+Model!BB106+Model!BC106+Model!BD106+Model!BE106+Model!BF106+Model!BG106</f>
        <v>0</v>
      </c>
      <c r="G35" s="10" t="n">
        <f aca="false">Model!BH106+Model!BI106+Model!BJ106+Model!BK106+Model!BL106+Model!BM106+Model!BN106+Model!BO106+Model!BP106+Model!BQ106+Model!BR106+Model!BS106</f>
        <v>0</v>
      </c>
      <c r="H35" s="10" t="n">
        <f aca="false">Model!BT106+Model!BU106+Model!BV106+Model!BW106+Model!BX106+Model!BY106+Model!BZ106+Model!CA106+Model!CB106+Model!CC106+Model!CD106+Model!CE106</f>
        <v>0</v>
      </c>
      <c r="I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Model!K107</f>
        <v>1000000</v>
      </c>
      <c r="C36" s="10" t="n">
        <f aca="false">Model!W107</f>
        <v>750000</v>
      </c>
      <c r="D36" s="10" t="n">
        <f aca="false">Model!AI107</f>
        <v>500000</v>
      </c>
      <c r="E36" s="10" t="n">
        <f aca="false">Model!AU107</f>
        <v>250000</v>
      </c>
      <c r="F36" s="10" t="n">
        <f aca="false">Model!BG107</f>
        <v>250000</v>
      </c>
      <c r="G36" s="10" t="n">
        <f aca="false">Model!BS107</f>
        <v>250000</v>
      </c>
      <c r="H36" s="10" t="n">
        <f aca="false">Model!CE107</f>
        <v>250000</v>
      </c>
      <c r="I36" s="10" t="n">
        <f aca="false">Model!CH107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Model!C154+Model!D154+Model!E154+Model!F154+Model!G154+Model!H154+Model!I154+Model!J154+Model!K154</f>
        <v>0</v>
      </c>
      <c r="C37" s="10" t="n">
        <f aca="false">Model!L154+Model!M154+Model!N154+Model!O154+Model!P154+Model!Q154+Model!R154+Model!S154+Model!T154+Model!U154+Model!V154+Model!W154</f>
        <v>0</v>
      </c>
      <c r="D37" s="10" t="n">
        <f aca="false">Model!X154+Model!Y154+Model!Z154+Model!AA154+Model!AB154+Model!AC154+Model!AD154+Model!AE154+Model!AF154+Model!AG154+Model!AH154+Model!AI154</f>
        <v>0</v>
      </c>
      <c r="E37" s="10" t="n">
        <f aca="false">Model!AJ154+Model!AK154+Model!AL154+Model!AM154+Model!AN154+Model!AO154+Model!AP154+Model!AQ154+Model!AR154+Model!AS154+Model!AT154+Model!AU154</f>
        <v>0</v>
      </c>
      <c r="F37" s="10" t="n">
        <f aca="false">Model!AV154+Model!AW154+Model!AX154+Model!AY154+Model!AZ154+Model!BA154+Model!BB154+Model!BC154+Model!BD154+Model!BE154+Model!BF154+Model!BG154</f>
        <v>0</v>
      </c>
      <c r="G37" s="10" t="n">
        <f aca="false">Model!BH154+Model!BI154+Model!BJ154+Model!BK154+Model!BL154+Model!BM154+Model!BN154+Model!BO154+Model!BP154+Model!BQ154+Model!BR154+Model!BS154</f>
        <v>0</v>
      </c>
      <c r="H37" s="10" t="n">
        <f aca="false">Model!BT154+Model!BU154+Model!BV154+Model!BW154+Model!BX154+Model!BY154+Model!BZ154+Model!CA154+Model!CB154+Model!CC154+Model!CD154+Model!CE154</f>
        <v>0</v>
      </c>
      <c r="I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Model!K114+Model!K119+Model!K124+Model!K129</f>
        <v>2378399.92018311</v>
      </c>
      <c r="C38" s="10" t="n">
        <f aca="false">Model!W114+Model!W119+Model!W124+Model!W129</f>
        <v>1714451.09866009</v>
      </c>
      <c r="D38" s="10" t="n">
        <f aca="false">Model!AI114+Model!AI119+Model!AI124+Model!AI129</f>
        <v>1035128.51554915</v>
      </c>
      <c r="E38" s="10" t="n">
        <f aca="false">Model!AU114+Model!AU119+Model!AU124+Model!AU129</f>
        <v>1199352.08415979</v>
      </c>
      <c r="F38" s="10" t="n">
        <f aca="false">Model!BG114+Model!BG119+Model!BG124+Model!BG129</f>
        <v>975331.495449082</v>
      </c>
      <c r="G38" s="10" t="n">
        <f aca="false">Model!BS114+Model!BS119+Model!BS124+Model!BS129</f>
        <v>820735.28594806</v>
      </c>
      <c r="H38" s="10" t="n">
        <f aca="false">Model!CE114+Model!CE119+Model!CE124+Model!CE129</f>
        <v>621470.381107174</v>
      </c>
      <c r="I38" s="10" t="n">
        <f aca="false">Model!CH114+Model!CH119+Model!CH124+Model!CH129</f>
        <v>570021.547005172</v>
      </c>
    </row>
    <row r="39" customFormat="false" ht="15" hidden="false" customHeight="true" outlineLevel="0" collapsed="false">
      <c r="A39" s="3"/>
      <c r="B39" s="13"/>
      <c r="C39" s="13"/>
      <c r="D39" s="13"/>
      <c r="E39" s="13"/>
      <c r="F39" s="13"/>
      <c r="G39" s="13"/>
      <c r="H39" s="13"/>
      <c r="I39" s="3"/>
    </row>
    <row r="40" customFormat="false" ht="15" hidden="false" customHeight="true" outlineLevel="0" collapsed="false">
      <c r="A40" s="9" t="s">
        <v>40</v>
      </c>
      <c r="B40" s="10" t="n">
        <f aca="false">Model!K140</f>
        <v>89880219.2871105</v>
      </c>
      <c r="C40" s="10" t="n">
        <f aca="false">Model!W140</f>
        <v>56473335.557832</v>
      </c>
      <c r="D40" s="10" t="n">
        <f aca="false">Model!AI140</f>
        <v>46152166.879778</v>
      </c>
      <c r="E40" s="10" t="n">
        <f aca="false">Model!AU140</f>
        <v>13258584.501624</v>
      </c>
      <c r="F40" s="10" t="n">
        <f aca="false">Model!BG140</f>
        <v>0</v>
      </c>
      <c r="G40" s="10" t="n">
        <f aca="false">Model!BS140</f>
        <v>0</v>
      </c>
      <c r="H40" s="10" t="n">
        <f aca="false">Model!CE140</f>
        <v>0</v>
      </c>
      <c r="I40" s="10" t="n">
        <f aca="false">Model!CH140</f>
        <v>0</v>
      </c>
    </row>
    <row r="41" customFormat="false" ht="15" hidden="false" customHeight="true" outlineLevel="0" collapsed="false">
      <c r="A41" s="3"/>
      <c r="B41" s="13"/>
      <c r="C41" s="13"/>
      <c r="D41" s="13"/>
      <c r="E41" s="13"/>
      <c r="F41" s="13"/>
      <c r="G41" s="13"/>
      <c r="H41" s="13"/>
      <c r="I41" s="3"/>
    </row>
    <row r="42" customFormat="false" ht="15" hidden="false" customHeight="true" outlineLevel="0" collapsed="false">
      <c r="A42" s="20" t="s">
        <v>41</v>
      </c>
      <c r="B42" s="21" t="n">
        <f aca="false">Model!K147</f>
        <v>3927995.26604322</v>
      </c>
      <c r="C42" s="21" t="n">
        <f aca="false">Model!W147</f>
        <v>6765803.97151355</v>
      </c>
      <c r="D42" s="21" t="n">
        <f aca="false">Model!AI147</f>
        <v>7999187.48620733</v>
      </c>
      <c r="E42" s="21" t="n">
        <f aca="false">Model!AU147</f>
        <v>6295008.18199426</v>
      </c>
      <c r="F42" s="21" t="n">
        <f aca="false">Model!BG147</f>
        <v>2604798.19222724</v>
      </c>
      <c r="G42" s="21" t="n">
        <f aca="false">Model!BS147</f>
        <v>-2916787.85733512</v>
      </c>
      <c r="H42" s="21" t="n">
        <f aca="false">Model!CE147</f>
        <v>-8548805.62788873</v>
      </c>
      <c r="I42" s="21" t="n">
        <f aca="false">Model!CH147</f>
        <v>-9963746.05300318</v>
      </c>
    </row>
    <row r="43" customFormat="false" ht="15" hidden="false" customHeight="true" outlineLevel="0" collapsed="false">
      <c r="A43" s="20" t="s">
        <v>42</v>
      </c>
      <c r="B43" s="21" t="n">
        <f aca="false">Model!K155</f>
        <v>-688002.19</v>
      </c>
      <c r="C43" s="21" t="n">
        <f aca="false">Model!W155</f>
        <v>-3201738.49588545</v>
      </c>
      <c r="D43" s="21" t="n">
        <f aca="false">Model!AI155</f>
        <v>-2766367.12378544</v>
      </c>
      <c r="E43" s="21" t="n">
        <f aca="false">Model!AU155</f>
        <v>-3375129.51803544</v>
      </c>
      <c r="F43" s="21" t="n">
        <f aca="false">Model!BG155</f>
        <v>-4442227.01309845</v>
      </c>
      <c r="G43" s="21" t="n">
        <f aca="false">Model!BS155</f>
        <v>-5672267.25703871</v>
      </c>
      <c r="H43" s="21" t="n">
        <f aca="false">Model!CE155</f>
        <v>-7041165.55091377</v>
      </c>
      <c r="I43" s="21" t="n">
        <f aca="false">Model!CH155</f>
        <v>-7362005.94558217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Model!C159+Model!D159+Model!E159+Model!F159+Model!G159+Model!H159+Model!I159+Model!J159+Model!K159</f>
        <v>0</v>
      </c>
      <c r="C44" s="21" t="n">
        <f aca="false">Model!L159+Model!M159+Model!N159+Model!O159+Model!P159+Model!Q159+Model!R159+Model!S159+Model!T159+Model!U159+Model!V159+Model!W159</f>
        <v>-457933.867812966</v>
      </c>
      <c r="D44" s="21" t="n">
        <f aca="false">Model!X159+Model!Y159+Model!Z159+Model!AA159+Model!AB159+Model!AC159+Model!AD159+Model!AE159+Model!AF159+Model!AG159+Model!AH159+Model!AI159</f>
        <v>-621012.4928611</v>
      </c>
      <c r="E44" s="21" t="n">
        <f aca="false">Model!AJ159+Model!AK159+Model!AL159+Model!AM159+Model!AN159+Model!AO159+Model!AP159+Model!AQ159+Model!AR159+Model!AS159+Model!AT159+Model!AU159</f>
        <v>-575626.466038133</v>
      </c>
      <c r="F44" s="21" t="n">
        <f aca="false">Model!AV159+Model!AW159+Model!AX159+Model!AY159+Model!AZ159+Model!BA159+Model!BB159+Model!BC159+Model!BD159+Model!BE159+Model!BF159+Model!BG159</f>
        <v>0</v>
      </c>
      <c r="G44" s="21" t="n">
        <f aca="false">Model!BH159+Model!BI159+Model!BJ159+Model!BK159+Model!BL159+Model!BM159+Model!BN159+Model!BO159+Model!BP159+Model!BQ159+Model!BR159+Model!BS159</f>
        <v>0</v>
      </c>
      <c r="H44" s="21" t="n">
        <f aca="false">Model!BT159+Model!BU159+Model!BV159+Model!BW159+Model!BX159+Model!BY159+Model!BZ159+Model!CA159+Model!CB159+Model!CC159+Model!CD159+Model!CE159</f>
        <v>0</v>
      </c>
      <c r="I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Model!K160</f>
        <v>3239993.07604322</v>
      </c>
      <c r="C45" s="23" t="n">
        <f aca="false">Model!W160</f>
        <v>3564065.47562811</v>
      </c>
      <c r="D45" s="23" t="n">
        <f aca="false">Model!AI160</f>
        <v>5232820.36242188</v>
      </c>
      <c r="E45" s="23" t="n">
        <f aca="false">Model!AU160</f>
        <v>2919878.66395882</v>
      </c>
      <c r="F45" s="23" t="n">
        <f aca="false">Model!BG160</f>
        <v>-1837428.8208712</v>
      </c>
      <c r="G45" s="23" t="n">
        <f aca="false">Model!BS160</f>
        <v>-8589055.11437383</v>
      </c>
      <c r="H45" s="23" t="n">
        <f aca="false">Model!CE160</f>
        <v>-15589971.1788025</v>
      </c>
      <c r="I45" s="23" t="n">
        <f aca="false">Model!CH160</f>
        <v>-17325751.9985854</v>
      </c>
    </row>
  </sheetData>
  <mergeCells count="1">
    <mergeCell ref="A1:E1"/>
  </mergeCells>
  <conditionalFormatting sqref="B8:H44">
    <cfRule type="cellIs" priority="2" operator="lessThan" aboveAverage="0" equalAverage="0" bottom="0" percent="0" rank="0" text="" dxfId="0">
      <formula>0</formula>
    </cfRule>
  </conditionalFormatting>
  <conditionalFormatting sqref="B8:I44">
    <cfRule type="cellIs" priority="3" operator="lessThan" aboveAverage="0" equalAverage="0" bottom="0" percent="0" rank="0" text="" dxfId="0">
      <formula>0</formula>
    </cfRule>
    <cfRule type="cellIs" priority="4" operator="lessThan" aboveAverage="0" equalAverage="0" bottom="0" percent="0" rank="0" text="" dxfId="0">
      <formula>0</formula>
    </cfRule>
    <cfRule type="cellIs" priority="5" operator="lessThan" aboveAverage="0" equalAverage="0" bottom="0" percent="0" rank="0" text="" dxfId="0">
      <formula>0</formula>
    </cfRule>
    <cfRule type="cellIs" priority="6" operator="lessThan" aboveAverage="0" equalAverage="0" bottom="0" percent="0" rank="0" text="" dxfId="0">
      <formula>0</formula>
    </cfRule>
    <cfRule type="cellIs" priority="7" operator="lessThan" aboveAverage="0" equalAverage="0" bottom="0" percent="0" rank="0" text="" dxfId="0">
      <formula>0</formula>
    </cfRule>
    <cfRule type="cellIs" priority="8" operator="lessThan" aboveAverage="0" equalAverage="0" bottom="0" percent="0" rank="0" text="" dxfId="0">
      <formula>0</formula>
    </cfRule>
  </conditionalFormatting>
  <conditionalFormatting sqref="B3:J45">
    <cfRule type="cellIs" priority="9" operator="lessThan" aboveAverage="0" equalAverage="0" bottom="0" percent="0" rank="0" text="" dxfId="0">
      <formula>0</formula>
    </cfRule>
    <cfRule type="cellIs" priority="10" operator="lessThan" aboveAverage="0" equalAverage="0" bottom="0" percent="0" rank="0" text="" dxfId="0">
      <formula>0</formula>
    </cfRule>
    <cfRule type="cellIs" priority="11" operator="lessThan" aboveAverage="0" equalAverage="0" bottom="0" percent="0" rank="0" text="" dxfId="0">
      <formula>0</formula>
    </cfRule>
    <cfRule type="cellIs" priority="12" operator="lessThan" aboveAverage="0" equalAverage="0" bottom="0" percent="0" rank="0" text="" dxfId="0">
      <formula>0</formula>
    </cfRule>
    <cfRule type="cellIs" priority="1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CK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118" activePane="bottomRight" state="frozen"/>
      <selection pane="topLeft" activeCell="A1" activeCellId="0" sqref="A1"/>
      <selection pane="topRight" activeCell="C1" activeCellId="0" sqref="C1"/>
      <selection pane="bottomLeft" activeCell="A118" activeCellId="0" sqref="A118"/>
      <selection pane="bottomRight" activeCell="F135" activeCellId="0" sqref="F13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5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  <c r="CI2" s="25"/>
    </row>
    <row r="3" customFormat="false" ht="15" hidden="true" customHeight="true" outlineLevel="0" collapsed="false">
      <c r="A3" s="18" t="s">
        <v>46</v>
      </c>
      <c r="B3" s="24"/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7" t="n">
        <v>28</v>
      </c>
      <c r="AE3" s="27" t="n">
        <v>29</v>
      </c>
      <c r="AF3" s="27" t="n">
        <v>30</v>
      </c>
      <c r="AG3" s="27" t="n">
        <v>31</v>
      </c>
      <c r="AH3" s="27" t="n">
        <v>32</v>
      </c>
      <c r="AI3" s="27" t="n">
        <v>33</v>
      </c>
      <c r="AJ3" s="27" t="n">
        <v>34</v>
      </c>
      <c r="AK3" s="27" t="n">
        <v>35</v>
      </c>
      <c r="AL3" s="27" t="n">
        <v>36</v>
      </c>
      <c r="AM3" s="27" t="n">
        <v>37</v>
      </c>
      <c r="AN3" s="27" t="n">
        <v>38</v>
      </c>
      <c r="AO3" s="27" t="n">
        <v>39</v>
      </c>
      <c r="AP3" s="27" t="n">
        <v>40</v>
      </c>
      <c r="AQ3" s="27" t="n">
        <v>41</v>
      </c>
      <c r="AR3" s="27" t="n">
        <v>42</v>
      </c>
      <c r="AS3" s="27" t="n">
        <v>43</v>
      </c>
      <c r="AT3" s="27" t="n">
        <v>44</v>
      </c>
      <c r="AU3" s="27" t="n">
        <v>45</v>
      </c>
      <c r="AV3" s="27" t="n">
        <v>46</v>
      </c>
      <c r="AW3" s="27" t="n">
        <v>47</v>
      </c>
      <c r="AX3" s="27" t="n">
        <v>48</v>
      </c>
      <c r="AY3" s="27" t="n">
        <v>49</v>
      </c>
      <c r="AZ3" s="27" t="n">
        <v>50</v>
      </c>
      <c r="BA3" s="27" t="n">
        <v>51</v>
      </c>
      <c r="BB3" s="27" t="n">
        <v>52</v>
      </c>
      <c r="BC3" s="27" t="n">
        <v>53</v>
      </c>
      <c r="BD3" s="27" t="n">
        <v>54</v>
      </c>
      <c r="BE3" s="27" t="n">
        <v>55</v>
      </c>
      <c r="BF3" s="27" t="n">
        <v>56</v>
      </c>
      <c r="BG3" s="27" t="n">
        <v>57</v>
      </c>
      <c r="BH3" s="27" t="n">
        <v>58</v>
      </c>
      <c r="BI3" s="27" t="n">
        <v>59</v>
      </c>
      <c r="BJ3" s="27" t="n">
        <v>60</v>
      </c>
      <c r="BK3" s="27" t="n">
        <v>61</v>
      </c>
      <c r="BL3" s="27" t="n">
        <v>62</v>
      </c>
      <c r="BM3" s="27" t="n">
        <v>63</v>
      </c>
      <c r="BN3" s="27" t="n">
        <v>64</v>
      </c>
      <c r="BO3" s="27" t="n">
        <v>65</v>
      </c>
      <c r="BP3" s="27" t="n">
        <v>66</v>
      </c>
      <c r="BQ3" s="27" t="n">
        <v>67</v>
      </c>
      <c r="BR3" s="27" t="n">
        <v>68</v>
      </c>
      <c r="BS3" s="27" t="n">
        <v>69</v>
      </c>
      <c r="BT3" s="27" t="n">
        <v>70</v>
      </c>
      <c r="BU3" s="27" t="n">
        <v>71</v>
      </c>
      <c r="BV3" s="27" t="n">
        <v>72</v>
      </c>
      <c r="BW3" s="27" t="n">
        <v>73</v>
      </c>
      <c r="BX3" s="27" t="n">
        <v>74</v>
      </c>
      <c r="BY3" s="27" t="n">
        <v>75</v>
      </c>
      <c r="BZ3" s="27" t="n">
        <v>76</v>
      </c>
      <c r="CA3" s="27" t="n">
        <v>77</v>
      </c>
      <c r="CB3" s="27" t="n">
        <v>78</v>
      </c>
      <c r="CC3" s="27" t="n">
        <v>79</v>
      </c>
      <c r="CD3" s="27" t="n">
        <v>80</v>
      </c>
      <c r="CE3" s="27" t="n">
        <v>81</v>
      </c>
      <c r="CF3" s="27" t="n">
        <v>82</v>
      </c>
      <c r="CG3" s="27" t="n">
        <v>83</v>
      </c>
      <c r="CH3" s="27" t="n">
        <v>84</v>
      </c>
      <c r="CI3" s="25"/>
    </row>
    <row r="4" customFormat="false" ht="1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5"/>
    </row>
    <row r="5" customFormat="false" ht="39.75" hidden="false" customHeight="true" outlineLevel="0" collapsed="false">
      <c r="A5" s="28" t="s">
        <v>47</v>
      </c>
      <c r="B5" s="28"/>
      <c r="C5" s="29" t="s">
        <v>48</v>
      </c>
      <c r="D5" s="28"/>
      <c r="E5" s="28"/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8"/>
      <c r="L5" s="28"/>
      <c r="M5" s="28"/>
      <c r="N5" s="28"/>
      <c r="O5" s="29" t="s">
        <v>54</v>
      </c>
      <c r="P5" s="28"/>
      <c r="Q5" s="28"/>
      <c r="R5" s="29" t="s">
        <v>55</v>
      </c>
      <c r="S5" s="28"/>
      <c r="T5" s="28"/>
      <c r="U5" s="29" t="s">
        <v>56</v>
      </c>
      <c r="V5" s="28"/>
      <c r="W5" s="28"/>
      <c r="X5" s="28"/>
      <c r="Y5" s="28"/>
      <c r="Z5" s="28"/>
      <c r="AA5" s="28"/>
      <c r="AB5" s="28"/>
      <c r="AC5" s="29" t="s">
        <v>57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5"/>
    </row>
    <row r="6" customFormat="false" ht="15" hidden="false" customHeight="true" outlineLevel="0" collapsed="false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25"/>
    </row>
    <row r="7" customFormat="false" ht="15" hidden="false" customHeight="true" outlineLevel="0" collapsed="false">
      <c r="A7" s="9" t="s">
        <v>9</v>
      </c>
      <c r="B7" s="24"/>
      <c r="C7" s="10" t="n">
        <f aca="false"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4059879.79629523</v>
      </c>
      <c r="D7" s="10" t="n">
        <f aca="false"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4269889.00052983</v>
      </c>
      <c r="E7" s="10" t="n">
        <f aca="false"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4427240.77586823</v>
      </c>
      <c r="F7" s="10" t="n">
        <f aca="false"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5401705.68740006</v>
      </c>
      <c r="G7" s="10" t="n">
        <f aca="false"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5588599.45019762</v>
      </c>
      <c r="H7" s="10" t="n">
        <f aca="false"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5710673.97288332</v>
      </c>
      <c r="I7" s="10" t="n">
        <f aca="false"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6380432.8722675</v>
      </c>
      <c r="J7" s="10" t="n">
        <f aca="false"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7051517.79007647</v>
      </c>
      <c r="K7" s="10" t="n">
        <f aca="false"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6909835.47156294</v>
      </c>
      <c r="L7" s="10" t="n">
        <f aca="false"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7106252.13265953</v>
      </c>
      <c r="M7" s="10" t="n">
        <f aca="false"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7246741.44652729</v>
      </c>
      <c r="N7" s="10" t="n">
        <f aca="false"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7327821.52794079</v>
      </c>
      <c r="O7" s="10" t="n">
        <f aca="false"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8074323.19199373</v>
      </c>
      <c r="P7" s="10" t="n">
        <f aca="false"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8133889.63282423</v>
      </c>
      <c r="Q7" s="10" t="n">
        <f aca="false"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8129424.46262029</v>
      </c>
      <c r="R7" s="10" t="n">
        <f aca="false"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7440990.09189598</v>
      </c>
      <c r="S7" s="10" t="n">
        <f aca="false"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6970637.250135</v>
      </c>
      <c r="T7" s="10" t="n">
        <f aca="false"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6966936.153194</v>
      </c>
      <c r="U7" s="10" t="n">
        <f aca="false"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6867110.592646</v>
      </c>
      <c r="V7" s="10" t="n">
        <f aca="false"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6596426.23756</v>
      </c>
      <c r="W7" s="10" t="n">
        <f aca="false"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6358183.90509</v>
      </c>
      <c r="X7" s="10" t="n">
        <f aca="false"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6061199.868168</v>
      </c>
      <c r="Y7" s="10" t="n">
        <f aca="false"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5722621.239149</v>
      </c>
      <c r="Z7" s="10" t="n">
        <f aca="false"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5359200.390411</v>
      </c>
      <c r="AA7" s="10" t="n">
        <f aca="false"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4985653.130184</v>
      </c>
      <c r="AB7" s="10" t="n">
        <f aca="false"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4328879.65184</v>
      </c>
      <c r="AC7" s="10" t="n">
        <f aca="false"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4254502.335464</v>
      </c>
      <c r="AD7" s="10" t="n">
        <f aca="false"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3437241.436803</v>
      </c>
      <c r="AE7" s="10" t="n">
        <f aca="false"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3482913.00201</v>
      </c>
      <c r="AF7" s="10" t="n">
        <f aca="false"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3510945.612952</v>
      </c>
      <c r="AG7" s="10" t="n">
        <f aca="false"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3521789.471479</v>
      </c>
      <c r="AH7" s="10" t="n">
        <f aca="false"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3516138.209771</v>
      </c>
      <c r="AI7" s="10" t="n">
        <f aca="false"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3494716.329823</v>
      </c>
      <c r="AJ7" s="10" t="n">
        <f aca="false"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3458324.470215</v>
      </c>
      <c r="AK7" s="10" t="n">
        <f aca="false"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3407772.114442</v>
      </c>
      <c r="AL7" s="10" t="n">
        <f aca="false"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3343852.473827</v>
      </c>
      <c r="AM7" s="10" t="n">
        <f aca="false"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3047668.833278</v>
      </c>
      <c r="AN7" s="10" t="n">
        <f aca="false"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2991602.53439</v>
      </c>
      <c r="AO7" s="10" t="n">
        <f aca="false"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2921081.120626</v>
      </c>
      <c r="AP7" s="10" t="n">
        <f aca="false"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</v>
      </c>
      <c r="AQ7" s="10" t="n">
        <f aca="false"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2739322.4799</v>
      </c>
      <c r="AR7" s="10" t="n">
        <f aca="false"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2629912.69681</v>
      </c>
      <c r="AS7" s="10" t="n">
        <f aca="false"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1882173.366216</v>
      </c>
      <c r="AT7" s="10" t="n">
        <f aca="false"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</v>
      </c>
      <c r="AU7" s="10" t="n">
        <f aca="false"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10" t="n">
        <f aca="false"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1720311.336568</v>
      </c>
      <c r="AW7" s="10" t="n">
        <f aca="false"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</v>
      </c>
      <c r="AX7" s="10" t="n">
        <f aca="false"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1541245.780008</v>
      </c>
      <c r="AY7" s="10" t="n">
        <f aca="false"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10" t="n">
        <f aca="false"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</v>
      </c>
      <c r="BA7" s="10" t="n">
        <f aca="false"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1212641.874136</v>
      </c>
      <c r="BB7" s="10" t="n">
        <f aca="false"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1097345.16012</v>
      </c>
      <c r="BC7" s="10" t="n">
        <f aca="false"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983123.666536</v>
      </c>
      <c r="BD7" s="10" t="n">
        <f aca="false"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</v>
      </c>
      <c r="BE7" s="10" t="n">
        <f aca="false"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</v>
      </c>
      <c r="BF7" s="10" t="n">
        <f aca="false"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</v>
      </c>
      <c r="BG7" s="10" t="n">
        <f aca="false"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10" t="n">
        <f aca="false"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10" t="n">
        <f aca="false"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10" t="n">
        <f aca="false"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10" t="n">
        <f aca="false"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10" t="n">
        <f aca="false"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10" t="n">
        <f aca="false"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10" t="n">
        <f aca="false"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10" t="n">
        <f aca="false"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10" t="n">
        <f aca="false"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10" t="n">
        <f aca="false"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10" t="n">
        <f aca="false"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10" t="n">
        <f aca="false"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10" t="n">
        <f aca="false"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10" t="n">
        <f aca="false"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10" t="n">
        <f aca="false"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10" t="n">
        <f aca="false"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10" t="n">
        <f aca="false"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10" t="n">
        <f aca="false"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10" t="n">
        <f aca="false"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10" t="n">
        <f aca="false"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10" t="n">
        <f aca="false"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10" t="n">
        <f aca="false"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10" t="n">
        <f aca="false"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10" t="n">
        <f aca="false"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10" t="n">
        <f aca="false"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10" t="n">
        <f aca="false"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10" t="n">
        <f aca="false"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5"/>
    </row>
    <row r="8" customFormat="false" ht="15" hidden="false" customHeight="true" outlineLevel="0" collapsed="false">
      <c r="A8" s="9" t="s">
        <v>58</v>
      </c>
      <c r="B8" s="24"/>
      <c r="C8" s="10" t="n">
        <f aca="false">IF(AND(Projects!$G$2="Yes",1&gt;=Projects!$C$2,1&lt;Projects!$C$2+Projects!$D$2),194932/Projects!$D$2,0)+IF(AND(Projects!$G$3="Yes",1&gt;=Projects!$C$3,1&lt;Projects!$C$3+Projects!$D$3),888067/Projects!$D$3,0)+IF(AND(Projects!$G$4="Yes",1&gt;=Projects!$C$4,1&lt;Projects!$C$4+Projects!$D$4),Projects!$B$4*Assumptions!$B$10/Projects!$D$4,0)+IF(AND(Projects!$G$5="Yes",1&gt;=Projects!$C$5,1&lt;Projects!$C$5+Projects!$D$5),Projects!$B$5*Assumptions!$B$10/Projects!$D$5,0)+IF(AND(Projects!$G$6="Yes",1&gt;=Projects!$C$6,1&lt;Projects!$C$6+Projects!$D$6),245000/Projects!$D$6,0)+IF(AND(Projects!$G$7="Yes",1&gt;=Projects!$C$7,1&lt;Projects!$C$7+Projects!$D$7),Projects!$B$7*Assumptions!$B$10/Projects!$D$7,0)+IF(AND(Projects!$G$8="Yes",1&gt;=Projects!$C$8,1&lt;Projects!$C$8+Projects!$D$8),Projects!$B$8*Assumptions!$B$10/Projects!$D$8,0)+IF(AND(Projects!$G$9="Yes",1&gt;=Projects!$C$9,1&lt;Projects!$C$9+Projects!$D$9),Projects!$B$9*Assumptions!$B$10/Projects!$D$9,0)+IF(AND(Projects!$G$10="Yes",1&gt;=Projects!$C$10,1&lt;Projects!$C$10+Projects!$D$10),Projects!$B$10*Assumptions!$B$10/Projects!$D$10,0)+IF(AND(Projects!$G$11="Yes",1&gt;=Projects!$C$11,1&lt;Projects!$C$11+Projects!$D$11),Projects!$B$11*Assumptions!$B$10/Projects!$D$11,0)+IF(AND(Projects!$G$12="Yes",1&gt;=Projects!$C$12,1&lt;Projects!$C$12+Projects!$D$12),Projects!$B$12*Assumptions!$B$10/Projects!$D$12,0)+IF(AND(Projects!$G$13="Yes",1&gt;=Projects!$C$13,1&lt;Projects!$C$13+Projects!$D$13),Projects!$B$13*Assumptions!$B$10/Projects!$D$13,0)+IF(AND(Projects!$G$14="Yes",1&gt;=Projects!$C$14,1&lt;Projects!$C$14+Projects!$D$14),Projects!$B$14*Assumptions!$B$10/Projects!$D$14,0)+IF(AND(Projects!$G$15="Yes",1&gt;=Projects!$C$15,1&lt;Projects!$C$15+Projects!$D$15),Projects!$B$15*Assumptions!$B$10/Projects!$D$15,0)+IF(AND(Projects!$G$16="Yes",1&gt;=Projects!$C$16,1&lt;Projects!$C$16+Projects!$D$16),Projects!$B$16*Assumptions!$B$10/Projects!$D$16,0)</f>
        <v>174472.304212235</v>
      </c>
      <c r="D8" s="10" t="n">
        <f aca="false">IF(AND(Projects!$G$2="Yes",2&gt;=Projects!$C$2,2&lt;Projects!$C$2+Projects!$D$2),194932/Projects!$D$2,0)+IF(AND(Projects!$G$3="Yes",2&gt;=Projects!$C$3,2&lt;Projects!$C$3+Projects!$D$3),888067/Projects!$D$3,0)+IF(AND(Projects!$G$4="Yes",2&gt;=Projects!$C$4,2&lt;Projects!$C$4+Projects!$D$4),Projects!$B$4*Assumptions!$B$10/Projects!$D$4,0)+IF(AND(Projects!$G$5="Yes",2&gt;=Projects!$C$5,2&lt;Projects!$C$5+Projects!$D$5),Projects!$B$5*Assumptions!$B$10/Projects!$D$5,0)+IF(AND(Projects!$G$6="Yes",2&gt;=Projects!$C$6,2&lt;Projects!$C$6+Projects!$D$6),245000/Projects!$D$6,0)+IF(AND(Projects!$G$7="Yes",2&gt;=Projects!$C$7,2&lt;Projects!$C$7+Projects!$D$7),Projects!$B$7*Assumptions!$B$10/Projects!$D$7,0)+IF(AND(Projects!$G$8="Yes",2&gt;=Projects!$C$8,2&lt;Projects!$C$8+Projects!$D$8),Projects!$B$8*Assumptions!$B$10/Projects!$D$8,0)+IF(AND(Projects!$G$9="Yes",2&gt;=Projects!$C$9,2&lt;Projects!$C$9+Projects!$D$9),Projects!$B$9*Assumptions!$B$10/Projects!$D$9,0)+IF(AND(Projects!$G$10="Yes",2&gt;=Projects!$C$10,2&lt;Projects!$C$10+Projects!$D$10),Projects!$B$10*Assumptions!$B$10/Projects!$D$10,0)+IF(AND(Projects!$G$11="Yes",2&gt;=Projects!$C$11,2&lt;Projects!$C$11+Projects!$D$11),Projects!$B$11*Assumptions!$B$10/Projects!$D$11,0)+IF(AND(Projects!$G$12="Yes",2&gt;=Projects!$C$12,2&lt;Projects!$C$12+Projects!$D$12),Projects!$B$12*Assumptions!$B$10/Projects!$D$12,0)+IF(AND(Projects!$G$13="Yes",2&gt;=Projects!$C$13,2&lt;Projects!$C$13+Projects!$D$13),Projects!$B$13*Assumptions!$B$10/Projects!$D$13,0)+IF(AND(Projects!$G$14="Yes",2&gt;=Projects!$C$14,2&lt;Projects!$C$14+Projects!$D$14),Projects!$B$14*Assumptions!$B$10/Projects!$D$14,0)+IF(AND(Projects!$G$15="Yes",2&gt;=Projects!$C$15,2&lt;Projects!$C$15+Projects!$D$15),Projects!$B$15*Assumptions!$B$10/Projects!$D$15,0)+IF(AND(Projects!$G$16="Yes",2&gt;=Projects!$C$16,2&lt;Projects!$C$16+Projects!$D$16),Projects!$B$16*Assumptions!$B$10/Projects!$D$16,0)</f>
        <v>174472.304212235</v>
      </c>
      <c r="E8" s="10" t="n">
        <f aca="false">IF(AND(Projects!$G$2="Yes",3&gt;=Projects!$C$2,3&lt;Projects!$C$2+Projects!$D$2),194932/Projects!$D$2,0)+IF(AND(Projects!$G$3="Yes",3&gt;=Projects!$C$3,3&lt;Projects!$C$3+Projects!$D$3),888067/Projects!$D$3,0)+IF(AND(Projects!$G$4="Yes",3&gt;=Projects!$C$4,3&lt;Projects!$C$4+Projects!$D$4),Projects!$B$4*Assumptions!$B$10/Projects!$D$4,0)+IF(AND(Projects!$G$5="Yes",3&gt;=Projects!$C$5,3&lt;Projects!$C$5+Projects!$D$5),Projects!$B$5*Assumptions!$B$10/Projects!$D$5,0)+IF(AND(Projects!$G$6="Yes",3&gt;=Projects!$C$6,3&lt;Projects!$C$6+Projects!$D$6),245000/Projects!$D$6,0)+IF(AND(Projects!$G$7="Yes",3&gt;=Projects!$C$7,3&lt;Projects!$C$7+Projects!$D$7),Projects!$B$7*Assumptions!$B$10/Projects!$D$7,0)+IF(AND(Projects!$G$8="Yes",3&gt;=Projects!$C$8,3&lt;Projects!$C$8+Projects!$D$8),Projects!$B$8*Assumptions!$B$10/Projects!$D$8,0)+IF(AND(Projects!$G$9="Yes",3&gt;=Projects!$C$9,3&lt;Projects!$C$9+Projects!$D$9),Projects!$B$9*Assumptions!$B$10/Projects!$D$9,0)+IF(AND(Projects!$G$10="Yes",3&gt;=Projects!$C$10,3&lt;Projects!$C$10+Projects!$D$10),Projects!$B$10*Assumptions!$B$10/Projects!$D$10,0)+IF(AND(Projects!$G$11="Yes",3&gt;=Projects!$C$11,3&lt;Projects!$C$11+Projects!$D$11),Projects!$B$11*Assumptions!$B$10/Projects!$D$11,0)+IF(AND(Projects!$G$12="Yes",3&gt;=Projects!$C$12,3&lt;Projects!$C$12+Projects!$D$12),Projects!$B$12*Assumptions!$B$10/Projects!$D$12,0)+IF(AND(Projects!$G$13="Yes",3&gt;=Projects!$C$13,3&lt;Projects!$C$13+Projects!$D$13),Projects!$B$13*Assumptions!$B$10/Projects!$D$13,0)+IF(AND(Projects!$G$14="Yes",3&gt;=Projects!$C$14,3&lt;Projects!$C$14+Projects!$D$14),Projects!$B$14*Assumptions!$B$10/Projects!$D$14,0)+IF(AND(Projects!$G$15="Yes",3&gt;=Projects!$C$15,3&lt;Projects!$C$15+Projects!$D$15),Projects!$B$15*Assumptions!$B$10/Projects!$D$15,0)+IF(AND(Projects!$G$16="Yes",3&gt;=Projects!$C$16,3&lt;Projects!$C$16+Projects!$D$16),Projects!$B$16*Assumptions!$B$10/Projects!$D$16,0)</f>
        <v>174472.304212235</v>
      </c>
      <c r="F8" s="10" t="n">
        <f aca="false">IF(AND(Projects!$G$2="Yes",4&gt;=Projects!$C$2,4&lt;Projects!$C$2+Projects!$D$2),194932/Projects!$D$2,0)+IF(AND(Projects!$G$3="Yes",4&gt;=Projects!$C$3,4&lt;Projects!$C$3+Projects!$D$3),888067/Projects!$D$3,0)+IF(AND(Projects!$G$4="Yes",4&gt;=Projects!$C$4,4&lt;Projects!$C$4+Projects!$D$4),Projects!$B$4*Assumptions!$B$10/Projects!$D$4,0)+IF(AND(Projects!$G$5="Yes",4&gt;=Projects!$C$5,4&lt;Projects!$C$5+Projects!$D$5),Projects!$B$5*Assumptions!$B$10/Projects!$D$5,0)+IF(AND(Projects!$G$6="Yes",4&gt;=Projects!$C$6,4&lt;Projects!$C$6+Projects!$D$6),245000/Projects!$D$6,0)+IF(AND(Projects!$G$7="Yes",4&gt;=Projects!$C$7,4&lt;Projects!$C$7+Projects!$D$7),Projects!$B$7*Assumptions!$B$10/Projects!$D$7,0)+IF(AND(Projects!$G$8="Yes",4&gt;=Projects!$C$8,4&lt;Projects!$C$8+Projects!$D$8),Projects!$B$8*Assumptions!$B$10/Projects!$D$8,0)+IF(AND(Projects!$G$9="Yes",4&gt;=Projects!$C$9,4&lt;Projects!$C$9+Projects!$D$9),Projects!$B$9*Assumptions!$B$10/Projects!$D$9,0)+IF(AND(Projects!$G$10="Yes",4&gt;=Projects!$C$10,4&lt;Projects!$C$10+Projects!$D$10),Projects!$B$10*Assumptions!$B$10/Projects!$D$10,0)+IF(AND(Projects!$G$11="Yes",4&gt;=Projects!$C$11,4&lt;Projects!$C$11+Projects!$D$11),Projects!$B$11*Assumptions!$B$10/Projects!$D$11,0)+IF(AND(Projects!$G$12="Yes",4&gt;=Projects!$C$12,4&lt;Projects!$C$12+Projects!$D$12),Projects!$B$12*Assumptions!$B$10/Projects!$D$12,0)+IF(AND(Projects!$G$13="Yes",4&gt;=Projects!$C$13,4&lt;Projects!$C$13+Projects!$D$13),Projects!$B$13*Assumptions!$B$10/Projects!$D$13,0)+IF(AND(Projects!$G$14="Yes",4&gt;=Projects!$C$14,4&lt;Projects!$C$14+Projects!$D$14),Projects!$B$14*Assumptions!$B$10/Projects!$D$14,0)+IF(AND(Projects!$G$15="Yes",4&gt;=Projects!$C$15,4&lt;Projects!$C$15+Projects!$D$15),Projects!$B$15*Assumptions!$B$10/Projects!$D$15,0)+IF(AND(Projects!$G$16="Yes",4&gt;=Projects!$C$16,4&lt;Projects!$C$16+Projects!$D$16),Projects!$B$16*Assumptions!$B$10/Projects!$D$16,0)</f>
        <v>244226.278238209</v>
      </c>
      <c r="G8" s="10" t="n">
        <f aca="false">IF(AND(Projects!$G$2="Yes",5&gt;=Projects!$C$2,5&lt;Projects!$C$2+Projects!$D$2),194932/Projects!$D$2,0)+IF(AND(Projects!$G$3="Yes",5&gt;=Projects!$C$3,5&lt;Projects!$C$3+Projects!$D$3),888067/Projects!$D$3,0)+IF(AND(Projects!$G$4="Yes",5&gt;=Projects!$C$4,5&lt;Projects!$C$4+Projects!$D$4),Projects!$B$4*Assumptions!$B$10/Projects!$D$4,0)+IF(AND(Projects!$G$5="Yes",5&gt;=Projects!$C$5,5&lt;Projects!$C$5+Projects!$D$5),Projects!$B$5*Assumptions!$B$10/Projects!$D$5,0)+IF(AND(Projects!$G$6="Yes",5&gt;=Projects!$C$6,5&lt;Projects!$C$6+Projects!$D$6),245000/Projects!$D$6,0)+IF(AND(Projects!$G$7="Yes",5&gt;=Projects!$C$7,5&lt;Projects!$C$7+Projects!$D$7),Projects!$B$7*Assumptions!$B$10/Projects!$D$7,0)+IF(AND(Projects!$G$8="Yes",5&gt;=Projects!$C$8,5&lt;Projects!$C$8+Projects!$D$8),Projects!$B$8*Assumptions!$B$10/Projects!$D$8,0)+IF(AND(Projects!$G$9="Yes",5&gt;=Projects!$C$9,5&lt;Projects!$C$9+Projects!$D$9),Projects!$B$9*Assumptions!$B$10/Projects!$D$9,0)+IF(AND(Projects!$G$10="Yes",5&gt;=Projects!$C$10,5&lt;Projects!$C$10+Projects!$D$10),Projects!$B$10*Assumptions!$B$10/Projects!$D$10,0)+IF(AND(Projects!$G$11="Yes",5&gt;=Projects!$C$11,5&lt;Projects!$C$11+Projects!$D$11),Projects!$B$11*Assumptions!$B$10/Projects!$D$11,0)+IF(AND(Projects!$G$12="Yes",5&gt;=Projects!$C$12,5&lt;Projects!$C$12+Projects!$D$12),Projects!$B$12*Assumptions!$B$10/Projects!$D$12,0)+IF(AND(Projects!$G$13="Yes",5&gt;=Projects!$C$13,5&lt;Projects!$C$13+Projects!$D$13),Projects!$B$13*Assumptions!$B$10/Projects!$D$13,0)+IF(AND(Projects!$G$14="Yes",5&gt;=Projects!$C$14,5&lt;Projects!$C$14+Projects!$D$14),Projects!$B$14*Assumptions!$B$10/Projects!$D$14,0)+IF(AND(Projects!$G$15="Yes",5&gt;=Projects!$C$15,5&lt;Projects!$C$15+Projects!$D$15),Projects!$B$15*Assumptions!$B$10/Projects!$D$15,0)+IF(AND(Projects!$G$16="Yes",5&gt;=Projects!$C$16,5&lt;Projects!$C$16+Projects!$D$16),Projects!$B$16*Assumptions!$B$10/Projects!$D$16,0)</f>
        <v>244226.278238209</v>
      </c>
      <c r="H8" s="10" t="n">
        <f aca="false">IF(AND(Projects!$G$2="Yes",6&gt;=Projects!$C$2,6&lt;Projects!$C$2+Projects!$D$2),194932/Projects!$D$2,0)+IF(AND(Projects!$G$3="Yes",6&gt;=Projects!$C$3,6&lt;Projects!$C$3+Projects!$D$3),888067/Projects!$D$3,0)+IF(AND(Projects!$G$4="Yes",6&gt;=Projects!$C$4,6&lt;Projects!$C$4+Projects!$D$4),Projects!$B$4*Assumptions!$B$10/Projects!$D$4,0)+IF(AND(Projects!$G$5="Yes",6&gt;=Projects!$C$5,6&lt;Projects!$C$5+Projects!$D$5),Projects!$B$5*Assumptions!$B$10/Projects!$D$5,0)+IF(AND(Projects!$G$6="Yes",6&gt;=Projects!$C$6,6&lt;Projects!$C$6+Projects!$D$6),245000/Projects!$D$6,0)+IF(AND(Projects!$G$7="Yes",6&gt;=Projects!$C$7,6&lt;Projects!$C$7+Projects!$D$7),Projects!$B$7*Assumptions!$B$10/Projects!$D$7,0)+IF(AND(Projects!$G$8="Yes",6&gt;=Projects!$C$8,6&lt;Projects!$C$8+Projects!$D$8),Projects!$B$8*Assumptions!$B$10/Projects!$D$8,0)+IF(AND(Projects!$G$9="Yes",6&gt;=Projects!$C$9,6&lt;Projects!$C$9+Projects!$D$9),Projects!$B$9*Assumptions!$B$10/Projects!$D$9,0)+IF(AND(Projects!$G$10="Yes",6&gt;=Projects!$C$10,6&lt;Projects!$C$10+Projects!$D$10),Projects!$B$10*Assumptions!$B$10/Projects!$D$10,0)+IF(AND(Projects!$G$11="Yes",6&gt;=Projects!$C$11,6&lt;Projects!$C$11+Projects!$D$11),Projects!$B$11*Assumptions!$B$10/Projects!$D$11,0)+IF(AND(Projects!$G$12="Yes",6&gt;=Projects!$C$12,6&lt;Projects!$C$12+Projects!$D$12),Projects!$B$12*Assumptions!$B$10/Projects!$D$12,0)+IF(AND(Projects!$G$13="Yes",6&gt;=Projects!$C$13,6&lt;Projects!$C$13+Projects!$D$13),Projects!$B$13*Assumptions!$B$10/Projects!$D$13,0)+IF(AND(Projects!$G$14="Yes",6&gt;=Projects!$C$14,6&lt;Projects!$C$14+Projects!$D$14),Projects!$B$14*Assumptions!$B$10/Projects!$D$14,0)+IF(AND(Projects!$G$15="Yes",6&gt;=Projects!$C$15,6&lt;Projects!$C$15+Projects!$D$15),Projects!$B$15*Assumptions!$B$10/Projects!$D$15,0)+IF(AND(Projects!$G$16="Yes",6&gt;=Projects!$C$16,6&lt;Projects!$C$16+Projects!$D$16),Projects!$B$16*Assumptions!$B$10/Projects!$D$16,0)</f>
        <v>244226.278238209</v>
      </c>
      <c r="I8" s="10" t="n">
        <f aca="false">IF(AND(Projects!$G$2="Yes",7&gt;=Projects!$C$2,7&lt;Projects!$C$2+Projects!$D$2),194932/Projects!$D$2,0)+IF(AND(Projects!$G$3="Yes",7&gt;=Projects!$C$3,7&lt;Projects!$C$3+Projects!$D$3),888067/Projects!$D$3,0)+IF(AND(Projects!$G$4="Yes",7&gt;=Projects!$C$4,7&lt;Projects!$C$4+Projects!$D$4),Projects!$B$4*Assumptions!$B$10/Projects!$D$4,0)+IF(AND(Projects!$G$5="Yes",7&gt;=Projects!$C$5,7&lt;Projects!$C$5+Projects!$D$5),Projects!$B$5*Assumptions!$B$10/Projects!$D$5,0)+IF(AND(Projects!$G$6="Yes",7&gt;=Projects!$C$6,7&lt;Projects!$C$6+Projects!$D$6),245000/Projects!$D$6,0)+IF(AND(Projects!$G$7="Yes",7&gt;=Projects!$C$7,7&lt;Projects!$C$7+Projects!$D$7),Projects!$B$7*Assumptions!$B$10/Projects!$D$7,0)+IF(AND(Projects!$G$8="Yes",7&gt;=Projects!$C$8,7&lt;Projects!$C$8+Projects!$D$8),Projects!$B$8*Assumptions!$B$10/Projects!$D$8,0)+IF(AND(Projects!$G$9="Yes",7&gt;=Projects!$C$9,7&lt;Projects!$C$9+Projects!$D$9),Projects!$B$9*Assumptions!$B$10/Projects!$D$9,0)+IF(AND(Projects!$G$10="Yes",7&gt;=Projects!$C$10,7&lt;Projects!$C$10+Projects!$D$10),Projects!$B$10*Assumptions!$B$10/Projects!$D$10,0)+IF(AND(Projects!$G$11="Yes",7&gt;=Projects!$C$11,7&lt;Projects!$C$11+Projects!$D$11),Projects!$B$11*Assumptions!$B$10/Projects!$D$11,0)+IF(AND(Projects!$G$12="Yes",7&gt;=Projects!$C$12,7&lt;Projects!$C$12+Projects!$D$12),Projects!$B$12*Assumptions!$B$10/Projects!$D$12,0)+IF(AND(Projects!$G$13="Yes",7&gt;=Projects!$C$13,7&lt;Projects!$C$13+Projects!$D$13),Projects!$B$13*Assumptions!$B$10/Projects!$D$13,0)+IF(AND(Projects!$G$14="Yes",7&gt;=Projects!$C$14,7&lt;Projects!$C$14+Projects!$D$14),Projects!$B$14*Assumptions!$B$10/Projects!$D$14,0)+IF(AND(Projects!$G$15="Yes",7&gt;=Projects!$C$15,7&lt;Projects!$C$15+Projects!$D$15),Projects!$B$15*Assumptions!$B$10/Projects!$D$15,0)+IF(AND(Projects!$G$16="Yes",7&gt;=Projects!$C$16,7&lt;Projects!$C$16+Projects!$D$16),Projects!$B$16*Assumptions!$B$10/Projects!$D$16,0)</f>
        <v>304874.427332536</v>
      </c>
      <c r="J8" s="10" t="n">
        <f aca="false">IF(AND(Projects!$G$2="Yes",8&gt;=Projects!$C$2,8&lt;Projects!$C$2+Projects!$D$2),194932/Projects!$D$2,0)+IF(AND(Projects!$G$3="Yes",8&gt;=Projects!$C$3,8&lt;Projects!$C$3+Projects!$D$3),888067/Projects!$D$3,0)+IF(AND(Projects!$G$4="Yes",8&gt;=Projects!$C$4,8&lt;Projects!$C$4+Projects!$D$4),Projects!$B$4*Assumptions!$B$10/Projects!$D$4,0)+IF(AND(Projects!$G$5="Yes",8&gt;=Projects!$C$5,8&lt;Projects!$C$5+Projects!$D$5),Projects!$B$5*Assumptions!$B$10/Projects!$D$5,0)+IF(AND(Projects!$G$6="Yes",8&gt;=Projects!$C$6,8&lt;Projects!$C$6+Projects!$D$6),245000/Projects!$D$6,0)+IF(AND(Projects!$G$7="Yes",8&gt;=Projects!$C$7,8&lt;Projects!$C$7+Projects!$D$7),Projects!$B$7*Assumptions!$B$10/Projects!$D$7,0)+IF(AND(Projects!$G$8="Yes",8&gt;=Projects!$C$8,8&lt;Projects!$C$8+Projects!$D$8),Projects!$B$8*Assumptions!$B$10/Projects!$D$8,0)+IF(AND(Projects!$G$9="Yes",8&gt;=Projects!$C$9,8&lt;Projects!$C$9+Projects!$D$9),Projects!$B$9*Assumptions!$B$10/Projects!$D$9,0)+IF(AND(Projects!$G$10="Yes",8&gt;=Projects!$C$10,8&lt;Projects!$C$10+Projects!$D$10),Projects!$B$10*Assumptions!$B$10/Projects!$D$10,0)+IF(AND(Projects!$G$11="Yes",8&gt;=Projects!$C$11,8&lt;Projects!$C$11+Projects!$D$11),Projects!$B$11*Assumptions!$B$10/Projects!$D$11,0)+IF(AND(Projects!$G$12="Yes",8&gt;=Projects!$C$12,8&lt;Projects!$C$12+Projects!$D$12),Projects!$B$12*Assumptions!$B$10/Projects!$D$12,0)+IF(AND(Projects!$G$13="Yes",8&gt;=Projects!$C$13,8&lt;Projects!$C$13+Projects!$D$13),Projects!$B$13*Assumptions!$B$10/Projects!$D$13,0)+IF(AND(Projects!$G$14="Yes",8&gt;=Projects!$C$14,8&lt;Projects!$C$14+Projects!$D$14),Projects!$B$14*Assumptions!$B$10/Projects!$D$14,0)+IF(AND(Projects!$G$15="Yes",8&gt;=Projects!$C$15,8&lt;Projects!$C$15+Projects!$D$15),Projects!$B$15*Assumptions!$B$10/Projects!$D$15,0)+IF(AND(Projects!$G$16="Yes",8&gt;=Projects!$C$16,8&lt;Projects!$C$16+Projects!$D$16),Projects!$B$16*Assumptions!$B$10/Projects!$D$16,0)</f>
        <v>348022.570595523</v>
      </c>
      <c r="K8" s="10" t="n">
        <f aca="false">IF(AND(Projects!$G$2="Yes",9&gt;=Projects!$C$2,9&lt;Projects!$C$2+Projects!$D$2),194932/Projects!$D$2,0)+IF(AND(Projects!$G$3="Yes",9&gt;=Projects!$C$3,9&lt;Projects!$C$3+Projects!$D$3),888067/Projects!$D$3,0)+IF(AND(Projects!$G$4="Yes",9&gt;=Projects!$C$4,9&lt;Projects!$C$4+Projects!$D$4),Projects!$B$4*Assumptions!$B$10/Projects!$D$4,0)+IF(AND(Projects!$G$5="Yes",9&gt;=Projects!$C$5,9&lt;Projects!$C$5+Projects!$D$5),Projects!$B$5*Assumptions!$B$10/Projects!$D$5,0)+IF(AND(Projects!$G$6="Yes",9&gt;=Projects!$C$6,9&lt;Projects!$C$6+Projects!$D$6),245000/Projects!$D$6,0)+IF(AND(Projects!$G$7="Yes",9&gt;=Projects!$C$7,9&lt;Projects!$C$7+Projects!$D$7),Projects!$B$7*Assumptions!$B$10/Projects!$D$7,0)+IF(AND(Projects!$G$8="Yes",9&gt;=Projects!$C$8,9&lt;Projects!$C$8+Projects!$D$8),Projects!$B$8*Assumptions!$B$10/Projects!$D$8,0)+IF(AND(Projects!$G$9="Yes",9&gt;=Projects!$C$9,9&lt;Projects!$C$9+Projects!$D$9),Projects!$B$9*Assumptions!$B$10/Projects!$D$9,0)+IF(AND(Projects!$G$10="Yes",9&gt;=Projects!$C$10,9&lt;Projects!$C$10+Projects!$D$10),Projects!$B$10*Assumptions!$B$10/Projects!$D$10,0)+IF(AND(Projects!$G$11="Yes",9&gt;=Projects!$C$11,9&lt;Projects!$C$11+Projects!$D$11),Projects!$B$11*Assumptions!$B$10/Projects!$D$11,0)+IF(AND(Projects!$G$12="Yes",9&gt;=Projects!$C$12,9&lt;Projects!$C$12+Projects!$D$12),Projects!$B$12*Assumptions!$B$10/Projects!$D$12,0)+IF(AND(Projects!$G$13="Yes",9&gt;=Projects!$C$13,9&lt;Projects!$C$13+Projects!$D$13),Projects!$B$13*Assumptions!$B$10/Projects!$D$13,0)+IF(AND(Projects!$G$14="Yes",9&gt;=Projects!$C$14,9&lt;Projects!$C$14+Projects!$D$14),Projects!$B$14*Assumptions!$B$10/Projects!$D$14,0)+IF(AND(Projects!$G$15="Yes",9&gt;=Projects!$C$15,9&lt;Projects!$C$15+Projects!$D$15),Projects!$B$15*Assumptions!$B$10/Projects!$D$15,0)+IF(AND(Projects!$G$16="Yes",9&gt;=Projects!$C$16,9&lt;Projects!$C$16+Projects!$D$16),Projects!$B$16*Assumptions!$B$10/Projects!$D$16,0)</f>
        <v>323656.070595523</v>
      </c>
      <c r="L8" s="10" t="n">
        <f aca="false">IF(AND(Projects!$G$2="Yes",10&gt;=Projects!$C$2,10&lt;Projects!$C$2+Projects!$D$2),194932/Projects!$D$2,0)+IF(AND(Projects!$G$3="Yes",10&gt;=Projects!$C$3,10&lt;Projects!$C$3+Projects!$D$3),888067/Projects!$D$3,0)+IF(AND(Projects!$G$4="Yes",10&gt;=Projects!$C$4,10&lt;Projects!$C$4+Projects!$D$4),Projects!$B$4*Assumptions!$B$10/Projects!$D$4,0)+IF(AND(Projects!$G$5="Yes",10&gt;=Projects!$C$5,10&lt;Projects!$C$5+Projects!$D$5),Projects!$B$5*Assumptions!$B$10/Projects!$D$5,0)+IF(AND(Projects!$G$6="Yes",10&gt;=Projects!$C$6,10&lt;Projects!$C$6+Projects!$D$6),245000/Projects!$D$6,0)+IF(AND(Projects!$G$7="Yes",10&gt;=Projects!$C$7,10&lt;Projects!$C$7+Projects!$D$7),Projects!$B$7*Assumptions!$B$10/Projects!$D$7,0)+IF(AND(Projects!$G$8="Yes",10&gt;=Projects!$C$8,10&lt;Projects!$C$8+Projects!$D$8),Projects!$B$8*Assumptions!$B$10/Projects!$D$8,0)+IF(AND(Projects!$G$9="Yes",10&gt;=Projects!$C$9,10&lt;Projects!$C$9+Projects!$D$9),Projects!$B$9*Assumptions!$B$10/Projects!$D$9,0)+IF(AND(Projects!$G$10="Yes",10&gt;=Projects!$C$10,10&lt;Projects!$C$10+Projects!$D$10),Projects!$B$10*Assumptions!$B$10/Projects!$D$10,0)+IF(AND(Projects!$G$11="Yes",10&gt;=Projects!$C$11,10&lt;Projects!$C$11+Projects!$D$11),Projects!$B$11*Assumptions!$B$10/Projects!$D$11,0)+IF(AND(Projects!$G$12="Yes",10&gt;=Projects!$C$12,10&lt;Projects!$C$12+Projects!$D$12),Projects!$B$12*Assumptions!$B$10/Projects!$D$12,0)+IF(AND(Projects!$G$13="Yes",10&gt;=Projects!$C$13,10&lt;Projects!$C$13+Projects!$D$13),Projects!$B$13*Assumptions!$B$10/Projects!$D$13,0)+IF(AND(Projects!$G$14="Yes",10&gt;=Projects!$C$14,10&lt;Projects!$C$14+Projects!$D$14),Projects!$B$14*Assumptions!$B$10/Projects!$D$14,0)+IF(AND(Projects!$G$15="Yes",10&gt;=Projects!$C$15,10&lt;Projects!$C$15+Projects!$D$15),Projects!$B$15*Assumptions!$B$10/Projects!$D$15,0)+IF(AND(Projects!$G$16="Yes",10&gt;=Projects!$C$16,10&lt;Projects!$C$16+Projects!$D$16),Projects!$B$16*Assumptions!$B$10/Projects!$D$16,0)</f>
        <v>323656.070595523</v>
      </c>
      <c r="M8" s="10" t="n">
        <f aca="false">IF(AND(Projects!$G$2="Yes",11&gt;=Projects!$C$2,11&lt;Projects!$C$2+Projects!$D$2),194932/Projects!$D$2,0)+IF(AND(Projects!$G$3="Yes",11&gt;=Projects!$C$3,11&lt;Projects!$C$3+Projects!$D$3),888067/Projects!$D$3,0)+IF(AND(Projects!$G$4="Yes",11&gt;=Projects!$C$4,11&lt;Projects!$C$4+Projects!$D$4),Projects!$B$4*Assumptions!$B$10/Projects!$D$4,0)+IF(AND(Projects!$G$5="Yes",11&gt;=Projects!$C$5,11&lt;Projects!$C$5+Projects!$D$5),Projects!$B$5*Assumptions!$B$10/Projects!$D$5,0)+IF(AND(Projects!$G$6="Yes",11&gt;=Projects!$C$6,11&lt;Projects!$C$6+Projects!$D$6),245000/Projects!$D$6,0)+IF(AND(Projects!$G$7="Yes",11&gt;=Projects!$C$7,11&lt;Projects!$C$7+Projects!$D$7),Projects!$B$7*Assumptions!$B$10/Projects!$D$7,0)+IF(AND(Projects!$G$8="Yes",11&gt;=Projects!$C$8,11&lt;Projects!$C$8+Projects!$D$8),Projects!$B$8*Assumptions!$B$10/Projects!$D$8,0)+IF(AND(Projects!$G$9="Yes",11&gt;=Projects!$C$9,11&lt;Projects!$C$9+Projects!$D$9),Projects!$B$9*Assumptions!$B$10/Projects!$D$9,0)+IF(AND(Projects!$G$10="Yes",11&gt;=Projects!$C$10,11&lt;Projects!$C$10+Projects!$D$10),Projects!$B$10*Assumptions!$B$10/Projects!$D$10,0)+IF(AND(Projects!$G$11="Yes",11&gt;=Projects!$C$11,11&lt;Projects!$C$11+Projects!$D$11),Projects!$B$11*Assumptions!$B$10/Projects!$D$11,0)+IF(AND(Projects!$G$12="Yes",11&gt;=Projects!$C$12,11&lt;Projects!$C$12+Projects!$D$12),Projects!$B$12*Assumptions!$B$10/Projects!$D$12,0)+IF(AND(Projects!$G$13="Yes",11&gt;=Projects!$C$13,11&lt;Projects!$C$13+Projects!$D$13),Projects!$B$13*Assumptions!$B$10/Projects!$D$13,0)+IF(AND(Projects!$G$14="Yes",11&gt;=Projects!$C$14,11&lt;Projects!$C$14+Projects!$D$14),Projects!$B$14*Assumptions!$B$10/Projects!$D$14,0)+IF(AND(Projects!$G$15="Yes",11&gt;=Projects!$C$15,11&lt;Projects!$C$15+Projects!$D$15),Projects!$B$15*Assumptions!$B$10/Projects!$D$15,0)+IF(AND(Projects!$G$16="Yes",11&gt;=Projects!$C$16,11&lt;Projects!$C$16+Projects!$D$16),Projects!$B$16*Assumptions!$B$10/Projects!$D$16,0)</f>
        <v>323656.070595523</v>
      </c>
      <c r="N8" s="10" t="n">
        <f aca="false">IF(AND(Projects!$G$2="Yes",12&gt;=Projects!$C$2,12&lt;Projects!$C$2+Projects!$D$2),194932/Projects!$D$2,0)+IF(AND(Projects!$G$3="Yes",12&gt;=Projects!$C$3,12&lt;Projects!$C$3+Projects!$D$3),888067/Projects!$D$3,0)+IF(AND(Projects!$G$4="Yes",12&gt;=Projects!$C$4,12&lt;Projects!$C$4+Projects!$D$4),Projects!$B$4*Assumptions!$B$10/Projects!$D$4,0)+IF(AND(Projects!$G$5="Yes",12&gt;=Projects!$C$5,12&lt;Projects!$C$5+Projects!$D$5),Projects!$B$5*Assumptions!$B$10/Projects!$D$5,0)+IF(AND(Projects!$G$6="Yes",12&gt;=Projects!$C$6,12&lt;Projects!$C$6+Projects!$D$6),245000/Projects!$D$6,0)+IF(AND(Projects!$G$7="Yes",12&gt;=Projects!$C$7,12&lt;Projects!$C$7+Projects!$D$7),Projects!$B$7*Assumptions!$B$10/Projects!$D$7,0)+IF(AND(Projects!$G$8="Yes",12&gt;=Projects!$C$8,12&lt;Projects!$C$8+Projects!$D$8),Projects!$B$8*Assumptions!$B$10/Projects!$D$8,0)+IF(AND(Projects!$G$9="Yes",12&gt;=Projects!$C$9,12&lt;Projects!$C$9+Projects!$D$9),Projects!$B$9*Assumptions!$B$10/Projects!$D$9,0)+IF(AND(Projects!$G$10="Yes",12&gt;=Projects!$C$10,12&lt;Projects!$C$10+Projects!$D$10),Projects!$B$10*Assumptions!$B$10/Projects!$D$10,0)+IF(AND(Projects!$G$11="Yes",12&gt;=Projects!$C$11,12&lt;Projects!$C$11+Projects!$D$11),Projects!$B$11*Assumptions!$B$10/Projects!$D$11,0)+IF(AND(Projects!$G$12="Yes",12&gt;=Projects!$C$12,12&lt;Projects!$C$12+Projects!$D$12),Projects!$B$12*Assumptions!$B$10/Projects!$D$12,0)+IF(AND(Projects!$G$13="Yes",12&gt;=Projects!$C$13,12&lt;Projects!$C$13+Projects!$D$13),Projects!$B$13*Assumptions!$B$10/Projects!$D$13,0)+IF(AND(Projects!$G$14="Yes",12&gt;=Projects!$C$14,12&lt;Projects!$C$14+Projects!$D$14),Projects!$B$14*Assumptions!$B$10/Projects!$D$14,0)+IF(AND(Projects!$G$15="Yes",12&gt;=Projects!$C$15,12&lt;Projects!$C$15+Projects!$D$15),Projects!$B$15*Assumptions!$B$10/Projects!$D$15,0)+IF(AND(Projects!$G$16="Yes",12&gt;=Projects!$C$16,12&lt;Projects!$C$16+Projects!$D$16),Projects!$B$16*Assumptions!$B$10/Projects!$D$16,0)</f>
        <v>323656.070595523</v>
      </c>
      <c r="O8" s="10" t="n">
        <f aca="false">IF(AND(Projects!$G$2="Yes",13&gt;=Projects!$C$2,13&lt;Projects!$C$2+Projects!$D$2),194932/Projects!$D$2,0)+IF(AND(Projects!$G$3="Yes",13&gt;=Projects!$C$3,13&lt;Projects!$C$3+Projects!$D$3),888067/Projects!$D$3,0)+IF(AND(Projects!$G$4="Yes",13&gt;=Projects!$C$4,13&lt;Projects!$C$4+Projects!$D$4),Projects!$B$4*Assumptions!$B$10/Projects!$D$4,0)+IF(AND(Projects!$G$5="Yes",13&gt;=Projects!$C$5,13&lt;Projects!$C$5+Projects!$D$5),Projects!$B$5*Assumptions!$B$10/Projects!$D$5,0)+IF(AND(Projects!$G$6="Yes",13&gt;=Projects!$C$6,13&lt;Projects!$C$6+Projects!$D$6),245000/Projects!$D$6,0)+IF(AND(Projects!$G$7="Yes",13&gt;=Projects!$C$7,13&lt;Projects!$C$7+Projects!$D$7),Projects!$B$7*Assumptions!$B$10/Projects!$D$7,0)+IF(AND(Projects!$G$8="Yes",13&gt;=Projects!$C$8,13&lt;Projects!$C$8+Projects!$D$8),Projects!$B$8*Assumptions!$B$10/Projects!$D$8,0)+IF(AND(Projects!$G$9="Yes",13&gt;=Projects!$C$9,13&lt;Projects!$C$9+Projects!$D$9),Projects!$B$9*Assumptions!$B$10/Projects!$D$9,0)+IF(AND(Projects!$G$10="Yes",13&gt;=Projects!$C$10,13&lt;Projects!$C$10+Projects!$D$10),Projects!$B$10*Assumptions!$B$10/Projects!$D$10,0)+IF(AND(Projects!$G$11="Yes",13&gt;=Projects!$C$11,13&lt;Projects!$C$11+Projects!$D$11),Projects!$B$11*Assumptions!$B$10/Projects!$D$11,0)+IF(AND(Projects!$G$12="Yes",13&gt;=Projects!$C$12,13&lt;Projects!$C$12+Projects!$D$12),Projects!$B$12*Assumptions!$B$10/Projects!$D$12,0)+IF(AND(Projects!$G$13="Yes",13&gt;=Projects!$C$13,13&lt;Projects!$C$13+Projects!$D$13),Projects!$B$13*Assumptions!$B$10/Projects!$D$13,0)+IF(AND(Projects!$G$14="Yes",13&gt;=Projects!$C$14,13&lt;Projects!$C$14+Projects!$D$14),Projects!$B$14*Assumptions!$B$10/Projects!$D$14,0)+IF(AND(Projects!$G$15="Yes",13&gt;=Projects!$C$15,13&lt;Projects!$C$15+Projects!$D$15),Projects!$B$15*Assumptions!$B$10/Projects!$D$15,0)+IF(AND(Projects!$G$16="Yes",13&gt;=Projects!$C$16,13&lt;Projects!$C$16+Projects!$D$16),Projects!$B$16*Assumptions!$B$10/Projects!$D$16,0)</f>
        <v>397141.086829289</v>
      </c>
      <c r="P8" s="10" t="n">
        <f aca="false">IF(AND(Projects!$G$2="Yes",14&gt;=Projects!$C$2,14&lt;Projects!$C$2+Projects!$D$2),194932/Projects!$D$2,0)+IF(AND(Projects!$G$3="Yes",14&gt;=Projects!$C$3,14&lt;Projects!$C$3+Projects!$D$3),888067/Projects!$D$3,0)+IF(AND(Projects!$G$4="Yes",14&gt;=Projects!$C$4,14&lt;Projects!$C$4+Projects!$D$4),Projects!$B$4*Assumptions!$B$10/Projects!$D$4,0)+IF(AND(Projects!$G$5="Yes",14&gt;=Projects!$C$5,14&lt;Projects!$C$5+Projects!$D$5),Projects!$B$5*Assumptions!$B$10/Projects!$D$5,0)+IF(AND(Projects!$G$6="Yes",14&gt;=Projects!$C$6,14&lt;Projects!$C$6+Projects!$D$6),245000/Projects!$D$6,0)+IF(AND(Projects!$G$7="Yes",14&gt;=Projects!$C$7,14&lt;Projects!$C$7+Projects!$D$7),Projects!$B$7*Assumptions!$B$10/Projects!$D$7,0)+IF(AND(Projects!$G$8="Yes",14&gt;=Projects!$C$8,14&lt;Projects!$C$8+Projects!$D$8),Projects!$B$8*Assumptions!$B$10/Projects!$D$8,0)+IF(AND(Projects!$G$9="Yes",14&gt;=Projects!$C$9,14&lt;Projects!$C$9+Projects!$D$9),Projects!$B$9*Assumptions!$B$10/Projects!$D$9,0)+IF(AND(Projects!$G$10="Yes",14&gt;=Projects!$C$10,14&lt;Projects!$C$10+Projects!$D$10),Projects!$B$10*Assumptions!$B$10/Projects!$D$10,0)+IF(AND(Projects!$G$11="Yes",14&gt;=Projects!$C$11,14&lt;Projects!$C$11+Projects!$D$11),Projects!$B$11*Assumptions!$B$10/Projects!$D$11,0)+IF(AND(Projects!$G$12="Yes",14&gt;=Projects!$C$12,14&lt;Projects!$C$12+Projects!$D$12),Projects!$B$12*Assumptions!$B$10/Projects!$D$12,0)+IF(AND(Projects!$G$13="Yes",14&gt;=Projects!$C$13,14&lt;Projects!$C$13+Projects!$D$13),Projects!$B$13*Assumptions!$B$10/Projects!$D$13,0)+IF(AND(Projects!$G$14="Yes",14&gt;=Projects!$C$14,14&lt;Projects!$C$14+Projects!$D$14),Projects!$B$14*Assumptions!$B$10/Projects!$D$14,0)+IF(AND(Projects!$G$15="Yes",14&gt;=Projects!$C$15,14&lt;Projects!$C$15+Projects!$D$15),Projects!$B$15*Assumptions!$B$10/Projects!$D$15,0)+IF(AND(Projects!$G$16="Yes",14&gt;=Projects!$C$16,14&lt;Projects!$C$16+Projects!$D$16),Projects!$B$16*Assumptions!$B$10/Projects!$D$16,0)</f>
        <v>397141.086829289</v>
      </c>
      <c r="Q8" s="10" t="n">
        <f aca="false">IF(AND(Projects!$G$2="Yes",15&gt;=Projects!$C$2,15&lt;Projects!$C$2+Projects!$D$2),194932/Projects!$D$2,0)+IF(AND(Projects!$G$3="Yes",15&gt;=Projects!$C$3,15&lt;Projects!$C$3+Projects!$D$3),888067/Projects!$D$3,0)+IF(AND(Projects!$G$4="Yes",15&gt;=Projects!$C$4,15&lt;Projects!$C$4+Projects!$D$4),Projects!$B$4*Assumptions!$B$10/Projects!$D$4,0)+IF(AND(Projects!$G$5="Yes",15&gt;=Projects!$C$5,15&lt;Projects!$C$5+Projects!$D$5),Projects!$B$5*Assumptions!$B$10/Projects!$D$5,0)+IF(AND(Projects!$G$6="Yes",15&gt;=Projects!$C$6,15&lt;Projects!$C$6+Projects!$D$6),245000/Projects!$D$6,0)+IF(AND(Projects!$G$7="Yes",15&gt;=Projects!$C$7,15&lt;Projects!$C$7+Projects!$D$7),Projects!$B$7*Assumptions!$B$10/Projects!$D$7,0)+IF(AND(Projects!$G$8="Yes",15&gt;=Projects!$C$8,15&lt;Projects!$C$8+Projects!$D$8),Projects!$B$8*Assumptions!$B$10/Projects!$D$8,0)+IF(AND(Projects!$G$9="Yes",15&gt;=Projects!$C$9,15&lt;Projects!$C$9+Projects!$D$9),Projects!$B$9*Assumptions!$B$10/Projects!$D$9,0)+IF(AND(Projects!$G$10="Yes",15&gt;=Projects!$C$10,15&lt;Projects!$C$10+Projects!$D$10),Projects!$B$10*Assumptions!$B$10/Projects!$D$10,0)+IF(AND(Projects!$G$11="Yes",15&gt;=Projects!$C$11,15&lt;Projects!$C$11+Projects!$D$11),Projects!$B$11*Assumptions!$B$10/Projects!$D$11,0)+IF(AND(Projects!$G$12="Yes",15&gt;=Projects!$C$12,15&lt;Projects!$C$12+Projects!$D$12),Projects!$B$12*Assumptions!$B$10/Projects!$D$12,0)+IF(AND(Projects!$G$13="Yes",15&gt;=Projects!$C$13,15&lt;Projects!$C$13+Projects!$D$13),Projects!$B$13*Assumptions!$B$10/Projects!$D$13,0)+IF(AND(Projects!$G$14="Yes",15&gt;=Projects!$C$14,15&lt;Projects!$C$14+Projects!$D$14),Projects!$B$14*Assumptions!$B$10/Projects!$D$14,0)+IF(AND(Projects!$G$15="Yes",15&gt;=Projects!$C$15,15&lt;Projects!$C$15+Projects!$D$15),Projects!$B$15*Assumptions!$B$10/Projects!$D$15,0)+IF(AND(Projects!$G$16="Yes",15&gt;=Projects!$C$16,15&lt;Projects!$C$16+Projects!$D$16),Projects!$B$16*Assumptions!$B$10/Projects!$D$16,0)</f>
        <v>397141.086829289</v>
      </c>
      <c r="R8" s="10" t="n">
        <f aca="false">IF(AND(Projects!$G$2="Yes",16&gt;=Projects!$C$2,16&lt;Projects!$C$2+Projects!$D$2),194932/Projects!$D$2,0)+IF(AND(Projects!$G$3="Yes",16&gt;=Projects!$C$3,16&lt;Projects!$C$3+Projects!$D$3),888067/Projects!$D$3,0)+IF(AND(Projects!$G$4="Yes",16&gt;=Projects!$C$4,16&lt;Projects!$C$4+Projects!$D$4),Projects!$B$4*Assumptions!$B$10/Projects!$D$4,0)+IF(AND(Projects!$G$5="Yes",16&gt;=Projects!$C$5,16&lt;Projects!$C$5+Projects!$D$5),Projects!$B$5*Assumptions!$B$10/Projects!$D$5,0)+IF(AND(Projects!$G$6="Yes",16&gt;=Projects!$C$6,16&lt;Projects!$C$6+Projects!$D$6),245000/Projects!$D$6,0)+IF(AND(Projects!$G$7="Yes",16&gt;=Projects!$C$7,16&lt;Projects!$C$7+Projects!$D$7),Projects!$B$7*Assumptions!$B$10/Projects!$D$7,0)+IF(AND(Projects!$G$8="Yes",16&gt;=Projects!$C$8,16&lt;Projects!$C$8+Projects!$D$8),Projects!$B$8*Assumptions!$B$10/Projects!$D$8,0)+IF(AND(Projects!$G$9="Yes",16&gt;=Projects!$C$9,16&lt;Projects!$C$9+Projects!$D$9),Projects!$B$9*Assumptions!$B$10/Projects!$D$9,0)+IF(AND(Projects!$G$10="Yes",16&gt;=Projects!$C$10,16&lt;Projects!$C$10+Projects!$D$10),Projects!$B$10*Assumptions!$B$10/Projects!$D$10,0)+IF(AND(Projects!$G$11="Yes",16&gt;=Projects!$C$11,16&lt;Projects!$C$11+Projects!$D$11),Projects!$B$11*Assumptions!$B$10/Projects!$D$11,0)+IF(AND(Projects!$G$12="Yes",16&gt;=Projects!$C$12,16&lt;Projects!$C$12+Projects!$D$12),Projects!$B$12*Assumptions!$B$10/Projects!$D$12,0)+IF(AND(Projects!$G$13="Yes",16&gt;=Projects!$C$13,16&lt;Projects!$C$13+Projects!$D$13),Projects!$B$13*Assumptions!$B$10/Projects!$D$13,0)+IF(AND(Projects!$G$14="Yes",16&gt;=Projects!$C$14,16&lt;Projects!$C$14+Projects!$D$14),Projects!$B$14*Assumptions!$B$10/Projects!$D$14,0)+IF(AND(Projects!$G$15="Yes",16&gt;=Projects!$C$15,16&lt;Projects!$C$15+Projects!$D$15),Projects!$B$15*Assumptions!$B$10/Projects!$D$15,0)+IF(AND(Projects!$G$16="Yes",16&gt;=Projects!$C$16,16&lt;Projects!$C$16+Projects!$D$16),Projects!$B$16*Assumptions!$B$10/Projects!$D$16,0)</f>
        <v>315434.206959159</v>
      </c>
      <c r="S8" s="10" t="n">
        <f aca="false">IF(AND(Projects!$G$2="Yes",17&gt;=Projects!$C$2,17&lt;Projects!$C$2+Projects!$D$2),194932/Projects!$D$2,0)+IF(AND(Projects!$G$3="Yes",17&gt;=Projects!$C$3,17&lt;Projects!$C$3+Projects!$D$3),888067/Projects!$D$3,0)+IF(AND(Projects!$G$4="Yes",17&gt;=Projects!$C$4,17&lt;Projects!$C$4+Projects!$D$4),Projects!$B$4*Assumptions!$B$10/Projects!$D$4,0)+IF(AND(Projects!$G$5="Yes",17&gt;=Projects!$C$5,17&lt;Projects!$C$5+Projects!$D$5),Projects!$B$5*Assumptions!$B$10/Projects!$D$5,0)+IF(AND(Projects!$G$6="Yes",17&gt;=Projects!$C$6,17&lt;Projects!$C$6+Projects!$D$6),245000/Projects!$D$6,0)+IF(AND(Projects!$G$7="Yes",17&gt;=Projects!$C$7,17&lt;Projects!$C$7+Projects!$D$7),Projects!$B$7*Assumptions!$B$10/Projects!$D$7,0)+IF(AND(Projects!$G$8="Yes",17&gt;=Projects!$C$8,17&lt;Projects!$C$8+Projects!$D$8),Projects!$B$8*Assumptions!$B$10/Projects!$D$8,0)+IF(AND(Projects!$G$9="Yes",17&gt;=Projects!$C$9,17&lt;Projects!$C$9+Projects!$D$9),Projects!$B$9*Assumptions!$B$10/Projects!$D$9,0)+IF(AND(Projects!$G$10="Yes",17&gt;=Projects!$C$10,17&lt;Projects!$C$10+Projects!$D$10),Projects!$B$10*Assumptions!$B$10/Projects!$D$10,0)+IF(AND(Projects!$G$11="Yes",17&gt;=Projects!$C$11,17&lt;Projects!$C$11+Projects!$D$11),Projects!$B$11*Assumptions!$B$10/Projects!$D$11,0)+IF(AND(Projects!$G$12="Yes",17&gt;=Projects!$C$12,17&lt;Projects!$C$12+Projects!$D$12),Projects!$B$12*Assumptions!$B$10/Projects!$D$12,0)+IF(AND(Projects!$G$13="Yes",17&gt;=Projects!$C$13,17&lt;Projects!$C$13+Projects!$D$13),Projects!$B$13*Assumptions!$B$10/Projects!$D$13,0)+IF(AND(Projects!$G$14="Yes",17&gt;=Projects!$C$14,17&lt;Projects!$C$14+Projects!$D$14),Projects!$B$14*Assumptions!$B$10/Projects!$D$14,0)+IF(AND(Projects!$G$15="Yes",17&gt;=Projects!$C$15,17&lt;Projects!$C$15+Projects!$D$15),Projects!$B$15*Assumptions!$B$10/Projects!$D$15,0)+IF(AND(Projects!$G$16="Yes",17&gt;=Projects!$C$16,17&lt;Projects!$C$16+Projects!$D$16),Projects!$B$16*Assumptions!$B$10/Projects!$D$16,0)</f>
        <v>259930.019459159</v>
      </c>
      <c r="T8" s="10" t="n">
        <f aca="false">IF(AND(Projects!$G$2="Yes",18&gt;=Projects!$C$2,18&lt;Projects!$C$2+Projects!$D$2),194932/Projects!$D$2,0)+IF(AND(Projects!$G$3="Yes",18&gt;=Projects!$C$3,18&lt;Projects!$C$3+Projects!$D$3),888067/Projects!$D$3,0)+IF(AND(Projects!$G$4="Yes",18&gt;=Projects!$C$4,18&lt;Projects!$C$4+Projects!$D$4),Projects!$B$4*Assumptions!$B$10/Projects!$D$4,0)+IF(AND(Projects!$G$5="Yes",18&gt;=Projects!$C$5,18&lt;Projects!$C$5+Projects!$D$5),Projects!$B$5*Assumptions!$B$10/Projects!$D$5,0)+IF(AND(Projects!$G$6="Yes",18&gt;=Projects!$C$6,18&lt;Projects!$C$6+Projects!$D$6),245000/Projects!$D$6,0)+IF(AND(Projects!$G$7="Yes",18&gt;=Projects!$C$7,18&lt;Projects!$C$7+Projects!$D$7),Projects!$B$7*Assumptions!$B$10/Projects!$D$7,0)+IF(AND(Projects!$G$8="Yes",18&gt;=Projects!$C$8,18&lt;Projects!$C$8+Projects!$D$8),Projects!$B$8*Assumptions!$B$10/Projects!$D$8,0)+IF(AND(Projects!$G$9="Yes",18&gt;=Projects!$C$9,18&lt;Projects!$C$9+Projects!$D$9),Projects!$B$9*Assumptions!$B$10/Projects!$D$9,0)+IF(AND(Projects!$G$10="Yes",18&gt;=Projects!$C$10,18&lt;Projects!$C$10+Projects!$D$10),Projects!$B$10*Assumptions!$B$10/Projects!$D$10,0)+IF(AND(Projects!$G$11="Yes",18&gt;=Projects!$C$11,18&lt;Projects!$C$11+Projects!$D$11),Projects!$B$11*Assumptions!$B$10/Projects!$D$11,0)+IF(AND(Projects!$G$12="Yes",18&gt;=Projects!$C$12,18&lt;Projects!$C$12+Projects!$D$12),Projects!$B$12*Assumptions!$B$10/Projects!$D$12,0)+IF(AND(Projects!$G$13="Yes",18&gt;=Projects!$C$13,18&lt;Projects!$C$13+Projects!$D$13),Projects!$B$13*Assumptions!$B$10/Projects!$D$13,0)+IF(AND(Projects!$G$14="Yes",18&gt;=Projects!$C$14,18&lt;Projects!$C$14+Projects!$D$14),Projects!$B$14*Assumptions!$B$10/Projects!$D$14,0)+IF(AND(Projects!$G$15="Yes",18&gt;=Projects!$C$15,18&lt;Projects!$C$15+Projects!$D$15),Projects!$B$15*Assumptions!$B$10/Projects!$D$15,0)+IF(AND(Projects!$G$16="Yes",18&gt;=Projects!$C$16,18&lt;Projects!$C$16+Projects!$D$16),Projects!$B$16*Assumptions!$B$10/Projects!$D$16,0)</f>
        <v>259930.019459159</v>
      </c>
      <c r="U8" s="10" t="n">
        <f aca="false">IF(AND(Projects!$G$2="Yes",19&gt;=Projects!$C$2,19&lt;Projects!$C$2+Projects!$D$2),194932/Projects!$D$2,0)+IF(AND(Projects!$G$3="Yes",19&gt;=Projects!$C$3,19&lt;Projects!$C$3+Projects!$D$3),888067/Projects!$D$3,0)+IF(AND(Projects!$G$4="Yes",19&gt;=Projects!$C$4,19&lt;Projects!$C$4+Projects!$D$4),Projects!$B$4*Assumptions!$B$10/Projects!$D$4,0)+IF(AND(Projects!$G$5="Yes",19&gt;=Projects!$C$5,19&lt;Projects!$C$5+Projects!$D$5),Projects!$B$5*Assumptions!$B$10/Projects!$D$5,0)+IF(AND(Projects!$G$6="Yes",19&gt;=Projects!$C$6,19&lt;Projects!$C$6+Projects!$D$6),245000/Projects!$D$6,0)+IF(AND(Projects!$G$7="Yes",19&gt;=Projects!$C$7,19&lt;Projects!$C$7+Projects!$D$7),Projects!$B$7*Assumptions!$B$10/Projects!$D$7,0)+IF(AND(Projects!$G$8="Yes",19&gt;=Projects!$C$8,19&lt;Projects!$C$8+Projects!$D$8),Projects!$B$8*Assumptions!$B$10/Projects!$D$8,0)+IF(AND(Projects!$G$9="Yes",19&gt;=Projects!$C$9,19&lt;Projects!$C$9+Projects!$D$9),Projects!$B$9*Assumptions!$B$10/Projects!$D$9,0)+IF(AND(Projects!$G$10="Yes",19&gt;=Projects!$C$10,19&lt;Projects!$C$10+Projects!$D$10),Projects!$B$10*Assumptions!$B$10/Projects!$D$10,0)+IF(AND(Projects!$G$11="Yes",19&gt;=Projects!$C$11,19&lt;Projects!$C$11+Projects!$D$11),Projects!$B$11*Assumptions!$B$10/Projects!$D$11,0)+IF(AND(Projects!$G$12="Yes",19&gt;=Projects!$C$12,19&lt;Projects!$C$12+Projects!$D$12),Projects!$B$12*Assumptions!$B$10/Projects!$D$12,0)+IF(AND(Projects!$G$13="Yes",19&gt;=Projects!$C$13,19&lt;Projects!$C$13+Projects!$D$13),Projects!$B$13*Assumptions!$B$10/Projects!$D$13,0)+IF(AND(Projects!$G$14="Yes",19&gt;=Projects!$C$14,19&lt;Projects!$C$14+Projects!$D$14),Projects!$B$14*Assumptions!$B$10/Projects!$D$14,0)+IF(AND(Projects!$G$15="Yes",19&gt;=Projects!$C$15,19&lt;Projects!$C$15+Projects!$D$15),Projects!$B$15*Assumptions!$B$10/Projects!$D$15,0)+IF(AND(Projects!$G$16="Yes",19&gt;=Projects!$C$16,19&lt;Projects!$C$16+Projects!$D$16),Projects!$B$16*Assumptions!$B$10/Projects!$D$16,0)</f>
        <v>259930.019459159</v>
      </c>
      <c r="V8" s="10" t="n">
        <f aca="false">IF(AND(Projects!$G$2="Yes",20&gt;=Projects!$C$2,20&lt;Projects!$C$2+Projects!$D$2),194932/Projects!$D$2,0)+IF(AND(Projects!$G$3="Yes",20&gt;=Projects!$C$3,20&lt;Projects!$C$3+Projects!$D$3),888067/Projects!$D$3,0)+IF(AND(Projects!$G$4="Yes",20&gt;=Projects!$C$4,20&lt;Projects!$C$4+Projects!$D$4),Projects!$B$4*Assumptions!$B$10/Projects!$D$4,0)+IF(AND(Projects!$G$5="Yes",20&gt;=Projects!$C$5,20&lt;Projects!$C$5+Projects!$D$5),Projects!$B$5*Assumptions!$B$10/Projects!$D$5,0)+IF(AND(Projects!$G$6="Yes",20&gt;=Projects!$C$6,20&lt;Projects!$C$6+Projects!$D$6),245000/Projects!$D$6,0)+IF(AND(Projects!$G$7="Yes",20&gt;=Projects!$C$7,20&lt;Projects!$C$7+Projects!$D$7),Projects!$B$7*Assumptions!$B$10/Projects!$D$7,0)+IF(AND(Projects!$G$8="Yes",20&gt;=Projects!$C$8,20&lt;Projects!$C$8+Projects!$D$8),Projects!$B$8*Assumptions!$B$10/Projects!$D$8,0)+IF(AND(Projects!$G$9="Yes",20&gt;=Projects!$C$9,20&lt;Projects!$C$9+Projects!$D$9),Projects!$B$9*Assumptions!$B$10/Projects!$D$9,0)+IF(AND(Projects!$G$10="Yes",20&gt;=Projects!$C$10,20&lt;Projects!$C$10+Projects!$D$10),Projects!$B$10*Assumptions!$B$10/Projects!$D$10,0)+IF(AND(Projects!$G$11="Yes",20&gt;=Projects!$C$11,20&lt;Projects!$C$11+Projects!$D$11),Projects!$B$11*Assumptions!$B$10/Projects!$D$11,0)+IF(AND(Projects!$G$12="Yes",20&gt;=Projects!$C$12,20&lt;Projects!$C$12+Projects!$D$12),Projects!$B$12*Assumptions!$B$10/Projects!$D$12,0)+IF(AND(Projects!$G$13="Yes",20&gt;=Projects!$C$13,20&lt;Projects!$C$13+Projects!$D$13),Projects!$B$13*Assumptions!$B$10/Projects!$D$13,0)+IF(AND(Projects!$G$14="Yes",20&gt;=Projects!$C$14,20&lt;Projects!$C$14+Projects!$D$14),Projects!$B$14*Assumptions!$B$10/Projects!$D$14,0)+IF(AND(Projects!$G$15="Yes",20&gt;=Projects!$C$15,20&lt;Projects!$C$15+Projects!$D$15),Projects!$B$15*Assumptions!$B$10/Projects!$D$15,0)+IF(AND(Projects!$G$16="Yes",20&gt;=Projects!$C$16,20&lt;Projects!$C$16+Projects!$D$16),Projects!$B$16*Assumptions!$B$10/Projects!$D$16,0)</f>
        <v>247035.282617054</v>
      </c>
      <c r="W8" s="10" t="n">
        <f aca="false">IF(AND(Projects!$G$2="Yes",21&gt;=Projects!$C$2,21&lt;Projects!$C$2+Projects!$D$2),194932/Projects!$D$2,0)+IF(AND(Projects!$G$3="Yes",21&gt;=Projects!$C$3,21&lt;Projects!$C$3+Projects!$D$3),888067/Projects!$D$3,0)+IF(AND(Projects!$G$4="Yes",21&gt;=Projects!$C$4,21&lt;Projects!$C$4+Projects!$D$4),Projects!$B$4*Assumptions!$B$10/Projects!$D$4,0)+IF(AND(Projects!$G$5="Yes",21&gt;=Projects!$C$5,21&lt;Projects!$C$5+Projects!$D$5),Projects!$B$5*Assumptions!$B$10/Projects!$D$5,0)+IF(AND(Projects!$G$6="Yes",21&gt;=Projects!$C$6,21&lt;Projects!$C$6+Projects!$D$6),245000/Projects!$D$6,0)+IF(AND(Projects!$G$7="Yes",21&gt;=Projects!$C$7,21&lt;Projects!$C$7+Projects!$D$7),Projects!$B$7*Assumptions!$B$10/Projects!$D$7,0)+IF(AND(Projects!$G$8="Yes",21&gt;=Projects!$C$8,21&lt;Projects!$C$8+Projects!$D$8),Projects!$B$8*Assumptions!$B$10/Projects!$D$8,0)+IF(AND(Projects!$G$9="Yes",21&gt;=Projects!$C$9,21&lt;Projects!$C$9+Projects!$D$9),Projects!$B$9*Assumptions!$B$10/Projects!$D$9,0)+IF(AND(Projects!$G$10="Yes",21&gt;=Projects!$C$10,21&lt;Projects!$C$10+Projects!$D$10),Projects!$B$10*Assumptions!$B$10/Projects!$D$10,0)+IF(AND(Projects!$G$11="Yes",21&gt;=Projects!$C$11,21&lt;Projects!$C$11+Projects!$D$11),Projects!$B$11*Assumptions!$B$10/Projects!$D$11,0)+IF(AND(Projects!$G$12="Yes",21&gt;=Projects!$C$12,21&lt;Projects!$C$12+Projects!$D$12),Projects!$B$12*Assumptions!$B$10/Projects!$D$12,0)+IF(AND(Projects!$G$13="Yes",21&gt;=Projects!$C$13,21&lt;Projects!$C$13+Projects!$D$13),Projects!$B$13*Assumptions!$B$10/Projects!$D$13,0)+IF(AND(Projects!$G$14="Yes",21&gt;=Projects!$C$14,21&lt;Projects!$C$14+Projects!$D$14),Projects!$B$14*Assumptions!$B$10/Projects!$D$14,0)+IF(AND(Projects!$G$15="Yes",21&gt;=Projects!$C$15,21&lt;Projects!$C$15+Projects!$D$15),Projects!$B$15*Assumptions!$B$10/Projects!$D$15,0)+IF(AND(Projects!$G$16="Yes",21&gt;=Projects!$C$16,21&lt;Projects!$C$16+Projects!$D$16),Projects!$B$16*Assumptions!$B$10/Projects!$D$16,0)</f>
        <v>247035.282617054</v>
      </c>
      <c r="X8" s="10" t="n">
        <f aca="false">IF(AND(Projects!$G$2="Yes",22&gt;=Projects!$C$2,22&lt;Projects!$C$2+Projects!$D$2),194932/Projects!$D$2,0)+IF(AND(Projects!$G$3="Yes",22&gt;=Projects!$C$3,22&lt;Projects!$C$3+Projects!$D$3),888067/Projects!$D$3,0)+IF(AND(Projects!$G$4="Yes",22&gt;=Projects!$C$4,22&lt;Projects!$C$4+Projects!$D$4),Projects!$B$4*Assumptions!$B$10/Projects!$D$4,0)+IF(AND(Projects!$G$5="Yes",22&gt;=Projects!$C$5,22&lt;Projects!$C$5+Projects!$D$5),Projects!$B$5*Assumptions!$B$10/Projects!$D$5,0)+IF(AND(Projects!$G$6="Yes",22&gt;=Projects!$C$6,22&lt;Projects!$C$6+Projects!$D$6),245000/Projects!$D$6,0)+IF(AND(Projects!$G$7="Yes",22&gt;=Projects!$C$7,22&lt;Projects!$C$7+Projects!$D$7),Projects!$B$7*Assumptions!$B$10/Projects!$D$7,0)+IF(AND(Projects!$G$8="Yes",22&gt;=Projects!$C$8,22&lt;Projects!$C$8+Projects!$D$8),Projects!$B$8*Assumptions!$B$10/Projects!$D$8,0)+IF(AND(Projects!$G$9="Yes",22&gt;=Projects!$C$9,22&lt;Projects!$C$9+Projects!$D$9),Projects!$B$9*Assumptions!$B$10/Projects!$D$9,0)+IF(AND(Projects!$G$10="Yes",22&gt;=Projects!$C$10,22&lt;Projects!$C$10+Projects!$D$10),Projects!$B$10*Assumptions!$B$10/Projects!$D$10,0)+IF(AND(Projects!$G$11="Yes",22&gt;=Projects!$C$11,22&lt;Projects!$C$11+Projects!$D$11),Projects!$B$11*Assumptions!$B$10/Projects!$D$11,0)+IF(AND(Projects!$G$12="Yes",22&gt;=Projects!$C$12,22&lt;Projects!$C$12+Projects!$D$12),Projects!$B$12*Assumptions!$B$10/Projects!$D$12,0)+IF(AND(Projects!$G$13="Yes",22&gt;=Projects!$C$13,22&lt;Projects!$C$13+Projects!$D$13),Projects!$B$13*Assumptions!$B$10/Projects!$D$13,0)+IF(AND(Projects!$G$14="Yes",22&gt;=Projects!$C$14,22&lt;Projects!$C$14+Projects!$D$14),Projects!$B$14*Assumptions!$B$10/Projects!$D$14,0)+IF(AND(Projects!$G$15="Yes",22&gt;=Projects!$C$15,22&lt;Projects!$C$15+Projects!$D$15),Projects!$B$15*Assumptions!$B$10/Projects!$D$15,0)+IF(AND(Projects!$G$16="Yes",22&gt;=Projects!$C$16,22&lt;Projects!$C$16+Projects!$D$16),Projects!$B$16*Assumptions!$B$10/Projects!$D$16,0)</f>
        <v>247035.282617054</v>
      </c>
      <c r="Y8" s="10" t="n">
        <f aca="false">IF(AND(Projects!$G$2="Yes",23&gt;=Projects!$C$2,23&lt;Projects!$C$2+Projects!$D$2),194932/Projects!$D$2,0)+IF(AND(Projects!$G$3="Yes",23&gt;=Projects!$C$3,23&lt;Projects!$C$3+Projects!$D$3),888067/Projects!$D$3,0)+IF(AND(Projects!$G$4="Yes",23&gt;=Projects!$C$4,23&lt;Projects!$C$4+Projects!$D$4),Projects!$B$4*Assumptions!$B$10/Projects!$D$4,0)+IF(AND(Projects!$G$5="Yes",23&gt;=Projects!$C$5,23&lt;Projects!$C$5+Projects!$D$5),Projects!$B$5*Assumptions!$B$10/Projects!$D$5,0)+IF(AND(Projects!$G$6="Yes",23&gt;=Projects!$C$6,23&lt;Projects!$C$6+Projects!$D$6),245000/Projects!$D$6,0)+IF(AND(Projects!$G$7="Yes",23&gt;=Projects!$C$7,23&lt;Projects!$C$7+Projects!$D$7),Projects!$B$7*Assumptions!$B$10/Projects!$D$7,0)+IF(AND(Projects!$G$8="Yes",23&gt;=Projects!$C$8,23&lt;Projects!$C$8+Projects!$D$8),Projects!$B$8*Assumptions!$B$10/Projects!$D$8,0)+IF(AND(Projects!$G$9="Yes",23&gt;=Projects!$C$9,23&lt;Projects!$C$9+Projects!$D$9),Projects!$B$9*Assumptions!$B$10/Projects!$D$9,0)+IF(AND(Projects!$G$10="Yes",23&gt;=Projects!$C$10,23&lt;Projects!$C$10+Projects!$D$10),Projects!$B$10*Assumptions!$B$10/Projects!$D$10,0)+IF(AND(Projects!$G$11="Yes",23&gt;=Projects!$C$11,23&lt;Projects!$C$11+Projects!$D$11),Projects!$B$11*Assumptions!$B$10/Projects!$D$11,0)+IF(AND(Projects!$G$12="Yes",23&gt;=Projects!$C$12,23&lt;Projects!$C$12+Projects!$D$12),Projects!$B$12*Assumptions!$B$10/Projects!$D$12,0)+IF(AND(Projects!$G$13="Yes",23&gt;=Projects!$C$13,23&lt;Projects!$C$13+Projects!$D$13),Projects!$B$13*Assumptions!$B$10/Projects!$D$13,0)+IF(AND(Projects!$G$14="Yes",23&gt;=Projects!$C$14,23&lt;Projects!$C$14+Projects!$D$14),Projects!$B$14*Assumptions!$B$10/Projects!$D$14,0)+IF(AND(Projects!$G$15="Yes",23&gt;=Projects!$C$15,23&lt;Projects!$C$15+Projects!$D$15),Projects!$B$15*Assumptions!$B$10/Projects!$D$15,0)+IF(AND(Projects!$G$16="Yes",23&gt;=Projects!$C$16,23&lt;Projects!$C$16+Projects!$D$16),Projects!$B$16*Assumptions!$B$10/Projects!$D$16,0)</f>
        <v>247035.282617054</v>
      </c>
      <c r="Z8" s="10" t="n">
        <f aca="false">IF(AND(Projects!$G$2="Yes",24&gt;=Projects!$C$2,24&lt;Projects!$C$2+Projects!$D$2),194932/Projects!$D$2,0)+IF(AND(Projects!$G$3="Yes",24&gt;=Projects!$C$3,24&lt;Projects!$C$3+Projects!$D$3),888067/Projects!$D$3,0)+IF(AND(Projects!$G$4="Yes",24&gt;=Projects!$C$4,24&lt;Projects!$C$4+Projects!$D$4),Projects!$B$4*Assumptions!$B$10/Projects!$D$4,0)+IF(AND(Projects!$G$5="Yes",24&gt;=Projects!$C$5,24&lt;Projects!$C$5+Projects!$D$5),Projects!$B$5*Assumptions!$B$10/Projects!$D$5,0)+IF(AND(Projects!$G$6="Yes",24&gt;=Projects!$C$6,24&lt;Projects!$C$6+Projects!$D$6),245000/Projects!$D$6,0)+IF(AND(Projects!$G$7="Yes",24&gt;=Projects!$C$7,24&lt;Projects!$C$7+Projects!$D$7),Projects!$B$7*Assumptions!$B$10/Projects!$D$7,0)+IF(AND(Projects!$G$8="Yes",24&gt;=Projects!$C$8,24&lt;Projects!$C$8+Projects!$D$8),Projects!$B$8*Assumptions!$B$10/Projects!$D$8,0)+IF(AND(Projects!$G$9="Yes",24&gt;=Projects!$C$9,24&lt;Projects!$C$9+Projects!$D$9),Projects!$B$9*Assumptions!$B$10/Projects!$D$9,0)+IF(AND(Projects!$G$10="Yes",24&gt;=Projects!$C$10,24&lt;Projects!$C$10+Projects!$D$10),Projects!$B$10*Assumptions!$B$10/Projects!$D$10,0)+IF(AND(Projects!$G$11="Yes",24&gt;=Projects!$C$11,24&lt;Projects!$C$11+Projects!$D$11),Projects!$B$11*Assumptions!$B$10/Projects!$D$11,0)+IF(AND(Projects!$G$12="Yes",24&gt;=Projects!$C$12,24&lt;Projects!$C$12+Projects!$D$12),Projects!$B$12*Assumptions!$B$10/Projects!$D$12,0)+IF(AND(Projects!$G$13="Yes",24&gt;=Projects!$C$13,24&lt;Projects!$C$13+Projects!$D$13),Projects!$B$13*Assumptions!$B$10/Projects!$D$13,0)+IF(AND(Projects!$G$14="Yes",24&gt;=Projects!$C$14,24&lt;Projects!$C$14+Projects!$D$14),Projects!$B$14*Assumptions!$B$10/Projects!$D$14,0)+IF(AND(Projects!$G$15="Yes",24&gt;=Projects!$C$15,24&lt;Projects!$C$15+Projects!$D$15),Projects!$B$15*Assumptions!$B$10/Projects!$D$15,0)+IF(AND(Projects!$G$16="Yes",24&gt;=Projects!$C$16,24&lt;Projects!$C$16+Projects!$D$16),Projects!$B$16*Assumptions!$B$10/Projects!$D$16,0)</f>
        <v>247035.282617054</v>
      </c>
      <c r="AA8" s="10" t="n">
        <f aca="false">IF(AND(Projects!$G$2="Yes",25&gt;=Projects!$C$2,25&lt;Projects!$C$2+Projects!$D$2),194932/Projects!$D$2,0)+IF(AND(Projects!$G$3="Yes",25&gt;=Projects!$C$3,25&lt;Projects!$C$3+Projects!$D$3),888067/Projects!$D$3,0)+IF(AND(Projects!$G$4="Yes",25&gt;=Projects!$C$4,25&lt;Projects!$C$4+Projects!$D$4),Projects!$B$4*Assumptions!$B$10/Projects!$D$4,0)+IF(AND(Projects!$G$5="Yes",25&gt;=Projects!$C$5,25&lt;Projects!$C$5+Projects!$D$5),Projects!$B$5*Assumptions!$B$10/Projects!$D$5,0)+IF(AND(Projects!$G$6="Yes",25&gt;=Projects!$C$6,25&lt;Projects!$C$6+Projects!$D$6),245000/Projects!$D$6,0)+IF(AND(Projects!$G$7="Yes",25&gt;=Projects!$C$7,25&lt;Projects!$C$7+Projects!$D$7),Projects!$B$7*Assumptions!$B$10/Projects!$D$7,0)+IF(AND(Projects!$G$8="Yes",25&gt;=Projects!$C$8,25&lt;Projects!$C$8+Projects!$D$8),Projects!$B$8*Assumptions!$B$10/Projects!$D$8,0)+IF(AND(Projects!$G$9="Yes",25&gt;=Projects!$C$9,25&lt;Projects!$C$9+Projects!$D$9),Projects!$B$9*Assumptions!$B$10/Projects!$D$9,0)+IF(AND(Projects!$G$10="Yes",25&gt;=Projects!$C$10,25&lt;Projects!$C$10+Projects!$D$10),Projects!$B$10*Assumptions!$B$10/Projects!$D$10,0)+IF(AND(Projects!$G$11="Yes",25&gt;=Projects!$C$11,25&lt;Projects!$C$11+Projects!$D$11),Projects!$B$11*Assumptions!$B$10/Projects!$D$11,0)+IF(AND(Projects!$G$12="Yes",25&gt;=Projects!$C$12,25&lt;Projects!$C$12+Projects!$D$12),Projects!$B$12*Assumptions!$B$10/Projects!$D$12,0)+IF(AND(Projects!$G$13="Yes",25&gt;=Projects!$C$13,25&lt;Projects!$C$13+Projects!$D$13),Projects!$B$13*Assumptions!$B$10/Projects!$D$13,0)+IF(AND(Projects!$G$14="Yes",25&gt;=Projects!$C$14,25&lt;Projects!$C$14+Projects!$D$14),Projects!$B$14*Assumptions!$B$10/Projects!$D$14,0)+IF(AND(Projects!$G$15="Yes",25&gt;=Projects!$C$15,25&lt;Projects!$C$15+Projects!$D$15),Projects!$B$15*Assumptions!$B$10/Projects!$D$15,0)+IF(AND(Projects!$G$16="Yes",25&gt;=Projects!$C$16,25&lt;Projects!$C$16+Projects!$D$16),Projects!$B$16*Assumptions!$B$10/Projects!$D$16,0)</f>
        <v>247035.282617054</v>
      </c>
      <c r="AB8" s="10" t="n">
        <f aca="false">IF(AND(Projects!$G$2="Yes",26&gt;=Projects!$C$2,26&lt;Projects!$C$2+Projects!$D$2),194932/Projects!$D$2,0)+IF(AND(Projects!$G$3="Yes",26&gt;=Projects!$C$3,26&lt;Projects!$C$3+Projects!$D$3),888067/Projects!$D$3,0)+IF(AND(Projects!$G$4="Yes",26&gt;=Projects!$C$4,26&lt;Projects!$C$4+Projects!$D$4),Projects!$B$4*Assumptions!$B$10/Projects!$D$4,0)+IF(AND(Projects!$G$5="Yes",26&gt;=Projects!$C$5,26&lt;Projects!$C$5+Projects!$D$5),Projects!$B$5*Assumptions!$B$10/Projects!$D$5,0)+IF(AND(Projects!$G$6="Yes",26&gt;=Projects!$C$6,26&lt;Projects!$C$6+Projects!$D$6),245000/Projects!$D$6,0)+IF(AND(Projects!$G$7="Yes",26&gt;=Projects!$C$7,26&lt;Projects!$C$7+Projects!$D$7),Projects!$B$7*Assumptions!$B$10/Projects!$D$7,0)+IF(AND(Projects!$G$8="Yes",26&gt;=Projects!$C$8,26&lt;Projects!$C$8+Projects!$D$8),Projects!$B$8*Assumptions!$B$10/Projects!$D$8,0)+IF(AND(Projects!$G$9="Yes",26&gt;=Projects!$C$9,26&lt;Projects!$C$9+Projects!$D$9),Projects!$B$9*Assumptions!$B$10/Projects!$D$9,0)+IF(AND(Projects!$G$10="Yes",26&gt;=Projects!$C$10,26&lt;Projects!$C$10+Projects!$D$10),Projects!$B$10*Assumptions!$B$10/Projects!$D$10,0)+IF(AND(Projects!$G$11="Yes",26&gt;=Projects!$C$11,26&lt;Projects!$C$11+Projects!$D$11),Projects!$B$11*Assumptions!$B$10/Projects!$D$11,0)+IF(AND(Projects!$G$12="Yes",26&gt;=Projects!$C$12,26&lt;Projects!$C$12+Projects!$D$12),Projects!$B$12*Assumptions!$B$10/Projects!$D$12,0)+IF(AND(Projects!$G$13="Yes",26&gt;=Projects!$C$13,26&lt;Projects!$C$13+Projects!$D$13),Projects!$B$13*Assumptions!$B$10/Projects!$D$13,0)+IF(AND(Projects!$G$14="Yes",26&gt;=Projects!$C$14,26&lt;Projects!$C$14+Projects!$D$14),Projects!$B$14*Assumptions!$B$10/Projects!$D$14,0)+IF(AND(Projects!$G$15="Yes",26&gt;=Projects!$C$15,26&lt;Projects!$C$15+Projects!$D$15),Projects!$B$15*Assumptions!$B$10/Projects!$D$15,0)+IF(AND(Projects!$G$16="Yes",26&gt;=Projects!$C$16,26&lt;Projects!$C$16+Projects!$D$16),Projects!$B$16*Assumptions!$B$10/Projects!$D$16,0)</f>
        <v>212109.346185065</v>
      </c>
      <c r="AC8" s="10" t="n">
        <f aca="false">IF(AND(Projects!$G$2="Yes",27&gt;=Projects!$C$2,27&lt;Projects!$C$2+Projects!$D$2),194932/Projects!$D$2,0)+IF(AND(Projects!$G$3="Yes",27&gt;=Projects!$C$3,27&lt;Projects!$C$3+Projects!$D$3),888067/Projects!$D$3,0)+IF(AND(Projects!$G$4="Yes",27&gt;=Projects!$C$4,27&lt;Projects!$C$4+Projects!$D$4),Projects!$B$4*Assumptions!$B$10/Projects!$D$4,0)+IF(AND(Projects!$G$5="Yes",27&gt;=Projects!$C$5,27&lt;Projects!$C$5+Projects!$D$5),Projects!$B$5*Assumptions!$B$10/Projects!$D$5,0)+IF(AND(Projects!$G$6="Yes",27&gt;=Projects!$C$6,27&lt;Projects!$C$6+Projects!$D$6),245000/Projects!$D$6,0)+IF(AND(Projects!$G$7="Yes",27&gt;=Projects!$C$7,27&lt;Projects!$C$7+Projects!$D$7),Projects!$B$7*Assumptions!$B$10/Projects!$D$7,0)+IF(AND(Projects!$G$8="Yes",27&gt;=Projects!$C$8,27&lt;Projects!$C$8+Projects!$D$8),Projects!$B$8*Assumptions!$B$10/Projects!$D$8,0)+IF(AND(Projects!$G$9="Yes",27&gt;=Projects!$C$9,27&lt;Projects!$C$9+Projects!$D$9),Projects!$B$9*Assumptions!$B$10/Projects!$D$9,0)+IF(AND(Projects!$G$10="Yes",27&gt;=Projects!$C$10,27&lt;Projects!$C$10+Projects!$D$10),Projects!$B$10*Assumptions!$B$10/Projects!$D$10,0)+IF(AND(Projects!$G$11="Yes",27&gt;=Projects!$C$11,27&lt;Projects!$C$11+Projects!$D$11),Projects!$B$11*Assumptions!$B$10/Projects!$D$11,0)+IF(AND(Projects!$G$12="Yes",27&gt;=Projects!$C$12,27&lt;Projects!$C$12+Projects!$D$12),Projects!$B$12*Assumptions!$B$10/Projects!$D$12,0)+IF(AND(Projects!$G$13="Yes",27&gt;=Projects!$C$13,27&lt;Projects!$C$13+Projects!$D$13),Projects!$B$13*Assumptions!$B$10/Projects!$D$13,0)+IF(AND(Projects!$G$14="Yes",27&gt;=Projects!$C$14,27&lt;Projects!$C$14+Projects!$D$14),Projects!$B$14*Assumptions!$B$10/Projects!$D$14,0)+IF(AND(Projects!$G$15="Yes",27&gt;=Projects!$C$15,27&lt;Projects!$C$15+Projects!$D$15),Projects!$B$15*Assumptions!$B$10/Projects!$D$15,0)+IF(AND(Projects!$G$16="Yes",27&gt;=Projects!$C$16,27&lt;Projects!$C$16+Projects!$D$16),Projects!$B$16*Assumptions!$B$10/Projects!$D$16,0)</f>
        <v>279243.489042208</v>
      </c>
      <c r="AD8" s="10" t="n">
        <f aca="false">IF(AND(Projects!$G$2="Yes",28&gt;=Projects!$C$2,28&lt;Projects!$C$2+Projects!$D$2),194932/Projects!$D$2,0)+IF(AND(Projects!$G$3="Yes",28&gt;=Projects!$C$3,28&lt;Projects!$C$3+Projects!$D$3),888067/Projects!$D$3,0)+IF(AND(Projects!$G$4="Yes",28&gt;=Projects!$C$4,28&lt;Projects!$C$4+Projects!$D$4),Projects!$B$4*Assumptions!$B$10/Projects!$D$4,0)+IF(AND(Projects!$G$5="Yes",28&gt;=Projects!$C$5,28&lt;Projects!$C$5+Projects!$D$5),Projects!$B$5*Assumptions!$B$10/Projects!$D$5,0)+IF(AND(Projects!$G$6="Yes",28&gt;=Projects!$C$6,28&lt;Projects!$C$6+Projects!$D$6),245000/Projects!$D$6,0)+IF(AND(Projects!$G$7="Yes",28&gt;=Projects!$C$7,28&lt;Projects!$C$7+Projects!$D$7),Projects!$B$7*Assumptions!$B$10/Projects!$D$7,0)+IF(AND(Projects!$G$8="Yes",28&gt;=Projects!$C$8,28&lt;Projects!$C$8+Projects!$D$8),Projects!$B$8*Assumptions!$B$10/Projects!$D$8,0)+IF(AND(Projects!$G$9="Yes",28&gt;=Projects!$C$9,28&lt;Projects!$C$9+Projects!$D$9),Projects!$B$9*Assumptions!$B$10/Projects!$D$9,0)+IF(AND(Projects!$G$10="Yes",28&gt;=Projects!$C$10,28&lt;Projects!$C$10+Projects!$D$10),Projects!$B$10*Assumptions!$B$10/Projects!$D$10,0)+IF(AND(Projects!$G$11="Yes",28&gt;=Projects!$C$11,28&lt;Projects!$C$11+Projects!$D$11),Projects!$B$11*Assumptions!$B$10/Projects!$D$11,0)+IF(AND(Projects!$G$12="Yes",28&gt;=Projects!$C$12,28&lt;Projects!$C$12+Projects!$D$12),Projects!$B$12*Assumptions!$B$10/Projects!$D$12,0)+IF(AND(Projects!$G$13="Yes",28&gt;=Projects!$C$13,28&lt;Projects!$C$13+Projects!$D$13),Projects!$B$13*Assumptions!$B$10/Projects!$D$13,0)+IF(AND(Projects!$G$14="Yes",28&gt;=Projects!$C$14,28&lt;Projects!$C$14+Projects!$D$14),Projects!$B$14*Assumptions!$B$10/Projects!$D$14,0)+IF(AND(Projects!$G$15="Yes",28&gt;=Projects!$C$15,28&lt;Projects!$C$15+Projects!$D$15),Projects!$B$15*Assumptions!$B$10/Projects!$D$15,0)+IF(AND(Projects!$G$16="Yes",28&gt;=Projects!$C$16,28&lt;Projects!$C$16+Projects!$D$16),Projects!$B$16*Assumptions!$B$10/Projects!$D$16,0)</f>
        <v>279243.489042208</v>
      </c>
      <c r="AE8" s="10" t="n">
        <f aca="false">IF(AND(Projects!$G$2="Yes",29&gt;=Projects!$C$2,29&lt;Projects!$C$2+Projects!$D$2),194932/Projects!$D$2,0)+IF(AND(Projects!$G$3="Yes",29&gt;=Projects!$C$3,29&lt;Projects!$C$3+Projects!$D$3),888067/Projects!$D$3,0)+IF(AND(Projects!$G$4="Yes",29&gt;=Projects!$C$4,29&lt;Projects!$C$4+Projects!$D$4),Projects!$B$4*Assumptions!$B$10/Projects!$D$4,0)+IF(AND(Projects!$G$5="Yes",29&gt;=Projects!$C$5,29&lt;Projects!$C$5+Projects!$D$5),Projects!$B$5*Assumptions!$B$10/Projects!$D$5,0)+IF(AND(Projects!$G$6="Yes",29&gt;=Projects!$C$6,29&lt;Projects!$C$6+Projects!$D$6),245000/Projects!$D$6,0)+IF(AND(Projects!$G$7="Yes",29&gt;=Projects!$C$7,29&lt;Projects!$C$7+Projects!$D$7),Projects!$B$7*Assumptions!$B$10/Projects!$D$7,0)+IF(AND(Projects!$G$8="Yes",29&gt;=Projects!$C$8,29&lt;Projects!$C$8+Projects!$D$8),Projects!$B$8*Assumptions!$B$10/Projects!$D$8,0)+IF(AND(Projects!$G$9="Yes",29&gt;=Projects!$C$9,29&lt;Projects!$C$9+Projects!$D$9),Projects!$B$9*Assumptions!$B$10/Projects!$D$9,0)+IF(AND(Projects!$G$10="Yes",29&gt;=Projects!$C$10,29&lt;Projects!$C$10+Projects!$D$10),Projects!$B$10*Assumptions!$B$10/Projects!$D$10,0)+IF(AND(Projects!$G$11="Yes",29&gt;=Projects!$C$11,29&lt;Projects!$C$11+Projects!$D$11),Projects!$B$11*Assumptions!$B$10/Projects!$D$11,0)+IF(AND(Projects!$G$12="Yes",29&gt;=Projects!$C$12,29&lt;Projects!$C$12+Projects!$D$12),Projects!$B$12*Assumptions!$B$10/Projects!$D$12,0)+IF(AND(Projects!$G$13="Yes",29&gt;=Projects!$C$13,29&lt;Projects!$C$13+Projects!$D$13),Projects!$B$13*Assumptions!$B$10/Projects!$D$13,0)+IF(AND(Projects!$G$14="Yes",29&gt;=Projects!$C$14,29&lt;Projects!$C$14+Projects!$D$14),Projects!$B$14*Assumptions!$B$10/Projects!$D$14,0)+IF(AND(Projects!$G$15="Yes",29&gt;=Projects!$C$15,29&lt;Projects!$C$15+Projects!$D$15),Projects!$B$15*Assumptions!$B$10/Projects!$D$15,0)+IF(AND(Projects!$G$16="Yes",29&gt;=Projects!$C$16,29&lt;Projects!$C$16+Projects!$D$16),Projects!$B$16*Assumptions!$B$10/Projects!$D$16,0)</f>
        <v>279243.489042208</v>
      </c>
      <c r="AF8" s="10" t="n">
        <f aca="false">IF(AND(Projects!$G$2="Yes",30&gt;=Projects!$C$2,30&lt;Projects!$C$2+Projects!$D$2),194932/Projects!$D$2,0)+IF(AND(Projects!$G$3="Yes",30&gt;=Projects!$C$3,30&lt;Projects!$C$3+Projects!$D$3),888067/Projects!$D$3,0)+IF(AND(Projects!$G$4="Yes",30&gt;=Projects!$C$4,30&lt;Projects!$C$4+Projects!$D$4),Projects!$B$4*Assumptions!$B$10/Projects!$D$4,0)+IF(AND(Projects!$G$5="Yes",30&gt;=Projects!$C$5,30&lt;Projects!$C$5+Projects!$D$5),Projects!$B$5*Assumptions!$B$10/Projects!$D$5,0)+IF(AND(Projects!$G$6="Yes",30&gt;=Projects!$C$6,30&lt;Projects!$C$6+Projects!$D$6),245000/Projects!$D$6,0)+IF(AND(Projects!$G$7="Yes",30&gt;=Projects!$C$7,30&lt;Projects!$C$7+Projects!$D$7),Projects!$B$7*Assumptions!$B$10/Projects!$D$7,0)+IF(AND(Projects!$G$8="Yes",30&gt;=Projects!$C$8,30&lt;Projects!$C$8+Projects!$D$8),Projects!$B$8*Assumptions!$B$10/Projects!$D$8,0)+IF(AND(Projects!$G$9="Yes",30&gt;=Projects!$C$9,30&lt;Projects!$C$9+Projects!$D$9),Projects!$B$9*Assumptions!$B$10/Projects!$D$9,0)+IF(AND(Projects!$G$10="Yes",30&gt;=Projects!$C$10,30&lt;Projects!$C$10+Projects!$D$10),Projects!$B$10*Assumptions!$B$10/Projects!$D$10,0)+IF(AND(Projects!$G$11="Yes",30&gt;=Projects!$C$11,30&lt;Projects!$C$11+Projects!$D$11),Projects!$B$11*Assumptions!$B$10/Projects!$D$11,0)+IF(AND(Projects!$G$12="Yes",30&gt;=Projects!$C$12,30&lt;Projects!$C$12+Projects!$D$12),Projects!$B$12*Assumptions!$B$10/Projects!$D$12,0)+IF(AND(Projects!$G$13="Yes",30&gt;=Projects!$C$13,30&lt;Projects!$C$13+Projects!$D$13),Projects!$B$13*Assumptions!$B$10/Projects!$D$13,0)+IF(AND(Projects!$G$14="Yes",30&gt;=Projects!$C$14,30&lt;Projects!$C$14+Projects!$D$14),Projects!$B$14*Assumptions!$B$10/Projects!$D$14,0)+IF(AND(Projects!$G$15="Yes",30&gt;=Projects!$C$15,30&lt;Projects!$C$15+Projects!$D$15),Projects!$B$15*Assumptions!$B$10/Projects!$D$15,0)+IF(AND(Projects!$G$16="Yes",30&gt;=Projects!$C$16,30&lt;Projects!$C$16+Projects!$D$16),Projects!$B$16*Assumptions!$B$10/Projects!$D$16,0)</f>
        <v>279243.489042208</v>
      </c>
      <c r="AG8" s="10" t="n">
        <f aca="false">IF(AND(Projects!$G$2="Yes",31&gt;=Projects!$C$2,31&lt;Projects!$C$2+Projects!$D$2),194932/Projects!$D$2,0)+IF(AND(Projects!$G$3="Yes",31&gt;=Projects!$C$3,31&lt;Projects!$C$3+Projects!$D$3),888067/Projects!$D$3,0)+IF(AND(Projects!$G$4="Yes",31&gt;=Projects!$C$4,31&lt;Projects!$C$4+Projects!$D$4),Projects!$B$4*Assumptions!$B$10/Projects!$D$4,0)+IF(AND(Projects!$G$5="Yes",31&gt;=Projects!$C$5,31&lt;Projects!$C$5+Projects!$D$5),Projects!$B$5*Assumptions!$B$10/Projects!$D$5,0)+IF(AND(Projects!$G$6="Yes",31&gt;=Projects!$C$6,31&lt;Projects!$C$6+Projects!$D$6),245000/Projects!$D$6,0)+IF(AND(Projects!$G$7="Yes",31&gt;=Projects!$C$7,31&lt;Projects!$C$7+Projects!$D$7),Projects!$B$7*Assumptions!$B$10/Projects!$D$7,0)+IF(AND(Projects!$G$8="Yes",31&gt;=Projects!$C$8,31&lt;Projects!$C$8+Projects!$D$8),Projects!$B$8*Assumptions!$B$10/Projects!$D$8,0)+IF(AND(Projects!$G$9="Yes",31&gt;=Projects!$C$9,31&lt;Projects!$C$9+Projects!$D$9),Projects!$B$9*Assumptions!$B$10/Projects!$D$9,0)+IF(AND(Projects!$G$10="Yes",31&gt;=Projects!$C$10,31&lt;Projects!$C$10+Projects!$D$10),Projects!$B$10*Assumptions!$B$10/Projects!$D$10,0)+IF(AND(Projects!$G$11="Yes",31&gt;=Projects!$C$11,31&lt;Projects!$C$11+Projects!$D$11),Projects!$B$11*Assumptions!$B$10/Projects!$D$11,0)+IF(AND(Projects!$G$12="Yes",31&gt;=Projects!$C$12,31&lt;Projects!$C$12+Projects!$D$12),Projects!$B$12*Assumptions!$B$10/Projects!$D$12,0)+IF(AND(Projects!$G$13="Yes",31&gt;=Projects!$C$13,31&lt;Projects!$C$13+Projects!$D$13),Projects!$B$13*Assumptions!$B$10/Projects!$D$13,0)+IF(AND(Projects!$G$14="Yes",31&gt;=Projects!$C$14,31&lt;Projects!$C$14+Projects!$D$14),Projects!$B$14*Assumptions!$B$10/Projects!$D$14,0)+IF(AND(Projects!$G$15="Yes",31&gt;=Projects!$C$15,31&lt;Projects!$C$15+Projects!$D$15),Projects!$B$15*Assumptions!$B$10/Projects!$D$15,0)+IF(AND(Projects!$G$16="Yes",31&gt;=Projects!$C$16,31&lt;Projects!$C$16+Projects!$D$16),Projects!$B$16*Assumptions!$B$10/Projects!$D$16,0)</f>
        <v>279243.489042208</v>
      </c>
      <c r="AH8" s="10" t="n">
        <f aca="false">IF(AND(Projects!$G$2="Yes",32&gt;=Projects!$C$2,32&lt;Projects!$C$2+Projects!$D$2),194932/Projects!$D$2,0)+IF(AND(Projects!$G$3="Yes",32&gt;=Projects!$C$3,32&lt;Projects!$C$3+Projects!$D$3),888067/Projects!$D$3,0)+IF(AND(Projects!$G$4="Yes",32&gt;=Projects!$C$4,32&lt;Projects!$C$4+Projects!$D$4),Projects!$B$4*Assumptions!$B$10/Projects!$D$4,0)+IF(AND(Projects!$G$5="Yes",32&gt;=Projects!$C$5,32&lt;Projects!$C$5+Projects!$D$5),Projects!$B$5*Assumptions!$B$10/Projects!$D$5,0)+IF(AND(Projects!$G$6="Yes",32&gt;=Projects!$C$6,32&lt;Projects!$C$6+Projects!$D$6),245000/Projects!$D$6,0)+IF(AND(Projects!$G$7="Yes",32&gt;=Projects!$C$7,32&lt;Projects!$C$7+Projects!$D$7),Projects!$B$7*Assumptions!$B$10/Projects!$D$7,0)+IF(AND(Projects!$G$8="Yes",32&gt;=Projects!$C$8,32&lt;Projects!$C$8+Projects!$D$8),Projects!$B$8*Assumptions!$B$10/Projects!$D$8,0)+IF(AND(Projects!$G$9="Yes",32&gt;=Projects!$C$9,32&lt;Projects!$C$9+Projects!$D$9),Projects!$B$9*Assumptions!$B$10/Projects!$D$9,0)+IF(AND(Projects!$G$10="Yes",32&gt;=Projects!$C$10,32&lt;Projects!$C$10+Projects!$D$10),Projects!$B$10*Assumptions!$B$10/Projects!$D$10,0)+IF(AND(Projects!$G$11="Yes",32&gt;=Projects!$C$11,32&lt;Projects!$C$11+Projects!$D$11),Projects!$B$11*Assumptions!$B$10/Projects!$D$11,0)+IF(AND(Projects!$G$12="Yes",32&gt;=Projects!$C$12,32&lt;Projects!$C$12+Projects!$D$12),Projects!$B$12*Assumptions!$B$10/Projects!$D$12,0)+IF(AND(Projects!$G$13="Yes",32&gt;=Projects!$C$13,32&lt;Projects!$C$13+Projects!$D$13),Projects!$B$13*Assumptions!$B$10/Projects!$D$13,0)+IF(AND(Projects!$G$14="Yes",32&gt;=Projects!$C$14,32&lt;Projects!$C$14+Projects!$D$14),Projects!$B$14*Assumptions!$B$10/Projects!$D$14,0)+IF(AND(Projects!$G$15="Yes",32&gt;=Projects!$C$15,32&lt;Projects!$C$15+Projects!$D$15),Projects!$B$15*Assumptions!$B$10/Projects!$D$15,0)+IF(AND(Projects!$G$16="Yes",32&gt;=Projects!$C$16,32&lt;Projects!$C$16+Projects!$D$16),Projects!$B$16*Assumptions!$B$10/Projects!$D$16,0)</f>
        <v>236095.345779221</v>
      </c>
      <c r="AI8" s="10" t="n">
        <f aca="false">IF(AND(Projects!$G$2="Yes",33&gt;=Projects!$C$2,33&lt;Projects!$C$2+Projects!$D$2),194932/Projects!$D$2,0)+IF(AND(Projects!$G$3="Yes",33&gt;=Projects!$C$3,33&lt;Projects!$C$3+Projects!$D$3),888067/Projects!$D$3,0)+IF(AND(Projects!$G$4="Yes",33&gt;=Projects!$C$4,33&lt;Projects!$C$4+Projects!$D$4),Projects!$B$4*Assumptions!$B$10/Projects!$D$4,0)+IF(AND(Projects!$G$5="Yes",33&gt;=Projects!$C$5,33&lt;Projects!$C$5+Projects!$D$5),Projects!$B$5*Assumptions!$B$10/Projects!$D$5,0)+IF(AND(Projects!$G$6="Yes",33&gt;=Projects!$C$6,33&lt;Projects!$C$6+Projects!$D$6),245000/Projects!$D$6,0)+IF(AND(Projects!$G$7="Yes",33&gt;=Projects!$C$7,33&lt;Projects!$C$7+Projects!$D$7),Projects!$B$7*Assumptions!$B$10/Projects!$D$7,0)+IF(AND(Projects!$G$8="Yes",33&gt;=Projects!$C$8,33&lt;Projects!$C$8+Projects!$D$8),Projects!$B$8*Assumptions!$B$10/Projects!$D$8,0)+IF(AND(Projects!$G$9="Yes",33&gt;=Projects!$C$9,33&lt;Projects!$C$9+Projects!$D$9),Projects!$B$9*Assumptions!$B$10/Projects!$D$9,0)+IF(AND(Projects!$G$10="Yes",33&gt;=Projects!$C$10,33&lt;Projects!$C$10+Projects!$D$10),Projects!$B$10*Assumptions!$B$10/Projects!$D$10,0)+IF(AND(Projects!$G$11="Yes",33&gt;=Projects!$C$11,33&lt;Projects!$C$11+Projects!$D$11),Projects!$B$11*Assumptions!$B$10/Projects!$D$11,0)+IF(AND(Projects!$G$12="Yes",33&gt;=Projects!$C$12,33&lt;Projects!$C$12+Projects!$D$12),Projects!$B$12*Assumptions!$B$10/Projects!$D$12,0)+IF(AND(Projects!$G$13="Yes",33&gt;=Projects!$C$13,33&lt;Projects!$C$13+Projects!$D$13),Projects!$B$13*Assumptions!$B$10/Projects!$D$13,0)+IF(AND(Projects!$G$14="Yes",33&gt;=Projects!$C$14,33&lt;Projects!$C$14+Projects!$D$14),Projects!$B$14*Assumptions!$B$10/Projects!$D$14,0)+IF(AND(Projects!$G$15="Yes",33&gt;=Projects!$C$15,33&lt;Projects!$C$15+Projects!$D$15),Projects!$B$15*Assumptions!$B$10/Projects!$D$15,0)+IF(AND(Projects!$G$16="Yes",33&gt;=Projects!$C$16,33&lt;Projects!$C$16+Projects!$D$16),Projects!$B$16*Assumptions!$B$10/Projects!$D$16,0)</f>
        <v>236095.345779221</v>
      </c>
      <c r="AJ8" s="10" t="n">
        <f aca="false">IF(AND(Projects!$G$2="Yes",34&gt;=Projects!$C$2,34&lt;Projects!$C$2+Projects!$D$2),194932/Projects!$D$2,0)+IF(AND(Projects!$G$3="Yes",34&gt;=Projects!$C$3,34&lt;Projects!$C$3+Projects!$D$3),888067/Projects!$D$3,0)+IF(AND(Projects!$G$4="Yes",34&gt;=Projects!$C$4,34&lt;Projects!$C$4+Projects!$D$4),Projects!$B$4*Assumptions!$B$10/Projects!$D$4,0)+IF(AND(Projects!$G$5="Yes",34&gt;=Projects!$C$5,34&lt;Projects!$C$5+Projects!$D$5),Projects!$B$5*Assumptions!$B$10/Projects!$D$5,0)+IF(AND(Projects!$G$6="Yes",34&gt;=Projects!$C$6,34&lt;Projects!$C$6+Projects!$D$6),245000/Projects!$D$6,0)+IF(AND(Projects!$G$7="Yes",34&gt;=Projects!$C$7,34&lt;Projects!$C$7+Projects!$D$7),Projects!$B$7*Assumptions!$B$10/Projects!$D$7,0)+IF(AND(Projects!$G$8="Yes",34&gt;=Projects!$C$8,34&lt;Projects!$C$8+Projects!$D$8),Projects!$B$8*Assumptions!$B$10/Projects!$D$8,0)+IF(AND(Projects!$G$9="Yes",34&gt;=Projects!$C$9,34&lt;Projects!$C$9+Projects!$D$9),Projects!$B$9*Assumptions!$B$10/Projects!$D$9,0)+IF(AND(Projects!$G$10="Yes",34&gt;=Projects!$C$10,34&lt;Projects!$C$10+Projects!$D$10),Projects!$B$10*Assumptions!$B$10/Projects!$D$10,0)+IF(AND(Projects!$G$11="Yes",34&gt;=Projects!$C$11,34&lt;Projects!$C$11+Projects!$D$11),Projects!$B$11*Assumptions!$B$10/Projects!$D$11,0)+IF(AND(Projects!$G$12="Yes",34&gt;=Projects!$C$12,34&lt;Projects!$C$12+Projects!$D$12),Projects!$B$12*Assumptions!$B$10/Projects!$D$12,0)+IF(AND(Projects!$G$13="Yes",34&gt;=Projects!$C$13,34&lt;Projects!$C$13+Projects!$D$13),Projects!$B$13*Assumptions!$B$10/Projects!$D$13,0)+IF(AND(Projects!$G$14="Yes",34&gt;=Projects!$C$14,34&lt;Projects!$C$14+Projects!$D$14),Projects!$B$14*Assumptions!$B$10/Projects!$D$14,0)+IF(AND(Projects!$G$15="Yes",34&gt;=Projects!$C$15,34&lt;Projects!$C$15+Projects!$D$15),Projects!$B$15*Assumptions!$B$10/Projects!$D$15,0)+IF(AND(Projects!$G$16="Yes",34&gt;=Projects!$C$16,34&lt;Projects!$C$16+Projects!$D$16),Projects!$B$16*Assumptions!$B$10/Projects!$D$16,0)</f>
        <v>166341.371753247</v>
      </c>
      <c r="AK8" s="10" t="n">
        <f aca="false">IF(AND(Projects!$G$2="Yes",35&gt;=Projects!$C$2,35&lt;Projects!$C$2+Projects!$D$2),194932/Projects!$D$2,0)+IF(AND(Projects!$G$3="Yes",35&gt;=Projects!$C$3,35&lt;Projects!$C$3+Projects!$D$3),888067/Projects!$D$3,0)+IF(AND(Projects!$G$4="Yes",35&gt;=Projects!$C$4,35&lt;Projects!$C$4+Projects!$D$4),Projects!$B$4*Assumptions!$B$10/Projects!$D$4,0)+IF(AND(Projects!$G$5="Yes",35&gt;=Projects!$C$5,35&lt;Projects!$C$5+Projects!$D$5),Projects!$B$5*Assumptions!$B$10/Projects!$D$5,0)+IF(AND(Projects!$G$6="Yes",35&gt;=Projects!$C$6,35&lt;Projects!$C$6+Projects!$D$6),245000/Projects!$D$6,0)+IF(AND(Projects!$G$7="Yes",35&gt;=Projects!$C$7,35&lt;Projects!$C$7+Projects!$D$7),Projects!$B$7*Assumptions!$B$10/Projects!$D$7,0)+IF(AND(Projects!$G$8="Yes",35&gt;=Projects!$C$8,35&lt;Projects!$C$8+Projects!$D$8),Projects!$B$8*Assumptions!$B$10/Projects!$D$8,0)+IF(AND(Projects!$G$9="Yes",35&gt;=Projects!$C$9,35&lt;Projects!$C$9+Projects!$D$9),Projects!$B$9*Assumptions!$B$10/Projects!$D$9,0)+IF(AND(Projects!$G$10="Yes",35&gt;=Projects!$C$10,35&lt;Projects!$C$10+Projects!$D$10),Projects!$B$10*Assumptions!$B$10/Projects!$D$10,0)+IF(AND(Projects!$G$11="Yes",35&gt;=Projects!$C$11,35&lt;Projects!$C$11+Projects!$D$11),Projects!$B$11*Assumptions!$B$10/Projects!$D$11,0)+IF(AND(Projects!$G$12="Yes",35&gt;=Projects!$C$12,35&lt;Projects!$C$12+Projects!$D$12),Projects!$B$12*Assumptions!$B$10/Projects!$D$12,0)+IF(AND(Projects!$G$13="Yes",35&gt;=Projects!$C$13,35&lt;Projects!$C$13+Projects!$D$13),Projects!$B$13*Assumptions!$B$10/Projects!$D$13,0)+IF(AND(Projects!$G$14="Yes",35&gt;=Projects!$C$14,35&lt;Projects!$C$14+Projects!$D$14),Projects!$B$14*Assumptions!$B$10/Projects!$D$14,0)+IF(AND(Projects!$G$15="Yes",35&gt;=Projects!$C$15,35&lt;Projects!$C$15+Projects!$D$15),Projects!$B$15*Assumptions!$B$10/Projects!$D$15,0)+IF(AND(Projects!$G$16="Yes",35&gt;=Projects!$C$16,35&lt;Projects!$C$16+Projects!$D$16),Projects!$B$16*Assumptions!$B$10/Projects!$D$16,0)</f>
        <v>166341.371753247</v>
      </c>
      <c r="AL8" s="10" t="n">
        <f aca="false">IF(AND(Projects!$G$2="Yes",36&gt;=Projects!$C$2,36&lt;Projects!$C$2+Projects!$D$2),194932/Projects!$D$2,0)+IF(AND(Projects!$G$3="Yes",36&gt;=Projects!$C$3,36&lt;Projects!$C$3+Projects!$D$3),888067/Projects!$D$3,0)+IF(AND(Projects!$G$4="Yes",36&gt;=Projects!$C$4,36&lt;Projects!$C$4+Projects!$D$4),Projects!$B$4*Assumptions!$B$10/Projects!$D$4,0)+IF(AND(Projects!$G$5="Yes",36&gt;=Projects!$C$5,36&lt;Projects!$C$5+Projects!$D$5),Projects!$B$5*Assumptions!$B$10/Projects!$D$5,0)+IF(AND(Projects!$G$6="Yes",36&gt;=Projects!$C$6,36&lt;Projects!$C$6+Projects!$D$6),245000/Projects!$D$6,0)+IF(AND(Projects!$G$7="Yes",36&gt;=Projects!$C$7,36&lt;Projects!$C$7+Projects!$D$7),Projects!$B$7*Assumptions!$B$10/Projects!$D$7,0)+IF(AND(Projects!$G$8="Yes",36&gt;=Projects!$C$8,36&lt;Projects!$C$8+Projects!$D$8),Projects!$B$8*Assumptions!$B$10/Projects!$D$8,0)+IF(AND(Projects!$G$9="Yes",36&gt;=Projects!$C$9,36&lt;Projects!$C$9+Projects!$D$9),Projects!$B$9*Assumptions!$B$10/Projects!$D$9,0)+IF(AND(Projects!$G$10="Yes",36&gt;=Projects!$C$10,36&lt;Projects!$C$10+Projects!$D$10),Projects!$B$10*Assumptions!$B$10/Projects!$D$10,0)+IF(AND(Projects!$G$11="Yes",36&gt;=Projects!$C$11,36&lt;Projects!$C$11+Projects!$D$11),Projects!$B$11*Assumptions!$B$10/Projects!$D$11,0)+IF(AND(Projects!$G$12="Yes",36&gt;=Projects!$C$12,36&lt;Projects!$C$12+Projects!$D$12),Projects!$B$12*Assumptions!$B$10/Projects!$D$12,0)+IF(AND(Projects!$G$13="Yes",36&gt;=Projects!$C$13,36&lt;Projects!$C$13+Projects!$D$13),Projects!$B$13*Assumptions!$B$10/Projects!$D$13,0)+IF(AND(Projects!$G$14="Yes",36&gt;=Projects!$C$14,36&lt;Projects!$C$14+Projects!$D$14),Projects!$B$14*Assumptions!$B$10/Projects!$D$14,0)+IF(AND(Projects!$G$15="Yes",36&gt;=Projects!$C$15,36&lt;Projects!$C$15+Projects!$D$15),Projects!$B$15*Assumptions!$B$10/Projects!$D$15,0)+IF(AND(Projects!$G$16="Yes",36&gt;=Projects!$C$16,36&lt;Projects!$C$16+Projects!$D$16),Projects!$B$16*Assumptions!$B$10/Projects!$D$16,0)</f>
        <v>166341.371753247</v>
      </c>
      <c r="AM8" s="10" t="n">
        <f aca="false">IF(AND(Projects!$G$2="Yes",37&gt;=Projects!$C$2,37&lt;Projects!$C$2+Projects!$D$2),194932/Projects!$D$2,0)+IF(AND(Projects!$G$3="Yes",37&gt;=Projects!$C$3,37&lt;Projects!$C$3+Projects!$D$3),888067/Projects!$D$3,0)+IF(AND(Projects!$G$4="Yes",37&gt;=Projects!$C$4,37&lt;Projects!$C$4+Projects!$D$4),Projects!$B$4*Assumptions!$B$10/Projects!$D$4,0)+IF(AND(Projects!$G$5="Yes",37&gt;=Projects!$C$5,37&lt;Projects!$C$5+Projects!$D$5),Projects!$B$5*Assumptions!$B$10/Projects!$D$5,0)+IF(AND(Projects!$G$6="Yes",37&gt;=Projects!$C$6,37&lt;Projects!$C$6+Projects!$D$6),245000/Projects!$D$6,0)+IF(AND(Projects!$G$7="Yes",37&gt;=Projects!$C$7,37&lt;Projects!$C$7+Projects!$D$7),Projects!$B$7*Assumptions!$B$10/Projects!$D$7,0)+IF(AND(Projects!$G$8="Yes",37&gt;=Projects!$C$8,37&lt;Projects!$C$8+Projects!$D$8),Projects!$B$8*Assumptions!$B$10/Projects!$D$8,0)+IF(AND(Projects!$G$9="Yes",37&gt;=Projects!$C$9,37&lt;Projects!$C$9+Projects!$D$9),Projects!$B$9*Assumptions!$B$10/Projects!$D$9,0)+IF(AND(Projects!$G$10="Yes",37&gt;=Projects!$C$10,37&lt;Projects!$C$10+Projects!$D$10),Projects!$B$10*Assumptions!$B$10/Projects!$D$10,0)+IF(AND(Projects!$G$11="Yes",37&gt;=Projects!$C$11,37&lt;Projects!$C$11+Projects!$D$11),Projects!$B$11*Assumptions!$B$10/Projects!$D$11,0)+IF(AND(Projects!$G$12="Yes",37&gt;=Projects!$C$12,37&lt;Projects!$C$12+Projects!$D$12),Projects!$B$12*Assumptions!$B$10/Projects!$D$12,0)+IF(AND(Projects!$G$13="Yes",37&gt;=Projects!$C$13,37&lt;Projects!$C$13+Projects!$D$13),Projects!$B$13*Assumptions!$B$10/Projects!$D$13,0)+IF(AND(Projects!$G$14="Yes",37&gt;=Projects!$C$14,37&lt;Projects!$C$14+Projects!$D$14),Projects!$B$14*Assumptions!$B$10/Projects!$D$14,0)+IF(AND(Projects!$G$15="Yes",37&gt;=Projects!$C$15,37&lt;Projects!$C$15+Projects!$D$15),Projects!$B$15*Assumptions!$B$10/Projects!$D$15,0)+IF(AND(Projects!$G$16="Yes",37&gt;=Projects!$C$16,37&lt;Projects!$C$16+Projects!$D$16),Projects!$B$16*Assumptions!$B$10/Projects!$D$16,0)</f>
        <v>140619.159090909</v>
      </c>
      <c r="AN8" s="10" t="n">
        <f aca="false">IF(AND(Projects!$G$2="Yes",38&gt;=Projects!$C$2,38&lt;Projects!$C$2+Projects!$D$2),194932/Projects!$D$2,0)+IF(AND(Projects!$G$3="Yes",38&gt;=Projects!$C$3,38&lt;Projects!$C$3+Projects!$D$3),888067/Projects!$D$3,0)+IF(AND(Projects!$G$4="Yes",38&gt;=Projects!$C$4,38&lt;Projects!$C$4+Projects!$D$4),Projects!$B$4*Assumptions!$B$10/Projects!$D$4,0)+IF(AND(Projects!$G$5="Yes",38&gt;=Projects!$C$5,38&lt;Projects!$C$5+Projects!$D$5),Projects!$B$5*Assumptions!$B$10/Projects!$D$5,0)+IF(AND(Projects!$G$6="Yes",38&gt;=Projects!$C$6,38&lt;Projects!$C$6+Projects!$D$6),245000/Projects!$D$6,0)+IF(AND(Projects!$G$7="Yes",38&gt;=Projects!$C$7,38&lt;Projects!$C$7+Projects!$D$7),Projects!$B$7*Assumptions!$B$10/Projects!$D$7,0)+IF(AND(Projects!$G$8="Yes",38&gt;=Projects!$C$8,38&lt;Projects!$C$8+Projects!$D$8),Projects!$B$8*Assumptions!$B$10/Projects!$D$8,0)+IF(AND(Projects!$G$9="Yes",38&gt;=Projects!$C$9,38&lt;Projects!$C$9+Projects!$D$9),Projects!$B$9*Assumptions!$B$10/Projects!$D$9,0)+IF(AND(Projects!$G$10="Yes",38&gt;=Projects!$C$10,38&lt;Projects!$C$10+Projects!$D$10),Projects!$B$10*Assumptions!$B$10/Projects!$D$10,0)+IF(AND(Projects!$G$11="Yes",38&gt;=Projects!$C$11,38&lt;Projects!$C$11+Projects!$D$11),Projects!$B$11*Assumptions!$B$10/Projects!$D$11,0)+IF(AND(Projects!$G$12="Yes",38&gt;=Projects!$C$12,38&lt;Projects!$C$12+Projects!$D$12),Projects!$B$12*Assumptions!$B$10/Projects!$D$12,0)+IF(AND(Projects!$G$13="Yes",38&gt;=Projects!$C$13,38&lt;Projects!$C$13+Projects!$D$13),Projects!$B$13*Assumptions!$B$10/Projects!$D$13,0)+IF(AND(Projects!$G$14="Yes",38&gt;=Projects!$C$14,38&lt;Projects!$C$14+Projects!$D$14),Projects!$B$14*Assumptions!$B$10/Projects!$D$14,0)+IF(AND(Projects!$G$15="Yes",38&gt;=Projects!$C$15,38&lt;Projects!$C$15+Projects!$D$15),Projects!$B$15*Assumptions!$B$10/Projects!$D$15,0)+IF(AND(Projects!$G$16="Yes",38&gt;=Projects!$C$16,38&lt;Projects!$C$16+Projects!$D$16),Projects!$B$16*Assumptions!$B$10/Projects!$D$16,0)</f>
        <v>140619.159090909</v>
      </c>
      <c r="AO8" s="10" t="n">
        <f aca="false">IF(AND(Projects!$G$2="Yes",39&gt;=Projects!$C$2,39&lt;Projects!$C$2+Projects!$D$2),194932/Projects!$D$2,0)+IF(AND(Projects!$G$3="Yes",39&gt;=Projects!$C$3,39&lt;Projects!$C$3+Projects!$D$3),888067/Projects!$D$3,0)+IF(AND(Projects!$G$4="Yes",39&gt;=Projects!$C$4,39&lt;Projects!$C$4+Projects!$D$4),Projects!$B$4*Assumptions!$B$10/Projects!$D$4,0)+IF(AND(Projects!$G$5="Yes",39&gt;=Projects!$C$5,39&lt;Projects!$C$5+Projects!$D$5),Projects!$B$5*Assumptions!$B$10/Projects!$D$5,0)+IF(AND(Projects!$G$6="Yes",39&gt;=Projects!$C$6,39&lt;Projects!$C$6+Projects!$D$6),245000/Projects!$D$6,0)+IF(AND(Projects!$G$7="Yes",39&gt;=Projects!$C$7,39&lt;Projects!$C$7+Projects!$D$7),Projects!$B$7*Assumptions!$B$10/Projects!$D$7,0)+IF(AND(Projects!$G$8="Yes",39&gt;=Projects!$C$8,39&lt;Projects!$C$8+Projects!$D$8),Projects!$B$8*Assumptions!$B$10/Projects!$D$8,0)+IF(AND(Projects!$G$9="Yes",39&gt;=Projects!$C$9,39&lt;Projects!$C$9+Projects!$D$9),Projects!$B$9*Assumptions!$B$10/Projects!$D$9,0)+IF(AND(Projects!$G$10="Yes",39&gt;=Projects!$C$10,39&lt;Projects!$C$10+Projects!$D$10),Projects!$B$10*Assumptions!$B$10/Projects!$D$10,0)+IF(AND(Projects!$G$11="Yes",39&gt;=Projects!$C$11,39&lt;Projects!$C$11+Projects!$D$11),Projects!$B$11*Assumptions!$B$10/Projects!$D$11,0)+IF(AND(Projects!$G$12="Yes",39&gt;=Projects!$C$12,39&lt;Projects!$C$12+Projects!$D$12),Projects!$B$12*Assumptions!$B$10/Projects!$D$12,0)+IF(AND(Projects!$G$13="Yes",39&gt;=Projects!$C$13,39&lt;Projects!$C$13+Projects!$D$13),Projects!$B$13*Assumptions!$B$10/Projects!$D$13,0)+IF(AND(Projects!$G$14="Yes",39&gt;=Projects!$C$14,39&lt;Projects!$C$14+Projects!$D$14),Projects!$B$14*Assumptions!$B$10/Projects!$D$14,0)+IF(AND(Projects!$G$15="Yes",39&gt;=Projects!$C$15,39&lt;Projects!$C$15+Projects!$D$15),Projects!$B$15*Assumptions!$B$10/Projects!$D$15,0)+IF(AND(Projects!$G$16="Yes",39&gt;=Projects!$C$16,39&lt;Projects!$C$16+Projects!$D$16),Projects!$B$16*Assumptions!$B$10/Projects!$D$16,0)</f>
        <v>140619.159090909</v>
      </c>
      <c r="AP8" s="10" t="n">
        <f aca="false">IF(AND(Projects!$G$2="Yes",40&gt;=Projects!$C$2,40&lt;Projects!$C$2+Projects!$D$2),194932/Projects!$D$2,0)+IF(AND(Projects!$G$3="Yes",40&gt;=Projects!$C$3,40&lt;Projects!$C$3+Projects!$D$3),888067/Projects!$D$3,0)+IF(AND(Projects!$G$4="Yes",40&gt;=Projects!$C$4,40&lt;Projects!$C$4+Projects!$D$4),Projects!$B$4*Assumptions!$B$10/Projects!$D$4,0)+IF(AND(Projects!$G$5="Yes",40&gt;=Projects!$C$5,40&lt;Projects!$C$5+Projects!$D$5),Projects!$B$5*Assumptions!$B$10/Projects!$D$5,0)+IF(AND(Projects!$G$6="Yes",40&gt;=Projects!$C$6,40&lt;Projects!$C$6+Projects!$D$6),245000/Projects!$D$6,0)+IF(AND(Projects!$G$7="Yes",40&gt;=Projects!$C$7,40&lt;Projects!$C$7+Projects!$D$7),Projects!$B$7*Assumptions!$B$10/Projects!$D$7,0)+IF(AND(Projects!$G$8="Yes",40&gt;=Projects!$C$8,40&lt;Projects!$C$8+Projects!$D$8),Projects!$B$8*Assumptions!$B$10/Projects!$D$8,0)+IF(AND(Projects!$G$9="Yes",40&gt;=Projects!$C$9,40&lt;Projects!$C$9+Projects!$D$9),Projects!$B$9*Assumptions!$B$10/Projects!$D$9,0)+IF(AND(Projects!$G$10="Yes",40&gt;=Projects!$C$10,40&lt;Projects!$C$10+Projects!$D$10),Projects!$B$10*Assumptions!$B$10/Projects!$D$10,0)+IF(AND(Projects!$G$11="Yes",40&gt;=Projects!$C$11,40&lt;Projects!$C$11+Projects!$D$11),Projects!$B$11*Assumptions!$B$10/Projects!$D$11,0)+IF(AND(Projects!$G$12="Yes",40&gt;=Projects!$C$12,40&lt;Projects!$C$12+Projects!$D$12),Projects!$B$12*Assumptions!$B$10/Projects!$D$12,0)+IF(AND(Projects!$G$13="Yes",40&gt;=Projects!$C$13,40&lt;Projects!$C$13+Projects!$D$13),Projects!$B$13*Assumptions!$B$10/Projects!$D$13,0)+IF(AND(Projects!$G$14="Yes",40&gt;=Projects!$C$14,40&lt;Projects!$C$14+Projects!$D$14),Projects!$B$14*Assumptions!$B$10/Projects!$D$14,0)+IF(AND(Projects!$G$15="Yes",40&gt;=Projects!$C$15,40&lt;Projects!$C$15+Projects!$D$15),Projects!$B$15*Assumptions!$B$10/Projects!$D$15,0)+IF(AND(Projects!$G$16="Yes",40&gt;=Projects!$C$16,40&lt;Projects!$C$16+Projects!$D$16),Projects!$B$16*Assumptions!$B$10/Projects!$D$16,0)</f>
        <v>140619.159090909</v>
      </c>
      <c r="AQ8" s="10" t="n">
        <f aca="false">IF(AND(Projects!$G$2="Yes",41&gt;=Projects!$C$2,41&lt;Projects!$C$2+Projects!$D$2),194932/Projects!$D$2,0)+IF(AND(Projects!$G$3="Yes",41&gt;=Projects!$C$3,41&lt;Projects!$C$3+Projects!$D$3),888067/Projects!$D$3,0)+IF(AND(Projects!$G$4="Yes",41&gt;=Projects!$C$4,41&lt;Projects!$C$4+Projects!$D$4),Projects!$B$4*Assumptions!$B$10/Projects!$D$4,0)+IF(AND(Projects!$G$5="Yes",41&gt;=Projects!$C$5,41&lt;Projects!$C$5+Projects!$D$5),Projects!$B$5*Assumptions!$B$10/Projects!$D$5,0)+IF(AND(Projects!$G$6="Yes",41&gt;=Projects!$C$6,41&lt;Projects!$C$6+Projects!$D$6),245000/Projects!$D$6,0)+IF(AND(Projects!$G$7="Yes",41&gt;=Projects!$C$7,41&lt;Projects!$C$7+Projects!$D$7),Projects!$B$7*Assumptions!$B$10/Projects!$D$7,0)+IF(AND(Projects!$G$8="Yes",41&gt;=Projects!$C$8,41&lt;Projects!$C$8+Projects!$D$8),Projects!$B$8*Assumptions!$B$10/Projects!$D$8,0)+IF(AND(Projects!$G$9="Yes",41&gt;=Projects!$C$9,41&lt;Projects!$C$9+Projects!$D$9),Projects!$B$9*Assumptions!$B$10/Projects!$D$9,0)+IF(AND(Projects!$G$10="Yes",41&gt;=Projects!$C$10,41&lt;Projects!$C$10+Projects!$D$10),Projects!$B$10*Assumptions!$B$10/Projects!$D$10,0)+IF(AND(Projects!$G$11="Yes",41&gt;=Projects!$C$11,41&lt;Projects!$C$11+Projects!$D$11),Projects!$B$11*Assumptions!$B$10/Projects!$D$11,0)+IF(AND(Projects!$G$12="Yes",41&gt;=Projects!$C$12,41&lt;Projects!$C$12+Projects!$D$12),Projects!$B$12*Assumptions!$B$10/Projects!$D$12,0)+IF(AND(Projects!$G$13="Yes",41&gt;=Projects!$C$13,41&lt;Projects!$C$13+Projects!$D$13),Projects!$B$13*Assumptions!$B$10/Projects!$D$13,0)+IF(AND(Projects!$G$14="Yes",41&gt;=Projects!$C$14,41&lt;Projects!$C$14+Projects!$D$14),Projects!$B$14*Assumptions!$B$10/Projects!$D$14,0)+IF(AND(Projects!$G$15="Yes",41&gt;=Projects!$C$15,41&lt;Projects!$C$15+Projects!$D$15),Projects!$B$15*Assumptions!$B$10/Projects!$D$15,0)+IF(AND(Projects!$G$16="Yes",41&gt;=Projects!$C$16,41&lt;Projects!$C$16+Projects!$D$16),Projects!$B$16*Assumptions!$B$10/Projects!$D$16,0)</f>
        <v>140619.159090909</v>
      </c>
      <c r="AR8" s="10" t="n">
        <f aca="false">IF(AND(Projects!$G$2="Yes",42&gt;=Projects!$C$2,42&lt;Projects!$C$2+Projects!$D$2),194932/Projects!$D$2,0)+IF(AND(Projects!$G$3="Yes",42&gt;=Projects!$C$3,42&lt;Projects!$C$3+Projects!$D$3),888067/Projects!$D$3,0)+IF(AND(Projects!$G$4="Yes",42&gt;=Projects!$C$4,42&lt;Projects!$C$4+Projects!$D$4),Projects!$B$4*Assumptions!$B$10/Projects!$D$4,0)+IF(AND(Projects!$G$5="Yes",42&gt;=Projects!$C$5,42&lt;Projects!$C$5+Projects!$D$5),Projects!$B$5*Assumptions!$B$10/Projects!$D$5,0)+IF(AND(Projects!$G$6="Yes",42&gt;=Projects!$C$6,42&lt;Projects!$C$6+Projects!$D$6),245000/Projects!$D$6,0)+IF(AND(Projects!$G$7="Yes",42&gt;=Projects!$C$7,42&lt;Projects!$C$7+Projects!$D$7),Projects!$B$7*Assumptions!$B$10/Projects!$D$7,0)+IF(AND(Projects!$G$8="Yes",42&gt;=Projects!$C$8,42&lt;Projects!$C$8+Projects!$D$8),Projects!$B$8*Assumptions!$B$10/Projects!$D$8,0)+IF(AND(Projects!$G$9="Yes",42&gt;=Projects!$C$9,42&lt;Projects!$C$9+Projects!$D$9),Projects!$B$9*Assumptions!$B$10/Projects!$D$9,0)+IF(AND(Projects!$G$10="Yes",42&gt;=Projects!$C$10,42&lt;Projects!$C$10+Projects!$D$10),Projects!$B$10*Assumptions!$B$10/Projects!$D$10,0)+IF(AND(Projects!$G$11="Yes",42&gt;=Projects!$C$11,42&lt;Projects!$C$11+Projects!$D$11),Projects!$B$11*Assumptions!$B$10/Projects!$D$11,0)+IF(AND(Projects!$G$12="Yes",42&gt;=Projects!$C$12,42&lt;Projects!$C$12+Projects!$D$12),Projects!$B$12*Assumptions!$B$10/Projects!$D$12,0)+IF(AND(Projects!$G$13="Yes",42&gt;=Projects!$C$13,42&lt;Projects!$C$13+Projects!$D$13),Projects!$B$13*Assumptions!$B$10/Projects!$D$13,0)+IF(AND(Projects!$G$14="Yes",42&gt;=Projects!$C$14,42&lt;Projects!$C$14+Projects!$D$14),Projects!$B$14*Assumptions!$B$10/Projects!$D$14,0)+IF(AND(Projects!$G$15="Yes",42&gt;=Projects!$C$15,42&lt;Projects!$C$15+Projects!$D$15),Projects!$B$15*Assumptions!$B$10/Projects!$D$15,0)+IF(AND(Projects!$G$16="Yes",42&gt;=Projects!$C$16,42&lt;Projects!$C$16+Projects!$D$16),Projects!$B$16*Assumptions!$B$10/Projects!$D$16,0)</f>
        <v>140619.159090909</v>
      </c>
      <c r="AS8" s="10" t="n">
        <f aca="false">IF(AND(Projects!$G$2="Yes",43&gt;=Projects!$C$2,43&lt;Projects!$C$2+Projects!$D$2),194932/Projects!$D$2,0)+IF(AND(Projects!$G$3="Yes",43&gt;=Projects!$C$3,43&lt;Projects!$C$3+Projects!$D$3),888067/Projects!$D$3,0)+IF(AND(Projects!$G$4="Yes",43&gt;=Projects!$C$4,43&lt;Projects!$C$4+Projects!$D$4),Projects!$B$4*Assumptions!$B$10/Projects!$D$4,0)+IF(AND(Projects!$G$5="Yes",43&gt;=Projects!$C$5,43&lt;Projects!$C$5+Projects!$D$5),Projects!$B$5*Assumptions!$B$10/Projects!$D$5,0)+IF(AND(Projects!$G$6="Yes",43&gt;=Projects!$C$6,43&lt;Projects!$C$6+Projects!$D$6),245000/Projects!$D$6,0)+IF(AND(Projects!$G$7="Yes",43&gt;=Projects!$C$7,43&lt;Projects!$C$7+Projects!$D$7),Projects!$B$7*Assumptions!$B$10/Projects!$D$7,0)+IF(AND(Projects!$G$8="Yes",43&gt;=Projects!$C$8,43&lt;Projects!$C$8+Projects!$D$8),Projects!$B$8*Assumptions!$B$10/Projects!$D$8,0)+IF(AND(Projects!$G$9="Yes",43&gt;=Projects!$C$9,43&lt;Projects!$C$9+Projects!$D$9),Projects!$B$9*Assumptions!$B$10/Projects!$D$9,0)+IF(AND(Projects!$G$10="Yes",43&gt;=Projects!$C$10,43&lt;Projects!$C$10+Projects!$D$10),Projects!$B$10*Assumptions!$B$10/Projects!$D$10,0)+IF(AND(Projects!$G$11="Yes",43&gt;=Projects!$C$11,43&lt;Projects!$C$11+Projects!$D$11),Projects!$B$11*Assumptions!$B$10/Projects!$D$11,0)+IF(AND(Projects!$G$12="Yes",43&gt;=Projects!$C$12,43&lt;Projects!$C$12+Projects!$D$12),Projects!$B$12*Assumptions!$B$10/Projects!$D$12,0)+IF(AND(Projects!$G$13="Yes",43&gt;=Projects!$C$13,43&lt;Projects!$C$13+Projects!$D$13),Projects!$B$13*Assumptions!$B$10/Projects!$D$13,0)+IF(AND(Projects!$G$14="Yes",43&gt;=Projects!$C$14,43&lt;Projects!$C$14+Projects!$D$14),Projects!$B$14*Assumptions!$B$10/Projects!$D$14,0)+IF(AND(Projects!$G$15="Yes",43&gt;=Projects!$C$15,43&lt;Projects!$C$15+Projects!$D$15),Projects!$B$15*Assumptions!$B$10/Projects!$D$15,0)+IF(AND(Projects!$G$16="Yes",43&gt;=Projects!$C$16,43&lt;Projects!$C$16+Projects!$D$16),Projects!$B$16*Assumptions!$B$10/Projects!$D$16,0)</f>
        <v>67134.1428571429</v>
      </c>
      <c r="AT8" s="10" t="n">
        <f aca="false">IF(AND(Projects!$G$2="Yes",44&gt;=Projects!$C$2,44&lt;Projects!$C$2+Projects!$D$2),194932/Projects!$D$2,0)+IF(AND(Projects!$G$3="Yes",44&gt;=Projects!$C$3,44&lt;Projects!$C$3+Projects!$D$3),888067/Projects!$D$3,0)+IF(AND(Projects!$G$4="Yes",44&gt;=Projects!$C$4,44&lt;Projects!$C$4+Projects!$D$4),Projects!$B$4*Assumptions!$B$10/Projects!$D$4,0)+IF(AND(Projects!$G$5="Yes",44&gt;=Projects!$C$5,44&lt;Projects!$C$5+Projects!$D$5),Projects!$B$5*Assumptions!$B$10/Projects!$D$5,0)+IF(AND(Projects!$G$6="Yes",44&gt;=Projects!$C$6,44&lt;Projects!$C$6+Projects!$D$6),245000/Projects!$D$6,0)+IF(AND(Projects!$G$7="Yes",44&gt;=Projects!$C$7,44&lt;Projects!$C$7+Projects!$D$7),Projects!$B$7*Assumptions!$B$10/Projects!$D$7,0)+IF(AND(Projects!$G$8="Yes",44&gt;=Projects!$C$8,44&lt;Projects!$C$8+Projects!$D$8),Projects!$B$8*Assumptions!$B$10/Projects!$D$8,0)+IF(AND(Projects!$G$9="Yes",44&gt;=Projects!$C$9,44&lt;Projects!$C$9+Projects!$D$9),Projects!$B$9*Assumptions!$B$10/Projects!$D$9,0)+IF(AND(Projects!$G$10="Yes",44&gt;=Projects!$C$10,44&lt;Projects!$C$10+Projects!$D$10),Projects!$B$10*Assumptions!$B$10/Projects!$D$10,0)+IF(AND(Projects!$G$11="Yes",44&gt;=Projects!$C$11,44&lt;Projects!$C$11+Projects!$D$11),Projects!$B$11*Assumptions!$B$10/Projects!$D$11,0)+IF(AND(Projects!$G$12="Yes",44&gt;=Projects!$C$12,44&lt;Projects!$C$12+Projects!$D$12),Projects!$B$12*Assumptions!$B$10/Projects!$D$12,0)+IF(AND(Projects!$G$13="Yes",44&gt;=Projects!$C$13,44&lt;Projects!$C$13+Projects!$D$13),Projects!$B$13*Assumptions!$B$10/Projects!$D$13,0)+IF(AND(Projects!$G$14="Yes",44&gt;=Projects!$C$14,44&lt;Projects!$C$14+Projects!$D$14),Projects!$B$14*Assumptions!$B$10/Projects!$D$14,0)+IF(AND(Projects!$G$15="Yes",44&gt;=Projects!$C$15,44&lt;Projects!$C$15+Projects!$D$15),Projects!$B$15*Assumptions!$B$10/Projects!$D$15,0)+IF(AND(Projects!$G$16="Yes",44&gt;=Projects!$C$16,44&lt;Projects!$C$16+Projects!$D$16),Projects!$B$16*Assumptions!$B$10/Projects!$D$16,0)</f>
        <v>67134.1428571429</v>
      </c>
      <c r="AU8" s="10" t="n">
        <f aca="false">IF(AND(Projects!$G$2="Yes",45&gt;=Projects!$C$2,45&lt;Projects!$C$2+Projects!$D$2),194932/Projects!$D$2,0)+IF(AND(Projects!$G$3="Yes",45&gt;=Projects!$C$3,45&lt;Projects!$C$3+Projects!$D$3),888067/Projects!$D$3,0)+IF(AND(Projects!$G$4="Yes",45&gt;=Projects!$C$4,45&lt;Projects!$C$4+Projects!$D$4),Projects!$B$4*Assumptions!$B$10/Projects!$D$4,0)+IF(AND(Projects!$G$5="Yes",45&gt;=Projects!$C$5,45&lt;Projects!$C$5+Projects!$D$5),Projects!$B$5*Assumptions!$B$10/Projects!$D$5,0)+IF(AND(Projects!$G$6="Yes",45&gt;=Projects!$C$6,45&lt;Projects!$C$6+Projects!$D$6),245000/Projects!$D$6,0)+IF(AND(Projects!$G$7="Yes",45&gt;=Projects!$C$7,45&lt;Projects!$C$7+Projects!$D$7),Projects!$B$7*Assumptions!$B$10/Projects!$D$7,0)+IF(AND(Projects!$G$8="Yes",45&gt;=Projects!$C$8,45&lt;Projects!$C$8+Projects!$D$8),Projects!$B$8*Assumptions!$B$10/Projects!$D$8,0)+IF(AND(Projects!$G$9="Yes",45&gt;=Projects!$C$9,45&lt;Projects!$C$9+Projects!$D$9),Projects!$B$9*Assumptions!$B$10/Projects!$D$9,0)+IF(AND(Projects!$G$10="Yes",45&gt;=Projects!$C$10,45&lt;Projects!$C$10+Projects!$D$10),Projects!$B$10*Assumptions!$B$10/Projects!$D$10,0)+IF(AND(Projects!$G$11="Yes",45&gt;=Projects!$C$11,45&lt;Projects!$C$11+Projects!$D$11),Projects!$B$11*Assumptions!$B$10/Projects!$D$11,0)+IF(AND(Projects!$G$12="Yes",45&gt;=Projects!$C$12,45&lt;Projects!$C$12+Projects!$D$12),Projects!$B$12*Assumptions!$B$10/Projects!$D$12,0)+IF(AND(Projects!$G$13="Yes",45&gt;=Projects!$C$13,45&lt;Projects!$C$13+Projects!$D$13),Projects!$B$13*Assumptions!$B$10/Projects!$D$13,0)+IF(AND(Projects!$G$14="Yes",45&gt;=Projects!$C$14,45&lt;Projects!$C$14+Projects!$D$14),Projects!$B$14*Assumptions!$B$10/Projects!$D$14,0)+IF(AND(Projects!$G$15="Yes",45&gt;=Projects!$C$15,45&lt;Projects!$C$15+Projects!$D$15),Projects!$B$15*Assumptions!$B$10/Projects!$D$15,0)+IF(AND(Projects!$G$16="Yes",45&gt;=Projects!$C$16,45&lt;Projects!$C$16+Projects!$D$16),Projects!$B$16*Assumptions!$B$10/Projects!$D$16,0)</f>
        <v>67134.1428571429</v>
      </c>
      <c r="AV8" s="10" t="n">
        <f aca="false">IF(AND(Projects!$G$2="Yes",46&gt;=Projects!$C$2,46&lt;Projects!$C$2+Projects!$D$2),194932/Projects!$D$2,0)+IF(AND(Projects!$G$3="Yes",46&gt;=Projects!$C$3,46&lt;Projects!$C$3+Projects!$D$3),888067/Projects!$D$3,0)+IF(AND(Projects!$G$4="Yes",46&gt;=Projects!$C$4,46&lt;Projects!$C$4+Projects!$D$4),Projects!$B$4*Assumptions!$B$10/Projects!$D$4,0)+IF(AND(Projects!$G$5="Yes",46&gt;=Projects!$C$5,46&lt;Projects!$C$5+Projects!$D$5),Projects!$B$5*Assumptions!$B$10/Projects!$D$5,0)+IF(AND(Projects!$G$6="Yes",46&gt;=Projects!$C$6,46&lt;Projects!$C$6+Projects!$D$6),245000/Projects!$D$6,0)+IF(AND(Projects!$G$7="Yes",46&gt;=Projects!$C$7,46&lt;Projects!$C$7+Projects!$D$7),Projects!$B$7*Assumptions!$B$10/Projects!$D$7,0)+IF(AND(Projects!$G$8="Yes",46&gt;=Projects!$C$8,46&lt;Projects!$C$8+Projects!$D$8),Projects!$B$8*Assumptions!$B$10/Projects!$D$8,0)+IF(AND(Projects!$G$9="Yes",46&gt;=Projects!$C$9,46&lt;Projects!$C$9+Projects!$D$9),Projects!$B$9*Assumptions!$B$10/Projects!$D$9,0)+IF(AND(Projects!$G$10="Yes",46&gt;=Projects!$C$10,46&lt;Projects!$C$10+Projects!$D$10),Projects!$B$10*Assumptions!$B$10/Projects!$D$10,0)+IF(AND(Projects!$G$11="Yes",46&gt;=Projects!$C$11,46&lt;Projects!$C$11+Projects!$D$11),Projects!$B$11*Assumptions!$B$10/Projects!$D$11,0)+IF(AND(Projects!$G$12="Yes",46&gt;=Projects!$C$12,46&lt;Projects!$C$12+Projects!$D$12),Projects!$B$12*Assumptions!$B$10/Projects!$D$12,0)+IF(AND(Projects!$G$13="Yes",46&gt;=Projects!$C$13,46&lt;Projects!$C$13+Projects!$D$13),Projects!$B$13*Assumptions!$B$10/Projects!$D$13,0)+IF(AND(Projects!$G$14="Yes",46&gt;=Projects!$C$14,46&lt;Projects!$C$14+Projects!$D$14),Projects!$B$14*Assumptions!$B$10/Projects!$D$14,0)+IF(AND(Projects!$G$15="Yes",46&gt;=Projects!$C$15,46&lt;Projects!$C$15+Projects!$D$15),Projects!$B$15*Assumptions!$B$10/Projects!$D$15,0)+IF(AND(Projects!$G$16="Yes",46&gt;=Projects!$C$16,46&lt;Projects!$C$16+Projects!$D$16),Projects!$B$16*Assumptions!$B$10/Projects!$D$16,0)</f>
        <v>67134.1428571429</v>
      </c>
      <c r="AW8" s="10" t="n">
        <f aca="false">IF(AND(Projects!$G$2="Yes",47&gt;=Projects!$C$2,47&lt;Projects!$C$2+Projects!$D$2),194932/Projects!$D$2,0)+IF(AND(Projects!$G$3="Yes",47&gt;=Projects!$C$3,47&lt;Projects!$C$3+Projects!$D$3),888067/Projects!$D$3,0)+IF(AND(Projects!$G$4="Yes",47&gt;=Projects!$C$4,47&lt;Projects!$C$4+Projects!$D$4),Projects!$B$4*Assumptions!$B$10/Projects!$D$4,0)+IF(AND(Projects!$G$5="Yes",47&gt;=Projects!$C$5,47&lt;Projects!$C$5+Projects!$D$5),Projects!$B$5*Assumptions!$B$10/Projects!$D$5,0)+IF(AND(Projects!$G$6="Yes",47&gt;=Projects!$C$6,47&lt;Projects!$C$6+Projects!$D$6),245000/Projects!$D$6,0)+IF(AND(Projects!$G$7="Yes",47&gt;=Projects!$C$7,47&lt;Projects!$C$7+Projects!$D$7),Projects!$B$7*Assumptions!$B$10/Projects!$D$7,0)+IF(AND(Projects!$G$8="Yes",47&gt;=Projects!$C$8,47&lt;Projects!$C$8+Projects!$D$8),Projects!$B$8*Assumptions!$B$10/Projects!$D$8,0)+IF(AND(Projects!$G$9="Yes",47&gt;=Projects!$C$9,47&lt;Projects!$C$9+Projects!$D$9),Projects!$B$9*Assumptions!$B$10/Projects!$D$9,0)+IF(AND(Projects!$G$10="Yes",47&gt;=Projects!$C$10,47&lt;Projects!$C$10+Projects!$D$10),Projects!$B$10*Assumptions!$B$10/Projects!$D$10,0)+IF(AND(Projects!$G$11="Yes",47&gt;=Projects!$C$11,47&lt;Projects!$C$11+Projects!$D$11),Projects!$B$11*Assumptions!$B$10/Projects!$D$11,0)+IF(AND(Projects!$G$12="Yes",47&gt;=Projects!$C$12,47&lt;Projects!$C$12+Projects!$D$12),Projects!$B$12*Assumptions!$B$10/Projects!$D$12,0)+IF(AND(Projects!$G$13="Yes",47&gt;=Projects!$C$13,47&lt;Projects!$C$13+Projects!$D$13),Projects!$B$13*Assumptions!$B$10/Projects!$D$13,0)+IF(AND(Projects!$G$14="Yes",47&gt;=Projects!$C$14,47&lt;Projects!$C$14+Projects!$D$14),Projects!$B$14*Assumptions!$B$10/Projects!$D$14,0)+IF(AND(Projects!$G$15="Yes",47&gt;=Projects!$C$15,47&lt;Projects!$C$15+Projects!$D$15),Projects!$B$15*Assumptions!$B$10/Projects!$D$15,0)+IF(AND(Projects!$G$16="Yes",47&gt;=Projects!$C$16,47&lt;Projects!$C$16+Projects!$D$16),Projects!$B$16*Assumptions!$B$10/Projects!$D$16,0)</f>
        <v>67134.1428571429</v>
      </c>
      <c r="AX8" s="10" t="n">
        <f aca="false">IF(AND(Projects!$G$2="Yes",48&gt;=Projects!$C$2,48&lt;Projects!$C$2+Projects!$D$2),194932/Projects!$D$2,0)+IF(AND(Projects!$G$3="Yes",48&gt;=Projects!$C$3,48&lt;Projects!$C$3+Projects!$D$3),888067/Projects!$D$3,0)+IF(AND(Projects!$G$4="Yes",48&gt;=Projects!$C$4,48&lt;Projects!$C$4+Projects!$D$4),Projects!$B$4*Assumptions!$B$10/Projects!$D$4,0)+IF(AND(Projects!$G$5="Yes",48&gt;=Projects!$C$5,48&lt;Projects!$C$5+Projects!$D$5),Projects!$B$5*Assumptions!$B$10/Projects!$D$5,0)+IF(AND(Projects!$G$6="Yes",48&gt;=Projects!$C$6,48&lt;Projects!$C$6+Projects!$D$6),245000/Projects!$D$6,0)+IF(AND(Projects!$G$7="Yes",48&gt;=Projects!$C$7,48&lt;Projects!$C$7+Projects!$D$7),Projects!$B$7*Assumptions!$B$10/Projects!$D$7,0)+IF(AND(Projects!$G$8="Yes",48&gt;=Projects!$C$8,48&lt;Projects!$C$8+Projects!$D$8),Projects!$B$8*Assumptions!$B$10/Projects!$D$8,0)+IF(AND(Projects!$G$9="Yes",48&gt;=Projects!$C$9,48&lt;Projects!$C$9+Projects!$D$9),Projects!$B$9*Assumptions!$B$10/Projects!$D$9,0)+IF(AND(Projects!$G$10="Yes",48&gt;=Projects!$C$10,48&lt;Projects!$C$10+Projects!$D$10),Projects!$B$10*Assumptions!$B$10/Projects!$D$10,0)+IF(AND(Projects!$G$11="Yes",48&gt;=Projects!$C$11,48&lt;Projects!$C$11+Projects!$D$11),Projects!$B$11*Assumptions!$B$10/Projects!$D$11,0)+IF(AND(Projects!$G$12="Yes",48&gt;=Projects!$C$12,48&lt;Projects!$C$12+Projects!$D$12),Projects!$B$12*Assumptions!$B$10/Projects!$D$12,0)+IF(AND(Projects!$G$13="Yes",48&gt;=Projects!$C$13,48&lt;Projects!$C$13+Projects!$D$13),Projects!$B$13*Assumptions!$B$10/Projects!$D$13,0)+IF(AND(Projects!$G$14="Yes",48&gt;=Projects!$C$14,48&lt;Projects!$C$14+Projects!$D$14),Projects!$B$14*Assumptions!$B$10/Projects!$D$14,0)+IF(AND(Projects!$G$15="Yes",48&gt;=Projects!$C$15,48&lt;Projects!$C$15+Projects!$D$15),Projects!$B$15*Assumptions!$B$10/Projects!$D$15,0)+IF(AND(Projects!$G$16="Yes",48&gt;=Projects!$C$16,48&lt;Projects!$C$16+Projects!$D$16),Projects!$B$16*Assumptions!$B$10/Projects!$D$16,0)</f>
        <v>67134.1428571429</v>
      </c>
      <c r="AY8" s="10" t="n">
        <f aca="false">IF(AND(Projects!$G$2="Yes",49&gt;=Projects!$C$2,49&lt;Projects!$C$2+Projects!$D$2),194932/Projects!$D$2,0)+IF(AND(Projects!$G$3="Yes",49&gt;=Projects!$C$3,49&lt;Projects!$C$3+Projects!$D$3),888067/Projects!$D$3,0)+IF(AND(Projects!$G$4="Yes",49&gt;=Projects!$C$4,49&lt;Projects!$C$4+Projects!$D$4),Projects!$B$4*Assumptions!$B$10/Projects!$D$4,0)+IF(AND(Projects!$G$5="Yes",49&gt;=Projects!$C$5,49&lt;Projects!$C$5+Projects!$D$5),Projects!$B$5*Assumptions!$B$10/Projects!$D$5,0)+IF(AND(Projects!$G$6="Yes",49&gt;=Projects!$C$6,49&lt;Projects!$C$6+Projects!$D$6),245000/Projects!$D$6,0)+IF(AND(Projects!$G$7="Yes",49&gt;=Projects!$C$7,49&lt;Projects!$C$7+Projects!$D$7),Projects!$B$7*Assumptions!$B$10/Projects!$D$7,0)+IF(AND(Projects!$G$8="Yes",49&gt;=Projects!$C$8,49&lt;Projects!$C$8+Projects!$D$8),Projects!$B$8*Assumptions!$B$10/Projects!$D$8,0)+IF(AND(Projects!$G$9="Yes",49&gt;=Projects!$C$9,49&lt;Projects!$C$9+Projects!$D$9),Projects!$B$9*Assumptions!$B$10/Projects!$D$9,0)+IF(AND(Projects!$G$10="Yes",49&gt;=Projects!$C$10,49&lt;Projects!$C$10+Projects!$D$10),Projects!$B$10*Assumptions!$B$10/Projects!$D$10,0)+IF(AND(Projects!$G$11="Yes",49&gt;=Projects!$C$11,49&lt;Projects!$C$11+Projects!$D$11),Projects!$B$11*Assumptions!$B$10/Projects!$D$11,0)+IF(AND(Projects!$G$12="Yes",49&gt;=Projects!$C$12,49&lt;Projects!$C$12+Projects!$D$12),Projects!$B$12*Assumptions!$B$10/Projects!$D$12,0)+IF(AND(Projects!$G$13="Yes",49&gt;=Projects!$C$13,49&lt;Projects!$C$13+Projects!$D$13),Projects!$B$13*Assumptions!$B$10/Projects!$D$13,0)+IF(AND(Projects!$G$14="Yes",49&gt;=Projects!$C$14,49&lt;Projects!$C$14+Projects!$D$14),Projects!$B$14*Assumptions!$B$10/Projects!$D$14,0)+IF(AND(Projects!$G$15="Yes",49&gt;=Projects!$C$15,49&lt;Projects!$C$15+Projects!$D$15),Projects!$B$15*Assumptions!$B$10/Projects!$D$15,0)+IF(AND(Projects!$G$16="Yes",49&gt;=Projects!$C$16,49&lt;Projects!$C$16+Projects!$D$16),Projects!$B$16*Assumptions!$B$10/Projects!$D$16,0)</f>
        <v>67134.1428571429</v>
      </c>
      <c r="AZ8" s="10" t="n">
        <f aca="false">IF(AND(Projects!$G$2="Yes",50&gt;=Projects!$C$2,50&lt;Projects!$C$2+Projects!$D$2),194932/Projects!$D$2,0)+IF(AND(Projects!$G$3="Yes",50&gt;=Projects!$C$3,50&lt;Projects!$C$3+Projects!$D$3),888067/Projects!$D$3,0)+IF(AND(Projects!$G$4="Yes",50&gt;=Projects!$C$4,50&lt;Projects!$C$4+Projects!$D$4),Projects!$B$4*Assumptions!$B$10/Projects!$D$4,0)+IF(AND(Projects!$G$5="Yes",50&gt;=Projects!$C$5,50&lt;Projects!$C$5+Projects!$D$5),Projects!$B$5*Assumptions!$B$10/Projects!$D$5,0)+IF(AND(Projects!$G$6="Yes",50&gt;=Projects!$C$6,50&lt;Projects!$C$6+Projects!$D$6),245000/Projects!$D$6,0)+IF(AND(Projects!$G$7="Yes",50&gt;=Projects!$C$7,50&lt;Projects!$C$7+Projects!$D$7),Projects!$B$7*Assumptions!$B$10/Projects!$D$7,0)+IF(AND(Projects!$G$8="Yes",50&gt;=Projects!$C$8,50&lt;Projects!$C$8+Projects!$D$8),Projects!$B$8*Assumptions!$B$10/Projects!$D$8,0)+IF(AND(Projects!$G$9="Yes",50&gt;=Projects!$C$9,50&lt;Projects!$C$9+Projects!$D$9),Projects!$B$9*Assumptions!$B$10/Projects!$D$9,0)+IF(AND(Projects!$G$10="Yes",50&gt;=Projects!$C$10,50&lt;Projects!$C$10+Projects!$D$10),Projects!$B$10*Assumptions!$B$10/Projects!$D$10,0)+IF(AND(Projects!$G$11="Yes",50&gt;=Projects!$C$11,50&lt;Projects!$C$11+Projects!$D$11),Projects!$B$11*Assumptions!$B$10/Projects!$D$11,0)+IF(AND(Projects!$G$12="Yes",50&gt;=Projects!$C$12,50&lt;Projects!$C$12+Projects!$D$12),Projects!$B$12*Assumptions!$B$10/Projects!$D$12,0)+IF(AND(Projects!$G$13="Yes",50&gt;=Projects!$C$13,50&lt;Projects!$C$13+Projects!$D$13),Projects!$B$13*Assumptions!$B$10/Projects!$D$13,0)+IF(AND(Projects!$G$14="Yes",50&gt;=Projects!$C$14,50&lt;Projects!$C$14+Projects!$D$14),Projects!$B$14*Assumptions!$B$10/Projects!$D$14,0)+IF(AND(Projects!$G$15="Yes",50&gt;=Projects!$C$15,50&lt;Projects!$C$15+Projects!$D$15),Projects!$B$15*Assumptions!$B$10/Projects!$D$15,0)+IF(AND(Projects!$G$16="Yes",50&gt;=Projects!$C$16,50&lt;Projects!$C$16+Projects!$D$16),Projects!$B$16*Assumptions!$B$10/Projects!$D$16,0)</f>
        <v>67134.1428571429</v>
      </c>
      <c r="BA8" s="10" t="n">
        <f aca="false">IF(AND(Projects!$G$2="Yes",51&gt;=Projects!$C$2,51&lt;Projects!$C$2+Projects!$D$2),194932/Projects!$D$2,0)+IF(AND(Projects!$G$3="Yes",51&gt;=Projects!$C$3,51&lt;Projects!$C$3+Projects!$D$3),888067/Projects!$D$3,0)+IF(AND(Projects!$G$4="Yes",51&gt;=Projects!$C$4,51&lt;Projects!$C$4+Projects!$D$4),Projects!$B$4*Assumptions!$B$10/Projects!$D$4,0)+IF(AND(Projects!$G$5="Yes",51&gt;=Projects!$C$5,51&lt;Projects!$C$5+Projects!$D$5),Projects!$B$5*Assumptions!$B$10/Projects!$D$5,0)+IF(AND(Projects!$G$6="Yes",51&gt;=Projects!$C$6,51&lt;Projects!$C$6+Projects!$D$6),245000/Projects!$D$6,0)+IF(AND(Projects!$G$7="Yes",51&gt;=Projects!$C$7,51&lt;Projects!$C$7+Projects!$D$7),Projects!$B$7*Assumptions!$B$10/Projects!$D$7,0)+IF(AND(Projects!$G$8="Yes",51&gt;=Projects!$C$8,51&lt;Projects!$C$8+Projects!$D$8),Projects!$B$8*Assumptions!$B$10/Projects!$D$8,0)+IF(AND(Projects!$G$9="Yes",51&gt;=Projects!$C$9,51&lt;Projects!$C$9+Projects!$D$9),Projects!$B$9*Assumptions!$B$10/Projects!$D$9,0)+IF(AND(Projects!$G$10="Yes",51&gt;=Projects!$C$10,51&lt;Projects!$C$10+Projects!$D$10),Projects!$B$10*Assumptions!$B$10/Projects!$D$10,0)+IF(AND(Projects!$G$11="Yes",51&gt;=Projects!$C$11,51&lt;Projects!$C$11+Projects!$D$11),Projects!$B$11*Assumptions!$B$10/Projects!$D$11,0)+IF(AND(Projects!$G$12="Yes",51&gt;=Projects!$C$12,51&lt;Projects!$C$12+Projects!$D$12),Projects!$B$12*Assumptions!$B$10/Projects!$D$12,0)+IF(AND(Projects!$G$13="Yes",51&gt;=Projects!$C$13,51&lt;Projects!$C$13+Projects!$D$13),Projects!$B$13*Assumptions!$B$10/Projects!$D$13,0)+IF(AND(Projects!$G$14="Yes",51&gt;=Projects!$C$14,51&lt;Projects!$C$14+Projects!$D$14),Projects!$B$14*Assumptions!$B$10/Projects!$D$14,0)+IF(AND(Projects!$G$15="Yes",51&gt;=Projects!$C$15,51&lt;Projects!$C$15+Projects!$D$15),Projects!$B$15*Assumptions!$B$10/Projects!$D$15,0)+IF(AND(Projects!$G$16="Yes",51&gt;=Projects!$C$16,51&lt;Projects!$C$16+Projects!$D$16),Projects!$B$16*Assumptions!$B$10/Projects!$D$16,0)</f>
        <v>67134.1428571429</v>
      </c>
      <c r="BB8" s="10" t="n">
        <f aca="false">IF(AND(Projects!$G$2="Yes",52&gt;=Projects!$C$2,52&lt;Projects!$C$2+Projects!$D$2),194932/Projects!$D$2,0)+IF(AND(Projects!$G$3="Yes",52&gt;=Projects!$C$3,52&lt;Projects!$C$3+Projects!$D$3),888067/Projects!$D$3,0)+IF(AND(Projects!$G$4="Yes",52&gt;=Projects!$C$4,52&lt;Projects!$C$4+Projects!$D$4),Projects!$B$4*Assumptions!$B$10/Projects!$D$4,0)+IF(AND(Projects!$G$5="Yes",52&gt;=Projects!$C$5,52&lt;Projects!$C$5+Projects!$D$5),Projects!$B$5*Assumptions!$B$10/Projects!$D$5,0)+IF(AND(Projects!$G$6="Yes",52&gt;=Projects!$C$6,52&lt;Projects!$C$6+Projects!$D$6),245000/Projects!$D$6,0)+IF(AND(Projects!$G$7="Yes",52&gt;=Projects!$C$7,52&lt;Projects!$C$7+Projects!$D$7),Projects!$B$7*Assumptions!$B$10/Projects!$D$7,0)+IF(AND(Projects!$G$8="Yes",52&gt;=Projects!$C$8,52&lt;Projects!$C$8+Projects!$D$8),Projects!$B$8*Assumptions!$B$10/Projects!$D$8,0)+IF(AND(Projects!$G$9="Yes",52&gt;=Projects!$C$9,52&lt;Projects!$C$9+Projects!$D$9),Projects!$B$9*Assumptions!$B$10/Projects!$D$9,0)+IF(AND(Projects!$G$10="Yes",52&gt;=Projects!$C$10,52&lt;Projects!$C$10+Projects!$D$10),Projects!$B$10*Assumptions!$B$10/Projects!$D$10,0)+IF(AND(Projects!$G$11="Yes",52&gt;=Projects!$C$11,52&lt;Projects!$C$11+Projects!$D$11),Projects!$B$11*Assumptions!$B$10/Projects!$D$11,0)+IF(AND(Projects!$G$12="Yes",52&gt;=Projects!$C$12,52&lt;Projects!$C$12+Projects!$D$12),Projects!$B$12*Assumptions!$B$10/Projects!$D$12,0)+IF(AND(Projects!$G$13="Yes",52&gt;=Projects!$C$13,52&lt;Projects!$C$13+Projects!$D$13),Projects!$B$13*Assumptions!$B$10/Projects!$D$13,0)+IF(AND(Projects!$G$14="Yes",52&gt;=Projects!$C$14,52&lt;Projects!$C$14+Projects!$D$14),Projects!$B$14*Assumptions!$B$10/Projects!$D$14,0)+IF(AND(Projects!$G$15="Yes",52&gt;=Projects!$C$15,52&lt;Projects!$C$15+Projects!$D$15),Projects!$B$15*Assumptions!$B$10/Projects!$D$15,0)+IF(AND(Projects!$G$16="Yes",52&gt;=Projects!$C$16,52&lt;Projects!$C$16+Projects!$D$16),Projects!$B$16*Assumptions!$B$10/Projects!$D$16,0)</f>
        <v>67134.1428571429</v>
      </c>
      <c r="BC8" s="10" t="n">
        <f aca="false">IF(AND(Projects!$G$2="Yes",53&gt;=Projects!$C$2,53&lt;Projects!$C$2+Projects!$D$2),194932/Projects!$D$2,0)+IF(AND(Projects!$G$3="Yes",53&gt;=Projects!$C$3,53&lt;Projects!$C$3+Projects!$D$3),888067/Projects!$D$3,0)+IF(AND(Projects!$G$4="Yes",53&gt;=Projects!$C$4,53&lt;Projects!$C$4+Projects!$D$4),Projects!$B$4*Assumptions!$B$10/Projects!$D$4,0)+IF(AND(Projects!$G$5="Yes",53&gt;=Projects!$C$5,53&lt;Projects!$C$5+Projects!$D$5),Projects!$B$5*Assumptions!$B$10/Projects!$D$5,0)+IF(AND(Projects!$G$6="Yes",53&gt;=Projects!$C$6,53&lt;Projects!$C$6+Projects!$D$6),245000/Projects!$D$6,0)+IF(AND(Projects!$G$7="Yes",53&gt;=Projects!$C$7,53&lt;Projects!$C$7+Projects!$D$7),Projects!$B$7*Assumptions!$B$10/Projects!$D$7,0)+IF(AND(Projects!$G$8="Yes",53&gt;=Projects!$C$8,53&lt;Projects!$C$8+Projects!$D$8),Projects!$B$8*Assumptions!$B$10/Projects!$D$8,0)+IF(AND(Projects!$G$9="Yes",53&gt;=Projects!$C$9,53&lt;Projects!$C$9+Projects!$D$9),Projects!$B$9*Assumptions!$B$10/Projects!$D$9,0)+IF(AND(Projects!$G$10="Yes",53&gt;=Projects!$C$10,53&lt;Projects!$C$10+Projects!$D$10),Projects!$B$10*Assumptions!$B$10/Projects!$D$10,0)+IF(AND(Projects!$G$11="Yes",53&gt;=Projects!$C$11,53&lt;Projects!$C$11+Projects!$D$11),Projects!$B$11*Assumptions!$B$10/Projects!$D$11,0)+IF(AND(Projects!$G$12="Yes",53&gt;=Projects!$C$12,53&lt;Projects!$C$12+Projects!$D$12),Projects!$B$12*Assumptions!$B$10/Projects!$D$12,0)+IF(AND(Projects!$G$13="Yes",53&gt;=Projects!$C$13,53&lt;Projects!$C$13+Projects!$D$13),Projects!$B$13*Assumptions!$B$10/Projects!$D$13,0)+IF(AND(Projects!$G$14="Yes",53&gt;=Projects!$C$14,53&lt;Projects!$C$14+Projects!$D$14),Projects!$B$14*Assumptions!$B$10/Projects!$D$14,0)+IF(AND(Projects!$G$15="Yes",53&gt;=Projects!$C$15,53&lt;Projects!$C$15+Projects!$D$15),Projects!$B$15*Assumptions!$B$10/Projects!$D$15,0)+IF(AND(Projects!$G$16="Yes",53&gt;=Projects!$C$16,53&lt;Projects!$C$16+Projects!$D$16),Projects!$B$16*Assumptions!$B$10/Projects!$D$16,0)</f>
        <v>67134.1428571429</v>
      </c>
      <c r="BD8" s="10" t="n">
        <f aca="false">IF(AND(Projects!$G$2="Yes",54&gt;=Projects!$C$2,54&lt;Projects!$C$2+Projects!$D$2),194932/Projects!$D$2,0)+IF(AND(Projects!$G$3="Yes",54&gt;=Projects!$C$3,54&lt;Projects!$C$3+Projects!$D$3),888067/Projects!$D$3,0)+IF(AND(Projects!$G$4="Yes",54&gt;=Projects!$C$4,54&lt;Projects!$C$4+Projects!$D$4),Projects!$B$4*Assumptions!$B$10/Projects!$D$4,0)+IF(AND(Projects!$G$5="Yes",54&gt;=Projects!$C$5,54&lt;Projects!$C$5+Projects!$D$5),Projects!$B$5*Assumptions!$B$10/Projects!$D$5,0)+IF(AND(Projects!$G$6="Yes",54&gt;=Projects!$C$6,54&lt;Projects!$C$6+Projects!$D$6),245000/Projects!$D$6,0)+IF(AND(Projects!$G$7="Yes",54&gt;=Projects!$C$7,54&lt;Projects!$C$7+Projects!$D$7),Projects!$B$7*Assumptions!$B$10/Projects!$D$7,0)+IF(AND(Projects!$G$8="Yes",54&gt;=Projects!$C$8,54&lt;Projects!$C$8+Projects!$D$8),Projects!$B$8*Assumptions!$B$10/Projects!$D$8,0)+IF(AND(Projects!$G$9="Yes",54&gt;=Projects!$C$9,54&lt;Projects!$C$9+Projects!$D$9),Projects!$B$9*Assumptions!$B$10/Projects!$D$9,0)+IF(AND(Projects!$G$10="Yes",54&gt;=Projects!$C$10,54&lt;Projects!$C$10+Projects!$D$10),Projects!$B$10*Assumptions!$B$10/Projects!$D$10,0)+IF(AND(Projects!$G$11="Yes",54&gt;=Projects!$C$11,54&lt;Projects!$C$11+Projects!$D$11),Projects!$B$11*Assumptions!$B$10/Projects!$D$11,0)+IF(AND(Projects!$G$12="Yes",54&gt;=Projects!$C$12,54&lt;Projects!$C$12+Projects!$D$12),Projects!$B$12*Assumptions!$B$10/Projects!$D$12,0)+IF(AND(Projects!$G$13="Yes",54&gt;=Projects!$C$13,54&lt;Projects!$C$13+Projects!$D$13),Projects!$B$13*Assumptions!$B$10/Projects!$D$13,0)+IF(AND(Projects!$G$14="Yes",54&gt;=Projects!$C$14,54&lt;Projects!$C$14+Projects!$D$14),Projects!$B$14*Assumptions!$B$10/Projects!$D$14,0)+IF(AND(Projects!$G$15="Yes",54&gt;=Projects!$C$15,54&lt;Projects!$C$15+Projects!$D$15),Projects!$B$15*Assumptions!$B$10/Projects!$D$15,0)+IF(AND(Projects!$G$16="Yes",54&gt;=Projects!$C$16,54&lt;Projects!$C$16+Projects!$D$16),Projects!$B$16*Assumptions!$B$10/Projects!$D$16,0)</f>
        <v>67134.1428571429</v>
      </c>
      <c r="BE8" s="10" t="n">
        <f aca="false">IF(AND(Projects!$G$2="Yes",55&gt;=Projects!$C$2,55&lt;Projects!$C$2+Projects!$D$2),194932/Projects!$D$2,0)+IF(AND(Projects!$G$3="Yes",55&gt;=Projects!$C$3,55&lt;Projects!$C$3+Projects!$D$3),888067/Projects!$D$3,0)+IF(AND(Projects!$G$4="Yes",55&gt;=Projects!$C$4,55&lt;Projects!$C$4+Projects!$D$4),Projects!$B$4*Assumptions!$B$10/Projects!$D$4,0)+IF(AND(Projects!$G$5="Yes",55&gt;=Projects!$C$5,55&lt;Projects!$C$5+Projects!$D$5),Projects!$B$5*Assumptions!$B$10/Projects!$D$5,0)+IF(AND(Projects!$G$6="Yes",55&gt;=Projects!$C$6,55&lt;Projects!$C$6+Projects!$D$6),245000/Projects!$D$6,0)+IF(AND(Projects!$G$7="Yes",55&gt;=Projects!$C$7,55&lt;Projects!$C$7+Projects!$D$7),Projects!$B$7*Assumptions!$B$10/Projects!$D$7,0)+IF(AND(Projects!$G$8="Yes",55&gt;=Projects!$C$8,55&lt;Projects!$C$8+Projects!$D$8),Projects!$B$8*Assumptions!$B$10/Projects!$D$8,0)+IF(AND(Projects!$G$9="Yes",55&gt;=Projects!$C$9,55&lt;Projects!$C$9+Projects!$D$9),Projects!$B$9*Assumptions!$B$10/Projects!$D$9,0)+IF(AND(Projects!$G$10="Yes",55&gt;=Projects!$C$10,55&lt;Projects!$C$10+Projects!$D$10),Projects!$B$10*Assumptions!$B$10/Projects!$D$10,0)+IF(AND(Projects!$G$11="Yes",55&gt;=Projects!$C$11,55&lt;Projects!$C$11+Projects!$D$11),Projects!$B$11*Assumptions!$B$10/Projects!$D$11,0)+IF(AND(Projects!$G$12="Yes",55&gt;=Projects!$C$12,55&lt;Projects!$C$12+Projects!$D$12),Projects!$B$12*Assumptions!$B$10/Projects!$D$12,0)+IF(AND(Projects!$G$13="Yes",55&gt;=Projects!$C$13,55&lt;Projects!$C$13+Projects!$D$13),Projects!$B$13*Assumptions!$B$10/Projects!$D$13,0)+IF(AND(Projects!$G$14="Yes",55&gt;=Projects!$C$14,55&lt;Projects!$C$14+Projects!$D$14),Projects!$B$14*Assumptions!$B$10/Projects!$D$14,0)+IF(AND(Projects!$G$15="Yes",55&gt;=Projects!$C$15,55&lt;Projects!$C$15+Projects!$D$15),Projects!$B$15*Assumptions!$B$10/Projects!$D$15,0)+IF(AND(Projects!$G$16="Yes",55&gt;=Projects!$C$16,55&lt;Projects!$C$16+Projects!$D$16),Projects!$B$16*Assumptions!$B$10/Projects!$D$16,0)</f>
        <v>67134.1428571429</v>
      </c>
      <c r="BF8" s="10" t="n">
        <f aca="false">IF(AND(Projects!$G$2="Yes",56&gt;=Projects!$C$2,56&lt;Projects!$C$2+Projects!$D$2),194932/Projects!$D$2,0)+IF(AND(Projects!$G$3="Yes",56&gt;=Projects!$C$3,56&lt;Projects!$C$3+Projects!$D$3),888067/Projects!$D$3,0)+IF(AND(Projects!$G$4="Yes",56&gt;=Projects!$C$4,56&lt;Projects!$C$4+Projects!$D$4),Projects!$B$4*Assumptions!$B$10/Projects!$D$4,0)+IF(AND(Projects!$G$5="Yes",56&gt;=Projects!$C$5,56&lt;Projects!$C$5+Projects!$D$5),Projects!$B$5*Assumptions!$B$10/Projects!$D$5,0)+IF(AND(Projects!$G$6="Yes",56&gt;=Projects!$C$6,56&lt;Projects!$C$6+Projects!$D$6),245000/Projects!$D$6,0)+IF(AND(Projects!$G$7="Yes",56&gt;=Projects!$C$7,56&lt;Projects!$C$7+Projects!$D$7),Projects!$B$7*Assumptions!$B$10/Projects!$D$7,0)+IF(AND(Projects!$G$8="Yes",56&gt;=Projects!$C$8,56&lt;Projects!$C$8+Projects!$D$8),Projects!$B$8*Assumptions!$B$10/Projects!$D$8,0)+IF(AND(Projects!$G$9="Yes",56&gt;=Projects!$C$9,56&lt;Projects!$C$9+Projects!$D$9),Projects!$B$9*Assumptions!$B$10/Projects!$D$9,0)+IF(AND(Projects!$G$10="Yes",56&gt;=Projects!$C$10,56&lt;Projects!$C$10+Projects!$D$10),Projects!$B$10*Assumptions!$B$10/Projects!$D$10,0)+IF(AND(Projects!$G$11="Yes",56&gt;=Projects!$C$11,56&lt;Projects!$C$11+Projects!$D$11),Projects!$B$11*Assumptions!$B$10/Projects!$D$11,0)+IF(AND(Projects!$G$12="Yes",56&gt;=Projects!$C$12,56&lt;Projects!$C$12+Projects!$D$12),Projects!$B$12*Assumptions!$B$10/Projects!$D$12,0)+IF(AND(Projects!$G$13="Yes",56&gt;=Projects!$C$13,56&lt;Projects!$C$13+Projects!$D$13),Projects!$B$13*Assumptions!$B$10/Projects!$D$13,0)+IF(AND(Projects!$G$14="Yes",56&gt;=Projects!$C$14,56&lt;Projects!$C$14+Projects!$D$14),Projects!$B$14*Assumptions!$B$10/Projects!$D$14,0)+IF(AND(Projects!$G$15="Yes",56&gt;=Projects!$C$15,56&lt;Projects!$C$15+Projects!$D$15),Projects!$B$15*Assumptions!$B$10/Projects!$D$15,0)+IF(AND(Projects!$G$16="Yes",56&gt;=Projects!$C$16,56&lt;Projects!$C$16+Projects!$D$16),Projects!$B$16*Assumptions!$B$10/Projects!$D$16,0)</f>
        <v>67134.1428571429</v>
      </c>
      <c r="BG8" s="10" t="n">
        <f aca="false">IF(AND(Projects!$G$2="Yes",57&gt;=Projects!$C$2,57&lt;Projects!$C$2+Projects!$D$2),194932/Projects!$D$2,0)+IF(AND(Projects!$G$3="Yes",57&gt;=Projects!$C$3,57&lt;Projects!$C$3+Projects!$D$3),888067/Projects!$D$3,0)+IF(AND(Projects!$G$4="Yes",57&gt;=Projects!$C$4,57&lt;Projects!$C$4+Projects!$D$4),Projects!$B$4*Assumptions!$B$10/Projects!$D$4,0)+IF(AND(Projects!$G$5="Yes",57&gt;=Projects!$C$5,57&lt;Projects!$C$5+Projects!$D$5),Projects!$B$5*Assumptions!$B$10/Projects!$D$5,0)+IF(AND(Projects!$G$6="Yes",57&gt;=Projects!$C$6,57&lt;Projects!$C$6+Projects!$D$6),245000/Projects!$D$6,0)+IF(AND(Projects!$G$7="Yes",57&gt;=Projects!$C$7,57&lt;Projects!$C$7+Projects!$D$7),Projects!$B$7*Assumptions!$B$10/Projects!$D$7,0)+IF(AND(Projects!$G$8="Yes",57&gt;=Projects!$C$8,57&lt;Projects!$C$8+Projects!$D$8),Projects!$B$8*Assumptions!$B$10/Projects!$D$8,0)+IF(AND(Projects!$G$9="Yes",57&gt;=Projects!$C$9,57&lt;Projects!$C$9+Projects!$D$9),Projects!$B$9*Assumptions!$B$10/Projects!$D$9,0)+IF(AND(Projects!$G$10="Yes",57&gt;=Projects!$C$10,57&lt;Projects!$C$10+Projects!$D$10),Projects!$B$10*Assumptions!$B$10/Projects!$D$10,0)+IF(AND(Projects!$G$11="Yes",57&gt;=Projects!$C$11,57&lt;Projects!$C$11+Projects!$D$11),Projects!$B$11*Assumptions!$B$10/Projects!$D$11,0)+IF(AND(Projects!$G$12="Yes",57&gt;=Projects!$C$12,57&lt;Projects!$C$12+Projects!$D$12),Projects!$B$12*Assumptions!$B$10/Projects!$D$12,0)+IF(AND(Projects!$G$13="Yes",57&gt;=Projects!$C$13,57&lt;Projects!$C$13+Projects!$D$13),Projects!$B$13*Assumptions!$B$10/Projects!$D$13,0)+IF(AND(Projects!$G$14="Yes",57&gt;=Projects!$C$14,57&lt;Projects!$C$14+Projects!$D$14),Projects!$B$14*Assumptions!$B$10/Projects!$D$14,0)+IF(AND(Projects!$G$15="Yes",57&gt;=Projects!$C$15,57&lt;Projects!$C$15+Projects!$D$15),Projects!$B$15*Assumptions!$B$10/Projects!$D$15,0)+IF(AND(Projects!$G$16="Yes",57&gt;=Projects!$C$16,57&lt;Projects!$C$16+Projects!$D$16),Projects!$B$16*Assumptions!$B$10/Projects!$D$16,0)</f>
        <v>0</v>
      </c>
      <c r="BH8" s="10" t="n">
        <f aca="false">IF(AND(Projects!$G$2="Yes",58&gt;=Projects!$C$2,58&lt;Projects!$C$2+Projects!$D$2),194932/Projects!$D$2,0)+IF(AND(Projects!$G$3="Yes",58&gt;=Projects!$C$3,58&lt;Projects!$C$3+Projects!$D$3),888067/Projects!$D$3,0)+IF(AND(Projects!$G$4="Yes",58&gt;=Projects!$C$4,58&lt;Projects!$C$4+Projects!$D$4),Projects!$B$4*Assumptions!$B$10/Projects!$D$4,0)+IF(AND(Projects!$G$5="Yes",58&gt;=Projects!$C$5,58&lt;Projects!$C$5+Projects!$D$5),Projects!$B$5*Assumptions!$B$10/Projects!$D$5,0)+IF(AND(Projects!$G$6="Yes",58&gt;=Projects!$C$6,58&lt;Projects!$C$6+Projects!$D$6),245000/Projects!$D$6,0)+IF(AND(Projects!$G$7="Yes",58&gt;=Projects!$C$7,58&lt;Projects!$C$7+Projects!$D$7),Projects!$B$7*Assumptions!$B$10/Projects!$D$7,0)+IF(AND(Projects!$G$8="Yes",58&gt;=Projects!$C$8,58&lt;Projects!$C$8+Projects!$D$8),Projects!$B$8*Assumptions!$B$10/Projects!$D$8,0)+IF(AND(Projects!$G$9="Yes",58&gt;=Projects!$C$9,58&lt;Projects!$C$9+Projects!$D$9),Projects!$B$9*Assumptions!$B$10/Projects!$D$9,0)+IF(AND(Projects!$G$10="Yes",58&gt;=Projects!$C$10,58&lt;Projects!$C$10+Projects!$D$10),Projects!$B$10*Assumptions!$B$10/Projects!$D$10,0)+IF(AND(Projects!$G$11="Yes",58&gt;=Projects!$C$11,58&lt;Projects!$C$11+Projects!$D$11),Projects!$B$11*Assumptions!$B$10/Projects!$D$11,0)+IF(AND(Projects!$G$12="Yes",58&gt;=Projects!$C$12,58&lt;Projects!$C$12+Projects!$D$12),Projects!$B$12*Assumptions!$B$10/Projects!$D$12,0)+IF(AND(Projects!$G$13="Yes",58&gt;=Projects!$C$13,58&lt;Projects!$C$13+Projects!$D$13),Projects!$B$13*Assumptions!$B$10/Projects!$D$13,0)+IF(AND(Projects!$G$14="Yes",58&gt;=Projects!$C$14,58&lt;Projects!$C$14+Projects!$D$14),Projects!$B$14*Assumptions!$B$10/Projects!$D$14,0)+IF(AND(Projects!$G$15="Yes",58&gt;=Projects!$C$15,58&lt;Projects!$C$15+Projects!$D$15),Projects!$B$15*Assumptions!$B$10/Projects!$D$15,0)+IF(AND(Projects!$G$16="Yes",58&gt;=Projects!$C$16,58&lt;Projects!$C$16+Projects!$D$16),Projects!$B$16*Assumptions!$B$10/Projects!$D$16,0)</f>
        <v>0</v>
      </c>
      <c r="BI8" s="10" t="n">
        <f aca="false">IF(AND(Projects!$G$2="Yes",59&gt;=Projects!$C$2,59&lt;Projects!$C$2+Projects!$D$2),194932/Projects!$D$2,0)+IF(AND(Projects!$G$3="Yes",59&gt;=Projects!$C$3,59&lt;Projects!$C$3+Projects!$D$3),888067/Projects!$D$3,0)+IF(AND(Projects!$G$4="Yes",59&gt;=Projects!$C$4,59&lt;Projects!$C$4+Projects!$D$4),Projects!$B$4*Assumptions!$B$10/Projects!$D$4,0)+IF(AND(Projects!$G$5="Yes",59&gt;=Projects!$C$5,59&lt;Projects!$C$5+Projects!$D$5),Projects!$B$5*Assumptions!$B$10/Projects!$D$5,0)+IF(AND(Projects!$G$6="Yes",59&gt;=Projects!$C$6,59&lt;Projects!$C$6+Projects!$D$6),245000/Projects!$D$6,0)+IF(AND(Projects!$G$7="Yes",59&gt;=Projects!$C$7,59&lt;Projects!$C$7+Projects!$D$7),Projects!$B$7*Assumptions!$B$10/Projects!$D$7,0)+IF(AND(Projects!$G$8="Yes",59&gt;=Projects!$C$8,59&lt;Projects!$C$8+Projects!$D$8),Projects!$B$8*Assumptions!$B$10/Projects!$D$8,0)+IF(AND(Projects!$G$9="Yes",59&gt;=Projects!$C$9,59&lt;Projects!$C$9+Projects!$D$9),Projects!$B$9*Assumptions!$B$10/Projects!$D$9,0)+IF(AND(Projects!$G$10="Yes",59&gt;=Projects!$C$10,59&lt;Projects!$C$10+Projects!$D$10),Projects!$B$10*Assumptions!$B$10/Projects!$D$10,0)+IF(AND(Projects!$G$11="Yes",59&gt;=Projects!$C$11,59&lt;Projects!$C$11+Projects!$D$11),Projects!$B$11*Assumptions!$B$10/Projects!$D$11,0)+IF(AND(Projects!$G$12="Yes",59&gt;=Projects!$C$12,59&lt;Projects!$C$12+Projects!$D$12),Projects!$B$12*Assumptions!$B$10/Projects!$D$12,0)+IF(AND(Projects!$G$13="Yes",59&gt;=Projects!$C$13,59&lt;Projects!$C$13+Projects!$D$13),Projects!$B$13*Assumptions!$B$10/Projects!$D$13,0)+IF(AND(Projects!$G$14="Yes",59&gt;=Projects!$C$14,59&lt;Projects!$C$14+Projects!$D$14),Projects!$B$14*Assumptions!$B$10/Projects!$D$14,0)+IF(AND(Projects!$G$15="Yes",59&gt;=Projects!$C$15,59&lt;Projects!$C$15+Projects!$D$15),Projects!$B$15*Assumptions!$B$10/Projects!$D$15,0)+IF(AND(Projects!$G$16="Yes",59&gt;=Projects!$C$16,59&lt;Projects!$C$16+Projects!$D$16),Projects!$B$16*Assumptions!$B$10/Projects!$D$16,0)</f>
        <v>0</v>
      </c>
      <c r="BJ8" s="10" t="n">
        <f aca="false">IF(AND(Projects!$G$2="Yes",60&gt;=Projects!$C$2,60&lt;Projects!$C$2+Projects!$D$2),194932/Projects!$D$2,0)+IF(AND(Projects!$G$3="Yes",60&gt;=Projects!$C$3,60&lt;Projects!$C$3+Projects!$D$3),888067/Projects!$D$3,0)+IF(AND(Projects!$G$4="Yes",60&gt;=Projects!$C$4,60&lt;Projects!$C$4+Projects!$D$4),Projects!$B$4*Assumptions!$B$10/Projects!$D$4,0)+IF(AND(Projects!$G$5="Yes",60&gt;=Projects!$C$5,60&lt;Projects!$C$5+Projects!$D$5),Projects!$B$5*Assumptions!$B$10/Projects!$D$5,0)+IF(AND(Projects!$G$6="Yes",60&gt;=Projects!$C$6,60&lt;Projects!$C$6+Projects!$D$6),245000/Projects!$D$6,0)+IF(AND(Projects!$G$7="Yes",60&gt;=Projects!$C$7,60&lt;Projects!$C$7+Projects!$D$7),Projects!$B$7*Assumptions!$B$10/Projects!$D$7,0)+IF(AND(Projects!$G$8="Yes",60&gt;=Projects!$C$8,60&lt;Projects!$C$8+Projects!$D$8),Projects!$B$8*Assumptions!$B$10/Projects!$D$8,0)+IF(AND(Projects!$G$9="Yes",60&gt;=Projects!$C$9,60&lt;Projects!$C$9+Projects!$D$9),Projects!$B$9*Assumptions!$B$10/Projects!$D$9,0)+IF(AND(Projects!$G$10="Yes",60&gt;=Projects!$C$10,60&lt;Projects!$C$10+Projects!$D$10),Projects!$B$10*Assumptions!$B$10/Projects!$D$10,0)+IF(AND(Projects!$G$11="Yes",60&gt;=Projects!$C$11,60&lt;Projects!$C$11+Projects!$D$11),Projects!$B$11*Assumptions!$B$10/Projects!$D$11,0)+IF(AND(Projects!$G$12="Yes",60&gt;=Projects!$C$12,60&lt;Projects!$C$12+Projects!$D$12),Projects!$B$12*Assumptions!$B$10/Projects!$D$12,0)+IF(AND(Projects!$G$13="Yes",60&gt;=Projects!$C$13,60&lt;Projects!$C$13+Projects!$D$13),Projects!$B$13*Assumptions!$B$10/Projects!$D$13,0)+IF(AND(Projects!$G$14="Yes",60&gt;=Projects!$C$14,60&lt;Projects!$C$14+Projects!$D$14),Projects!$B$14*Assumptions!$B$10/Projects!$D$14,0)+IF(AND(Projects!$G$15="Yes",60&gt;=Projects!$C$15,60&lt;Projects!$C$15+Projects!$D$15),Projects!$B$15*Assumptions!$B$10/Projects!$D$15,0)+IF(AND(Projects!$G$16="Yes",60&gt;=Projects!$C$16,60&lt;Projects!$C$16+Projects!$D$16),Projects!$B$16*Assumptions!$B$10/Projects!$D$16,0)</f>
        <v>0</v>
      </c>
      <c r="BK8" s="10" t="n">
        <f aca="false">IF(AND(Projects!$G$2="Yes",61&gt;=Projects!$C$2,61&lt;Projects!$C$2+Projects!$D$2),194932/Projects!$D$2,0)+IF(AND(Projects!$G$3="Yes",61&gt;=Projects!$C$3,61&lt;Projects!$C$3+Projects!$D$3),888067/Projects!$D$3,0)+IF(AND(Projects!$G$4="Yes",61&gt;=Projects!$C$4,61&lt;Projects!$C$4+Projects!$D$4),Projects!$B$4*Assumptions!$B$10/Projects!$D$4,0)+IF(AND(Projects!$G$5="Yes",61&gt;=Projects!$C$5,61&lt;Projects!$C$5+Projects!$D$5),Projects!$B$5*Assumptions!$B$10/Projects!$D$5,0)+IF(AND(Projects!$G$6="Yes",61&gt;=Projects!$C$6,61&lt;Projects!$C$6+Projects!$D$6),245000/Projects!$D$6,0)+IF(AND(Projects!$G$7="Yes",61&gt;=Projects!$C$7,61&lt;Projects!$C$7+Projects!$D$7),Projects!$B$7*Assumptions!$B$10/Projects!$D$7,0)+IF(AND(Projects!$G$8="Yes",61&gt;=Projects!$C$8,61&lt;Projects!$C$8+Projects!$D$8),Projects!$B$8*Assumptions!$B$10/Projects!$D$8,0)+IF(AND(Projects!$G$9="Yes",61&gt;=Projects!$C$9,61&lt;Projects!$C$9+Projects!$D$9),Projects!$B$9*Assumptions!$B$10/Projects!$D$9,0)+IF(AND(Projects!$G$10="Yes",61&gt;=Projects!$C$10,61&lt;Projects!$C$10+Projects!$D$10),Projects!$B$10*Assumptions!$B$10/Projects!$D$10,0)+IF(AND(Projects!$G$11="Yes",61&gt;=Projects!$C$11,61&lt;Projects!$C$11+Projects!$D$11),Projects!$B$11*Assumptions!$B$10/Projects!$D$11,0)+IF(AND(Projects!$G$12="Yes",61&gt;=Projects!$C$12,61&lt;Projects!$C$12+Projects!$D$12),Projects!$B$12*Assumptions!$B$10/Projects!$D$12,0)+IF(AND(Projects!$G$13="Yes",61&gt;=Projects!$C$13,61&lt;Projects!$C$13+Projects!$D$13),Projects!$B$13*Assumptions!$B$10/Projects!$D$13,0)+IF(AND(Projects!$G$14="Yes",61&gt;=Projects!$C$14,61&lt;Projects!$C$14+Projects!$D$14),Projects!$B$14*Assumptions!$B$10/Projects!$D$14,0)+IF(AND(Projects!$G$15="Yes",61&gt;=Projects!$C$15,61&lt;Projects!$C$15+Projects!$D$15),Projects!$B$15*Assumptions!$B$10/Projects!$D$15,0)+IF(AND(Projects!$G$16="Yes",61&gt;=Projects!$C$16,61&lt;Projects!$C$16+Projects!$D$16),Projects!$B$16*Assumptions!$B$10/Projects!$D$16,0)</f>
        <v>0</v>
      </c>
      <c r="BL8" s="10" t="n">
        <f aca="false">IF(AND(Projects!$G$2="Yes",62&gt;=Projects!$C$2,62&lt;Projects!$C$2+Projects!$D$2),194932/Projects!$D$2,0)+IF(AND(Projects!$G$3="Yes",62&gt;=Projects!$C$3,62&lt;Projects!$C$3+Projects!$D$3),888067/Projects!$D$3,0)+IF(AND(Projects!$G$4="Yes",62&gt;=Projects!$C$4,62&lt;Projects!$C$4+Projects!$D$4),Projects!$B$4*Assumptions!$B$10/Projects!$D$4,0)+IF(AND(Projects!$G$5="Yes",62&gt;=Projects!$C$5,62&lt;Projects!$C$5+Projects!$D$5),Projects!$B$5*Assumptions!$B$10/Projects!$D$5,0)+IF(AND(Projects!$G$6="Yes",62&gt;=Projects!$C$6,62&lt;Projects!$C$6+Projects!$D$6),245000/Projects!$D$6,0)+IF(AND(Projects!$G$7="Yes",62&gt;=Projects!$C$7,62&lt;Projects!$C$7+Projects!$D$7),Projects!$B$7*Assumptions!$B$10/Projects!$D$7,0)+IF(AND(Projects!$G$8="Yes",62&gt;=Projects!$C$8,62&lt;Projects!$C$8+Projects!$D$8),Projects!$B$8*Assumptions!$B$10/Projects!$D$8,0)+IF(AND(Projects!$G$9="Yes",62&gt;=Projects!$C$9,62&lt;Projects!$C$9+Projects!$D$9),Projects!$B$9*Assumptions!$B$10/Projects!$D$9,0)+IF(AND(Projects!$G$10="Yes",62&gt;=Projects!$C$10,62&lt;Projects!$C$10+Projects!$D$10),Projects!$B$10*Assumptions!$B$10/Projects!$D$10,0)+IF(AND(Projects!$G$11="Yes",62&gt;=Projects!$C$11,62&lt;Projects!$C$11+Projects!$D$11),Projects!$B$11*Assumptions!$B$10/Projects!$D$11,0)+IF(AND(Projects!$G$12="Yes",62&gt;=Projects!$C$12,62&lt;Projects!$C$12+Projects!$D$12),Projects!$B$12*Assumptions!$B$10/Projects!$D$12,0)+IF(AND(Projects!$G$13="Yes",62&gt;=Projects!$C$13,62&lt;Projects!$C$13+Projects!$D$13),Projects!$B$13*Assumptions!$B$10/Projects!$D$13,0)+IF(AND(Projects!$G$14="Yes",62&gt;=Projects!$C$14,62&lt;Projects!$C$14+Projects!$D$14),Projects!$B$14*Assumptions!$B$10/Projects!$D$14,0)+IF(AND(Projects!$G$15="Yes",62&gt;=Projects!$C$15,62&lt;Projects!$C$15+Projects!$D$15),Projects!$B$15*Assumptions!$B$10/Projects!$D$15,0)+IF(AND(Projects!$G$16="Yes",62&gt;=Projects!$C$16,62&lt;Projects!$C$16+Projects!$D$16),Projects!$B$16*Assumptions!$B$10/Projects!$D$16,0)</f>
        <v>0</v>
      </c>
      <c r="BM8" s="10" t="n">
        <f aca="false">IF(AND(Projects!$G$2="Yes",63&gt;=Projects!$C$2,63&lt;Projects!$C$2+Projects!$D$2),194932/Projects!$D$2,0)+IF(AND(Projects!$G$3="Yes",63&gt;=Projects!$C$3,63&lt;Projects!$C$3+Projects!$D$3),888067/Projects!$D$3,0)+IF(AND(Projects!$G$4="Yes",63&gt;=Projects!$C$4,63&lt;Projects!$C$4+Projects!$D$4),Projects!$B$4*Assumptions!$B$10/Projects!$D$4,0)+IF(AND(Projects!$G$5="Yes",63&gt;=Projects!$C$5,63&lt;Projects!$C$5+Projects!$D$5),Projects!$B$5*Assumptions!$B$10/Projects!$D$5,0)+IF(AND(Projects!$G$6="Yes",63&gt;=Projects!$C$6,63&lt;Projects!$C$6+Projects!$D$6),245000/Projects!$D$6,0)+IF(AND(Projects!$G$7="Yes",63&gt;=Projects!$C$7,63&lt;Projects!$C$7+Projects!$D$7),Projects!$B$7*Assumptions!$B$10/Projects!$D$7,0)+IF(AND(Projects!$G$8="Yes",63&gt;=Projects!$C$8,63&lt;Projects!$C$8+Projects!$D$8),Projects!$B$8*Assumptions!$B$10/Projects!$D$8,0)+IF(AND(Projects!$G$9="Yes",63&gt;=Projects!$C$9,63&lt;Projects!$C$9+Projects!$D$9),Projects!$B$9*Assumptions!$B$10/Projects!$D$9,0)+IF(AND(Projects!$G$10="Yes",63&gt;=Projects!$C$10,63&lt;Projects!$C$10+Projects!$D$10),Projects!$B$10*Assumptions!$B$10/Projects!$D$10,0)+IF(AND(Projects!$G$11="Yes",63&gt;=Projects!$C$11,63&lt;Projects!$C$11+Projects!$D$11),Projects!$B$11*Assumptions!$B$10/Projects!$D$11,0)+IF(AND(Projects!$G$12="Yes",63&gt;=Projects!$C$12,63&lt;Projects!$C$12+Projects!$D$12),Projects!$B$12*Assumptions!$B$10/Projects!$D$12,0)+IF(AND(Projects!$G$13="Yes",63&gt;=Projects!$C$13,63&lt;Projects!$C$13+Projects!$D$13),Projects!$B$13*Assumptions!$B$10/Projects!$D$13,0)+IF(AND(Projects!$G$14="Yes",63&gt;=Projects!$C$14,63&lt;Projects!$C$14+Projects!$D$14),Projects!$B$14*Assumptions!$B$10/Projects!$D$14,0)+IF(AND(Projects!$G$15="Yes",63&gt;=Projects!$C$15,63&lt;Projects!$C$15+Projects!$D$15),Projects!$B$15*Assumptions!$B$10/Projects!$D$15,0)+IF(AND(Projects!$G$16="Yes",63&gt;=Projects!$C$16,63&lt;Projects!$C$16+Projects!$D$16),Projects!$B$16*Assumptions!$B$10/Projects!$D$16,0)</f>
        <v>0</v>
      </c>
      <c r="BN8" s="10" t="n">
        <f aca="false">IF(AND(Projects!$G$2="Yes",64&gt;=Projects!$C$2,64&lt;Projects!$C$2+Projects!$D$2),194932/Projects!$D$2,0)+IF(AND(Projects!$G$3="Yes",64&gt;=Projects!$C$3,64&lt;Projects!$C$3+Projects!$D$3),888067/Projects!$D$3,0)+IF(AND(Projects!$G$4="Yes",64&gt;=Projects!$C$4,64&lt;Projects!$C$4+Projects!$D$4),Projects!$B$4*Assumptions!$B$10/Projects!$D$4,0)+IF(AND(Projects!$G$5="Yes",64&gt;=Projects!$C$5,64&lt;Projects!$C$5+Projects!$D$5),Projects!$B$5*Assumptions!$B$10/Projects!$D$5,0)+IF(AND(Projects!$G$6="Yes",64&gt;=Projects!$C$6,64&lt;Projects!$C$6+Projects!$D$6),245000/Projects!$D$6,0)+IF(AND(Projects!$G$7="Yes",64&gt;=Projects!$C$7,64&lt;Projects!$C$7+Projects!$D$7),Projects!$B$7*Assumptions!$B$10/Projects!$D$7,0)+IF(AND(Projects!$G$8="Yes",64&gt;=Projects!$C$8,64&lt;Projects!$C$8+Projects!$D$8),Projects!$B$8*Assumptions!$B$10/Projects!$D$8,0)+IF(AND(Projects!$G$9="Yes",64&gt;=Projects!$C$9,64&lt;Projects!$C$9+Projects!$D$9),Projects!$B$9*Assumptions!$B$10/Projects!$D$9,0)+IF(AND(Projects!$G$10="Yes",64&gt;=Projects!$C$10,64&lt;Projects!$C$10+Projects!$D$10),Projects!$B$10*Assumptions!$B$10/Projects!$D$10,0)+IF(AND(Projects!$G$11="Yes",64&gt;=Projects!$C$11,64&lt;Projects!$C$11+Projects!$D$11),Projects!$B$11*Assumptions!$B$10/Projects!$D$11,0)+IF(AND(Projects!$G$12="Yes",64&gt;=Projects!$C$12,64&lt;Projects!$C$12+Projects!$D$12),Projects!$B$12*Assumptions!$B$10/Projects!$D$12,0)+IF(AND(Projects!$G$13="Yes",64&gt;=Projects!$C$13,64&lt;Projects!$C$13+Projects!$D$13),Projects!$B$13*Assumptions!$B$10/Projects!$D$13,0)+IF(AND(Projects!$G$14="Yes",64&gt;=Projects!$C$14,64&lt;Projects!$C$14+Projects!$D$14),Projects!$B$14*Assumptions!$B$10/Projects!$D$14,0)+IF(AND(Projects!$G$15="Yes",64&gt;=Projects!$C$15,64&lt;Projects!$C$15+Projects!$D$15),Projects!$B$15*Assumptions!$B$10/Projects!$D$15,0)+IF(AND(Projects!$G$16="Yes",64&gt;=Projects!$C$16,64&lt;Projects!$C$16+Projects!$D$16),Projects!$B$16*Assumptions!$B$10/Projects!$D$16,0)</f>
        <v>0</v>
      </c>
      <c r="BO8" s="10" t="n">
        <f aca="false">IF(AND(Projects!$G$2="Yes",65&gt;=Projects!$C$2,65&lt;Projects!$C$2+Projects!$D$2),194932/Projects!$D$2,0)+IF(AND(Projects!$G$3="Yes",65&gt;=Projects!$C$3,65&lt;Projects!$C$3+Projects!$D$3),888067/Projects!$D$3,0)+IF(AND(Projects!$G$4="Yes",65&gt;=Projects!$C$4,65&lt;Projects!$C$4+Projects!$D$4),Projects!$B$4*Assumptions!$B$10/Projects!$D$4,0)+IF(AND(Projects!$G$5="Yes",65&gt;=Projects!$C$5,65&lt;Projects!$C$5+Projects!$D$5),Projects!$B$5*Assumptions!$B$10/Projects!$D$5,0)+IF(AND(Projects!$G$6="Yes",65&gt;=Projects!$C$6,65&lt;Projects!$C$6+Projects!$D$6),245000/Projects!$D$6,0)+IF(AND(Projects!$G$7="Yes",65&gt;=Projects!$C$7,65&lt;Projects!$C$7+Projects!$D$7),Projects!$B$7*Assumptions!$B$10/Projects!$D$7,0)+IF(AND(Projects!$G$8="Yes",65&gt;=Projects!$C$8,65&lt;Projects!$C$8+Projects!$D$8),Projects!$B$8*Assumptions!$B$10/Projects!$D$8,0)+IF(AND(Projects!$G$9="Yes",65&gt;=Projects!$C$9,65&lt;Projects!$C$9+Projects!$D$9),Projects!$B$9*Assumptions!$B$10/Projects!$D$9,0)+IF(AND(Projects!$G$10="Yes",65&gt;=Projects!$C$10,65&lt;Projects!$C$10+Projects!$D$10),Projects!$B$10*Assumptions!$B$10/Projects!$D$10,0)+IF(AND(Projects!$G$11="Yes",65&gt;=Projects!$C$11,65&lt;Projects!$C$11+Projects!$D$11),Projects!$B$11*Assumptions!$B$10/Projects!$D$11,0)+IF(AND(Projects!$G$12="Yes",65&gt;=Projects!$C$12,65&lt;Projects!$C$12+Projects!$D$12),Projects!$B$12*Assumptions!$B$10/Projects!$D$12,0)+IF(AND(Projects!$G$13="Yes",65&gt;=Projects!$C$13,65&lt;Projects!$C$13+Projects!$D$13),Projects!$B$13*Assumptions!$B$10/Projects!$D$13,0)+IF(AND(Projects!$G$14="Yes",65&gt;=Projects!$C$14,65&lt;Projects!$C$14+Projects!$D$14),Projects!$B$14*Assumptions!$B$10/Projects!$D$14,0)+IF(AND(Projects!$G$15="Yes",65&gt;=Projects!$C$15,65&lt;Projects!$C$15+Projects!$D$15),Projects!$B$15*Assumptions!$B$10/Projects!$D$15,0)+IF(AND(Projects!$G$16="Yes",65&gt;=Projects!$C$16,65&lt;Projects!$C$16+Projects!$D$16),Projects!$B$16*Assumptions!$B$10/Projects!$D$16,0)</f>
        <v>0</v>
      </c>
      <c r="BP8" s="10" t="n">
        <f aca="false">IF(AND(Projects!$G$2="Yes",66&gt;=Projects!$C$2,66&lt;Projects!$C$2+Projects!$D$2),194932/Projects!$D$2,0)+IF(AND(Projects!$G$3="Yes",66&gt;=Projects!$C$3,66&lt;Projects!$C$3+Projects!$D$3),888067/Projects!$D$3,0)+IF(AND(Projects!$G$4="Yes",66&gt;=Projects!$C$4,66&lt;Projects!$C$4+Projects!$D$4),Projects!$B$4*Assumptions!$B$10/Projects!$D$4,0)+IF(AND(Projects!$G$5="Yes",66&gt;=Projects!$C$5,66&lt;Projects!$C$5+Projects!$D$5),Projects!$B$5*Assumptions!$B$10/Projects!$D$5,0)+IF(AND(Projects!$G$6="Yes",66&gt;=Projects!$C$6,66&lt;Projects!$C$6+Projects!$D$6),245000/Projects!$D$6,0)+IF(AND(Projects!$G$7="Yes",66&gt;=Projects!$C$7,66&lt;Projects!$C$7+Projects!$D$7),Projects!$B$7*Assumptions!$B$10/Projects!$D$7,0)+IF(AND(Projects!$G$8="Yes",66&gt;=Projects!$C$8,66&lt;Projects!$C$8+Projects!$D$8),Projects!$B$8*Assumptions!$B$10/Projects!$D$8,0)+IF(AND(Projects!$G$9="Yes",66&gt;=Projects!$C$9,66&lt;Projects!$C$9+Projects!$D$9),Projects!$B$9*Assumptions!$B$10/Projects!$D$9,0)+IF(AND(Projects!$G$10="Yes",66&gt;=Projects!$C$10,66&lt;Projects!$C$10+Projects!$D$10),Projects!$B$10*Assumptions!$B$10/Projects!$D$10,0)+IF(AND(Projects!$G$11="Yes",66&gt;=Projects!$C$11,66&lt;Projects!$C$11+Projects!$D$11),Projects!$B$11*Assumptions!$B$10/Projects!$D$11,0)+IF(AND(Projects!$G$12="Yes",66&gt;=Projects!$C$12,66&lt;Projects!$C$12+Projects!$D$12),Projects!$B$12*Assumptions!$B$10/Projects!$D$12,0)+IF(AND(Projects!$G$13="Yes",66&gt;=Projects!$C$13,66&lt;Projects!$C$13+Projects!$D$13),Projects!$B$13*Assumptions!$B$10/Projects!$D$13,0)+IF(AND(Projects!$G$14="Yes",66&gt;=Projects!$C$14,66&lt;Projects!$C$14+Projects!$D$14),Projects!$B$14*Assumptions!$B$10/Projects!$D$14,0)+IF(AND(Projects!$G$15="Yes",66&gt;=Projects!$C$15,66&lt;Projects!$C$15+Projects!$D$15),Projects!$B$15*Assumptions!$B$10/Projects!$D$15,0)+IF(AND(Projects!$G$16="Yes",66&gt;=Projects!$C$16,66&lt;Projects!$C$16+Projects!$D$16),Projects!$B$16*Assumptions!$B$10/Projects!$D$16,0)</f>
        <v>0</v>
      </c>
      <c r="BQ8" s="10" t="n">
        <f aca="false">IF(AND(Projects!$G$2="Yes",67&gt;=Projects!$C$2,67&lt;Projects!$C$2+Projects!$D$2),194932/Projects!$D$2,0)+IF(AND(Projects!$G$3="Yes",67&gt;=Projects!$C$3,67&lt;Projects!$C$3+Projects!$D$3),888067/Projects!$D$3,0)+IF(AND(Projects!$G$4="Yes",67&gt;=Projects!$C$4,67&lt;Projects!$C$4+Projects!$D$4),Projects!$B$4*Assumptions!$B$10/Projects!$D$4,0)+IF(AND(Projects!$G$5="Yes",67&gt;=Projects!$C$5,67&lt;Projects!$C$5+Projects!$D$5),Projects!$B$5*Assumptions!$B$10/Projects!$D$5,0)+IF(AND(Projects!$G$6="Yes",67&gt;=Projects!$C$6,67&lt;Projects!$C$6+Projects!$D$6),245000/Projects!$D$6,0)+IF(AND(Projects!$G$7="Yes",67&gt;=Projects!$C$7,67&lt;Projects!$C$7+Projects!$D$7),Projects!$B$7*Assumptions!$B$10/Projects!$D$7,0)+IF(AND(Projects!$G$8="Yes",67&gt;=Projects!$C$8,67&lt;Projects!$C$8+Projects!$D$8),Projects!$B$8*Assumptions!$B$10/Projects!$D$8,0)+IF(AND(Projects!$G$9="Yes",67&gt;=Projects!$C$9,67&lt;Projects!$C$9+Projects!$D$9),Projects!$B$9*Assumptions!$B$10/Projects!$D$9,0)+IF(AND(Projects!$G$10="Yes",67&gt;=Projects!$C$10,67&lt;Projects!$C$10+Projects!$D$10),Projects!$B$10*Assumptions!$B$10/Projects!$D$10,0)+IF(AND(Projects!$G$11="Yes",67&gt;=Projects!$C$11,67&lt;Projects!$C$11+Projects!$D$11),Projects!$B$11*Assumptions!$B$10/Projects!$D$11,0)+IF(AND(Projects!$G$12="Yes",67&gt;=Projects!$C$12,67&lt;Projects!$C$12+Projects!$D$12),Projects!$B$12*Assumptions!$B$10/Projects!$D$12,0)+IF(AND(Projects!$G$13="Yes",67&gt;=Projects!$C$13,67&lt;Projects!$C$13+Projects!$D$13),Projects!$B$13*Assumptions!$B$10/Projects!$D$13,0)+IF(AND(Projects!$G$14="Yes",67&gt;=Projects!$C$14,67&lt;Projects!$C$14+Projects!$D$14),Projects!$B$14*Assumptions!$B$10/Projects!$D$14,0)+IF(AND(Projects!$G$15="Yes",67&gt;=Projects!$C$15,67&lt;Projects!$C$15+Projects!$D$15),Projects!$B$15*Assumptions!$B$10/Projects!$D$15,0)+IF(AND(Projects!$G$16="Yes",67&gt;=Projects!$C$16,67&lt;Projects!$C$16+Projects!$D$16),Projects!$B$16*Assumptions!$B$10/Projects!$D$16,0)</f>
        <v>0</v>
      </c>
      <c r="BR8" s="10" t="n">
        <f aca="false">IF(AND(Projects!$G$2="Yes",68&gt;=Projects!$C$2,68&lt;Projects!$C$2+Projects!$D$2),194932/Projects!$D$2,0)+IF(AND(Projects!$G$3="Yes",68&gt;=Projects!$C$3,68&lt;Projects!$C$3+Projects!$D$3),888067/Projects!$D$3,0)+IF(AND(Projects!$G$4="Yes",68&gt;=Projects!$C$4,68&lt;Projects!$C$4+Projects!$D$4),Projects!$B$4*Assumptions!$B$10/Projects!$D$4,0)+IF(AND(Projects!$G$5="Yes",68&gt;=Projects!$C$5,68&lt;Projects!$C$5+Projects!$D$5),Projects!$B$5*Assumptions!$B$10/Projects!$D$5,0)+IF(AND(Projects!$G$6="Yes",68&gt;=Projects!$C$6,68&lt;Projects!$C$6+Projects!$D$6),245000/Projects!$D$6,0)+IF(AND(Projects!$G$7="Yes",68&gt;=Projects!$C$7,68&lt;Projects!$C$7+Projects!$D$7),Projects!$B$7*Assumptions!$B$10/Projects!$D$7,0)+IF(AND(Projects!$G$8="Yes",68&gt;=Projects!$C$8,68&lt;Projects!$C$8+Projects!$D$8),Projects!$B$8*Assumptions!$B$10/Projects!$D$8,0)+IF(AND(Projects!$G$9="Yes",68&gt;=Projects!$C$9,68&lt;Projects!$C$9+Projects!$D$9),Projects!$B$9*Assumptions!$B$10/Projects!$D$9,0)+IF(AND(Projects!$G$10="Yes",68&gt;=Projects!$C$10,68&lt;Projects!$C$10+Projects!$D$10),Projects!$B$10*Assumptions!$B$10/Projects!$D$10,0)+IF(AND(Projects!$G$11="Yes",68&gt;=Projects!$C$11,68&lt;Projects!$C$11+Projects!$D$11),Projects!$B$11*Assumptions!$B$10/Projects!$D$11,0)+IF(AND(Projects!$G$12="Yes",68&gt;=Projects!$C$12,68&lt;Projects!$C$12+Projects!$D$12),Projects!$B$12*Assumptions!$B$10/Projects!$D$12,0)+IF(AND(Projects!$G$13="Yes",68&gt;=Projects!$C$13,68&lt;Projects!$C$13+Projects!$D$13),Projects!$B$13*Assumptions!$B$10/Projects!$D$13,0)+IF(AND(Projects!$G$14="Yes",68&gt;=Projects!$C$14,68&lt;Projects!$C$14+Projects!$D$14),Projects!$B$14*Assumptions!$B$10/Projects!$D$14,0)+IF(AND(Projects!$G$15="Yes",68&gt;=Projects!$C$15,68&lt;Projects!$C$15+Projects!$D$15),Projects!$B$15*Assumptions!$B$10/Projects!$D$15,0)+IF(AND(Projects!$G$16="Yes",68&gt;=Projects!$C$16,68&lt;Projects!$C$16+Projects!$D$16),Projects!$B$16*Assumptions!$B$10/Projects!$D$16,0)</f>
        <v>0</v>
      </c>
      <c r="BS8" s="10" t="n">
        <f aca="false">IF(AND(Projects!$G$2="Yes",69&gt;=Projects!$C$2,69&lt;Projects!$C$2+Projects!$D$2),194932/Projects!$D$2,0)+IF(AND(Projects!$G$3="Yes",69&gt;=Projects!$C$3,69&lt;Projects!$C$3+Projects!$D$3),888067/Projects!$D$3,0)+IF(AND(Projects!$G$4="Yes",69&gt;=Projects!$C$4,69&lt;Projects!$C$4+Projects!$D$4),Projects!$B$4*Assumptions!$B$10/Projects!$D$4,0)+IF(AND(Projects!$G$5="Yes",69&gt;=Projects!$C$5,69&lt;Projects!$C$5+Projects!$D$5),Projects!$B$5*Assumptions!$B$10/Projects!$D$5,0)+IF(AND(Projects!$G$6="Yes",69&gt;=Projects!$C$6,69&lt;Projects!$C$6+Projects!$D$6),245000/Projects!$D$6,0)+IF(AND(Projects!$G$7="Yes",69&gt;=Projects!$C$7,69&lt;Projects!$C$7+Projects!$D$7),Projects!$B$7*Assumptions!$B$10/Projects!$D$7,0)+IF(AND(Projects!$G$8="Yes",69&gt;=Projects!$C$8,69&lt;Projects!$C$8+Projects!$D$8),Projects!$B$8*Assumptions!$B$10/Projects!$D$8,0)+IF(AND(Projects!$G$9="Yes",69&gt;=Projects!$C$9,69&lt;Projects!$C$9+Projects!$D$9),Projects!$B$9*Assumptions!$B$10/Projects!$D$9,0)+IF(AND(Projects!$G$10="Yes",69&gt;=Projects!$C$10,69&lt;Projects!$C$10+Projects!$D$10),Projects!$B$10*Assumptions!$B$10/Projects!$D$10,0)+IF(AND(Projects!$G$11="Yes",69&gt;=Projects!$C$11,69&lt;Projects!$C$11+Projects!$D$11),Projects!$B$11*Assumptions!$B$10/Projects!$D$11,0)+IF(AND(Projects!$G$12="Yes",69&gt;=Projects!$C$12,69&lt;Projects!$C$12+Projects!$D$12),Projects!$B$12*Assumptions!$B$10/Projects!$D$12,0)+IF(AND(Projects!$G$13="Yes",69&gt;=Projects!$C$13,69&lt;Projects!$C$13+Projects!$D$13),Projects!$B$13*Assumptions!$B$10/Projects!$D$13,0)+IF(AND(Projects!$G$14="Yes",69&gt;=Projects!$C$14,69&lt;Projects!$C$14+Projects!$D$14),Projects!$B$14*Assumptions!$B$10/Projects!$D$14,0)+IF(AND(Projects!$G$15="Yes",69&gt;=Projects!$C$15,69&lt;Projects!$C$15+Projects!$D$15),Projects!$B$15*Assumptions!$B$10/Projects!$D$15,0)+IF(AND(Projects!$G$16="Yes",69&gt;=Projects!$C$16,69&lt;Projects!$C$16+Projects!$D$16),Projects!$B$16*Assumptions!$B$10/Projects!$D$16,0)</f>
        <v>0</v>
      </c>
      <c r="BT8" s="10" t="n">
        <f aca="false">IF(AND(Projects!$G$2="Yes",70&gt;=Projects!$C$2,70&lt;Projects!$C$2+Projects!$D$2),194932/Projects!$D$2,0)+IF(AND(Projects!$G$3="Yes",70&gt;=Projects!$C$3,70&lt;Projects!$C$3+Projects!$D$3),888067/Projects!$D$3,0)+IF(AND(Projects!$G$4="Yes",70&gt;=Projects!$C$4,70&lt;Projects!$C$4+Projects!$D$4),Projects!$B$4*Assumptions!$B$10/Projects!$D$4,0)+IF(AND(Projects!$G$5="Yes",70&gt;=Projects!$C$5,70&lt;Projects!$C$5+Projects!$D$5),Projects!$B$5*Assumptions!$B$10/Projects!$D$5,0)+IF(AND(Projects!$G$6="Yes",70&gt;=Projects!$C$6,70&lt;Projects!$C$6+Projects!$D$6),245000/Projects!$D$6,0)+IF(AND(Projects!$G$7="Yes",70&gt;=Projects!$C$7,70&lt;Projects!$C$7+Projects!$D$7),Projects!$B$7*Assumptions!$B$10/Projects!$D$7,0)+IF(AND(Projects!$G$8="Yes",70&gt;=Projects!$C$8,70&lt;Projects!$C$8+Projects!$D$8),Projects!$B$8*Assumptions!$B$10/Projects!$D$8,0)+IF(AND(Projects!$G$9="Yes",70&gt;=Projects!$C$9,70&lt;Projects!$C$9+Projects!$D$9),Projects!$B$9*Assumptions!$B$10/Projects!$D$9,0)+IF(AND(Projects!$G$10="Yes",70&gt;=Projects!$C$10,70&lt;Projects!$C$10+Projects!$D$10),Projects!$B$10*Assumptions!$B$10/Projects!$D$10,0)+IF(AND(Projects!$G$11="Yes",70&gt;=Projects!$C$11,70&lt;Projects!$C$11+Projects!$D$11),Projects!$B$11*Assumptions!$B$10/Projects!$D$11,0)+IF(AND(Projects!$G$12="Yes",70&gt;=Projects!$C$12,70&lt;Projects!$C$12+Projects!$D$12),Projects!$B$12*Assumptions!$B$10/Projects!$D$12,0)+IF(AND(Projects!$G$13="Yes",70&gt;=Projects!$C$13,70&lt;Projects!$C$13+Projects!$D$13),Projects!$B$13*Assumptions!$B$10/Projects!$D$13,0)+IF(AND(Projects!$G$14="Yes",70&gt;=Projects!$C$14,70&lt;Projects!$C$14+Projects!$D$14),Projects!$B$14*Assumptions!$B$10/Projects!$D$14,0)+IF(AND(Projects!$G$15="Yes",70&gt;=Projects!$C$15,70&lt;Projects!$C$15+Projects!$D$15),Projects!$B$15*Assumptions!$B$10/Projects!$D$15,0)+IF(AND(Projects!$G$16="Yes",70&gt;=Projects!$C$16,70&lt;Projects!$C$16+Projects!$D$16),Projects!$B$16*Assumptions!$B$10/Projects!$D$16,0)</f>
        <v>0</v>
      </c>
      <c r="BU8" s="10" t="n">
        <f aca="false">IF(AND(Projects!$G$2="Yes",71&gt;=Projects!$C$2,71&lt;Projects!$C$2+Projects!$D$2),194932/Projects!$D$2,0)+IF(AND(Projects!$G$3="Yes",71&gt;=Projects!$C$3,71&lt;Projects!$C$3+Projects!$D$3),888067/Projects!$D$3,0)+IF(AND(Projects!$G$4="Yes",71&gt;=Projects!$C$4,71&lt;Projects!$C$4+Projects!$D$4),Projects!$B$4*Assumptions!$B$10/Projects!$D$4,0)+IF(AND(Projects!$G$5="Yes",71&gt;=Projects!$C$5,71&lt;Projects!$C$5+Projects!$D$5),Projects!$B$5*Assumptions!$B$10/Projects!$D$5,0)+IF(AND(Projects!$G$6="Yes",71&gt;=Projects!$C$6,71&lt;Projects!$C$6+Projects!$D$6),245000/Projects!$D$6,0)+IF(AND(Projects!$G$7="Yes",71&gt;=Projects!$C$7,71&lt;Projects!$C$7+Projects!$D$7),Projects!$B$7*Assumptions!$B$10/Projects!$D$7,0)+IF(AND(Projects!$G$8="Yes",71&gt;=Projects!$C$8,71&lt;Projects!$C$8+Projects!$D$8),Projects!$B$8*Assumptions!$B$10/Projects!$D$8,0)+IF(AND(Projects!$G$9="Yes",71&gt;=Projects!$C$9,71&lt;Projects!$C$9+Projects!$D$9),Projects!$B$9*Assumptions!$B$10/Projects!$D$9,0)+IF(AND(Projects!$G$10="Yes",71&gt;=Projects!$C$10,71&lt;Projects!$C$10+Projects!$D$10),Projects!$B$10*Assumptions!$B$10/Projects!$D$10,0)+IF(AND(Projects!$G$11="Yes",71&gt;=Projects!$C$11,71&lt;Projects!$C$11+Projects!$D$11),Projects!$B$11*Assumptions!$B$10/Projects!$D$11,0)+IF(AND(Projects!$G$12="Yes",71&gt;=Projects!$C$12,71&lt;Projects!$C$12+Projects!$D$12),Projects!$B$12*Assumptions!$B$10/Projects!$D$12,0)+IF(AND(Projects!$G$13="Yes",71&gt;=Projects!$C$13,71&lt;Projects!$C$13+Projects!$D$13),Projects!$B$13*Assumptions!$B$10/Projects!$D$13,0)+IF(AND(Projects!$G$14="Yes",71&gt;=Projects!$C$14,71&lt;Projects!$C$14+Projects!$D$14),Projects!$B$14*Assumptions!$B$10/Projects!$D$14,0)+IF(AND(Projects!$G$15="Yes",71&gt;=Projects!$C$15,71&lt;Projects!$C$15+Projects!$D$15),Projects!$B$15*Assumptions!$B$10/Projects!$D$15,0)+IF(AND(Projects!$G$16="Yes",71&gt;=Projects!$C$16,71&lt;Projects!$C$16+Projects!$D$16),Projects!$B$16*Assumptions!$B$10/Projects!$D$16,0)</f>
        <v>0</v>
      </c>
      <c r="BV8" s="10" t="n">
        <f aca="false">IF(AND(Projects!$G$2="Yes",72&gt;=Projects!$C$2,72&lt;Projects!$C$2+Projects!$D$2),194932/Projects!$D$2,0)+IF(AND(Projects!$G$3="Yes",72&gt;=Projects!$C$3,72&lt;Projects!$C$3+Projects!$D$3),888067/Projects!$D$3,0)+IF(AND(Projects!$G$4="Yes",72&gt;=Projects!$C$4,72&lt;Projects!$C$4+Projects!$D$4),Projects!$B$4*Assumptions!$B$10/Projects!$D$4,0)+IF(AND(Projects!$G$5="Yes",72&gt;=Projects!$C$5,72&lt;Projects!$C$5+Projects!$D$5),Projects!$B$5*Assumptions!$B$10/Projects!$D$5,0)+IF(AND(Projects!$G$6="Yes",72&gt;=Projects!$C$6,72&lt;Projects!$C$6+Projects!$D$6),245000/Projects!$D$6,0)+IF(AND(Projects!$G$7="Yes",72&gt;=Projects!$C$7,72&lt;Projects!$C$7+Projects!$D$7),Projects!$B$7*Assumptions!$B$10/Projects!$D$7,0)+IF(AND(Projects!$G$8="Yes",72&gt;=Projects!$C$8,72&lt;Projects!$C$8+Projects!$D$8),Projects!$B$8*Assumptions!$B$10/Projects!$D$8,0)+IF(AND(Projects!$G$9="Yes",72&gt;=Projects!$C$9,72&lt;Projects!$C$9+Projects!$D$9),Projects!$B$9*Assumptions!$B$10/Projects!$D$9,0)+IF(AND(Projects!$G$10="Yes",72&gt;=Projects!$C$10,72&lt;Projects!$C$10+Projects!$D$10),Projects!$B$10*Assumptions!$B$10/Projects!$D$10,0)+IF(AND(Projects!$G$11="Yes",72&gt;=Projects!$C$11,72&lt;Projects!$C$11+Projects!$D$11),Projects!$B$11*Assumptions!$B$10/Projects!$D$11,0)+IF(AND(Projects!$G$12="Yes",72&gt;=Projects!$C$12,72&lt;Projects!$C$12+Projects!$D$12),Projects!$B$12*Assumptions!$B$10/Projects!$D$12,0)+IF(AND(Projects!$G$13="Yes",72&gt;=Projects!$C$13,72&lt;Projects!$C$13+Projects!$D$13),Projects!$B$13*Assumptions!$B$10/Projects!$D$13,0)+IF(AND(Projects!$G$14="Yes",72&gt;=Projects!$C$14,72&lt;Projects!$C$14+Projects!$D$14),Projects!$B$14*Assumptions!$B$10/Projects!$D$14,0)+IF(AND(Projects!$G$15="Yes",72&gt;=Projects!$C$15,72&lt;Projects!$C$15+Projects!$D$15),Projects!$B$15*Assumptions!$B$10/Projects!$D$15,0)+IF(AND(Projects!$G$16="Yes",72&gt;=Projects!$C$16,72&lt;Projects!$C$16+Projects!$D$16),Projects!$B$16*Assumptions!$B$10/Projects!$D$16,0)</f>
        <v>0</v>
      </c>
      <c r="BW8" s="10" t="n">
        <f aca="false">IF(AND(Projects!$G$2="Yes",73&gt;=Projects!$C$2,73&lt;Projects!$C$2+Projects!$D$2),194932/Projects!$D$2,0)+IF(AND(Projects!$G$3="Yes",73&gt;=Projects!$C$3,73&lt;Projects!$C$3+Projects!$D$3),888067/Projects!$D$3,0)+IF(AND(Projects!$G$4="Yes",73&gt;=Projects!$C$4,73&lt;Projects!$C$4+Projects!$D$4),Projects!$B$4*Assumptions!$B$10/Projects!$D$4,0)+IF(AND(Projects!$G$5="Yes",73&gt;=Projects!$C$5,73&lt;Projects!$C$5+Projects!$D$5),Projects!$B$5*Assumptions!$B$10/Projects!$D$5,0)+IF(AND(Projects!$G$6="Yes",73&gt;=Projects!$C$6,73&lt;Projects!$C$6+Projects!$D$6),245000/Projects!$D$6,0)+IF(AND(Projects!$G$7="Yes",73&gt;=Projects!$C$7,73&lt;Projects!$C$7+Projects!$D$7),Projects!$B$7*Assumptions!$B$10/Projects!$D$7,0)+IF(AND(Projects!$G$8="Yes",73&gt;=Projects!$C$8,73&lt;Projects!$C$8+Projects!$D$8),Projects!$B$8*Assumptions!$B$10/Projects!$D$8,0)+IF(AND(Projects!$G$9="Yes",73&gt;=Projects!$C$9,73&lt;Projects!$C$9+Projects!$D$9),Projects!$B$9*Assumptions!$B$10/Projects!$D$9,0)+IF(AND(Projects!$G$10="Yes",73&gt;=Projects!$C$10,73&lt;Projects!$C$10+Projects!$D$10),Projects!$B$10*Assumptions!$B$10/Projects!$D$10,0)+IF(AND(Projects!$G$11="Yes",73&gt;=Projects!$C$11,73&lt;Projects!$C$11+Projects!$D$11),Projects!$B$11*Assumptions!$B$10/Projects!$D$11,0)+IF(AND(Projects!$G$12="Yes",73&gt;=Projects!$C$12,73&lt;Projects!$C$12+Projects!$D$12),Projects!$B$12*Assumptions!$B$10/Projects!$D$12,0)+IF(AND(Projects!$G$13="Yes",73&gt;=Projects!$C$13,73&lt;Projects!$C$13+Projects!$D$13),Projects!$B$13*Assumptions!$B$10/Projects!$D$13,0)+IF(AND(Projects!$G$14="Yes",73&gt;=Projects!$C$14,73&lt;Projects!$C$14+Projects!$D$14),Projects!$B$14*Assumptions!$B$10/Projects!$D$14,0)+IF(AND(Projects!$G$15="Yes",73&gt;=Projects!$C$15,73&lt;Projects!$C$15+Projects!$D$15),Projects!$B$15*Assumptions!$B$10/Projects!$D$15,0)+IF(AND(Projects!$G$16="Yes",73&gt;=Projects!$C$16,73&lt;Projects!$C$16+Projects!$D$16),Projects!$B$16*Assumptions!$B$10/Projects!$D$16,0)</f>
        <v>0</v>
      </c>
      <c r="BX8" s="10" t="n">
        <f aca="false">IF(AND(Projects!$G$2="Yes",74&gt;=Projects!$C$2,74&lt;Projects!$C$2+Projects!$D$2),194932/Projects!$D$2,0)+IF(AND(Projects!$G$3="Yes",74&gt;=Projects!$C$3,74&lt;Projects!$C$3+Projects!$D$3),888067/Projects!$D$3,0)+IF(AND(Projects!$G$4="Yes",74&gt;=Projects!$C$4,74&lt;Projects!$C$4+Projects!$D$4),Projects!$B$4*Assumptions!$B$10/Projects!$D$4,0)+IF(AND(Projects!$G$5="Yes",74&gt;=Projects!$C$5,74&lt;Projects!$C$5+Projects!$D$5),Projects!$B$5*Assumptions!$B$10/Projects!$D$5,0)+IF(AND(Projects!$G$6="Yes",74&gt;=Projects!$C$6,74&lt;Projects!$C$6+Projects!$D$6),245000/Projects!$D$6,0)+IF(AND(Projects!$G$7="Yes",74&gt;=Projects!$C$7,74&lt;Projects!$C$7+Projects!$D$7),Projects!$B$7*Assumptions!$B$10/Projects!$D$7,0)+IF(AND(Projects!$G$8="Yes",74&gt;=Projects!$C$8,74&lt;Projects!$C$8+Projects!$D$8),Projects!$B$8*Assumptions!$B$10/Projects!$D$8,0)+IF(AND(Projects!$G$9="Yes",74&gt;=Projects!$C$9,74&lt;Projects!$C$9+Projects!$D$9),Projects!$B$9*Assumptions!$B$10/Projects!$D$9,0)+IF(AND(Projects!$G$10="Yes",74&gt;=Projects!$C$10,74&lt;Projects!$C$10+Projects!$D$10),Projects!$B$10*Assumptions!$B$10/Projects!$D$10,0)+IF(AND(Projects!$G$11="Yes",74&gt;=Projects!$C$11,74&lt;Projects!$C$11+Projects!$D$11),Projects!$B$11*Assumptions!$B$10/Projects!$D$11,0)+IF(AND(Projects!$G$12="Yes",74&gt;=Projects!$C$12,74&lt;Projects!$C$12+Projects!$D$12),Projects!$B$12*Assumptions!$B$10/Projects!$D$12,0)+IF(AND(Projects!$G$13="Yes",74&gt;=Projects!$C$13,74&lt;Projects!$C$13+Projects!$D$13),Projects!$B$13*Assumptions!$B$10/Projects!$D$13,0)+IF(AND(Projects!$G$14="Yes",74&gt;=Projects!$C$14,74&lt;Projects!$C$14+Projects!$D$14),Projects!$B$14*Assumptions!$B$10/Projects!$D$14,0)+IF(AND(Projects!$G$15="Yes",74&gt;=Projects!$C$15,74&lt;Projects!$C$15+Projects!$D$15),Projects!$B$15*Assumptions!$B$10/Projects!$D$15,0)+IF(AND(Projects!$G$16="Yes",74&gt;=Projects!$C$16,74&lt;Projects!$C$16+Projects!$D$16),Projects!$B$16*Assumptions!$B$10/Projects!$D$16,0)</f>
        <v>0</v>
      </c>
      <c r="BY8" s="10" t="n">
        <f aca="false">IF(AND(Projects!$G$2="Yes",75&gt;=Projects!$C$2,75&lt;Projects!$C$2+Projects!$D$2),194932/Projects!$D$2,0)+IF(AND(Projects!$G$3="Yes",75&gt;=Projects!$C$3,75&lt;Projects!$C$3+Projects!$D$3),888067/Projects!$D$3,0)+IF(AND(Projects!$G$4="Yes",75&gt;=Projects!$C$4,75&lt;Projects!$C$4+Projects!$D$4),Projects!$B$4*Assumptions!$B$10/Projects!$D$4,0)+IF(AND(Projects!$G$5="Yes",75&gt;=Projects!$C$5,75&lt;Projects!$C$5+Projects!$D$5),Projects!$B$5*Assumptions!$B$10/Projects!$D$5,0)+IF(AND(Projects!$G$6="Yes",75&gt;=Projects!$C$6,75&lt;Projects!$C$6+Projects!$D$6),245000/Projects!$D$6,0)+IF(AND(Projects!$G$7="Yes",75&gt;=Projects!$C$7,75&lt;Projects!$C$7+Projects!$D$7),Projects!$B$7*Assumptions!$B$10/Projects!$D$7,0)+IF(AND(Projects!$G$8="Yes",75&gt;=Projects!$C$8,75&lt;Projects!$C$8+Projects!$D$8),Projects!$B$8*Assumptions!$B$10/Projects!$D$8,0)+IF(AND(Projects!$G$9="Yes",75&gt;=Projects!$C$9,75&lt;Projects!$C$9+Projects!$D$9),Projects!$B$9*Assumptions!$B$10/Projects!$D$9,0)+IF(AND(Projects!$G$10="Yes",75&gt;=Projects!$C$10,75&lt;Projects!$C$10+Projects!$D$10),Projects!$B$10*Assumptions!$B$10/Projects!$D$10,0)+IF(AND(Projects!$G$11="Yes",75&gt;=Projects!$C$11,75&lt;Projects!$C$11+Projects!$D$11),Projects!$B$11*Assumptions!$B$10/Projects!$D$11,0)+IF(AND(Projects!$G$12="Yes",75&gt;=Projects!$C$12,75&lt;Projects!$C$12+Projects!$D$12),Projects!$B$12*Assumptions!$B$10/Projects!$D$12,0)+IF(AND(Projects!$G$13="Yes",75&gt;=Projects!$C$13,75&lt;Projects!$C$13+Projects!$D$13),Projects!$B$13*Assumptions!$B$10/Projects!$D$13,0)+IF(AND(Projects!$G$14="Yes",75&gt;=Projects!$C$14,75&lt;Projects!$C$14+Projects!$D$14),Projects!$B$14*Assumptions!$B$10/Projects!$D$14,0)+IF(AND(Projects!$G$15="Yes",75&gt;=Projects!$C$15,75&lt;Projects!$C$15+Projects!$D$15),Projects!$B$15*Assumptions!$B$10/Projects!$D$15,0)+IF(AND(Projects!$G$16="Yes",75&gt;=Projects!$C$16,75&lt;Projects!$C$16+Projects!$D$16),Projects!$B$16*Assumptions!$B$10/Projects!$D$16,0)</f>
        <v>0</v>
      </c>
      <c r="BZ8" s="10" t="n">
        <f aca="false">IF(AND(Projects!$G$2="Yes",76&gt;=Projects!$C$2,76&lt;Projects!$C$2+Projects!$D$2),194932/Projects!$D$2,0)+IF(AND(Projects!$G$3="Yes",76&gt;=Projects!$C$3,76&lt;Projects!$C$3+Projects!$D$3),888067/Projects!$D$3,0)+IF(AND(Projects!$G$4="Yes",76&gt;=Projects!$C$4,76&lt;Projects!$C$4+Projects!$D$4),Projects!$B$4*Assumptions!$B$10/Projects!$D$4,0)+IF(AND(Projects!$G$5="Yes",76&gt;=Projects!$C$5,76&lt;Projects!$C$5+Projects!$D$5),Projects!$B$5*Assumptions!$B$10/Projects!$D$5,0)+IF(AND(Projects!$G$6="Yes",76&gt;=Projects!$C$6,76&lt;Projects!$C$6+Projects!$D$6),245000/Projects!$D$6,0)+IF(AND(Projects!$G$7="Yes",76&gt;=Projects!$C$7,76&lt;Projects!$C$7+Projects!$D$7),Projects!$B$7*Assumptions!$B$10/Projects!$D$7,0)+IF(AND(Projects!$G$8="Yes",76&gt;=Projects!$C$8,76&lt;Projects!$C$8+Projects!$D$8),Projects!$B$8*Assumptions!$B$10/Projects!$D$8,0)+IF(AND(Projects!$G$9="Yes",76&gt;=Projects!$C$9,76&lt;Projects!$C$9+Projects!$D$9),Projects!$B$9*Assumptions!$B$10/Projects!$D$9,0)+IF(AND(Projects!$G$10="Yes",76&gt;=Projects!$C$10,76&lt;Projects!$C$10+Projects!$D$10),Projects!$B$10*Assumptions!$B$10/Projects!$D$10,0)+IF(AND(Projects!$G$11="Yes",76&gt;=Projects!$C$11,76&lt;Projects!$C$11+Projects!$D$11),Projects!$B$11*Assumptions!$B$10/Projects!$D$11,0)+IF(AND(Projects!$G$12="Yes",76&gt;=Projects!$C$12,76&lt;Projects!$C$12+Projects!$D$12),Projects!$B$12*Assumptions!$B$10/Projects!$D$12,0)+IF(AND(Projects!$G$13="Yes",76&gt;=Projects!$C$13,76&lt;Projects!$C$13+Projects!$D$13),Projects!$B$13*Assumptions!$B$10/Projects!$D$13,0)+IF(AND(Projects!$G$14="Yes",76&gt;=Projects!$C$14,76&lt;Projects!$C$14+Projects!$D$14),Projects!$B$14*Assumptions!$B$10/Projects!$D$14,0)+IF(AND(Projects!$G$15="Yes",76&gt;=Projects!$C$15,76&lt;Projects!$C$15+Projects!$D$15),Projects!$B$15*Assumptions!$B$10/Projects!$D$15,0)+IF(AND(Projects!$G$16="Yes",76&gt;=Projects!$C$16,76&lt;Projects!$C$16+Projects!$D$16),Projects!$B$16*Assumptions!$B$10/Projects!$D$16,0)</f>
        <v>0</v>
      </c>
      <c r="CA8" s="10" t="n">
        <f aca="false">IF(AND(Projects!$G$2="Yes",77&gt;=Projects!$C$2,77&lt;Projects!$C$2+Projects!$D$2),194932/Projects!$D$2,0)+IF(AND(Projects!$G$3="Yes",77&gt;=Projects!$C$3,77&lt;Projects!$C$3+Projects!$D$3),888067/Projects!$D$3,0)+IF(AND(Projects!$G$4="Yes",77&gt;=Projects!$C$4,77&lt;Projects!$C$4+Projects!$D$4),Projects!$B$4*Assumptions!$B$10/Projects!$D$4,0)+IF(AND(Projects!$G$5="Yes",77&gt;=Projects!$C$5,77&lt;Projects!$C$5+Projects!$D$5),Projects!$B$5*Assumptions!$B$10/Projects!$D$5,0)+IF(AND(Projects!$G$6="Yes",77&gt;=Projects!$C$6,77&lt;Projects!$C$6+Projects!$D$6),245000/Projects!$D$6,0)+IF(AND(Projects!$G$7="Yes",77&gt;=Projects!$C$7,77&lt;Projects!$C$7+Projects!$D$7),Projects!$B$7*Assumptions!$B$10/Projects!$D$7,0)+IF(AND(Projects!$G$8="Yes",77&gt;=Projects!$C$8,77&lt;Projects!$C$8+Projects!$D$8),Projects!$B$8*Assumptions!$B$10/Projects!$D$8,0)+IF(AND(Projects!$G$9="Yes",77&gt;=Projects!$C$9,77&lt;Projects!$C$9+Projects!$D$9),Projects!$B$9*Assumptions!$B$10/Projects!$D$9,0)+IF(AND(Projects!$G$10="Yes",77&gt;=Projects!$C$10,77&lt;Projects!$C$10+Projects!$D$10),Projects!$B$10*Assumptions!$B$10/Projects!$D$10,0)+IF(AND(Projects!$G$11="Yes",77&gt;=Projects!$C$11,77&lt;Projects!$C$11+Projects!$D$11),Projects!$B$11*Assumptions!$B$10/Projects!$D$11,0)+IF(AND(Projects!$G$12="Yes",77&gt;=Projects!$C$12,77&lt;Projects!$C$12+Projects!$D$12),Projects!$B$12*Assumptions!$B$10/Projects!$D$12,0)+IF(AND(Projects!$G$13="Yes",77&gt;=Projects!$C$13,77&lt;Projects!$C$13+Projects!$D$13),Projects!$B$13*Assumptions!$B$10/Projects!$D$13,0)+IF(AND(Projects!$G$14="Yes",77&gt;=Projects!$C$14,77&lt;Projects!$C$14+Projects!$D$14),Projects!$B$14*Assumptions!$B$10/Projects!$D$14,0)+IF(AND(Projects!$G$15="Yes",77&gt;=Projects!$C$15,77&lt;Projects!$C$15+Projects!$D$15),Projects!$B$15*Assumptions!$B$10/Projects!$D$15,0)+IF(AND(Projects!$G$16="Yes",77&gt;=Projects!$C$16,77&lt;Projects!$C$16+Projects!$D$16),Projects!$B$16*Assumptions!$B$10/Projects!$D$16,0)</f>
        <v>0</v>
      </c>
      <c r="CB8" s="10" t="n">
        <f aca="false">IF(AND(Projects!$G$2="Yes",78&gt;=Projects!$C$2,78&lt;Projects!$C$2+Projects!$D$2),194932/Projects!$D$2,0)+IF(AND(Projects!$G$3="Yes",78&gt;=Projects!$C$3,78&lt;Projects!$C$3+Projects!$D$3),888067/Projects!$D$3,0)+IF(AND(Projects!$G$4="Yes",78&gt;=Projects!$C$4,78&lt;Projects!$C$4+Projects!$D$4),Projects!$B$4*Assumptions!$B$10/Projects!$D$4,0)+IF(AND(Projects!$G$5="Yes",78&gt;=Projects!$C$5,78&lt;Projects!$C$5+Projects!$D$5),Projects!$B$5*Assumptions!$B$10/Projects!$D$5,0)+IF(AND(Projects!$G$6="Yes",78&gt;=Projects!$C$6,78&lt;Projects!$C$6+Projects!$D$6),245000/Projects!$D$6,0)+IF(AND(Projects!$G$7="Yes",78&gt;=Projects!$C$7,78&lt;Projects!$C$7+Projects!$D$7),Projects!$B$7*Assumptions!$B$10/Projects!$D$7,0)+IF(AND(Projects!$G$8="Yes",78&gt;=Projects!$C$8,78&lt;Projects!$C$8+Projects!$D$8),Projects!$B$8*Assumptions!$B$10/Projects!$D$8,0)+IF(AND(Projects!$G$9="Yes",78&gt;=Projects!$C$9,78&lt;Projects!$C$9+Projects!$D$9),Projects!$B$9*Assumptions!$B$10/Projects!$D$9,0)+IF(AND(Projects!$G$10="Yes",78&gt;=Projects!$C$10,78&lt;Projects!$C$10+Projects!$D$10),Projects!$B$10*Assumptions!$B$10/Projects!$D$10,0)+IF(AND(Projects!$G$11="Yes",78&gt;=Projects!$C$11,78&lt;Projects!$C$11+Projects!$D$11),Projects!$B$11*Assumptions!$B$10/Projects!$D$11,0)+IF(AND(Projects!$G$12="Yes",78&gt;=Projects!$C$12,78&lt;Projects!$C$12+Projects!$D$12),Projects!$B$12*Assumptions!$B$10/Projects!$D$12,0)+IF(AND(Projects!$G$13="Yes",78&gt;=Projects!$C$13,78&lt;Projects!$C$13+Projects!$D$13),Projects!$B$13*Assumptions!$B$10/Projects!$D$13,0)+IF(AND(Projects!$G$14="Yes",78&gt;=Projects!$C$14,78&lt;Projects!$C$14+Projects!$D$14),Projects!$B$14*Assumptions!$B$10/Projects!$D$14,0)+IF(AND(Projects!$G$15="Yes",78&gt;=Projects!$C$15,78&lt;Projects!$C$15+Projects!$D$15),Projects!$B$15*Assumptions!$B$10/Projects!$D$15,0)+IF(AND(Projects!$G$16="Yes",78&gt;=Projects!$C$16,78&lt;Projects!$C$16+Projects!$D$16),Projects!$B$16*Assumptions!$B$10/Projects!$D$16,0)</f>
        <v>0</v>
      </c>
      <c r="CC8" s="10" t="n">
        <f aca="false">IF(AND(Projects!$G$2="Yes",79&gt;=Projects!$C$2,79&lt;Projects!$C$2+Projects!$D$2),194932/Projects!$D$2,0)+IF(AND(Projects!$G$3="Yes",79&gt;=Projects!$C$3,79&lt;Projects!$C$3+Projects!$D$3),888067/Projects!$D$3,0)+IF(AND(Projects!$G$4="Yes",79&gt;=Projects!$C$4,79&lt;Projects!$C$4+Projects!$D$4),Projects!$B$4*Assumptions!$B$10/Projects!$D$4,0)+IF(AND(Projects!$G$5="Yes",79&gt;=Projects!$C$5,79&lt;Projects!$C$5+Projects!$D$5),Projects!$B$5*Assumptions!$B$10/Projects!$D$5,0)+IF(AND(Projects!$G$6="Yes",79&gt;=Projects!$C$6,79&lt;Projects!$C$6+Projects!$D$6),245000/Projects!$D$6,0)+IF(AND(Projects!$G$7="Yes",79&gt;=Projects!$C$7,79&lt;Projects!$C$7+Projects!$D$7),Projects!$B$7*Assumptions!$B$10/Projects!$D$7,0)+IF(AND(Projects!$G$8="Yes",79&gt;=Projects!$C$8,79&lt;Projects!$C$8+Projects!$D$8),Projects!$B$8*Assumptions!$B$10/Projects!$D$8,0)+IF(AND(Projects!$G$9="Yes",79&gt;=Projects!$C$9,79&lt;Projects!$C$9+Projects!$D$9),Projects!$B$9*Assumptions!$B$10/Projects!$D$9,0)+IF(AND(Projects!$G$10="Yes",79&gt;=Projects!$C$10,79&lt;Projects!$C$10+Projects!$D$10),Projects!$B$10*Assumptions!$B$10/Projects!$D$10,0)+IF(AND(Projects!$G$11="Yes",79&gt;=Projects!$C$11,79&lt;Projects!$C$11+Projects!$D$11),Projects!$B$11*Assumptions!$B$10/Projects!$D$11,0)+IF(AND(Projects!$G$12="Yes",79&gt;=Projects!$C$12,79&lt;Projects!$C$12+Projects!$D$12),Projects!$B$12*Assumptions!$B$10/Projects!$D$12,0)+IF(AND(Projects!$G$13="Yes",79&gt;=Projects!$C$13,79&lt;Projects!$C$13+Projects!$D$13),Projects!$B$13*Assumptions!$B$10/Projects!$D$13,0)+IF(AND(Projects!$G$14="Yes",79&gt;=Projects!$C$14,79&lt;Projects!$C$14+Projects!$D$14),Projects!$B$14*Assumptions!$B$10/Projects!$D$14,0)+IF(AND(Projects!$G$15="Yes",79&gt;=Projects!$C$15,79&lt;Projects!$C$15+Projects!$D$15),Projects!$B$15*Assumptions!$B$10/Projects!$D$15,0)+IF(AND(Projects!$G$16="Yes",79&gt;=Projects!$C$16,79&lt;Projects!$C$16+Projects!$D$16),Projects!$B$16*Assumptions!$B$10/Projects!$D$16,0)</f>
        <v>0</v>
      </c>
      <c r="CD8" s="10" t="n">
        <f aca="false">IF(AND(Projects!$G$2="Yes",80&gt;=Projects!$C$2,80&lt;Projects!$C$2+Projects!$D$2),194932/Projects!$D$2,0)+IF(AND(Projects!$G$3="Yes",80&gt;=Projects!$C$3,80&lt;Projects!$C$3+Projects!$D$3),888067/Projects!$D$3,0)+IF(AND(Projects!$G$4="Yes",80&gt;=Projects!$C$4,80&lt;Projects!$C$4+Projects!$D$4),Projects!$B$4*Assumptions!$B$10/Projects!$D$4,0)+IF(AND(Projects!$G$5="Yes",80&gt;=Projects!$C$5,80&lt;Projects!$C$5+Projects!$D$5),Projects!$B$5*Assumptions!$B$10/Projects!$D$5,0)+IF(AND(Projects!$G$6="Yes",80&gt;=Projects!$C$6,80&lt;Projects!$C$6+Projects!$D$6),245000/Projects!$D$6,0)+IF(AND(Projects!$G$7="Yes",80&gt;=Projects!$C$7,80&lt;Projects!$C$7+Projects!$D$7),Projects!$B$7*Assumptions!$B$10/Projects!$D$7,0)+IF(AND(Projects!$G$8="Yes",80&gt;=Projects!$C$8,80&lt;Projects!$C$8+Projects!$D$8),Projects!$B$8*Assumptions!$B$10/Projects!$D$8,0)+IF(AND(Projects!$G$9="Yes",80&gt;=Projects!$C$9,80&lt;Projects!$C$9+Projects!$D$9),Projects!$B$9*Assumptions!$B$10/Projects!$D$9,0)+IF(AND(Projects!$G$10="Yes",80&gt;=Projects!$C$10,80&lt;Projects!$C$10+Projects!$D$10),Projects!$B$10*Assumptions!$B$10/Projects!$D$10,0)+IF(AND(Projects!$G$11="Yes",80&gt;=Projects!$C$11,80&lt;Projects!$C$11+Projects!$D$11),Projects!$B$11*Assumptions!$B$10/Projects!$D$11,0)+IF(AND(Projects!$G$12="Yes",80&gt;=Projects!$C$12,80&lt;Projects!$C$12+Projects!$D$12),Projects!$B$12*Assumptions!$B$10/Projects!$D$12,0)+IF(AND(Projects!$G$13="Yes",80&gt;=Projects!$C$13,80&lt;Projects!$C$13+Projects!$D$13),Projects!$B$13*Assumptions!$B$10/Projects!$D$13,0)+IF(AND(Projects!$G$14="Yes",80&gt;=Projects!$C$14,80&lt;Projects!$C$14+Projects!$D$14),Projects!$B$14*Assumptions!$B$10/Projects!$D$14,0)+IF(AND(Projects!$G$15="Yes",80&gt;=Projects!$C$15,80&lt;Projects!$C$15+Projects!$D$15),Projects!$B$15*Assumptions!$B$10/Projects!$D$15,0)+IF(AND(Projects!$G$16="Yes",80&gt;=Projects!$C$16,80&lt;Projects!$C$16+Projects!$D$16),Projects!$B$16*Assumptions!$B$10/Projects!$D$16,0)</f>
        <v>0</v>
      </c>
      <c r="CE8" s="10" t="n">
        <f aca="false">IF(AND(Projects!$G$2="Yes",81&gt;=Projects!$C$2,81&lt;Projects!$C$2+Projects!$D$2),194932/Projects!$D$2,0)+IF(AND(Projects!$G$3="Yes",81&gt;=Projects!$C$3,81&lt;Projects!$C$3+Projects!$D$3),888067/Projects!$D$3,0)+IF(AND(Projects!$G$4="Yes",81&gt;=Projects!$C$4,81&lt;Projects!$C$4+Projects!$D$4),Projects!$B$4*Assumptions!$B$10/Projects!$D$4,0)+IF(AND(Projects!$G$5="Yes",81&gt;=Projects!$C$5,81&lt;Projects!$C$5+Projects!$D$5),Projects!$B$5*Assumptions!$B$10/Projects!$D$5,0)+IF(AND(Projects!$G$6="Yes",81&gt;=Projects!$C$6,81&lt;Projects!$C$6+Projects!$D$6),245000/Projects!$D$6,0)+IF(AND(Projects!$G$7="Yes",81&gt;=Projects!$C$7,81&lt;Projects!$C$7+Projects!$D$7),Projects!$B$7*Assumptions!$B$10/Projects!$D$7,0)+IF(AND(Projects!$G$8="Yes",81&gt;=Projects!$C$8,81&lt;Projects!$C$8+Projects!$D$8),Projects!$B$8*Assumptions!$B$10/Projects!$D$8,0)+IF(AND(Projects!$G$9="Yes",81&gt;=Projects!$C$9,81&lt;Projects!$C$9+Projects!$D$9),Projects!$B$9*Assumptions!$B$10/Projects!$D$9,0)+IF(AND(Projects!$G$10="Yes",81&gt;=Projects!$C$10,81&lt;Projects!$C$10+Projects!$D$10),Projects!$B$10*Assumptions!$B$10/Projects!$D$10,0)+IF(AND(Projects!$G$11="Yes",81&gt;=Projects!$C$11,81&lt;Projects!$C$11+Projects!$D$11),Projects!$B$11*Assumptions!$B$10/Projects!$D$11,0)+IF(AND(Projects!$G$12="Yes",81&gt;=Projects!$C$12,81&lt;Projects!$C$12+Projects!$D$12),Projects!$B$12*Assumptions!$B$10/Projects!$D$12,0)+IF(AND(Projects!$G$13="Yes",81&gt;=Projects!$C$13,81&lt;Projects!$C$13+Projects!$D$13),Projects!$B$13*Assumptions!$B$10/Projects!$D$13,0)+IF(AND(Projects!$G$14="Yes",81&gt;=Projects!$C$14,81&lt;Projects!$C$14+Projects!$D$14),Projects!$B$14*Assumptions!$B$10/Projects!$D$14,0)+IF(AND(Projects!$G$15="Yes",81&gt;=Projects!$C$15,81&lt;Projects!$C$15+Projects!$D$15),Projects!$B$15*Assumptions!$B$10/Projects!$D$15,0)+IF(AND(Projects!$G$16="Yes",81&gt;=Projects!$C$16,81&lt;Projects!$C$16+Projects!$D$16),Projects!$B$16*Assumptions!$B$10/Projects!$D$16,0)</f>
        <v>0</v>
      </c>
      <c r="CF8" s="10" t="n">
        <f aca="false">IF(AND(Projects!$G$2="Yes",82&gt;=Projects!$C$2,82&lt;Projects!$C$2+Projects!$D$2),194932/Projects!$D$2,0)+IF(AND(Projects!$G$3="Yes",82&gt;=Projects!$C$3,82&lt;Projects!$C$3+Projects!$D$3),888067/Projects!$D$3,0)+IF(AND(Projects!$G$4="Yes",82&gt;=Projects!$C$4,82&lt;Projects!$C$4+Projects!$D$4),Projects!$B$4*Assumptions!$B$10/Projects!$D$4,0)+IF(AND(Projects!$G$5="Yes",82&gt;=Projects!$C$5,82&lt;Projects!$C$5+Projects!$D$5),Projects!$B$5*Assumptions!$B$10/Projects!$D$5,0)+IF(AND(Projects!$G$6="Yes",82&gt;=Projects!$C$6,82&lt;Projects!$C$6+Projects!$D$6),245000/Projects!$D$6,0)+IF(AND(Projects!$G$7="Yes",82&gt;=Projects!$C$7,82&lt;Projects!$C$7+Projects!$D$7),Projects!$B$7*Assumptions!$B$10/Projects!$D$7,0)+IF(AND(Projects!$G$8="Yes",82&gt;=Projects!$C$8,82&lt;Projects!$C$8+Projects!$D$8),Projects!$B$8*Assumptions!$B$10/Projects!$D$8,0)+IF(AND(Projects!$G$9="Yes",82&gt;=Projects!$C$9,82&lt;Projects!$C$9+Projects!$D$9),Projects!$B$9*Assumptions!$B$10/Projects!$D$9,0)+IF(AND(Projects!$G$10="Yes",82&gt;=Projects!$C$10,82&lt;Projects!$C$10+Projects!$D$10),Projects!$B$10*Assumptions!$B$10/Projects!$D$10,0)+IF(AND(Projects!$G$11="Yes",82&gt;=Projects!$C$11,82&lt;Projects!$C$11+Projects!$D$11),Projects!$B$11*Assumptions!$B$10/Projects!$D$11,0)+IF(AND(Projects!$G$12="Yes",82&gt;=Projects!$C$12,82&lt;Projects!$C$12+Projects!$D$12),Projects!$B$12*Assumptions!$B$10/Projects!$D$12,0)+IF(AND(Projects!$G$13="Yes",82&gt;=Projects!$C$13,82&lt;Projects!$C$13+Projects!$D$13),Projects!$B$13*Assumptions!$B$10/Projects!$D$13,0)+IF(AND(Projects!$G$14="Yes",82&gt;=Projects!$C$14,82&lt;Projects!$C$14+Projects!$D$14),Projects!$B$14*Assumptions!$B$10/Projects!$D$14,0)+IF(AND(Projects!$G$15="Yes",82&gt;=Projects!$C$15,82&lt;Projects!$C$15+Projects!$D$15),Projects!$B$15*Assumptions!$B$10/Projects!$D$15,0)+IF(AND(Projects!$G$16="Yes",82&gt;=Projects!$C$16,82&lt;Projects!$C$16+Projects!$D$16),Projects!$B$16*Assumptions!$B$10/Projects!$D$16,0)</f>
        <v>0</v>
      </c>
      <c r="CG8" s="10" t="n">
        <f aca="false">IF(AND(Projects!$G$2="Yes",83&gt;=Projects!$C$2,83&lt;Projects!$C$2+Projects!$D$2),194932/Projects!$D$2,0)+IF(AND(Projects!$G$3="Yes",83&gt;=Projects!$C$3,83&lt;Projects!$C$3+Projects!$D$3),888067/Projects!$D$3,0)+IF(AND(Projects!$G$4="Yes",83&gt;=Projects!$C$4,83&lt;Projects!$C$4+Projects!$D$4),Projects!$B$4*Assumptions!$B$10/Projects!$D$4,0)+IF(AND(Projects!$G$5="Yes",83&gt;=Projects!$C$5,83&lt;Projects!$C$5+Projects!$D$5),Projects!$B$5*Assumptions!$B$10/Projects!$D$5,0)+IF(AND(Projects!$G$6="Yes",83&gt;=Projects!$C$6,83&lt;Projects!$C$6+Projects!$D$6),245000/Projects!$D$6,0)+IF(AND(Projects!$G$7="Yes",83&gt;=Projects!$C$7,83&lt;Projects!$C$7+Projects!$D$7),Projects!$B$7*Assumptions!$B$10/Projects!$D$7,0)+IF(AND(Projects!$G$8="Yes",83&gt;=Projects!$C$8,83&lt;Projects!$C$8+Projects!$D$8),Projects!$B$8*Assumptions!$B$10/Projects!$D$8,0)+IF(AND(Projects!$G$9="Yes",83&gt;=Projects!$C$9,83&lt;Projects!$C$9+Projects!$D$9),Projects!$B$9*Assumptions!$B$10/Projects!$D$9,0)+IF(AND(Projects!$G$10="Yes",83&gt;=Projects!$C$10,83&lt;Projects!$C$10+Projects!$D$10),Projects!$B$10*Assumptions!$B$10/Projects!$D$10,0)+IF(AND(Projects!$G$11="Yes",83&gt;=Projects!$C$11,83&lt;Projects!$C$11+Projects!$D$11),Projects!$B$11*Assumptions!$B$10/Projects!$D$11,0)+IF(AND(Projects!$G$12="Yes",83&gt;=Projects!$C$12,83&lt;Projects!$C$12+Projects!$D$12),Projects!$B$12*Assumptions!$B$10/Projects!$D$12,0)+IF(AND(Projects!$G$13="Yes",83&gt;=Projects!$C$13,83&lt;Projects!$C$13+Projects!$D$13),Projects!$B$13*Assumptions!$B$10/Projects!$D$13,0)+IF(AND(Projects!$G$14="Yes",83&gt;=Projects!$C$14,83&lt;Projects!$C$14+Projects!$D$14),Projects!$B$14*Assumptions!$B$10/Projects!$D$14,0)+IF(AND(Projects!$G$15="Yes",83&gt;=Projects!$C$15,83&lt;Projects!$C$15+Projects!$D$15),Projects!$B$15*Assumptions!$B$10/Projects!$D$15,0)+IF(AND(Projects!$G$16="Yes",83&gt;=Projects!$C$16,83&lt;Projects!$C$16+Projects!$D$16),Projects!$B$16*Assumptions!$B$10/Projects!$D$16,0)</f>
        <v>0</v>
      </c>
      <c r="CH8" s="10" t="n">
        <f aca="false">IF(AND(Projects!$G$2="Yes",84&gt;=Projects!$C$2,84&lt;Projects!$C$2+Projects!$D$2),194932/Projects!$D$2,0)+IF(AND(Projects!$G$3="Yes",84&gt;=Projects!$C$3,84&lt;Projects!$C$3+Projects!$D$3),888067/Projects!$D$3,0)+IF(AND(Projects!$G$4="Yes",84&gt;=Projects!$C$4,84&lt;Projects!$C$4+Projects!$D$4),Projects!$B$4*Assumptions!$B$10/Projects!$D$4,0)+IF(AND(Projects!$G$5="Yes",84&gt;=Projects!$C$5,84&lt;Projects!$C$5+Projects!$D$5),Projects!$B$5*Assumptions!$B$10/Projects!$D$5,0)+IF(AND(Projects!$G$6="Yes",84&gt;=Projects!$C$6,84&lt;Projects!$C$6+Projects!$D$6),245000/Projects!$D$6,0)+IF(AND(Projects!$G$7="Yes",84&gt;=Projects!$C$7,84&lt;Projects!$C$7+Projects!$D$7),Projects!$B$7*Assumptions!$B$10/Projects!$D$7,0)+IF(AND(Projects!$G$8="Yes",84&gt;=Projects!$C$8,84&lt;Projects!$C$8+Projects!$D$8),Projects!$B$8*Assumptions!$B$10/Projects!$D$8,0)+IF(AND(Projects!$G$9="Yes",84&gt;=Projects!$C$9,84&lt;Projects!$C$9+Projects!$D$9),Projects!$B$9*Assumptions!$B$10/Projects!$D$9,0)+IF(AND(Projects!$G$10="Yes",84&gt;=Projects!$C$10,84&lt;Projects!$C$10+Projects!$D$10),Projects!$B$10*Assumptions!$B$10/Projects!$D$10,0)+IF(AND(Projects!$G$11="Yes",84&gt;=Projects!$C$11,84&lt;Projects!$C$11+Projects!$D$11),Projects!$B$11*Assumptions!$B$10/Projects!$D$11,0)+IF(AND(Projects!$G$12="Yes",84&gt;=Projects!$C$12,84&lt;Projects!$C$12+Projects!$D$12),Projects!$B$12*Assumptions!$B$10/Projects!$D$12,0)+IF(AND(Projects!$G$13="Yes",84&gt;=Projects!$C$13,84&lt;Projects!$C$13+Projects!$D$13),Projects!$B$13*Assumptions!$B$10/Projects!$D$13,0)+IF(AND(Projects!$G$14="Yes",84&gt;=Projects!$C$14,84&lt;Projects!$C$14+Projects!$D$14),Projects!$B$14*Assumptions!$B$10/Projects!$D$14,0)+IF(AND(Projects!$G$15="Yes",84&gt;=Projects!$C$15,84&lt;Projects!$C$15+Projects!$D$15),Projects!$B$15*Assumptions!$B$10/Projects!$D$15,0)+IF(AND(Projects!$G$16="Yes",84&gt;=Projects!$C$16,84&lt;Projects!$C$16+Projects!$D$16),Projects!$B$16*Assumptions!$B$10/Projects!$D$16,0)</f>
        <v>0</v>
      </c>
      <c r="CI8" s="25"/>
    </row>
    <row r="9" customFormat="false" ht="15" hidden="false" customHeight="true" outlineLevel="0" collapsed="false">
      <c r="A9" s="9" t="s">
        <v>59</v>
      </c>
      <c r="B9" s="24"/>
      <c r="C9" s="10" t="n">
        <f aca="false">IF(AND(Projects!$G$2="Yes",1&gt;=Projects!$C$2,1&lt;Projects!$C$2+Projects!$D$2),243841/Projects!$D$2,0)+IF(AND(Projects!$G$3="Yes",1&gt;=Projects!$C$3,1&lt;Projects!$C$3+Projects!$D$3),950275/Projects!$D$3,0)+IF(AND(Projects!$G$4="Yes",1&gt;=Projects!$C$4,1&lt;Projects!$C$4+Projects!$D$4),Projects!$B$4*Assumptions!$B$11/Projects!$D$4,0)+IF(AND(Projects!$G$5="Yes",1&gt;=Projects!$C$5,1&lt;Projects!$C$5+Projects!$D$5),Projects!$B$5*Assumptions!$B$11/Projects!$D$5,0)+IF(AND(Projects!$G$6="Yes",1&gt;=Projects!$C$6,1&lt;Projects!$C$6+Projects!$D$6),330760/Projects!$D$6,0)+IF(AND(Projects!$G$7="Yes",1&gt;=Projects!$C$7,1&lt;Projects!$C$7+Projects!$D$7),Projects!$B$7*Assumptions!$B$11/Projects!$D$7,0)+IF(AND(Projects!$G$8="Yes",1&gt;=Projects!$C$8,1&lt;Projects!$C$8+Projects!$D$8),Projects!$B$8*Assumptions!$B$11/Projects!$D$8,0)+IF(AND(Projects!$G$9="Yes",1&gt;=Projects!$C$9,1&lt;Projects!$C$9+Projects!$D$9),Projects!$B$9*Assumptions!$B$11/Projects!$D$9,0)+IF(AND(Projects!$G$10="Yes",1&gt;=Projects!$C$10,1&lt;Projects!$C$10+Projects!$D$10),Projects!$B$10*Assumptions!$B$11/Projects!$D$10,0)+IF(AND(Projects!$G$11="Yes",1&gt;=Projects!$C$11,1&lt;Projects!$C$11+Projects!$D$11),Projects!$B$11*Assumptions!$B$11/Projects!$D$11,0)+IF(AND(Projects!$G$12="Yes",1&gt;=Projects!$C$12,1&lt;Projects!$C$12+Projects!$D$12),Projects!$B$12*Assumptions!$B$11/Projects!$D$12,0)+IF(AND(Projects!$G$13="Yes",1&gt;=Projects!$C$13,1&lt;Projects!$C$13+Projects!$D$13),Projects!$B$13*Assumptions!$B$11/Projects!$D$13,0)+IF(AND(Projects!$G$14="Yes",1&gt;=Projects!$C$14,1&lt;Projects!$C$14+Projects!$D$14),Projects!$B$14*Assumptions!$B$11/Projects!$D$14,0)+IF(AND(Projects!$G$15="Yes",1&gt;=Projects!$C$15,1&lt;Projects!$C$15+Projects!$D$15),Projects!$B$15*Assumptions!$B$11/Projects!$D$15,0)+IF(AND(Projects!$G$16="Yes",1&gt;=Projects!$C$16,1&lt;Projects!$C$16+Projects!$D$16),Projects!$B$16*Assumptions!$B$11/Projects!$D$16,0)</f>
        <v>188987.613422761</v>
      </c>
      <c r="D9" s="10" t="n">
        <f aca="false">IF(AND(Projects!$G$2="Yes",2&gt;=Projects!$C$2,2&lt;Projects!$C$2+Projects!$D$2),243841/Projects!$D$2,0)+IF(AND(Projects!$G$3="Yes",2&gt;=Projects!$C$3,2&lt;Projects!$C$3+Projects!$D$3),950275/Projects!$D$3,0)+IF(AND(Projects!$G$4="Yes",2&gt;=Projects!$C$4,2&lt;Projects!$C$4+Projects!$D$4),Projects!$B$4*Assumptions!$B$11/Projects!$D$4,0)+IF(AND(Projects!$G$5="Yes",2&gt;=Projects!$C$5,2&lt;Projects!$C$5+Projects!$D$5),Projects!$B$5*Assumptions!$B$11/Projects!$D$5,0)+IF(AND(Projects!$G$6="Yes",2&gt;=Projects!$C$6,2&lt;Projects!$C$6+Projects!$D$6),330760/Projects!$D$6,0)+IF(AND(Projects!$G$7="Yes",2&gt;=Projects!$C$7,2&lt;Projects!$C$7+Projects!$D$7),Projects!$B$7*Assumptions!$B$11/Projects!$D$7,0)+IF(AND(Projects!$G$8="Yes",2&gt;=Projects!$C$8,2&lt;Projects!$C$8+Projects!$D$8),Projects!$B$8*Assumptions!$B$11/Projects!$D$8,0)+IF(AND(Projects!$G$9="Yes",2&gt;=Projects!$C$9,2&lt;Projects!$C$9+Projects!$D$9),Projects!$B$9*Assumptions!$B$11/Projects!$D$9,0)+IF(AND(Projects!$G$10="Yes",2&gt;=Projects!$C$10,2&lt;Projects!$C$10+Projects!$D$10),Projects!$B$10*Assumptions!$B$11/Projects!$D$10,0)+IF(AND(Projects!$G$11="Yes",2&gt;=Projects!$C$11,2&lt;Projects!$C$11+Projects!$D$11),Projects!$B$11*Assumptions!$B$11/Projects!$D$11,0)+IF(AND(Projects!$G$12="Yes",2&gt;=Projects!$C$12,2&lt;Projects!$C$12+Projects!$D$12),Projects!$B$12*Assumptions!$B$11/Projects!$D$12,0)+IF(AND(Projects!$G$13="Yes",2&gt;=Projects!$C$13,2&lt;Projects!$C$13+Projects!$D$13),Projects!$B$13*Assumptions!$B$11/Projects!$D$13,0)+IF(AND(Projects!$G$14="Yes",2&gt;=Projects!$C$14,2&lt;Projects!$C$14+Projects!$D$14),Projects!$B$14*Assumptions!$B$11/Projects!$D$14,0)+IF(AND(Projects!$G$15="Yes",2&gt;=Projects!$C$15,2&lt;Projects!$C$15+Projects!$D$15),Projects!$B$15*Assumptions!$B$11/Projects!$D$15,0)+IF(AND(Projects!$G$16="Yes",2&gt;=Projects!$C$16,2&lt;Projects!$C$16+Projects!$D$16),Projects!$B$16*Assumptions!$B$11/Projects!$D$16,0)</f>
        <v>188987.613422761</v>
      </c>
      <c r="E9" s="10" t="n">
        <f aca="false">IF(AND(Projects!$G$2="Yes",3&gt;=Projects!$C$2,3&lt;Projects!$C$2+Projects!$D$2),243841/Projects!$D$2,0)+IF(AND(Projects!$G$3="Yes",3&gt;=Projects!$C$3,3&lt;Projects!$C$3+Projects!$D$3),950275/Projects!$D$3,0)+IF(AND(Projects!$G$4="Yes",3&gt;=Projects!$C$4,3&lt;Projects!$C$4+Projects!$D$4),Projects!$B$4*Assumptions!$B$11/Projects!$D$4,0)+IF(AND(Projects!$G$5="Yes",3&gt;=Projects!$C$5,3&lt;Projects!$C$5+Projects!$D$5),Projects!$B$5*Assumptions!$B$11/Projects!$D$5,0)+IF(AND(Projects!$G$6="Yes",3&gt;=Projects!$C$6,3&lt;Projects!$C$6+Projects!$D$6),330760/Projects!$D$6,0)+IF(AND(Projects!$G$7="Yes",3&gt;=Projects!$C$7,3&lt;Projects!$C$7+Projects!$D$7),Projects!$B$7*Assumptions!$B$11/Projects!$D$7,0)+IF(AND(Projects!$G$8="Yes",3&gt;=Projects!$C$8,3&lt;Projects!$C$8+Projects!$D$8),Projects!$B$8*Assumptions!$B$11/Projects!$D$8,0)+IF(AND(Projects!$G$9="Yes",3&gt;=Projects!$C$9,3&lt;Projects!$C$9+Projects!$D$9),Projects!$B$9*Assumptions!$B$11/Projects!$D$9,0)+IF(AND(Projects!$G$10="Yes",3&gt;=Projects!$C$10,3&lt;Projects!$C$10+Projects!$D$10),Projects!$B$10*Assumptions!$B$11/Projects!$D$10,0)+IF(AND(Projects!$G$11="Yes",3&gt;=Projects!$C$11,3&lt;Projects!$C$11+Projects!$D$11),Projects!$B$11*Assumptions!$B$11/Projects!$D$11,0)+IF(AND(Projects!$G$12="Yes",3&gt;=Projects!$C$12,3&lt;Projects!$C$12+Projects!$D$12),Projects!$B$12*Assumptions!$B$11/Projects!$D$12,0)+IF(AND(Projects!$G$13="Yes",3&gt;=Projects!$C$13,3&lt;Projects!$C$13+Projects!$D$13),Projects!$B$13*Assumptions!$B$11/Projects!$D$13,0)+IF(AND(Projects!$G$14="Yes",3&gt;=Projects!$C$14,3&lt;Projects!$C$14+Projects!$D$14),Projects!$B$14*Assumptions!$B$11/Projects!$D$14,0)+IF(AND(Projects!$G$15="Yes",3&gt;=Projects!$C$15,3&lt;Projects!$C$15+Projects!$D$15),Projects!$B$15*Assumptions!$B$11/Projects!$D$15,0)+IF(AND(Projects!$G$16="Yes",3&gt;=Projects!$C$16,3&lt;Projects!$C$16+Projects!$D$16),Projects!$B$16*Assumptions!$B$11/Projects!$D$16,0)</f>
        <v>188987.613422761</v>
      </c>
      <c r="F9" s="10" t="n">
        <f aca="false">IF(AND(Projects!$G$2="Yes",4&gt;=Projects!$C$2,4&lt;Projects!$C$2+Projects!$D$2),243841/Projects!$D$2,0)+IF(AND(Projects!$G$3="Yes",4&gt;=Projects!$C$3,4&lt;Projects!$C$3+Projects!$D$3),950275/Projects!$D$3,0)+IF(AND(Projects!$G$4="Yes",4&gt;=Projects!$C$4,4&lt;Projects!$C$4+Projects!$D$4),Projects!$B$4*Assumptions!$B$11/Projects!$D$4,0)+IF(AND(Projects!$G$5="Yes",4&gt;=Projects!$C$5,4&lt;Projects!$C$5+Projects!$D$5),Projects!$B$5*Assumptions!$B$11/Projects!$D$5,0)+IF(AND(Projects!$G$6="Yes",4&gt;=Projects!$C$6,4&lt;Projects!$C$6+Projects!$D$6),330760/Projects!$D$6,0)+IF(AND(Projects!$G$7="Yes",4&gt;=Projects!$C$7,4&lt;Projects!$C$7+Projects!$D$7),Projects!$B$7*Assumptions!$B$11/Projects!$D$7,0)+IF(AND(Projects!$G$8="Yes",4&gt;=Projects!$C$8,4&lt;Projects!$C$8+Projects!$D$8),Projects!$B$8*Assumptions!$B$11/Projects!$D$8,0)+IF(AND(Projects!$G$9="Yes",4&gt;=Projects!$C$9,4&lt;Projects!$C$9+Projects!$D$9),Projects!$B$9*Assumptions!$B$11/Projects!$D$9,0)+IF(AND(Projects!$G$10="Yes",4&gt;=Projects!$C$10,4&lt;Projects!$C$10+Projects!$D$10),Projects!$B$10*Assumptions!$B$11/Projects!$D$10,0)+IF(AND(Projects!$G$11="Yes",4&gt;=Projects!$C$11,4&lt;Projects!$C$11+Projects!$D$11),Projects!$B$11*Assumptions!$B$11/Projects!$D$11,0)+IF(AND(Projects!$G$12="Yes",4&gt;=Projects!$C$12,4&lt;Projects!$C$12+Projects!$D$12),Projects!$B$12*Assumptions!$B$11/Projects!$D$12,0)+IF(AND(Projects!$G$13="Yes",4&gt;=Projects!$C$13,4&lt;Projects!$C$13+Projects!$D$13),Projects!$B$13*Assumptions!$B$11/Projects!$D$13,0)+IF(AND(Projects!$G$14="Yes",4&gt;=Projects!$C$14,4&lt;Projects!$C$14+Projects!$D$14),Projects!$B$14*Assumptions!$B$11/Projects!$D$14,0)+IF(AND(Projects!$G$15="Yes",4&gt;=Projects!$C$15,4&lt;Projects!$C$15+Projects!$D$15),Projects!$B$15*Assumptions!$B$11/Projects!$D$15,0)+IF(AND(Projects!$G$16="Yes",4&gt;=Projects!$C$16,4&lt;Projects!$C$16+Projects!$D$16),Projects!$B$16*Assumptions!$B$11/Projects!$D$16,0)</f>
        <v>258741.587448735</v>
      </c>
      <c r="G9" s="10" t="n">
        <f aca="false">IF(AND(Projects!$G$2="Yes",5&gt;=Projects!$C$2,5&lt;Projects!$C$2+Projects!$D$2),243841/Projects!$D$2,0)+IF(AND(Projects!$G$3="Yes",5&gt;=Projects!$C$3,5&lt;Projects!$C$3+Projects!$D$3),950275/Projects!$D$3,0)+IF(AND(Projects!$G$4="Yes",5&gt;=Projects!$C$4,5&lt;Projects!$C$4+Projects!$D$4),Projects!$B$4*Assumptions!$B$11/Projects!$D$4,0)+IF(AND(Projects!$G$5="Yes",5&gt;=Projects!$C$5,5&lt;Projects!$C$5+Projects!$D$5),Projects!$B$5*Assumptions!$B$11/Projects!$D$5,0)+IF(AND(Projects!$G$6="Yes",5&gt;=Projects!$C$6,5&lt;Projects!$C$6+Projects!$D$6),330760/Projects!$D$6,0)+IF(AND(Projects!$G$7="Yes",5&gt;=Projects!$C$7,5&lt;Projects!$C$7+Projects!$D$7),Projects!$B$7*Assumptions!$B$11/Projects!$D$7,0)+IF(AND(Projects!$G$8="Yes",5&gt;=Projects!$C$8,5&lt;Projects!$C$8+Projects!$D$8),Projects!$B$8*Assumptions!$B$11/Projects!$D$8,0)+IF(AND(Projects!$G$9="Yes",5&gt;=Projects!$C$9,5&lt;Projects!$C$9+Projects!$D$9),Projects!$B$9*Assumptions!$B$11/Projects!$D$9,0)+IF(AND(Projects!$G$10="Yes",5&gt;=Projects!$C$10,5&lt;Projects!$C$10+Projects!$D$10),Projects!$B$10*Assumptions!$B$11/Projects!$D$10,0)+IF(AND(Projects!$G$11="Yes",5&gt;=Projects!$C$11,5&lt;Projects!$C$11+Projects!$D$11),Projects!$B$11*Assumptions!$B$11/Projects!$D$11,0)+IF(AND(Projects!$G$12="Yes",5&gt;=Projects!$C$12,5&lt;Projects!$C$12+Projects!$D$12),Projects!$B$12*Assumptions!$B$11/Projects!$D$12,0)+IF(AND(Projects!$G$13="Yes",5&gt;=Projects!$C$13,5&lt;Projects!$C$13+Projects!$D$13),Projects!$B$13*Assumptions!$B$11/Projects!$D$13,0)+IF(AND(Projects!$G$14="Yes",5&gt;=Projects!$C$14,5&lt;Projects!$C$14+Projects!$D$14),Projects!$B$14*Assumptions!$B$11/Projects!$D$14,0)+IF(AND(Projects!$G$15="Yes",5&gt;=Projects!$C$15,5&lt;Projects!$C$15+Projects!$D$15),Projects!$B$15*Assumptions!$B$11/Projects!$D$15,0)+IF(AND(Projects!$G$16="Yes",5&gt;=Projects!$C$16,5&lt;Projects!$C$16+Projects!$D$16),Projects!$B$16*Assumptions!$B$11/Projects!$D$16,0)</f>
        <v>258741.587448735</v>
      </c>
      <c r="H9" s="10" t="n">
        <f aca="false">IF(AND(Projects!$G$2="Yes",6&gt;=Projects!$C$2,6&lt;Projects!$C$2+Projects!$D$2),243841/Projects!$D$2,0)+IF(AND(Projects!$G$3="Yes",6&gt;=Projects!$C$3,6&lt;Projects!$C$3+Projects!$D$3),950275/Projects!$D$3,0)+IF(AND(Projects!$G$4="Yes",6&gt;=Projects!$C$4,6&lt;Projects!$C$4+Projects!$D$4),Projects!$B$4*Assumptions!$B$11/Projects!$D$4,0)+IF(AND(Projects!$G$5="Yes",6&gt;=Projects!$C$5,6&lt;Projects!$C$5+Projects!$D$5),Projects!$B$5*Assumptions!$B$11/Projects!$D$5,0)+IF(AND(Projects!$G$6="Yes",6&gt;=Projects!$C$6,6&lt;Projects!$C$6+Projects!$D$6),330760/Projects!$D$6,0)+IF(AND(Projects!$G$7="Yes",6&gt;=Projects!$C$7,6&lt;Projects!$C$7+Projects!$D$7),Projects!$B$7*Assumptions!$B$11/Projects!$D$7,0)+IF(AND(Projects!$G$8="Yes",6&gt;=Projects!$C$8,6&lt;Projects!$C$8+Projects!$D$8),Projects!$B$8*Assumptions!$B$11/Projects!$D$8,0)+IF(AND(Projects!$G$9="Yes",6&gt;=Projects!$C$9,6&lt;Projects!$C$9+Projects!$D$9),Projects!$B$9*Assumptions!$B$11/Projects!$D$9,0)+IF(AND(Projects!$G$10="Yes",6&gt;=Projects!$C$10,6&lt;Projects!$C$10+Projects!$D$10),Projects!$B$10*Assumptions!$B$11/Projects!$D$10,0)+IF(AND(Projects!$G$11="Yes",6&gt;=Projects!$C$11,6&lt;Projects!$C$11+Projects!$D$11),Projects!$B$11*Assumptions!$B$11/Projects!$D$11,0)+IF(AND(Projects!$G$12="Yes",6&gt;=Projects!$C$12,6&lt;Projects!$C$12+Projects!$D$12),Projects!$B$12*Assumptions!$B$11/Projects!$D$12,0)+IF(AND(Projects!$G$13="Yes",6&gt;=Projects!$C$13,6&lt;Projects!$C$13+Projects!$D$13),Projects!$B$13*Assumptions!$B$11/Projects!$D$13,0)+IF(AND(Projects!$G$14="Yes",6&gt;=Projects!$C$14,6&lt;Projects!$C$14+Projects!$D$14),Projects!$B$14*Assumptions!$B$11/Projects!$D$14,0)+IF(AND(Projects!$G$15="Yes",6&gt;=Projects!$C$15,6&lt;Projects!$C$15+Projects!$D$15),Projects!$B$15*Assumptions!$B$11/Projects!$D$15,0)+IF(AND(Projects!$G$16="Yes",6&gt;=Projects!$C$16,6&lt;Projects!$C$16+Projects!$D$16),Projects!$B$16*Assumptions!$B$11/Projects!$D$16,0)</f>
        <v>258741.587448735</v>
      </c>
      <c r="I9" s="10" t="n">
        <f aca="false">IF(AND(Projects!$G$2="Yes",7&gt;=Projects!$C$2,7&lt;Projects!$C$2+Projects!$D$2),243841/Projects!$D$2,0)+IF(AND(Projects!$G$3="Yes",7&gt;=Projects!$C$3,7&lt;Projects!$C$3+Projects!$D$3),950275/Projects!$D$3,0)+IF(AND(Projects!$G$4="Yes",7&gt;=Projects!$C$4,7&lt;Projects!$C$4+Projects!$D$4),Projects!$B$4*Assumptions!$B$11/Projects!$D$4,0)+IF(AND(Projects!$G$5="Yes",7&gt;=Projects!$C$5,7&lt;Projects!$C$5+Projects!$D$5),Projects!$B$5*Assumptions!$B$11/Projects!$D$5,0)+IF(AND(Projects!$G$6="Yes",7&gt;=Projects!$C$6,7&lt;Projects!$C$6+Projects!$D$6),330760/Projects!$D$6,0)+IF(AND(Projects!$G$7="Yes",7&gt;=Projects!$C$7,7&lt;Projects!$C$7+Projects!$D$7),Projects!$B$7*Assumptions!$B$11/Projects!$D$7,0)+IF(AND(Projects!$G$8="Yes",7&gt;=Projects!$C$8,7&lt;Projects!$C$8+Projects!$D$8),Projects!$B$8*Assumptions!$B$11/Projects!$D$8,0)+IF(AND(Projects!$G$9="Yes",7&gt;=Projects!$C$9,7&lt;Projects!$C$9+Projects!$D$9),Projects!$B$9*Assumptions!$B$11/Projects!$D$9,0)+IF(AND(Projects!$G$10="Yes",7&gt;=Projects!$C$10,7&lt;Projects!$C$10+Projects!$D$10),Projects!$B$10*Assumptions!$B$11/Projects!$D$10,0)+IF(AND(Projects!$G$11="Yes",7&gt;=Projects!$C$11,7&lt;Projects!$C$11+Projects!$D$11),Projects!$B$11*Assumptions!$B$11/Projects!$D$11,0)+IF(AND(Projects!$G$12="Yes",7&gt;=Projects!$C$12,7&lt;Projects!$C$12+Projects!$D$12),Projects!$B$12*Assumptions!$B$11/Projects!$D$12,0)+IF(AND(Projects!$G$13="Yes",7&gt;=Projects!$C$13,7&lt;Projects!$C$13+Projects!$D$13),Projects!$B$13*Assumptions!$B$11/Projects!$D$13,0)+IF(AND(Projects!$G$14="Yes",7&gt;=Projects!$C$14,7&lt;Projects!$C$14+Projects!$D$14),Projects!$B$14*Assumptions!$B$11/Projects!$D$14,0)+IF(AND(Projects!$G$15="Yes",7&gt;=Projects!$C$15,7&lt;Projects!$C$15+Projects!$D$15),Projects!$B$15*Assumptions!$B$11/Projects!$D$15,0)+IF(AND(Projects!$G$16="Yes",7&gt;=Projects!$C$16,7&lt;Projects!$C$16+Projects!$D$16),Projects!$B$16*Assumptions!$B$11/Projects!$D$16,0)</f>
        <v>319389.736543062</v>
      </c>
      <c r="J9" s="10" t="n">
        <f aca="false">IF(AND(Projects!$G$2="Yes",8&gt;=Projects!$C$2,8&lt;Projects!$C$2+Projects!$D$2),243841/Projects!$D$2,0)+IF(AND(Projects!$G$3="Yes",8&gt;=Projects!$C$3,8&lt;Projects!$C$3+Projects!$D$3),950275/Projects!$D$3,0)+IF(AND(Projects!$G$4="Yes",8&gt;=Projects!$C$4,8&lt;Projects!$C$4+Projects!$D$4),Projects!$B$4*Assumptions!$B$11/Projects!$D$4,0)+IF(AND(Projects!$G$5="Yes",8&gt;=Projects!$C$5,8&lt;Projects!$C$5+Projects!$D$5),Projects!$B$5*Assumptions!$B$11/Projects!$D$5,0)+IF(AND(Projects!$G$6="Yes",8&gt;=Projects!$C$6,8&lt;Projects!$C$6+Projects!$D$6),330760/Projects!$D$6,0)+IF(AND(Projects!$G$7="Yes",8&gt;=Projects!$C$7,8&lt;Projects!$C$7+Projects!$D$7),Projects!$B$7*Assumptions!$B$11/Projects!$D$7,0)+IF(AND(Projects!$G$8="Yes",8&gt;=Projects!$C$8,8&lt;Projects!$C$8+Projects!$D$8),Projects!$B$8*Assumptions!$B$11/Projects!$D$8,0)+IF(AND(Projects!$G$9="Yes",8&gt;=Projects!$C$9,8&lt;Projects!$C$9+Projects!$D$9),Projects!$B$9*Assumptions!$B$11/Projects!$D$9,0)+IF(AND(Projects!$G$10="Yes",8&gt;=Projects!$C$10,8&lt;Projects!$C$10+Projects!$D$10),Projects!$B$10*Assumptions!$B$11/Projects!$D$10,0)+IF(AND(Projects!$G$11="Yes",8&gt;=Projects!$C$11,8&lt;Projects!$C$11+Projects!$D$11),Projects!$B$11*Assumptions!$B$11/Projects!$D$11,0)+IF(AND(Projects!$G$12="Yes",8&gt;=Projects!$C$12,8&lt;Projects!$C$12+Projects!$D$12),Projects!$B$12*Assumptions!$B$11/Projects!$D$12,0)+IF(AND(Projects!$G$13="Yes",8&gt;=Projects!$C$13,8&lt;Projects!$C$13+Projects!$D$13),Projects!$B$13*Assumptions!$B$11/Projects!$D$13,0)+IF(AND(Projects!$G$14="Yes",8&gt;=Projects!$C$14,8&lt;Projects!$C$14+Projects!$D$14),Projects!$B$14*Assumptions!$B$11/Projects!$D$14,0)+IF(AND(Projects!$G$15="Yes",8&gt;=Projects!$C$15,8&lt;Projects!$C$15+Projects!$D$15),Projects!$B$15*Assumptions!$B$11/Projects!$D$15,0)+IF(AND(Projects!$G$16="Yes",8&gt;=Projects!$C$16,8&lt;Projects!$C$16+Projects!$D$16),Projects!$B$16*Assumptions!$B$11/Projects!$D$16,0)</f>
        <v>362537.879806049</v>
      </c>
      <c r="K9" s="10" t="n">
        <f aca="false">IF(AND(Projects!$G$2="Yes",9&gt;=Projects!$C$2,9&lt;Projects!$C$2+Projects!$D$2),243841/Projects!$D$2,0)+IF(AND(Projects!$G$3="Yes",9&gt;=Projects!$C$3,9&lt;Projects!$C$3+Projects!$D$3),950275/Projects!$D$3,0)+IF(AND(Projects!$G$4="Yes",9&gt;=Projects!$C$4,9&lt;Projects!$C$4+Projects!$D$4),Projects!$B$4*Assumptions!$B$11/Projects!$D$4,0)+IF(AND(Projects!$G$5="Yes",9&gt;=Projects!$C$5,9&lt;Projects!$C$5+Projects!$D$5),Projects!$B$5*Assumptions!$B$11/Projects!$D$5,0)+IF(AND(Projects!$G$6="Yes",9&gt;=Projects!$C$6,9&lt;Projects!$C$6+Projects!$D$6),330760/Projects!$D$6,0)+IF(AND(Projects!$G$7="Yes",9&gt;=Projects!$C$7,9&lt;Projects!$C$7+Projects!$D$7),Projects!$B$7*Assumptions!$B$11/Projects!$D$7,0)+IF(AND(Projects!$G$8="Yes",9&gt;=Projects!$C$8,9&lt;Projects!$C$8+Projects!$D$8),Projects!$B$8*Assumptions!$B$11/Projects!$D$8,0)+IF(AND(Projects!$G$9="Yes",9&gt;=Projects!$C$9,9&lt;Projects!$C$9+Projects!$D$9),Projects!$B$9*Assumptions!$B$11/Projects!$D$9,0)+IF(AND(Projects!$G$10="Yes",9&gt;=Projects!$C$10,9&lt;Projects!$C$10+Projects!$D$10),Projects!$B$10*Assumptions!$B$11/Projects!$D$10,0)+IF(AND(Projects!$G$11="Yes",9&gt;=Projects!$C$11,9&lt;Projects!$C$11+Projects!$D$11),Projects!$B$11*Assumptions!$B$11/Projects!$D$11,0)+IF(AND(Projects!$G$12="Yes",9&gt;=Projects!$C$12,9&lt;Projects!$C$12+Projects!$D$12),Projects!$B$12*Assumptions!$B$11/Projects!$D$12,0)+IF(AND(Projects!$G$13="Yes",9&gt;=Projects!$C$13,9&lt;Projects!$C$13+Projects!$D$13),Projects!$B$13*Assumptions!$B$11/Projects!$D$13,0)+IF(AND(Projects!$G$14="Yes",9&gt;=Projects!$C$14,9&lt;Projects!$C$14+Projects!$D$14),Projects!$B$14*Assumptions!$B$11/Projects!$D$14,0)+IF(AND(Projects!$G$15="Yes",9&gt;=Projects!$C$15,9&lt;Projects!$C$15+Projects!$D$15),Projects!$B$15*Assumptions!$B$11/Projects!$D$15,0)+IF(AND(Projects!$G$16="Yes",9&gt;=Projects!$C$16,9&lt;Projects!$C$16+Projects!$D$16),Projects!$B$16*Assumptions!$B$11/Projects!$D$16,0)</f>
        <v>332057.754806049</v>
      </c>
      <c r="L9" s="10" t="n">
        <f aca="false">IF(AND(Projects!$G$2="Yes",10&gt;=Projects!$C$2,10&lt;Projects!$C$2+Projects!$D$2),243841/Projects!$D$2,0)+IF(AND(Projects!$G$3="Yes",10&gt;=Projects!$C$3,10&lt;Projects!$C$3+Projects!$D$3),950275/Projects!$D$3,0)+IF(AND(Projects!$G$4="Yes",10&gt;=Projects!$C$4,10&lt;Projects!$C$4+Projects!$D$4),Projects!$B$4*Assumptions!$B$11/Projects!$D$4,0)+IF(AND(Projects!$G$5="Yes",10&gt;=Projects!$C$5,10&lt;Projects!$C$5+Projects!$D$5),Projects!$B$5*Assumptions!$B$11/Projects!$D$5,0)+IF(AND(Projects!$G$6="Yes",10&gt;=Projects!$C$6,10&lt;Projects!$C$6+Projects!$D$6),330760/Projects!$D$6,0)+IF(AND(Projects!$G$7="Yes",10&gt;=Projects!$C$7,10&lt;Projects!$C$7+Projects!$D$7),Projects!$B$7*Assumptions!$B$11/Projects!$D$7,0)+IF(AND(Projects!$G$8="Yes",10&gt;=Projects!$C$8,10&lt;Projects!$C$8+Projects!$D$8),Projects!$B$8*Assumptions!$B$11/Projects!$D$8,0)+IF(AND(Projects!$G$9="Yes",10&gt;=Projects!$C$9,10&lt;Projects!$C$9+Projects!$D$9),Projects!$B$9*Assumptions!$B$11/Projects!$D$9,0)+IF(AND(Projects!$G$10="Yes",10&gt;=Projects!$C$10,10&lt;Projects!$C$10+Projects!$D$10),Projects!$B$10*Assumptions!$B$11/Projects!$D$10,0)+IF(AND(Projects!$G$11="Yes",10&gt;=Projects!$C$11,10&lt;Projects!$C$11+Projects!$D$11),Projects!$B$11*Assumptions!$B$11/Projects!$D$11,0)+IF(AND(Projects!$G$12="Yes",10&gt;=Projects!$C$12,10&lt;Projects!$C$12+Projects!$D$12),Projects!$B$12*Assumptions!$B$11/Projects!$D$12,0)+IF(AND(Projects!$G$13="Yes",10&gt;=Projects!$C$13,10&lt;Projects!$C$13+Projects!$D$13),Projects!$B$13*Assumptions!$B$11/Projects!$D$13,0)+IF(AND(Projects!$G$14="Yes",10&gt;=Projects!$C$14,10&lt;Projects!$C$14+Projects!$D$14),Projects!$B$14*Assumptions!$B$11/Projects!$D$14,0)+IF(AND(Projects!$G$15="Yes",10&gt;=Projects!$C$15,10&lt;Projects!$C$15+Projects!$D$15),Projects!$B$15*Assumptions!$B$11/Projects!$D$15,0)+IF(AND(Projects!$G$16="Yes",10&gt;=Projects!$C$16,10&lt;Projects!$C$16+Projects!$D$16),Projects!$B$16*Assumptions!$B$11/Projects!$D$16,0)</f>
        <v>332057.754806049</v>
      </c>
      <c r="M9" s="10" t="n">
        <f aca="false">IF(AND(Projects!$G$2="Yes",11&gt;=Projects!$C$2,11&lt;Projects!$C$2+Projects!$D$2),243841/Projects!$D$2,0)+IF(AND(Projects!$G$3="Yes",11&gt;=Projects!$C$3,11&lt;Projects!$C$3+Projects!$D$3),950275/Projects!$D$3,0)+IF(AND(Projects!$G$4="Yes",11&gt;=Projects!$C$4,11&lt;Projects!$C$4+Projects!$D$4),Projects!$B$4*Assumptions!$B$11/Projects!$D$4,0)+IF(AND(Projects!$G$5="Yes",11&gt;=Projects!$C$5,11&lt;Projects!$C$5+Projects!$D$5),Projects!$B$5*Assumptions!$B$11/Projects!$D$5,0)+IF(AND(Projects!$G$6="Yes",11&gt;=Projects!$C$6,11&lt;Projects!$C$6+Projects!$D$6),330760/Projects!$D$6,0)+IF(AND(Projects!$G$7="Yes",11&gt;=Projects!$C$7,11&lt;Projects!$C$7+Projects!$D$7),Projects!$B$7*Assumptions!$B$11/Projects!$D$7,0)+IF(AND(Projects!$G$8="Yes",11&gt;=Projects!$C$8,11&lt;Projects!$C$8+Projects!$D$8),Projects!$B$8*Assumptions!$B$11/Projects!$D$8,0)+IF(AND(Projects!$G$9="Yes",11&gt;=Projects!$C$9,11&lt;Projects!$C$9+Projects!$D$9),Projects!$B$9*Assumptions!$B$11/Projects!$D$9,0)+IF(AND(Projects!$G$10="Yes",11&gt;=Projects!$C$10,11&lt;Projects!$C$10+Projects!$D$10),Projects!$B$10*Assumptions!$B$11/Projects!$D$10,0)+IF(AND(Projects!$G$11="Yes",11&gt;=Projects!$C$11,11&lt;Projects!$C$11+Projects!$D$11),Projects!$B$11*Assumptions!$B$11/Projects!$D$11,0)+IF(AND(Projects!$G$12="Yes",11&gt;=Projects!$C$12,11&lt;Projects!$C$12+Projects!$D$12),Projects!$B$12*Assumptions!$B$11/Projects!$D$12,0)+IF(AND(Projects!$G$13="Yes",11&gt;=Projects!$C$13,11&lt;Projects!$C$13+Projects!$D$13),Projects!$B$13*Assumptions!$B$11/Projects!$D$13,0)+IF(AND(Projects!$G$14="Yes",11&gt;=Projects!$C$14,11&lt;Projects!$C$14+Projects!$D$14),Projects!$B$14*Assumptions!$B$11/Projects!$D$14,0)+IF(AND(Projects!$G$15="Yes",11&gt;=Projects!$C$15,11&lt;Projects!$C$15+Projects!$D$15),Projects!$B$15*Assumptions!$B$11/Projects!$D$15,0)+IF(AND(Projects!$G$16="Yes",11&gt;=Projects!$C$16,11&lt;Projects!$C$16+Projects!$D$16),Projects!$B$16*Assumptions!$B$11/Projects!$D$16,0)</f>
        <v>332057.754806049</v>
      </c>
      <c r="N9" s="10" t="n">
        <f aca="false">IF(AND(Projects!$G$2="Yes",12&gt;=Projects!$C$2,12&lt;Projects!$C$2+Projects!$D$2),243841/Projects!$D$2,0)+IF(AND(Projects!$G$3="Yes",12&gt;=Projects!$C$3,12&lt;Projects!$C$3+Projects!$D$3),950275/Projects!$D$3,0)+IF(AND(Projects!$G$4="Yes",12&gt;=Projects!$C$4,12&lt;Projects!$C$4+Projects!$D$4),Projects!$B$4*Assumptions!$B$11/Projects!$D$4,0)+IF(AND(Projects!$G$5="Yes",12&gt;=Projects!$C$5,12&lt;Projects!$C$5+Projects!$D$5),Projects!$B$5*Assumptions!$B$11/Projects!$D$5,0)+IF(AND(Projects!$G$6="Yes",12&gt;=Projects!$C$6,12&lt;Projects!$C$6+Projects!$D$6),330760/Projects!$D$6,0)+IF(AND(Projects!$G$7="Yes",12&gt;=Projects!$C$7,12&lt;Projects!$C$7+Projects!$D$7),Projects!$B$7*Assumptions!$B$11/Projects!$D$7,0)+IF(AND(Projects!$G$8="Yes",12&gt;=Projects!$C$8,12&lt;Projects!$C$8+Projects!$D$8),Projects!$B$8*Assumptions!$B$11/Projects!$D$8,0)+IF(AND(Projects!$G$9="Yes",12&gt;=Projects!$C$9,12&lt;Projects!$C$9+Projects!$D$9),Projects!$B$9*Assumptions!$B$11/Projects!$D$9,0)+IF(AND(Projects!$G$10="Yes",12&gt;=Projects!$C$10,12&lt;Projects!$C$10+Projects!$D$10),Projects!$B$10*Assumptions!$B$11/Projects!$D$10,0)+IF(AND(Projects!$G$11="Yes",12&gt;=Projects!$C$11,12&lt;Projects!$C$11+Projects!$D$11),Projects!$B$11*Assumptions!$B$11/Projects!$D$11,0)+IF(AND(Projects!$G$12="Yes",12&gt;=Projects!$C$12,12&lt;Projects!$C$12+Projects!$D$12),Projects!$B$12*Assumptions!$B$11/Projects!$D$12,0)+IF(AND(Projects!$G$13="Yes",12&gt;=Projects!$C$13,12&lt;Projects!$C$13+Projects!$D$13),Projects!$B$13*Assumptions!$B$11/Projects!$D$13,0)+IF(AND(Projects!$G$14="Yes",12&gt;=Projects!$C$14,12&lt;Projects!$C$14+Projects!$D$14),Projects!$B$14*Assumptions!$B$11/Projects!$D$14,0)+IF(AND(Projects!$G$15="Yes",12&gt;=Projects!$C$15,12&lt;Projects!$C$15+Projects!$D$15),Projects!$B$15*Assumptions!$B$11/Projects!$D$15,0)+IF(AND(Projects!$G$16="Yes",12&gt;=Projects!$C$16,12&lt;Projects!$C$16+Projects!$D$16),Projects!$B$16*Assumptions!$B$11/Projects!$D$16,0)</f>
        <v>332057.754806049</v>
      </c>
      <c r="O9" s="10" t="n">
        <f aca="false">IF(AND(Projects!$G$2="Yes",13&gt;=Projects!$C$2,13&lt;Projects!$C$2+Projects!$D$2),243841/Projects!$D$2,0)+IF(AND(Projects!$G$3="Yes",13&gt;=Projects!$C$3,13&lt;Projects!$C$3+Projects!$D$3),950275/Projects!$D$3,0)+IF(AND(Projects!$G$4="Yes",13&gt;=Projects!$C$4,13&lt;Projects!$C$4+Projects!$D$4),Projects!$B$4*Assumptions!$B$11/Projects!$D$4,0)+IF(AND(Projects!$G$5="Yes",13&gt;=Projects!$C$5,13&lt;Projects!$C$5+Projects!$D$5),Projects!$B$5*Assumptions!$B$11/Projects!$D$5,0)+IF(AND(Projects!$G$6="Yes",13&gt;=Projects!$C$6,13&lt;Projects!$C$6+Projects!$D$6),330760/Projects!$D$6,0)+IF(AND(Projects!$G$7="Yes",13&gt;=Projects!$C$7,13&lt;Projects!$C$7+Projects!$D$7),Projects!$B$7*Assumptions!$B$11/Projects!$D$7,0)+IF(AND(Projects!$G$8="Yes",13&gt;=Projects!$C$8,13&lt;Projects!$C$8+Projects!$D$8),Projects!$B$8*Assumptions!$B$11/Projects!$D$8,0)+IF(AND(Projects!$G$9="Yes",13&gt;=Projects!$C$9,13&lt;Projects!$C$9+Projects!$D$9),Projects!$B$9*Assumptions!$B$11/Projects!$D$9,0)+IF(AND(Projects!$G$10="Yes",13&gt;=Projects!$C$10,13&lt;Projects!$C$10+Projects!$D$10),Projects!$B$10*Assumptions!$B$11/Projects!$D$10,0)+IF(AND(Projects!$G$11="Yes",13&gt;=Projects!$C$11,13&lt;Projects!$C$11+Projects!$D$11),Projects!$B$11*Assumptions!$B$11/Projects!$D$11,0)+IF(AND(Projects!$G$12="Yes",13&gt;=Projects!$C$12,13&lt;Projects!$C$12+Projects!$D$12),Projects!$B$12*Assumptions!$B$11/Projects!$D$12,0)+IF(AND(Projects!$G$13="Yes",13&gt;=Projects!$C$13,13&lt;Projects!$C$13+Projects!$D$13),Projects!$B$13*Assumptions!$B$11/Projects!$D$13,0)+IF(AND(Projects!$G$14="Yes",13&gt;=Projects!$C$14,13&lt;Projects!$C$14+Projects!$D$14),Projects!$B$14*Assumptions!$B$11/Projects!$D$14,0)+IF(AND(Projects!$G$15="Yes",13&gt;=Projects!$C$15,13&lt;Projects!$C$15+Projects!$D$15),Projects!$B$15*Assumptions!$B$11/Projects!$D$15,0)+IF(AND(Projects!$G$16="Yes",13&gt;=Projects!$C$16,13&lt;Projects!$C$16+Projects!$D$16),Projects!$B$16*Assumptions!$B$11/Projects!$D$16,0)</f>
        <v>405542.771039815</v>
      </c>
      <c r="P9" s="10" t="n">
        <f aca="false">IF(AND(Projects!$G$2="Yes",14&gt;=Projects!$C$2,14&lt;Projects!$C$2+Projects!$D$2),243841/Projects!$D$2,0)+IF(AND(Projects!$G$3="Yes",14&gt;=Projects!$C$3,14&lt;Projects!$C$3+Projects!$D$3),950275/Projects!$D$3,0)+IF(AND(Projects!$G$4="Yes",14&gt;=Projects!$C$4,14&lt;Projects!$C$4+Projects!$D$4),Projects!$B$4*Assumptions!$B$11/Projects!$D$4,0)+IF(AND(Projects!$G$5="Yes",14&gt;=Projects!$C$5,14&lt;Projects!$C$5+Projects!$D$5),Projects!$B$5*Assumptions!$B$11/Projects!$D$5,0)+IF(AND(Projects!$G$6="Yes",14&gt;=Projects!$C$6,14&lt;Projects!$C$6+Projects!$D$6),330760/Projects!$D$6,0)+IF(AND(Projects!$G$7="Yes",14&gt;=Projects!$C$7,14&lt;Projects!$C$7+Projects!$D$7),Projects!$B$7*Assumptions!$B$11/Projects!$D$7,0)+IF(AND(Projects!$G$8="Yes",14&gt;=Projects!$C$8,14&lt;Projects!$C$8+Projects!$D$8),Projects!$B$8*Assumptions!$B$11/Projects!$D$8,0)+IF(AND(Projects!$G$9="Yes",14&gt;=Projects!$C$9,14&lt;Projects!$C$9+Projects!$D$9),Projects!$B$9*Assumptions!$B$11/Projects!$D$9,0)+IF(AND(Projects!$G$10="Yes",14&gt;=Projects!$C$10,14&lt;Projects!$C$10+Projects!$D$10),Projects!$B$10*Assumptions!$B$11/Projects!$D$10,0)+IF(AND(Projects!$G$11="Yes",14&gt;=Projects!$C$11,14&lt;Projects!$C$11+Projects!$D$11),Projects!$B$11*Assumptions!$B$11/Projects!$D$11,0)+IF(AND(Projects!$G$12="Yes",14&gt;=Projects!$C$12,14&lt;Projects!$C$12+Projects!$D$12),Projects!$B$12*Assumptions!$B$11/Projects!$D$12,0)+IF(AND(Projects!$G$13="Yes",14&gt;=Projects!$C$13,14&lt;Projects!$C$13+Projects!$D$13),Projects!$B$13*Assumptions!$B$11/Projects!$D$13,0)+IF(AND(Projects!$G$14="Yes",14&gt;=Projects!$C$14,14&lt;Projects!$C$14+Projects!$D$14),Projects!$B$14*Assumptions!$B$11/Projects!$D$14,0)+IF(AND(Projects!$G$15="Yes",14&gt;=Projects!$C$15,14&lt;Projects!$C$15+Projects!$D$15),Projects!$B$15*Assumptions!$B$11/Projects!$D$15,0)+IF(AND(Projects!$G$16="Yes",14&gt;=Projects!$C$16,14&lt;Projects!$C$16+Projects!$D$16),Projects!$B$16*Assumptions!$B$11/Projects!$D$16,0)</f>
        <v>405542.771039815</v>
      </c>
      <c r="Q9" s="10" t="n">
        <f aca="false">IF(AND(Projects!$G$2="Yes",15&gt;=Projects!$C$2,15&lt;Projects!$C$2+Projects!$D$2),243841/Projects!$D$2,0)+IF(AND(Projects!$G$3="Yes",15&gt;=Projects!$C$3,15&lt;Projects!$C$3+Projects!$D$3),950275/Projects!$D$3,0)+IF(AND(Projects!$G$4="Yes",15&gt;=Projects!$C$4,15&lt;Projects!$C$4+Projects!$D$4),Projects!$B$4*Assumptions!$B$11/Projects!$D$4,0)+IF(AND(Projects!$G$5="Yes",15&gt;=Projects!$C$5,15&lt;Projects!$C$5+Projects!$D$5),Projects!$B$5*Assumptions!$B$11/Projects!$D$5,0)+IF(AND(Projects!$G$6="Yes",15&gt;=Projects!$C$6,15&lt;Projects!$C$6+Projects!$D$6),330760/Projects!$D$6,0)+IF(AND(Projects!$G$7="Yes",15&gt;=Projects!$C$7,15&lt;Projects!$C$7+Projects!$D$7),Projects!$B$7*Assumptions!$B$11/Projects!$D$7,0)+IF(AND(Projects!$G$8="Yes",15&gt;=Projects!$C$8,15&lt;Projects!$C$8+Projects!$D$8),Projects!$B$8*Assumptions!$B$11/Projects!$D$8,0)+IF(AND(Projects!$G$9="Yes",15&gt;=Projects!$C$9,15&lt;Projects!$C$9+Projects!$D$9),Projects!$B$9*Assumptions!$B$11/Projects!$D$9,0)+IF(AND(Projects!$G$10="Yes",15&gt;=Projects!$C$10,15&lt;Projects!$C$10+Projects!$D$10),Projects!$B$10*Assumptions!$B$11/Projects!$D$10,0)+IF(AND(Projects!$G$11="Yes",15&gt;=Projects!$C$11,15&lt;Projects!$C$11+Projects!$D$11),Projects!$B$11*Assumptions!$B$11/Projects!$D$11,0)+IF(AND(Projects!$G$12="Yes",15&gt;=Projects!$C$12,15&lt;Projects!$C$12+Projects!$D$12),Projects!$B$12*Assumptions!$B$11/Projects!$D$12,0)+IF(AND(Projects!$G$13="Yes",15&gt;=Projects!$C$13,15&lt;Projects!$C$13+Projects!$D$13),Projects!$B$13*Assumptions!$B$11/Projects!$D$13,0)+IF(AND(Projects!$G$14="Yes",15&gt;=Projects!$C$14,15&lt;Projects!$C$14+Projects!$D$14),Projects!$B$14*Assumptions!$B$11/Projects!$D$14,0)+IF(AND(Projects!$G$15="Yes",15&gt;=Projects!$C$15,15&lt;Projects!$C$15+Projects!$D$15),Projects!$B$15*Assumptions!$B$11/Projects!$D$15,0)+IF(AND(Projects!$G$16="Yes",15&gt;=Projects!$C$16,15&lt;Projects!$C$16+Projects!$D$16),Projects!$B$16*Assumptions!$B$11/Projects!$D$16,0)</f>
        <v>405542.771039815</v>
      </c>
      <c r="R9" s="10" t="n">
        <f aca="false">IF(AND(Projects!$G$2="Yes",16&gt;=Projects!$C$2,16&lt;Projects!$C$2+Projects!$D$2),243841/Projects!$D$2,0)+IF(AND(Projects!$G$3="Yes",16&gt;=Projects!$C$3,16&lt;Projects!$C$3+Projects!$D$3),950275/Projects!$D$3,0)+IF(AND(Projects!$G$4="Yes",16&gt;=Projects!$C$4,16&lt;Projects!$C$4+Projects!$D$4),Projects!$B$4*Assumptions!$B$11/Projects!$D$4,0)+IF(AND(Projects!$G$5="Yes",16&gt;=Projects!$C$5,16&lt;Projects!$C$5+Projects!$D$5),Projects!$B$5*Assumptions!$B$11/Projects!$D$5,0)+IF(AND(Projects!$G$6="Yes",16&gt;=Projects!$C$6,16&lt;Projects!$C$6+Projects!$D$6),330760/Projects!$D$6,0)+IF(AND(Projects!$G$7="Yes",16&gt;=Projects!$C$7,16&lt;Projects!$C$7+Projects!$D$7),Projects!$B$7*Assumptions!$B$11/Projects!$D$7,0)+IF(AND(Projects!$G$8="Yes",16&gt;=Projects!$C$8,16&lt;Projects!$C$8+Projects!$D$8),Projects!$B$8*Assumptions!$B$11/Projects!$D$8,0)+IF(AND(Projects!$G$9="Yes",16&gt;=Projects!$C$9,16&lt;Projects!$C$9+Projects!$D$9),Projects!$B$9*Assumptions!$B$11/Projects!$D$9,0)+IF(AND(Projects!$G$10="Yes",16&gt;=Projects!$C$10,16&lt;Projects!$C$10+Projects!$D$10),Projects!$B$10*Assumptions!$B$11/Projects!$D$10,0)+IF(AND(Projects!$G$11="Yes",16&gt;=Projects!$C$11,16&lt;Projects!$C$11+Projects!$D$11),Projects!$B$11*Assumptions!$B$11/Projects!$D$11,0)+IF(AND(Projects!$G$12="Yes",16&gt;=Projects!$C$12,16&lt;Projects!$C$12+Projects!$D$12),Projects!$B$12*Assumptions!$B$11/Projects!$D$12,0)+IF(AND(Projects!$G$13="Yes",16&gt;=Projects!$C$13,16&lt;Projects!$C$13+Projects!$D$13),Projects!$B$13*Assumptions!$B$11/Projects!$D$13,0)+IF(AND(Projects!$G$14="Yes",16&gt;=Projects!$C$14,16&lt;Projects!$C$14+Projects!$D$14),Projects!$B$14*Assumptions!$B$11/Projects!$D$14,0)+IF(AND(Projects!$G$15="Yes",16&gt;=Projects!$C$15,16&lt;Projects!$C$15+Projects!$D$15),Projects!$B$15*Assumptions!$B$11/Projects!$D$15,0)+IF(AND(Projects!$G$16="Yes",16&gt;=Projects!$C$16,16&lt;Projects!$C$16+Projects!$D$16),Projects!$B$16*Assumptions!$B$11/Projects!$D$16,0)</f>
        <v>323835.891169686</v>
      </c>
      <c r="S9" s="10" t="n">
        <f aca="false">IF(AND(Projects!$G$2="Yes",17&gt;=Projects!$C$2,17&lt;Projects!$C$2+Projects!$D$2),243841/Projects!$D$2,0)+IF(AND(Projects!$G$3="Yes",17&gt;=Projects!$C$3,17&lt;Projects!$C$3+Projects!$D$3),950275/Projects!$D$3,0)+IF(AND(Projects!$G$4="Yes",17&gt;=Projects!$C$4,17&lt;Projects!$C$4+Projects!$D$4),Projects!$B$4*Assumptions!$B$11/Projects!$D$4,0)+IF(AND(Projects!$G$5="Yes",17&gt;=Projects!$C$5,17&lt;Projects!$C$5+Projects!$D$5),Projects!$B$5*Assumptions!$B$11/Projects!$D$5,0)+IF(AND(Projects!$G$6="Yes",17&gt;=Projects!$C$6,17&lt;Projects!$C$6+Projects!$D$6),330760/Projects!$D$6,0)+IF(AND(Projects!$G$7="Yes",17&gt;=Projects!$C$7,17&lt;Projects!$C$7+Projects!$D$7),Projects!$B$7*Assumptions!$B$11/Projects!$D$7,0)+IF(AND(Projects!$G$8="Yes",17&gt;=Projects!$C$8,17&lt;Projects!$C$8+Projects!$D$8),Projects!$B$8*Assumptions!$B$11/Projects!$D$8,0)+IF(AND(Projects!$G$9="Yes",17&gt;=Projects!$C$9,17&lt;Projects!$C$9+Projects!$D$9),Projects!$B$9*Assumptions!$B$11/Projects!$D$9,0)+IF(AND(Projects!$G$10="Yes",17&gt;=Projects!$C$10,17&lt;Projects!$C$10+Projects!$D$10),Projects!$B$10*Assumptions!$B$11/Projects!$D$10,0)+IF(AND(Projects!$G$11="Yes",17&gt;=Projects!$C$11,17&lt;Projects!$C$11+Projects!$D$11),Projects!$B$11*Assumptions!$B$11/Projects!$D$11,0)+IF(AND(Projects!$G$12="Yes",17&gt;=Projects!$C$12,17&lt;Projects!$C$12+Projects!$D$12),Projects!$B$12*Assumptions!$B$11/Projects!$D$12,0)+IF(AND(Projects!$G$13="Yes",17&gt;=Projects!$C$13,17&lt;Projects!$C$13+Projects!$D$13),Projects!$B$13*Assumptions!$B$11/Projects!$D$13,0)+IF(AND(Projects!$G$14="Yes",17&gt;=Projects!$C$14,17&lt;Projects!$C$14+Projects!$D$14),Projects!$B$14*Assumptions!$B$11/Projects!$D$14,0)+IF(AND(Projects!$G$15="Yes",17&gt;=Projects!$C$15,17&lt;Projects!$C$15+Projects!$D$15),Projects!$B$15*Assumptions!$B$11/Projects!$D$15,0)+IF(AND(Projects!$G$16="Yes",17&gt;=Projects!$C$16,17&lt;Projects!$C$16+Projects!$D$16),Projects!$B$16*Assumptions!$B$11/Projects!$D$16,0)</f>
        <v>264443.703669686</v>
      </c>
      <c r="T9" s="10" t="n">
        <f aca="false">IF(AND(Projects!$G$2="Yes",18&gt;=Projects!$C$2,18&lt;Projects!$C$2+Projects!$D$2),243841/Projects!$D$2,0)+IF(AND(Projects!$G$3="Yes",18&gt;=Projects!$C$3,18&lt;Projects!$C$3+Projects!$D$3),950275/Projects!$D$3,0)+IF(AND(Projects!$G$4="Yes",18&gt;=Projects!$C$4,18&lt;Projects!$C$4+Projects!$D$4),Projects!$B$4*Assumptions!$B$11/Projects!$D$4,0)+IF(AND(Projects!$G$5="Yes",18&gt;=Projects!$C$5,18&lt;Projects!$C$5+Projects!$D$5),Projects!$B$5*Assumptions!$B$11/Projects!$D$5,0)+IF(AND(Projects!$G$6="Yes",18&gt;=Projects!$C$6,18&lt;Projects!$C$6+Projects!$D$6),330760/Projects!$D$6,0)+IF(AND(Projects!$G$7="Yes",18&gt;=Projects!$C$7,18&lt;Projects!$C$7+Projects!$D$7),Projects!$B$7*Assumptions!$B$11/Projects!$D$7,0)+IF(AND(Projects!$G$8="Yes",18&gt;=Projects!$C$8,18&lt;Projects!$C$8+Projects!$D$8),Projects!$B$8*Assumptions!$B$11/Projects!$D$8,0)+IF(AND(Projects!$G$9="Yes",18&gt;=Projects!$C$9,18&lt;Projects!$C$9+Projects!$D$9),Projects!$B$9*Assumptions!$B$11/Projects!$D$9,0)+IF(AND(Projects!$G$10="Yes",18&gt;=Projects!$C$10,18&lt;Projects!$C$10+Projects!$D$10),Projects!$B$10*Assumptions!$B$11/Projects!$D$10,0)+IF(AND(Projects!$G$11="Yes",18&gt;=Projects!$C$11,18&lt;Projects!$C$11+Projects!$D$11),Projects!$B$11*Assumptions!$B$11/Projects!$D$11,0)+IF(AND(Projects!$G$12="Yes",18&gt;=Projects!$C$12,18&lt;Projects!$C$12+Projects!$D$12),Projects!$B$12*Assumptions!$B$11/Projects!$D$12,0)+IF(AND(Projects!$G$13="Yes",18&gt;=Projects!$C$13,18&lt;Projects!$C$13+Projects!$D$13),Projects!$B$13*Assumptions!$B$11/Projects!$D$13,0)+IF(AND(Projects!$G$14="Yes",18&gt;=Projects!$C$14,18&lt;Projects!$C$14+Projects!$D$14),Projects!$B$14*Assumptions!$B$11/Projects!$D$14,0)+IF(AND(Projects!$G$15="Yes",18&gt;=Projects!$C$15,18&lt;Projects!$C$15+Projects!$D$15),Projects!$B$15*Assumptions!$B$11/Projects!$D$15,0)+IF(AND(Projects!$G$16="Yes",18&gt;=Projects!$C$16,18&lt;Projects!$C$16+Projects!$D$16),Projects!$B$16*Assumptions!$B$11/Projects!$D$16,0)</f>
        <v>264443.703669686</v>
      </c>
      <c r="U9" s="10" t="n">
        <f aca="false">IF(AND(Projects!$G$2="Yes",19&gt;=Projects!$C$2,19&lt;Projects!$C$2+Projects!$D$2),243841/Projects!$D$2,0)+IF(AND(Projects!$G$3="Yes",19&gt;=Projects!$C$3,19&lt;Projects!$C$3+Projects!$D$3),950275/Projects!$D$3,0)+IF(AND(Projects!$G$4="Yes",19&gt;=Projects!$C$4,19&lt;Projects!$C$4+Projects!$D$4),Projects!$B$4*Assumptions!$B$11/Projects!$D$4,0)+IF(AND(Projects!$G$5="Yes",19&gt;=Projects!$C$5,19&lt;Projects!$C$5+Projects!$D$5),Projects!$B$5*Assumptions!$B$11/Projects!$D$5,0)+IF(AND(Projects!$G$6="Yes",19&gt;=Projects!$C$6,19&lt;Projects!$C$6+Projects!$D$6),330760/Projects!$D$6,0)+IF(AND(Projects!$G$7="Yes",19&gt;=Projects!$C$7,19&lt;Projects!$C$7+Projects!$D$7),Projects!$B$7*Assumptions!$B$11/Projects!$D$7,0)+IF(AND(Projects!$G$8="Yes",19&gt;=Projects!$C$8,19&lt;Projects!$C$8+Projects!$D$8),Projects!$B$8*Assumptions!$B$11/Projects!$D$8,0)+IF(AND(Projects!$G$9="Yes",19&gt;=Projects!$C$9,19&lt;Projects!$C$9+Projects!$D$9),Projects!$B$9*Assumptions!$B$11/Projects!$D$9,0)+IF(AND(Projects!$G$10="Yes",19&gt;=Projects!$C$10,19&lt;Projects!$C$10+Projects!$D$10),Projects!$B$10*Assumptions!$B$11/Projects!$D$10,0)+IF(AND(Projects!$G$11="Yes",19&gt;=Projects!$C$11,19&lt;Projects!$C$11+Projects!$D$11),Projects!$B$11*Assumptions!$B$11/Projects!$D$11,0)+IF(AND(Projects!$G$12="Yes",19&gt;=Projects!$C$12,19&lt;Projects!$C$12+Projects!$D$12),Projects!$B$12*Assumptions!$B$11/Projects!$D$12,0)+IF(AND(Projects!$G$13="Yes",19&gt;=Projects!$C$13,19&lt;Projects!$C$13+Projects!$D$13),Projects!$B$13*Assumptions!$B$11/Projects!$D$13,0)+IF(AND(Projects!$G$14="Yes",19&gt;=Projects!$C$14,19&lt;Projects!$C$14+Projects!$D$14),Projects!$B$14*Assumptions!$B$11/Projects!$D$14,0)+IF(AND(Projects!$G$15="Yes",19&gt;=Projects!$C$15,19&lt;Projects!$C$15+Projects!$D$15),Projects!$B$15*Assumptions!$B$11/Projects!$D$15,0)+IF(AND(Projects!$G$16="Yes",19&gt;=Projects!$C$16,19&lt;Projects!$C$16+Projects!$D$16),Projects!$B$16*Assumptions!$B$11/Projects!$D$16,0)</f>
        <v>264443.703669686</v>
      </c>
      <c r="V9" s="10" t="n">
        <f aca="false">IF(AND(Projects!$G$2="Yes",20&gt;=Projects!$C$2,20&lt;Projects!$C$2+Projects!$D$2),243841/Projects!$D$2,0)+IF(AND(Projects!$G$3="Yes",20&gt;=Projects!$C$3,20&lt;Projects!$C$3+Projects!$D$3),950275/Projects!$D$3,0)+IF(AND(Projects!$G$4="Yes",20&gt;=Projects!$C$4,20&lt;Projects!$C$4+Projects!$D$4),Projects!$B$4*Assumptions!$B$11/Projects!$D$4,0)+IF(AND(Projects!$G$5="Yes",20&gt;=Projects!$C$5,20&lt;Projects!$C$5+Projects!$D$5),Projects!$B$5*Assumptions!$B$11/Projects!$D$5,0)+IF(AND(Projects!$G$6="Yes",20&gt;=Projects!$C$6,20&lt;Projects!$C$6+Projects!$D$6),330760/Projects!$D$6,0)+IF(AND(Projects!$G$7="Yes",20&gt;=Projects!$C$7,20&lt;Projects!$C$7+Projects!$D$7),Projects!$B$7*Assumptions!$B$11/Projects!$D$7,0)+IF(AND(Projects!$G$8="Yes",20&gt;=Projects!$C$8,20&lt;Projects!$C$8+Projects!$D$8),Projects!$B$8*Assumptions!$B$11/Projects!$D$8,0)+IF(AND(Projects!$G$9="Yes",20&gt;=Projects!$C$9,20&lt;Projects!$C$9+Projects!$D$9),Projects!$B$9*Assumptions!$B$11/Projects!$D$9,0)+IF(AND(Projects!$G$10="Yes",20&gt;=Projects!$C$10,20&lt;Projects!$C$10+Projects!$D$10),Projects!$B$10*Assumptions!$B$11/Projects!$D$10,0)+IF(AND(Projects!$G$11="Yes",20&gt;=Projects!$C$11,20&lt;Projects!$C$11+Projects!$D$11),Projects!$B$11*Assumptions!$B$11/Projects!$D$11,0)+IF(AND(Projects!$G$12="Yes",20&gt;=Projects!$C$12,20&lt;Projects!$C$12+Projects!$D$12),Projects!$B$12*Assumptions!$B$11/Projects!$D$12,0)+IF(AND(Projects!$G$13="Yes",20&gt;=Projects!$C$13,20&lt;Projects!$C$13+Projects!$D$13),Projects!$B$13*Assumptions!$B$11/Projects!$D$13,0)+IF(AND(Projects!$G$14="Yes",20&gt;=Projects!$C$14,20&lt;Projects!$C$14+Projects!$D$14),Projects!$B$14*Assumptions!$B$11/Projects!$D$14,0)+IF(AND(Projects!$G$15="Yes",20&gt;=Projects!$C$15,20&lt;Projects!$C$15+Projects!$D$15),Projects!$B$15*Assumptions!$B$11/Projects!$D$15,0)+IF(AND(Projects!$G$16="Yes",20&gt;=Projects!$C$16,20&lt;Projects!$C$16+Projects!$D$16),Projects!$B$16*Assumptions!$B$11/Projects!$D$16,0)</f>
        <v>247035.282617054</v>
      </c>
      <c r="W9" s="10" t="n">
        <f aca="false">IF(AND(Projects!$G$2="Yes",21&gt;=Projects!$C$2,21&lt;Projects!$C$2+Projects!$D$2),243841/Projects!$D$2,0)+IF(AND(Projects!$G$3="Yes",21&gt;=Projects!$C$3,21&lt;Projects!$C$3+Projects!$D$3),950275/Projects!$D$3,0)+IF(AND(Projects!$G$4="Yes",21&gt;=Projects!$C$4,21&lt;Projects!$C$4+Projects!$D$4),Projects!$B$4*Assumptions!$B$11/Projects!$D$4,0)+IF(AND(Projects!$G$5="Yes",21&gt;=Projects!$C$5,21&lt;Projects!$C$5+Projects!$D$5),Projects!$B$5*Assumptions!$B$11/Projects!$D$5,0)+IF(AND(Projects!$G$6="Yes",21&gt;=Projects!$C$6,21&lt;Projects!$C$6+Projects!$D$6),330760/Projects!$D$6,0)+IF(AND(Projects!$G$7="Yes",21&gt;=Projects!$C$7,21&lt;Projects!$C$7+Projects!$D$7),Projects!$B$7*Assumptions!$B$11/Projects!$D$7,0)+IF(AND(Projects!$G$8="Yes",21&gt;=Projects!$C$8,21&lt;Projects!$C$8+Projects!$D$8),Projects!$B$8*Assumptions!$B$11/Projects!$D$8,0)+IF(AND(Projects!$G$9="Yes",21&gt;=Projects!$C$9,21&lt;Projects!$C$9+Projects!$D$9),Projects!$B$9*Assumptions!$B$11/Projects!$D$9,0)+IF(AND(Projects!$G$10="Yes",21&gt;=Projects!$C$10,21&lt;Projects!$C$10+Projects!$D$10),Projects!$B$10*Assumptions!$B$11/Projects!$D$10,0)+IF(AND(Projects!$G$11="Yes",21&gt;=Projects!$C$11,21&lt;Projects!$C$11+Projects!$D$11),Projects!$B$11*Assumptions!$B$11/Projects!$D$11,0)+IF(AND(Projects!$G$12="Yes",21&gt;=Projects!$C$12,21&lt;Projects!$C$12+Projects!$D$12),Projects!$B$12*Assumptions!$B$11/Projects!$D$12,0)+IF(AND(Projects!$G$13="Yes",21&gt;=Projects!$C$13,21&lt;Projects!$C$13+Projects!$D$13),Projects!$B$13*Assumptions!$B$11/Projects!$D$13,0)+IF(AND(Projects!$G$14="Yes",21&gt;=Projects!$C$14,21&lt;Projects!$C$14+Projects!$D$14),Projects!$B$14*Assumptions!$B$11/Projects!$D$14,0)+IF(AND(Projects!$G$15="Yes",21&gt;=Projects!$C$15,21&lt;Projects!$C$15+Projects!$D$15),Projects!$B$15*Assumptions!$B$11/Projects!$D$15,0)+IF(AND(Projects!$G$16="Yes",21&gt;=Projects!$C$16,21&lt;Projects!$C$16+Projects!$D$16),Projects!$B$16*Assumptions!$B$11/Projects!$D$16,0)</f>
        <v>247035.282617054</v>
      </c>
      <c r="X9" s="10" t="n">
        <f aca="false">IF(AND(Projects!$G$2="Yes",22&gt;=Projects!$C$2,22&lt;Projects!$C$2+Projects!$D$2),243841/Projects!$D$2,0)+IF(AND(Projects!$G$3="Yes",22&gt;=Projects!$C$3,22&lt;Projects!$C$3+Projects!$D$3),950275/Projects!$D$3,0)+IF(AND(Projects!$G$4="Yes",22&gt;=Projects!$C$4,22&lt;Projects!$C$4+Projects!$D$4),Projects!$B$4*Assumptions!$B$11/Projects!$D$4,0)+IF(AND(Projects!$G$5="Yes",22&gt;=Projects!$C$5,22&lt;Projects!$C$5+Projects!$D$5),Projects!$B$5*Assumptions!$B$11/Projects!$D$5,0)+IF(AND(Projects!$G$6="Yes",22&gt;=Projects!$C$6,22&lt;Projects!$C$6+Projects!$D$6),330760/Projects!$D$6,0)+IF(AND(Projects!$G$7="Yes",22&gt;=Projects!$C$7,22&lt;Projects!$C$7+Projects!$D$7),Projects!$B$7*Assumptions!$B$11/Projects!$D$7,0)+IF(AND(Projects!$G$8="Yes",22&gt;=Projects!$C$8,22&lt;Projects!$C$8+Projects!$D$8),Projects!$B$8*Assumptions!$B$11/Projects!$D$8,0)+IF(AND(Projects!$G$9="Yes",22&gt;=Projects!$C$9,22&lt;Projects!$C$9+Projects!$D$9),Projects!$B$9*Assumptions!$B$11/Projects!$D$9,0)+IF(AND(Projects!$G$10="Yes",22&gt;=Projects!$C$10,22&lt;Projects!$C$10+Projects!$D$10),Projects!$B$10*Assumptions!$B$11/Projects!$D$10,0)+IF(AND(Projects!$G$11="Yes",22&gt;=Projects!$C$11,22&lt;Projects!$C$11+Projects!$D$11),Projects!$B$11*Assumptions!$B$11/Projects!$D$11,0)+IF(AND(Projects!$G$12="Yes",22&gt;=Projects!$C$12,22&lt;Projects!$C$12+Projects!$D$12),Projects!$B$12*Assumptions!$B$11/Projects!$D$12,0)+IF(AND(Projects!$G$13="Yes",22&gt;=Projects!$C$13,22&lt;Projects!$C$13+Projects!$D$13),Projects!$B$13*Assumptions!$B$11/Projects!$D$13,0)+IF(AND(Projects!$G$14="Yes",22&gt;=Projects!$C$14,22&lt;Projects!$C$14+Projects!$D$14),Projects!$B$14*Assumptions!$B$11/Projects!$D$14,0)+IF(AND(Projects!$G$15="Yes",22&gt;=Projects!$C$15,22&lt;Projects!$C$15+Projects!$D$15),Projects!$B$15*Assumptions!$B$11/Projects!$D$15,0)+IF(AND(Projects!$G$16="Yes",22&gt;=Projects!$C$16,22&lt;Projects!$C$16+Projects!$D$16),Projects!$B$16*Assumptions!$B$11/Projects!$D$16,0)</f>
        <v>247035.282617054</v>
      </c>
      <c r="Y9" s="10" t="n">
        <f aca="false">IF(AND(Projects!$G$2="Yes",23&gt;=Projects!$C$2,23&lt;Projects!$C$2+Projects!$D$2),243841/Projects!$D$2,0)+IF(AND(Projects!$G$3="Yes",23&gt;=Projects!$C$3,23&lt;Projects!$C$3+Projects!$D$3),950275/Projects!$D$3,0)+IF(AND(Projects!$G$4="Yes",23&gt;=Projects!$C$4,23&lt;Projects!$C$4+Projects!$D$4),Projects!$B$4*Assumptions!$B$11/Projects!$D$4,0)+IF(AND(Projects!$G$5="Yes",23&gt;=Projects!$C$5,23&lt;Projects!$C$5+Projects!$D$5),Projects!$B$5*Assumptions!$B$11/Projects!$D$5,0)+IF(AND(Projects!$G$6="Yes",23&gt;=Projects!$C$6,23&lt;Projects!$C$6+Projects!$D$6),330760/Projects!$D$6,0)+IF(AND(Projects!$G$7="Yes",23&gt;=Projects!$C$7,23&lt;Projects!$C$7+Projects!$D$7),Projects!$B$7*Assumptions!$B$11/Projects!$D$7,0)+IF(AND(Projects!$G$8="Yes",23&gt;=Projects!$C$8,23&lt;Projects!$C$8+Projects!$D$8),Projects!$B$8*Assumptions!$B$11/Projects!$D$8,0)+IF(AND(Projects!$G$9="Yes",23&gt;=Projects!$C$9,23&lt;Projects!$C$9+Projects!$D$9),Projects!$B$9*Assumptions!$B$11/Projects!$D$9,0)+IF(AND(Projects!$G$10="Yes",23&gt;=Projects!$C$10,23&lt;Projects!$C$10+Projects!$D$10),Projects!$B$10*Assumptions!$B$11/Projects!$D$10,0)+IF(AND(Projects!$G$11="Yes",23&gt;=Projects!$C$11,23&lt;Projects!$C$11+Projects!$D$11),Projects!$B$11*Assumptions!$B$11/Projects!$D$11,0)+IF(AND(Projects!$G$12="Yes",23&gt;=Projects!$C$12,23&lt;Projects!$C$12+Projects!$D$12),Projects!$B$12*Assumptions!$B$11/Projects!$D$12,0)+IF(AND(Projects!$G$13="Yes",23&gt;=Projects!$C$13,23&lt;Projects!$C$13+Projects!$D$13),Projects!$B$13*Assumptions!$B$11/Projects!$D$13,0)+IF(AND(Projects!$G$14="Yes",23&gt;=Projects!$C$14,23&lt;Projects!$C$14+Projects!$D$14),Projects!$B$14*Assumptions!$B$11/Projects!$D$14,0)+IF(AND(Projects!$G$15="Yes",23&gt;=Projects!$C$15,23&lt;Projects!$C$15+Projects!$D$15),Projects!$B$15*Assumptions!$B$11/Projects!$D$15,0)+IF(AND(Projects!$G$16="Yes",23&gt;=Projects!$C$16,23&lt;Projects!$C$16+Projects!$D$16),Projects!$B$16*Assumptions!$B$11/Projects!$D$16,0)</f>
        <v>247035.282617054</v>
      </c>
      <c r="Z9" s="10" t="n">
        <f aca="false">IF(AND(Projects!$G$2="Yes",24&gt;=Projects!$C$2,24&lt;Projects!$C$2+Projects!$D$2),243841/Projects!$D$2,0)+IF(AND(Projects!$G$3="Yes",24&gt;=Projects!$C$3,24&lt;Projects!$C$3+Projects!$D$3),950275/Projects!$D$3,0)+IF(AND(Projects!$G$4="Yes",24&gt;=Projects!$C$4,24&lt;Projects!$C$4+Projects!$D$4),Projects!$B$4*Assumptions!$B$11/Projects!$D$4,0)+IF(AND(Projects!$G$5="Yes",24&gt;=Projects!$C$5,24&lt;Projects!$C$5+Projects!$D$5),Projects!$B$5*Assumptions!$B$11/Projects!$D$5,0)+IF(AND(Projects!$G$6="Yes",24&gt;=Projects!$C$6,24&lt;Projects!$C$6+Projects!$D$6),330760/Projects!$D$6,0)+IF(AND(Projects!$G$7="Yes",24&gt;=Projects!$C$7,24&lt;Projects!$C$7+Projects!$D$7),Projects!$B$7*Assumptions!$B$11/Projects!$D$7,0)+IF(AND(Projects!$G$8="Yes",24&gt;=Projects!$C$8,24&lt;Projects!$C$8+Projects!$D$8),Projects!$B$8*Assumptions!$B$11/Projects!$D$8,0)+IF(AND(Projects!$G$9="Yes",24&gt;=Projects!$C$9,24&lt;Projects!$C$9+Projects!$D$9),Projects!$B$9*Assumptions!$B$11/Projects!$D$9,0)+IF(AND(Projects!$G$10="Yes",24&gt;=Projects!$C$10,24&lt;Projects!$C$10+Projects!$D$10),Projects!$B$10*Assumptions!$B$11/Projects!$D$10,0)+IF(AND(Projects!$G$11="Yes",24&gt;=Projects!$C$11,24&lt;Projects!$C$11+Projects!$D$11),Projects!$B$11*Assumptions!$B$11/Projects!$D$11,0)+IF(AND(Projects!$G$12="Yes",24&gt;=Projects!$C$12,24&lt;Projects!$C$12+Projects!$D$12),Projects!$B$12*Assumptions!$B$11/Projects!$D$12,0)+IF(AND(Projects!$G$13="Yes",24&gt;=Projects!$C$13,24&lt;Projects!$C$13+Projects!$D$13),Projects!$B$13*Assumptions!$B$11/Projects!$D$13,0)+IF(AND(Projects!$G$14="Yes",24&gt;=Projects!$C$14,24&lt;Projects!$C$14+Projects!$D$14),Projects!$B$14*Assumptions!$B$11/Projects!$D$14,0)+IF(AND(Projects!$G$15="Yes",24&gt;=Projects!$C$15,24&lt;Projects!$C$15+Projects!$D$15),Projects!$B$15*Assumptions!$B$11/Projects!$D$15,0)+IF(AND(Projects!$G$16="Yes",24&gt;=Projects!$C$16,24&lt;Projects!$C$16+Projects!$D$16),Projects!$B$16*Assumptions!$B$11/Projects!$D$16,0)</f>
        <v>247035.282617054</v>
      </c>
      <c r="AA9" s="10" t="n">
        <f aca="false">IF(AND(Projects!$G$2="Yes",25&gt;=Projects!$C$2,25&lt;Projects!$C$2+Projects!$D$2),243841/Projects!$D$2,0)+IF(AND(Projects!$G$3="Yes",25&gt;=Projects!$C$3,25&lt;Projects!$C$3+Projects!$D$3),950275/Projects!$D$3,0)+IF(AND(Projects!$G$4="Yes",25&gt;=Projects!$C$4,25&lt;Projects!$C$4+Projects!$D$4),Projects!$B$4*Assumptions!$B$11/Projects!$D$4,0)+IF(AND(Projects!$G$5="Yes",25&gt;=Projects!$C$5,25&lt;Projects!$C$5+Projects!$D$5),Projects!$B$5*Assumptions!$B$11/Projects!$D$5,0)+IF(AND(Projects!$G$6="Yes",25&gt;=Projects!$C$6,25&lt;Projects!$C$6+Projects!$D$6),330760/Projects!$D$6,0)+IF(AND(Projects!$G$7="Yes",25&gt;=Projects!$C$7,25&lt;Projects!$C$7+Projects!$D$7),Projects!$B$7*Assumptions!$B$11/Projects!$D$7,0)+IF(AND(Projects!$G$8="Yes",25&gt;=Projects!$C$8,25&lt;Projects!$C$8+Projects!$D$8),Projects!$B$8*Assumptions!$B$11/Projects!$D$8,0)+IF(AND(Projects!$G$9="Yes",25&gt;=Projects!$C$9,25&lt;Projects!$C$9+Projects!$D$9),Projects!$B$9*Assumptions!$B$11/Projects!$D$9,0)+IF(AND(Projects!$G$10="Yes",25&gt;=Projects!$C$10,25&lt;Projects!$C$10+Projects!$D$10),Projects!$B$10*Assumptions!$B$11/Projects!$D$10,0)+IF(AND(Projects!$G$11="Yes",25&gt;=Projects!$C$11,25&lt;Projects!$C$11+Projects!$D$11),Projects!$B$11*Assumptions!$B$11/Projects!$D$11,0)+IF(AND(Projects!$G$12="Yes",25&gt;=Projects!$C$12,25&lt;Projects!$C$12+Projects!$D$12),Projects!$B$12*Assumptions!$B$11/Projects!$D$12,0)+IF(AND(Projects!$G$13="Yes",25&gt;=Projects!$C$13,25&lt;Projects!$C$13+Projects!$D$13),Projects!$B$13*Assumptions!$B$11/Projects!$D$13,0)+IF(AND(Projects!$G$14="Yes",25&gt;=Projects!$C$14,25&lt;Projects!$C$14+Projects!$D$14),Projects!$B$14*Assumptions!$B$11/Projects!$D$14,0)+IF(AND(Projects!$G$15="Yes",25&gt;=Projects!$C$15,25&lt;Projects!$C$15+Projects!$D$15),Projects!$B$15*Assumptions!$B$11/Projects!$D$15,0)+IF(AND(Projects!$G$16="Yes",25&gt;=Projects!$C$16,25&lt;Projects!$C$16+Projects!$D$16),Projects!$B$16*Assumptions!$B$11/Projects!$D$16,0)</f>
        <v>247035.282617054</v>
      </c>
      <c r="AB9" s="10" t="n">
        <f aca="false">IF(AND(Projects!$G$2="Yes",26&gt;=Projects!$C$2,26&lt;Projects!$C$2+Projects!$D$2),243841/Projects!$D$2,0)+IF(AND(Projects!$G$3="Yes",26&gt;=Projects!$C$3,26&lt;Projects!$C$3+Projects!$D$3),950275/Projects!$D$3,0)+IF(AND(Projects!$G$4="Yes",26&gt;=Projects!$C$4,26&lt;Projects!$C$4+Projects!$D$4),Projects!$B$4*Assumptions!$B$11/Projects!$D$4,0)+IF(AND(Projects!$G$5="Yes",26&gt;=Projects!$C$5,26&lt;Projects!$C$5+Projects!$D$5),Projects!$B$5*Assumptions!$B$11/Projects!$D$5,0)+IF(AND(Projects!$G$6="Yes",26&gt;=Projects!$C$6,26&lt;Projects!$C$6+Projects!$D$6),330760/Projects!$D$6,0)+IF(AND(Projects!$G$7="Yes",26&gt;=Projects!$C$7,26&lt;Projects!$C$7+Projects!$D$7),Projects!$B$7*Assumptions!$B$11/Projects!$D$7,0)+IF(AND(Projects!$G$8="Yes",26&gt;=Projects!$C$8,26&lt;Projects!$C$8+Projects!$D$8),Projects!$B$8*Assumptions!$B$11/Projects!$D$8,0)+IF(AND(Projects!$G$9="Yes",26&gt;=Projects!$C$9,26&lt;Projects!$C$9+Projects!$D$9),Projects!$B$9*Assumptions!$B$11/Projects!$D$9,0)+IF(AND(Projects!$G$10="Yes",26&gt;=Projects!$C$10,26&lt;Projects!$C$10+Projects!$D$10),Projects!$B$10*Assumptions!$B$11/Projects!$D$10,0)+IF(AND(Projects!$G$11="Yes",26&gt;=Projects!$C$11,26&lt;Projects!$C$11+Projects!$D$11),Projects!$B$11*Assumptions!$B$11/Projects!$D$11,0)+IF(AND(Projects!$G$12="Yes",26&gt;=Projects!$C$12,26&lt;Projects!$C$12+Projects!$D$12),Projects!$B$12*Assumptions!$B$11/Projects!$D$12,0)+IF(AND(Projects!$G$13="Yes",26&gt;=Projects!$C$13,26&lt;Projects!$C$13+Projects!$D$13),Projects!$B$13*Assumptions!$B$11/Projects!$D$13,0)+IF(AND(Projects!$G$14="Yes",26&gt;=Projects!$C$14,26&lt;Projects!$C$14+Projects!$D$14),Projects!$B$14*Assumptions!$B$11/Projects!$D$14,0)+IF(AND(Projects!$G$15="Yes",26&gt;=Projects!$C$15,26&lt;Projects!$C$15+Projects!$D$15),Projects!$B$15*Assumptions!$B$11/Projects!$D$15,0)+IF(AND(Projects!$G$16="Yes",26&gt;=Projects!$C$16,26&lt;Projects!$C$16+Projects!$D$16),Projects!$B$16*Assumptions!$B$11/Projects!$D$16,0)</f>
        <v>212109.346185065</v>
      </c>
      <c r="AC9" s="10" t="n">
        <f aca="false">IF(AND(Projects!$G$2="Yes",27&gt;=Projects!$C$2,27&lt;Projects!$C$2+Projects!$D$2),243841/Projects!$D$2,0)+IF(AND(Projects!$G$3="Yes",27&gt;=Projects!$C$3,27&lt;Projects!$C$3+Projects!$D$3),950275/Projects!$D$3,0)+IF(AND(Projects!$G$4="Yes",27&gt;=Projects!$C$4,27&lt;Projects!$C$4+Projects!$D$4),Projects!$B$4*Assumptions!$B$11/Projects!$D$4,0)+IF(AND(Projects!$G$5="Yes",27&gt;=Projects!$C$5,27&lt;Projects!$C$5+Projects!$D$5),Projects!$B$5*Assumptions!$B$11/Projects!$D$5,0)+IF(AND(Projects!$G$6="Yes",27&gt;=Projects!$C$6,27&lt;Projects!$C$6+Projects!$D$6),330760/Projects!$D$6,0)+IF(AND(Projects!$G$7="Yes",27&gt;=Projects!$C$7,27&lt;Projects!$C$7+Projects!$D$7),Projects!$B$7*Assumptions!$B$11/Projects!$D$7,0)+IF(AND(Projects!$G$8="Yes",27&gt;=Projects!$C$8,27&lt;Projects!$C$8+Projects!$D$8),Projects!$B$8*Assumptions!$B$11/Projects!$D$8,0)+IF(AND(Projects!$G$9="Yes",27&gt;=Projects!$C$9,27&lt;Projects!$C$9+Projects!$D$9),Projects!$B$9*Assumptions!$B$11/Projects!$D$9,0)+IF(AND(Projects!$G$10="Yes",27&gt;=Projects!$C$10,27&lt;Projects!$C$10+Projects!$D$10),Projects!$B$10*Assumptions!$B$11/Projects!$D$10,0)+IF(AND(Projects!$G$11="Yes",27&gt;=Projects!$C$11,27&lt;Projects!$C$11+Projects!$D$11),Projects!$B$11*Assumptions!$B$11/Projects!$D$11,0)+IF(AND(Projects!$G$12="Yes",27&gt;=Projects!$C$12,27&lt;Projects!$C$12+Projects!$D$12),Projects!$B$12*Assumptions!$B$11/Projects!$D$12,0)+IF(AND(Projects!$G$13="Yes",27&gt;=Projects!$C$13,27&lt;Projects!$C$13+Projects!$D$13),Projects!$B$13*Assumptions!$B$11/Projects!$D$13,0)+IF(AND(Projects!$G$14="Yes",27&gt;=Projects!$C$14,27&lt;Projects!$C$14+Projects!$D$14),Projects!$B$14*Assumptions!$B$11/Projects!$D$14,0)+IF(AND(Projects!$G$15="Yes",27&gt;=Projects!$C$15,27&lt;Projects!$C$15+Projects!$D$15),Projects!$B$15*Assumptions!$B$11/Projects!$D$15,0)+IF(AND(Projects!$G$16="Yes",27&gt;=Projects!$C$16,27&lt;Projects!$C$16+Projects!$D$16),Projects!$B$16*Assumptions!$B$11/Projects!$D$16,0)</f>
        <v>279243.489042208</v>
      </c>
      <c r="AD9" s="10" t="n">
        <f aca="false">IF(AND(Projects!$G$2="Yes",28&gt;=Projects!$C$2,28&lt;Projects!$C$2+Projects!$D$2),243841/Projects!$D$2,0)+IF(AND(Projects!$G$3="Yes",28&gt;=Projects!$C$3,28&lt;Projects!$C$3+Projects!$D$3),950275/Projects!$D$3,0)+IF(AND(Projects!$G$4="Yes",28&gt;=Projects!$C$4,28&lt;Projects!$C$4+Projects!$D$4),Projects!$B$4*Assumptions!$B$11/Projects!$D$4,0)+IF(AND(Projects!$G$5="Yes",28&gt;=Projects!$C$5,28&lt;Projects!$C$5+Projects!$D$5),Projects!$B$5*Assumptions!$B$11/Projects!$D$5,0)+IF(AND(Projects!$G$6="Yes",28&gt;=Projects!$C$6,28&lt;Projects!$C$6+Projects!$D$6),330760/Projects!$D$6,0)+IF(AND(Projects!$G$7="Yes",28&gt;=Projects!$C$7,28&lt;Projects!$C$7+Projects!$D$7),Projects!$B$7*Assumptions!$B$11/Projects!$D$7,0)+IF(AND(Projects!$G$8="Yes",28&gt;=Projects!$C$8,28&lt;Projects!$C$8+Projects!$D$8),Projects!$B$8*Assumptions!$B$11/Projects!$D$8,0)+IF(AND(Projects!$G$9="Yes",28&gt;=Projects!$C$9,28&lt;Projects!$C$9+Projects!$D$9),Projects!$B$9*Assumptions!$B$11/Projects!$D$9,0)+IF(AND(Projects!$G$10="Yes",28&gt;=Projects!$C$10,28&lt;Projects!$C$10+Projects!$D$10),Projects!$B$10*Assumptions!$B$11/Projects!$D$10,0)+IF(AND(Projects!$G$11="Yes",28&gt;=Projects!$C$11,28&lt;Projects!$C$11+Projects!$D$11),Projects!$B$11*Assumptions!$B$11/Projects!$D$11,0)+IF(AND(Projects!$G$12="Yes",28&gt;=Projects!$C$12,28&lt;Projects!$C$12+Projects!$D$12),Projects!$B$12*Assumptions!$B$11/Projects!$D$12,0)+IF(AND(Projects!$G$13="Yes",28&gt;=Projects!$C$13,28&lt;Projects!$C$13+Projects!$D$13),Projects!$B$13*Assumptions!$B$11/Projects!$D$13,0)+IF(AND(Projects!$G$14="Yes",28&gt;=Projects!$C$14,28&lt;Projects!$C$14+Projects!$D$14),Projects!$B$14*Assumptions!$B$11/Projects!$D$14,0)+IF(AND(Projects!$G$15="Yes",28&gt;=Projects!$C$15,28&lt;Projects!$C$15+Projects!$D$15),Projects!$B$15*Assumptions!$B$11/Projects!$D$15,0)+IF(AND(Projects!$G$16="Yes",28&gt;=Projects!$C$16,28&lt;Projects!$C$16+Projects!$D$16),Projects!$B$16*Assumptions!$B$11/Projects!$D$16,0)</f>
        <v>279243.489042208</v>
      </c>
      <c r="AE9" s="10" t="n">
        <f aca="false">IF(AND(Projects!$G$2="Yes",29&gt;=Projects!$C$2,29&lt;Projects!$C$2+Projects!$D$2),243841/Projects!$D$2,0)+IF(AND(Projects!$G$3="Yes",29&gt;=Projects!$C$3,29&lt;Projects!$C$3+Projects!$D$3),950275/Projects!$D$3,0)+IF(AND(Projects!$G$4="Yes",29&gt;=Projects!$C$4,29&lt;Projects!$C$4+Projects!$D$4),Projects!$B$4*Assumptions!$B$11/Projects!$D$4,0)+IF(AND(Projects!$G$5="Yes",29&gt;=Projects!$C$5,29&lt;Projects!$C$5+Projects!$D$5),Projects!$B$5*Assumptions!$B$11/Projects!$D$5,0)+IF(AND(Projects!$G$6="Yes",29&gt;=Projects!$C$6,29&lt;Projects!$C$6+Projects!$D$6),330760/Projects!$D$6,0)+IF(AND(Projects!$G$7="Yes",29&gt;=Projects!$C$7,29&lt;Projects!$C$7+Projects!$D$7),Projects!$B$7*Assumptions!$B$11/Projects!$D$7,0)+IF(AND(Projects!$G$8="Yes",29&gt;=Projects!$C$8,29&lt;Projects!$C$8+Projects!$D$8),Projects!$B$8*Assumptions!$B$11/Projects!$D$8,0)+IF(AND(Projects!$G$9="Yes",29&gt;=Projects!$C$9,29&lt;Projects!$C$9+Projects!$D$9),Projects!$B$9*Assumptions!$B$11/Projects!$D$9,0)+IF(AND(Projects!$G$10="Yes",29&gt;=Projects!$C$10,29&lt;Projects!$C$10+Projects!$D$10),Projects!$B$10*Assumptions!$B$11/Projects!$D$10,0)+IF(AND(Projects!$G$11="Yes",29&gt;=Projects!$C$11,29&lt;Projects!$C$11+Projects!$D$11),Projects!$B$11*Assumptions!$B$11/Projects!$D$11,0)+IF(AND(Projects!$G$12="Yes",29&gt;=Projects!$C$12,29&lt;Projects!$C$12+Projects!$D$12),Projects!$B$12*Assumptions!$B$11/Projects!$D$12,0)+IF(AND(Projects!$G$13="Yes",29&gt;=Projects!$C$13,29&lt;Projects!$C$13+Projects!$D$13),Projects!$B$13*Assumptions!$B$11/Projects!$D$13,0)+IF(AND(Projects!$G$14="Yes",29&gt;=Projects!$C$14,29&lt;Projects!$C$14+Projects!$D$14),Projects!$B$14*Assumptions!$B$11/Projects!$D$14,0)+IF(AND(Projects!$G$15="Yes",29&gt;=Projects!$C$15,29&lt;Projects!$C$15+Projects!$D$15),Projects!$B$15*Assumptions!$B$11/Projects!$D$15,0)+IF(AND(Projects!$G$16="Yes",29&gt;=Projects!$C$16,29&lt;Projects!$C$16+Projects!$D$16),Projects!$B$16*Assumptions!$B$11/Projects!$D$16,0)</f>
        <v>279243.489042208</v>
      </c>
      <c r="AF9" s="10" t="n">
        <f aca="false">IF(AND(Projects!$G$2="Yes",30&gt;=Projects!$C$2,30&lt;Projects!$C$2+Projects!$D$2),243841/Projects!$D$2,0)+IF(AND(Projects!$G$3="Yes",30&gt;=Projects!$C$3,30&lt;Projects!$C$3+Projects!$D$3),950275/Projects!$D$3,0)+IF(AND(Projects!$G$4="Yes",30&gt;=Projects!$C$4,30&lt;Projects!$C$4+Projects!$D$4),Projects!$B$4*Assumptions!$B$11/Projects!$D$4,0)+IF(AND(Projects!$G$5="Yes",30&gt;=Projects!$C$5,30&lt;Projects!$C$5+Projects!$D$5),Projects!$B$5*Assumptions!$B$11/Projects!$D$5,0)+IF(AND(Projects!$G$6="Yes",30&gt;=Projects!$C$6,30&lt;Projects!$C$6+Projects!$D$6),330760/Projects!$D$6,0)+IF(AND(Projects!$G$7="Yes",30&gt;=Projects!$C$7,30&lt;Projects!$C$7+Projects!$D$7),Projects!$B$7*Assumptions!$B$11/Projects!$D$7,0)+IF(AND(Projects!$G$8="Yes",30&gt;=Projects!$C$8,30&lt;Projects!$C$8+Projects!$D$8),Projects!$B$8*Assumptions!$B$11/Projects!$D$8,0)+IF(AND(Projects!$G$9="Yes",30&gt;=Projects!$C$9,30&lt;Projects!$C$9+Projects!$D$9),Projects!$B$9*Assumptions!$B$11/Projects!$D$9,0)+IF(AND(Projects!$G$10="Yes",30&gt;=Projects!$C$10,30&lt;Projects!$C$10+Projects!$D$10),Projects!$B$10*Assumptions!$B$11/Projects!$D$10,0)+IF(AND(Projects!$G$11="Yes",30&gt;=Projects!$C$11,30&lt;Projects!$C$11+Projects!$D$11),Projects!$B$11*Assumptions!$B$11/Projects!$D$11,0)+IF(AND(Projects!$G$12="Yes",30&gt;=Projects!$C$12,30&lt;Projects!$C$12+Projects!$D$12),Projects!$B$12*Assumptions!$B$11/Projects!$D$12,0)+IF(AND(Projects!$G$13="Yes",30&gt;=Projects!$C$13,30&lt;Projects!$C$13+Projects!$D$13),Projects!$B$13*Assumptions!$B$11/Projects!$D$13,0)+IF(AND(Projects!$G$14="Yes",30&gt;=Projects!$C$14,30&lt;Projects!$C$14+Projects!$D$14),Projects!$B$14*Assumptions!$B$11/Projects!$D$14,0)+IF(AND(Projects!$G$15="Yes",30&gt;=Projects!$C$15,30&lt;Projects!$C$15+Projects!$D$15),Projects!$B$15*Assumptions!$B$11/Projects!$D$15,0)+IF(AND(Projects!$G$16="Yes",30&gt;=Projects!$C$16,30&lt;Projects!$C$16+Projects!$D$16),Projects!$B$16*Assumptions!$B$11/Projects!$D$16,0)</f>
        <v>279243.489042208</v>
      </c>
      <c r="AG9" s="10" t="n">
        <f aca="false">IF(AND(Projects!$G$2="Yes",31&gt;=Projects!$C$2,31&lt;Projects!$C$2+Projects!$D$2),243841/Projects!$D$2,0)+IF(AND(Projects!$G$3="Yes",31&gt;=Projects!$C$3,31&lt;Projects!$C$3+Projects!$D$3),950275/Projects!$D$3,0)+IF(AND(Projects!$G$4="Yes",31&gt;=Projects!$C$4,31&lt;Projects!$C$4+Projects!$D$4),Projects!$B$4*Assumptions!$B$11/Projects!$D$4,0)+IF(AND(Projects!$G$5="Yes",31&gt;=Projects!$C$5,31&lt;Projects!$C$5+Projects!$D$5),Projects!$B$5*Assumptions!$B$11/Projects!$D$5,0)+IF(AND(Projects!$G$6="Yes",31&gt;=Projects!$C$6,31&lt;Projects!$C$6+Projects!$D$6),330760/Projects!$D$6,0)+IF(AND(Projects!$G$7="Yes",31&gt;=Projects!$C$7,31&lt;Projects!$C$7+Projects!$D$7),Projects!$B$7*Assumptions!$B$11/Projects!$D$7,0)+IF(AND(Projects!$G$8="Yes",31&gt;=Projects!$C$8,31&lt;Projects!$C$8+Projects!$D$8),Projects!$B$8*Assumptions!$B$11/Projects!$D$8,0)+IF(AND(Projects!$G$9="Yes",31&gt;=Projects!$C$9,31&lt;Projects!$C$9+Projects!$D$9),Projects!$B$9*Assumptions!$B$11/Projects!$D$9,0)+IF(AND(Projects!$G$10="Yes",31&gt;=Projects!$C$10,31&lt;Projects!$C$10+Projects!$D$10),Projects!$B$10*Assumptions!$B$11/Projects!$D$10,0)+IF(AND(Projects!$G$11="Yes",31&gt;=Projects!$C$11,31&lt;Projects!$C$11+Projects!$D$11),Projects!$B$11*Assumptions!$B$11/Projects!$D$11,0)+IF(AND(Projects!$G$12="Yes",31&gt;=Projects!$C$12,31&lt;Projects!$C$12+Projects!$D$12),Projects!$B$12*Assumptions!$B$11/Projects!$D$12,0)+IF(AND(Projects!$G$13="Yes",31&gt;=Projects!$C$13,31&lt;Projects!$C$13+Projects!$D$13),Projects!$B$13*Assumptions!$B$11/Projects!$D$13,0)+IF(AND(Projects!$G$14="Yes",31&gt;=Projects!$C$14,31&lt;Projects!$C$14+Projects!$D$14),Projects!$B$14*Assumptions!$B$11/Projects!$D$14,0)+IF(AND(Projects!$G$15="Yes",31&gt;=Projects!$C$15,31&lt;Projects!$C$15+Projects!$D$15),Projects!$B$15*Assumptions!$B$11/Projects!$D$15,0)+IF(AND(Projects!$G$16="Yes",31&gt;=Projects!$C$16,31&lt;Projects!$C$16+Projects!$D$16),Projects!$B$16*Assumptions!$B$11/Projects!$D$16,0)</f>
        <v>279243.489042208</v>
      </c>
      <c r="AH9" s="10" t="n">
        <f aca="false">IF(AND(Projects!$G$2="Yes",32&gt;=Projects!$C$2,32&lt;Projects!$C$2+Projects!$D$2),243841/Projects!$D$2,0)+IF(AND(Projects!$G$3="Yes",32&gt;=Projects!$C$3,32&lt;Projects!$C$3+Projects!$D$3),950275/Projects!$D$3,0)+IF(AND(Projects!$G$4="Yes",32&gt;=Projects!$C$4,32&lt;Projects!$C$4+Projects!$D$4),Projects!$B$4*Assumptions!$B$11/Projects!$D$4,0)+IF(AND(Projects!$G$5="Yes",32&gt;=Projects!$C$5,32&lt;Projects!$C$5+Projects!$D$5),Projects!$B$5*Assumptions!$B$11/Projects!$D$5,0)+IF(AND(Projects!$G$6="Yes",32&gt;=Projects!$C$6,32&lt;Projects!$C$6+Projects!$D$6),330760/Projects!$D$6,0)+IF(AND(Projects!$G$7="Yes",32&gt;=Projects!$C$7,32&lt;Projects!$C$7+Projects!$D$7),Projects!$B$7*Assumptions!$B$11/Projects!$D$7,0)+IF(AND(Projects!$G$8="Yes",32&gt;=Projects!$C$8,32&lt;Projects!$C$8+Projects!$D$8),Projects!$B$8*Assumptions!$B$11/Projects!$D$8,0)+IF(AND(Projects!$G$9="Yes",32&gt;=Projects!$C$9,32&lt;Projects!$C$9+Projects!$D$9),Projects!$B$9*Assumptions!$B$11/Projects!$D$9,0)+IF(AND(Projects!$G$10="Yes",32&gt;=Projects!$C$10,32&lt;Projects!$C$10+Projects!$D$10),Projects!$B$10*Assumptions!$B$11/Projects!$D$10,0)+IF(AND(Projects!$G$11="Yes",32&gt;=Projects!$C$11,32&lt;Projects!$C$11+Projects!$D$11),Projects!$B$11*Assumptions!$B$11/Projects!$D$11,0)+IF(AND(Projects!$G$12="Yes",32&gt;=Projects!$C$12,32&lt;Projects!$C$12+Projects!$D$12),Projects!$B$12*Assumptions!$B$11/Projects!$D$12,0)+IF(AND(Projects!$G$13="Yes",32&gt;=Projects!$C$13,32&lt;Projects!$C$13+Projects!$D$13),Projects!$B$13*Assumptions!$B$11/Projects!$D$13,0)+IF(AND(Projects!$G$14="Yes",32&gt;=Projects!$C$14,32&lt;Projects!$C$14+Projects!$D$14),Projects!$B$14*Assumptions!$B$11/Projects!$D$14,0)+IF(AND(Projects!$G$15="Yes",32&gt;=Projects!$C$15,32&lt;Projects!$C$15+Projects!$D$15),Projects!$B$15*Assumptions!$B$11/Projects!$D$15,0)+IF(AND(Projects!$G$16="Yes",32&gt;=Projects!$C$16,32&lt;Projects!$C$16+Projects!$D$16),Projects!$B$16*Assumptions!$B$11/Projects!$D$16,0)</f>
        <v>236095.345779221</v>
      </c>
      <c r="AI9" s="10" t="n">
        <f aca="false">IF(AND(Projects!$G$2="Yes",33&gt;=Projects!$C$2,33&lt;Projects!$C$2+Projects!$D$2),243841/Projects!$D$2,0)+IF(AND(Projects!$G$3="Yes",33&gt;=Projects!$C$3,33&lt;Projects!$C$3+Projects!$D$3),950275/Projects!$D$3,0)+IF(AND(Projects!$G$4="Yes",33&gt;=Projects!$C$4,33&lt;Projects!$C$4+Projects!$D$4),Projects!$B$4*Assumptions!$B$11/Projects!$D$4,0)+IF(AND(Projects!$G$5="Yes",33&gt;=Projects!$C$5,33&lt;Projects!$C$5+Projects!$D$5),Projects!$B$5*Assumptions!$B$11/Projects!$D$5,0)+IF(AND(Projects!$G$6="Yes",33&gt;=Projects!$C$6,33&lt;Projects!$C$6+Projects!$D$6),330760/Projects!$D$6,0)+IF(AND(Projects!$G$7="Yes",33&gt;=Projects!$C$7,33&lt;Projects!$C$7+Projects!$D$7),Projects!$B$7*Assumptions!$B$11/Projects!$D$7,0)+IF(AND(Projects!$G$8="Yes",33&gt;=Projects!$C$8,33&lt;Projects!$C$8+Projects!$D$8),Projects!$B$8*Assumptions!$B$11/Projects!$D$8,0)+IF(AND(Projects!$G$9="Yes",33&gt;=Projects!$C$9,33&lt;Projects!$C$9+Projects!$D$9),Projects!$B$9*Assumptions!$B$11/Projects!$D$9,0)+IF(AND(Projects!$G$10="Yes",33&gt;=Projects!$C$10,33&lt;Projects!$C$10+Projects!$D$10),Projects!$B$10*Assumptions!$B$11/Projects!$D$10,0)+IF(AND(Projects!$G$11="Yes",33&gt;=Projects!$C$11,33&lt;Projects!$C$11+Projects!$D$11),Projects!$B$11*Assumptions!$B$11/Projects!$D$11,0)+IF(AND(Projects!$G$12="Yes",33&gt;=Projects!$C$12,33&lt;Projects!$C$12+Projects!$D$12),Projects!$B$12*Assumptions!$B$11/Projects!$D$12,0)+IF(AND(Projects!$G$13="Yes",33&gt;=Projects!$C$13,33&lt;Projects!$C$13+Projects!$D$13),Projects!$B$13*Assumptions!$B$11/Projects!$D$13,0)+IF(AND(Projects!$G$14="Yes",33&gt;=Projects!$C$14,33&lt;Projects!$C$14+Projects!$D$14),Projects!$B$14*Assumptions!$B$11/Projects!$D$14,0)+IF(AND(Projects!$G$15="Yes",33&gt;=Projects!$C$15,33&lt;Projects!$C$15+Projects!$D$15),Projects!$B$15*Assumptions!$B$11/Projects!$D$15,0)+IF(AND(Projects!$G$16="Yes",33&gt;=Projects!$C$16,33&lt;Projects!$C$16+Projects!$D$16),Projects!$B$16*Assumptions!$B$11/Projects!$D$16,0)</f>
        <v>236095.345779221</v>
      </c>
      <c r="AJ9" s="10" t="n">
        <f aca="false">IF(AND(Projects!$G$2="Yes",34&gt;=Projects!$C$2,34&lt;Projects!$C$2+Projects!$D$2),243841/Projects!$D$2,0)+IF(AND(Projects!$G$3="Yes",34&gt;=Projects!$C$3,34&lt;Projects!$C$3+Projects!$D$3),950275/Projects!$D$3,0)+IF(AND(Projects!$G$4="Yes",34&gt;=Projects!$C$4,34&lt;Projects!$C$4+Projects!$D$4),Projects!$B$4*Assumptions!$B$11/Projects!$D$4,0)+IF(AND(Projects!$G$5="Yes",34&gt;=Projects!$C$5,34&lt;Projects!$C$5+Projects!$D$5),Projects!$B$5*Assumptions!$B$11/Projects!$D$5,0)+IF(AND(Projects!$G$6="Yes",34&gt;=Projects!$C$6,34&lt;Projects!$C$6+Projects!$D$6),330760/Projects!$D$6,0)+IF(AND(Projects!$G$7="Yes",34&gt;=Projects!$C$7,34&lt;Projects!$C$7+Projects!$D$7),Projects!$B$7*Assumptions!$B$11/Projects!$D$7,0)+IF(AND(Projects!$G$8="Yes",34&gt;=Projects!$C$8,34&lt;Projects!$C$8+Projects!$D$8),Projects!$B$8*Assumptions!$B$11/Projects!$D$8,0)+IF(AND(Projects!$G$9="Yes",34&gt;=Projects!$C$9,34&lt;Projects!$C$9+Projects!$D$9),Projects!$B$9*Assumptions!$B$11/Projects!$D$9,0)+IF(AND(Projects!$G$10="Yes",34&gt;=Projects!$C$10,34&lt;Projects!$C$10+Projects!$D$10),Projects!$B$10*Assumptions!$B$11/Projects!$D$10,0)+IF(AND(Projects!$G$11="Yes",34&gt;=Projects!$C$11,34&lt;Projects!$C$11+Projects!$D$11),Projects!$B$11*Assumptions!$B$11/Projects!$D$11,0)+IF(AND(Projects!$G$12="Yes",34&gt;=Projects!$C$12,34&lt;Projects!$C$12+Projects!$D$12),Projects!$B$12*Assumptions!$B$11/Projects!$D$12,0)+IF(AND(Projects!$G$13="Yes",34&gt;=Projects!$C$13,34&lt;Projects!$C$13+Projects!$D$13),Projects!$B$13*Assumptions!$B$11/Projects!$D$13,0)+IF(AND(Projects!$G$14="Yes",34&gt;=Projects!$C$14,34&lt;Projects!$C$14+Projects!$D$14),Projects!$B$14*Assumptions!$B$11/Projects!$D$14,0)+IF(AND(Projects!$G$15="Yes",34&gt;=Projects!$C$15,34&lt;Projects!$C$15+Projects!$D$15),Projects!$B$15*Assumptions!$B$11/Projects!$D$15,0)+IF(AND(Projects!$G$16="Yes",34&gt;=Projects!$C$16,34&lt;Projects!$C$16+Projects!$D$16),Projects!$B$16*Assumptions!$B$11/Projects!$D$16,0)</f>
        <v>166341.371753247</v>
      </c>
      <c r="AK9" s="10" t="n">
        <f aca="false">IF(AND(Projects!$G$2="Yes",35&gt;=Projects!$C$2,35&lt;Projects!$C$2+Projects!$D$2),243841/Projects!$D$2,0)+IF(AND(Projects!$G$3="Yes",35&gt;=Projects!$C$3,35&lt;Projects!$C$3+Projects!$D$3),950275/Projects!$D$3,0)+IF(AND(Projects!$G$4="Yes",35&gt;=Projects!$C$4,35&lt;Projects!$C$4+Projects!$D$4),Projects!$B$4*Assumptions!$B$11/Projects!$D$4,0)+IF(AND(Projects!$G$5="Yes",35&gt;=Projects!$C$5,35&lt;Projects!$C$5+Projects!$D$5),Projects!$B$5*Assumptions!$B$11/Projects!$D$5,0)+IF(AND(Projects!$G$6="Yes",35&gt;=Projects!$C$6,35&lt;Projects!$C$6+Projects!$D$6),330760/Projects!$D$6,0)+IF(AND(Projects!$G$7="Yes",35&gt;=Projects!$C$7,35&lt;Projects!$C$7+Projects!$D$7),Projects!$B$7*Assumptions!$B$11/Projects!$D$7,0)+IF(AND(Projects!$G$8="Yes",35&gt;=Projects!$C$8,35&lt;Projects!$C$8+Projects!$D$8),Projects!$B$8*Assumptions!$B$11/Projects!$D$8,0)+IF(AND(Projects!$G$9="Yes",35&gt;=Projects!$C$9,35&lt;Projects!$C$9+Projects!$D$9),Projects!$B$9*Assumptions!$B$11/Projects!$D$9,0)+IF(AND(Projects!$G$10="Yes",35&gt;=Projects!$C$10,35&lt;Projects!$C$10+Projects!$D$10),Projects!$B$10*Assumptions!$B$11/Projects!$D$10,0)+IF(AND(Projects!$G$11="Yes",35&gt;=Projects!$C$11,35&lt;Projects!$C$11+Projects!$D$11),Projects!$B$11*Assumptions!$B$11/Projects!$D$11,0)+IF(AND(Projects!$G$12="Yes",35&gt;=Projects!$C$12,35&lt;Projects!$C$12+Projects!$D$12),Projects!$B$12*Assumptions!$B$11/Projects!$D$12,0)+IF(AND(Projects!$G$13="Yes",35&gt;=Projects!$C$13,35&lt;Projects!$C$13+Projects!$D$13),Projects!$B$13*Assumptions!$B$11/Projects!$D$13,0)+IF(AND(Projects!$G$14="Yes",35&gt;=Projects!$C$14,35&lt;Projects!$C$14+Projects!$D$14),Projects!$B$14*Assumptions!$B$11/Projects!$D$14,0)+IF(AND(Projects!$G$15="Yes",35&gt;=Projects!$C$15,35&lt;Projects!$C$15+Projects!$D$15),Projects!$B$15*Assumptions!$B$11/Projects!$D$15,0)+IF(AND(Projects!$G$16="Yes",35&gt;=Projects!$C$16,35&lt;Projects!$C$16+Projects!$D$16),Projects!$B$16*Assumptions!$B$11/Projects!$D$16,0)</f>
        <v>166341.371753247</v>
      </c>
      <c r="AL9" s="10" t="n">
        <f aca="false">IF(AND(Projects!$G$2="Yes",36&gt;=Projects!$C$2,36&lt;Projects!$C$2+Projects!$D$2),243841/Projects!$D$2,0)+IF(AND(Projects!$G$3="Yes",36&gt;=Projects!$C$3,36&lt;Projects!$C$3+Projects!$D$3),950275/Projects!$D$3,0)+IF(AND(Projects!$G$4="Yes",36&gt;=Projects!$C$4,36&lt;Projects!$C$4+Projects!$D$4),Projects!$B$4*Assumptions!$B$11/Projects!$D$4,0)+IF(AND(Projects!$G$5="Yes",36&gt;=Projects!$C$5,36&lt;Projects!$C$5+Projects!$D$5),Projects!$B$5*Assumptions!$B$11/Projects!$D$5,0)+IF(AND(Projects!$G$6="Yes",36&gt;=Projects!$C$6,36&lt;Projects!$C$6+Projects!$D$6),330760/Projects!$D$6,0)+IF(AND(Projects!$G$7="Yes",36&gt;=Projects!$C$7,36&lt;Projects!$C$7+Projects!$D$7),Projects!$B$7*Assumptions!$B$11/Projects!$D$7,0)+IF(AND(Projects!$G$8="Yes",36&gt;=Projects!$C$8,36&lt;Projects!$C$8+Projects!$D$8),Projects!$B$8*Assumptions!$B$11/Projects!$D$8,0)+IF(AND(Projects!$G$9="Yes",36&gt;=Projects!$C$9,36&lt;Projects!$C$9+Projects!$D$9),Projects!$B$9*Assumptions!$B$11/Projects!$D$9,0)+IF(AND(Projects!$G$10="Yes",36&gt;=Projects!$C$10,36&lt;Projects!$C$10+Projects!$D$10),Projects!$B$10*Assumptions!$B$11/Projects!$D$10,0)+IF(AND(Projects!$G$11="Yes",36&gt;=Projects!$C$11,36&lt;Projects!$C$11+Projects!$D$11),Projects!$B$11*Assumptions!$B$11/Projects!$D$11,0)+IF(AND(Projects!$G$12="Yes",36&gt;=Projects!$C$12,36&lt;Projects!$C$12+Projects!$D$12),Projects!$B$12*Assumptions!$B$11/Projects!$D$12,0)+IF(AND(Projects!$G$13="Yes",36&gt;=Projects!$C$13,36&lt;Projects!$C$13+Projects!$D$13),Projects!$B$13*Assumptions!$B$11/Projects!$D$13,0)+IF(AND(Projects!$G$14="Yes",36&gt;=Projects!$C$14,36&lt;Projects!$C$14+Projects!$D$14),Projects!$B$14*Assumptions!$B$11/Projects!$D$14,0)+IF(AND(Projects!$G$15="Yes",36&gt;=Projects!$C$15,36&lt;Projects!$C$15+Projects!$D$15),Projects!$B$15*Assumptions!$B$11/Projects!$D$15,0)+IF(AND(Projects!$G$16="Yes",36&gt;=Projects!$C$16,36&lt;Projects!$C$16+Projects!$D$16),Projects!$B$16*Assumptions!$B$11/Projects!$D$16,0)</f>
        <v>166341.371753247</v>
      </c>
      <c r="AM9" s="10" t="n">
        <f aca="false">IF(AND(Projects!$G$2="Yes",37&gt;=Projects!$C$2,37&lt;Projects!$C$2+Projects!$D$2),243841/Projects!$D$2,0)+IF(AND(Projects!$G$3="Yes",37&gt;=Projects!$C$3,37&lt;Projects!$C$3+Projects!$D$3),950275/Projects!$D$3,0)+IF(AND(Projects!$G$4="Yes",37&gt;=Projects!$C$4,37&lt;Projects!$C$4+Projects!$D$4),Projects!$B$4*Assumptions!$B$11/Projects!$D$4,0)+IF(AND(Projects!$G$5="Yes",37&gt;=Projects!$C$5,37&lt;Projects!$C$5+Projects!$D$5),Projects!$B$5*Assumptions!$B$11/Projects!$D$5,0)+IF(AND(Projects!$G$6="Yes",37&gt;=Projects!$C$6,37&lt;Projects!$C$6+Projects!$D$6),330760/Projects!$D$6,0)+IF(AND(Projects!$G$7="Yes",37&gt;=Projects!$C$7,37&lt;Projects!$C$7+Projects!$D$7),Projects!$B$7*Assumptions!$B$11/Projects!$D$7,0)+IF(AND(Projects!$G$8="Yes",37&gt;=Projects!$C$8,37&lt;Projects!$C$8+Projects!$D$8),Projects!$B$8*Assumptions!$B$11/Projects!$D$8,0)+IF(AND(Projects!$G$9="Yes",37&gt;=Projects!$C$9,37&lt;Projects!$C$9+Projects!$D$9),Projects!$B$9*Assumptions!$B$11/Projects!$D$9,0)+IF(AND(Projects!$G$10="Yes",37&gt;=Projects!$C$10,37&lt;Projects!$C$10+Projects!$D$10),Projects!$B$10*Assumptions!$B$11/Projects!$D$10,0)+IF(AND(Projects!$G$11="Yes",37&gt;=Projects!$C$11,37&lt;Projects!$C$11+Projects!$D$11),Projects!$B$11*Assumptions!$B$11/Projects!$D$11,0)+IF(AND(Projects!$G$12="Yes",37&gt;=Projects!$C$12,37&lt;Projects!$C$12+Projects!$D$12),Projects!$B$12*Assumptions!$B$11/Projects!$D$12,0)+IF(AND(Projects!$G$13="Yes",37&gt;=Projects!$C$13,37&lt;Projects!$C$13+Projects!$D$13),Projects!$B$13*Assumptions!$B$11/Projects!$D$13,0)+IF(AND(Projects!$G$14="Yes",37&gt;=Projects!$C$14,37&lt;Projects!$C$14+Projects!$D$14),Projects!$B$14*Assumptions!$B$11/Projects!$D$14,0)+IF(AND(Projects!$G$15="Yes",37&gt;=Projects!$C$15,37&lt;Projects!$C$15+Projects!$D$15),Projects!$B$15*Assumptions!$B$11/Projects!$D$15,0)+IF(AND(Projects!$G$16="Yes",37&gt;=Projects!$C$16,37&lt;Projects!$C$16+Projects!$D$16),Projects!$B$16*Assumptions!$B$11/Projects!$D$16,0)</f>
        <v>140619.159090909</v>
      </c>
      <c r="AN9" s="10" t="n">
        <f aca="false">IF(AND(Projects!$G$2="Yes",38&gt;=Projects!$C$2,38&lt;Projects!$C$2+Projects!$D$2),243841/Projects!$D$2,0)+IF(AND(Projects!$G$3="Yes",38&gt;=Projects!$C$3,38&lt;Projects!$C$3+Projects!$D$3),950275/Projects!$D$3,0)+IF(AND(Projects!$G$4="Yes",38&gt;=Projects!$C$4,38&lt;Projects!$C$4+Projects!$D$4),Projects!$B$4*Assumptions!$B$11/Projects!$D$4,0)+IF(AND(Projects!$G$5="Yes",38&gt;=Projects!$C$5,38&lt;Projects!$C$5+Projects!$D$5),Projects!$B$5*Assumptions!$B$11/Projects!$D$5,0)+IF(AND(Projects!$G$6="Yes",38&gt;=Projects!$C$6,38&lt;Projects!$C$6+Projects!$D$6),330760/Projects!$D$6,0)+IF(AND(Projects!$G$7="Yes",38&gt;=Projects!$C$7,38&lt;Projects!$C$7+Projects!$D$7),Projects!$B$7*Assumptions!$B$11/Projects!$D$7,0)+IF(AND(Projects!$G$8="Yes",38&gt;=Projects!$C$8,38&lt;Projects!$C$8+Projects!$D$8),Projects!$B$8*Assumptions!$B$11/Projects!$D$8,0)+IF(AND(Projects!$G$9="Yes",38&gt;=Projects!$C$9,38&lt;Projects!$C$9+Projects!$D$9),Projects!$B$9*Assumptions!$B$11/Projects!$D$9,0)+IF(AND(Projects!$G$10="Yes",38&gt;=Projects!$C$10,38&lt;Projects!$C$10+Projects!$D$10),Projects!$B$10*Assumptions!$B$11/Projects!$D$10,0)+IF(AND(Projects!$G$11="Yes",38&gt;=Projects!$C$11,38&lt;Projects!$C$11+Projects!$D$11),Projects!$B$11*Assumptions!$B$11/Projects!$D$11,0)+IF(AND(Projects!$G$12="Yes",38&gt;=Projects!$C$12,38&lt;Projects!$C$12+Projects!$D$12),Projects!$B$12*Assumptions!$B$11/Projects!$D$12,0)+IF(AND(Projects!$G$13="Yes",38&gt;=Projects!$C$13,38&lt;Projects!$C$13+Projects!$D$13),Projects!$B$13*Assumptions!$B$11/Projects!$D$13,0)+IF(AND(Projects!$G$14="Yes",38&gt;=Projects!$C$14,38&lt;Projects!$C$14+Projects!$D$14),Projects!$B$14*Assumptions!$B$11/Projects!$D$14,0)+IF(AND(Projects!$G$15="Yes",38&gt;=Projects!$C$15,38&lt;Projects!$C$15+Projects!$D$15),Projects!$B$15*Assumptions!$B$11/Projects!$D$15,0)+IF(AND(Projects!$G$16="Yes",38&gt;=Projects!$C$16,38&lt;Projects!$C$16+Projects!$D$16),Projects!$B$16*Assumptions!$B$11/Projects!$D$16,0)</f>
        <v>140619.159090909</v>
      </c>
      <c r="AO9" s="10" t="n">
        <f aca="false">IF(AND(Projects!$G$2="Yes",39&gt;=Projects!$C$2,39&lt;Projects!$C$2+Projects!$D$2),243841/Projects!$D$2,0)+IF(AND(Projects!$G$3="Yes",39&gt;=Projects!$C$3,39&lt;Projects!$C$3+Projects!$D$3),950275/Projects!$D$3,0)+IF(AND(Projects!$G$4="Yes",39&gt;=Projects!$C$4,39&lt;Projects!$C$4+Projects!$D$4),Projects!$B$4*Assumptions!$B$11/Projects!$D$4,0)+IF(AND(Projects!$G$5="Yes",39&gt;=Projects!$C$5,39&lt;Projects!$C$5+Projects!$D$5),Projects!$B$5*Assumptions!$B$11/Projects!$D$5,0)+IF(AND(Projects!$G$6="Yes",39&gt;=Projects!$C$6,39&lt;Projects!$C$6+Projects!$D$6),330760/Projects!$D$6,0)+IF(AND(Projects!$G$7="Yes",39&gt;=Projects!$C$7,39&lt;Projects!$C$7+Projects!$D$7),Projects!$B$7*Assumptions!$B$11/Projects!$D$7,0)+IF(AND(Projects!$G$8="Yes",39&gt;=Projects!$C$8,39&lt;Projects!$C$8+Projects!$D$8),Projects!$B$8*Assumptions!$B$11/Projects!$D$8,0)+IF(AND(Projects!$G$9="Yes",39&gt;=Projects!$C$9,39&lt;Projects!$C$9+Projects!$D$9),Projects!$B$9*Assumptions!$B$11/Projects!$D$9,0)+IF(AND(Projects!$G$10="Yes",39&gt;=Projects!$C$10,39&lt;Projects!$C$10+Projects!$D$10),Projects!$B$10*Assumptions!$B$11/Projects!$D$10,0)+IF(AND(Projects!$G$11="Yes",39&gt;=Projects!$C$11,39&lt;Projects!$C$11+Projects!$D$11),Projects!$B$11*Assumptions!$B$11/Projects!$D$11,0)+IF(AND(Projects!$G$12="Yes",39&gt;=Projects!$C$12,39&lt;Projects!$C$12+Projects!$D$12),Projects!$B$12*Assumptions!$B$11/Projects!$D$12,0)+IF(AND(Projects!$G$13="Yes",39&gt;=Projects!$C$13,39&lt;Projects!$C$13+Projects!$D$13),Projects!$B$13*Assumptions!$B$11/Projects!$D$13,0)+IF(AND(Projects!$G$14="Yes",39&gt;=Projects!$C$14,39&lt;Projects!$C$14+Projects!$D$14),Projects!$B$14*Assumptions!$B$11/Projects!$D$14,0)+IF(AND(Projects!$G$15="Yes",39&gt;=Projects!$C$15,39&lt;Projects!$C$15+Projects!$D$15),Projects!$B$15*Assumptions!$B$11/Projects!$D$15,0)+IF(AND(Projects!$G$16="Yes",39&gt;=Projects!$C$16,39&lt;Projects!$C$16+Projects!$D$16),Projects!$B$16*Assumptions!$B$11/Projects!$D$16,0)</f>
        <v>140619.159090909</v>
      </c>
      <c r="AP9" s="10" t="n">
        <f aca="false">IF(AND(Projects!$G$2="Yes",40&gt;=Projects!$C$2,40&lt;Projects!$C$2+Projects!$D$2),243841/Projects!$D$2,0)+IF(AND(Projects!$G$3="Yes",40&gt;=Projects!$C$3,40&lt;Projects!$C$3+Projects!$D$3),950275/Projects!$D$3,0)+IF(AND(Projects!$G$4="Yes",40&gt;=Projects!$C$4,40&lt;Projects!$C$4+Projects!$D$4),Projects!$B$4*Assumptions!$B$11/Projects!$D$4,0)+IF(AND(Projects!$G$5="Yes",40&gt;=Projects!$C$5,40&lt;Projects!$C$5+Projects!$D$5),Projects!$B$5*Assumptions!$B$11/Projects!$D$5,0)+IF(AND(Projects!$G$6="Yes",40&gt;=Projects!$C$6,40&lt;Projects!$C$6+Projects!$D$6),330760/Projects!$D$6,0)+IF(AND(Projects!$G$7="Yes",40&gt;=Projects!$C$7,40&lt;Projects!$C$7+Projects!$D$7),Projects!$B$7*Assumptions!$B$11/Projects!$D$7,0)+IF(AND(Projects!$G$8="Yes",40&gt;=Projects!$C$8,40&lt;Projects!$C$8+Projects!$D$8),Projects!$B$8*Assumptions!$B$11/Projects!$D$8,0)+IF(AND(Projects!$G$9="Yes",40&gt;=Projects!$C$9,40&lt;Projects!$C$9+Projects!$D$9),Projects!$B$9*Assumptions!$B$11/Projects!$D$9,0)+IF(AND(Projects!$G$10="Yes",40&gt;=Projects!$C$10,40&lt;Projects!$C$10+Projects!$D$10),Projects!$B$10*Assumptions!$B$11/Projects!$D$10,0)+IF(AND(Projects!$G$11="Yes",40&gt;=Projects!$C$11,40&lt;Projects!$C$11+Projects!$D$11),Projects!$B$11*Assumptions!$B$11/Projects!$D$11,0)+IF(AND(Projects!$G$12="Yes",40&gt;=Projects!$C$12,40&lt;Projects!$C$12+Projects!$D$12),Projects!$B$12*Assumptions!$B$11/Projects!$D$12,0)+IF(AND(Projects!$G$13="Yes",40&gt;=Projects!$C$13,40&lt;Projects!$C$13+Projects!$D$13),Projects!$B$13*Assumptions!$B$11/Projects!$D$13,0)+IF(AND(Projects!$G$14="Yes",40&gt;=Projects!$C$14,40&lt;Projects!$C$14+Projects!$D$14),Projects!$B$14*Assumptions!$B$11/Projects!$D$14,0)+IF(AND(Projects!$G$15="Yes",40&gt;=Projects!$C$15,40&lt;Projects!$C$15+Projects!$D$15),Projects!$B$15*Assumptions!$B$11/Projects!$D$15,0)+IF(AND(Projects!$G$16="Yes",40&gt;=Projects!$C$16,40&lt;Projects!$C$16+Projects!$D$16),Projects!$B$16*Assumptions!$B$11/Projects!$D$16,0)</f>
        <v>140619.159090909</v>
      </c>
      <c r="AQ9" s="10" t="n">
        <f aca="false">IF(AND(Projects!$G$2="Yes",41&gt;=Projects!$C$2,41&lt;Projects!$C$2+Projects!$D$2),243841/Projects!$D$2,0)+IF(AND(Projects!$G$3="Yes",41&gt;=Projects!$C$3,41&lt;Projects!$C$3+Projects!$D$3),950275/Projects!$D$3,0)+IF(AND(Projects!$G$4="Yes",41&gt;=Projects!$C$4,41&lt;Projects!$C$4+Projects!$D$4),Projects!$B$4*Assumptions!$B$11/Projects!$D$4,0)+IF(AND(Projects!$G$5="Yes",41&gt;=Projects!$C$5,41&lt;Projects!$C$5+Projects!$D$5),Projects!$B$5*Assumptions!$B$11/Projects!$D$5,0)+IF(AND(Projects!$G$6="Yes",41&gt;=Projects!$C$6,41&lt;Projects!$C$6+Projects!$D$6),330760/Projects!$D$6,0)+IF(AND(Projects!$G$7="Yes",41&gt;=Projects!$C$7,41&lt;Projects!$C$7+Projects!$D$7),Projects!$B$7*Assumptions!$B$11/Projects!$D$7,0)+IF(AND(Projects!$G$8="Yes",41&gt;=Projects!$C$8,41&lt;Projects!$C$8+Projects!$D$8),Projects!$B$8*Assumptions!$B$11/Projects!$D$8,0)+IF(AND(Projects!$G$9="Yes",41&gt;=Projects!$C$9,41&lt;Projects!$C$9+Projects!$D$9),Projects!$B$9*Assumptions!$B$11/Projects!$D$9,0)+IF(AND(Projects!$G$10="Yes",41&gt;=Projects!$C$10,41&lt;Projects!$C$10+Projects!$D$10),Projects!$B$10*Assumptions!$B$11/Projects!$D$10,0)+IF(AND(Projects!$G$11="Yes",41&gt;=Projects!$C$11,41&lt;Projects!$C$11+Projects!$D$11),Projects!$B$11*Assumptions!$B$11/Projects!$D$11,0)+IF(AND(Projects!$G$12="Yes",41&gt;=Projects!$C$12,41&lt;Projects!$C$12+Projects!$D$12),Projects!$B$12*Assumptions!$B$11/Projects!$D$12,0)+IF(AND(Projects!$G$13="Yes",41&gt;=Projects!$C$13,41&lt;Projects!$C$13+Projects!$D$13),Projects!$B$13*Assumptions!$B$11/Projects!$D$13,0)+IF(AND(Projects!$G$14="Yes",41&gt;=Projects!$C$14,41&lt;Projects!$C$14+Projects!$D$14),Projects!$B$14*Assumptions!$B$11/Projects!$D$14,0)+IF(AND(Projects!$G$15="Yes",41&gt;=Projects!$C$15,41&lt;Projects!$C$15+Projects!$D$15),Projects!$B$15*Assumptions!$B$11/Projects!$D$15,0)+IF(AND(Projects!$G$16="Yes",41&gt;=Projects!$C$16,41&lt;Projects!$C$16+Projects!$D$16),Projects!$B$16*Assumptions!$B$11/Projects!$D$16,0)</f>
        <v>140619.159090909</v>
      </c>
      <c r="AR9" s="10" t="n">
        <f aca="false">IF(AND(Projects!$G$2="Yes",42&gt;=Projects!$C$2,42&lt;Projects!$C$2+Projects!$D$2),243841/Projects!$D$2,0)+IF(AND(Projects!$G$3="Yes",42&gt;=Projects!$C$3,42&lt;Projects!$C$3+Projects!$D$3),950275/Projects!$D$3,0)+IF(AND(Projects!$G$4="Yes",42&gt;=Projects!$C$4,42&lt;Projects!$C$4+Projects!$D$4),Projects!$B$4*Assumptions!$B$11/Projects!$D$4,0)+IF(AND(Projects!$G$5="Yes",42&gt;=Projects!$C$5,42&lt;Projects!$C$5+Projects!$D$5),Projects!$B$5*Assumptions!$B$11/Projects!$D$5,0)+IF(AND(Projects!$G$6="Yes",42&gt;=Projects!$C$6,42&lt;Projects!$C$6+Projects!$D$6),330760/Projects!$D$6,0)+IF(AND(Projects!$G$7="Yes",42&gt;=Projects!$C$7,42&lt;Projects!$C$7+Projects!$D$7),Projects!$B$7*Assumptions!$B$11/Projects!$D$7,0)+IF(AND(Projects!$G$8="Yes",42&gt;=Projects!$C$8,42&lt;Projects!$C$8+Projects!$D$8),Projects!$B$8*Assumptions!$B$11/Projects!$D$8,0)+IF(AND(Projects!$G$9="Yes",42&gt;=Projects!$C$9,42&lt;Projects!$C$9+Projects!$D$9),Projects!$B$9*Assumptions!$B$11/Projects!$D$9,0)+IF(AND(Projects!$G$10="Yes",42&gt;=Projects!$C$10,42&lt;Projects!$C$10+Projects!$D$10),Projects!$B$10*Assumptions!$B$11/Projects!$D$10,0)+IF(AND(Projects!$G$11="Yes",42&gt;=Projects!$C$11,42&lt;Projects!$C$11+Projects!$D$11),Projects!$B$11*Assumptions!$B$11/Projects!$D$11,0)+IF(AND(Projects!$G$12="Yes",42&gt;=Projects!$C$12,42&lt;Projects!$C$12+Projects!$D$12),Projects!$B$12*Assumptions!$B$11/Projects!$D$12,0)+IF(AND(Projects!$G$13="Yes",42&gt;=Projects!$C$13,42&lt;Projects!$C$13+Projects!$D$13),Projects!$B$13*Assumptions!$B$11/Projects!$D$13,0)+IF(AND(Projects!$G$14="Yes",42&gt;=Projects!$C$14,42&lt;Projects!$C$14+Projects!$D$14),Projects!$B$14*Assumptions!$B$11/Projects!$D$14,0)+IF(AND(Projects!$G$15="Yes",42&gt;=Projects!$C$15,42&lt;Projects!$C$15+Projects!$D$15),Projects!$B$15*Assumptions!$B$11/Projects!$D$15,0)+IF(AND(Projects!$G$16="Yes",42&gt;=Projects!$C$16,42&lt;Projects!$C$16+Projects!$D$16),Projects!$B$16*Assumptions!$B$11/Projects!$D$16,0)</f>
        <v>140619.159090909</v>
      </c>
      <c r="AS9" s="10" t="n">
        <f aca="false">IF(AND(Projects!$G$2="Yes",43&gt;=Projects!$C$2,43&lt;Projects!$C$2+Projects!$D$2),243841/Projects!$D$2,0)+IF(AND(Projects!$G$3="Yes",43&gt;=Projects!$C$3,43&lt;Projects!$C$3+Projects!$D$3),950275/Projects!$D$3,0)+IF(AND(Projects!$G$4="Yes",43&gt;=Projects!$C$4,43&lt;Projects!$C$4+Projects!$D$4),Projects!$B$4*Assumptions!$B$11/Projects!$D$4,0)+IF(AND(Projects!$G$5="Yes",43&gt;=Projects!$C$5,43&lt;Projects!$C$5+Projects!$D$5),Projects!$B$5*Assumptions!$B$11/Projects!$D$5,0)+IF(AND(Projects!$G$6="Yes",43&gt;=Projects!$C$6,43&lt;Projects!$C$6+Projects!$D$6),330760/Projects!$D$6,0)+IF(AND(Projects!$G$7="Yes",43&gt;=Projects!$C$7,43&lt;Projects!$C$7+Projects!$D$7),Projects!$B$7*Assumptions!$B$11/Projects!$D$7,0)+IF(AND(Projects!$G$8="Yes",43&gt;=Projects!$C$8,43&lt;Projects!$C$8+Projects!$D$8),Projects!$B$8*Assumptions!$B$11/Projects!$D$8,0)+IF(AND(Projects!$G$9="Yes",43&gt;=Projects!$C$9,43&lt;Projects!$C$9+Projects!$D$9),Projects!$B$9*Assumptions!$B$11/Projects!$D$9,0)+IF(AND(Projects!$G$10="Yes",43&gt;=Projects!$C$10,43&lt;Projects!$C$10+Projects!$D$10),Projects!$B$10*Assumptions!$B$11/Projects!$D$10,0)+IF(AND(Projects!$G$11="Yes",43&gt;=Projects!$C$11,43&lt;Projects!$C$11+Projects!$D$11),Projects!$B$11*Assumptions!$B$11/Projects!$D$11,0)+IF(AND(Projects!$G$12="Yes",43&gt;=Projects!$C$12,43&lt;Projects!$C$12+Projects!$D$12),Projects!$B$12*Assumptions!$B$11/Projects!$D$12,0)+IF(AND(Projects!$G$13="Yes",43&gt;=Projects!$C$13,43&lt;Projects!$C$13+Projects!$D$13),Projects!$B$13*Assumptions!$B$11/Projects!$D$13,0)+IF(AND(Projects!$G$14="Yes",43&gt;=Projects!$C$14,43&lt;Projects!$C$14+Projects!$D$14),Projects!$B$14*Assumptions!$B$11/Projects!$D$14,0)+IF(AND(Projects!$G$15="Yes",43&gt;=Projects!$C$15,43&lt;Projects!$C$15+Projects!$D$15),Projects!$B$15*Assumptions!$B$11/Projects!$D$15,0)+IF(AND(Projects!$G$16="Yes",43&gt;=Projects!$C$16,43&lt;Projects!$C$16+Projects!$D$16),Projects!$B$16*Assumptions!$B$11/Projects!$D$16,0)</f>
        <v>67134.1428571429</v>
      </c>
      <c r="AT9" s="10" t="n">
        <f aca="false">IF(AND(Projects!$G$2="Yes",44&gt;=Projects!$C$2,44&lt;Projects!$C$2+Projects!$D$2),243841/Projects!$D$2,0)+IF(AND(Projects!$G$3="Yes",44&gt;=Projects!$C$3,44&lt;Projects!$C$3+Projects!$D$3),950275/Projects!$D$3,0)+IF(AND(Projects!$G$4="Yes",44&gt;=Projects!$C$4,44&lt;Projects!$C$4+Projects!$D$4),Projects!$B$4*Assumptions!$B$11/Projects!$D$4,0)+IF(AND(Projects!$G$5="Yes",44&gt;=Projects!$C$5,44&lt;Projects!$C$5+Projects!$D$5),Projects!$B$5*Assumptions!$B$11/Projects!$D$5,0)+IF(AND(Projects!$G$6="Yes",44&gt;=Projects!$C$6,44&lt;Projects!$C$6+Projects!$D$6),330760/Projects!$D$6,0)+IF(AND(Projects!$G$7="Yes",44&gt;=Projects!$C$7,44&lt;Projects!$C$7+Projects!$D$7),Projects!$B$7*Assumptions!$B$11/Projects!$D$7,0)+IF(AND(Projects!$G$8="Yes",44&gt;=Projects!$C$8,44&lt;Projects!$C$8+Projects!$D$8),Projects!$B$8*Assumptions!$B$11/Projects!$D$8,0)+IF(AND(Projects!$G$9="Yes",44&gt;=Projects!$C$9,44&lt;Projects!$C$9+Projects!$D$9),Projects!$B$9*Assumptions!$B$11/Projects!$D$9,0)+IF(AND(Projects!$G$10="Yes",44&gt;=Projects!$C$10,44&lt;Projects!$C$10+Projects!$D$10),Projects!$B$10*Assumptions!$B$11/Projects!$D$10,0)+IF(AND(Projects!$G$11="Yes",44&gt;=Projects!$C$11,44&lt;Projects!$C$11+Projects!$D$11),Projects!$B$11*Assumptions!$B$11/Projects!$D$11,0)+IF(AND(Projects!$G$12="Yes",44&gt;=Projects!$C$12,44&lt;Projects!$C$12+Projects!$D$12),Projects!$B$12*Assumptions!$B$11/Projects!$D$12,0)+IF(AND(Projects!$G$13="Yes",44&gt;=Projects!$C$13,44&lt;Projects!$C$13+Projects!$D$13),Projects!$B$13*Assumptions!$B$11/Projects!$D$13,0)+IF(AND(Projects!$G$14="Yes",44&gt;=Projects!$C$14,44&lt;Projects!$C$14+Projects!$D$14),Projects!$B$14*Assumptions!$B$11/Projects!$D$14,0)+IF(AND(Projects!$G$15="Yes",44&gt;=Projects!$C$15,44&lt;Projects!$C$15+Projects!$D$15),Projects!$B$15*Assumptions!$B$11/Projects!$D$15,0)+IF(AND(Projects!$G$16="Yes",44&gt;=Projects!$C$16,44&lt;Projects!$C$16+Projects!$D$16),Projects!$B$16*Assumptions!$B$11/Projects!$D$16,0)</f>
        <v>67134.1428571429</v>
      </c>
      <c r="AU9" s="10" t="n">
        <f aca="false">IF(AND(Projects!$G$2="Yes",45&gt;=Projects!$C$2,45&lt;Projects!$C$2+Projects!$D$2),243841/Projects!$D$2,0)+IF(AND(Projects!$G$3="Yes",45&gt;=Projects!$C$3,45&lt;Projects!$C$3+Projects!$D$3),950275/Projects!$D$3,0)+IF(AND(Projects!$G$4="Yes",45&gt;=Projects!$C$4,45&lt;Projects!$C$4+Projects!$D$4),Projects!$B$4*Assumptions!$B$11/Projects!$D$4,0)+IF(AND(Projects!$G$5="Yes",45&gt;=Projects!$C$5,45&lt;Projects!$C$5+Projects!$D$5),Projects!$B$5*Assumptions!$B$11/Projects!$D$5,0)+IF(AND(Projects!$G$6="Yes",45&gt;=Projects!$C$6,45&lt;Projects!$C$6+Projects!$D$6),330760/Projects!$D$6,0)+IF(AND(Projects!$G$7="Yes",45&gt;=Projects!$C$7,45&lt;Projects!$C$7+Projects!$D$7),Projects!$B$7*Assumptions!$B$11/Projects!$D$7,0)+IF(AND(Projects!$G$8="Yes",45&gt;=Projects!$C$8,45&lt;Projects!$C$8+Projects!$D$8),Projects!$B$8*Assumptions!$B$11/Projects!$D$8,0)+IF(AND(Projects!$G$9="Yes",45&gt;=Projects!$C$9,45&lt;Projects!$C$9+Projects!$D$9),Projects!$B$9*Assumptions!$B$11/Projects!$D$9,0)+IF(AND(Projects!$G$10="Yes",45&gt;=Projects!$C$10,45&lt;Projects!$C$10+Projects!$D$10),Projects!$B$10*Assumptions!$B$11/Projects!$D$10,0)+IF(AND(Projects!$G$11="Yes",45&gt;=Projects!$C$11,45&lt;Projects!$C$11+Projects!$D$11),Projects!$B$11*Assumptions!$B$11/Projects!$D$11,0)+IF(AND(Projects!$G$12="Yes",45&gt;=Projects!$C$12,45&lt;Projects!$C$12+Projects!$D$12),Projects!$B$12*Assumptions!$B$11/Projects!$D$12,0)+IF(AND(Projects!$G$13="Yes",45&gt;=Projects!$C$13,45&lt;Projects!$C$13+Projects!$D$13),Projects!$B$13*Assumptions!$B$11/Projects!$D$13,0)+IF(AND(Projects!$G$14="Yes",45&gt;=Projects!$C$14,45&lt;Projects!$C$14+Projects!$D$14),Projects!$B$14*Assumptions!$B$11/Projects!$D$14,0)+IF(AND(Projects!$G$15="Yes",45&gt;=Projects!$C$15,45&lt;Projects!$C$15+Projects!$D$15),Projects!$B$15*Assumptions!$B$11/Projects!$D$15,0)+IF(AND(Projects!$G$16="Yes",45&gt;=Projects!$C$16,45&lt;Projects!$C$16+Projects!$D$16),Projects!$B$16*Assumptions!$B$11/Projects!$D$16,0)</f>
        <v>67134.1428571429</v>
      </c>
      <c r="AV9" s="10" t="n">
        <f aca="false">IF(AND(Projects!$G$2="Yes",46&gt;=Projects!$C$2,46&lt;Projects!$C$2+Projects!$D$2),243841/Projects!$D$2,0)+IF(AND(Projects!$G$3="Yes",46&gt;=Projects!$C$3,46&lt;Projects!$C$3+Projects!$D$3),950275/Projects!$D$3,0)+IF(AND(Projects!$G$4="Yes",46&gt;=Projects!$C$4,46&lt;Projects!$C$4+Projects!$D$4),Projects!$B$4*Assumptions!$B$11/Projects!$D$4,0)+IF(AND(Projects!$G$5="Yes",46&gt;=Projects!$C$5,46&lt;Projects!$C$5+Projects!$D$5),Projects!$B$5*Assumptions!$B$11/Projects!$D$5,0)+IF(AND(Projects!$G$6="Yes",46&gt;=Projects!$C$6,46&lt;Projects!$C$6+Projects!$D$6),330760/Projects!$D$6,0)+IF(AND(Projects!$G$7="Yes",46&gt;=Projects!$C$7,46&lt;Projects!$C$7+Projects!$D$7),Projects!$B$7*Assumptions!$B$11/Projects!$D$7,0)+IF(AND(Projects!$G$8="Yes",46&gt;=Projects!$C$8,46&lt;Projects!$C$8+Projects!$D$8),Projects!$B$8*Assumptions!$B$11/Projects!$D$8,0)+IF(AND(Projects!$G$9="Yes",46&gt;=Projects!$C$9,46&lt;Projects!$C$9+Projects!$D$9),Projects!$B$9*Assumptions!$B$11/Projects!$D$9,0)+IF(AND(Projects!$G$10="Yes",46&gt;=Projects!$C$10,46&lt;Projects!$C$10+Projects!$D$10),Projects!$B$10*Assumptions!$B$11/Projects!$D$10,0)+IF(AND(Projects!$G$11="Yes",46&gt;=Projects!$C$11,46&lt;Projects!$C$11+Projects!$D$11),Projects!$B$11*Assumptions!$B$11/Projects!$D$11,0)+IF(AND(Projects!$G$12="Yes",46&gt;=Projects!$C$12,46&lt;Projects!$C$12+Projects!$D$12),Projects!$B$12*Assumptions!$B$11/Projects!$D$12,0)+IF(AND(Projects!$G$13="Yes",46&gt;=Projects!$C$13,46&lt;Projects!$C$13+Projects!$D$13),Projects!$B$13*Assumptions!$B$11/Projects!$D$13,0)+IF(AND(Projects!$G$14="Yes",46&gt;=Projects!$C$14,46&lt;Projects!$C$14+Projects!$D$14),Projects!$B$14*Assumptions!$B$11/Projects!$D$14,0)+IF(AND(Projects!$G$15="Yes",46&gt;=Projects!$C$15,46&lt;Projects!$C$15+Projects!$D$15),Projects!$B$15*Assumptions!$B$11/Projects!$D$15,0)+IF(AND(Projects!$G$16="Yes",46&gt;=Projects!$C$16,46&lt;Projects!$C$16+Projects!$D$16),Projects!$B$16*Assumptions!$B$11/Projects!$D$16,0)</f>
        <v>67134.1428571429</v>
      </c>
      <c r="AW9" s="10" t="n">
        <f aca="false">IF(AND(Projects!$G$2="Yes",47&gt;=Projects!$C$2,47&lt;Projects!$C$2+Projects!$D$2),243841/Projects!$D$2,0)+IF(AND(Projects!$G$3="Yes",47&gt;=Projects!$C$3,47&lt;Projects!$C$3+Projects!$D$3),950275/Projects!$D$3,0)+IF(AND(Projects!$G$4="Yes",47&gt;=Projects!$C$4,47&lt;Projects!$C$4+Projects!$D$4),Projects!$B$4*Assumptions!$B$11/Projects!$D$4,0)+IF(AND(Projects!$G$5="Yes",47&gt;=Projects!$C$5,47&lt;Projects!$C$5+Projects!$D$5),Projects!$B$5*Assumptions!$B$11/Projects!$D$5,0)+IF(AND(Projects!$G$6="Yes",47&gt;=Projects!$C$6,47&lt;Projects!$C$6+Projects!$D$6),330760/Projects!$D$6,0)+IF(AND(Projects!$G$7="Yes",47&gt;=Projects!$C$7,47&lt;Projects!$C$7+Projects!$D$7),Projects!$B$7*Assumptions!$B$11/Projects!$D$7,0)+IF(AND(Projects!$G$8="Yes",47&gt;=Projects!$C$8,47&lt;Projects!$C$8+Projects!$D$8),Projects!$B$8*Assumptions!$B$11/Projects!$D$8,0)+IF(AND(Projects!$G$9="Yes",47&gt;=Projects!$C$9,47&lt;Projects!$C$9+Projects!$D$9),Projects!$B$9*Assumptions!$B$11/Projects!$D$9,0)+IF(AND(Projects!$G$10="Yes",47&gt;=Projects!$C$10,47&lt;Projects!$C$10+Projects!$D$10),Projects!$B$10*Assumptions!$B$11/Projects!$D$10,0)+IF(AND(Projects!$G$11="Yes",47&gt;=Projects!$C$11,47&lt;Projects!$C$11+Projects!$D$11),Projects!$B$11*Assumptions!$B$11/Projects!$D$11,0)+IF(AND(Projects!$G$12="Yes",47&gt;=Projects!$C$12,47&lt;Projects!$C$12+Projects!$D$12),Projects!$B$12*Assumptions!$B$11/Projects!$D$12,0)+IF(AND(Projects!$G$13="Yes",47&gt;=Projects!$C$13,47&lt;Projects!$C$13+Projects!$D$13),Projects!$B$13*Assumptions!$B$11/Projects!$D$13,0)+IF(AND(Projects!$G$14="Yes",47&gt;=Projects!$C$14,47&lt;Projects!$C$14+Projects!$D$14),Projects!$B$14*Assumptions!$B$11/Projects!$D$14,0)+IF(AND(Projects!$G$15="Yes",47&gt;=Projects!$C$15,47&lt;Projects!$C$15+Projects!$D$15),Projects!$B$15*Assumptions!$B$11/Projects!$D$15,0)+IF(AND(Projects!$G$16="Yes",47&gt;=Projects!$C$16,47&lt;Projects!$C$16+Projects!$D$16),Projects!$B$16*Assumptions!$B$11/Projects!$D$16,0)</f>
        <v>67134.1428571429</v>
      </c>
      <c r="AX9" s="10" t="n">
        <f aca="false">IF(AND(Projects!$G$2="Yes",48&gt;=Projects!$C$2,48&lt;Projects!$C$2+Projects!$D$2),243841/Projects!$D$2,0)+IF(AND(Projects!$G$3="Yes",48&gt;=Projects!$C$3,48&lt;Projects!$C$3+Projects!$D$3),950275/Projects!$D$3,0)+IF(AND(Projects!$G$4="Yes",48&gt;=Projects!$C$4,48&lt;Projects!$C$4+Projects!$D$4),Projects!$B$4*Assumptions!$B$11/Projects!$D$4,0)+IF(AND(Projects!$G$5="Yes",48&gt;=Projects!$C$5,48&lt;Projects!$C$5+Projects!$D$5),Projects!$B$5*Assumptions!$B$11/Projects!$D$5,0)+IF(AND(Projects!$G$6="Yes",48&gt;=Projects!$C$6,48&lt;Projects!$C$6+Projects!$D$6),330760/Projects!$D$6,0)+IF(AND(Projects!$G$7="Yes",48&gt;=Projects!$C$7,48&lt;Projects!$C$7+Projects!$D$7),Projects!$B$7*Assumptions!$B$11/Projects!$D$7,0)+IF(AND(Projects!$G$8="Yes",48&gt;=Projects!$C$8,48&lt;Projects!$C$8+Projects!$D$8),Projects!$B$8*Assumptions!$B$11/Projects!$D$8,0)+IF(AND(Projects!$G$9="Yes",48&gt;=Projects!$C$9,48&lt;Projects!$C$9+Projects!$D$9),Projects!$B$9*Assumptions!$B$11/Projects!$D$9,0)+IF(AND(Projects!$G$10="Yes",48&gt;=Projects!$C$10,48&lt;Projects!$C$10+Projects!$D$10),Projects!$B$10*Assumptions!$B$11/Projects!$D$10,0)+IF(AND(Projects!$G$11="Yes",48&gt;=Projects!$C$11,48&lt;Projects!$C$11+Projects!$D$11),Projects!$B$11*Assumptions!$B$11/Projects!$D$11,0)+IF(AND(Projects!$G$12="Yes",48&gt;=Projects!$C$12,48&lt;Projects!$C$12+Projects!$D$12),Projects!$B$12*Assumptions!$B$11/Projects!$D$12,0)+IF(AND(Projects!$G$13="Yes",48&gt;=Projects!$C$13,48&lt;Projects!$C$13+Projects!$D$13),Projects!$B$13*Assumptions!$B$11/Projects!$D$13,0)+IF(AND(Projects!$G$14="Yes",48&gt;=Projects!$C$14,48&lt;Projects!$C$14+Projects!$D$14),Projects!$B$14*Assumptions!$B$11/Projects!$D$14,0)+IF(AND(Projects!$G$15="Yes",48&gt;=Projects!$C$15,48&lt;Projects!$C$15+Projects!$D$15),Projects!$B$15*Assumptions!$B$11/Projects!$D$15,0)+IF(AND(Projects!$G$16="Yes",48&gt;=Projects!$C$16,48&lt;Projects!$C$16+Projects!$D$16),Projects!$B$16*Assumptions!$B$11/Projects!$D$16,0)</f>
        <v>67134.1428571429</v>
      </c>
      <c r="AY9" s="10" t="n">
        <f aca="false">IF(AND(Projects!$G$2="Yes",49&gt;=Projects!$C$2,49&lt;Projects!$C$2+Projects!$D$2),243841/Projects!$D$2,0)+IF(AND(Projects!$G$3="Yes",49&gt;=Projects!$C$3,49&lt;Projects!$C$3+Projects!$D$3),950275/Projects!$D$3,0)+IF(AND(Projects!$G$4="Yes",49&gt;=Projects!$C$4,49&lt;Projects!$C$4+Projects!$D$4),Projects!$B$4*Assumptions!$B$11/Projects!$D$4,0)+IF(AND(Projects!$G$5="Yes",49&gt;=Projects!$C$5,49&lt;Projects!$C$5+Projects!$D$5),Projects!$B$5*Assumptions!$B$11/Projects!$D$5,0)+IF(AND(Projects!$G$6="Yes",49&gt;=Projects!$C$6,49&lt;Projects!$C$6+Projects!$D$6),330760/Projects!$D$6,0)+IF(AND(Projects!$G$7="Yes",49&gt;=Projects!$C$7,49&lt;Projects!$C$7+Projects!$D$7),Projects!$B$7*Assumptions!$B$11/Projects!$D$7,0)+IF(AND(Projects!$G$8="Yes",49&gt;=Projects!$C$8,49&lt;Projects!$C$8+Projects!$D$8),Projects!$B$8*Assumptions!$B$11/Projects!$D$8,0)+IF(AND(Projects!$G$9="Yes",49&gt;=Projects!$C$9,49&lt;Projects!$C$9+Projects!$D$9),Projects!$B$9*Assumptions!$B$11/Projects!$D$9,0)+IF(AND(Projects!$G$10="Yes",49&gt;=Projects!$C$10,49&lt;Projects!$C$10+Projects!$D$10),Projects!$B$10*Assumptions!$B$11/Projects!$D$10,0)+IF(AND(Projects!$G$11="Yes",49&gt;=Projects!$C$11,49&lt;Projects!$C$11+Projects!$D$11),Projects!$B$11*Assumptions!$B$11/Projects!$D$11,0)+IF(AND(Projects!$G$12="Yes",49&gt;=Projects!$C$12,49&lt;Projects!$C$12+Projects!$D$12),Projects!$B$12*Assumptions!$B$11/Projects!$D$12,0)+IF(AND(Projects!$G$13="Yes",49&gt;=Projects!$C$13,49&lt;Projects!$C$13+Projects!$D$13),Projects!$B$13*Assumptions!$B$11/Projects!$D$13,0)+IF(AND(Projects!$G$14="Yes",49&gt;=Projects!$C$14,49&lt;Projects!$C$14+Projects!$D$14),Projects!$B$14*Assumptions!$B$11/Projects!$D$14,0)+IF(AND(Projects!$G$15="Yes",49&gt;=Projects!$C$15,49&lt;Projects!$C$15+Projects!$D$15),Projects!$B$15*Assumptions!$B$11/Projects!$D$15,0)+IF(AND(Projects!$G$16="Yes",49&gt;=Projects!$C$16,49&lt;Projects!$C$16+Projects!$D$16),Projects!$B$16*Assumptions!$B$11/Projects!$D$16,0)</f>
        <v>67134.1428571429</v>
      </c>
      <c r="AZ9" s="10" t="n">
        <f aca="false">IF(AND(Projects!$G$2="Yes",50&gt;=Projects!$C$2,50&lt;Projects!$C$2+Projects!$D$2),243841/Projects!$D$2,0)+IF(AND(Projects!$G$3="Yes",50&gt;=Projects!$C$3,50&lt;Projects!$C$3+Projects!$D$3),950275/Projects!$D$3,0)+IF(AND(Projects!$G$4="Yes",50&gt;=Projects!$C$4,50&lt;Projects!$C$4+Projects!$D$4),Projects!$B$4*Assumptions!$B$11/Projects!$D$4,0)+IF(AND(Projects!$G$5="Yes",50&gt;=Projects!$C$5,50&lt;Projects!$C$5+Projects!$D$5),Projects!$B$5*Assumptions!$B$11/Projects!$D$5,0)+IF(AND(Projects!$G$6="Yes",50&gt;=Projects!$C$6,50&lt;Projects!$C$6+Projects!$D$6),330760/Projects!$D$6,0)+IF(AND(Projects!$G$7="Yes",50&gt;=Projects!$C$7,50&lt;Projects!$C$7+Projects!$D$7),Projects!$B$7*Assumptions!$B$11/Projects!$D$7,0)+IF(AND(Projects!$G$8="Yes",50&gt;=Projects!$C$8,50&lt;Projects!$C$8+Projects!$D$8),Projects!$B$8*Assumptions!$B$11/Projects!$D$8,0)+IF(AND(Projects!$G$9="Yes",50&gt;=Projects!$C$9,50&lt;Projects!$C$9+Projects!$D$9),Projects!$B$9*Assumptions!$B$11/Projects!$D$9,0)+IF(AND(Projects!$G$10="Yes",50&gt;=Projects!$C$10,50&lt;Projects!$C$10+Projects!$D$10),Projects!$B$10*Assumptions!$B$11/Projects!$D$10,0)+IF(AND(Projects!$G$11="Yes",50&gt;=Projects!$C$11,50&lt;Projects!$C$11+Projects!$D$11),Projects!$B$11*Assumptions!$B$11/Projects!$D$11,0)+IF(AND(Projects!$G$12="Yes",50&gt;=Projects!$C$12,50&lt;Projects!$C$12+Projects!$D$12),Projects!$B$12*Assumptions!$B$11/Projects!$D$12,0)+IF(AND(Projects!$G$13="Yes",50&gt;=Projects!$C$13,50&lt;Projects!$C$13+Projects!$D$13),Projects!$B$13*Assumptions!$B$11/Projects!$D$13,0)+IF(AND(Projects!$G$14="Yes",50&gt;=Projects!$C$14,50&lt;Projects!$C$14+Projects!$D$14),Projects!$B$14*Assumptions!$B$11/Projects!$D$14,0)+IF(AND(Projects!$G$15="Yes",50&gt;=Projects!$C$15,50&lt;Projects!$C$15+Projects!$D$15),Projects!$B$15*Assumptions!$B$11/Projects!$D$15,0)+IF(AND(Projects!$G$16="Yes",50&gt;=Projects!$C$16,50&lt;Projects!$C$16+Projects!$D$16),Projects!$B$16*Assumptions!$B$11/Projects!$D$16,0)</f>
        <v>67134.1428571429</v>
      </c>
      <c r="BA9" s="10" t="n">
        <f aca="false">IF(AND(Projects!$G$2="Yes",51&gt;=Projects!$C$2,51&lt;Projects!$C$2+Projects!$D$2),243841/Projects!$D$2,0)+IF(AND(Projects!$G$3="Yes",51&gt;=Projects!$C$3,51&lt;Projects!$C$3+Projects!$D$3),950275/Projects!$D$3,0)+IF(AND(Projects!$G$4="Yes",51&gt;=Projects!$C$4,51&lt;Projects!$C$4+Projects!$D$4),Projects!$B$4*Assumptions!$B$11/Projects!$D$4,0)+IF(AND(Projects!$G$5="Yes",51&gt;=Projects!$C$5,51&lt;Projects!$C$5+Projects!$D$5),Projects!$B$5*Assumptions!$B$11/Projects!$D$5,0)+IF(AND(Projects!$G$6="Yes",51&gt;=Projects!$C$6,51&lt;Projects!$C$6+Projects!$D$6),330760/Projects!$D$6,0)+IF(AND(Projects!$G$7="Yes",51&gt;=Projects!$C$7,51&lt;Projects!$C$7+Projects!$D$7),Projects!$B$7*Assumptions!$B$11/Projects!$D$7,0)+IF(AND(Projects!$G$8="Yes",51&gt;=Projects!$C$8,51&lt;Projects!$C$8+Projects!$D$8),Projects!$B$8*Assumptions!$B$11/Projects!$D$8,0)+IF(AND(Projects!$G$9="Yes",51&gt;=Projects!$C$9,51&lt;Projects!$C$9+Projects!$D$9),Projects!$B$9*Assumptions!$B$11/Projects!$D$9,0)+IF(AND(Projects!$G$10="Yes",51&gt;=Projects!$C$10,51&lt;Projects!$C$10+Projects!$D$10),Projects!$B$10*Assumptions!$B$11/Projects!$D$10,0)+IF(AND(Projects!$G$11="Yes",51&gt;=Projects!$C$11,51&lt;Projects!$C$11+Projects!$D$11),Projects!$B$11*Assumptions!$B$11/Projects!$D$11,0)+IF(AND(Projects!$G$12="Yes",51&gt;=Projects!$C$12,51&lt;Projects!$C$12+Projects!$D$12),Projects!$B$12*Assumptions!$B$11/Projects!$D$12,0)+IF(AND(Projects!$G$13="Yes",51&gt;=Projects!$C$13,51&lt;Projects!$C$13+Projects!$D$13),Projects!$B$13*Assumptions!$B$11/Projects!$D$13,0)+IF(AND(Projects!$G$14="Yes",51&gt;=Projects!$C$14,51&lt;Projects!$C$14+Projects!$D$14),Projects!$B$14*Assumptions!$B$11/Projects!$D$14,0)+IF(AND(Projects!$G$15="Yes",51&gt;=Projects!$C$15,51&lt;Projects!$C$15+Projects!$D$15),Projects!$B$15*Assumptions!$B$11/Projects!$D$15,0)+IF(AND(Projects!$G$16="Yes",51&gt;=Projects!$C$16,51&lt;Projects!$C$16+Projects!$D$16),Projects!$B$16*Assumptions!$B$11/Projects!$D$16,0)</f>
        <v>67134.1428571429</v>
      </c>
      <c r="BB9" s="10" t="n">
        <f aca="false">IF(AND(Projects!$G$2="Yes",52&gt;=Projects!$C$2,52&lt;Projects!$C$2+Projects!$D$2),243841/Projects!$D$2,0)+IF(AND(Projects!$G$3="Yes",52&gt;=Projects!$C$3,52&lt;Projects!$C$3+Projects!$D$3),950275/Projects!$D$3,0)+IF(AND(Projects!$G$4="Yes",52&gt;=Projects!$C$4,52&lt;Projects!$C$4+Projects!$D$4),Projects!$B$4*Assumptions!$B$11/Projects!$D$4,0)+IF(AND(Projects!$G$5="Yes",52&gt;=Projects!$C$5,52&lt;Projects!$C$5+Projects!$D$5),Projects!$B$5*Assumptions!$B$11/Projects!$D$5,0)+IF(AND(Projects!$G$6="Yes",52&gt;=Projects!$C$6,52&lt;Projects!$C$6+Projects!$D$6),330760/Projects!$D$6,0)+IF(AND(Projects!$G$7="Yes",52&gt;=Projects!$C$7,52&lt;Projects!$C$7+Projects!$D$7),Projects!$B$7*Assumptions!$B$11/Projects!$D$7,0)+IF(AND(Projects!$G$8="Yes",52&gt;=Projects!$C$8,52&lt;Projects!$C$8+Projects!$D$8),Projects!$B$8*Assumptions!$B$11/Projects!$D$8,0)+IF(AND(Projects!$G$9="Yes",52&gt;=Projects!$C$9,52&lt;Projects!$C$9+Projects!$D$9),Projects!$B$9*Assumptions!$B$11/Projects!$D$9,0)+IF(AND(Projects!$G$10="Yes",52&gt;=Projects!$C$10,52&lt;Projects!$C$10+Projects!$D$10),Projects!$B$10*Assumptions!$B$11/Projects!$D$10,0)+IF(AND(Projects!$G$11="Yes",52&gt;=Projects!$C$11,52&lt;Projects!$C$11+Projects!$D$11),Projects!$B$11*Assumptions!$B$11/Projects!$D$11,0)+IF(AND(Projects!$G$12="Yes",52&gt;=Projects!$C$12,52&lt;Projects!$C$12+Projects!$D$12),Projects!$B$12*Assumptions!$B$11/Projects!$D$12,0)+IF(AND(Projects!$G$13="Yes",52&gt;=Projects!$C$13,52&lt;Projects!$C$13+Projects!$D$13),Projects!$B$13*Assumptions!$B$11/Projects!$D$13,0)+IF(AND(Projects!$G$14="Yes",52&gt;=Projects!$C$14,52&lt;Projects!$C$14+Projects!$D$14),Projects!$B$14*Assumptions!$B$11/Projects!$D$14,0)+IF(AND(Projects!$G$15="Yes",52&gt;=Projects!$C$15,52&lt;Projects!$C$15+Projects!$D$15),Projects!$B$15*Assumptions!$B$11/Projects!$D$15,0)+IF(AND(Projects!$G$16="Yes",52&gt;=Projects!$C$16,52&lt;Projects!$C$16+Projects!$D$16),Projects!$B$16*Assumptions!$B$11/Projects!$D$16,0)</f>
        <v>67134.1428571429</v>
      </c>
      <c r="BC9" s="10" t="n">
        <f aca="false">IF(AND(Projects!$G$2="Yes",53&gt;=Projects!$C$2,53&lt;Projects!$C$2+Projects!$D$2),243841/Projects!$D$2,0)+IF(AND(Projects!$G$3="Yes",53&gt;=Projects!$C$3,53&lt;Projects!$C$3+Projects!$D$3),950275/Projects!$D$3,0)+IF(AND(Projects!$G$4="Yes",53&gt;=Projects!$C$4,53&lt;Projects!$C$4+Projects!$D$4),Projects!$B$4*Assumptions!$B$11/Projects!$D$4,0)+IF(AND(Projects!$G$5="Yes",53&gt;=Projects!$C$5,53&lt;Projects!$C$5+Projects!$D$5),Projects!$B$5*Assumptions!$B$11/Projects!$D$5,0)+IF(AND(Projects!$G$6="Yes",53&gt;=Projects!$C$6,53&lt;Projects!$C$6+Projects!$D$6),330760/Projects!$D$6,0)+IF(AND(Projects!$G$7="Yes",53&gt;=Projects!$C$7,53&lt;Projects!$C$7+Projects!$D$7),Projects!$B$7*Assumptions!$B$11/Projects!$D$7,0)+IF(AND(Projects!$G$8="Yes",53&gt;=Projects!$C$8,53&lt;Projects!$C$8+Projects!$D$8),Projects!$B$8*Assumptions!$B$11/Projects!$D$8,0)+IF(AND(Projects!$G$9="Yes",53&gt;=Projects!$C$9,53&lt;Projects!$C$9+Projects!$D$9),Projects!$B$9*Assumptions!$B$11/Projects!$D$9,0)+IF(AND(Projects!$G$10="Yes",53&gt;=Projects!$C$10,53&lt;Projects!$C$10+Projects!$D$10),Projects!$B$10*Assumptions!$B$11/Projects!$D$10,0)+IF(AND(Projects!$G$11="Yes",53&gt;=Projects!$C$11,53&lt;Projects!$C$11+Projects!$D$11),Projects!$B$11*Assumptions!$B$11/Projects!$D$11,0)+IF(AND(Projects!$G$12="Yes",53&gt;=Projects!$C$12,53&lt;Projects!$C$12+Projects!$D$12),Projects!$B$12*Assumptions!$B$11/Projects!$D$12,0)+IF(AND(Projects!$G$13="Yes",53&gt;=Projects!$C$13,53&lt;Projects!$C$13+Projects!$D$13),Projects!$B$13*Assumptions!$B$11/Projects!$D$13,0)+IF(AND(Projects!$G$14="Yes",53&gt;=Projects!$C$14,53&lt;Projects!$C$14+Projects!$D$14),Projects!$B$14*Assumptions!$B$11/Projects!$D$14,0)+IF(AND(Projects!$G$15="Yes",53&gt;=Projects!$C$15,53&lt;Projects!$C$15+Projects!$D$15),Projects!$B$15*Assumptions!$B$11/Projects!$D$15,0)+IF(AND(Projects!$G$16="Yes",53&gt;=Projects!$C$16,53&lt;Projects!$C$16+Projects!$D$16),Projects!$B$16*Assumptions!$B$11/Projects!$D$16,0)</f>
        <v>67134.1428571429</v>
      </c>
      <c r="BD9" s="10" t="n">
        <f aca="false">IF(AND(Projects!$G$2="Yes",54&gt;=Projects!$C$2,54&lt;Projects!$C$2+Projects!$D$2),243841/Projects!$D$2,0)+IF(AND(Projects!$G$3="Yes",54&gt;=Projects!$C$3,54&lt;Projects!$C$3+Projects!$D$3),950275/Projects!$D$3,0)+IF(AND(Projects!$G$4="Yes",54&gt;=Projects!$C$4,54&lt;Projects!$C$4+Projects!$D$4),Projects!$B$4*Assumptions!$B$11/Projects!$D$4,0)+IF(AND(Projects!$G$5="Yes",54&gt;=Projects!$C$5,54&lt;Projects!$C$5+Projects!$D$5),Projects!$B$5*Assumptions!$B$11/Projects!$D$5,0)+IF(AND(Projects!$G$6="Yes",54&gt;=Projects!$C$6,54&lt;Projects!$C$6+Projects!$D$6),330760/Projects!$D$6,0)+IF(AND(Projects!$G$7="Yes",54&gt;=Projects!$C$7,54&lt;Projects!$C$7+Projects!$D$7),Projects!$B$7*Assumptions!$B$11/Projects!$D$7,0)+IF(AND(Projects!$G$8="Yes",54&gt;=Projects!$C$8,54&lt;Projects!$C$8+Projects!$D$8),Projects!$B$8*Assumptions!$B$11/Projects!$D$8,0)+IF(AND(Projects!$G$9="Yes",54&gt;=Projects!$C$9,54&lt;Projects!$C$9+Projects!$D$9),Projects!$B$9*Assumptions!$B$11/Projects!$D$9,0)+IF(AND(Projects!$G$10="Yes",54&gt;=Projects!$C$10,54&lt;Projects!$C$10+Projects!$D$10),Projects!$B$10*Assumptions!$B$11/Projects!$D$10,0)+IF(AND(Projects!$G$11="Yes",54&gt;=Projects!$C$11,54&lt;Projects!$C$11+Projects!$D$11),Projects!$B$11*Assumptions!$B$11/Projects!$D$11,0)+IF(AND(Projects!$G$12="Yes",54&gt;=Projects!$C$12,54&lt;Projects!$C$12+Projects!$D$12),Projects!$B$12*Assumptions!$B$11/Projects!$D$12,0)+IF(AND(Projects!$G$13="Yes",54&gt;=Projects!$C$13,54&lt;Projects!$C$13+Projects!$D$13),Projects!$B$13*Assumptions!$B$11/Projects!$D$13,0)+IF(AND(Projects!$G$14="Yes",54&gt;=Projects!$C$14,54&lt;Projects!$C$14+Projects!$D$14),Projects!$B$14*Assumptions!$B$11/Projects!$D$14,0)+IF(AND(Projects!$G$15="Yes",54&gt;=Projects!$C$15,54&lt;Projects!$C$15+Projects!$D$15),Projects!$B$15*Assumptions!$B$11/Projects!$D$15,0)+IF(AND(Projects!$G$16="Yes",54&gt;=Projects!$C$16,54&lt;Projects!$C$16+Projects!$D$16),Projects!$B$16*Assumptions!$B$11/Projects!$D$16,0)</f>
        <v>67134.1428571429</v>
      </c>
      <c r="BE9" s="10" t="n">
        <f aca="false">IF(AND(Projects!$G$2="Yes",55&gt;=Projects!$C$2,55&lt;Projects!$C$2+Projects!$D$2),243841/Projects!$D$2,0)+IF(AND(Projects!$G$3="Yes",55&gt;=Projects!$C$3,55&lt;Projects!$C$3+Projects!$D$3),950275/Projects!$D$3,0)+IF(AND(Projects!$G$4="Yes",55&gt;=Projects!$C$4,55&lt;Projects!$C$4+Projects!$D$4),Projects!$B$4*Assumptions!$B$11/Projects!$D$4,0)+IF(AND(Projects!$G$5="Yes",55&gt;=Projects!$C$5,55&lt;Projects!$C$5+Projects!$D$5),Projects!$B$5*Assumptions!$B$11/Projects!$D$5,0)+IF(AND(Projects!$G$6="Yes",55&gt;=Projects!$C$6,55&lt;Projects!$C$6+Projects!$D$6),330760/Projects!$D$6,0)+IF(AND(Projects!$G$7="Yes",55&gt;=Projects!$C$7,55&lt;Projects!$C$7+Projects!$D$7),Projects!$B$7*Assumptions!$B$11/Projects!$D$7,0)+IF(AND(Projects!$G$8="Yes",55&gt;=Projects!$C$8,55&lt;Projects!$C$8+Projects!$D$8),Projects!$B$8*Assumptions!$B$11/Projects!$D$8,0)+IF(AND(Projects!$G$9="Yes",55&gt;=Projects!$C$9,55&lt;Projects!$C$9+Projects!$D$9),Projects!$B$9*Assumptions!$B$11/Projects!$D$9,0)+IF(AND(Projects!$G$10="Yes",55&gt;=Projects!$C$10,55&lt;Projects!$C$10+Projects!$D$10),Projects!$B$10*Assumptions!$B$11/Projects!$D$10,0)+IF(AND(Projects!$G$11="Yes",55&gt;=Projects!$C$11,55&lt;Projects!$C$11+Projects!$D$11),Projects!$B$11*Assumptions!$B$11/Projects!$D$11,0)+IF(AND(Projects!$G$12="Yes",55&gt;=Projects!$C$12,55&lt;Projects!$C$12+Projects!$D$12),Projects!$B$12*Assumptions!$B$11/Projects!$D$12,0)+IF(AND(Projects!$G$13="Yes",55&gt;=Projects!$C$13,55&lt;Projects!$C$13+Projects!$D$13),Projects!$B$13*Assumptions!$B$11/Projects!$D$13,0)+IF(AND(Projects!$G$14="Yes",55&gt;=Projects!$C$14,55&lt;Projects!$C$14+Projects!$D$14),Projects!$B$14*Assumptions!$B$11/Projects!$D$14,0)+IF(AND(Projects!$G$15="Yes",55&gt;=Projects!$C$15,55&lt;Projects!$C$15+Projects!$D$15),Projects!$B$15*Assumptions!$B$11/Projects!$D$15,0)+IF(AND(Projects!$G$16="Yes",55&gt;=Projects!$C$16,55&lt;Projects!$C$16+Projects!$D$16),Projects!$B$16*Assumptions!$B$11/Projects!$D$16,0)</f>
        <v>67134.1428571429</v>
      </c>
      <c r="BF9" s="10" t="n">
        <f aca="false">IF(AND(Projects!$G$2="Yes",56&gt;=Projects!$C$2,56&lt;Projects!$C$2+Projects!$D$2),243841/Projects!$D$2,0)+IF(AND(Projects!$G$3="Yes",56&gt;=Projects!$C$3,56&lt;Projects!$C$3+Projects!$D$3),950275/Projects!$D$3,0)+IF(AND(Projects!$G$4="Yes",56&gt;=Projects!$C$4,56&lt;Projects!$C$4+Projects!$D$4),Projects!$B$4*Assumptions!$B$11/Projects!$D$4,0)+IF(AND(Projects!$G$5="Yes",56&gt;=Projects!$C$5,56&lt;Projects!$C$5+Projects!$D$5),Projects!$B$5*Assumptions!$B$11/Projects!$D$5,0)+IF(AND(Projects!$G$6="Yes",56&gt;=Projects!$C$6,56&lt;Projects!$C$6+Projects!$D$6),330760/Projects!$D$6,0)+IF(AND(Projects!$G$7="Yes",56&gt;=Projects!$C$7,56&lt;Projects!$C$7+Projects!$D$7),Projects!$B$7*Assumptions!$B$11/Projects!$D$7,0)+IF(AND(Projects!$G$8="Yes",56&gt;=Projects!$C$8,56&lt;Projects!$C$8+Projects!$D$8),Projects!$B$8*Assumptions!$B$11/Projects!$D$8,0)+IF(AND(Projects!$G$9="Yes",56&gt;=Projects!$C$9,56&lt;Projects!$C$9+Projects!$D$9),Projects!$B$9*Assumptions!$B$11/Projects!$D$9,0)+IF(AND(Projects!$G$10="Yes",56&gt;=Projects!$C$10,56&lt;Projects!$C$10+Projects!$D$10),Projects!$B$10*Assumptions!$B$11/Projects!$D$10,0)+IF(AND(Projects!$G$11="Yes",56&gt;=Projects!$C$11,56&lt;Projects!$C$11+Projects!$D$11),Projects!$B$11*Assumptions!$B$11/Projects!$D$11,0)+IF(AND(Projects!$G$12="Yes",56&gt;=Projects!$C$12,56&lt;Projects!$C$12+Projects!$D$12),Projects!$B$12*Assumptions!$B$11/Projects!$D$12,0)+IF(AND(Projects!$G$13="Yes",56&gt;=Projects!$C$13,56&lt;Projects!$C$13+Projects!$D$13),Projects!$B$13*Assumptions!$B$11/Projects!$D$13,0)+IF(AND(Projects!$G$14="Yes",56&gt;=Projects!$C$14,56&lt;Projects!$C$14+Projects!$D$14),Projects!$B$14*Assumptions!$B$11/Projects!$D$14,0)+IF(AND(Projects!$G$15="Yes",56&gt;=Projects!$C$15,56&lt;Projects!$C$15+Projects!$D$15),Projects!$B$15*Assumptions!$B$11/Projects!$D$15,0)+IF(AND(Projects!$G$16="Yes",56&gt;=Projects!$C$16,56&lt;Projects!$C$16+Projects!$D$16),Projects!$B$16*Assumptions!$B$11/Projects!$D$16,0)</f>
        <v>67134.1428571429</v>
      </c>
      <c r="BG9" s="10" t="n">
        <f aca="false">IF(AND(Projects!$G$2="Yes",57&gt;=Projects!$C$2,57&lt;Projects!$C$2+Projects!$D$2),243841/Projects!$D$2,0)+IF(AND(Projects!$G$3="Yes",57&gt;=Projects!$C$3,57&lt;Projects!$C$3+Projects!$D$3),950275/Projects!$D$3,0)+IF(AND(Projects!$G$4="Yes",57&gt;=Projects!$C$4,57&lt;Projects!$C$4+Projects!$D$4),Projects!$B$4*Assumptions!$B$11/Projects!$D$4,0)+IF(AND(Projects!$G$5="Yes",57&gt;=Projects!$C$5,57&lt;Projects!$C$5+Projects!$D$5),Projects!$B$5*Assumptions!$B$11/Projects!$D$5,0)+IF(AND(Projects!$G$6="Yes",57&gt;=Projects!$C$6,57&lt;Projects!$C$6+Projects!$D$6),330760/Projects!$D$6,0)+IF(AND(Projects!$G$7="Yes",57&gt;=Projects!$C$7,57&lt;Projects!$C$7+Projects!$D$7),Projects!$B$7*Assumptions!$B$11/Projects!$D$7,0)+IF(AND(Projects!$G$8="Yes",57&gt;=Projects!$C$8,57&lt;Projects!$C$8+Projects!$D$8),Projects!$B$8*Assumptions!$B$11/Projects!$D$8,0)+IF(AND(Projects!$G$9="Yes",57&gt;=Projects!$C$9,57&lt;Projects!$C$9+Projects!$D$9),Projects!$B$9*Assumptions!$B$11/Projects!$D$9,0)+IF(AND(Projects!$G$10="Yes",57&gt;=Projects!$C$10,57&lt;Projects!$C$10+Projects!$D$10),Projects!$B$10*Assumptions!$B$11/Projects!$D$10,0)+IF(AND(Projects!$G$11="Yes",57&gt;=Projects!$C$11,57&lt;Projects!$C$11+Projects!$D$11),Projects!$B$11*Assumptions!$B$11/Projects!$D$11,0)+IF(AND(Projects!$G$12="Yes",57&gt;=Projects!$C$12,57&lt;Projects!$C$12+Projects!$D$12),Projects!$B$12*Assumptions!$B$11/Projects!$D$12,0)+IF(AND(Projects!$G$13="Yes",57&gt;=Projects!$C$13,57&lt;Projects!$C$13+Projects!$D$13),Projects!$B$13*Assumptions!$B$11/Projects!$D$13,0)+IF(AND(Projects!$G$14="Yes",57&gt;=Projects!$C$14,57&lt;Projects!$C$14+Projects!$D$14),Projects!$B$14*Assumptions!$B$11/Projects!$D$14,0)+IF(AND(Projects!$G$15="Yes",57&gt;=Projects!$C$15,57&lt;Projects!$C$15+Projects!$D$15),Projects!$B$15*Assumptions!$B$11/Projects!$D$15,0)+IF(AND(Projects!$G$16="Yes",57&gt;=Projects!$C$16,57&lt;Projects!$C$16+Projects!$D$16),Projects!$B$16*Assumptions!$B$11/Projects!$D$16,0)</f>
        <v>0</v>
      </c>
      <c r="BH9" s="10" t="n">
        <f aca="false">IF(AND(Projects!$G$2="Yes",58&gt;=Projects!$C$2,58&lt;Projects!$C$2+Projects!$D$2),243841/Projects!$D$2,0)+IF(AND(Projects!$G$3="Yes",58&gt;=Projects!$C$3,58&lt;Projects!$C$3+Projects!$D$3),950275/Projects!$D$3,0)+IF(AND(Projects!$G$4="Yes",58&gt;=Projects!$C$4,58&lt;Projects!$C$4+Projects!$D$4),Projects!$B$4*Assumptions!$B$11/Projects!$D$4,0)+IF(AND(Projects!$G$5="Yes",58&gt;=Projects!$C$5,58&lt;Projects!$C$5+Projects!$D$5),Projects!$B$5*Assumptions!$B$11/Projects!$D$5,0)+IF(AND(Projects!$G$6="Yes",58&gt;=Projects!$C$6,58&lt;Projects!$C$6+Projects!$D$6),330760/Projects!$D$6,0)+IF(AND(Projects!$G$7="Yes",58&gt;=Projects!$C$7,58&lt;Projects!$C$7+Projects!$D$7),Projects!$B$7*Assumptions!$B$11/Projects!$D$7,0)+IF(AND(Projects!$G$8="Yes",58&gt;=Projects!$C$8,58&lt;Projects!$C$8+Projects!$D$8),Projects!$B$8*Assumptions!$B$11/Projects!$D$8,0)+IF(AND(Projects!$G$9="Yes",58&gt;=Projects!$C$9,58&lt;Projects!$C$9+Projects!$D$9),Projects!$B$9*Assumptions!$B$11/Projects!$D$9,0)+IF(AND(Projects!$G$10="Yes",58&gt;=Projects!$C$10,58&lt;Projects!$C$10+Projects!$D$10),Projects!$B$10*Assumptions!$B$11/Projects!$D$10,0)+IF(AND(Projects!$G$11="Yes",58&gt;=Projects!$C$11,58&lt;Projects!$C$11+Projects!$D$11),Projects!$B$11*Assumptions!$B$11/Projects!$D$11,0)+IF(AND(Projects!$G$12="Yes",58&gt;=Projects!$C$12,58&lt;Projects!$C$12+Projects!$D$12),Projects!$B$12*Assumptions!$B$11/Projects!$D$12,0)+IF(AND(Projects!$G$13="Yes",58&gt;=Projects!$C$13,58&lt;Projects!$C$13+Projects!$D$13),Projects!$B$13*Assumptions!$B$11/Projects!$D$13,0)+IF(AND(Projects!$G$14="Yes",58&gt;=Projects!$C$14,58&lt;Projects!$C$14+Projects!$D$14),Projects!$B$14*Assumptions!$B$11/Projects!$D$14,0)+IF(AND(Projects!$G$15="Yes",58&gt;=Projects!$C$15,58&lt;Projects!$C$15+Projects!$D$15),Projects!$B$15*Assumptions!$B$11/Projects!$D$15,0)+IF(AND(Projects!$G$16="Yes",58&gt;=Projects!$C$16,58&lt;Projects!$C$16+Projects!$D$16),Projects!$B$16*Assumptions!$B$11/Projects!$D$16,0)</f>
        <v>0</v>
      </c>
      <c r="BI9" s="10" t="n">
        <f aca="false">IF(AND(Projects!$G$2="Yes",59&gt;=Projects!$C$2,59&lt;Projects!$C$2+Projects!$D$2),243841/Projects!$D$2,0)+IF(AND(Projects!$G$3="Yes",59&gt;=Projects!$C$3,59&lt;Projects!$C$3+Projects!$D$3),950275/Projects!$D$3,0)+IF(AND(Projects!$G$4="Yes",59&gt;=Projects!$C$4,59&lt;Projects!$C$4+Projects!$D$4),Projects!$B$4*Assumptions!$B$11/Projects!$D$4,0)+IF(AND(Projects!$G$5="Yes",59&gt;=Projects!$C$5,59&lt;Projects!$C$5+Projects!$D$5),Projects!$B$5*Assumptions!$B$11/Projects!$D$5,0)+IF(AND(Projects!$G$6="Yes",59&gt;=Projects!$C$6,59&lt;Projects!$C$6+Projects!$D$6),330760/Projects!$D$6,0)+IF(AND(Projects!$G$7="Yes",59&gt;=Projects!$C$7,59&lt;Projects!$C$7+Projects!$D$7),Projects!$B$7*Assumptions!$B$11/Projects!$D$7,0)+IF(AND(Projects!$G$8="Yes",59&gt;=Projects!$C$8,59&lt;Projects!$C$8+Projects!$D$8),Projects!$B$8*Assumptions!$B$11/Projects!$D$8,0)+IF(AND(Projects!$G$9="Yes",59&gt;=Projects!$C$9,59&lt;Projects!$C$9+Projects!$D$9),Projects!$B$9*Assumptions!$B$11/Projects!$D$9,0)+IF(AND(Projects!$G$10="Yes",59&gt;=Projects!$C$10,59&lt;Projects!$C$10+Projects!$D$10),Projects!$B$10*Assumptions!$B$11/Projects!$D$10,0)+IF(AND(Projects!$G$11="Yes",59&gt;=Projects!$C$11,59&lt;Projects!$C$11+Projects!$D$11),Projects!$B$11*Assumptions!$B$11/Projects!$D$11,0)+IF(AND(Projects!$G$12="Yes",59&gt;=Projects!$C$12,59&lt;Projects!$C$12+Projects!$D$12),Projects!$B$12*Assumptions!$B$11/Projects!$D$12,0)+IF(AND(Projects!$G$13="Yes",59&gt;=Projects!$C$13,59&lt;Projects!$C$13+Projects!$D$13),Projects!$B$13*Assumptions!$B$11/Projects!$D$13,0)+IF(AND(Projects!$G$14="Yes",59&gt;=Projects!$C$14,59&lt;Projects!$C$14+Projects!$D$14),Projects!$B$14*Assumptions!$B$11/Projects!$D$14,0)+IF(AND(Projects!$G$15="Yes",59&gt;=Projects!$C$15,59&lt;Projects!$C$15+Projects!$D$15),Projects!$B$15*Assumptions!$B$11/Projects!$D$15,0)+IF(AND(Projects!$G$16="Yes",59&gt;=Projects!$C$16,59&lt;Projects!$C$16+Projects!$D$16),Projects!$B$16*Assumptions!$B$11/Projects!$D$16,0)</f>
        <v>0</v>
      </c>
      <c r="BJ9" s="10" t="n">
        <f aca="false">IF(AND(Projects!$G$2="Yes",60&gt;=Projects!$C$2,60&lt;Projects!$C$2+Projects!$D$2),243841/Projects!$D$2,0)+IF(AND(Projects!$G$3="Yes",60&gt;=Projects!$C$3,60&lt;Projects!$C$3+Projects!$D$3),950275/Projects!$D$3,0)+IF(AND(Projects!$G$4="Yes",60&gt;=Projects!$C$4,60&lt;Projects!$C$4+Projects!$D$4),Projects!$B$4*Assumptions!$B$11/Projects!$D$4,0)+IF(AND(Projects!$G$5="Yes",60&gt;=Projects!$C$5,60&lt;Projects!$C$5+Projects!$D$5),Projects!$B$5*Assumptions!$B$11/Projects!$D$5,0)+IF(AND(Projects!$G$6="Yes",60&gt;=Projects!$C$6,60&lt;Projects!$C$6+Projects!$D$6),330760/Projects!$D$6,0)+IF(AND(Projects!$G$7="Yes",60&gt;=Projects!$C$7,60&lt;Projects!$C$7+Projects!$D$7),Projects!$B$7*Assumptions!$B$11/Projects!$D$7,0)+IF(AND(Projects!$G$8="Yes",60&gt;=Projects!$C$8,60&lt;Projects!$C$8+Projects!$D$8),Projects!$B$8*Assumptions!$B$11/Projects!$D$8,0)+IF(AND(Projects!$G$9="Yes",60&gt;=Projects!$C$9,60&lt;Projects!$C$9+Projects!$D$9),Projects!$B$9*Assumptions!$B$11/Projects!$D$9,0)+IF(AND(Projects!$G$10="Yes",60&gt;=Projects!$C$10,60&lt;Projects!$C$10+Projects!$D$10),Projects!$B$10*Assumptions!$B$11/Projects!$D$10,0)+IF(AND(Projects!$G$11="Yes",60&gt;=Projects!$C$11,60&lt;Projects!$C$11+Projects!$D$11),Projects!$B$11*Assumptions!$B$11/Projects!$D$11,0)+IF(AND(Projects!$G$12="Yes",60&gt;=Projects!$C$12,60&lt;Projects!$C$12+Projects!$D$12),Projects!$B$12*Assumptions!$B$11/Projects!$D$12,0)+IF(AND(Projects!$G$13="Yes",60&gt;=Projects!$C$13,60&lt;Projects!$C$13+Projects!$D$13),Projects!$B$13*Assumptions!$B$11/Projects!$D$13,0)+IF(AND(Projects!$G$14="Yes",60&gt;=Projects!$C$14,60&lt;Projects!$C$14+Projects!$D$14),Projects!$B$14*Assumptions!$B$11/Projects!$D$14,0)+IF(AND(Projects!$G$15="Yes",60&gt;=Projects!$C$15,60&lt;Projects!$C$15+Projects!$D$15),Projects!$B$15*Assumptions!$B$11/Projects!$D$15,0)+IF(AND(Projects!$G$16="Yes",60&gt;=Projects!$C$16,60&lt;Projects!$C$16+Projects!$D$16),Projects!$B$16*Assumptions!$B$11/Projects!$D$16,0)</f>
        <v>0</v>
      </c>
      <c r="BK9" s="10" t="n">
        <f aca="false">IF(AND(Projects!$G$2="Yes",61&gt;=Projects!$C$2,61&lt;Projects!$C$2+Projects!$D$2),243841/Projects!$D$2,0)+IF(AND(Projects!$G$3="Yes",61&gt;=Projects!$C$3,61&lt;Projects!$C$3+Projects!$D$3),950275/Projects!$D$3,0)+IF(AND(Projects!$G$4="Yes",61&gt;=Projects!$C$4,61&lt;Projects!$C$4+Projects!$D$4),Projects!$B$4*Assumptions!$B$11/Projects!$D$4,0)+IF(AND(Projects!$G$5="Yes",61&gt;=Projects!$C$5,61&lt;Projects!$C$5+Projects!$D$5),Projects!$B$5*Assumptions!$B$11/Projects!$D$5,0)+IF(AND(Projects!$G$6="Yes",61&gt;=Projects!$C$6,61&lt;Projects!$C$6+Projects!$D$6),330760/Projects!$D$6,0)+IF(AND(Projects!$G$7="Yes",61&gt;=Projects!$C$7,61&lt;Projects!$C$7+Projects!$D$7),Projects!$B$7*Assumptions!$B$11/Projects!$D$7,0)+IF(AND(Projects!$G$8="Yes",61&gt;=Projects!$C$8,61&lt;Projects!$C$8+Projects!$D$8),Projects!$B$8*Assumptions!$B$11/Projects!$D$8,0)+IF(AND(Projects!$G$9="Yes",61&gt;=Projects!$C$9,61&lt;Projects!$C$9+Projects!$D$9),Projects!$B$9*Assumptions!$B$11/Projects!$D$9,0)+IF(AND(Projects!$G$10="Yes",61&gt;=Projects!$C$10,61&lt;Projects!$C$10+Projects!$D$10),Projects!$B$10*Assumptions!$B$11/Projects!$D$10,0)+IF(AND(Projects!$G$11="Yes",61&gt;=Projects!$C$11,61&lt;Projects!$C$11+Projects!$D$11),Projects!$B$11*Assumptions!$B$11/Projects!$D$11,0)+IF(AND(Projects!$G$12="Yes",61&gt;=Projects!$C$12,61&lt;Projects!$C$12+Projects!$D$12),Projects!$B$12*Assumptions!$B$11/Projects!$D$12,0)+IF(AND(Projects!$G$13="Yes",61&gt;=Projects!$C$13,61&lt;Projects!$C$13+Projects!$D$13),Projects!$B$13*Assumptions!$B$11/Projects!$D$13,0)+IF(AND(Projects!$G$14="Yes",61&gt;=Projects!$C$14,61&lt;Projects!$C$14+Projects!$D$14),Projects!$B$14*Assumptions!$B$11/Projects!$D$14,0)+IF(AND(Projects!$G$15="Yes",61&gt;=Projects!$C$15,61&lt;Projects!$C$15+Projects!$D$15),Projects!$B$15*Assumptions!$B$11/Projects!$D$15,0)+IF(AND(Projects!$G$16="Yes",61&gt;=Projects!$C$16,61&lt;Projects!$C$16+Projects!$D$16),Projects!$B$16*Assumptions!$B$11/Projects!$D$16,0)</f>
        <v>0</v>
      </c>
      <c r="BL9" s="10" t="n">
        <f aca="false">IF(AND(Projects!$G$2="Yes",62&gt;=Projects!$C$2,62&lt;Projects!$C$2+Projects!$D$2),243841/Projects!$D$2,0)+IF(AND(Projects!$G$3="Yes",62&gt;=Projects!$C$3,62&lt;Projects!$C$3+Projects!$D$3),950275/Projects!$D$3,0)+IF(AND(Projects!$G$4="Yes",62&gt;=Projects!$C$4,62&lt;Projects!$C$4+Projects!$D$4),Projects!$B$4*Assumptions!$B$11/Projects!$D$4,0)+IF(AND(Projects!$G$5="Yes",62&gt;=Projects!$C$5,62&lt;Projects!$C$5+Projects!$D$5),Projects!$B$5*Assumptions!$B$11/Projects!$D$5,0)+IF(AND(Projects!$G$6="Yes",62&gt;=Projects!$C$6,62&lt;Projects!$C$6+Projects!$D$6),330760/Projects!$D$6,0)+IF(AND(Projects!$G$7="Yes",62&gt;=Projects!$C$7,62&lt;Projects!$C$7+Projects!$D$7),Projects!$B$7*Assumptions!$B$11/Projects!$D$7,0)+IF(AND(Projects!$G$8="Yes",62&gt;=Projects!$C$8,62&lt;Projects!$C$8+Projects!$D$8),Projects!$B$8*Assumptions!$B$11/Projects!$D$8,0)+IF(AND(Projects!$G$9="Yes",62&gt;=Projects!$C$9,62&lt;Projects!$C$9+Projects!$D$9),Projects!$B$9*Assumptions!$B$11/Projects!$D$9,0)+IF(AND(Projects!$G$10="Yes",62&gt;=Projects!$C$10,62&lt;Projects!$C$10+Projects!$D$10),Projects!$B$10*Assumptions!$B$11/Projects!$D$10,0)+IF(AND(Projects!$G$11="Yes",62&gt;=Projects!$C$11,62&lt;Projects!$C$11+Projects!$D$11),Projects!$B$11*Assumptions!$B$11/Projects!$D$11,0)+IF(AND(Projects!$G$12="Yes",62&gt;=Projects!$C$12,62&lt;Projects!$C$12+Projects!$D$12),Projects!$B$12*Assumptions!$B$11/Projects!$D$12,0)+IF(AND(Projects!$G$13="Yes",62&gt;=Projects!$C$13,62&lt;Projects!$C$13+Projects!$D$13),Projects!$B$13*Assumptions!$B$11/Projects!$D$13,0)+IF(AND(Projects!$G$14="Yes",62&gt;=Projects!$C$14,62&lt;Projects!$C$14+Projects!$D$14),Projects!$B$14*Assumptions!$B$11/Projects!$D$14,0)+IF(AND(Projects!$G$15="Yes",62&gt;=Projects!$C$15,62&lt;Projects!$C$15+Projects!$D$15),Projects!$B$15*Assumptions!$B$11/Projects!$D$15,0)+IF(AND(Projects!$G$16="Yes",62&gt;=Projects!$C$16,62&lt;Projects!$C$16+Projects!$D$16),Projects!$B$16*Assumptions!$B$11/Projects!$D$16,0)</f>
        <v>0</v>
      </c>
      <c r="BM9" s="10" t="n">
        <f aca="false">IF(AND(Projects!$G$2="Yes",63&gt;=Projects!$C$2,63&lt;Projects!$C$2+Projects!$D$2),243841/Projects!$D$2,0)+IF(AND(Projects!$G$3="Yes",63&gt;=Projects!$C$3,63&lt;Projects!$C$3+Projects!$D$3),950275/Projects!$D$3,0)+IF(AND(Projects!$G$4="Yes",63&gt;=Projects!$C$4,63&lt;Projects!$C$4+Projects!$D$4),Projects!$B$4*Assumptions!$B$11/Projects!$D$4,0)+IF(AND(Projects!$G$5="Yes",63&gt;=Projects!$C$5,63&lt;Projects!$C$5+Projects!$D$5),Projects!$B$5*Assumptions!$B$11/Projects!$D$5,0)+IF(AND(Projects!$G$6="Yes",63&gt;=Projects!$C$6,63&lt;Projects!$C$6+Projects!$D$6),330760/Projects!$D$6,0)+IF(AND(Projects!$G$7="Yes",63&gt;=Projects!$C$7,63&lt;Projects!$C$7+Projects!$D$7),Projects!$B$7*Assumptions!$B$11/Projects!$D$7,0)+IF(AND(Projects!$G$8="Yes",63&gt;=Projects!$C$8,63&lt;Projects!$C$8+Projects!$D$8),Projects!$B$8*Assumptions!$B$11/Projects!$D$8,0)+IF(AND(Projects!$G$9="Yes",63&gt;=Projects!$C$9,63&lt;Projects!$C$9+Projects!$D$9),Projects!$B$9*Assumptions!$B$11/Projects!$D$9,0)+IF(AND(Projects!$G$10="Yes",63&gt;=Projects!$C$10,63&lt;Projects!$C$10+Projects!$D$10),Projects!$B$10*Assumptions!$B$11/Projects!$D$10,0)+IF(AND(Projects!$G$11="Yes",63&gt;=Projects!$C$11,63&lt;Projects!$C$11+Projects!$D$11),Projects!$B$11*Assumptions!$B$11/Projects!$D$11,0)+IF(AND(Projects!$G$12="Yes",63&gt;=Projects!$C$12,63&lt;Projects!$C$12+Projects!$D$12),Projects!$B$12*Assumptions!$B$11/Projects!$D$12,0)+IF(AND(Projects!$G$13="Yes",63&gt;=Projects!$C$13,63&lt;Projects!$C$13+Projects!$D$13),Projects!$B$13*Assumptions!$B$11/Projects!$D$13,0)+IF(AND(Projects!$G$14="Yes",63&gt;=Projects!$C$14,63&lt;Projects!$C$14+Projects!$D$14),Projects!$B$14*Assumptions!$B$11/Projects!$D$14,0)+IF(AND(Projects!$G$15="Yes",63&gt;=Projects!$C$15,63&lt;Projects!$C$15+Projects!$D$15),Projects!$B$15*Assumptions!$B$11/Projects!$D$15,0)+IF(AND(Projects!$G$16="Yes",63&gt;=Projects!$C$16,63&lt;Projects!$C$16+Projects!$D$16),Projects!$B$16*Assumptions!$B$11/Projects!$D$16,0)</f>
        <v>0</v>
      </c>
      <c r="BN9" s="10" t="n">
        <f aca="false">IF(AND(Projects!$G$2="Yes",64&gt;=Projects!$C$2,64&lt;Projects!$C$2+Projects!$D$2),243841/Projects!$D$2,0)+IF(AND(Projects!$G$3="Yes",64&gt;=Projects!$C$3,64&lt;Projects!$C$3+Projects!$D$3),950275/Projects!$D$3,0)+IF(AND(Projects!$G$4="Yes",64&gt;=Projects!$C$4,64&lt;Projects!$C$4+Projects!$D$4),Projects!$B$4*Assumptions!$B$11/Projects!$D$4,0)+IF(AND(Projects!$G$5="Yes",64&gt;=Projects!$C$5,64&lt;Projects!$C$5+Projects!$D$5),Projects!$B$5*Assumptions!$B$11/Projects!$D$5,0)+IF(AND(Projects!$G$6="Yes",64&gt;=Projects!$C$6,64&lt;Projects!$C$6+Projects!$D$6),330760/Projects!$D$6,0)+IF(AND(Projects!$G$7="Yes",64&gt;=Projects!$C$7,64&lt;Projects!$C$7+Projects!$D$7),Projects!$B$7*Assumptions!$B$11/Projects!$D$7,0)+IF(AND(Projects!$G$8="Yes",64&gt;=Projects!$C$8,64&lt;Projects!$C$8+Projects!$D$8),Projects!$B$8*Assumptions!$B$11/Projects!$D$8,0)+IF(AND(Projects!$G$9="Yes",64&gt;=Projects!$C$9,64&lt;Projects!$C$9+Projects!$D$9),Projects!$B$9*Assumptions!$B$11/Projects!$D$9,0)+IF(AND(Projects!$G$10="Yes",64&gt;=Projects!$C$10,64&lt;Projects!$C$10+Projects!$D$10),Projects!$B$10*Assumptions!$B$11/Projects!$D$10,0)+IF(AND(Projects!$G$11="Yes",64&gt;=Projects!$C$11,64&lt;Projects!$C$11+Projects!$D$11),Projects!$B$11*Assumptions!$B$11/Projects!$D$11,0)+IF(AND(Projects!$G$12="Yes",64&gt;=Projects!$C$12,64&lt;Projects!$C$12+Projects!$D$12),Projects!$B$12*Assumptions!$B$11/Projects!$D$12,0)+IF(AND(Projects!$G$13="Yes",64&gt;=Projects!$C$13,64&lt;Projects!$C$13+Projects!$D$13),Projects!$B$13*Assumptions!$B$11/Projects!$D$13,0)+IF(AND(Projects!$G$14="Yes",64&gt;=Projects!$C$14,64&lt;Projects!$C$14+Projects!$D$14),Projects!$B$14*Assumptions!$B$11/Projects!$D$14,0)+IF(AND(Projects!$G$15="Yes",64&gt;=Projects!$C$15,64&lt;Projects!$C$15+Projects!$D$15),Projects!$B$15*Assumptions!$B$11/Projects!$D$15,0)+IF(AND(Projects!$G$16="Yes",64&gt;=Projects!$C$16,64&lt;Projects!$C$16+Projects!$D$16),Projects!$B$16*Assumptions!$B$11/Projects!$D$16,0)</f>
        <v>0</v>
      </c>
      <c r="BO9" s="10" t="n">
        <f aca="false">IF(AND(Projects!$G$2="Yes",65&gt;=Projects!$C$2,65&lt;Projects!$C$2+Projects!$D$2),243841/Projects!$D$2,0)+IF(AND(Projects!$G$3="Yes",65&gt;=Projects!$C$3,65&lt;Projects!$C$3+Projects!$D$3),950275/Projects!$D$3,0)+IF(AND(Projects!$G$4="Yes",65&gt;=Projects!$C$4,65&lt;Projects!$C$4+Projects!$D$4),Projects!$B$4*Assumptions!$B$11/Projects!$D$4,0)+IF(AND(Projects!$G$5="Yes",65&gt;=Projects!$C$5,65&lt;Projects!$C$5+Projects!$D$5),Projects!$B$5*Assumptions!$B$11/Projects!$D$5,0)+IF(AND(Projects!$G$6="Yes",65&gt;=Projects!$C$6,65&lt;Projects!$C$6+Projects!$D$6),330760/Projects!$D$6,0)+IF(AND(Projects!$G$7="Yes",65&gt;=Projects!$C$7,65&lt;Projects!$C$7+Projects!$D$7),Projects!$B$7*Assumptions!$B$11/Projects!$D$7,0)+IF(AND(Projects!$G$8="Yes",65&gt;=Projects!$C$8,65&lt;Projects!$C$8+Projects!$D$8),Projects!$B$8*Assumptions!$B$11/Projects!$D$8,0)+IF(AND(Projects!$G$9="Yes",65&gt;=Projects!$C$9,65&lt;Projects!$C$9+Projects!$D$9),Projects!$B$9*Assumptions!$B$11/Projects!$D$9,0)+IF(AND(Projects!$G$10="Yes",65&gt;=Projects!$C$10,65&lt;Projects!$C$10+Projects!$D$10),Projects!$B$10*Assumptions!$B$11/Projects!$D$10,0)+IF(AND(Projects!$G$11="Yes",65&gt;=Projects!$C$11,65&lt;Projects!$C$11+Projects!$D$11),Projects!$B$11*Assumptions!$B$11/Projects!$D$11,0)+IF(AND(Projects!$G$12="Yes",65&gt;=Projects!$C$12,65&lt;Projects!$C$12+Projects!$D$12),Projects!$B$12*Assumptions!$B$11/Projects!$D$12,0)+IF(AND(Projects!$G$13="Yes",65&gt;=Projects!$C$13,65&lt;Projects!$C$13+Projects!$D$13),Projects!$B$13*Assumptions!$B$11/Projects!$D$13,0)+IF(AND(Projects!$G$14="Yes",65&gt;=Projects!$C$14,65&lt;Projects!$C$14+Projects!$D$14),Projects!$B$14*Assumptions!$B$11/Projects!$D$14,0)+IF(AND(Projects!$G$15="Yes",65&gt;=Projects!$C$15,65&lt;Projects!$C$15+Projects!$D$15),Projects!$B$15*Assumptions!$B$11/Projects!$D$15,0)+IF(AND(Projects!$G$16="Yes",65&gt;=Projects!$C$16,65&lt;Projects!$C$16+Projects!$D$16),Projects!$B$16*Assumptions!$B$11/Projects!$D$16,0)</f>
        <v>0</v>
      </c>
      <c r="BP9" s="10" t="n">
        <f aca="false">IF(AND(Projects!$G$2="Yes",66&gt;=Projects!$C$2,66&lt;Projects!$C$2+Projects!$D$2),243841/Projects!$D$2,0)+IF(AND(Projects!$G$3="Yes",66&gt;=Projects!$C$3,66&lt;Projects!$C$3+Projects!$D$3),950275/Projects!$D$3,0)+IF(AND(Projects!$G$4="Yes",66&gt;=Projects!$C$4,66&lt;Projects!$C$4+Projects!$D$4),Projects!$B$4*Assumptions!$B$11/Projects!$D$4,0)+IF(AND(Projects!$G$5="Yes",66&gt;=Projects!$C$5,66&lt;Projects!$C$5+Projects!$D$5),Projects!$B$5*Assumptions!$B$11/Projects!$D$5,0)+IF(AND(Projects!$G$6="Yes",66&gt;=Projects!$C$6,66&lt;Projects!$C$6+Projects!$D$6),330760/Projects!$D$6,0)+IF(AND(Projects!$G$7="Yes",66&gt;=Projects!$C$7,66&lt;Projects!$C$7+Projects!$D$7),Projects!$B$7*Assumptions!$B$11/Projects!$D$7,0)+IF(AND(Projects!$G$8="Yes",66&gt;=Projects!$C$8,66&lt;Projects!$C$8+Projects!$D$8),Projects!$B$8*Assumptions!$B$11/Projects!$D$8,0)+IF(AND(Projects!$G$9="Yes",66&gt;=Projects!$C$9,66&lt;Projects!$C$9+Projects!$D$9),Projects!$B$9*Assumptions!$B$11/Projects!$D$9,0)+IF(AND(Projects!$G$10="Yes",66&gt;=Projects!$C$10,66&lt;Projects!$C$10+Projects!$D$10),Projects!$B$10*Assumptions!$B$11/Projects!$D$10,0)+IF(AND(Projects!$G$11="Yes",66&gt;=Projects!$C$11,66&lt;Projects!$C$11+Projects!$D$11),Projects!$B$11*Assumptions!$B$11/Projects!$D$11,0)+IF(AND(Projects!$G$12="Yes",66&gt;=Projects!$C$12,66&lt;Projects!$C$12+Projects!$D$12),Projects!$B$12*Assumptions!$B$11/Projects!$D$12,0)+IF(AND(Projects!$G$13="Yes",66&gt;=Projects!$C$13,66&lt;Projects!$C$13+Projects!$D$13),Projects!$B$13*Assumptions!$B$11/Projects!$D$13,0)+IF(AND(Projects!$G$14="Yes",66&gt;=Projects!$C$14,66&lt;Projects!$C$14+Projects!$D$14),Projects!$B$14*Assumptions!$B$11/Projects!$D$14,0)+IF(AND(Projects!$G$15="Yes",66&gt;=Projects!$C$15,66&lt;Projects!$C$15+Projects!$D$15),Projects!$B$15*Assumptions!$B$11/Projects!$D$15,0)+IF(AND(Projects!$G$16="Yes",66&gt;=Projects!$C$16,66&lt;Projects!$C$16+Projects!$D$16),Projects!$B$16*Assumptions!$B$11/Projects!$D$16,0)</f>
        <v>0</v>
      </c>
      <c r="BQ9" s="10" t="n">
        <f aca="false">IF(AND(Projects!$G$2="Yes",67&gt;=Projects!$C$2,67&lt;Projects!$C$2+Projects!$D$2),243841/Projects!$D$2,0)+IF(AND(Projects!$G$3="Yes",67&gt;=Projects!$C$3,67&lt;Projects!$C$3+Projects!$D$3),950275/Projects!$D$3,0)+IF(AND(Projects!$G$4="Yes",67&gt;=Projects!$C$4,67&lt;Projects!$C$4+Projects!$D$4),Projects!$B$4*Assumptions!$B$11/Projects!$D$4,0)+IF(AND(Projects!$G$5="Yes",67&gt;=Projects!$C$5,67&lt;Projects!$C$5+Projects!$D$5),Projects!$B$5*Assumptions!$B$11/Projects!$D$5,0)+IF(AND(Projects!$G$6="Yes",67&gt;=Projects!$C$6,67&lt;Projects!$C$6+Projects!$D$6),330760/Projects!$D$6,0)+IF(AND(Projects!$G$7="Yes",67&gt;=Projects!$C$7,67&lt;Projects!$C$7+Projects!$D$7),Projects!$B$7*Assumptions!$B$11/Projects!$D$7,0)+IF(AND(Projects!$G$8="Yes",67&gt;=Projects!$C$8,67&lt;Projects!$C$8+Projects!$D$8),Projects!$B$8*Assumptions!$B$11/Projects!$D$8,0)+IF(AND(Projects!$G$9="Yes",67&gt;=Projects!$C$9,67&lt;Projects!$C$9+Projects!$D$9),Projects!$B$9*Assumptions!$B$11/Projects!$D$9,0)+IF(AND(Projects!$G$10="Yes",67&gt;=Projects!$C$10,67&lt;Projects!$C$10+Projects!$D$10),Projects!$B$10*Assumptions!$B$11/Projects!$D$10,0)+IF(AND(Projects!$G$11="Yes",67&gt;=Projects!$C$11,67&lt;Projects!$C$11+Projects!$D$11),Projects!$B$11*Assumptions!$B$11/Projects!$D$11,0)+IF(AND(Projects!$G$12="Yes",67&gt;=Projects!$C$12,67&lt;Projects!$C$12+Projects!$D$12),Projects!$B$12*Assumptions!$B$11/Projects!$D$12,0)+IF(AND(Projects!$G$13="Yes",67&gt;=Projects!$C$13,67&lt;Projects!$C$13+Projects!$D$13),Projects!$B$13*Assumptions!$B$11/Projects!$D$13,0)+IF(AND(Projects!$G$14="Yes",67&gt;=Projects!$C$14,67&lt;Projects!$C$14+Projects!$D$14),Projects!$B$14*Assumptions!$B$11/Projects!$D$14,0)+IF(AND(Projects!$G$15="Yes",67&gt;=Projects!$C$15,67&lt;Projects!$C$15+Projects!$D$15),Projects!$B$15*Assumptions!$B$11/Projects!$D$15,0)+IF(AND(Projects!$G$16="Yes",67&gt;=Projects!$C$16,67&lt;Projects!$C$16+Projects!$D$16),Projects!$B$16*Assumptions!$B$11/Projects!$D$16,0)</f>
        <v>0</v>
      </c>
      <c r="BR9" s="10" t="n">
        <f aca="false">IF(AND(Projects!$G$2="Yes",68&gt;=Projects!$C$2,68&lt;Projects!$C$2+Projects!$D$2),243841/Projects!$D$2,0)+IF(AND(Projects!$G$3="Yes",68&gt;=Projects!$C$3,68&lt;Projects!$C$3+Projects!$D$3),950275/Projects!$D$3,0)+IF(AND(Projects!$G$4="Yes",68&gt;=Projects!$C$4,68&lt;Projects!$C$4+Projects!$D$4),Projects!$B$4*Assumptions!$B$11/Projects!$D$4,0)+IF(AND(Projects!$G$5="Yes",68&gt;=Projects!$C$5,68&lt;Projects!$C$5+Projects!$D$5),Projects!$B$5*Assumptions!$B$11/Projects!$D$5,0)+IF(AND(Projects!$G$6="Yes",68&gt;=Projects!$C$6,68&lt;Projects!$C$6+Projects!$D$6),330760/Projects!$D$6,0)+IF(AND(Projects!$G$7="Yes",68&gt;=Projects!$C$7,68&lt;Projects!$C$7+Projects!$D$7),Projects!$B$7*Assumptions!$B$11/Projects!$D$7,0)+IF(AND(Projects!$G$8="Yes",68&gt;=Projects!$C$8,68&lt;Projects!$C$8+Projects!$D$8),Projects!$B$8*Assumptions!$B$11/Projects!$D$8,0)+IF(AND(Projects!$G$9="Yes",68&gt;=Projects!$C$9,68&lt;Projects!$C$9+Projects!$D$9),Projects!$B$9*Assumptions!$B$11/Projects!$D$9,0)+IF(AND(Projects!$G$10="Yes",68&gt;=Projects!$C$10,68&lt;Projects!$C$10+Projects!$D$10),Projects!$B$10*Assumptions!$B$11/Projects!$D$10,0)+IF(AND(Projects!$G$11="Yes",68&gt;=Projects!$C$11,68&lt;Projects!$C$11+Projects!$D$11),Projects!$B$11*Assumptions!$B$11/Projects!$D$11,0)+IF(AND(Projects!$G$12="Yes",68&gt;=Projects!$C$12,68&lt;Projects!$C$12+Projects!$D$12),Projects!$B$12*Assumptions!$B$11/Projects!$D$12,0)+IF(AND(Projects!$G$13="Yes",68&gt;=Projects!$C$13,68&lt;Projects!$C$13+Projects!$D$13),Projects!$B$13*Assumptions!$B$11/Projects!$D$13,0)+IF(AND(Projects!$G$14="Yes",68&gt;=Projects!$C$14,68&lt;Projects!$C$14+Projects!$D$14),Projects!$B$14*Assumptions!$B$11/Projects!$D$14,0)+IF(AND(Projects!$G$15="Yes",68&gt;=Projects!$C$15,68&lt;Projects!$C$15+Projects!$D$15),Projects!$B$15*Assumptions!$B$11/Projects!$D$15,0)+IF(AND(Projects!$G$16="Yes",68&gt;=Projects!$C$16,68&lt;Projects!$C$16+Projects!$D$16),Projects!$B$16*Assumptions!$B$11/Projects!$D$16,0)</f>
        <v>0</v>
      </c>
      <c r="BS9" s="10" t="n">
        <f aca="false">IF(AND(Projects!$G$2="Yes",69&gt;=Projects!$C$2,69&lt;Projects!$C$2+Projects!$D$2),243841/Projects!$D$2,0)+IF(AND(Projects!$G$3="Yes",69&gt;=Projects!$C$3,69&lt;Projects!$C$3+Projects!$D$3),950275/Projects!$D$3,0)+IF(AND(Projects!$G$4="Yes",69&gt;=Projects!$C$4,69&lt;Projects!$C$4+Projects!$D$4),Projects!$B$4*Assumptions!$B$11/Projects!$D$4,0)+IF(AND(Projects!$G$5="Yes",69&gt;=Projects!$C$5,69&lt;Projects!$C$5+Projects!$D$5),Projects!$B$5*Assumptions!$B$11/Projects!$D$5,0)+IF(AND(Projects!$G$6="Yes",69&gt;=Projects!$C$6,69&lt;Projects!$C$6+Projects!$D$6),330760/Projects!$D$6,0)+IF(AND(Projects!$G$7="Yes",69&gt;=Projects!$C$7,69&lt;Projects!$C$7+Projects!$D$7),Projects!$B$7*Assumptions!$B$11/Projects!$D$7,0)+IF(AND(Projects!$G$8="Yes",69&gt;=Projects!$C$8,69&lt;Projects!$C$8+Projects!$D$8),Projects!$B$8*Assumptions!$B$11/Projects!$D$8,0)+IF(AND(Projects!$G$9="Yes",69&gt;=Projects!$C$9,69&lt;Projects!$C$9+Projects!$D$9),Projects!$B$9*Assumptions!$B$11/Projects!$D$9,0)+IF(AND(Projects!$G$10="Yes",69&gt;=Projects!$C$10,69&lt;Projects!$C$10+Projects!$D$10),Projects!$B$10*Assumptions!$B$11/Projects!$D$10,0)+IF(AND(Projects!$G$11="Yes",69&gt;=Projects!$C$11,69&lt;Projects!$C$11+Projects!$D$11),Projects!$B$11*Assumptions!$B$11/Projects!$D$11,0)+IF(AND(Projects!$G$12="Yes",69&gt;=Projects!$C$12,69&lt;Projects!$C$12+Projects!$D$12),Projects!$B$12*Assumptions!$B$11/Projects!$D$12,0)+IF(AND(Projects!$G$13="Yes",69&gt;=Projects!$C$13,69&lt;Projects!$C$13+Projects!$D$13),Projects!$B$13*Assumptions!$B$11/Projects!$D$13,0)+IF(AND(Projects!$G$14="Yes",69&gt;=Projects!$C$14,69&lt;Projects!$C$14+Projects!$D$14),Projects!$B$14*Assumptions!$B$11/Projects!$D$14,0)+IF(AND(Projects!$G$15="Yes",69&gt;=Projects!$C$15,69&lt;Projects!$C$15+Projects!$D$15),Projects!$B$15*Assumptions!$B$11/Projects!$D$15,0)+IF(AND(Projects!$G$16="Yes",69&gt;=Projects!$C$16,69&lt;Projects!$C$16+Projects!$D$16),Projects!$B$16*Assumptions!$B$11/Projects!$D$16,0)</f>
        <v>0</v>
      </c>
      <c r="BT9" s="10" t="n">
        <f aca="false">IF(AND(Projects!$G$2="Yes",70&gt;=Projects!$C$2,70&lt;Projects!$C$2+Projects!$D$2),243841/Projects!$D$2,0)+IF(AND(Projects!$G$3="Yes",70&gt;=Projects!$C$3,70&lt;Projects!$C$3+Projects!$D$3),950275/Projects!$D$3,0)+IF(AND(Projects!$G$4="Yes",70&gt;=Projects!$C$4,70&lt;Projects!$C$4+Projects!$D$4),Projects!$B$4*Assumptions!$B$11/Projects!$D$4,0)+IF(AND(Projects!$G$5="Yes",70&gt;=Projects!$C$5,70&lt;Projects!$C$5+Projects!$D$5),Projects!$B$5*Assumptions!$B$11/Projects!$D$5,0)+IF(AND(Projects!$G$6="Yes",70&gt;=Projects!$C$6,70&lt;Projects!$C$6+Projects!$D$6),330760/Projects!$D$6,0)+IF(AND(Projects!$G$7="Yes",70&gt;=Projects!$C$7,70&lt;Projects!$C$7+Projects!$D$7),Projects!$B$7*Assumptions!$B$11/Projects!$D$7,0)+IF(AND(Projects!$G$8="Yes",70&gt;=Projects!$C$8,70&lt;Projects!$C$8+Projects!$D$8),Projects!$B$8*Assumptions!$B$11/Projects!$D$8,0)+IF(AND(Projects!$G$9="Yes",70&gt;=Projects!$C$9,70&lt;Projects!$C$9+Projects!$D$9),Projects!$B$9*Assumptions!$B$11/Projects!$D$9,0)+IF(AND(Projects!$G$10="Yes",70&gt;=Projects!$C$10,70&lt;Projects!$C$10+Projects!$D$10),Projects!$B$10*Assumptions!$B$11/Projects!$D$10,0)+IF(AND(Projects!$G$11="Yes",70&gt;=Projects!$C$11,70&lt;Projects!$C$11+Projects!$D$11),Projects!$B$11*Assumptions!$B$11/Projects!$D$11,0)+IF(AND(Projects!$G$12="Yes",70&gt;=Projects!$C$12,70&lt;Projects!$C$12+Projects!$D$12),Projects!$B$12*Assumptions!$B$11/Projects!$D$12,0)+IF(AND(Projects!$G$13="Yes",70&gt;=Projects!$C$13,70&lt;Projects!$C$13+Projects!$D$13),Projects!$B$13*Assumptions!$B$11/Projects!$D$13,0)+IF(AND(Projects!$G$14="Yes",70&gt;=Projects!$C$14,70&lt;Projects!$C$14+Projects!$D$14),Projects!$B$14*Assumptions!$B$11/Projects!$D$14,0)+IF(AND(Projects!$G$15="Yes",70&gt;=Projects!$C$15,70&lt;Projects!$C$15+Projects!$D$15),Projects!$B$15*Assumptions!$B$11/Projects!$D$15,0)+IF(AND(Projects!$G$16="Yes",70&gt;=Projects!$C$16,70&lt;Projects!$C$16+Projects!$D$16),Projects!$B$16*Assumptions!$B$11/Projects!$D$16,0)</f>
        <v>0</v>
      </c>
      <c r="BU9" s="10" t="n">
        <f aca="false">IF(AND(Projects!$G$2="Yes",71&gt;=Projects!$C$2,71&lt;Projects!$C$2+Projects!$D$2),243841/Projects!$D$2,0)+IF(AND(Projects!$G$3="Yes",71&gt;=Projects!$C$3,71&lt;Projects!$C$3+Projects!$D$3),950275/Projects!$D$3,0)+IF(AND(Projects!$G$4="Yes",71&gt;=Projects!$C$4,71&lt;Projects!$C$4+Projects!$D$4),Projects!$B$4*Assumptions!$B$11/Projects!$D$4,0)+IF(AND(Projects!$G$5="Yes",71&gt;=Projects!$C$5,71&lt;Projects!$C$5+Projects!$D$5),Projects!$B$5*Assumptions!$B$11/Projects!$D$5,0)+IF(AND(Projects!$G$6="Yes",71&gt;=Projects!$C$6,71&lt;Projects!$C$6+Projects!$D$6),330760/Projects!$D$6,0)+IF(AND(Projects!$G$7="Yes",71&gt;=Projects!$C$7,71&lt;Projects!$C$7+Projects!$D$7),Projects!$B$7*Assumptions!$B$11/Projects!$D$7,0)+IF(AND(Projects!$G$8="Yes",71&gt;=Projects!$C$8,71&lt;Projects!$C$8+Projects!$D$8),Projects!$B$8*Assumptions!$B$11/Projects!$D$8,0)+IF(AND(Projects!$G$9="Yes",71&gt;=Projects!$C$9,71&lt;Projects!$C$9+Projects!$D$9),Projects!$B$9*Assumptions!$B$11/Projects!$D$9,0)+IF(AND(Projects!$G$10="Yes",71&gt;=Projects!$C$10,71&lt;Projects!$C$10+Projects!$D$10),Projects!$B$10*Assumptions!$B$11/Projects!$D$10,0)+IF(AND(Projects!$G$11="Yes",71&gt;=Projects!$C$11,71&lt;Projects!$C$11+Projects!$D$11),Projects!$B$11*Assumptions!$B$11/Projects!$D$11,0)+IF(AND(Projects!$G$12="Yes",71&gt;=Projects!$C$12,71&lt;Projects!$C$12+Projects!$D$12),Projects!$B$12*Assumptions!$B$11/Projects!$D$12,0)+IF(AND(Projects!$G$13="Yes",71&gt;=Projects!$C$13,71&lt;Projects!$C$13+Projects!$D$13),Projects!$B$13*Assumptions!$B$11/Projects!$D$13,0)+IF(AND(Projects!$G$14="Yes",71&gt;=Projects!$C$14,71&lt;Projects!$C$14+Projects!$D$14),Projects!$B$14*Assumptions!$B$11/Projects!$D$14,0)+IF(AND(Projects!$G$15="Yes",71&gt;=Projects!$C$15,71&lt;Projects!$C$15+Projects!$D$15),Projects!$B$15*Assumptions!$B$11/Projects!$D$15,0)+IF(AND(Projects!$G$16="Yes",71&gt;=Projects!$C$16,71&lt;Projects!$C$16+Projects!$D$16),Projects!$B$16*Assumptions!$B$11/Projects!$D$16,0)</f>
        <v>0</v>
      </c>
      <c r="BV9" s="10" t="n">
        <f aca="false">IF(AND(Projects!$G$2="Yes",72&gt;=Projects!$C$2,72&lt;Projects!$C$2+Projects!$D$2),243841/Projects!$D$2,0)+IF(AND(Projects!$G$3="Yes",72&gt;=Projects!$C$3,72&lt;Projects!$C$3+Projects!$D$3),950275/Projects!$D$3,0)+IF(AND(Projects!$G$4="Yes",72&gt;=Projects!$C$4,72&lt;Projects!$C$4+Projects!$D$4),Projects!$B$4*Assumptions!$B$11/Projects!$D$4,0)+IF(AND(Projects!$G$5="Yes",72&gt;=Projects!$C$5,72&lt;Projects!$C$5+Projects!$D$5),Projects!$B$5*Assumptions!$B$11/Projects!$D$5,0)+IF(AND(Projects!$G$6="Yes",72&gt;=Projects!$C$6,72&lt;Projects!$C$6+Projects!$D$6),330760/Projects!$D$6,0)+IF(AND(Projects!$G$7="Yes",72&gt;=Projects!$C$7,72&lt;Projects!$C$7+Projects!$D$7),Projects!$B$7*Assumptions!$B$11/Projects!$D$7,0)+IF(AND(Projects!$G$8="Yes",72&gt;=Projects!$C$8,72&lt;Projects!$C$8+Projects!$D$8),Projects!$B$8*Assumptions!$B$11/Projects!$D$8,0)+IF(AND(Projects!$G$9="Yes",72&gt;=Projects!$C$9,72&lt;Projects!$C$9+Projects!$D$9),Projects!$B$9*Assumptions!$B$11/Projects!$D$9,0)+IF(AND(Projects!$G$10="Yes",72&gt;=Projects!$C$10,72&lt;Projects!$C$10+Projects!$D$10),Projects!$B$10*Assumptions!$B$11/Projects!$D$10,0)+IF(AND(Projects!$G$11="Yes",72&gt;=Projects!$C$11,72&lt;Projects!$C$11+Projects!$D$11),Projects!$B$11*Assumptions!$B$11/Projects!$D$11,0)+IF(AND(Projects!$G$12="Yes",72&gt;=Projects!$C$12,72&lt;Projects!$C$12+Projects!$D$12),Projects!$B$12*Assumptions!$B$11/Projects!$D$12,0)+IF(AND(Projects!$G$13="Yes",72&gt;=Projects!$C$13,72&lt;Projects!$C$13+Projects!$D$13),Projects!$B$13*Assumptions!$B$11/Projects!$D$13,0)+IF(AND(Projects!$G$14="Yes",72&gt;=Projects!$C$14,72&lt;Projects!$C$14+Projects!$D$14),Projects!$B$14*Assumptions!$B$11/Projects!$D$14,0)+IF(AND(Projects!$G$15="Yes",72&gt;=Projects!$C$15,72&lt;Projects!$C$15+Projects!$D$15),Projects!$B$15*Assumptions!$B$11/Projects!$D$15,0)+IF(AND(Projects!$G$16="Yes",72&gt;=Projects!$C$16,72&lt;Projects!$C$16+Projects!$D$16),Projects!$B$16*Assumptions!$B$11/Projects!$D$16,0)</f>
        <v>0</v>
      </c>
      <c r="BW9" s="10" t="n">
        <f aca="false">IF(AND(Projects!$G$2="Yes",73&gt;=Projects!$C$2,73&lt;Projects!$C$2+Projects!$D$2),243841/Projects!$D$2,0)+IF(AND(Projects!$G$3="Yes",73&gt;=Projects!$C$3,73&lt;Projects!$C$3+Projects!$D$3),950275/Projects!$D$3,0)+IF(AND(Projects!$G$4="Yes",73&gt;=Projects!$C$4,73&lt;Projects!$C$4+Projects!$D$4),Projects!$B$4*Assumptions!$B$11/Projects!$D$4,0)+IF(AND(Projects!$G$5="Yes",73&gt;=Projects!$C$5,73&lt;Projects!$C$5+Projects!$D$5),Projects!$B$5*Assumptions!$B$11/Projects!$D$5,0)+IF(AND(Projects!$G$6="Yes",73&gt;=Projects!$C$6,73&lt;Projects!$C$6+Projects!$D$6),330760/Projects!$D$6,0)+IF(AND(Projects!$G$7="Yes",73&gt;=Projects!$C$7,73&lt;Projects!$C$7+Projects!$D$7),Projects!$B$7*Assumptions!$B$11/Projects!$D$7,0)+IF(AND(Projects!$G$8="Yes",73&gt;=Projects!$C$8,73&lt;Projects!$C$8+Projects!$D$8),Projects!$B$8*Assumptions!$B$11/Projects!$D$8,0)+IF(AND(Projects!$G$9="Yes",73&gt;=Projects!$C$9,73&lt;Projects!$C$9+Projects!$D$9),Projects!$B$9*Assumptions!$B$11/Projects!$D$9,0)+IF(AND(Projects!$G$10="Yes",73&gt;=Projects!$C$10,73&lt;Projects!$C$10+Projects!$D$10),Projects!$B$10*Assumptions!$B$11/Projects!$D$10,0)+IF(AND(Projects!$G$11="Yes",73&gt;=Projects!$C$11,73&lt;Projects!$C$11+Projects!$D$11),Projects!$B$11*Assumptions!$B$11/Projects!$D$11,0)+IF(AND(Projects!$G$12="Yes",73&gt;=Projects!$C$12,73&lt;Projects!$C$12+Projects!$D$12),Projects!$B$12*Assumptions!$B$11/Projects!$D$12,0)+IF(AND(Projects!$G$13="Yes",73&gt;=Projects!$C$13,73&lt;Projects!$C$13+Projects!$D$13),Projects!$B$13*Assumptions!$B$11/Projects!$D$13,0)+IF(AND(Projects!$G$14="Yes",73&gt;=Projects!$C$14,73&lt;Projects!$C$14+Projects!$D$14),Projects!$B$14*Assumptions!$B$11/Projects!$D$14,0)+IF(AND(Projects!$G$15="Yes",73&gt;=Projects!$C$15,73&lt;Projects!$C$15+Projects!$D$15),Projects!$B$15*Assumptions!$B$11/Projects!$D$15,0)+IF(AND(Projects!$G$16="Yes",73&gt;=Projects!$C$16,73&lt;Projects!$C$16+Projects!$D$16),Projects!$B$16*Assumptions!$B$11/Projects!$D$16,0)</f>
        <v>0</v>
      </c>
      <c r="BX9" s="10" t="n">
        <f aca="false">IF(AND(Projects!$G$2="Yes",74&gt;=Projects!$C$2,74&lt;Projects!$C$2+Projects!$D$2),243841/Projects!$D$2,0)+IF(AND(Projects!$G$3="Yes",74&gt;=Projects!$C$3,74&lt;Projects!$C$3+Projects!$D$3),950275/Projects!$D$3,0)+IF(AND(Projects!$G$4="Yes",74&gt;=Projects!$C$4,74&lt;Projects!$C$4+Projects!$D$4),Projects!$B$4*Assumptions!$B$11/Projects!$D$4,0)+IF(AND(Projects!$G$5="Yes",74&gt;=Projects!$C$5,74&lt;Projects!$C$5+Projects!$D$5),Projects!$B$5*Assumptions!$B$11/Projects!$D$5,0)+IF(AND(Projects!$G$6="Yes",74&gt;=Projects!$C$6,74&lt;Projects!$C$6+Projects!$D$6),330760/Projects!$D$6,0)+IF(AND(Projects!$G$7="Yes",74&gt;=Projects!$C$7,74&lt;Projects!$C$7+Projects!$D$7),Projects!$B$7*Assumptions!$B$11/Projects!$D$7,0)+IF(AND(Projects!$G$8="Yes",74&gt;=Projects!$C$8,74&lt;Projects!$C$8+Projects!$D$8),Projects!$B$8*Assumptions!$B$11/Projects!$D$8,0)+IF(AND(Projects!$G$9="Yes",74&gt;=Projects!$C$9,74&lt;Projects!$C$9+Projects!$D$9),Projects!$B$9*Assumptions!$B$11/Projects!$D$9,0)+IF(AND(Projects!$G$10="Yes",74&gt;=Projects!$C$10,74&lt;Projects!$C$10+Projects!$D$10),Projects!$B$10*Assumptions!$B$11/Projects!$D$10,0)+IF(AND(Projects!$G$11="Yes",74&gt;=Projects!$C$11,74&lt;Projects!$C$11+Projects!$D$11),Projects!$B$11*Assumptions!$B$11/Projects!$D$11,0)+IF(AND(Projects!$G$12="Yes",74&gt;=Projects!$C$12,74&lt;Projects!$C$12+Projects!$D$12),Projects!$B$12*Assumptions!$B$11/Projects!$D$12,0)+IF(AND(Projects!$G$13="Yes",74&gt;=Projects!$C$13,74&lt;Projects!$C$13+Projects!$D$13),Projects!$B$13*Assumptions!$B$11/Projects!$D$13,0)+IF(AND(Projects!$G$14="Yes",74&gt;=Projects!$C$14,74&lt;Projects!$C$14+Projects!$D$14),Projects!$B$14*Assumptions!$B$11/Projects!$D$14,0)+IF(AND(Projects!$G$15="Yes",74&gt;=Projects!$C$15,74&lt;Projects!$C$15+Projects!$D$15),Projects!$B$15*Assumptions!$B$11/Projects!$D$15,0)+IF(AND(Projects!$G$16="Yes",74&gt;=Projects!$C$16,74&lt;Projects!$C$16+Projects!$D$16),Projects!$B$16*Assumptions!$B$11/Projects!$D$16,0)</f>
        <v>0</v>
      </c>
      <c r="BY9" s="10" t="n">
        <f aca="false">IF(AND(Projects!$G$2="Yes",75&gt;=Projects!$C$2,75&lt;Projects!$C$2+Projects!$D$2),243841/Projects!$D$2,0)+IF(AND(Projects!$G$3="Yes",75&gt;=Projects!$C$3,75&lt;Projects!$C$3+Projects!$D$3),950275/Projects!$D$3,0)+IF(AND(Projects!$G$4="Yes",75&gt;=Projects!$C$4,75&lt;Projects!$C$4+Projects!$D$4),Projects!$B$4*Assumptions!$B$11/Projects!$D$4,0)+IF(AND(Projects!$G$5="Yes",75&gt;=Projects!$C$5,75&lt;Projects!$C$5+Projects!$D$5),Projects!$B$5*Assumptions!$B$11/Projects!$D$5,0)+IF(AND(Projects!$G$6="Yes",75&gt;=Projects!$C$6,75&lt;Projects!$C$6+Projects!$D$6),330760/Projects!$D$6,0)+IF(AND(Projects!$G$7="Yes",75&gt;=Projects!$C$7,75&lt;Projects!$C$7+Projects!$D$7),Projects!$B$7*Assumptions!$B$11/Projects!$D$7,0)+IF(AND(Projects!$G$8="Yes",75&gt;=Projects!$C$8,75&lt;Projects!$C$8+Projects!$D$8),Projects!$B$8*Assumptions!$B$11/Projects!$D$8,0)+IF(AND(Projects!$G$9="Yes",75&gt;=Projects!$C$9,75&lt;Projects!$C$9+Projects!$D$9),Projects!$B$9*Assumptions!$B$11/Projects!$D$9,0)+IF(AND(Projects!$G$10="Yes",75&gt;=Projects!$C$10,75&lt;Projects!$C$10+Projects!$D$10),Projects!$B$10*Assumptions!$B$11/Projects!$D$10,0)+IF(AND(Projects!$G$11="Yes",75&gt;=Projects!$C$11,75&lt;Projects!$C$11+Projects!$D$11),Projects!$B$11*Assumptions!$B$11/Projects!$D$11,0)+IF(AND(Projects!$G$12="Yes",75&gt;=Projects!$C$12,75&lt;Projects!$C$12+Projects!$D$12),Projects!$B$12*Assumptions!$B$11/Projects!$D$12,0)+IF(AND(Projects!$G$13="Yes",75&gt;=Projects!$C$13,75&lt;Projects!$C$13+Projects!$D$13),Projects!$B$13*Assumptions!$B$11/Projects!$D$13,0)+IF(AND(Projects!$G$14="Yes",75&gt;=Projects!$C$14,75&lt;Projects!$C$14+Projects!$D$14),Projects!$B$14*Assumptions!$B$11/Projects!$D$14,0)+IF(AND(Projects!$G$15="Yes",75&gt;=Projects!$C$15,75&lt;Projects!$C$15+Projects!$D$15),Projects!$B$15*Assumptions!$B$11/Projects!$D$15,0)+IF(AND(Projects!$G$16="Yes",75&gt;=Projects!$C$16,75&lt;Projects!$C$16+Projects!$D$16),Projects!$B$16*Assumptions!$B$11/Projects!$D$16,0)</f>
        <v>0</v>
      </c>
      <c r="BZ9" s="10" t="n">
        <f aca="false">IF(AND(Projects!$G$2="Yes",76&gt;=Projects!$C$2,76&lt;Projects!$C$2+Projects!$D$2),243841/Projects!$D$2,0)+IF(AND(Projects!$G$3="Yes",76&gt;=Projects!$C$3,76&lt;Projects!$C$3+Projects!$D$3),950275/Projects!$D$3,0)+IF(AND(Projects!$G$4="Yes",76&gt;=Projects!$C$4,76&lt;Projects!$C$4+Projects!$D$4),Projects!$B$4*Assumptions!$B$11/Projects!$D$4,0)+IF(AND(Projects!$G$5="Yes",76&gt;=Projects!$C$5,76&lt;Projects!$C$5+Projects!$D$5),Projects!$B$5*Assumptions!$B$11/Projects!$D$5,0)+IF(AND(Projects!$G$6="Yes",76&gt;=Projects!$C$6,76&lt;Projects!$C$6+Projects!$D$6),330760/Projects!$D$6,0)+IF(AND(Projects!$G$7="Yes",76&gt;=Projects!$C$7,76&lt;Projects!$C$7+Projects!$D$7),Projects!$B$7*Assumptions!$B$11/Projects!$D$7,0)+IF(AND(Projects!$G$8="Yes",76&gt;=Projects!$C$8,76&lt;Projects!$C$8+Projects!$D$8),Projects!$B$8*Assumptions!$B$11/Projects!$D$8,0)+IF(AND(Projects!$G$9="Yes",76&gt;=Projects!$C$9,76&lt;Projects!$C$9+Projects!$D$9),Projects!$B$9*Assumptions!$B$11/Projects!$D$9,0)+IF(AND(Projects!$G$10="Yes",76&gt;=Projects!$C$10,76&lt;Projects!$C$10+Projects!$D$10),Projects!$B$10*Assumptions!$B$11/Projects!$D$10,0)+IF(AND(Projects!$G$11="Yes",76&gt;=Projects!$C$11,76&lt;Projects!$C$11+Projects!$D$11),Projects!$B$11*Assumptions!$B$11/Projects!$D$11,0)+IF(AND(Projects!$G$12="Yes",76&gt;=Projects!$C$12,76&lt;Projects!$C$12+Projects!$D$12),Projects!$B$12*Assumptions!$B$11/Projects!$D$12,0)+IF(AND(Projects!$G$13="Yes",76&gt;=Projects!$C$13,76&lt;Projects!$C$13+Projects!$D$13),Projects!$B$13*Assumptions!$B$11/Projects!$D$13,0)+IF(AND(Projects!$G$14="Yes",76&gt;=Projects!$C$14,76&lt;Projects!$C$14+Projects!$D$14),Projects!$B$14*Assumptions!$B$11/Projects!$D$14,0)+IF(AND(Projects!$G$15="Yes",76&gt;=Projects!$C$15,76&lt;Projects!$C$15+Projects!$D$15),Projects!$B$15*Assumptions!$B$11/Projects!$D$15,0)+IF(AND(Projects!$G$16="Yes",76&gt;=Projects!$C$16,76&lt;Projects!$C$16+Projects!$D$16),Projects!$B$16*Assumptions!$B$11/Projects!$D$16,0)</f>
        <v>0</v>
      </c>
      <c r="CA9" s="10" t="n">
        <f aca="false">IF(AND(Projects!$G$2="Yes",77&gt;=Projects!$C$2,77&lt;Projects!$C$2+Projects!$D$2),243841/Projects!$D$2,0)+IF(AND(Projects!$G$3="Yes",77&gt;=Projects!$C$3,77&lt;Projects!$C$3+Projects!$D$3),950275/Projects!$D$3,0)+IF(AND(Projects!$G$4="Yes",77&gt;=Projects!$C$4,77&lt;Projects!$C$4+Projects!$D$4),Projects!$B$4*Assumptions!$B$11/Projects!$D$4,0)+IF(AND(Projects!$G$5="Yes",77&gt;=Projects!$C$5,77&lt;Projects!$C$5+Projects!$D$5),Projects!$B$5*Assumptions!$B$11/Projects!$D$5,0)+IF(AND(Projects!$G$6="Yes",77&gt;=Projects!$C$6,77&lt;Projects!$C$6+Projects!$D$6),330760/Projects!$D$6,0)+IF(AND(Projects!$G$7="Yes",77&gt;=Projects!$C$7,77&lt;Projects!$C$7+Projects!$D$7),Projects!$B$7*Assumptions!$B$11/Projects!$D$7,0)+IF(AND(Projects!$G$8="Yes",77&gt;=Projects!$C$8,77&lt;Projects!$C$8+Projects!$D$8),Projects!$B$8*Assumptions!$B$11/Projects!$D$8,0)+IF(AND(Projects!$G$9="Yes",77&gt;=Projects!$C$9,77&lt;Projects!$C$9+Projects!$D$9),Projects!$B$9*Assumptions!$B$11/Projects!$D$9,0)+IF(AND(Projects!$G$10="Yes",77&gt;=Projects!$C$10,77&lt;Projects!$C$10+Projects!$D$10),Projects!$B$10*Assumptions!$B$11/Projects!$D$10,0)+IF(AND(Projects!$G$11="Yes",77&gt;=Projects!$C$11,77&lt;Projects!$C$11+Projects!$D$11),Projects!$B$11*Assumptions!$B$11/Projects!$D$11,0)+IF(AND(Projects!$G$12="Yes",77&gt;=Projects!$C$12,77&lt;Projects!$C$12+Projects!$D$12),Projects!$B$12*Assumptions!$B$11/Projects!$D$12,0)+IF(AND(Projects!$G$13="Yes",77&gt;=Projects!$C$13,77&lt;Projects!$C$13+Projects!$D$13),Projects!$B$13*Assumptions!$B$11/Projects!$D$13,0)+IF(AND(Projects!$G$14="Yes",77&gt;=Projects!$C$14,77&lt;Projects!$C$14+Projects!$D$14),Projects!$B$14*Assumptions!$B$11/Projects!$D$14,0)+IF(AND(Projects!$G$15="Yes",77&gt;=Projects!$C$15,77&lt;Projects!$C$15+Projects!$D$15),Projects!$B$15*Assumptions!$B$11/Projects!$D$15,0)+IF(AND(Projects!$G$16="Yes",77&gt;=Projects!$C$16,77&lt;Projects!$C$16+Projects!$D$16),Projects!$B$16*Assumptions!$B$11/Projects!$D$16,0)</f>
        <v>0</v>
      </c>
      <c r="CB9" s="10" t="n">
        <f aca="false">IF(AND(Projects!$G$2="Yes",78&gt;=Projects!$C$2,78&lt;Projects!$C$2+Projects!$D$2),243841/Projects!$D$2,0)+IF(AND(Projects!$G$3="Yes",78&gt;=Projects!$C$3,78&lt;Projects!$C$3+Projects!$D$3),950275/Projects!$D$3,0)+IF(AND(Projects!$G$4="Yes",78&gt;=Projects!$C$4,78&lt;Projects!$C$4+Projects!$D$4),Projects!$B$4*Assumptions!$B$11/Projects!$D$4,0)+IF(AND(Projects!$G$5="Yes",78&gt;=Projects!$C$5,78&lt;Projects!$C$5+Projects!$D$5),Projects!$B$5*Assumptions!$B$11/Projects!$D$5,0)+IF(AND(Projects!$G$6="Yes",78&gt;=Projects!$C$6,78&lt;Projects!$C$6+Projects!$D$6),330760/Projects!$D$6,0)+IF(AND(Projects!$G$7="Yes",78&gt;=Projects!$C$7,78&lt;Projects!$C$7+Projects!$D$7),Projects!$B$7*Assumptions!$B$11/Projects!$D$7,0)+IF(AND(Projects!$G$8="Yes",78&gt;=Projects!$C$8,78&lt;Projects!$C$8+Projects!$D$8),Projects!$B$8*Assumptions!$B$11/Projects!$D$8,0)+IF(AND(Projects!$G$9="Yes",78&gt;=Projects!$C$9,78&lt;Projects!$C$9+Projects!$D$9),Projects!$B$9*Assumptions!$B$11/Projects!$D$9,0)+IF(AND(Projects!$G$10="Yes",78&gt;=Projects!$C$10,78&lt;Projects!$C$10+Projects!$D$10),Projects!$B$10*Assumptions!$B$11/Projects!$D$10,0)+IF(AND(Projects!$G$11="Yes",78&gt;=Projects!$C$11,78&lt;Projects!$C$11+Projects!$D$11),Projects!$B$11*Assumptions!$B$11/Projects!$D$11,0)+IF(AND(Projects!$G$12="Yes",78&gt;=Projects!$C$12,78&lt;Projects!$C$12+Projects!$D$12),Projects!$B$12*Assumptions!$B$11/Projects!$D$12,0)+IF(AND(Projects!$G$13="Yes",78&gt;=Projects!$C$13,78&lt;Projects!$C$13+Projects!$D$13),Projects!$B$13*Assumptions!$B$11/Projects!$D$13,0)+IF(AND(Projects!$G$14="Yes",78&gt;=Projects!$C$14,78&lt;Projects!$C$14+Projects!$D$14),Projects!$B$14*Assumptions!$B$11/Projects!$D$14,0)+IF(AND(Projects!$G$15="Yes",78&gt;=Projects!$C$15,78&lt;Projects!$C$15+Projects!$D$15),Projects!$B$15*Assumptions!$B$11/Projects!$D$15,0)+IF(AND(Projects!$G$16="Yes",78&gt;=Projects!$C$16,78&lt;Projects!$C$16+Projects!$D$16),Projects!$B$16*Assumptions!$B$11/Projects!$D$16,0)</f>
        <v>0</v>
      </c>
      <c r="CC9" s="10" t="n">
        <f aca="false">IF(AND(Projects!$G$2="Yes",79&gt;=Projects!$C$2,79&lt;Projects!$C$2+Projects!$D$2),243841/Projects!$D$2,0)+IF(AND(Projects!$G$3="Yes",79&gt;=Projects!$C$3,79&lt;Projects!$C$3+Projects!$D$3),950275/Projects!$D$3,0)+IF(AND(Projects!$G$4="Yes",79&gt;=Projects!$C$4,79&lt;Projects!$C$4+Projects!$D$4),Projects!$B$4*Assumptions!$B$11/Projects!$D$4,0)+IF(AND(Projects!$G$5="Yes",79&gt;=Projects!$C$5,79&lt;Projects!$C$5+Projects!$D$5),Projects!$B$5*Assumptions!$B$11/Projects!$D$5,0)+IF(AND(Projects!$G$6="Yes",79&gt;=Projects!$C$6,79&lt;Projects!$C$6+Projects!$D$6),330760/Projects!$D$6,0)+IF(AND(Projects!$G$7="Yes",79&gt;=Projects!$C$7,79&lt;Projects!$C$7+Projects!$D$7),Projects!$B$7*Assumptions!$B$11/Projects!$D$7,0)+IF(AND(Projects!$G$8="Yes",79&gt;=Projects!$C$8,79&lt;Projects!$C$8+Projects!$D$8),Projects!$B$8*Assumptions!$B$11/Projects!$D$8,0)+IF(AND(Projects!$G$9="Yes",79&gt;=Projects!$C$9,79&lt;Projects!$C$9+Projects!$D$9),Projects!$B$9*Assumptions!$B$11/Projects!$D$9,0)+IF(AND(Projects!$G$10="Yes",79&gt;=Projects!$C$10,79&lt;Projects!$C$10+Projects!$D$10),Projects!$B$10*Assumptions!$B$11/Projects!$D$10,0)+IF(AND(Projects!$G$11="Yes",79&gt;=Projects!$C$11,79&lt;Projects!$C$11+Projects!$D$11),Projects!$B$11*Assumptions!$B$11/Projects!$D$11,0)+IF(AND(Projects!$G$12="Yes",79&gt;=Projects!$C$12,79&lt;Projects!$C$12+Projects!$D$12),Projects!$B$12*Assumptions!$B$11/Projects!$D$12,0)+IF(AND(Projects!$G$13="Yes",79&gt;=Projects!$C$13,79&lt;Projects!$C$13+Projects!$D$13),Projects!$B$13*Assumptions!$B$11/Projects!$D$13,0)+IF(AND(Projects!$G$14="Yes",79&gt;=Projects!$C$14,79&lt;Projects!$C$14+Projects!$D$14),Projects!$B$14*Assumptions!$B$11/Projects!$D$14,0)+IF(AND(Projects!$G$15="Yes",79&gt;=Projects!$C$15,79&lt;Projects!$C$15+Projects!$D$15),Projects!$B$15*Assumptions!$B$11/Projects!$D$15,0)+IF(AND(Projects!$G$16="Yes",79&gt;=Projects!$C$16,79&lt;Projects!$C$16+Projects!$D$16),Projects!$B$16*Assumptions!$B$11/Projects!$D$16,0)</f>
        <v>0</v>
      </c>
      <c r="CD9" s="10" t="n">
        <f aca="false">IF(AND(Projects!$G$2="Yes",80&gt;=Projects!$C$2,80&lt;Projects!$C$2+Projects!$D$2),243841/Projects!$D$2,0)+IF(AND(Projects!$G$3="Yes",80&gt;=Projects!$C$3,80&lt;Projects!$C$3+Projects!$D$3),950275/Projects!$D$3,0)+IF(AND(Projects!$G$4="Yes",80&gt;=Projects!$C$4,80&lt;Projects!$C$4+Projects!$D$4),Projects!$B$4*Assumptions!$B$11/Projects!$D$4,0)+IF(AND(Projects!$G$5="Yes",80&gt;=Projects!$C$5,80&lt;Projects!$C$5+Projects!$D$5),Projects!$B$5*Assumptions!$B$11/Projects!$D$5,0)+IF(AND(Projects!$G$6="Yes",80&gt;=Projects!$C$6,80&lt;Projects!$C$6+Projects!$D$6),330760/Projects!$D$6,0)+IF(AND(Projects!$G$7="Yes",80&gt;=Projects!$C$7,80&lt;Projects!$C$7+Projects!$D$7),Projects!$B$7*Assumptions!$B$11/Projects!$D$7,0)+IF(AND(Projects!$G$8="Yes",80&gt;=Projects!$C$8,80&lt;Projects!$C$8+Projects!$D$8),Projects!$B$8*Assumptions!$B$11/Projects!$D$8,0)+IF(AND(Projects!$G$9="Yes",80&gt;=Projects!$C$9,80&lt;Projects!$C$9+Projects!$D$9),Projects!$B$9*Assumptions!$B$11/Projects!$D$9,0)+IF(AND(Projects!$G$10="Yes",80&gt;=Projects!$C$10,80&lt;Projects!$C$10+Projects!$D$10),Projects!$B$10*Assumptions!$B$11/Projects!$D$10,0)+IF(AND(Projects!$G$11="Yes",80&gt;=Projects!$C$11,80&lt;Projects!$C$11+Projects!$D$11),Projects!$B$11*Assumptions!$B$11/Projects!$D$11,0)+IF(AND(Projects!$G$12="Yes",80&gt;=Projects!$C$12,80&lt;Projects!$C$12+Projects!$D$12),Projects!$B$12*Assumptions!$B$11/Projects!$D$12,0)+IF(AND(Projects!$G$13="Yes",80&gt;=Projects!$C$13,80&lt;Projects!$C$13+Projects!$D$13),Projects!$B$13*Assumptions!$B$11/Projects!$D$13,0)+IF(AND(Projects!$G$14="Yes",80&gt;=Projects!$C$14,80&lt;Projects!$C$14+Projects!$D$14),Projects!$B$14*Assumptions!$B$11/Projects!$D$14,0)+IF(AND(Projects!$G$15="Yes",80&gt;=Projects!$C$15,80&lt;Projects!$C$15+Projects!$D$15),Projects!$B$15*Assumptions!$B$11/Projects!$D$15,0)+IF(AND(Projects!$G$16="Yes",80&gt;=Projects!$C$16,80&lt;Projects!$C$16+Projects!$D$16),Projects!$B$16*Assumptions!$B$11/Projects!$D$16,0)</f>
        <v>0</v>
      </c>
      <c r="CE9" s="10" t="n">
        <f aca="false">IF(AND(Projects!$G$2="Yes",81&gt;=Projects!$C$2,81&lt;Projects!$C$2+Projects!$D$2),243841/Projects!$D$2,0)+IF(AND(Projects!$G$3="Yes",81&gt;=Projects!$C$3,81&lt;Projects!$C$3+Projects!$D$3),950275/Projects!$D$3,0)+IF(AND(Projects!$G$4="Yes",81&gt;=Projects!$C$4,81&lt;Projects!$C$4+Projects!$D$4),Projects!$B$4*Assumptions!$B$11/Projects!$D$4,0)+IF(AND(Projects!$G$5="Yes",81&gt;=Projects!$C$5,81&lt;Projects!$C$5+Projects!$D$5),Projects!$B$5*Assumptions!$B$11/Projects!$D$5,0)+IF(AND(Projects!$G$6="Yes",81&gt;=Projects!$C$6,81&lt;Projects!$C$6+Projects!$D$6),330760/Projects!$D$6,0)+IF(AND(Projects!$G$7="Yes",81&gt;=Projects!$C$7,81&lt;Projects!$C$7+Projects!$D$7),Projects!$B$7*Assumptions!$B$11/Projects!$D$7,0)+IF(AND(Projects!$G$8="Yes",81&gt;=Projects!$C$8,81&lt;Projects!$C$8+Projects!$D$8),Projects!$B$8*Assumptions!$B$11/Projects!$D$8,0)+IF(AND(Projects!$G$9="Yes",81&gt;=Projects!$C$9,81&lt;Projects!$C$9+Projects!$D$9),Projects!$B$9*Assumptions!$B$11/Projects!$D$9,0)+IF(AND(Projects!$G$10="Yes",81&gt;=Projects!$C$10,81&lt;Projects!$C$10+Projects!$D$10),Projects!$B$10*Assumptions!$B$11/Projects!$D$10,0)+IF(AND(Projects!$G$11="Yes",81&gt;=Projects!$C$11,81&lt;Projects!$C$11+Projects!$D$11),Projects!$B$11*Assumptions!$B$11/Projects!$D$11,0)+IF(AND(Projects!$G$12="Yes",81&gt;=Projects!$C$12,81&lt;Projects!$C$12+Projects!$D$12),Projects!$B$12*Assumptions!$B$11/Projects!$D$12,0)+IF(AND(Projects!$G$13="Yes",81&gt;=Projects!$C$13,81&lt;Projects!$C$13+Projects!$D$13),Projects!$B$13*Assumptions!$B$11/Projects!$D$13,0)+IF(AND(Projects!$G$14="Yes",81&gt;=Projects!$C$14,81&lt;Projects!$C$14+Projects!$D$14),Projects!$B$14*Assumptions!$B$11/Projects!$D$14,0)+IF(AND(Projects!$G$15="Yes",81&gt;=Projects!$C$15,81&lt;Projects!$C$15+Projects!$D$15),Projects!$B$15*Assumptions!$B$11/Projects!$D$15,0)+IF(AND(Projects!$G$16="Yes",81&gt;=Projects!$C$16,81&lt;Projects!$C$16+Projects!$D$16),Projects!$B$16*Assumptions!$B$11/Projects!$D$16,0)</f>
        <v>0</v>
      </c>
      <c r="CF9" s="10" t="n">
        <f aca="false">IF(AND(Projects!$G$2="Yes",82&gt;=Projects!$C$2,82&lt;Projects!$C$2+Projects!$D$2),243841/Projects!$D$2,0)+IF(AND(Projects!$G$3="Yes",82&gt;=Projects!$C$3,82&lt;Projects!$C$3+Projects!$D$3),950275/Projects!$D$3,0)+IF(AND(Projects!$G$4="Yes",82&gt;=Projects!$C$4,82&lt;Projects!$C$4+Projects!$D$4),Projects!$B$4*Assumptions!$B$11/Projects!$D$4,0)+IF(AND(Projects!$G$5="Yes",82&gt;=Projects!$C$5,82&lt;Projects!$C$5+Projects!$D$5),Projects!$B$5*Assumptions!$B$11/Projects!$D$5,0)+IF(AND(Projects!$G$6="Yes",82&gt;=Projects!$C$6,82&lt;Projects!$C$6+Projects!$D$6),330760/Projects!$D$6,0)+IF(AND(Projects!$G$7="Yes",82&gt;=Projects!$C$7,82&lt;Projects!$C$7+Projects!$D$7),Projects!$B$7*Assumptions!$B$11/Projects!$D$7,0)+IF(AND(Projects!$G$8="Yes",82&gt;=Projects!$C$8,82&lt;Projects!$C$8+Projects!$D$8),Projects!$B$8*Assumptions!$B$11/Projects!$D$8,0)+IF(AND(Projects!$G$9="Yes",82&gt;=Projects!$C$9,82&lt;Projects!$C$9+Projects!$D$9),Projects!$B$9*Assumptions!$B$11/Projects!$D$9,0)+IF(AND(Projects!$G$10="Yes",82&gt;=Projects!$C$10,82&lt;Projects!$C$10+Projects!$D$10),Projects!$B$10*Assumptions!$B$11/Projects!$D$10,0)+IF(AND(Projects!$G$11="Yes",82&gt;=Projects!$C$11,82&lt;Projects!$C$11+Projects!$D$11),Projects!$B$11*Assumptions!$B$11/Projects!$D$11,0)+IF(AND(Projects!$G$12="Yes",82&gt;=Projects!$C$12,82&lt;Projects!$C$12+Projects!$D$12),Projects!$B$12*Assumptions!$B$11/Projects!$D$12,0)+IF(AND(Projects!$G$13="Yes",82&gt;=Projects!$C$13,82&lt;Projects!$C$13+Projects!$D$13),Projects!$B$13*Assumptions!$B$11/Projects!$D$13,0)+IF(AND(Projects!$G$14="Yes",82&gt;=Projects!$C$14,82&lt;Projects!$C$14+Projects!$D$14),Projects!$B$14*Assumptions!$B$11/Projects!$D$14,0)+IF(AND(Projects!$G$15="Yes",82&gt;=Projects!$C$15,82&lt;Projects!$C$15+Projects!$D$15),Projects!$B$15*Assumptions!$B$11/Projects!$D$15,0)+IF(AND(Projects!$G$16="Yes",82&gt;=Projects!$C$16,82&lt;Projects!$C$16+Projects!$D$16),Projects!$B$16*Assumptions!$B$11/Projects!$D$16,0)</f>
        <v>0</v>
      </c>
      <c r="CG9" s="10" t="n">
        <f aca="false">IF(AND(Projects!$G$2="Yes",83&gt;=Projects!$C$2,83&lt;Projects!$C$2+Projects!$D$2),243841/Projects!$D$2,0)+IF(AND(Projects!$G$3="Yes",83&gt;=Projects!$C$3,83&lt;Projects!$C$3+Projects!$D$3),950275/Projects!$D$3,0)+IF(AND(Projects!$G$4="Yes",83&gt;=Projects!$C$4,83&lt;Projects!$C$4+Projects!$D$4),Projects!$B$4*Assumptions!$B$11/Projects!$D$4,0)+IF(AND(Projects!$G$5="Yes",83&gt;=Projects!$C$5,83&lt;Projects!$C$5+Projects!$D$5),Projects!$B$5*Assumptions!$B$11/Projects!$D$5,0)+IF(AND(Projects!$G$6="Yes",83&gt;=Projects!$C$6,83&lt;Projects!$C$6+Projects!$D$6),330760/Projects!$D$6,0)+IF(AND(Projects!$G$7="Yes",83&gt;=Projects!$C$7,83&lt;Projects!$C$7+Projects!$D$7),Projects!$B$7*Assumptions!$B$11/Projects!$D$7,0)+IF(AND(Projects!$G$8="Yes",83&gt;=Projects!$C$8,83&lt;Projects!$C$8+Projects!$D$8),Projects!$B$8*Assumptions!$B$11/Projects!$D$8,0)+IF(AND(Projects!$G$9="Yes",83&gt;=Projects!$C$9,83&lt;Projects!$C$9+Projects!$D$9),Projects!$B$9*Assumptions!$B$11/Projects!$D$9,0)+IF(AND(Projects!$G$10="Yes",83&gt;=Projects!$C$10,83&lt;Projects!$C$10+Projects!$D$10),Projects!$B$10*Assumptions!$B$11/Projects!$D$10,0)+IF(AND(Projects!$G$11="Yes",83&gt;=Projects!$C$11,83&lt;Projects!$C$11+Projects!$D$11),Projects!$B$11*Assumptions!$B$11/Projects!$D$11,0)+IF(AND(Projects!$G$12="Yes",83&gt;=Projects!$C$12,83&lt;Projects!$C$12+Projects!$D$12),Projects!$B$12*Assumptions!$B$11/Projects!$D$12,0)+IF(AND(Projects!$G$13="Yes",83&gt;=Projects!$C$13,83&lt;Projects!$C$13+Projects!$D$13),Projects!$B$13*Assumptions!$B$11/Projects!$D$13,0)+IF(AND(Projects!$G$14="Yes",83&gt;=Projects!$C$14,83&lt;Projects!$C$14+Projects!$D$14),Projects!$B$14*Assumptions!$B$11/Projects!$D$14,0)+IF(AND(Projects!$G$15="Yes",83&gt;=Projects!$C$15,83&lt;Projects!$C$15+Projects!$D$15),Projects!$B$15*Assumptions!$B$11/Projects!$D$15,0)+IF(AND(Projects!$G$16="Yes",83&gt;=Projects!$C$16,83&lt;Projects!$C$16+Projects!$D$16),Projects!$B$16*Assumptions!$B$11/Projects!$D$16,0)</f>
        <v>0</v>
      </c>
      <c r="CH9" s="10" t="n">
        <f aca="false">IF(AND(Projects!$G$2="Yes",84&gt;=Projects!$C$2,84&lt;Projects!$C$2+Projects!$D$2),243841/Projects!$D$2,0)+IF(AND(Projects!$G$3="Yes",84&gt;=Projects!$C$3,84&lt;Projects!$C$3+Projects!$D$3),950275/Projects!$D$3,0)+IF(AND(Projects!$G$4="Yes",84&gt;=Projects!$C$4,84&lt;Projects!$C$4+Projects!$D$4),Projects!$B$4*Assumptions!$B$11/Projects!$D$4,0)+IF(AND(Projects!$G$5="Yes",84&gt;=Projects!$C$5,84&lt;Projects!$C$5+Projects!$D$5),Projects!$B$5*Assumptions!$B$11/Projects!$D$5,0)+IF(AND(Projects!$G$6="Yes",84&gt;=Projects!$C$6,84&lt;Projects!$C$6+Projects!$D$6),330760/Projects!$D$6,0)+IF(AND(Projects!$G$7="Yes",84&gt;=Projects!$C$7,84&lt;Projects!$C$7+Projects!$D$7),Projects!$B$7*Assumptions!$B$11/Projects!$D$7,0)+IF(AND(Projects!$G$8="Yes",84&gt;=Projects!$C$8,84&lt;Projects!$C$8+Projects!$D$8),Projects!$B$8*Assumptions!$B$11/Projects!$D$8,0)+IF(AND(Projects!$G$9="Yes",84&gt;=Projects!$C$9,84&lt;Projects!$C$9+Projects!$D$9),Projects!$B$9*Assumptions!$B$11/Projects!$D$9,0)+IF(AND(Projects!$G$10="Yes",84&gt;=Projects!$C$10,84&lt;Projects!$C$10+Projects!$D$10),Projects!$B$10*Assumptions!$B$11/Projects!$D$10,0)+IF(AND(Projects!$G$11="Yes",84&gt;=Projects!$C$11,84&lt;Projects!$C$11+Projects!$D$11),Projects!$B$11*Assumptions!$B$11/Projects!$D$11,0)+IF(AND(Projects!$G$12="Yes",84&gt;=Projects!$C$12,84&lt;Projects!$C$12+Projects!$D$12),Projects!$B$12*Assumptions!$B$11/Projects!$D$12,0)+IF(AND(Projects!$G$13="Yes",84&gt;=Projects!$C$13,84&lt;Projects!$C$13+Projects!$D$13),Projects!$B$13*Assumptions!$B$11/Projects!$D$13,0)+IF(AND(Projects!$G$14="Yes",84&gt;=Projects!$C$14,84&lt;Projects!$C$14+Projects!$D$14),Projects!$B$14*Assumptions!$B$11/Projects!$D$14,0)+IF(AND(Projects!$G$15="Yes",84&gt;=Projects!$C$15,84&lt;Projects!$C$15+Projects!$D$15),Projects!$B$15*Assumptions!$B$11/Projects!$D$15,0)+IF(AND(Projects!$G$16="Yes",84&gt;=Projects!$C$16,84&lt;Projects!$C$16+Projects!$D$16),Projects!$B$16*Assumptions!$B$11/Projects!$D$16,0)</f>
        <v>0</v>
      </c>
      <c r="CI9" s="25"/>
    </row>
    <row r="10" customFormat="false" ht="15" hidden="false" customHeight="true" outlineLevel="0" collapsed="false">
      <c r="A10" s="9" t="s">
        <v>60</v>
      </c>
      <c r="B10" s="24"/>
      <c r="C10" s="10" t="n">
        <f aca="false">IF(AND(Projects!$G$2="Yes",1&gt;=Projects!$C$2,1&lt;Projects!$C$2+Projects!$D$2),46323/Projects!$D$2,0)+IF(AND(Projects!$G$3="Yes",1&gt;=Projects!$C$3,1&lt;Projects!$C$3+Projects!$D$3),176626/Projects!$D$3,0)+IF(AND(Projects!$G$4="Yes",1&gt;=Projects!$C$4,1&lt;Projects!$C$4+Projects!$D$4),Projects!$B$4*Assumptions!$B$12/Projects!$D$4,0)+IF(AND(Projects!$G$5="Yes",1&gt;=Projects!$C$5,1&lt;Projects!$C$5+Projects!$D$5),Projects!$B$5*Assumptions!$B$12/Projects!$D$5,0)+IF(AND(Projects!$G$6="Yes",1&gt;=Projects!$C$6,1&lt;Projects!$C$6+Projects!$D$6),0/Projects!$D$6,0)+IF(AND(Projects!$G$7="Yes",1&gt;=Projects!$C$7,1&lt;Projects!$C$7+Projects!$D$7),Projects!$B$7*Assumptions!$B$12/Projects!$D$7,0)+IF(AND(Projects!$G$8="Yes",1&gt;=Projects!$C$8,1&lt;Projects!$C$8+Projects!$D$8),Projects!$B$8*Assumptions!$B$12/Projects!$D$8,0)+IF(AND(Projects!$G$9="Yes",1&gt;=Projects!$C$9,1&lt;Projects!$C$9+Projects!$D$9),Projects!$B$9*Assumptions!$B$12/Projects!$D$9,0)+IF(AND(Projects!$G$10="Yes",1&gt;=Projects!$C$10,1&lt;Projects!$C$10+Projects!$D$10),Projects!$B$10*Assumptions!$B$12/Projects!$D$10,0)+IF(AND(Projects!$G$11="Yes",1&gt;=Projects!$C$11,1&lt;Projects!$C$11+Projects!$D$11),Projects!$B$11*Assumptions!$B$12/Projects!$D$11,0)+IF(AND(Projects!$G$12="Yes",1&gt;=Projects!$C$12,1&lt;Projects!$C$12+Projects!$D$12),Projects!$B$12*Assumptions!$B$12/Projects!$D$12,0)+IF(AND(Projects!$G$13="Yes",1&gt;=Projects!$C$13,1&lt;Projects!$C$13+Projects!$D$13),Projects!$B$13*Assumptions!$B$12/Projects!$D$13,0)+IF(AND(Projects!$G$14="Yes",1&gt;=Projects!$C$14,1&lt;Projects!$C$14+Projects!$D$14),Projects!$B$14*Assumptions!$B$12/Projects!$D$14,0)+IF(AND(Projects!$G$15="Yes",1&gt;=Projects!$C$15,1&lt;Projects!$C$15+Projects!$D$15),Projects!$B$15*Assumptions!$B$12/Projects!$D$15,0)+IF(AND(Projects!$G$16="Yes",1&gt;=Projects!$C$16,1&lt;Projects!$C$16+Projects!$D$16),Projects!$B$16*Assumptions!$B$12/Projects!$D$16,0)</f>
        <v>44065.1266233766</v>
      </c>
      <c r="D10" s="10" t="n">
        <f aca="false">IF(AND(Projects!$G$2="Yes",2&gt;=Projects!$C$2,2&lt;Projects!$C$2+Projects!$D$2),46323/Projects!$D$2,0)+IF(AND(Projects!$G$3="Yes",2&gt;=Projects!$C$3,2&lt;Projects!$C$3+Projects!$D$3),176626/Projects!$D$3,0)+IF(AND(Projects!$G$4="Yes",2&gt;=Projects!$C$4,2&lt;Projects!$C$4+Projects!$D$4),Projects!$B$4*Assumptions!$B$12/Projects!$D$4,0)+IF(AND(Projects!$G$5="Yes",2&gt;=Projects!$C$5,2&lt;Projects!$C$5+Projects!$D$5),Projects!$B$5*Assumptions!$B$12/Projects!$D$5,0)+IF(AND(Projects!$G$6="Yes",2&gt;=Projects!$C$6,2&lt;Projects!$C$6+Projects!$D$6),0/Projects!$D$6,0)+IF(AND(Projects!$G$7="Yes",2&gt;=Projects!$C$7,2&lt;Projects!$C$7+Projects!$D$7),Projects!$B$7*Assumptions!$B$12/Projects!$D$7,0)+IF(AND(Projects!$G$8="Yes",2&gt;=Projects!$C$8,2&lt;Projects!$C$8+Projects!$D$8),Projects!$B$8*Assumptions!$B$12/Projects!$D$8,0)+IF(AND(Projects!$G$9="Yes",2&gt;=Projects!$C$9,2&lt;Projects!$C$9+Projects!$D$9),Projects!$B$9*Assumptions!$B$12/Projects!$D$9,0)+IF(AND(Projects!$G$10="Yes",2&gt;=Projects!$C$10,2&lt;Projects!$C$10+Projects!$D$10),Projects!$B$10*Assumptions!$B$12/Projects!$D$10,0)+IF(AND(Projects!$G$11="Yes",2&gt;=Projects!$C$11,2&lt;Projects!$C$11+Projects!$D$11),Projects!$B$11*Assumptions!$B$12/Projects!$D$11,0)+IF(AND(Projects!$G$12="Yes",2&gt;=Projects!$C$12,2&lt;Projects!$C$12+Projects!$D$12),Projects!$B$12*Assumptions!$B$12/Projects!$D$12,0)+IF(AND(Projects!$G$13="Yes",2&gt;=Projects!$C$13,2&lt;Projects!$C$13+Projects!$D$13),Projects!$B$13*Assumptions!$B$12/Projects!$D$13,0)+IF(AND(Projects!$G$14="Yes",2&gt;=Projects!$C$14,2&lt;Projects!$C$14+Projects!$D$14),Projects!$B$14*Assumptions!$B$12/Projects!$D$14,0)+IF(AND(Projects!$G$15="Yes",2&gt;=Projects!$C$15,2&lt;Projects!$C$15+Projects!$D$15),Projects!$B$15*Assumptions!$B$12/Projects!$D$15,0)+IF(AND(Projects!$G$16="Yes",2&gt;=Projects!$C$16,2&lt;Projects!$C$16+Projects!$D$16),Projects!$B$16*Assumptions!$B$12/Projects!$D$16,0)</f>
        <v>44065.1266233766</v>
      </c>
      <c r="E10" s="10" t="n">
        <f aca="false">IF(AND(Projects!$G$2="Yes",3&gt;=Projects!$C$2,3&lt;Projects!$C$2+Projects!$D$2),46323/Projects!$D$2,0)+IF(AND(Projects!$G$3="Yes",3&gt;=Projects!$C$3,3&lt;Projects!$C$3+Projects!$D$3),176626/Projects!$D$3,0)+IF(AND(Projects!$G$4="Yes",3&gt;=Projects!$C$4,3&lt;Projects!$C$4+Projects!$D$4),Projects!$B$4*Assumptions!$B$12/Projects!$D$4,0)+IF(AND(Projects!$G$5="Yes",3&gt;=Projects!$C$5,3&lt;Projects!$C$5+Projects!$D$5),Projects!$B$5*Assumptions!$B$12/Projects!$D$5,0)+IF(AND(Projects!$G$6="Yes",3&gt;=Projects!$C$6,3&lt;Projects!$C$6+Projects!$D$6),0/Projects!$D$6,0)+IF(AND(Projects!$G$7="Yes",3&gt;=Projects!$C$7,3&lt;Projects!$C$7+Projects!$D$7),Projects!$B$7*Assumptions!$B$12/Projects!$D$7,0)+IF(AND(Projects!$G$8="Yes",3&gt;=Projects!$C$8,3&lt;Projects!$C$8+Projects!$D$8),Projects!$B$8*Assumptions!$B$12/Projects!$D$8,0)+IF(AND(Projects!$G$9="Yes",3&gt;=Projects!$C$9,3&lt;Projects!$C$9+Projects!$D$9),Projects!$B$9*Assumptions!$B$12/Projects!$D$9,0)+IF(AND(Projects!$G$10="Yes",3&gt;=Projects!$C$10,3&lt;Projects!$C$10+Projects!$D$10),Projects!$B$10*Assumptions!$B$12/Projects!$D$10,0)+IF(AND(Projects!$G$11="Yes",3&gt;=Projects!$C$11,3&lt;Projects!$C$11+Projects!$D$11),Projects!$B$11*Assumptions!$B$12/Projects!$D$11,0)+IF(AND(Projects!$G$12="Yes",3&gt;=Projects!$C$12,3&lt;Projects!$C$12+Projects!$D$12),Projects!$B$12*Assumptions!$B$12/Projects!$D$12,0)+IF(AND(Projects!$G$13="Yes",3&gt;=Projects!$C$13,3&lt;Projects!$C$13+Projects!$D$13),Projects!$B$13*Assumptions!$B$12/Projects!$D$13,0)+IF(AND(Projects!$G$14="Yes",3&gt;=Projects!$C$14,3&lt;Projects!$C$14+Projects!$D$14),Projects!$B$14*Assumptions!$B$12/Projects!$D$14,0)+IF(AND(Projects!$G$15="Yes",3&gt;=Projects!$C$15,3&lt;Projects!$C$15+Projects!$D$15),Projects!$B$15*Assumptions!$B$12/Projects!$D$15,0)+IF(AND(Projects!$G$16="Yes",3&gt;=Projects!$C$16,3&lt;Projects!$C$16+Projects!$D$16),Projects!$B$16*Assumptions!$B$12/Projects!$D$16,0)</f>
        <v>44065.1266233766</v>
      </c>
      <c r="F10" s="10" t="n">
        <f aca="false">IF(AND(Projects!$G$2="Yes",4&gt;=Projects!$C$2,4&lt;Projects!$C$2+Projects!$D$2),46323/Projects!$D$2,0)+IF(AND(Projects!$G$3="Yes",4&gt;=Projects!$C$3,4&lt;Projects!$C$3+Projects!$D$3),176626/Projects!$D$3,0)+IF(AND(Projects!$G$4="Yes",4&gt;=Projects!$C$4,4&lt;Projects!$C$4+Projects!$D$4),Projects!$B$4*Assumptions!$B$12/Projects!$D$4,0)+IF(AND(Projects!$G$5="Yes",4&gt;=Projects!$C$5,4&lt;Projects!$C$5+Projects!$D$5),Projects!$B$5*Assumptions!$B$12/Projects!$D$5,0)+IF(AND(Projects!$G$6="Yes",4&gt;=Projects!$C$6,4&lt;Projects!$C$6+Projects!$D$6),0/Projects!$D$6,0)+IF(AND(Projects!$G$7="Yes",4&gt;=Projects!$C$7,4&lt;Projects!$C$7+Projects!$D$7),Projects!$B$7*Assumptions!$B$12/Projects!$D$7,0)+IF(AND(Projects!$G$8="Yes",4&gt;=Projects!$C$8,4&lt;Projects!$C$8+Projects!$D$8),Projects!$B$8*Assumptions!$B$12/Projects!$D$8,0)+IF(AND(Projects!$G$9="Yes",4&gt;=Projects!$C$9,4&lt;Projects!$C$9+Projects!$D$9),Projects!$B$9*Assumptions!$B$12/Projects!$D$9,0)+IF(AND(Projects!$G$10="Yes",4&gt;=Projects!$C$10,4&lt;Projects!$C$10+Projects!$D$10),Projects!$B$10*Assumptions!$B$12/Projects!$D$10,0)+IF(AND(Projects!$G$11="Yes",4&gt;=Projects!$C$11,4&lt;Projects!$C$11+Projects!$D$11),Projects!$B$11*Assumptions!$B$12/Projects!$D$11,0)+IF(AND(Projects!$G$12="Yes",4&gt;=Projects!$C$12,4&lt;Projects!$C$12+Projects!$D$12),Projects!$B$12*Assumptions!$B$12/Projects!$D$12,0)+IF(AND(Projects!$G$13="Yes",4&gt;=Projects!$C$13,4&lt;Projects!$C$13+Projects!$D$13),Projects!$B$13*Assumptions!$B$12/Projects!$D$13,0)+IF(AND(Projects!$G$14="Yes",4&gt;=Projects!$C$14,4&lt;Projects!$C$14+Projects!$D$14),Projects!$B$14*Assumptions!$B$12/Projects!$D$14,0)+IF(AND(Projects!$G$15="Yes",4&gt;=Projects!$C$15,4&lt;Projects!$C$15+Projects!$D$15),Projects!$B$15*Assumptions!$B$12/Projects!$D$15,0)+IF(AND(Projects!$G$16="Yes",4&gt;=Projects!$C$16,4&lt;Projects!$C$16+Projects!$D$16),Projects!$B$16*Assumptions!$B$12/Projects!$D$16,0)</f>
        <v>67316.4512987013</v>
      </c>
      <c r="G10" s="10" t="n">
        <f aca="false">IF(AND(Projects!$G$2="Yes",5&gt;=Projects!$C$2,5&lt;Projects!$C$2+Projects!$D$2),46323/Projects!$D$2,0)+IF(AND(Projects!$G$3="Yes",5&gt;=Projects!$C$3,5&lt;Projects!$C$3+Projects!$D$3),176626/Projects!$D$3,0)+IF(AND(Projects!$G$4="Yes",5&gt;=Projects!$C$4,5&lt;Projects!$C$4+Projects!$D$4),Projects!$B$4*Assumptions!$B$12/Projects!$D$4,0)+IF(AND(Projects!$G$5="Yes",5&gt;=Projects!$C$5,5&lt;Projects!$C$5+Projects!$D$5),Projects!$B$5*Assumptions!$B$12/Projects!$D$5,0)+IF(AND(Projects!$G$6="Yes",5&gt;=Projects!$C$6,5&lt;Projects!$C$6+Projects!$D$6),0/Projects!$D$6,0)+IF(AND(Projects!$G$7="Yes",5&gt;=Projects!$C$7,5&lt;Projects!$C$7+Projects!$D$7),Projects!$B$7*Assumptions!$B$12/Projects!$D$7,0)+IF(AND(Projects!$G$8="Yes",5&gt;=Projects!$C$8,5&lt;Projects!$C$8+Projects!$D$8),Projects!$B$8*Assumptions!$B$12/Projects!$D$8,0)+IF(AND(Projects!$G$9="Yes",5&gt;=Projects!$C$9,5&lt;Projects!$C$9+Projects!$D$9),Projects!$B$9*Assumptions!$B$12/Projects!$D$9,0)+IF(AND(Projects!$G$10="Yes",5&gt;=Projects!$C$10,5&lt;Projects!$C$10+Projects!$D$10),Projects!$B$10*Assumptions!$B$12/Projects!$D$10,0)+IF(AND(Projects!$G$11="Yes",5&gt;=Projects!$C$11,5&lt;Projects!$C$11+Projects!$D$11),Projects!$B$11*Assumptions!$B$12/Projects!$D$11,0)+IF(AND(Projects!$G$12="Yes",5&gt;=Projects!$C$12,5&lt;Projects!$C$12+Projects!$D$12),Projects!$B$12*Assumptions!$B$12/Projects!$D$12,0)+IF(AND(Projects!$G$13="Yes",5&gt;=Projects!$C$13,5&lt;Projects!$C$13+Projects!$D$13),Projects!$B$13*Assumptions!$B$12/Projects!$D$13,0)+IF(AND(Projects!$G$14="Yes",5&gt;=Projects!$C$14,5&lt;Projects!$C$14+Projects!$D$14),Projects!$B$14*Assumptions!$B$12/Projects!$D$14,0)+IF(AND(Projects!$G$15="Yes",5&gt;=Projects!$C$15,5&lt;Projects!$C$15+Projects!$D$15),Projects!$B$15*Assumptions!$B$12/Projects!$D$15,0)+IF(AND(Projects!$G$16="Yes",5&gt;=Projects!$C$16,5&lt;Projects!$C$16+Projects!$D$16),Projects!$B$16*Assumptions!$B$12/Projects!$D$16,0)</f>
        <v>67316.4512987013</v>
      </c>
      <c r="H10" s="10" t="n">
        <f aca="false">IF(AND(Projects!$G$2="Yes",6&gt;=Projects!$C$2,6&lt;Projects!$C$2+Projects!$D$2),46323/Projects!$D$2,0)+IF(AND(Projects!$G$3="Yes",6&gt;=Projects!$C$3,6&lt;Projects!$C$3+Projects!$D$3),176626/Projects!$D$3,0)+IF(AND(Projects!$G$4="Yes",6&gt;=Projects!$C$4,6&lt;Projects!$C$4+Projects!$D$4),Projects!$B$4*Assumptions!$B$12/Projects!$D$4,0)+IF(AND(Projects!$G$5="Yes",6&gt;=Projects!$C$5,6&lt;Projects!$C$5+Projects!$D$5),Projects!$B$5*Assumptions!$B$12/Projects!$D$5,0)+IF(AND(Projects!$G$6="Yes",6&gt;=Projects!$C$6,6&lt;Projects!$C$6+Projects!$D$6),0/Projects!$D$6,0)+IF(AND(Projects!$G$7="Yes",6&gt;=Projects!$C$7,6&lt;Projects!$C$7+Projects!$D$7),Projects!$B$7*Assumptions!$B$12/Projects!$D$7,0)+IF(AND(Projects!$G$8="Yes",6&gt;=Projects!$C$8,6&lt;Projects!$C$8+Projects!$D$8),Projects!$B$8*Assumptions!$B$12/Projects!$D$8,0)+IF(AND(Projects!$G$9="Yes",6&gt;=Projects!$C$9,6&lt;Projects!$C$9+Projects!$D$9),Projects!$B$9*Assumptions!$B$12/Projects!$D$9,0)+IF(AND(Projects!$G$10="Yes",6&gt;=Projects!$C$10,6&lt;Projects!$C$10+Projects!$D$10),Projects!$B$10*Assumptions!$B$12/Projects!$D$10,0)+IF(AND(Projects!$G$11="Yes",6&gt;=Projects!$C$11,6&lt;Projects!$C$11+Projects!$D$11),Projects!$B$11*Assumptions!$B$12/Projects!$D$11,0)+IF(AND(Projects!$G$12="Yes",6&gt;=Projects!$C$12,6&lt;Projects!$C$12+Projects!$D$12),Projects!$B$12*Assumptions!$B$12/Projects!$D$12,0)+IF(AND(Projects!$G$13="Yes",6&gt;=Projects!$C$13,6&lt;Projects!$C$13+Projects!$D$13),Projects!$B$13*Assumptions!$B$12/Projects!$D$13,0)+IF(AND(Projects!$G$14="Yes",6&gt;=Projects!$C$14,6&lt;Projects!$C$14+Projects!$D$14),Projects!$B$14*Assumptions!$B$12/Projects!$D$14,0)+IF(AND(Projects!$G$15="Yes",6&gt;=Projects!$C$15,6&lt;Projects!$C$15+Projects!$D$15),Projects!$B$15*Assumptions!$B$12/Projects!$D$15,0)+IF(AND(Projects!$G$16="Yes",6&gt;=Projects!$C$16,6&lt;Projects!$C$16+Projects!$D$16),Projects!$B$16*Assumptions!$B$12/Projects!$D$16,0)</f>
        <v>67316.4512987013</v>
      </c>
      <c r="I10" s="10" t="n">
        <f aca="false">IF(AND(Projects!$G$2="Yes",7&gt;=Projects!$C$2,7&lt;Projects!$C$2+Projects!$D$2),46323/Projects!$D$2,0)+IF(AND(Projects!$G$3="Yes",7&gt;=Projects!$C$3,7&lt;Projects!$C$3+Projects!$D$3),176626/Projects!$D$3,0)+IF(AND(Projects!$G$4="Yes",7&gt;=Projects!$C$4,7&lt;Projects!$C$4+Projects!$D$4),Projects!$B$4*Assumptions!$B$12/Projects!$D$4,0)+IF(AND(Projects!$G$5="Yes",7&gt;=Projects!$C$5,7&lt;Projects!$C$5+Projects!$D$5),Projects!$B$5*Assumptions!$B$12/Projects!$D$5,0)+IF(AND(Projects!$G$6="Yes",7&gt;=Projects!$C$6,7&lt;Projects!$C$6+Projects!$D$6),0/Projects!$D$6,0)+IF(AND(Projects!$G$7="Yes",7&gt;=Projects!$C$7,7&lt;Projects!$C$7+Projects!$D$7),Projects!$B$7*Assumptions!$B$12/Projects!$D$7,0)+IF(AND(Projects!$G$8="Yes",7&gt;=Projects!$C$8,7&lt;Projects!$C$8+Projects!$D$8),Projects!$B$8*Assumptions!$B$12/Projects!$D$8,0)+IF(AND(Projects!$G$9="Yes",7&gt;=Projects!$C$9,7&lt;Projects!$C$9+Projects!$D$9),Projects!$B$9*Assumptions!$B$12/Projects!$D$9,0)+IF(AND(Projects!$G$10="Yes",7&gt;=Projects!$C$10,7&lt;Projects!$C$10+Projects!$D$10),Projects!$B$10*Assumptions!$B$12/Projects!$D$10,0)+IF(AND(Projects!$G$11="Yes",7&gt;=Projects!$C$11,7&lt;Projects!$C$11+Projects!$D$11),Projects!$B$11*Assumptions!$B$12/Projects!$D$11,0)+IF(AND(Projects!$G$12="Yes",7&gt;=Projects!$C$12,7&lt;Projects!$C$12+Projects!$D$12),Projects!$B$12*Assumptions!$B$12/Projects!$D$12,0)+IF(AND(Projects!$G$13="Yes",7&gt;=Projects!$C$13,7&lt;Projects!$C$13+Projects!$D$13),Projects!$B$13*Assumptions!$B$12/Projects!$D$13,0)+IF(AND(Projects!$G$14="Yes",7&gt;=Projects!$C$14,7&lt;Projects!$C$14+Projects!$D$14),Projects!$B$14*Assumptions!$B$12/Projects!$D$14,0)+IF(AND(Projects!$G$15="Yes",7&gt;=Projects!$C$15,7&lt;Projects!$C$15+Projects!$D$15),Projects!$B$15*Assumptions!$B$12/Projects!$D$15,0)+IF(AND(Projects!$G$16="Yes",7&gt;=Projects!$C$16,7&lt;Projects!$C$16+Projects!$D$16),Projects!$B$16*Assumptions!$B$12/Projects!$D$16,0)</f>
        <v>87532.5009968102</v>
      </c>
      <c r="J10" s="10" t="n">
        <f aca="false">IF(AND(Projects!$G$2="Yes",8&gt;=Projects!$C$2,8&lt;Projects!$C$2+Projects!$D$2),46323/Projects!$D$2,0)+IF(AND(Projects!$G$3="Yes",8&gt;=Projects!$C$3,8&lt;Projects!$C$3+Projects!$D$3),176626/Projects!$D$3,0)+IF(AND(Projects!$G$4="Yes",8&gt;=Projects!$C$4,8&lt;Projects!$C$4+Projects!$D$4),Projects!$B$4*Assumptions!$B$12/Projects!$D$4,0)+IF(AND(Projects!$G$5="Yes",8&gt;=Projects!$C$5,8&lt;Projects!$C$5+Projects!$D$5),Projects!$B$5*Assumptions!$B$12/Projects!$D$5,0)+IF(AND(Projects!$G$6="Yes",8&gt;=Projects!$C$6,8&lt;Projects!$C$6+Projects!$D$6),0/Projects!$D$6,0)+IF(AND(Projects!$G$7="Yes",8&gt;=Projects!$C$7,8&lt;Projects!$C$7+Projects!$D$7),Projects!$B$7*Assumptions!$B$12/Projects!$D$7,0)+IF(AND(Projects!$G$8="Yes",8&gt;=Projects!$C$8,8&lt;Projects!$C$8+Projects!$D$8),Projects!$B$8*Assumptions!$B$12/Projects!$D$8,0)+IF(AND(Projects!$G$9="Yes",8&gt;=Projects!$C$9,8&lt;Projects!$C$9+Projects!$D$9),Projects!$B$9*Assumptions!$B$12/Projects!$D$9,0)+IF(AND(Projects!$G$10="Yes",8&gt;=Projects!$C$10,8&lt;Projects!$C$10+Projects!$D$10),Projects!$B$10*Assumptions!$B$12/Projects!$D$10,0)+IF(AND(Projects!$G$11="Yes",8&gt;=Projects!$C$11,8&lt;Projects!$C$11+Projects!$D$11),Projects!$B$11*Assumptions!$B$12/Projects!$D$11,0)+IF(AND(Projects!$G$12="Yes",8&gt;=Projects!$C$12,8&lt;Projects!$C$12+Projects!$D$12),Projects!$B$12*Assumptions!$B$12/Projects!$D$12,0)+IF(AND(Projects!$G$13="Yes",8&gt;=Projects!$C$13,8&lt;Projects!$C$13+Projects!$D$13),Projects!$B$13*Assumptions!$B$12/Projects!$D$13,0)+IF(AND(Projects!$G$14="Yes",8&gt;=Projects!$C$14,8&lt;Projects!$C$14+Projects!$D$14),Projects!$B$14*Assumptions!$B$12/Projects!$D$14,0)+IF(AND(Projects!$G$15="Yes",8&gt;=Projects!$C$15,8&lt;Projects!$C$15+Projects!$D$15),Projects!$B$15*Assumptions!$B$12/Projects!$D$15,0)+IF(AND(Projects!$G$16="Yes",8&gt;=Projects!$C$16,8&lt;Projects!$C$16+Projects!$D$16),Projects!$B$16*Assumptions!$B$12/Projects!$D$16,0)</f>
        <v>101915.215417806</v>
      </c>
      <c r="K10" s="10" t="n">
        <f aca="false">IF(AND(Projects!$G$2="Yes",9&gt;=Projects!$C$2,9&lt;Projects!$C$2+Projects!$D$2),46323/Projects!$D$2,0)+IF(AND(Projects!$G$3="Yes",9&gt;=Projects!$C$3,9&lt;Projects!$C$3+Projects!$D$3),176626/Projects!$D$3,0)+IF(AND(Projects!$G$4="Yes",9&gt;=Projects!$C$4,9&lt;Projects!$C$4+Projects!$D$4),Projects!$B$4*Assumptions!$B$12/Projects!$D$4,0)+IF(AND(Projects!$G$5="Yes",9&gt;=Projects!$C$5,9&lt;Projects!$C$5+Projects!$D$5),Projects!$B$5*Assumptions!$B$12/Projects!$D$5,0)+IF(AND(Projects!$G$6="Yes",9&gt;=Projects!$C$6,9&lt;Projects!$C$6+Projects!$D$6),0/Projects!$D$6,0)+IF(AND(Projects!$G$7="Yes",9&gt;=Projects!$C$7,9&lt;Projects!$C$7+Projects!$D$7),Projects!$B$7*Assumptions!$B$12/Projects!$D$7,0)+IF(AND(Projects!$G$8="Yes",9&gt;=Projects!$C$8,9&lt;Projects!$C$8+Projects!$D$8),Projects!$B$8*Assumptions!$B$12/Projects!$D$8,0)+IF(AND(Projects!$G$9="Yes",9&gt;=Projects!$C$9,9&lt;Projects!$C$9+Projects!$D$9),Projects!$B$9*Assumptions!$B$12/Projects!$D$9,0)+IF(AND(Projects!$G$10="Yes",9&gt;=Projects!$C$10,9&lt;Projects!$C$10+Projects!$D$10),Projects!$B$10*Assumptions!$B$12/Projects!$D$10,0)+IF(AND(Projects!$G$11="Yes",9&gt;=Projects!$C$11,9&lt;Projects!$C$11+Projects!$D$11),Projects!$B$11*Assumptions!$B$12/Projects!$D$11,0)+IF(AND(Projects!$G$12="Yes",9&gt;=Projects!$C$12,9&lt;Projects!$C$12+Projects!$D$12),Projects!$B$12*Assumptions!$B$12/Projects!$D$12,0)+IF(AND(Projects!$G$13="Yes",9&gt;=Projects!$C$13,9&lt;Projects!$C$13+Projects!$D$13),Projects!$B$13*Assumptions!$B$12/Projects!$D$13,0)+IF(AND(Projects!$G$14="Yes",9&gt;=Projects!$C$14,9&lt;Projects!$C$14+Projects!$D$14),Projects!$B$14*Assumptions!$B$12/Projects!$D$14,0)+IF(AND(Projects!$G$15="Yes",9&gt;=Projects!$C$15,9&lt;Projects!$C$15+Projects!$D$15),Projects!$B$15*Assumptions!$B$12/Projects!$D$15,0)+IF(AND(Projects!$G$16="Yes",9&gt;=Projects!$C$16,9&lt;Projects!$C$16+Projects!$D$16),Projects!$B$16*Assumptions!$B$12/Projects!$D$16,0)</f>
        <v>96124.8404178059</v>
      </c>
      <c r="L10" s="10" t="n">
        <f aca="false">IF(AND(Projects!$G$2="Yes",10&gt;=Projects!$C$2,10&lt;Projects!$C$2+Projects!$D$2),46323/Projects!$D$2,0)+IF(AND(Projects!$G$3="Yes",10&gt;=Projects!$C$3,10&lt;Projects!$C$3+Projects!$D$3),176626/Projects!$D$3,0)+IF(AND(Projects!$G$4="Yes",10&gt;=Projects!$C$4,10&lt;Projects!$C$4+Projects!$D$4),Projects!$B$4*Assumptions!$B$12/Projects!$D$4,0)+IF(AND(Projects!$G$5="Yes",10&gt;=Projects!$C$5,10&lt;Projects!$C$5+Projects!$D$5),Projects!$B$5*Assumptions!$B$12/Projects!$D$5,0)+IF(AND(Projects!$G$6="Yes",10&gt;=Projects!$C$6,10&lt;Projects!$C$6+Projects!$D$6),0/Projects!$D$6,0)+IF(AND(Projects!$G$7="Yes",10&gt;=Projects!$C$7,10&lt;Projects!$C$7+Projects!$D$7),Projects!$B$7*Assumptions!$B$12/Projects!$D$7,0)+IF(AND(Projects!$G$8="Yes",10&gt;=Projects!$C$8,10&lt;Projects!$C$8+Projects!$D$8),Projects!$B$8*Assumptions!$B$12/Projects!$D$8,0)+IF(AND(Projects!$G$9="Yes",10&gt;=Projects!$C$9,10&lt;Projects!$C$9+Projects!$D$9),Projects!$B$9*Assumptions!$B$12/Projects!$D$9,0)+IF(AND(Projects!$G$10="Yes",10&gt;=Projects!$C$10,10&lt;Projects!$C$10+Projects!$D$10),Projects!$B$10*Assumptions!$B$12/Projects!$D$10,0)+IF(AND(Projects!$G$11="Yes",10&gt;=Projects!$C$11,10&lt;Projects!$C$11+Projects!$D$11),Projects!$B$11*Assumptions!$B$12/Projects!$D$11,0)+IF(AND(Projects!$G$12="Yes",10&gt;=Projects!$C$12,10&lt;Projects!$C$12+Projects!$D$12),Projects!$B$12*Assumptions!$B$12/Projects!$D$12,0)+IF(AND(Projects!$G$13="Yes",10&gt;=Projects!$C$13,10&lt;Projects!$C$13+Projects!$D$13),Projects!$B$13*Assumptions!$B$12/Projects!$D$13,0)+IF(AND(Projects!$G$14="Yes",10&gt;=Projects!$C$14,10&lt;Projects!$C$14+Projects!$D$14),Projects!$B$14*Assumptions!$B$12/Projects!$D$14,0)+IF(AND(Projects!$G$15="Yes",10&gt;=Projects!$C$15,10&lt;Projects!$C$15+Projects!$D$15),Projects!$B$15*Assumptions!$B$12/Projects!$D$15,0)+IF(AND(Projects!$G$16="Yes",10&gt;=Projects!$C$16,10&lt;Projects!$C$16+Projects!$D$16),Projects!$B$16*Assumptions!$B$12/Projects!$D$16,0)</f>
        <v>96124.8404178059</v>
      </c>
      <c r="M10" s="10" t="n">
        <f aca="false">IF(AND(Projects!$G$2="Yes",11&gt;=Projects!$C$2,11&lt;Projects!$C$2+Projects!$D$2),46323/Projects!$D$2,0)+IF(AND(Projects!$G$3="Yes",11&gt;=Projects!$C$3,11&lt;Projects!$C$3+Projects!$D$3),176626/Projects!$D$3,0)+IF(AND(Projects!$G$4="Yes",11&gt;=Projects!$C$4,11&lt;Projects!$C$4+Projects!$D$4),Projects!$B$4*Assumptions!$B$12/Projects!$D$4,0)+IF(AND(Projects!$G$5="Yes",11&gt;=Projects!$C$5,11&lt;Projects!$C$5+Projects!$D$5),Projects!$B$5*Assumptions!$B$12/Projects!$D$5,0)+IF(AND(Projects!$G$6="Yes",11&gt;=Projects!$C$6,11&lt;Projects!$C$6+Projects!$D$6),0/Projects!$D$6,0)+IF(AND(Projects!$G$7="Yes",11&gt;=Projects!$C$7,11&lt;Projects!$C$7+Projects!$D$7),Projects!$B$7*Assumptions!$B$12/Projects!$D$7,0)+IF(AND(Projects!$G$8="Yes",11&gt;=Projects!$C$8,11&lt;Projects!$C$8+Projects!$D$8),Projects!$B$8*Assumptions!$B$12/Projects!$D$8,0)+IF(AND(Projects!$G$9="Yes",11&gt;=Projects!$C$9,11&lt;Projects!$C$9+Projects!$D$9),Projects!$B$9*Assumptions!$B$12/Projects!$D$9,0)+IF(AND(Projects!$G$10="Yes",11&gt;=Projects!$C$10,11&lt;Projects!$C$10+Projects!$D$10),Projects!$B$10*Assumptions!$B$12/Projects!$D$10,0)+IF(AND(Projects!$G$11="Yes",11&gt;=Projects!$C$11,11&lt;Projects!$C$11+Projects!$D$11),Projects!$B$11*Assumptions!$B$12/Projects!$D$11,0)+IF(AND(Projects!$G$12="Yes",11&gt;=Projects!$C$12,11&lt;Projects!$C$12+Projects!$D$12),Projects!$B$12*Assumptions!$B$12/Projects!$D$12,0)+IF(AND(Projects!$G$13="Yes",11&gt;=Projects!$C$13,11&lt;Projects!$C$13+Projects!$D$13),Projects!$B$13*Assumptions!$B$12/Projects!$D$13,0)+IF(AND(Projects!$G$14="Yes",11&gt;=Projects!$C$14,11&lt;Projects!$C$14+Projects!$D$14),Projects!$B$14*Assumptions!$B$12/Projects!$D$14,0)+IF(AND(Projects!$G$15="Yes",11&gt;=Projects!$C$15,11&lt;Projects!$C$15+Projects!$D$15),Projects!$B$15*Assumptions!$B$12/Projects!$D$15,0)+IF(AND(Projects!$G$16="Yes",11&gt;=Projects!$C$16,11&lt;Projects!$C$16+Projects!$D$16),Projects!$B$16*Assumptions!$B$12/Projects!$D$16,0)</f>
        <v>96124.8404178059</v>
      </c>
      <c r="N10" s="10" t="n">
        <f aca="false">IF(AND(Projects!$G$2="Yes",12&gt;=Projects!$C$2,12&lt;Projects!$C$2+Projects!$D$2),46323/Projects!$D$2,0)+IF(AND(Projects!$G$3="Yes",12&gt;=Projects!$C$3,12&lt;Projects!$C$3+Projects!$D$3),176626/Projects!$D$3,0)+IF(AND(Projects!$G$4="Yes",12&gt;=Projects!$C$4,12&lt;Projects!$C$4+Projects!$D$4),Projects!$B$4*Assumptions!$B$12/Projects!$D$4,0)+IF(AND(Projects!$G$5="Yes",12&gt;=Projects!$C$5,12&lt;Projects!$C$5+Projects!$D$5),Projects!$B$5*Assumptions!$B$12/Projects!$D$5,0)+IF(AND(Projects!$G$6="Yes",12&gt;=Projects!$C$6,12&lt;Projects!$C$6+Projects!$D$6),0/Projects!$D$6,0)+IF(AND(Projects!$G$7="Yes",12&gt;=Projects!$C$7,12&lt;Projects!$C$7+Projects!$D$7),Projects!$B$7*Assumptions!$B$12/Projects!$D$7,0)+IF(AND(Projects!$G$8="Yes",12&gt;=Projects!$C$8,12&lt;Projects!$C$8+Projects!$D$8),Projects!$B$8*Assumptions!$B$12/Projects!$D$8,0)+IF(AND(Projects!$G$9="Yes",12&gt;=Projects!$C$9,12&lt;Projects!$C$9+Projects!$D$9),Projects!$B$9*Assumptions!$B$12/Projects!$D$9,0)+IF(AND(Projects!$G$10="Yes",12&gt;=Projects!$C$10,12&lt;Projects!$C$10+Projects!$D$10),Projects!$B$10*Assumptions!$B$12/Projects!$D$10,0)+IF(AND(Projects!$G$11="Yes",12&gt;=Projects!$C$11,12&lt;Projects!$C$11+Projects!$D$11),Projects!$B$11*Assumptions!$B$12/Projects!$D$11,0)+IF(AND(Projects!$G$12="Yes",12&gt;=Projects!$C$12,12&lt;Projects!$C$12+Projects!$D$12),Projects!$B$12*Assumptions!$B$12/Projects!$D$12,0)+IF(AND(Projects!$G$13="Yes",12&gt;=Projects!$C$13,12&lt;Projects!$C$13+Projects!$D$13),Projects!$B$13*Assumptions!$B$12/Projects!$D$13,0)+IF(AND(Projects!$G$14="Yes",12&gt;=Projects!$C$14,12&lt;Projects!$C$14+Projects!$D$14),Projects!$B$14*Assumptions!$B$12/Projects!$D$14,0)+IF(AND(Projects!$G$15="Yes",12&gt;=Projects!$C$15,12&lt;Projects!$C$15+Projects!$D$15),Projects!$B$15*Assumptions!$B$12/Projects!$D$15,0)+IF(AND(Projects!$G$16="Yes",12&gt;=Projects!$C$16,12&lt;Projects!$C$16+Projects!$D$16),Projects!$B$16*Assumptions!$B$12/Projects!$D$16,0)</f>
        <v>96124.8404178059</v>
      </c>
      <c r="O10" s="10" t="n">
        <f aca="false">IF(AND(Projects!$G$2="Yes",13&gt;=Projects!$C$2,13&lt;Projects!$C$2+Projects!$D$2),46323/Projects!$D$2,0)+IF(AND(Projects!$G$3="Yes",13&gt;=Projects!$C$3,13&lt;Projects!$C$3+Projects!$D$3),176626/Projects!$D$3,0)+IF(AND(Projects!$G$4="Yes",13&gt;=Projects!$C$4,13&lt;Projects!$C$4+Projects!$D$4),Projects!$B$4*Assumptions!$B$12/Projects!$D$4,0)+IF(AND(Projects!$G$5="Yes",13&gt;=Projects!$C$5,13&lt;Projects!$C$5+Projects!$D$5),Projects!$B$5*Assumptions!$B$12/Projects!$D$5,0)+IF(AND(Projects!$G$6="Yes",13&gt;=Projects!$C$6,13&lt;Projects!$C$6+Projects!$D$6),0/Projects!$D$6,0)+IF(AND(Projects!$G$7="Yes",13&gt;=Projects!$C$7,13&lt;Projects!$C$7+Projects!$D$7),Projects!$B$7*Assumptions!$B$12/Projects!$D$7,0)+IF(AND(Projects!$G$8="Yes",13&gt;=Projects!$C$8,13&lt;Projects!$C$8+Projects!$D$8),Projects!$B$8*Assumptions!$B$12/Projects!$D$8,0)+IF(AND(Projects!$G$9="Yes",13&gt;=Projects!$C$9,13&lt;Projects!$C$9+Projects!$D$9),Projects!$B$9*Assumptions!$B$12/Projects!$D$9,0)+IF(AND(Projects!$G$10="Yes",13&gt;=Projects!$C$10,13&lt;Projects!$C$10+Projects!$D$10),Projects!$B$10*Assumptions!$B$12/Projects!$D$10,0)+IF(AND(Projects!$G$11="Yes",13&gt;=Projects!$C$11,13&lt;Projects!$C$11+Projects!$D$11),Projects!$B$11*Assumptions!$B$12/Projects!$D$11,0)+IF(AND(Projects!$G$12="Yes",13&gt;=Projects!$C$12,13&lt;Projects!$C$12+Projects!$D$12),Projects!$B$12*Assumptions!$B$12/Projects!$D$12,0)+IF(AND(Projects!$G$13="Yes",13&gt;=Projects!$C$13,13&lt;Projects!$C$13+Projects!$D$13),Projects!$B$13*Assumptions!$B$12/Projects!$D$13,0)+IF(AND(Projects!$G$14="Yes",13&gt;=Projects!$C$14,13&lt;Projects!$C$14+Projects!$D$14),Projects!$B$14*Assumptions!$B$12/Projects!$D$14,0)+IF(AND(Projects!$G$15="Yes",13&gt;=Projects!$C$15,13&lt;Projects!$C$15+Projects!$D$15),Projects!$B$15*Assumptions!$B$12/Projects!$D$15,0)+IF(AND(Projects!$G$16="Yes",13&gt;=Projects!$C$16,13&lt;Projects!$C$16+Projects!$D$16),Projects!$B$16*Assumptions!$B$12/Projects!$D$16,0)</f>
        <v>120619.845829061</v>
      </c>
      <c r="P10" s="10" t="n">
        <f aca="false">IF(AND(Projects!$G$2="Yes",14&gt;=Projects!$C$2,14&lt;Projects!$C$2+Projects!$D$2),46323/Projects!$D$2,0)+IF(AND(Projects!$G$3="Yes",14&gt;=Projects!$C$3,14&lt;Projects!$C$3+Projects!$D$3),176626/Projects!$D$3,0)+IF(AND(Projects!$G$4="Yes",14&gt;=Projects!$C$4,14&lt;Projects!$C$4+Projects!$D$4),Projects!$B$4*Assumptions!$B$12/Projects!$D$4,0)+IF(AND(Projects!$G$5="Yes",14&gt;=Projects!$C$5,14&lt;Projects!$C$5+Projects!$D$5),Projects!$B$5*Assumptions!$B$12/Projects!$D$5,0)+IF(AND(Projects!$G$6="Yes",14&gt;=Projects!$C$6,14&lt;Projects!$C$6+Projects!$D$6),0/Projects!$D$6,0)+IF(AND(Projects!$G$7="Yes",14&gt;=Projects!$C$7,14&lt;Projects!$C$7+Projects!$D$7),Projects!$B$7*Assumptions!$B$12/Projects!$D$7,0)+IF(AND(Projects!$G$8="Yes",14&gt;=Projects!$C$8,14&lt;Projects!$C$8+Projects!$D$8),Projects!$B$8*Assumptions!$B$12/Projects!$D$8,0)+IF(AND(Projects!$G$9="Yes",14&gt;=Projects!$C$9,14&lt;Projects!$C$9+Projects!$D$9),Projects!$B$9*Assumptions!$B$12/Projects!$D$9,0)+IF(AND(Projects!$G$10="Yes",14&gt;=Projects!$C$10,14&lt;Projects!$C$10+Projects!$D$10),Projects!$B$10*Assumptions!$B$12/Projects!$D$10,0)+IF(AND(Projects!$G$11="Yes",14&gt;=Projects!$C$11,14&lt;Projects!$C$11+Projects!$D$11),Projects!$B$11*Assumptions!$B$12/Projects!$D$11,0)+IF(AND(Projects!$G$12="Yes",14&gt;=Projects!$C$12,14&lt;Projects!$C$12+Projects!$D$12),Projects!$B$12*Assumptions!$B$12/Projects!$D$12,0)+IF(AND(Projects!$G$13="Yes",14&gt;=Projects!$C$13,14&lt;Projects!$C$13+Projects!$D$13),Projects!$B$13*Assumptions!$B$12/Projects!$D$13,0)+IF(AND(Projects!$G$14="Yes",14&gt;=Projects!$C$14,14&lt;Projects!$C$14+Projects!$D$14),Projects!$B$14*Assumptions!$B$12/Projects!$D$14,0)+IF(AND(Projects!$G$15="Yes",14&gt;=Projects!$C$15,14&lt;Projects!$C$15+Projects!$D$15),Projects!$B$15*Assumptions!$B$12/Projects!$D$15,0)+IF(AND(Projects!$G$16="Yes",14&gt;=Projects!$C$16,14&lt;Projects!$C$16+Projects!$D$16),Projects!$B$16*Assumptions!$B$12/Projects!$D$16,0)</f>
        <v>120619.845829061</v>
      </c>
      <c r="Q10" s="10" t="n">
        <f aca="false">IF(AND(Projects!$G$2="Yes",15&gt;=Projects!$C$2,15&lt;Projects!$C$2+Projects!$D$2),46323/Projects!$D$2,0)+IF(AND(Projects!$G$3="Yes",15&gt;=Projects!$C$3,15&lt;Projects!$C$3+Projects!$D$3),176626/Projects!$D$3,0)+IF(AND(Projects!$G$4="Yes",15&gt;=Projects!$C$4,15&lt;Projects!$C$4+Projects!$D$4),Projects!$B$4*Assumptions!$B$12/Projects!$D$4,0)+IF(AND(Projects!$G$5="Yes",15&gt;=Projects!$C$5,15&lt;Projects!$C$5+Projects!$D$5),Projects!$B$5*Assumptions!$B$12/Projects!$D$5,0)+IF(AND(Projects!$G$6="Yes",15&gt;=Projects!$C$6,15&lt;Projects!$C$6+Projects!$D$6),0/Projects!$D$6,0)+IF(AND(Projects!$G$7="Yes",15&gt;=Projects!$C$7,15&lt;Projects!$C$7+Projects!$D$7),Projects!$B$7*Assumptions!$B$12/Projects!$D$7,0)+IF(AND(Projects!$G$8="Yes",15&gt;=Projects!$C$8,15&lt;Projects!$C$8+Projects!$D$8),Projects!$B$8*Assumptions!$B$12/Projects!$D$8,0)+IF(AND(Projects!$G$9="Yes",15&gt;=Projects!$C$9,15&lt;Projects!$C$9+Projects!$D$9),Projects!$B$9*Assumptions!$B$12/Projects!$D$9,0)+IF(AND(Projects!$G$10="Yes",15&gt;=Projects!$C$10,15&lt;Projects!$C$10+Projects!$D$10),Projects!$B$10*Assumptions!$B$12/Projects!$D$10,0)+IF(AND(Projects!$G$11="Yes",15&gt;=Projects!$C$11,15&lt;Projects!$C$11+Projects!$D$11),Projects!$B$11*Assumptions!$B$12/Projects!$D$11,0)+IF(AND(Projects!$G$12="Yes",15&gt;=Projects!$C$12,15&lt;Projects!$C$12+Projects!$D$12),Projects!$B$12*Assumptions!$B$12/Projects!$D$12,0)+IF(AND(Projects!$G$13="Yes",15&gt;=Projects!$C$13,15&lt;Projects!$C$13+Projects!$D$13),Projects!$B$13*Assumptions!$B$12/Projects!$D$13,0)+IF(AND(Projects!$G$14="Yes",15&gt;=Projects!$C$14,15&lt;Projects!$C$14+Projects!$D$14),Projects!$B$14*Assumptions!$B$12/Projects!$D$14,0)+IF(AND(Projects!$G$15="Yes",15&gt;=Projects!$C$15,15&lt;Projects!$C$15+Projects!$D$15),Projects!$B$15*Assumptions!$B$12/Projects!$D$15,0)+IF(AND(Projects!$G$16="Yes",15&gt;=Projects!$C$16,15&lt;Projects!$C$16+Projects!$D$16),Projects!$B$16*Assumptions!$B$12/Projects!$D$16,0)</f>
        <v>120619.845829061</v>
      </c>
      <c r="R10" s="10" t="n">
        <f aca="false">IF(AND(Projects!$G$2="Yes",16&gt;=Projects!$C$2,16&lt;Projects!$C$2+Projects!$D$2),46323/Projects!$D$2,0)+IF(AND(Projects!$G$3="Yes",16&gt;=Projects!$C$3,16&lt;Projects!$C$3+Projects!$D$3),176626/Projects!$D$3,0)+IF(AND(Projects!$G$4="Yes",16&gt;=Projects!$C$4,16&lt;Projects!$C$4+Projects!$D$4),Projects!$B$4*Assumptions!$B$12/Projects!$D$4,0)+IF(AND(Projects!$G$5="Yes",16&gt;=Projects!$C$5,16&lt;Projects!$C$5+Projects!$D$5),Projects!$B$5*Assumptions!$B$12/Projects!$D$5,0)+IF(AND(Projects!$G$6="Yes",16&gt;=Projects!$C$6,16&lt;Projects!$C$6+Projects!$D$6),0/Projects!$D$6,0)+IF(AND(Projects!$G$7="Yes",16&gt;=Projects!$C$7,16&lt;Projects!$C$7+Projects!$D$7),Projects!$B$7*Assumptions!$B$12/Projects!$D$7,0)+IF(AND(Projects!$G$8="Yes",16&gt;=Projects!$C$8,16&lt;Projects!$C$8+Projects!$D$8),Projects!$B$8*Assumptions!$B$12/Projects!$D$8,0)+IF(AND(Projects!$G$9="Yes",16&gt;=Projects!$C$9,16&lt;Projects!$C$9+Projects!$D$9),Projects!$B$9*Assumptions!$B$12/Projects!$D$9,0)+IF(AND(Projects!$G$10="Yes",16&gt;=Projects!$C$10,16&lt;Projects!$C$10+Projects!$D$10),Projects!$B$10*Assumptions!$B$12/Projects!$D$10,0)+IF(AND(Projects!$G$11="Yes",16&gt;=Projects!$C$11,16&lt;Projects!$C$11+Projects!$D$11),Projects!$B$11*Assumptions!$B$12/Projects!$D$11,0)+IF(AND(Projects!$G$12="Yes",16&gt;=Projects!$C$12,16&lt;Projects!$C$12+Projects!$D$12),Projects!$B$12*Assumptions!$B$12/Projects!$D$12,0)+IF(AND(Projects!$G$13="Yes",16&gt;=Projects!$C$13,16&lt;Projects!$C$13+Projects!$D$13),Projects!$B$13*Assumptions!$B$12/Projects!$D$13,0)+IF(AND(Projects!$G$14="Yes",16&gt;=Projects!$C$14,16&lt;Projects!$C$14+Projects!$D$14),Projects!$B$14*Assumptions!$B$12/Projects!$D$14,0)+IF(AND(Projects!$G$15="Yes",16&gt;=Projects!$C$15,16&lt;Projects!$C$15+Projects!$D$15),Projects!$B$15*Assumptions!$B$12/Projects!$D$15,0)+IF(AND(Projects!$G$16="Yes",16&gt;=Projects!$C$16,16&lt;Projects!$C$16+Projects!$D$16),Projects!$B$16*Assumptions!$B$12/Projects!$D$16,0)</f>
        <v>93384.2192056847</v>
      </c>
      <c r="S10" s="10" t="n">
        <f aca="false">IF(AND(Projects!$G$2="Yes",17&gt;=Projects!$C$2,17&lt;Projects!$C$2+Projects!$D$2),46323/Projects!$D$2,0)+IF(AND(Projects!$G$3="Yes",17&gt;=Projects!$C$3,17&lt;Projects!$C$3+Projects!$D$3),176626/Projects!$D$3,0)+IF(AND(Projects!$G$4="Yes",17&gt;=Projects!$C$4,17&lt;Projects!$C$4+Projects!$D$4),Projects!$B$4*Assumptions!$B$12/Projects!$D$4,0)+IF(AND(Projects!$G$5="Yes",17&gt;=Projects!$C$5,17&lt;Projects!$C$5+Projects!$D$5),Projects!$B$5*Assumptions!$B$12/Projects!$D$5,0)+IF(AND(Projects!$G$6="Yes",17&gt;=Projects!$C$6,17&lt;Projects!$C$6+Projects!$D$6),0/Projects!$D$6,0)+IF(AND(Projects!$G$7="Yes",17&gt;=Projects!$C$7,17&lt;Projects!$C$7+Projects!$D$7),Projects!$B$7*Assumptions!$B$12/Projects!$D$7,0)+IF(AND(Projects!$G$8="Yes",17&gt;=Projects!$C$8,17&lt;Projects!$C$8+Projects!$D$8),Projects!$B$8*Assumptions!$B$12/Projects!$D$8,0)+IF(AND(Projects!$G$9="Yes",17&gt;=Projects!$C$9,17&lt;Projects!$C$9+Projects!$D$9),Projects!$B$9*Assumptions!$B$12/Projects!$D$9,0)+IF(AND(Projects!$G$10="Yes",17&gt;=Projects!$C$10,17&lt;Projects!$C$10+Projects!$D$10),Projects!$B$10*Assumptions!$B$12/Projects!$D$10,0)+IF(AND(Projects!$G$11="Yes",17&gt;=Projects!$C$11,17&lt;Projects!$C$11+Projects!$D$11),Projects!$B$11*Assumptions!$B$12/Projects!$D$11,0)+IF(AND(Projects!$G$12="Yes",17&gt;=Projects!$C$12,17&lt;Projects!$C$12+Projects!$D$12),Projects!$B$12*Assumptions!$B$12/Projects!$D$12,0)+IF(AND(Projects!$G$13="Yes",17&gt;=Projects!$C$13,17&lt;Projects!$C$13+Projects!$D$13),Projects!$B$13*Assumptions!$B$12/Projects!$D$13,0)+IF(AND(Projects!$G$14="Yes",17&gt;=Projects!$C$14,17&lt;Projects!$C$14+Projects!$D$14),Projects!$B$14*Assumptions!$B$12/Projects!$D$14,0)+IF(AND(Projects!$G$15="Yes",17&gt;=Projects!$C$15,17&lt;Projects!$C$15+Projects!$D$15),Projects!$B$15*Assumptions!$B$12/Projects!$D$15,0)+IF(AND(Projects!$G$16="Yes",17&gt;=Projects!$C$16,17&lt;Projects!$C$16+Projects!$D$16),Projects!$B$16*Assumptions!$B$12/Projects!$D$16,0)</f>
        <v>82345.0942056847</v>
      </c>
      <c r="T10" s="10" t="n">
        <f aca="false">IF(AND(Projects!$G$2="Yes",18&gt;=Projects!$C$2,18&lt;Projects!$C$2+Projects!$D$2),46323/Projects!$D$2,0)+IF(AND(Projects!$G$3="Yes",18&gt;=Projects!$C$3,18&lt;Projects!$C$3+Projects!$D$3),176626/Projects!$D$3,0)+IF(AND(Projects!$G$4="Yes",18&gt;=Projects!$C$4,18&lt;Projects!$C$4+Projects!$D$4),Projects!$B$4*Assumptions!$B$12/Projects!$D$4,0)+IF(AND(Projects!$G$5="Yes",18&gt;=Projects!$C$5,18&lt;Projects!$C$5+Projects!$D$5),Projects!$B$5*Assumptions!$B$12/Projects!$D$5,0)+IF(AND(Projects!$G$6="Yes",18&gt;=Projects!$C$6,18&lt;Projects!$C$6+Projects!$D$6),0/Projects!$D$6,0)+IF(AND(Projects!$G$7="Yes",18&gt;=Projects!$C$7,18&lt;Projects!$C$7+Projects!$D$7),Projects!$B$7*Assumptions!$B$12/Projects!$D$7,0)+IF(AND(Projects!$G$8="Yes",18&gt;=Projects!$C$8,18&lt;Projects!$C$8+Projects!$D$8),Projects!$B$8*Assumptions!$B$12/Projects!$D$8,0)+IF(AND(Projects!$G$9="Yes",18&gt;=Projects!$C$9,18&lt;Projects!$C$9+Projects!$D$9),Projects!$B$9*Assumptions!$B$12/Projects!$D$9,0)+IF(AND(Projects!$G$10="Yes",18&gt;=Projects!$C$10,18&lt;Projects!$C$10+Projects!$D$10),Projects!$B$10*Assumptions!$B$12/Projects!$D$10,0)+IF(AND(Projects!$G$11="Yes",18&gt;=Projects!$C$11,18&lt;Projects!$C$11+Projects!$D$11),Projects!$B$11*Assumptions!$B$12/Projects!$D$11,0)+IF(AND(Projects!$G$12="Yes",18&gt;=Projects!$C$12,18&lt;Projects!$C$12+Projects!$D$12),Projects!$B$12*Assumptions!$B$12/Projects!$D$12,0)+IF(AND(Projects!$G$13="Yes",18&gt;=Projects!$C$13,18&lt;Projects!$C$13+Projects!$D$13),Projects!$B$13*Assumptions!$B$12/Projects!$D$13,0)+IF(AND(Projects!$G$14="Yes",18&gt;=Projects!$C$14,18&lt;Projects!$C$14+Projects!$D$14),Projects!$B$14*Assumptions!$B$12/Projects!$D$14,0)+IF(AND(Projects!$G$15="Yes",18&gt;=Projects!$C$15,18&lt;Projects!$C$15+Projects!$D$15),Projects!$B$15*Assumptions!$B$12/Projects!$D$15,0)+IF(AND(Projects!$G$16="Yes",18&gt;=Projects!$C$16,18&lt;Projects!$C$16+Projects!$D$16),Projects!$B$16*Assumptions!$B$12/Projects!$D$16,0)</f>
        <v>82345.0942056847</v>
      </c>
      <c r="U10" s="10" t="n">
        <f aca="false">IF(AND(Projects!$G$2="Yes",19&gt;=Projects!$C$2,19&lt;Projects!$C$2+Projects!$D$2),46323/Projects!$D$2,0)+IF(AND(Projects!$G$3="Yes",19&gt;=Projects!$C$3,19&lt;Projects!$C$3+Projects!$D$3),176626/Projects!$D$3,0)+IF(AND(Projects!$G$4="Yes",19&gt;=Projects!$C$4,19&lt;Projects!$C$4+Projects!$D$4),Projects!$B$4*Assumptions!$B$12/Projects!$D$4,0)+IF(AND(Projects!$G$5="Yes",19&gt;=Projects!$C$5,19&lt;Projects!$C$5+Projects!$D$5),Projects!$B$5*Assumptions!$B$12/Projects!$D$5,0)+IF(AND(Projects!$G$6="Yes",19&gt;=Projects!$C$6,19&lt;Projects!$C$6+Projects!$D$6),0/Projects!$D$6,0)+IF(AND(Projects!$G$7="Yes",19&gt;=Projects!$C$7,19&lt;Projects!$C$7+Projects!$D$7),Projects!$B$7*Assumptions!$B$12/Projects!$D$7,0)+IF(AND(Projects!$G$8="Yes",19&gt;=Projects!$C$8,19&lt;Projects!$C$8+Projects!$D$8),Projects!$B$8*Assumptions!$B$12/Projects!$D$8,0)+IF(AND(Projects!$G$9="Yes",19&gt;=Projects!$C$9,19&lt;Projects!$C$9+Projects!$D$9),Projects!$B$9*Assumptions!$B$12/Projects!$D$9,0)+IF(AND(Projects!$G$10="Yes",19&gt;=Projects!$C$10,19&lt;Projects!$C$10+Projects!$D$10),Projects!$B$10*Assumptions!$B$12/Projects!$D$10,0)+IF(AND(Projects!$G$11="Yes",19&gt;=Projects!$C$11,19&lt;Projects!$C$11+Projects!$D$11),Projects!$B$11*Assumptions!$B$12/Projects!$D$11,0)+IF(AND(Projects!$G$12="Yes",19&gt;=Projects!$C$12,19&lt;Projects!$C$12+Projects!$D$12),Projects!$B$12*Assumptions!$B$12/Projects!$D$12,0)+IF(AND(Projects!$G$13="Yes",19&gt;=Projects!$C$13,19&lt;Projects!$C$13+Projects!$D$13),Projects!$B$13*Assumptions!$B$12/Projects!$D$13,0)+IF(AND(Projects!$G$14="Yes",19&gt;=Projects!$C$14,19&lt;Projects!$C$14+Projects!$D$14),Projects!$B$14*Assumptions!$B$12/Projects!$D$14,0)+IF(AND(Projects!$G$15="Yes",19&gt;=Projects!$C$15,19&lt;Projects!$C$15+Projects!$D$15),Projects!$B$15*Assumptions!$B$12/Projects!$D$15,0)+IF(AND(Projects!$G$16="Yes",19&gt;=Projects!$C$16,19&lt;Projects!$C$16+Projects!$D$16),Projects!$B$16*Assumptions!$B$12/Projects!$D$16,0)</f>
        <v>82345.0942056847</v>
      </c>
      <c r="V10" s="10" t="n">
        <f aca="false">IF(AND(Projects!$G$2="Yes",20&gt;=Projects!$C$2,20&lt;Projects!$C$2+Projects!$D$2),46323/Projects!$D$2,0)+IF(AND(Projects!$G$3="Yes",20&gt;=Projects!$C$3,20&lt;Projects!$C$3+Projects!$D$3),176626/Projects!$D$3,0)+IF(AND(Projects!$G$4="Yes",20&gt;=Projects!$C$4,20&lt;Projects!$C$4+Projects!$D$4),Projects!$B$4*Assumptions!$B$12/Projects!$D$4,0)+IF(AND(Projects!$G$5="Yes",20&gt;=Projects!$C$5,20&lt;Projects!$C$5+Projects!$D$5),Projects!$B$5*Assumptions!$B$12/Projects!$D$5,0)+IF(AND(Projects!$G$6="Yes",20&gt;=Projects!$C$6,20&lt;Projects!$C$6+Projects!$D$6),0/Projects!$D$6,0)+IF(AND(Projects!$G$7="Yes",20&gt;=Projects!$C$7,20&lt;Projects!$C$7+Projects!$D$7),Projects!$B$7*Assumptions!$B$12/Projects!$D$7,0)+IF(AND(Projects!$G$8="Yes",20&gt;=Projects!$C$8,20&lt;Projects!$C$8+Projects!$D$8),Projects!$B$8*Assumptions!$B$12/Projects!$D$8,0)+IF(AND(Projects!$G$9="Yes",20&gt;=Projects!$C$9,20&lt;Projects!$C$9+Projects!$D$9),Projects!$B$9*Assumptions!$B$12/Projects!$D$9,0)+IF(AND(Projects!$G$10="Yes",20&gt;=Projects!$C$10,20&lt;Projects!$C$10+Projects!$D$10),Projects!$B$10*Assumptions!$B$12/Projects!$D$10,0)+IF(AND(Projects!$G$11="Yes",20&gt;=Projects!$C$11,20&lt;Projects!$C$11+Projects!$D$11),Projects!$B$11*Assumptions!$B$12/Projects!$D$11,0)+IF(AND(Projects!$G$12="Yes",20&gt;=Projects!$C$12,20&lt;Projects!$C$12+Projects!$D$12),Projects!$B$12*Assumptions!$B$12/Projects!$D$12,0)+IF(AND(Projects!$G$13="Yes",20&gt;=Projects!$C$13,20&lt;Projects!$C$13+Projects!$D$13),Projects!$B$13*Assumptions!$B$12/Projects!$D$13,0)+IF(AND(Projects!$G$14="Yes",20&gt;=Projects!$C$14,20&lt;Projects!$C$14+Projects!$D$14),Projects!$B$14*Assumptions!$B$12/Projects!$D$14,0)+IF(AND(Projects!$G$15="Yes",20&gt;=Projects!$C$15,20&lt;Projects!$C$15+Projects!$D$15),Projects!$B$15*Assumptions!$B$12/Projects!$D$15,0)+IF(AND(Projects!$G$16="Yes",20&gt;=Projects!$C$16,20&lt;Projects!$C$16+Projects!$D$16),Projects!$B$16*Assumptions!$B$12/Projects!$D$16,0)</f>
        <v>82345.0942056847</v>
      </c>
      <c r="W10" s="10" t="n">
        <f aca="false">IF(AND(Projects!$G$2="Yes",21&gt;=Projects!$C$2,21&lt;Projects!$C$2+Projects!$D$2),46323/Projects!$D$2,0)+IF(AND(Projects!$G$3="Yes",21&gt;=Projects!$C$3,21&lt;Projects!$C$3+Projects!$D$3),176626/Projects!$D$3,0)+IF(AND(Projects!$G$4="Yes",21&gt;=Projects!$C$4,21&lt;Projects!$C$4+Projects!$D$4),Projects!$B$4*Assumptions!$B$12/Projects!$D$4,0)+IF(AND(Projects!$G$5="Yes",21&gt;=Projects!$C$5,21&lt;Projects!$C$5+Projects!$D$5),Projects!$B$5*Assumptions!$B$12/Projects!$D$5,0)+IF(AND(Projects!$G$6="Yes",21&gt;=Projects!$C$6,21&lt;Projects!$C$6+Projects!$D$6),0/Projects!$D$6,0)+IF(AND(Projects!$G$7="Yes",21&gt;=Projects!$C$7,21&lt;Projects!$C$7+Projects!$D$7),Projects!$B$7*Assumptions!$B$12/Projects!$D$7,0)+IF(AND(Projects!$G$8="Yes",21&gt;=Projects!$C$8,21&lt;Projects!$C$8+Projects!$D$8),Projects!$B$8*Assumptions!$B$12/Projects!$D$8,0)+IF(AND(Projects!$G$9="Yes",21&gt;=Projects!$C$9,21&lt;Projects!$C$9+Projects!$D$9),Projects!$B$9*Assumptions!$B$12/Projects!$D$9,0)+IF(AND(Projects!$G$10="Yes",21&gt;=Projects!$C$10,21&lt;Projects!$C$10+Projects!$D$10),Projects!$B$10*Assumptions!$B$12/Projects!$D$10,0)+IF(AND(Projects!$G$11="Yes",21&gt;=Projects!$C$11,21&lt;Projects!$C$11+Projects!$D$11),Projects!$B$11*Assumptions!$B$12/Projects!$D$11,0)+IF(AND(Projects!$G$12="Yes",21&gt;=Projects!$C$12,21&lt;Projects!$C$12+Projects!$D$12),Projects!$B$12*Assumptions!$B$12/Projects!$D$12,0)+IF(AND(Projects!$G$13="Yes",21&gt;=Projects!$C$13,21&lt;Projects!$C$13+Projects!$D$13),Projects!$B$13*Assumptions!$B$12/Projects!$D$13,0)+IF(AND(Projects!$G$14="Yes",21&gt;=Projects!$C$14,21&lt;Projects!$C$14+Projects!$D$14),Projects!$B$14*Assumptions!$B$12/Projects!$D$14,0)+IF(AND(Projects!$G$15="Yes",21&gt;=Projects!$C$15,21&lt;Projects!$C$15+Projects!$D$15),Projects!$B$15*Assumptions!$B$12/Projects!$D$15,0)+IF(AND(Projects!$G$16="Yes",21&gt;=Projects!$C$16,21&lt;Projects!$C$16+Projects!$D$16),Projects!$B$16*Assumptions!$B$12/Projects!$D$16,0)</f>
        <v>82345.0942056847</v>
      </c>
      <c r="X10" s="10" t="n">
        <f aca="false">IF(AND(Projects!$G$2="Yes",22&gt;=Projects!$C$2,22&lt;Projects!$C$2+Projects!$D$2),46323/Projects!$D$2,0)+IF(AND(Projects!$G$3="Yes",22&gt;=Projects!$C$3,22&lt;Projects!$C$3+Projects!$D$3),176626/Projects!$D$3,0)+IF(AND(Projects!$G$4="Yes",22&gt;=Projects!$C$4,22&lt;Projects!$C$4+Projects!$D$4),Projects!$B$4*Assumptions!$B$12/Projects!$D$4,0)+IF(AND(Projects!$G$5="Yes",22&gt;=Projects!$C$5,22&lt;Projects!$C$5+Projects!$D$5),Projects!$B$5*Assumptions!$B$12/Projects!$D$5,0)+IF(AND(Projects!$G$6="Yes",22&gt;=Projects!$C$6,22&lt;Projects!$C$6+Projects!$D$6),0/Projects!$D$6,0)+IF(AND(Projects!$G$7="Yes",22&gt;=Projects!$C$7,22&lt;Projects!$C$7+Projects!$D$7),Projects!$B$7*Assumptions!$B$12/Projects!$D$7,0)+IF(AND(Projects!$G$8="Yes",22&gt;=Projects!$C$8,22&lt;Projects!$C$8+Projects!$D$8),Projects!$B$8*Assumptions!$B$12/Projects!$D$8,0)+IF(AND(Projects!$G$9="Yes",22&gt;=Projects!$C$9,22&lt;Projects!$C$9+Projects!$D$9),Projects!$B$9*Assumptions!$B$12/Projects!$D$9,0)+IF(AND(Projects!$G$10="Yes",22&gt;=Projects!$C$10,22&lt;Projects!$C$10+Projects!$D$10),Projects!$B$10*Assumptions!$B$12/Projects!$D$10,0)+IF(AND(Projects!$G$11="Yes",22&gt;=Projects!$C$11,22&lt;Projects!$C$11+Projects!$D$11),Projects!$B$11*Assumptions!$B$12/Projects!$D$11,0)+IF(AND(Projects!$G$12="Yes",22&gt;=Projects!$C$12,22&lt;Projects!$C$12+Projects!$D$12),Projects!$B$12*Assumptions!$B$12/Projects!$D$12,0)+IF(AND(Projects!$G$13="Yes",22&gt;=Projects!$C$13,22&lt;Projects!$C$13+Projects!$D$13),Projects!$B$13*Assumptions!$B$12/Projects!$D$13,0)+IF(AND(Projects!$G$14="Yes",22&gt;=Projects!$C$14,22&lt;Projects!$C$14+Projects!$D$14),Projects!$B$14*Assumptions!$B$12/Projects!$D$14,0)+IF(AND(Projects!$G$15="Yes",22&gt;=Projects!$C$15,22&lt;Projects!$C$15+Projects!$D$15),Projects!$B$15*Assumptions!$B$12/Projects!$D$15,0)+IF(AND(Projects!$G$16="Yes",22&gt;=Projects!$C$16,22&lt;Projects!$C$16+Projects!$D$16),Projects!$B$16*Assumptions!$B$12/Projects!$D$16,0)</f>
        <v>82345.0942056847</v>
      </c>
      <c r="Y10" s="10" t="n">
        <f aca="false">IF(AND(Projects!$G$2="Yes",23&gt;=Projects!$C$2,23&lt;Projects!$C$2+Projects!$D$2),46323/Projects!$D$2,0)+IF(AND(Projects!$G$3="Yes",23&gt;=Projects!$C$3,23&lt;Projects!$C$3+Projects!$D$3),176626/Projects!$D$3,0)+IF(AND(Projects!$G$4="Yes",23&gt;=Projects!$C$4,23&lt;Projects!$C$4+Projects!$D$4),Projects!$B$4*Assumptions!$B$12/Projects!$D$4,0)+IF(AND(Projects!$G$5="Yes",23&gt;=Projects!$C$5,23&lt;Projects!$C$5+Projects!$D$5),Projects!$B$5*Assumptions!$B$12/Projects!$D$5,0)+IF(AND(Projects!$G$6="Yes",23&gt;=Projects!$C$6,23&lt;Projects!$C$6+Projects!$D$6),0/Projects!$D$6,0)+IF(AND(Projects!$G$7="Yes",23&gt;=Projects!$C$7,23&lt;Projects!$C$7+Projects!$D$7),Projects!$B$7*Assumptions!$B$12/Projects!$D$7,0)+IF(AND(Projects!$G$8="Yes",23&gt;=Projects!$C$8,23&lt;Projects!$C$8+Projects!$D$8),Projects!$B$8*Assumptions!$B$12/Projects!$D$8,0)+IF(AND(Projects!$G$9="Yes",23&gt;=Projects!$C$9,23&lt;Projects!$C$9+Projects!$D$9),Projects!$B$9*Assumptions!$B$12/Projects!$D$9,0)+IF(AND(Projects!$G$10="Yes",23&gt;=Projects!$C$10,23&lt;Projects!$C$10+Projects!$D$10),Projects!$B$10*Assumptions!$B$12/Projects!$D$10,0)+IF(AND(Projects!$G$11="Yes",23&gt;=Projects!$C$11,23&lt;Projects!$C$11+Projects!$D$11),Projects!$B$11*Assumptions!$B$12/Projects!$D$11,0)+IF(AND(Projects!$G$12="Yes",23&gt;=Projects!$C$12,23&lt;Projects!$C$12+Projects!$D$12),Projects!$B$12*Assumptions!$B$12/Projects!$D$12,0)+IF(AND(Projects!$G$13="Yes",23&gt;=Projects!$C$13,23&lt;Projects!$C$13+Projects!$D$13),Projects!$B$13*Assumptions!$B$12/Projects!$D$13,0)+IF(AND(Projects!$G$14="Yes",23&gt;=Projects!$C$14,23&lt;Projects!$C$14+Projects!$D$14),Projects!$B$14*Assumptions!$B$12/Projects!$D$14,0)+IF(AND(Projects!$G$15="Yes",23&gt;=Projects!$C$15,23&lt;Projects!$C$15+Projects!$D$15),Projects!$B$15*Assumptions!$B$12/Projects!$D$15,0)+IF(AND(Projects!$G$16="Yes",23&gt;=Projects!$C$16,23&lt;Projects!$C$16+Projects!$D$16),Projects!$B$16*Assumptions!$B$12/Projects!$D$16,0)</f>
        <v>82345.0942056847</v>
      </c>
      <c r="Z10" s="10" t="n">
        <f aca="false">IF(AND(Projects!$G$2="Yes",24&gt;=Projects!$C$2,24&lt;Projects!$C$2+Projects!$D$2),46323/Projects!$D$2,0)+IF(AND(Projects!$G$3="Yes",24&gt;=Projects!$C$3,24&lt;Projects!$C$3+Projects!$D$3),176626/Projects!$D$3,0)+IF(AND(Projects!$G$4="Yes",24&gt;=Projects!$C$4,24&lt;Projects!$C$4+Projects!$D$4),Projects!$B$4*Assumptions!$B$12/Projects!$D$4,0)+IF(AND(Projects!$G$5="Yes",24&gt;=Projects!$C$5,24&lt;Projects!$C$5+Projects!$D$5),Projects!$B$5*Assumptions!$B$12/Projects!$D$5,0)+IF(AND(Projects!$G$6="Yes",24&gt;=Projects!$C$6,24&lt;Projects!$C$6+Projects!$D$6),0/Projects!$D$6,0)+IF(AND(Projects!$G$7="Yes",24&gt;=Projects!$C$7,24&lt;Projects!$C$7+Projects!$D$7),Projects!$B$7*Assumptions!$B$12/Projects!$D$7,0)+IF(AND(Projects!$G$8="Yes",24&gt;=Projects!$C$8,24&lt;Projects!$C$8+Projects!$D$8),Projects!$B$8*Assumptions!$B$12/Projects!$D$8,0)+IF(AND(Projects!$G$9="Yes",24&gt;=Projects!$C$9,24&lt;Projects!$C$9+Projects!$D$9),Projects!$B$9*Assumptions!$B$12/Projects!$D$9,0)+IF(AND(Projects!$G$10="Yes",24&gt;=Projects!$C$10,24&lt;Projects!$C$10+Projects!$D$10),Projects!$B$10*Assumptions!$B$12/Projects!$D$10,0)+IF(AND(Projects!$G$11="Yes",24&gt;=Projects!$C$11,24&lt;Projects!$C$11+Projects!$D$11),Projects!$B$11*Assumptions!$B$12/Projects!$D$11,0)+IF(AND(Projects!$G$12="Yes",24&gt;=Projects!$C$12,24&lt;Projects!$C$12+Projects!$D$12),Projects!$B$12*Assumptions!$B$12/Projects!$D$12,0)+IF(AND(Projects!$G$13="Yes",24&gt;=Projects!$C$13,24&lt;Projects!$C$13+Projects!$D$13),Projects!$B$13*Assumptions!$B$12/Projects!$D$13,0)+IF(AND(Projects!$G$14="Yes",24&gt;=Projects!$C$14,24&lt;Projects!$C$14+Projects!$D$14),Projects!$B$14*Assumptions!$B$12/Projects!$D$14,0)+IF(AND(Projects!$G$15="Yes",24&gt;=Projects!$C$15,24&lt;Projects!$C$15+Projects!$D$15),Projects!$B$15*Assumptions!$B$12/Projects!$D$15,0)+IF(AND(Projects!$G$16="Yes",24&gt;=Projects!$C$16,24&lt;Projects!$C$16+Projects!$D$16),Projects!$B$16*Assumptions!$B$12/Projects!$D$16,0)</f>
        <v>82345.0942056847</v>
      </c>
      <c r="AA10" s="10" t="n">
        <f aca="false">IF(AND(Projects!$G$2="Yes",25&gt;=Projects!$C$2,25&lt;Projects!$C$2+Projects!$D$2),46323/Projects!$D$2,0)+IF(AND(Projects!$G$3="Yes",25&gt;=Projects!$C$3,25&lt;Projects!$C$3+Projects!$D$3),176626/Projects!$D$3,0)+IF(AND(Projects!$G$4="Yes",25&gt;=Projects!$C$4,25&lt;Projects!$C$4+Projects!$D$4),Projects!$B$4*Assumptions!$B$12/Projects!$D$4,0)+IF(AND(Projects!$G$5="Yes",25&gt;=Projects!$C$5,25&lt;Projects!$C$5+Projects!$D$5),Projects!$B$5*Assumptions!$B$12/Projects!$D$5,0)+IF(AND(Projects!$G$6="Yes",25&gt;=Projects!$C$6,25&lt;Projects!$C$6+Projects!$D$6),0/Projects!$D$6,0)+IF(AND(Projects!$G$7="Yes",25&gt;=Projects!$C$7,25&lt;Projects!$C$7+Projects!$D$7),Projects!$B$7*Assumptions!$B$12/Projects!$D$7,0)+IF(AND(Projects!$G$8="Yes",25&gt;=Projects!$C$8,25&lt;Projects!$C$8+Projects!$D$8),Projects!$B$8*Assumptions!$B$12/Projects!$D$8,0)+IF(AND(Projects!$G$9="Yes",25&gt;=Projects!$C$9,25&lt;Projects!$C$9+Projects!$D$9),Projects!$B$9*Assumptions!$B$12/Projects!$D$9,0)+IF(AND(Projects!$G$10="Yes",25&gt;=Projects!$C$10,25&lt;Projects!$C$10+Projects!$D$10),Projects!$B$10*Assumptions!$B$12/Projects!$D$10,0)+IF(AND(Projects!$G$11="Yes",25&gt;=Projects!$C$11,25&lt;Projects!$C$11+Projects!$D$11),Projects!$B$11*Assumptions!$B$12/Projects!$D$11,0)+IF(AND(Projects!$G$12="Yes",25&gt;=Projects!$C$12,25&lt;Projects!$C$12+Projects!$D$12),Projects!$B$12*Assumptions!$B$12/Projects!$D$12,0)+IF(AND(Projects!$G$13="Yes",25&gt;=Projects!$C$13,25&lt;Projects!$C$13+Projects!$D$13),Projects!$B$13*Assumptions!$B$12/Projects!$D$13,0)+IF(AND(Projects!$G$14="Yes",25&gt;=Projects!$C$14,25&lt;Projects!$C$14+Projects!$D$14),Projects!$B$14*Assumptions!$B$12/Projects!$D$14,0)+IF(AND(Projects!$G$15="Yes",25&gt;=Projects!$C$15,25&lt;Projects!$C$15+Projects!$D$15),Projects!$B$15*Assumptions!$B$12/Projects!$D$15,0)+IF(AND(Projects!$G$16="Yes",25&gt;=Projects!$C$16,25&lt;Projects!$C$16+Projects!$D$16),Projects!$B$16*Assumptions!$B$12/Projects!$D$16,0)</f>
        <v>82345.0942056847</v>
      </c>
      <c r="AB10" s="10" t="n">
        <f aca="false">IF(AND(Projects!$G$2="Yes",26&gt;=Projects!$C$2,26&lt;Projects!$C$2+Projects!$D$2),46323/Projects!$D$2,0)+IF(AND(Projects!$G$3="Yes",26&gt;=Projects!$C$3,26&lt;Projects!$C$3+Projects!$D$3),176626/Projects!$D$3,0)+IF(AND(Projects!$G$4="Yes",26&gt;=Projects!$C$4,26&lt;Projects!$C$4+Projects!$D$4),Projects!$B$4*Assumptions!$B$12/Projects!$D$4,0)+IF(AND(Projects!$G$5="Yes",26&gt;=Projects!$C$5,26&lt;Projects!$C$5+Projects!$D$5),Projects!$B$5*Assumptions!$B$12/Projects!$D$5,0)+IF(AND(Projects!$G$6="Yes",26&gt;=Projects!$C$6,26&lt;Projects!$C$6+Projects!$D$6),0/Projects!$D$6,0)+IF(AND(Projects!$G$7="Yes",26&gt;=Projects!$C$7,26&lt;Projects!$C$7+Projects!$D$7),Projects!$B$7*Assumptions!$B$12/Projects!$D$7,0)+IF(AND(Projects!$G$8="Yes",26&gt;=Projects!$C$8,26&lt;Projects!$C$8+Projects!$D$8),Projects!$B$8*Assumptions!$B$12/Projects!$D$8,0)+IF(AND(Projects!$G$9="Yes",26&gt;=Projects!$C$9,26&lt;Projects!$C$9+Projects!$D$9),Projects!$B$9*Assumptions!$B$12/Projects!$D$9,0)+IF(AND(Projects!$G$10="Yes",26&gt;=Projects!$C$10,26&lt;Projects!$C$10+Projects!$D$10),Projects!$B$10*Assumptions!$B$12/Projects!$D$10,0)+IF(AND(Projects!$G$11="Yes",26&gt;=Projects!$C$11,26&lt;Projects!$C$11+Projects!$D$11),Projects!$B$11*Assumptions!$B$12/Projects!$D$11,0)+IF(AND(Projects!$G$12="Yes",26&gt;=Projects!$C$12,26&lt;Projects!$C$12+Projects!$D$12),Projects!$B$12*Assumptions!$B$12/Projects!$D$12,0)+IF(AND(Projects!$G$13="Yes",26&gt;=Projects!$C$13,26&lt;Projects!$C$13+Projects!$D$13),Projects!$B$13*Assumptions!$B$12/Projects!$D$13,0)+IF(AND(Projects!$G$14="Yes",26&gt;=Projects!$C$14,26&lt;Projects!$C$14+Projects!$D$14),Projects!$B$14*Assumptions!$B$12/Projects!$D$14,0)+IF(AND(Projects!$G$15="Yes",26&gt;=Projects!$C$15,26&lt;Projects!$C$15+Projects!$D$15),Projects!$B$15*Assumptions!$B$12/Projects!$D$15,0)+IF(AND(Projects!$G$16="Yes",26&gt;=Projects!$C$16,26&lt;Projects!$C$16+Projects!$D$16),Projects!$B$16*Assumptions!$B$12/Projects!$D$16,0)</f>
        <v>70703.1153950217</v>
      </c>
      <c r="AC10" s="10" t="n">
        <f aca="false">IF(AND(Projects!$G$2="Yes",27&gt;=Projects!$C$2,27&lt;Projects!$C$2+Projects!$D$2),46323/Projects!$D$2,0)+IF(AND(Projects!$G$3="Yes",27&gt;=Projects!$C$3,27&lt;Projects!$C$3+Projects!$D$3),176626/Projects!$D$3,0)+IF(AND(Projects!$G$4="Yes",27&gt;=Projects!$C$4,27&lt;Projects!$C$4+Projects!$D$4),Projects!$B$4*Assumptions!$B$12/Projects!$D$4,0)+IF(AND(Projects!$G$5="Yes",27&gt;=Projects!$C$5,27&lt;Projects!$C$5+Projects!$D$5),Projects!$B$5*Assumptions!$B$12/Projects!$D$5,0)+IF(AND(Projects!$G$6="Yes",27&gt;=Projects!$C$6,27&lt;Projects!$C$6+Projects!$D$6),0/Projects!$D$6,0)+IF(AND(Projects!$G$7="Yes",27&gt;=Projects!$C$7,27&lt;Projects!$C$7+Projects!$D$7),Projects!$B$7*Assumptions!$B$12/Projects!$D$7,0)+IF(AND(Projects!$G$8="Yes",27&gt;=Projects!$C$8,27&lt;Projects!$C$8+Projects!$D$8),Projects!$B$8*Assumptions!$B$12/Projects!$D$8,0)+IF(AND(Projects!$G$9="Yes",27&gt;=Projects!$C$9,27&lt;Projects!$C$9+Projects!$D$9),Projects!$B$9*Assumptions!$B$12/Projects!$D$9,0)+IF(AND(Projects!$G$10="Yes",27&gt;=Projects!$C$10,27&lt;Projects!$C$10+Projects!$D$10),Projects!$B$10*Assumptions!$B$12/Projects!$D$10,0)+IF(AND(Projects!$G$11="Yes",27&gt;=Projects!$C$11,27&lt;Projects!$C$11+Projects!$D$11),Projects!$B$11*Assumptions!$B$12/Projects!$D$11,0)+IF(AND(Projects!$G$12="Yes",27&gt;=Projects!$C$12,27&lt;Projects!$C$12+Projects!$D$12),Projects!$B$12*Assumptions!$B$12/Projects!$D$12,0)+IF(AND(Projects!$G$13="Yes",27&gt;=Projects!$C$13,27&lt;Projects!$C$13+Projects!$D$13),Projects!$B$13*Assumptions!$B$12/Projects!$D$13,0)+IF(AND(Projects!$G$14="Yes",27&gt;=Projects!$C$14,27&lt;Projects!$C$14+Projects!$D$14),Projects!$B$14*Assumptions!$B$12/Projects!$D$14,0)+IF(AND(Projects!$G$15="Yes",27&gt;=Projects!$C$15,27&lt;Projects!$C$15+Projects!$D$15),Projects!$B$15*Assumptions!$B$12/Projects!$D$15,0)+IF(AND(Projects!$G$16="Yes",27&gt;=Projects!$C$16,27&lt;Projects!$C$16+Projects!$D$16),Projects!$B$16*Assumptions!$B$12/Projects!$D$16,0)</f>
        <v>93081.1630140693</v>
      </c>
      <c r="AD10" s="10" t="n">
        <f aca="false">IF(AND(Projects!$G$2="Yes",28&gt;=Projects!$C$2,28&lt;Projects!$C$2+Projects!$D$2),46323/Projects!$D$2,0)+IF(AND(Projects!$G$3="Yes",28&gt;=Projects!$C$3,28&lt;Projects!$C$3+Projects!$D$3),176626/Projects!$D$3,0)+IF(AND(Projects!$G$4="Yes",28&gt;=Projects!$C$4,28&lt;Projects!$C$4+Projects!$D$4),Projects!$B$4*Assumptions!$B$12/Projects!$D$4,0)+IF(AND(Projects!$G$5="Yes",28&gt;=Projects!$C$5,28&lt;Projects!$C$5+Projects!$D$5),Projects!$B$5*Assumptions!$B$12/Projects!$D$5,0)+IF(AND(Projects!$G$6="Yes",28&gt;=Projects!$C$6,28&lt;Projects!$C$6+Projects!$D$6),0/Projects!$D$6,0)+IF(AND(Projects!$G$7="Yes",28&gt;=Projects!$C$7,28&lt;Projects!$C$7+Projects!$D$7),Projects!$B$7*Assumptions!$B$12/Projects!$D$7,0)+IF(AND(Projects!$G$8="Yes",28&gt;=Projects!$C$8,28&lt;Projects!$C$8+Projects!$D$8),Projects!$B$8*Assumptions!$B$12/Projects!$D$8,0)+IF(AND(Projects!$G$9="Yes",28&gt;=Projects!$C$9,28&lt;Projects!$C$9+Projects!$D$9),Projects!$B$9*Assumptions!$B$12/Projects!$D$9,0)+IF(AND(Projects!$G$10="Yes",28&gt;=Projects!$C$10,28&lt;Projects!$C$10+Projects!$D$10),Projects!$B$10*Assumptions!$B$12/Projects!$D$10,0)+IF(AND(Projects!$G$11="Yes",28&gt;=Projects!$C$11,28&lt;Projects!$C$11+Projects!$D$11),Projects!$B$11*Assumptions!$B$12/Projects!$D$11,0)+IF(AND(Projects!$G$12="Yes",28&gt;=Projects!$C$12,28&lt;Projects!$C$12+Projects!$D$12),Projects!$B$12*Assumptions!$B$12/Projects!$D$12,0)+IF(AND(Projects!$G$13="Yes",28&gt;=Projects!$C$13,28&lt;Projects!$C$13+Projects!$D$13),Projects!$B$13*Assumptions!$B$12/Projects!$D$13,0)+IF(AND(Projects!$G$14="Yes",28&gt;=Projects!$C$14,28&lt;Projects!$C$14+Projects!$D$14),Projects!$B$14*Assumptions!$B$12/Projects!$D$14,0)+IF(AND(Projects!$G$15="Yes",28&gt;=Projects!$C$15,28&lt;Projects!$C$15+Projects!$D$15),Projects!$B$15*Assumptions!$B$12/Projects!$D$15,0)+IF(AND(Projects!$G$16="Yes",28&gt;=Projects!$C$16,28&lt;Projects!$C$16+Projects!$D$16),Projects!$B$16*Assumptions!$B$12/Projects!$D$16,0)</f>
        <v>93081.1630140693</v>
      </c>
      <c r="AE10" s="10" t="n">
        <f aca="false">IF(AND(Projects!$G$2="Yes",29&gt;=Projects!$C$2,29&lt;Projects!$C$2+Projects!$D$2),46323/Projects!$D$2,0)+IF(AND(Projects!$G$3="Yes",29&gt;=Projects!$C$3,29&lt;Projects!$C$3+Projects!$D$3),176626/Projects!$D$3,0)+IF(AND(Projects!$G$4="Yes",29&gt;=Projects!$C$4,29&lt;Projects!$C$4+Projects!$D$4),Projects!$B$4*Assumptions!$B$12/Projects!$D$4,0)+IF(AND(Projects!$G$5="Yes",29&gt;=Projects!$C$5,29&lt;Projects!$C$5+Projects!$D$5),Projects!$B$5*Assumptions!$B$12/Projects!$D$5,0)+IF(AND(Projects!$G$6="Yes",29&gt;=Projects!$C$6,29&lt;Projects!$C$6+Projects!$D$6),0/Projects!$D$6,0)+IF(AND(Projects!$G$7="Yes",29&gt;=Projects!$C$7,29&lt;Projects!$C$7+Projects!$D$7),Projects!$B$7*Assumptions!$B$12/Projects!$D$7,0)+IF(AND(Projects!$G$8="Yes",29&gt;=Projects!$C$8,29&lt;Projects!$C$8+Projects!$D$8),Projects!$B$8*Assumptions!$B$12/Projects!$D$8,0)+IF(AND(Projects!$G$9="Yes",29&gt;=Projects!$C$9,29&lt;Projects!$C$9+Projects!$D$9),Projects!$B$9*Assumptions!$B$12/Projects!$D$9,0)+IF(AND(Projects!$G$10="Yes",29&gt;=Projects!$C$10,29&lt;Projects!$C$10+Projects!$D$10),Projects!$B$10*Assumptions!$B$12/Projects!$D$10,0)+IF(AND(Projects!$G$11="Yes",29&gt;=Projects!$C$11,29&lt;Projects!$C$11+Projects!$D$11),Projects!$B$11*Assumptions!$B$12/Projects!$D$11,0)+IF(AND(Projects!$G$12="Yes",29&gt;=Projects!$C$12,29&lt;Projects!$C$12+Projects!$D$12),Projects!$B$12*Assumptions!$B$12/Projects!$D$12,0)+IF(AND(Projects!$G$13="Yes",29&gt;=Projects!$C$13,29&lt;Projects!$C$13+Projects!$D$13),Projects!$B$13*Assumptions!$B$12/Projects!$D$13,0)+IF(AND(Projects!$G$14="Yes",29&gt;=Projects!$C$14,29&lt;Projects!$C$14+Projects!$D$14),Projects!$B$14*Assumptions!$B$12/Projects!$D$14,0)+IF(AND(Projects!$G$15="Yes",29&gt;=Projects!$C$15,29&lt;Projects!$C$15+Projects!$D$15),Projects!$B$15*Assumptions!$B$12/Projects!$D$15,0)+IF(AND(Projects!$G$16="Yes",29&gt;=Projects!$C$16,29&lt;Projects!$C$16+Projects!$D$16),Projects!$B$16*Assumptions!$B$12/Projects!$D$16,0)</f>
        <v>93081.1630140693</v>
      </c>
      <c r="AF10" s="10" t="n">
        <f aca="false">IF(AND(Projects!$G$2="Yes",30&gt;=Projects!$C$2,30&lt;Projects!$C$2+Projects!$D$2),46323/Projects!$D$2,0)+IF(AND(Projects!$G$3="Yes",30&gt;=Projects!$C$3,30&lt;Projects!$C$3+Projects!$D$3),176626/Projects!$D$3,0)+IF(AND(Projects!$G$4="Yes",30&gt;=Projects!$C$4,30&lt;Projects!$C$4+Projects!$D$4),Projects!$B$4*Assumptions!$B$12/Projects!$D$4,0)+IF(AND(Projects!$G$5="Yes",30&gt;=Projects!$C$5,30&lt;Projects!$C$5+Projects!$D$5),Projects!$B$5*Assumptions!$B$12/Projects!$D$5,0)+IF(AND(Projects!$G$6="Yes",30&gt;=Projects!$C$6,30&lt;Projects!$C$6+Projects!$D$6),0/Projects!$D$6,0)+IF(AND(Projects!$G$7="Yes",30&gt;=Projects!$C$7,30&lt;Projects!$C$7+Projects!$D$7),Projects!$B$7*Assumptions!$B$12/Projects!$D$7,0)+IF(AND(Projects!$G$8="Yes",30&gt;=Projects!$C$8,30&lt;Projects!$C$8+Projects!$D$8),Projects!$B$8*Assumptions!$B$12/Projects!$D$8,0)+IF(AND(Projects!$G$9="Yes",30&gt;=Projects!$C$9,30&lt;Projects!$C$9+Projects!$D$9),Projects!$B$9*Assumptions!$B$12/Projects!$D$9,0)+IF(AND(Projects!$G$10="Yes",30&gt;=Projects!$C$10,30&lt;Projects!$C$10+Projects!$D$10),Projects!$B$10*Assumptions!$B$12/Projects!$D$10,0)+IF(AND(Projects!$G$11="Yes",30&gt;=Projects!$C$11,30&lt;Projects!$C$11+Projects!$D$11),Projects!$B$11*Assumptions!$B$12/Projects!$D$11,0)+IF(AND(Projects!$G$12="Yes",30&gt;=Projects!$C$12,30&lt;Projects!$C$12+Projects!$D$12),Projects!$B$12*Assumptions!$B$12/Projects!$D$12,0)+IF(AND(Projects!$G$13="Yes",30&gt;=Projects!$C$13,30&lt;Projects!$C$13+Projects!$D$13),Projects!$B$13*Assumptions!$B$12/Projects!$D$13,0)+IF(AND(Projects!$G$14="Yes",30&gt;=Projects!$C$14,30&lt;Projects!$C$14+Projects!$D$14),Projects!$B$14*Assumptions!$B$12/Projects!$D$14,0)+IF(AND(Projects!$G$15="Yes",30&gt;=Projects!$C$15,30&lt;Projects!$C$15+Projects!$D$15),Projects!$B$15*Assumptions!$B$12/Projects!$D$15,0)+IF(AND(Projects!$G$16="Yes",30&gt;=Projects!$C$16,30&lt;Projects!$C$16+Projects!$D$16),Projects!$B$16*Assumptions!$B$12/Projects!$D$16,0)</f>
        <v>93081.1630140693</v>
      </c>
      <c r="AG10" s="10" t="n">
        <f aca="false">IF(AND(Projects!$G$2="Yes",31&gt;=Projects!$C$2,31&lt;Projects!$C$2+Projects!$D$2),46323/Projects!$D$2,0)+IF(AND(Projects!$G$3="Yes",31&gt;=Projects!$C$3,31&lt;Projects!$C$3+Projects!$D$3),176626/Projects!$D$3,0)+IF(AND(Projects!$G$4="Yes",31&gt;=Projects!$C$4,31&lt;Projects!$C$4+Projects!$D$4),Projects!$B$4*Assumptions!$B$12/Projects!$D$4,0)+IF(AND(Projects!$G$5="Yes",31&gt;=Projects!$C$5,31&lt;Projects!$C$5+Projects!$D$5),Projects!$B$5*Assumptions!$B$12/Projects!$D$5,0)+IF(AND(Projects!$G$6="Yes",31&gt;=Projects!$C$6,31&lt;Projects!$C$6+Projects!$D$6),0/Projects!$D$6,0)+IF(AND(Projects!$G$7="Yes",31&gt;=Projects!$C$7,31&lt;Projects!$C$7+Projects!$D$7),Projects!$B$7*Assumptions!$B$12/Projects!$D$7,0)+IF(AND(Projects!$G$8="Yes",31&gt;=Projects!$C$8,31&lt;Projects!$C$8+Projects!$D$8),Projects!$B$8*Assumptions!$B$12/Projects!$D$8,0)+IF(AND(Projects!$G$9="Yes",31&gt;=Projects!$C$9,31&lt;Projects!$C$9+Projects!$D$9),Projects!$B$9*Assumptions!$B$12/Projects!$D$9,0)+IF(AND(Projects!$G$10="Yes",31&gt;=Projects!$C$10,31&lt;Projects!$C$10+Projects!$D$10),Projects!$B$10*Assumptions!$B$12/Projects!$D$10,0)+IF(AND(Projects!$G$11="Yes",31&gt;=Projects!$C$11,31&lt;Projects!$C$11+Projects!$D$11),Projects!$B$11*Assumptions!$B$12/Projects!$D$11,0)+IF(AND(Projects!$G$12="Yes",31&gt;=Projects!$C$12,31&lt;Projects!$C$12+Projects!$D$12),Projects!$B$12*Assumptions!$B$12/Projects!$D$12,0)+IF(AND(Projects!$G$13="Yes",31&gt;=Projects!$C$13,31&lt;Projects!$C$13+Projects!$D$13),Projects!$B$13*Assumptions!$B$12/Projects!$D$13,0)+IF(AND(Projects!$G$14="Yes",31&gt;=Projects!$C$14,31&lt;Projects!$C$14+Projects!$D$14),Projects!$B$14*Assumptions!$B$12/Projects!$D$14,0)+IF(AND(Projects!$G$15="Yes",31&gt;=Projects!$C$15,31&lt;Projects!$C$15+Projects!$D$15),Projects!$B$15*Assumptions!$B$12/Projects!$D$15,0)+IF(AND(Projects!$G$16="Yes",31&gt;=Projects!$C$16,31&lt;Projects!$C$16+Projects!$D$16),Projects!$B$16*Assumptions!$B$12/Projects!$D$16,0)</f>
        <v>93081.1630140693</v>
      </c>
      <c r="AH10" s="10" t="n">
        <f aca="false">IF(AND(Projects!$G$2="Yes",32&gt;=Projects!$C$2,32&lt;Projects!$C$2+Projects!$D$2),46323/Projects!$D$2,0)+IF(AND(Projects!$G$3="Yes",32&gt;=Projects!$C$3,32&lt;Projects!$C$3+Projects!$D$3),176626/Projects!$D$3,0)+IF(AND(Projects!$G$4="Yes",32&gt;=Projects!$C$4,32&lt;Projects!$C$4+Projects!$D$4),Projects!$B$4*Assumptions!$B$12/Projects!$D$4,0)+IF(AND(Projects!$G$5="Yes",32&gt;=Projects!$C$5,32&lt;Projects!$C$5+Projects!$D$5),Projects!$B$5*Assumptions!$B$12/Projects!$D$5,0)+IF(AND(Projects!$G$6="Yes",32&gt;=Projects!$C$6,32&lt;Projects!$C$6+Projects!$D$6),0/Projects!$D$6,0)+IF(AND(Projects!$G$7="Yes",32&gt;=Projects!$C$7,32&lt;Projects!$C$7+Projects!$D$7),Projects!$B$7*Assumptions!$B$12/Projects!$D$7,0)+IF(AND(Projects!$G$8="Yes",32&gt;=Projects!$C$8,32&lt;Projects!$C$8+Projects!$D$8),Projects!$B$8*Assumptions!$B$12/Projects!$D$8,0)+IF(AND(Projects!$G$9="Yes",32&gt;=Projects!$C$9,32&lt;Projects!$C$9+Projects!$D$9),Projects!$B$9*Assumptions!$B$12/Projects!$D$9,0)+IF(AND(Projects!$G$10="Yes",32&gt;=Projects!$C$10,32&lt;Projects!$C$10+Projects!$D$10),Projects!$B$10*Assumptions!$B$12/Projects!$D$10,0)+IF(AND(Projects!$G$11="Yes",32&gt;=Projects!$C$11,32&lt;Projects!$C$11+Projects!$D$11),Projects!$B$11*Assumptions!$B$12/Projects!$D$11,0)+IF(AND(Projects!$G$12="Yes",32&gt;=Projects!$C$12,32&lt;Projects!$C$12+Projects!$D$12),Projects!$B$12*Assumptions!$B$12/Projects!$D$12,0)+IF(AND(Projects!$G$13="Yes",32&gt;=Projects!$C$13,32&lt;Projects!$C$13+Projects!$D$13),Projects!$B$13*Assumptions!$B$12/Projects!$D$13,0)+IF(AND(Projects!$G$14="Yes",32&gt;=Projects!$C$14,32&lt;Projects!$C$14+Projects!$D$14),Projects!$B$14*Assumptions!$B$12/Projects!$D$14,0)+IF(AND(Projects!$G$15="Yes",32&gt;=Projects!$C$15,32&lt;Projects!$C$15+Projects!$D$15),Projects!$B$15*Assumptions!$B$12/Projects!$D$15,0)+IF(AND(Projects!$G$16="Yes",32&gt;=Projects!$C$16,32&lt;Projects!$C$16+Projects!$D$16),Projects!$B$16*Assumptions!$B$12/Projects!$D$16,0)</f>
        <v>78698.4485930736</v>
      </c>
      <c r="AI10" s="10" t="n">
        <f aca="false">IF(AND(Projects!$G$2="Yes",33&gt;=Projects!$C$2,33&lt;Projects!$C$2+Projects!$D$2),46323/Projects!$D$2,0)+IF(AND(Projects!$G$3="Yes",33&gt;=Projects!$C$3,33&lt;Projects!$C$3+Projects!$D$3),176626/Projects!$D$3,0)+IF(AND(Projects!$G$4="Yes",33&gt;=Projects!$C$4,33&lt;Projects!$C$4+Projects!$D$4),Projects!$B$4*Assumptions!$B$12/Projects!$D$4,0)+IF(AND(Projects!$G$5="Yes",33&gt;=Projects!$C$5,33&lt;Projects!$C$5+Projects!$D$5),Projects!$B$5*Assumptions!$B$12/Projects!$D$5,0)+IF(AND(Projects!$G$6="Yes",33&gt;=Projects!$C$6,33&lt;Projects!$C$6+Projects!$D$6),0/Projects!$D$6,0)+IF(AND(Projects!$G$7="Yes",33&gt;=Projects!$C$7,33&lt;Projects!$C$7+Projects!$D$7),Projects!$B$7*Assumptions!$B$12/Projects!$D$7,0)+IF(AND(Projects!$G$8="Yes",33&gt;=Projects!$C$8,33&lt;Projects!$C$8+Projects!$D$8),Projects!$B$8*Assumptions!$B$12/Projects!$D$8,0)+IF(AND(Projects!$G$9="Yes",33&gt;=Projects!$C$9,33&lt;Projects!$C$9+Projects!$D$9),Projects!$B$9*Assumptions!$B$12/Projects!$D$9,0)+IF(AND(Projects!$G$10="Yes",33&gt;=Projects!$C$10,33&lt;Projects!$C$10+Projects!$D$10),Projects!$B$10*Assumptions!$B$12/Projects!$D$10,0)+IF(AND(Projects!$G$11="Yes",33&gt;=Projects!$C$11,33&lt;Projects!$C$11+Projects!$D$11),Projects!$B$11*Assumptions!$B$12/Projects!$D$11,0)+IF(AND(Projects!$G$12="Yes",33&gt;=Projects!$C$12,33&lt;Projects!$C$12+Projects!$D$12),Projects!$B$12*Assumptions!$B$12/Projects!$D$12,0)+IF(AND(Projects!$G$13="Yes",33&gt;=Projects!$C$13,33&lt;Projects!$C$13+Projects!$D$13),Projects!$B$13*Assumptions!$B$12/Projects!$D$13,0)+IF(AND(Projects!$G$14="Yes",33&gt;=Projects!$C$14,33&lt;Projects!$C$14+Projects!$D$14),Projects!$B$14*Assumptions!$B$12/Projects!$D$14,0)+IF(AND(Projects!$G$15="Yes",33&gt;=Projects!$C$15,33&lt;Projects!$C$15+Projects!$D$15),Projects!$B$15*Assumptions!$B$12/Projects!$D$15,0)+IF(AND(Projects!$G$16="Yes",33&gt;=Projects!$C$16,33&lt;Projects!$C$16+Projects!$D$16),Projects!$B$16*Assumptions!$B$12/Projects!$D$16,0)</f>
        <v>78698.4485930736</v>
      </c>
      <c r="AJ10" s="10" t="n">
        <f aca="false">IF(AND(Projects!$G$2="Yes",34&gt;=Projects!$C$2,34&lt;Projects!$C$2+Projects!$D$2),46323/Projects!$D$2,0)+IF(AND(Projects!$G$3="Yes",34&gt;=Projects!$C$3,34&lt;Projects!$C$3+Projects!$D$3),176626/Projects!$D$3,0)+IF(AND(Projects!$G$4="Yes",34&gt;=Projects!$C$4,34&lt;Projects!$C$4+Projects!$D$4),Projects!$B$4*Assumptions!$B$12/Projects!$D$4,0)+IF(AND(Projects!$G$5="Yes",34&gt;=Projects!$C$5,34&lt;Projects!$C$5+Projects!$D$5),Projects!$B$5*Assumptions!$B$12/Projects!$D$5,0)+IF(AND(Projects!$G$6="Yes",34&gt;=Projects!$C$6,34&lt;Projects!$C$6+Projects!$D$6),0/Projects!$D$6,0)+IF(AND(Projects!$G$7="Yes",34&gt;=Projects!$C$7,34&lt;Projects!$C$7+Projects!$D$7),Projects!$B$7*Assumptions!$B$12/Projects!$D$7,0)+IF(AND(Projects!$G$8="Yes",34&gt;=Projects!$C$8,34&lt;Projects!$C$8+Projects!$D$8),Projects!$B$8*Assumptions!$B$12/Projects!$D$8,0)+IF(AND(Projects!$G$9="Yes",34&gt;=Projects!$C$9,34&lt;Projects!$C$9+Projects!$D$9),Projects!$B$9*Assumptions!$B$12/Projects!$D$9,0)+IF(AND(Projects!$G$10="Yes",34&gt;=Projects!$C$10,34&lt;Projects!$C$10+Projects!$D$10),Projects!$B$10*Assumptions!$B$12/Projects!$D$10,0)+IF(AND(Projects!$G$11="Yes",34&gt;=Projects!$C$11,34&lt;Projects!$C$11+Projects!$D$11),Projects!$B$11*Assumptions!$B$12/Projects!$D$11,0)+IF(AND(Projects!$G$12="Yes",34&gt;=Projects!$C$12,34&lt;Projects!$C$12+Projects!$D$12),Projects!$B$12*Assumptions!$B$12/Projects!$D$12,0)+IF(AND(Projects!$G$13="Yes",34&gt;=Projects!$C$13,34&lt;Projects!$C$13+Projects!$D$13),Projects!$B$13*Assumptions!$B$12/Projects!$D$13,0)+IF(AND(Projects!$G$14="Yes",34&gt;=Projects!$C$14,34&lt;Projects!$C$14+Projects!$D$14),Projects!$B$14*Assumptions!$B$12/Projects!$D$14,0)+IF(AND(Projects!$G$15="Yes",34&gt;=Projects!$C$15,34&lt;Projects!$C$15+Projects!$D$15),Projects!$B$15*Assumptions!$B$12/Projects!$D$15,0)+IF(AND(Projects!$G$16="Yes",34&gt;=Projects!$C$16,34&lt;Projects!$C$16+Projects!$D$16),Projects!$B$16*Assumptions!$B$12/Projects!$D$16,0)</f>
        <v>55447.1239177489</v>
      </c>
      <c r="AK10" s="10" t="n">
        <f aca="false">IF(AND(Projects!$G$2="Yes",35&gt;=Projects!$C$2,35&lt;Projects!$C$2+Projects!$D$2),46323/Projects!$D$2,0)+IF(AND(Projects!$G$3="Yes",35&gt;=Projects!$C$3,35&lt;Projects!$C$3+Projects!$D$3),176626/Projects!$D$3,0)+IF(AND(Projects!$G$4="Yes",35&gt;=Projects!$C$4,35&lt;Projects!$C$4+Projects!$D$4),Projects!$B$4*Assumptions!$B$12/Projects!$D$4,0)+IF(AND(Projects!$G$5="Yes",35&gt;=Projects!$C$5,35&lt;Projects!$C$5+Projects!$D$5),Projects!$B$5*Assumptions!$B$12/Projects!$D$5,0)+IF(AND(Projects!$G$6="Yes",35&gt;=Projects!$C$6,35&lt;Projects!$C$6+Projects!$D$6),0/Projects!$D$6,0)+IF(AND(Projects!$G$7="Yes",35&gt;=Projects!$C$7,35&lt;Projects!$C$7+Projects!$D$7),Projects!$B$7*Assumptions!$B$12/Projects!$D$7,0)+IF(AND(Projects!$G$8="Yes",35&gt;=Projects!$C$8,35&lt;Projects!$C$8+Projects!$D$8),Projects!$B$8*Assumptions!$B$12/Projects!$D$8,0)+IF(AND(Projects!$G$9="Yes",35&gt;=Projects!$C$9,35&lt;Projects!$C$9+Projects!$D$9),Projects!$B$9*Assumptions!$B$12/Projects!$D$9,0)+IF(AND(Projects!$G$10="Yes",35&gt;=Projects!$C$10,35&lt;Projects!$C$10+Projects!$D$10),Projects!$B$10*Assumptions!$B$12/Projects!$D$10,0)+IF(AND(Projects!$G$11="Yes",35&gt;=Projects!$C$11,35&lt;Projects!$C$11+Projects!$D$11),Projects!$B$11*Assumptions!$B$12/Projects!$D$11,0)+IF(AND(Projects!$G$12="Yes",35&gt;=Projects!$C$12,35&lt;Projects!$C$12+Projects!$D$12),Projects!$B$12*Assumptions!$B$12/Projects!$D$12,0)+IF(AND(Projects!$G$13="Yes",35&gt;=Projects!$C$13,35&lt;Projects!$C$13+Projects!$D$13),Projects!$B$13*Assumptions!$B$12/Projects!$D$13,0)+IF(AND(Projects!$G$14="Yes",35&gt;=Projects!$C$14,35&lt;Projects!$C$14+Projects!$D$14),Projects!$B$14*Assumptions!$B$12/Projects!$D$14,0)+IF(AND(Projects!$G$15="Yes",35&gt;=Projects!$C$15,35&lt;Projects!$C$15+Projects!$D$15),Projects!$B$15*Assumptions!$B$12/Projects!$D$15,0)+IF(AND(Projects!$G$16="Yes",35&gt;=Projects!$C$16,35&lt;Projects!$C$16+Projects!$D$16),Projects!$B$16*Assumptions!$B$12/Projects!$D$16,0)</f>
        <v>55447.1239177489</v>
      </c>
      <c r="AL10" s="10" t="n">
        <f aca="false">IF(AND(Projects!$G$2="Yes",36&gt;=Projects!$C$2,36&lt;Projects!$C$2+Projects!$D$2),46323/Projects!$D$2,0)+IF(AND(Projects!$G$3="Yes",36&gt;=Projects!$C$3,36&lt;Projects!$C$3+Projects!$D$3),176626/Projects!$D$3,0)+IF(AND(Projects!$G$4="Yes",36&gt;=Projects!$C$4,36&lt;Projects!$C$4+Projects!$D$4),Projects!$B$4*Assumptions!$B$12/Projects!$D$4,0)+IF(AND(Projects!$G$5="Yes",36&gt;=Projects!$C$5,36&lt;Projects!$C$5+Projects!$D$5),Projects!$B$5*Assumptions!$B$12/Projects!$D$5,0)+IF(AND(Projects!$G$6="Yes",36&gt;=Projects!$C$6,36&lt;Projects!$C$6+Projects!$D$6),0/Projects!$D$6,0)+IF(AND(Projects!$G$7="Yes",36&gt;=Projects!$C$7,36&lt;Projects!$C$7+Projects!$D$7),Projects!$B$7*Assumptions!$B$12/Projects!$D$7,0)+IF(AND(Projects!$G$8="Yes",36&gt;=Projects!$C$8,36&lt;Projects!$C$8+Projects!$D$8),Projects!$B$8*Assumptions!$B$12/Projects!$D$8,0)+IF(AND(Projects!$G$9="Yes",36&gt;=Projects!$C$9,36&lt;Projects!$C$9+Projects!$D$9),Projects!$B$9*Assumptions!$B$12/Projects!$D$9,0)+IF(AND(Projects!$G$10="Yes",36&gt;=Projects!$C$10,36&lt;Projects!$C$10+Projects!$D$10),Projects!$B$10*Assumptions!$B$12/Projects!$D$10,0)+IF(AND(Projects!$G$11="Yes",36&gt;=Projects!$C$11,36&lt;Projects!$C$11+Projects!$D$11),Projects!$B$11*Assumptions!$B$12/Projects!$D$11,0)+IF(AND(Projects!$G$12="Yes",36&gt;=Projects!$C$12,36&lt;Projects!$C$12+Projects!$D$12),Projects!$B$12*Assumptions!$B$12/Projects!$D$12,0)+IF(AND(Projects!$G$13="Yes",36&gt;=Projects!$C$13,36&lt;Projects!$C$13+Projects!$D$13),Projects!$B$13*Assumptions!$B$12/Projects!$D$13,0)+IF(AND(Projects!$G$14="Yes",36&gt;=Projects!$C$14,36&lt;Projects!$C$14+Projects!$D$14),Projects!$B$14*Assumptions!$B$12/Projects!$D$14,0)+IF(AND(Projects!$G$15="Yes",36&gt;=Projects!$C$15,36&lt;Projects!$C$15+Projects!$D$15),Projects!$B$15*Assumptions!$B$12/Projects!$D$15,0)+IF(AND(Projects!$G$16="Yes",36&gt;=Projects!$C$16,36&lt;Projects!$C$16+Projects!$D$16),Projects!$B$16*Assumptions!$B$12/Projects!$D$16,0)</f>
        <v>55447.1239177489</v>
      </c>
      <c r="AM10" s="10" t="n">
        <f aca="false">IF(AND(Projects!$G$2="Yes",37&gt;=Projects!$C$2,37&lt;Projects!$C$2+Projects!$D$2),46323/Projects!$D$2,0)+IF(AND(Projects!$G$3="Yes",37&gt;=Projects!$C$3,37&lt;Projects!$C$3+Projects!$D$3),176626/Projects!$D$3,0)+IF(AND(Projects!$G$4="Yes",37&gt;=Projects!$C$4,37&lt;Projects!$C$4+Projects!$D$4),Projects!$B$4*Assumptions!$B$12/Projects!$D$4,0)+IF(AND(Projects!$G$5="Yes",37&gt;=Projects!$C$5,37&lt;Projects!$C$5+Projects!$D$5),Projects!$B$5*Assumptions!$B$12/Projects!$D$5,0)+IF(AND(Projects!$G$6="Yes",37&gt;=Projects!$C$6,37&lt;Projects!$C$6+Projects!$D$6),0/Projects!$D$6,0)+IF(AND(Projects!$G$7="Yes",37&gt;=Projects!$C$7,37&lt;Projects!$C$7+Projects!$D$7),Projects!$B$7*Assumptions!$B$12/Projects!$D$7,0)+IF(AND(Projects!$G$8="Yes",37&gt;=Projects!$C$8,37&lt;Projects!$C$8+Projects!$D$8),Projects!$B$8*Assumptions!$B$12/Projects!$D$8,0)+IF(AND(Projects!$G$9="Yes",37&gt;=Projects!$C$9,37&lt;Projects!$C$9+Projects!$D$9),Projects!$B$9*Assumptions!$B$12/Projects!$D$9,0)+IF(AND(Projects!$G$10="Yes",37&gt;=Projects!$C$10,37&lt;Projects!$C$10+Projects!$D$10),Projects!$B$10*Assumptions!$B$12/Projects!$D$10,0)+IF(AND(Projects!$G$11="Yes",37&gt;=Projects!$C$11,37&lt;Projects!$C$11+Projects!$D$11),Projects!$B$11*Assumptions!$B$12/Projects!$D$11,0)+IF(AND(Projects!$G$12="Yes",37&gt;=Projects!$C$12,37&lt;Projects!$C$12+Projects!$D$12),Projects!$B$12*Assumptions!$B$12/Projects!$D$12,0)+IF(AND(Projects!$G$13="Yes",37&gt;=Projects!$C$13,37&lt;Projects!$C$13+Projects!$D$13),Projects!$B$13*Assumptions!$B$12/Projects!$D$13,0)+IF(AND(Projects!$G$14="Yes",37&gt;=Projects!$C$14,37&lt;Projects!$C$14+Projects!$D$14),Projects!$B$14*Assumptions!$B$12/Projects!$D$14,0)+IF(AND(Projects!$G$15="Yes",37&gt;=Projects!$C$15,37&lt;Projects!$C$15+Projects!$D$15),Projects!$B$15*Assumptions!$B$12/Projects!$D$15,0)+IF(AND(Projects!$G$16="Yes",37&gt;=Projects!$C$16,37&lt;Projects!$C$16+Projects!$D$16),Projects!$B$16*Assumptions!$B$12/Projects!$D$16,0)</f>
        <v>46873.053030303</v>
      </c>
      <c r="AN10" s="10" t="n">
        <f aca="false">IF(AND(Projects!$G$2="Yes",38&gt;=Projects!$C$2,38&lt;Projects!$C$2+Projects!$D$2),46323/Projects!$D$2,0)+IF(AND(Projects!$G$3="Yes",38&gt;=Projects!$C$3,38&lt;Projects!$C$3+Projects!$D$3),176626/Projects!$D$3,0)+IF(AND(Projects!$G$4="Yes",38&gt;=Projects!$C$4,38&lt;Projects!$C$4+Projects!$D$4),Projects!$B$4*Assumptions!$B$12/Projects!$D$4,0)+IF(AND(Projects!$G$5="Yes",38&gt;=Projects!$C$5,38&lt;Projects!$C$5+Projects!$D$5),Projects!$B$5*Assumptions!$B$12/Projects!$D$5,0)+IF(AND(Projects!$G$6="Yes",38&gt;=Projects!$C$6,38&lt;Projects!$C$6+Projects!$D$6),0/Projects!$D$6,0)+IF(AND(Projects!$G$7="Yes",38&gt;=Projects!$C$7,38&lt;Projects!$C$7+Projects!$D$7),Projects!$B$7*Assumptions!$B$12/Projects!$D$7,0)+IF(AND(Projects!$G$8="Yes",38&gt;=Projects!$C$8,38&lt;Projects!$C$8+Projects!$D$8),Projects!$B$8*Assumptions!$B$12/Projects!$D$8,0)+IF(AND(Projects!$G$9="Yes",38&gt;=Projects!$C$9,38&lt;Projects!$C$9+Projects!$D$9),Projects!$B$9*Assumptions!$B$12/Projects!$D$9,0)+IF(AND(Projects!$G$10="Yes",38&gt;=Projects!$C$10,38&lt;Projects!$C$10+Projects!$D$10),Projects!$B$10*Assumptions!$B$12/Projects!$D$10,0)+IF(AND(Projects!$G$11="Yes",38&gt;=Projects!$C$11,38&lt;Projects!$C$11+Projects!$D$11),Projects!$B$11*Assumptions!$B$12/Projects!$D$11,0)+IF(AND(Projects!$G$12="Yes",38&gt;=Projects!$C$12,38&lt;Projects!$C$12+Projects!$D$12),Projects!$B$12*Assumptions!$B$12/Projects!$D$12,0)+IF(AND(Projects!$G$13="Yes",38&gt;=Projects!$C$13,38&lt;Projects!$C$13+Projects!$D$13),Projects!$B$13*Assumptions!$B$12/Projects!$D$13,0)+IF(AND(Projects!$G$14="Yes",38&gt;=Projects!$C$14,38&lt;Projects!$C$14+Projects!$D$14),Projects!$B$14*Assumptions!$B$12/Projects!$D$14,0)+IF(AND(Projects!$G$15="Yes",38&gt;=Projects!$C$15,38&lt;Projects!$C$15+Projects!$D$15),Projects!$B$15*Assumptions!$B$12/Projects!$D$15,0)+IF(AND(Projects!$G$16="Yes",38&gt;=Projects!$C$16,38&lt;Projects!$C$16+Projects!$D$16),Projects!$B$16*Assumptions!$B$12/Projects!$D$16,0)</f>
        <v>46873.053030303</v>
      </c>
      <c r="AO10" s="10" t="n">
        <f aca="false">IF(AND(Projects!$G$2="Yes",39&gt;=Projects!$C$2,39&lt;Projects!$C$2+Projects!$D$2),46323/Projects!$D$2,0)+IF(AND(Projects!$G$3="Yes",39&gt;=Projects!$C$3,39&lt;Projects!$C$3+Projects!$D$3),176626/Projects!$D$3,0)+IF(AND(Projects!$G$4="Yes",39&gt;=Projects!$C$4,39&lt;Projects!$C$4+Projects!$D$4),Projects!$B$4*Assumptions!$B$12/Projects!$D$4,0)+IF(AND(Projects!$G$5="Yes",39&gt;=Projects!$C$5,39&lt;Projects!$C$5+Projects!$D$5),Projects!$B$5*Assumptions!$B$12/Projects!$D$5,0)+IF(AND(Projects!$G$6="Yes",39&gt;=Projects!$C$6,39&lt;Projects!$C$6+Projects!$D$6),0/Projects!$D$6,0)+IF(AND(Projects!$G$7="Yes",39&gt;=Projects!$C$7,39&lt;Projects!$C$7+Projects!$D$7),Projects!$B$7*Assumptions!$B$12/Projects!$D$7,0)+IF(AND(Projects!$G$8="Yes",39&gt;=Projects!$C$8,39&lt;Projects!$C$8+Projects!$D$8),Projects!$B$8*Assumptions!$B$12/Projects!$D$8,0)+IF(AND(Projects!$G$9="Yes",39&gt;=Projects!$C$9,39&lt;Projects!$C$9+Projects!$D$9),Projects!$B$9*Assumptions!$B$12/Projects!$D$9,0)+IF(AND(Projects!$G$10="Yes",39&gt;=Projects!$C$10,39&lt;Projects!$C$10+Projects!$D$10),Projects!$B$10*Assumptions!$B$12/Projects!$D$10,0)+IF(AND(Projects!$G$11="Yes",39&gt;=Projects!$C$11,39&lt;Projects!$C$11+Projects!$D$11),Projects!$B$11*Assumptions!$B$12/Projects!$D$11,0)+IF(AND(Projects!$G$12="Yes",39&gt;=Projects!$C$12,39&lt;Projects!$C$12+Projects!$D$12),Projects!$B$12*Assumptions!$B$12/Projects!$D$12,0)+IF(AND(Projects!$G$13="Yes",39&gt;=Projects!$C$13,39&lt;Projects!$C$13+Projects!$D$13),Projects!$B$13*Assumptions!$B$12/Projects!$D$13,0)+IF(AND(Projects!$G$14="Yes",39&gt;=Projects!$C$14,39&lt;Projects!$C$14+Projects!$D$14),Projects!$B$14*Assumptions!$B$12/Projects!$D$14,0)+IF(AND(Projects!$G$15="Yes",39&gt;=Projects!$C$15,39&lt;Projects!$C$15+Projects!$D$15),Projects!$B$15*Assumptions!$B$12/Projects!$D$15,0)+IF(AND(Projects!$G$16="Yes",39&gt;=Projects!$C$16,39&lt;Projects!$C$16+Projects!$D$16),Projects!$B$16*Assumptions!$B$12/Projects!$D$16,0)</f>
        <v>46873.053030303</v>
      </c>
      <c r="AP10" s="10" t="n">
        <f aca="false">IF(AND(Projects!$G$2="Yes",40&gt;=Projects!$C$2,40&lt;Projects!$C$2+Projects!$D$2),46323/Projects!$D$2,0)+IF(AND(Projects!$G$3="Yes",40&gt;=Projects!$C$3,40&lt;Projects!$C$3+Projects!$D$3),176626/Projects!$D$3,0)+IF(AND(Projects!$G$4="Yes",40&gt;=Projects!$C$4,40&lt;Projects!$C$4+Projects!$D$4),Projects!$B$4*Assumptions!$B$12/Projects!$D$4,0)+IF(AND(Projects!$G$5="Yes",40&gt;=Projects!$C$5,40&lt;Projects!$C$5+Projects!$D$5),Projects!$B$5*Assumptions!$B$12/Projects!$D$5,0)+IF(AND(Projects!$G$6="Yes",40&gt;=Projects!$C$6,40&lt;Projects!$C$6+Projects!$D$6),0/Projects!$D$6,0)+IF(AND(Projects!$G$7="Yes",40&gt;=Projects!$C$7,40&lt;Projects!$C$7+Projects!$D$7),Projects!$B$7*Assumptions!$B$12/Projects!$D$7,0)+IF(AND(Projects!$G$8="Yes",40&gt;=Projects!$C$8,40&lt;Projects!$C$8+Projects!$D$8),Projects!$B$8*Assumptions!$B$12/Projects!$D$8,0)+IF(AND(Projects!$G$9="Yes",40&gt;=Projects!$C$9,40&lt;Projects!$C$9+Projects!$D$9),Projects!$B$9*Assumptions!$B$12/Projects!$D$9,0)+IF(AND(Projects!$G$10="Yes",40&gt;=Projects!$C$10,40&lt;Projects!$C$10+Projects!$D$10),Projects!$B$10*Assumptions!$B$12/Projects!$D$10,0)+IF(AND(Projects!$G$11="Yes",40&gt;=Projects!$C$11,40&lt;Projects!$C$11+Projects!$D$11),Projects!$B$11*Assumptions!$B$12/Projects!$D$11,0)+IF(AND(Projects!$G$12="Yes",40&gt;=Projects!$C$12,40&lt;Projects!$C$12+Projects!$D$12),Projects!$B$12*Assumptions!$B$12/Projects!$D$12,0)+IF(AND(Projects!$G$13="Yes",40&gt;=Projects!$C$13,40&lt;Projects!$C$13+Projects!$D$13),Projects!$B$13*Assumptions!$B$12/Projects!$D$13,0)+IF(AND(Projects!$G$14="Yes",40&gt;=Projects!$C$14,40&lt;Projects!$C$14+Projects!$D$14),Projects!$B$14*Assumptions!$B$12/Projects!$D$14,0)+IF(AND(Projects!$G$15="Yes",40&gt;=Projects!$C$15,40&lt;Projects!$C$15+Projects!$D$15),Projects!$B$15*Assumptions!$B$12/Projects!$D$15,0)+IF(AND(Projects!$G$16="Yes",40&gt;=Projects!$C$16,40&lt;Projects!$C$16+Projects!$D$16),Projects!$B$16*Assumptions!$B$12/Projects!$D$16,0)</f>
        <v>46873.053030303</v>
      </c>
      <c r="AQ10" s="10" t="n">
        <f aca="false">IF(AND(Projects!$G$2="Yes",41&gt;=Projects!$C$2,41&lt;Projects!$C$2+Projects!$D$2),46323/Projects!$D$2,0)+IF(AND(Projects!$G$3="Yes",41&gt;=Projects!$C$3,41&lt;Projects!$C$3+Projects!$D$3),176626/Projects!$D$3,0)+IF(AND(Projects!$G$4="Yes",41&gt;=Projects!$C$4,41&lt;Projects!$C$4+Projects!$D$4),Projects!$B$4*Assumptions!$B$12/Projects!$D$4,0)+IF(AND(Projects!$G$5="Yes",41&gt;=Projects!$C$5,41&lt;Projects!$C$5+Projects!$D$5),Projects!$B$5*Assumptions!$B$12/Projects!$D$5,0)+IF(AND(Projects!$G$6="Yes",41&gt;=Projects!$C$6,41&lt;Projects!$C$6+Projects!$D$6),0/Projects!$D$6,0)+IF(AND(Projects!$G$7="Yes",41&gt;=Projects!$C$7,41&lt;Projects!$C$7+Projects!$D$7),Projects!$B$7*Assumptions!$B$12/Projects!$D$7,0)+IF(AND(Projects!$G$8="Yes",41&gt;=Projects!$C$8,41&lt;Projects!$C$8+Projects!$D$8),Projects!$B$8*Assumptions!$B$12/Projects!$D$8,0)+IF(AND(Projects!$G$9="Yes",41&gt;=Projects!$C$9,41&lt;Projects!$C$9+Projects!$D$9),Projects!$B$9*Assumptions!$B$12/Projects!$D$9,0)+IF(AND(Projects!$G$10="Yes",41&gt;=Projects!$C$10,41&lt;Projects!$C$10+Projects!$D$10),Projects!$B$10*Assumptions!$B$12/Projects!$D$10,0)+IF(AND(Projects!$G$11="Yes",41&gt;=Projects!$C$11,41&lt;Projects!$C$11+Projects!$D$11),Projects!$B$11*Assumptions!$B$12/Projects!$D$11,0)+IF(AND(Projects!$G$12="Yes",41&gt;=Projects!$C$12,41&lt;Projects!$C$12+Projects!$D$12),Projects!$B$12*Assumptions!$B$12/Projects!$D$12,0)+IF(AND(Projects!$G$13="Yes",41&gt;=Projects!$C$13,41&lt;Projects!$C$13+Projects!$D$13),Projects!$B$13*Assumptions!$B$12/Projects!$D$13,0)+IF(AND(Projects!$G$14="Yes",41&gt;=Projects!$C$14,41&lt;Projects!$C$14+Projects!$D$14),Projects!$B$14*Assumptions!$B$12/Projects!$D$14,0)+IF(AND(Projects!$G$15="Yes",41&gt;=Projects!$C$15,41&lt;Projects!$C$15+Projects!$D$15),Projects!$B$15*Assumptions!$B$12/Projects!$D$15,0)+IF(AND(Projects!$G$16="Yes",41&gt;=Projects!$C$16,41&lt;Projects!$C$16+Projects!$D$16),Projects!$B$16*Assumptions!$B$12/Projects!$D$16,0)</f>
        <v>46873.053030303</v>
      </c>
      <c r="AR10" s="10" t="n">
        <f aca="false">IF(AND(Projects!$G$2="Yes",42&gt;=Projects!$C$2,42&lt;Projects!$C$2+Projects!$D$2),46323/Projects!$D$2,0)+IF(AND(Projects!$G$3="Yes",42&gt;=Projects!$C$3,42&lt;Projects!$C$3+Projects!$D$3),176626/Projects!$D$3,0)+IF(AND(Projects!$G$4="Yes",42&gt;=Projects!$C$4,42&lt;Projects!$C$4+Projects!$D$4),Projects!$B$4*Assumptions!$B$12/Projects!$D$4,0)+IF(AND(Projects!$G$5="Yes",42&gt;=Projects!$C$5,42&lt;Projects!$C$5+Projects!$D$5),Projects!$B$5*Assumptions!$B$12/Projects!$D$5,0)+IF(AND(Projects!$G$6="Yes",42&gt;=Projects!$C$6,42&lt;Projects!$C$6+Projects!$D$6),0/Projects!$D$6,0)+IF(AND(Projects!$G$7="Yes",42&gt;=Projects!$C$7,42&lt;Projects!$C$7+Projects!$D$7),Projects!$B$7*Assumptions!$B$12/Projects!$D$7,0)+IF(AND(Projects!$G$8="Yes",42&gt;=Projects!$C$8,42&lt;Projects!$C$8+Projects!$D$8),Projects!$B$8*Assumptions!$B$12/Projects!$D$8,0)+IF(AND(Projects!$G$9="Yes",42&gt;=Projects!$C$9,42&lt;Projects!$C$9+Projects!$D$9),Projects!$B$9*Assumptions!$B$12/Projects!$D$9,0)+IF(AND(Projects!$G$10="Yes",42&gt;=Projects!$C$10,42&lt;Projects!$C$10+Projects!$D$10),Projects!$B$10*Assumptions!$B$12/Projects!$D$10,0)+IF(AND(Projects!$G$11="Yes",42&gt;=Projects!$C$11,42&lt;Projects!$C$11+Projects!$D$11),Projects!$B$11*Assumptions!$B$12/Projects!$D$11,0)+IF(AND(Projects!$G$12="Yes",42&gt;=Projects!$C$12,42&lt;Projects!$C$12+Projects!$D$12),Projects!$B$12*Assumptions!$B$12/Projects!$D$12,0)+IF(AND(Projects!$G$13="Yes",42&gt;=Projects!$C$13,42&lt;Projects!$C$13+Projects!$D$13),Projects!$B$13*Assumptions!$B$12/Projects!$D$13,0)+IF(AND(Projects!$G$14="Yes",42&gt;=Projects!$C$14,42&lt;Projects!$C$14+Projects!$D$14),Projects!$B$14*Assumptions!$B$12/Projects!$D$14,0)+IF(AND(Projects!$G$15="Yes",42&gt;=Projects!$C$15,42&lt;Projects!$C$15+Projects!$D$15),Projects!$B$15*Assumptions!$B$12/Projects!$D$15,0)+IF(AND(Projects!$G$16="Yes",42&gt;=Projects!$C$16,42&lt;Projects!$C$16+Projects!$D$16),Projects!$B$16*Assumptions!$B$12/Projects!$D$16,0)</f>
        <v>46873.053030303</v>
      </c>
      <c r="AS10" s="10" t="n">
        <f aca="false">IF(AND(Projects!$G$2="Yes",43&gt;=Projects!$C$2,43&lt;Projects!$C$2+Projects!$D$2),46323/Projects!$D$2,0)+IF(AND(Projects!$G$3="Yes",43&gt;=Projects!$C$3,43&lt;Projects!$C$3+Projects!$D$3),176626/Projects!$D$3,0)+IF(AND(Projects!$G$4="Yes",43&gt;=Projects!$C$4,43&lt;Projects!$C$4+Projects!$D$4),Projects!$B$4*Assumptions!$B$12/Projects!$D$4,0)+IF(AND(Projects!$G$5="Yes",43&gt;=Projects!$C$5,43&lt;Projects!$C$5+Projects!$D$5),Projects!$B$5*Assumptions!$B$12/Projects!$D$5,0)+IF(AND(Projects!$G$6="Yes",43&gt;=Projects!$C$6,43&lt;Projects!$C$6+Projects!$D$6),0/Projects!$D$6,0)+IF(AND(Projects!$G$7="Yes",43&gt;=Projects!$C$7,43&lt;Projects!$C$7+Projects!$D$7),Projects!$B$7*Assumptions!$B$12/Projects!$D$7,0)+IF(AND(Projects!$G$8="Yes",43&gt;=Projects!$C$8,43&lt;Projects!$C$8+Projects!$D$8),Projects!$B$8*Assumptions!$B$12/Projects!$D$8,0)+IF(AND(Projects!$G$9="Yes",43&gt;=Projects!$C$9,43&lt;Projects!$C$9+Projects!$D$9),Projects!$B$9*Assumptions!$B$12/Projects!$D$9,0)+IF(AND(Projects!$G$10="Yes",43&gt;=Projects!$C$10,43&lt;Projects!$C$10+Projects!$D$10),Projects!$B$10*Assumptions!$B$12/Projects!$D$10,0)+IF(AND(Projects!$G$11="Yes",43&gt;=Projects!$C$11,43&lt;Projects!$C$11+Projects!$D$11),Projects!$B$11*Assumptions!$B$12/Projects!$D$11,0)+IF(AND(Projects!$G$12="Yes",43&gt;=Projects!$C$12,43&lt;Projects!$C$12+Projects!$D$12),Projects!$B$12*Assumptions!$B$12/Projects!$D$12,0)+IF(AND(Projects!$G$13="Yes",43&gt;=Projects!$C$13,43&lt;Projects!$C$13+Projects!$D$13),Projects!$B$13*Assumptions!$B$12/Projects!$D$13,0)+IF(AND(Projects!$G$14="Yes",43&gt;=Projects!$C$14,43&lt;Projects!$C$14+Projects!$D$14),Projects!$B$14*Assumptions!$B$12/Projects!$D$14,0)+IF(AND(Projects!$G$15="Yes",43&gt;=Projects!$C$15,43&lt;Projects!$C$15+Projects!$D$15),Projects!$B$15*Assumptions!$B$12/Projects!$D$15,0)+IF(AND(Projects!$G$16="Yes",43&gt;=Projects!$C$16,43&lt;Projects!$C$16+Projects!$D$16),Projects!$B$16*Assumptions!$B$12/Projects!$D$16,0)</f>
        <v>22378.0476190476</v>
      </c>
      <c r="AT10" s="10" t="n">
        <f aca="false">IF(AND(Projects!$G$2="Yes",44&gt;=Projects!$C$2,44&lt;Projects!$C$2+Projects!$D$2),46323/Projects!$D$2,0)+IF(AND(Projects!$G$3="Yes",44&gt;=Projects!$C$3,44&lt;Projects!$C$3+Projects!$D$3),176626/Projects!$D$3,0)+IF(AND(Projects!$G$4="Yes",44&gt;=Projects!$C$4,44&lt;Projects!$C$4+Projects!$D$4),Projects!$B$4*Assumptions!$B$12/Projects!$D$4,0)+IF(AND(Projects!$G$5="Yes",44&gt;=Projects!$C$5,44&lt;Projects!$C$5+Projects!$D$5),Projects!$B$5*Assumptions!$B$12/Projects!$D$5,0)+IF(AND(Projects!$G$6="Yes",44&gt;=Projects!$C$6,44&lt;Projects!$C$6+Projects!$D$6),0/Projects!$D$6,0)+IF(AND(Projects!$G$7="Yes",44&gt;=Projects!$C$7,44&lt;Projects!$C$7+Projects!$D$7),Projects!$B$7*Assumptions!$B$12/Projects!$D$7,0)+IF(AND(Projects!$G$8="Yes",44&gt;=Projects!$C$8,44&lt;Projects!$C$8+Projects!$D$8),Projects!$B$8*Assumptions!$B$12/Projects!$D$8,0)+IF(AND(Projects!$G$9="Yes",44&gt;=Projects!$C$9,44&lt;Projects!$C$9+Projects!$D$9),Projects!$B$9*Assumptions!$B$12/Projects!$D$9,0)+IF(AND(Projects!$G$10="Yes",44&gt;=Projects!$C$10,44&lt;Projects!$C$10+Projects!$D$10),Projects!$B$10*Assumptions!$B$12/Projects!$D$10,0)+IF(AND(Projects!$G$11="Yes",44&gt;=Projects!$C$11,44&lt;Projects!$C$11+Projects!$D$11),Projects!$B$11*Assumptions!$B$12/Projects!$D$11,0)+IF(AND(Projects!$G$12="Yes",44&gt;=Projects!$C$12,44&lt;Projects!$C$12+Projects!$D$12),Projects!$B$12*Assumptions!$B$12/Projects!$D$12,0)+IF(AND(Projects!$G$13="Yes",44&gt;=Projects!$C$13,44&lt;Projects!$C$13+Projects!$D$13),Projects!$B$13*Assumptions!$B$12/Projects!$D$13,0)+IF(AND(Projects!$G$14="Yes",44&gt;=Projects!$C$14,44&lt;Projects!$C$14+Projects!$D$14),Projects!$B$14*Assumptions!$B$12/Projects!$D$14,0)+IF(AND(Projects!$G$15="Yes",44&gt;=Projects!$C$15,44&lt;Projects!$C$15+Projects!$D$15),Projects!$B$15*Assumptions!$B$12/Projects!$D$15,0)+IF(AND(Projects!$G$16="Yes",44&gt;=Projects!$C$16,44&lt;Projects!$C$16+Projects!$D$16),Projects!$B$16*Assumptions!$B$12/Projects!$D$16,0)</f>
        <v>22378.0476190476</v>
      </c>
      <c r="AU10" s="10" t="n">
        <f aca="false">IF(AND(Projects!$G$2="Yes",45&gt;=Projects!$C$2,45&lt;Projects!$C$2+Projects!$D$2),46323/Projects!$D$2,0)+IF(AND(Projects!$G$3="Yes",45&gt;=Projects!$C$3,45&lt;Projects!$C$3+Projects!$D$3),176626/Projects!$D$3,0)+IF(AND(Projects!$G$4="Yes",45&gt;=Projects!$C$4,45&lt;Projects!$C$4+Projects!$D$4),Projects!$B$4*Assumptions!$B$12/Projects!$D$4,0)+IF(AND(Projects!$G$5="Yes",45&gt;=Projects!$C$5,45&lt;Projects!$C$5+Projects!$D$5),Projects!$B$5*Assumptions!$B$12/Projects!$D$5,0)+IF(AND(Projects!$G$6="Yes",45&gt;=Projects!$C$6,45&lt;Projects!$C$6+Projects!$D$6),0/Projects!$D$6,0)+IF(AND(Projects!$G$7="Yes",45&gt;=Projects!$C$7,45&lt;Projects!$C$7+Projects!$D$7),Projects!$B$7*Assumptions!$B$12/Projects!$D$7,0)+IF(AND(Projects!$G$8="Yes",45&gt;=Projects!$C$8,45&lt;Projects!$C$8+Projects!$D$8),Projects!$B$8*Assumptions!$B$12/Projects!$D$8,0)+IF(AND(Projects!$G$9="Yes",45&gt;=Projects!$C$9,45&lt;Projects!$C$9+Projects!$D$9),Projects!$B$9*Assumptions!$B$12/Projects!$D$9,0)+IF(AND(Projects!$G$10="Yes",45&gt;=Projects!$C$10,45&lt;Projects!$C$10+Projects!$D$10),Projects!$B$10*Assumptions!$B$12/Projects!$D$10,0)+IF(AND(Projects!$G$11="Yes",45&gt;=Projects!$C$11,45&lt;Projects!$C$11+Projects!$D$11),Projects!$B$11*Assumptions!$B$12/Projects!$D$11,0)+IF(AND(Projects!$G$12="Yes",45&gt;=Projects!$C$12,45&lt;Projects!$C$12+Projects!$D$12),Projects!$B$12*Assumptions!$B$12/Projects!$D$12,0)+IF(AND(Projects!$G$13="Yes",45&gt;=Projects!$C$13,45&lt;Projects!$C$13+Projects!$D$13),Projects!$B$13*Assumptions!$B$12/Projects!$D$13,0)+IF(AND(Projects!$G$14="Yes",45&gt;=Projects!$C$14,45&lt;Projects!$C$14+Projects!$D$14),Projects!$B$14*Assumptions!$B$12/Projects!$D$14,0)+IF(AND(Projects!$G$15="Yes",45&gt;=Projects!$C$15,45&lt;Projects!$C$15+Projects!$D$15),Projects!$B$15*Assumptions!$B$12/Projects!$D$15,0)+IF(AND(Projects!$G$16="Yes",45&gt;=Projects!$C$16,45&lt;Projects!$C$16+Projects!$D$16),Projects!$B$16*Assumptions!$B$12/Projects!$D$16,0)</f>
        <v>22378.0476190476</v>
      </c>
      <c r="AV10" s="10" t="n">
        <f aca="false">IF(AND(Projects!$G$2="Yes",46&gt;=Projects!$C$2,46&lt;Projects!$C$2+Projects!$D$2),46323/Projects!$D$2,0)+IF(AND(Projects!$G$3="Yes",46&gt;=Projects!$C$3,46&lt;Projects!$C$3+Projects!$D$3),176626/Projects!$D$3,0)+IF(AND(Projects!$G$4="Yes",46&gt;=Projects!$C$4,46&lt;Projects!$C$4+Projects!$D$4),Projects!$B$4*Assumptions!$B$12/Projects!$D$4,0)+IF(AND(Projects!$G$5="Yes",46&gt;=Projects!$C$5,46&lt;Projects!$C$5+Projects!$D$5),Projects!$B$5*Assumptions!$B$12/Projects!$D$5,0)+IF(AND(Projects!$G$6="Yes",46&gt;=Projects!$C$6,46&lt;Projects!$C$6+Projects!$D$6),0/Projects!$D$6,0)+IF(AND(Projects!$G$7="Yes",46&gt;=Projects!$C$7,46&lt;Projects!$C$7+Projects!$D$7),Projects!$B$7*Assumptions!$B$12/Projects!$D$7,0)+IF(AND(Projects!$G$8="Yes",46&gt;=Projects!$C$8,46&lt;Projects!$C$8+Projects!$D$8),Projects!$B$8*Assumptions!$B$12/Projects!$D$8,0)+IF(AND(Projects!$G$9="Yes",46&gt;=Projects!$C$9,46&lt;Projects!$C$9+Projects!$D$9),Projects!$B$9*Assumptions!$B$12/Projects!$D$9,0)+IF(AND(Projects!$G$10="Yes",46&gt;=Projects!$C$10,46&lt;Projects!$C$10+Projects!$D$10),Projects!$B$10*Assumptions!$B$12/Projects!$D$10,0)+IF(AND(Projects!$G$11="Yes",46&gt;=Projects!$C$11,46&lt;Projects!$C$11+Projects!$D$11),Projects!$B$11*Assumptions!$B$12/Projects!$D$11,0)+IF(AND(Projects!$G$12="Yes",46&gt;=Projects!$C$12,46&lt;Projects!$C$12+Projects!$D$12),Projects!$B$12*Assumptions!$B$12/Projects!$D$12,0)+IF(AND(Projects!$G$13="Yes",46&gt;=Projects!$C$13,46&lt;Projects!$C$13+Projects!$D$13),Projects!$B$13*Assumptions!$B$12/Projects!$D$13,0)+IF(AND(Projects!$G$14="Yes",46&gt;=Projects!$C$14,46&lt;Projects!$C$14+Projects!$D$14),Projects!$B$14*Assumptions!$B$12/Projects!$D$14,0)+IF(AND(Projects!$G$15="Yes",46&gt;=Projects!$C$15,46&lt;Projects!$C$15+Projects!$D$15),Projects!$B$15*Assumptions!$B$12/Projects!$D$15,0)+IF(AND(Projects!$G$16="Yes",46&gt;=Projects!$C$16,46&lt;Projects!$C$16+Projects!$D$16),Projects!$B$16*Assumptions!$B$12/Projects!$D$16,0)</f>
        <v>22378.0476190476</v>
      </c>
      <c r="AW10" s="10" t="n">
        <f aca="false">IF(AND(Projects!$G$2="Yes",47&gt;=Projects!$C$2,47&lt;Projects!$C$2+Projects!$D$2),46323/Projects!$D$2,0)+IF(AND(Projects!$G$3="Yes",47&gt;=Projects!$C$3,47&lt;Projects!$C$3+Projects!$D$3),176626/Projects!$D$3,0)+IF(AND(Projects!$G$4="Yes",47&gt;=Projects!$C$4,47&lt;Projects!$C$4+Projects!$D$4),Projects!$B$4*Assumptions!$B$12/Projects!$D$4,0)+IF(AND(Projects!$G$5="Yes",47&gt;=Projects!$C$5,47&lt;Projects!$C$5+Projects!$D$5),Projects!$B$5*Assumptions!$B$12/Projects!$D$5,0)+IF(AND(Projects!$G$6="Yes",47&gt;=Projects!$C$6,47&lt;Projects!$C$6+Projects!$D$6),0/Projects!$D$6,0)+IF(AND(Projects!$G$7="Yes",47&gt;=Projects!$C$7,47&lt;Projects!$C$7+Projects!$D$7),Projects!$B$7*Assumptions!$B$12/Projects!$D$7,0)+IF(AND(Projects!$G$8="Yes",47&gt;=Projects!$C$8,47&lt;Projects!$C$8+Projects!$D$8),Projects!$B$8*Assumptions!$B$12/Projects!$D$8,0)+IF(AND(Projects!$G$9="Yes",47&gt;=Projects!$C$9,47&lt;Projects!$C$9+Projects!$D$9),Projects!$B$9*Assumptions!$B$12/Projects!$D$9,0)+IF(AND(Projects!$G$10="Yes",47&gt;=Projects!$C$10,47&lt;Projects!$C$10+Projects!$D$10),Projects!$B$10*Assumptions!$B$12/Projects!$D$10,0)+IF(AND(Projects!$G$11="Yes",47&gt;=Projects!$C$11,47&lt;Projects!$C$11+Projects!$D$11),Projects!$B$11*Assumptions!$B$12/Projects!$D$11,0)+IF(AND(Projects!$G$12="Yes",47&gt;=Projects!$C$12,47&lt;Projects!$C$12+Projects!$D$12),Projects!$B$12*Assumptions!$B$12/Projects!$D$12,0)+IF(AND(Projects!$G$13="Yes",47&gt;=Projects!$C$13,47&lt;Projects!$C$13+Projects!$D$13),Projects!$B$13*Assumptions!$B$12/Projects!$D$13,0)+IF(AND(Projects!$G$14="Yes",47&gt;=Projects!$C$14,47&lt;Projects!$C$14+Projects!$D$14),Projects!$B$14*Assumptions!$B$12/Projects!$D$14,0)+IF(AND(Projects!$G$15="Yes",47&gt;=Projects!$C$15,47&lt;Projects!$C$15+Projects!$D$15),Projects!$B$15*Assumptions!$B$12/Projects!$D$15,0)+IF(AND(Projects!$G$16="Yes",47&gt;=Projects!$C$16,47&lt;Projects!$C$16+Projects!$D$16),Projects!$B$16*Assumptions!$B$12/Projects!$D$16,0)</f>
        <v>22378.0476190476</v>
      </c>
      <c r="AX10" s="10" t="n">
        <f aca="false">IF(AND(Projects!$G$2="Yes",48&gt;=Projects!$C$2,48&lt;Projects!$C$2+Projects!$D$2),46323/Projects!$D$2,0)+IF(AND(Projects!$G$3="Yes",48&gt;=Projects!$C$3,48&lt;Projects!$C$3+Projects!$D$3),176626/Projects!$D$3,0)+IF(AND(Projects!$G$4="Yes",48&gt;=Projects!$C$4,48&lt;Projects!$C$4+Projects!$D$4),Projects!$B$4*Assumptions!$B$12/Projects!$D$4,0)+IF(AND(Projects!$G$5="Yes",48&gt;=Projects!$C$5,48&lt;Projects!$C$5+Projects!$D$5),Projects!$B$5*Assumptions!$B$12/Projects!$D$5,0)+IF(AND(Projects!$G$6="Yes",48&gt;=Projects!$C$6,48&lt;Projects!$C$6+Projects!$D$6),0/Projects!$D$6,0)+IF(AND(Projects!$G$7="Yes",48&gt;=Projects!$C$7,48&lt;Projects!$C$7+Projects!$D$7),Projects!$B$7*Assumptions!$B$12/Projects!$D$7,0)+IF(AND(Projects!$G$8="Yes",48&gt;=Projects!$C$8,48&lt;Projects!$C$8+Projects!$D$8),Projects!$B$8*Assumptions!$B$12/Projects!$D$8,0)+IF(AND(Projects!$G$9="Yes",48&gt;=Projects!$C$9,48&lt;Projects!$C$9+Projects!$D$9),Projects!$B$9*Assumptions!$B$12/Projects!$D$9,0)+IF(AND(Projects!$G$10="Yes",48&gt;=Projects!$C$10,48&lt;Projects!$C$10+Projects!$D$10),Projects!$B$10*Assumptions!$B$12/Projects!$D$10,0)+IF(AND(Projects!$G$11="Yes",48&gt;=Projects!$C$11,48&lt;Projects!$C$11+Projects!$D$11),Projects!$B$11*Assumptions!$B$12/Projects!$D$11,0)+IF(AND(Projects!$G$12="Yes",48&gt;=Projects!$C$12,48&lt;Projects!$C$12+Projects!$D$12),Projects!$B$12*Assumptions!$B$12/Projects!$D$12,0)+IF(AND(Projects!$G$13="Yes",48&gt;=Projects!$C$13,48&lt;Projects!$C$13+Projects!$D$13),Projects!$B$13*Assumptions!$B$12/Projects!$D$13,0)+IF(AND(Projects!$G$14="Yes",48&gt;=Projects!$C$14,48&lt;Projects!$C$14+Projects!$D$14),Projects!$B$14*Assumptions!$B$12/Projects!$D$14,0)+IF(AND(Projects!$G$15="Yes",48&gt;=Projects!$C$15,48&lt;Projects!$C$15+Projects!$D$15),Projects!$B$15*Assumptions!$B$12/Projects!$D$15,0)+IF(AND(Projects!$G$16="Yes",48&gt;=Projects!$C$16,48&lt;Projects!$C$16+Projects!$D$16),Projects!$B$16*Assumptions!$B$12/Projects!$D$16,0)</f>
        <v>22378.0476190476</v>
      </c>
      <c r="AY10" s="10" t="n">
        <f aca="false">IF(AND(Projects!$G$2="Yes",49&gt;=Projects!$C$2,49&lt;Projects!$C$2+Projects!$D$2),46323/Projects!$D$2,0)+IF(AND(Projects!$G$3="Yes",49&gt;=Projects!$C$3,49&lt;Projects!$C$3+Projects!$D$3),176626/Projects!$D$3,0)+IF(AND(Projects!$G$4="Yes",49&gt;=Projects!$C$4,49&lt;Projects!$C$4+Projects!$D$4),Projects!$B$4*Assumptions!$B$12/Projects!$D$4,0)+IF(AND(Projects!$G$5="Yes",49&gt;=Projects!$C$5,49&lt;Projects!$C$5+Projects!$D$5),Projects!$B$5*Assumptions!$B$12/Projects!$D$5,0)+IF(AND(Projects!$G$6="Yes",49&gt;=Projects!$C$6,49&lt;Projects!$C$6+Projects!$D$6),0/Projects!$D$6,0)+IF(AND(Projects!$G$7="Yes",49&gt;=Projects!$C$7,49&lt;Projects!$C$7+Projects!$D$7),Projects!$B$7*Assumptions!$B$12/Projects!$D$7,0)+IF(AND(Projects!$G$8="Yes",49&gt;=Projects!$C$8,49&lt;Projects!$C$8+Projects!$D$8),Projects!$B$8*Assumptions!$B$12/Projects!$D$8,0)+IF(AND(Projects!$G$9="Yes",49&gt;=Projects!$C$9,49&lt;Projects!$C$9+Projects!$D$9),Projects!$B$9*Assumptions!$B$12/Projects!$D$9,0)+IF(AND(Projects!$G$10="Yes",49&gt;=Projects!$C$10,49&lt;Projects!$C$10+Projects!$D$10),Projects!$B$10*Assumptions!$B$12/Projects!$D$10,0)+IF(AND(Projects!$G$11="Yes",49&gt;=Projects!$C$11,49&lt;Projects!$C$11+Projects!$D$11),Projects!$B$11*Assumptions!$B$12/Projects!$D$11,0)+IF(AND(Projects!$G$12="Yes",49&gt;=Projects!$C$12,49&lt;Projects!$C$12+Projects!$D$12),Projects!$B$12*Assumptions!$B$12/Projects!$D$12,0)+IF(AND(Projects!$G$13="Yes",49&gt;=Projects!$C$13,49&lt;Projects!$C$13+Projects!$D$13),Projects!$B$13*Assumptions!$B$12/Projects!$D$13,0)+IF(AND(Projects!$G$14="Yes",49&gt;=Projects!$C$14,49&lt;Projects!$C$14+Projects!$D$14),Projects!$B$14*Assumptions!$B$12/Projects!$D$14,0)+IF(AND(Projects!$G$15="Yes",49&gt;=Projects!$C$15,49&lt;Projects!$C$15+Projects!$D$15),Projects!$B$15*Assumptions!$B$12/Projects!$D$15,0)+IF(AND(Projects!$G$16="Yes",49&gt;=Projects!$C$16,49&lt;Projects!$C$16+Projects!$D$16),Projects!$B$16*Assumptions!$B$12/Projects!$D$16,0)</f>
        <v>22378.0476190476</v>
      </c>
      <c r="AZ10" s="10" t="n">
        <f aca="false">IF(AND(Projects!$G$2="Yes",50&gt;=Projects!$C$2,50&lt;Projects!$C$2+Projects!$D$2),46323/Projects!$D$2,0)+IF(AND(Projects!$G$3="Yes",50&gt;=Projects!$C$3,50&lt;Projects!$C$3+Projects!$D$3),176626/Projects!$D$3,0)+IF(AND(Projects!$G$4="Yes",50&gt;=Projects!$C$4,50&lt;Projects!$C$4+Projects!$D$4),Projects!$B$4*Assumptions!$B$12/Projects!$D$4,0)+IF(AND(Projects!$G$5="Yes",50&gt;=Projects!$C$5,50&lt;Projects!$C$5+Projects!$D$5),Projects!$B$5*Assumptions!$B$12/Projects!$D$5,0)+IF(AND(Projects!$G$6="Yes",50&gt;=Projects!$C$6,50&lt;Projects!$C$6+Projects!$D$6),0/Projects!$D$6,0)+IF(AND(Projects!$G$7="Yes",50&gt;=Projects!$C$7,50&lt;Projects!$C$7+Projects!$D$7),Projects!$B$7*Assumptions!$B$12/Projects!$D$7,0)+IF(AND(Projects!$G$8="Yes",50&gt;=Projects!$C$8,50&lt;Projects!$C$8+Projects!$D$8),Projects!$B$8*Assumptions!$B$12/Projects!$D$8,0)+IF(AND(Projects!$G$9="Yes",50&gt;=Projects!$C$9,50&lt;Projects!$C$9+Projects!$D$9),Projects!$B$9*Assumptions!$B$12/Projects!$D$9,0)+IF(AND(Projects!$G$10="Yes",50&gt;=Projects!$C$10,50&lt;Projects!$C$10+Projects!$D$10),Projects!$B$10*Assumptions!$B$12/Projects!$D$10,0)+IF(AND(Projects!$G$11="Yes",50&gt;=Projects!$C$11,50&lt;Projects!$C$11+Projects!$D$11),Projects!$B$11*Assumptions!$B$12/Projects!$D$11,0)+IF(AND(Projects!$G$12="Yes",50&gt;=Projects!$C$12,50&lt;Projects!$C$12+Projects!$D$12),Projects!$B$12*Assumptions!$B$12/Projects!$D$12,0)+IF(AND(Projects!$G$13="Yes",50&gt;=Projects!$C$13,50&lt;Projects!$C$13+Projects!$D$13),Projects!$B$13*Assumptions!$B$12/Projects!$D$13,0)+IF(AND(Projects!$G$14="Yes",50&gt;=Projects!$C$14,50&lt;Projects!$C$14+Projects!$D$14),Projects!$B$14*Assumptions!$B$12/Projects!$D$14,0)+IF(AND(Projects!$G$15="Yes",50&gt;=Projects!$C$15,50&lt;Projects!$C$15+Projects!$D$15),Projects!$B$15*Assumptions!$B$12/Projects!$D$15,0)+IF(AND(Projects!$G$16="Yes",50&gt;=Projects!$C$16,50&lt;Projects!$C$16+Projects!$D$16),Projects!$B$16*Assumptions!$B$12/Projects!$D$16,0)</f>
        <v>22378.0476190476</v>
      </c>
      <c r="BA10" s="10" t="n">
        <f aca="false">IF(AND(Projects!$G$2="Yes",51&gt;=Projects!$C$2,51&lt;Projects!$C$2+Projects!$D$2),46323/Projects!$D$2,0)+IF(AND(Projects!$G$3="Yes",51&gt;=Projects!$C$3,51&lt;Projects!$C$3+Projects!$D$3),176626/Projects!$D$3,0)+IF(AND(Projects!$G$4="Yes",51&gt;=Projects!$C$4,51&lt;Projects!$C$4+Projects!$D$4),Projects!$B$4*Assumptions!$B$12/Projects!$D$4,0)+IF(AND(Projects!$G$5="Yes",51&gt;=Projects!$C$5,51&lt;Projects!$C$5+Projects!$D$5),Projects!$B$5*Assumptions!$B$12/Projects!$D$5,0)+IF(AND(Projects!$G$6="Yes",51&gt;=Projects!$C$6,51&lt;Projects!$C$6+Projects!$D$6),0/Projects!$D$6,0)+IF(AND(Projects!$G$7="Yes",51&gt;=Projects!$C$7,51&lt;Projects!$C$7+Projects!$D$7),Projects!$B$7*Assumptions!$B$12/Projects!$D$7,0)+IF(AND(Projects!$G$8="Yes",51&gt;=Projects!$C$8,51&lt;Projects!$C$8+Projects!$D$8),Projects!$B$8*Assumptions!$B$12/Projects!$D$8,0)+IF(AND(Projects!$G$9="Yes",51&gt;=Projects!$C$9,51&lt;Projects!$C$9+Projects!$D$9),Projects!$B$9*Assumptions!$B$12/Projects!$D$9,0)+IF(AND(Projects!$G$10="Yes",51&gt;=Projects!$C$10,51&lt;Projects!$C$10+Projects!$D$10),Projects!$B$10*Assumptions!$B$12/Projects!$D$10,0)+IF(AND(Projects!$G$11="Yes",51&gt;=Projects!$C$11,51&lt;Projects!$C$11+Projects!$D$11),Projects!$B$11*Assumptions!$B$12/Projects!$D$11,0)+IF(AND(Projects!$G$12="Yes",51&gt;=Projects!$C$12,51&lt;Projects!$C$12+Projects!$D$12),Projects!$B$12*Assumptions!$B$12/Projects!$D$12,0)+IF(AND(Projects!$G$13="Yes",51&gt;=Projects!$C$13,51&lt;Projects!$C$13+Projects!$D$13),Projects!$B$13*Assumptions!$B$12/Projects!$D$13,0)+IF(AND(Projects!$G$14="Yes",51&gt;=Projects!$C$14,51&lt;Projects!$C$14+Projects!$D$14),Projects!$B$14*Assumptions!$B$12/Projects!$D$14,0)+IF(AND(Projects!$G$15="Yes",51&gt;=Projects!$C$15,51&lt;Projects!$C$15+Projects!$D$15),Projects!$B$15*Assumptions!$B$12/Projects!$D$15,0)+IF(AND(Projects!$G$16="Yes",51&gt;=Projects!$C$16,51&lt;Projects!$C$16+Projects!$D$16),Projects!$B$16*Assumptions!$B$12/Projects!$D$16,0)</f>
        <v>22378.0476190476</v>
      </c>
      <c r="BB10" s="10" t="n">
        <f aca="false">IF(AND(Projects!$G$2="Yes",52&gt;=Projects!$C$2,52&lt;Projects!$C$2+Projects!$D$2),46323/Projects!$D$2,0)+IF(AND(Projects!$G$3="Yes",52&gt;=Projects!$C$3,52&lt;Projects!$C$3+Projects!$D$3),176626/Projects!$D$3,0)+IF(AND(Projects!$G$4="Yes",52&gt;=Projects!$C$4,52&lt;Projects!$C$4+Projects!$D$4),Projects!$B$4*Assumptions!$B$12/Projects!$D$4,0)+IF(AND(Projects!$G$5="Yes",52&gt;=Projects!$C$5,52&lt;Projects!$C$5+Projects!$D$5),Projects!$B$5*Assumptions!$B$12/Projects!$D$5,0)+IF(AND(Projects!$G$6="Yes",52&gt;=Projects!$C$6,52&lt;Projects!$C$6+Projects!$D$6),0/Projects!$D$6,0)+IF(AND(Projects!$G$7="Yes",52&gt;=Projects!$C$7,52&lt;Projects!$C$7+Projects!$D$7),Projects!$B$7*Assumptions!$B$12/Projects!$D$7,0)+IF(AND(Projects!$G$8="Yes",52&gt;=Projects!$C$8,52&lt;Projects!$C$8+Projects!$D$8),Projects!$B$8*Assumptions!$B$12/Projects!$D$8,0)+IF(AND(Projects!$G$9="Yes",52&gt;=Projects!$C$9,52&lt;Projects!$C$9+Projects!$D$9),Projects!$B$9*Assumptions!$B$12/Projects!$D$9,0)+IF(AND(Projects!$G$10="Yes",52&gt;=Projects!$C$10,52&lt;Projects!$C$10+Projects!$D$10),Projects!$B$10*Assumptions!$B$12/Projects!$D$10,0)+IF(AND(Projects!$G$11="Yes",52&gt;=Projects!$C$11,52&lt;Projects!$C$11+Projects!$D$11),Projects!$B$11*Assumptions!$B$12/Projects!$D$11,0)+IF(AND(Projects!$G$12="Yes",52&gt;=Projects!$C$12,52&lt;Projects!$C$12+Projects!$D$12),Projects!$B$12*Assumptions!$B$12/Projects!$D$12,0)+IF(AND(Projects!$G$13="Yes",52&gt;=Projects!$C$13,52&lt;Projects!$C$13+Projects!$D$13),Projects!$B$13*Assumptions!$B$12/Projects!$D$13,0)+IF(AND(Projects!$G$14="Yes",52&gt;=Projects!$C$14,52&lt;Projects!$C$14+Projects!$D$14),Projects!$B$14*Assumptions!$B$12/Projects!$D$14,0)+IF(AND(Projects!$G$15="Yes",52&gt;=Projects!$C$15,52&lt;Projects!$C$15+Projects!$D$15),Projects!$B$15*Assumptions!$B$12/Projects!$D$15,0)+IF(AND(Projects!$G$16="Yes",52&gt;=Projects!$C$16,52&lt;Projects!$C$16+Projects!$D$16),Projects!$B$16*Assumptions!$B$12/Projects!$D$16,0)</f>
        <v>22378.0476190476</v>
      </c>
      <c r="BC10" s="10" t="n">
        <f aca="false">IF(AND(Projects!$G$2="Yes",53&gt;=Projects!$C$2,53&lt;Projects!$C$2+Projects!$D$2),46323/Projects!$D$2,0)+IF(AND(Projects!$G$3="Yes",53&gt;=Projects!$C$3,53&lt;Projects!$C$3+Projects!$D$3),176626/Projects!$D$3,0)+IF(AND(Projects!$G$4="Yes",53&gt;=Projects!$C$4,53&lt;Projects!$C$4+Projects!$D$4),Projects!$B$4*Assumptions!$B$12/Projects!$D$4,0)+IF(AND(Projects!$G$5="Yes",53&gt;=Projects!$C$5,53&lt;Projects!$C$5+Projects!$D$5),Projects!$B$5*Assumptions!$B$12/Projects!$D$5,0)+IF(AND(Projects!$G$6="Yes",53&gt;=Projects!$C$6,53&lt;Projects!$C$6+Projects!$D$6),0/Projects!$D$6,0)+IF(AND(Projects!$G$7="Yes",53&gt;=Projects!$C$7,53&lt;Projects!$C$7+Projects!$D$7),Projects!$B$7*Assumptions!$B$12/Projects!$D$7,0)+IF(AND(Projects!$G$8="Yes",53&gt;=Projects!$C$8,53&lt;Projects!$C$8+Projects!$D$8),Projects!$B$8*Assumptions!$B$12/Projects!$D$8,0)+IF(AND(Projects!$G$9="Yes",53&gt;=Projects!$C$9,53&lt;Projects!$C$9+Projects!$D$9),Projects!$B$9*Assumptions!$B$12/Projects!$D$9,0)+IF(AND(Projects!$G$10="Yes",53&gt;=Projects!$C$10,53&lt;Projects!$C$10+Projects!$D$10),Projects!$B$10*Assumptions!$B$12/Projects!$D$10,0)+IF(AND(Projects!$G$11="Yes",53&gt;=Projects!$C$11,53&lt;Projects!$C$11+Projects!$D$11),Projects!$B$11*Assumptions!$B$12/Projects!$D$11,0)+IF(AND(Projects!$G$12="Yes",53&gt;=Projects!$C$12,53&lt;Projects!$C$12+Projects!$D$12),Projects!$B$12*Assumptions!$B$12/Projects!$D$12,0)+IF(AND(Projects!$G$13="Yes",53&gt;=Projects!$C$13,53&lt;Projects!$C$13+Projects!$D$13),Projects!$B$13*Assumptions!$B$12/Projects!$D$13,0)+IF(AND(Projects!$G$14="Yes",53&gt;=Projects!$C$14,53&lt;Projects!$C$14+Projects!$D$14),Projects!$B$14*Assumptions!$B$12/Projects!$D$14,0)+IF(AND(Projects!$G$15="Yes",53&gt;=Projects!$C$15,53&lt;Projects!$C$15+Projects!$D$15),Projects!$B$15*Assumptions!$B$12/Projects!$D$15,0)+IF(AND(Projects!$G$16="Yes",53&gt;=Projects!$C$16,53&lt;Projects!$C$16+Projects!$D$16),Projects!$B$16*Assumptions!$B$12/Projects!$D$16,0)</f>
        <v>22378.0476190476</v>
      </c>
      <c r="BD10" s="10" t="n">
        <f aca="false">IF(AND(Projects!$G$2="Yes",54&gt;=Projects!$C$2,54&lt;Projects!$C$2+Projects!$D$2),46323/Projects!$D$2,0)+IF(AND(Projects!$G$3="Yes",54&gt;=Projects!$C$3,54&lt;Projects!$C$3+Projects!$D$3),176626/Projects!$D$3,0)+IF(AND(Projects!$G$4="Yes",54&gt;=Projects!$C$4,54&lt;Projects!$C$4+Projects!$D$4),Projects!$B$4*Assumptions!$B$12/Projects!$D$4,0)+IF(AND(Projects!$G$5="Yes",54&gt;=Projects!$C$5,54&lt;Projects!$C$5+Projects!$D$5),Projects!$B$5*Assumptions!$B$12/Projects!$D$5,0)+IF(AND(Projects!$G$6="Yes",54&gt;=Projects!$C$6,54&lt;Projects!$C$6+Projects!$D$6),0/Projects!$D$6,0)+IF(AND(Projects!$G$7="Yes",54&gt;=Projects!$C$7,54&lt;Projects!$C$7+Projects!$D$7),Projects!$B$7*Assumptions!$B$12/Projects!$D$7,0)+IF(AND(Projects!$G$8="Yes",54&gt;=Projects!$C$8,54&lt;Projects!$C$8+Projects!$D$8),Projects!$B$8*Assumptions!$B$12/Projects!$D$8,0)+IF(AND(Projects!$G$9="Yes",54&gt;=Projects!$C$9,54&lt;Projects!$C$9+Projects!$D$9),Projects!$B$9*Assumptions!$B$12/Projects!$D$9,0)+IF(AND(Projects!$G$10="Yes",54&gt;=Projects!$C$10,54&lt;Projects!$C$10+Projects!$D$10),Projects!$B$10*Assumptions!$B$12/Projects!$D$10,0)+IF(AND(Projects!$G$11="Yes",54&gt;=Projects!$C$11,54&lt;Projects!$C$11+Projects!$D$11),Projects!$B$11*Assumptions!$B$12/Projects!$D$11,0)+IF(AND(Projects!$G$12="Yes",54&gt;=Projects!$C$12,54&lt;Projects!$C$12+Projects!$D$12),Projects!$B$12*Assumptions!$B$12/Projects!$D$12,0)+IF(AND(Projects!$G$13="Yes",54&gt;=Projects!$C$13,54&lt;Projects!$C$13+Projects!$D$13),Projects!$B$13*Assumptions!$B$12/Projects!$D$13,0)+IF(AND(Projects!$G$14="Yes",54&gt;=Projects!$C$14,54&lt;Projects!$C$14+Projects!$D$14),Projects!$B$14*Assumptions!$B$12/Projects!$D$14,0)+IF(AND(Projects!$G$15="Yes",54&gt;=Projects!$C$15,54&lt;Projects!$C$15+Projects!$D$15),Projects!$B$15*Assumptions!$B$12/Projects!$D$15,0)+IF(AND(Projects!$G$16="Yes",54&gt;=Projects!$C$16,54&lt;Projects!$C$16+Projects!$D$16),Projects!$B$16*Assumptions!$B$12/Projects!$D$16,0)</f>
        <v>22378.0476190476</v>
      </c>
      <c r="BE10" s="10" t="n">
        <f aca="false">IF(AND(Projects!$G$2="Yes",55&gt;=Projects!$C$2,55&lt;Projects!$C$2+Projects!$D$2),46323/Projects!$D$2,0)+IF(AND(Projects!$G$3="Yes",55&gt;=Projects!$C$3,55&lt;Projects!$C$3+Projects!$D$3),176626/Projects!$D$3,0)+IF(AND(Projects!$G$4="Yes",55&gt;=Projects!$C$4,55&lt;Projects!$C$4+Projects!$D$4),Projects!$B$4*Assumptions!$B$12/Projects!$D$4,0)+IF(AND(Projects!$G$5="Yes",55&gt;=Projects!$C$5,55&lt;Projects!$C$5+Projects!$D$5),Projects!$B$5*Assumptions!$B$12/Projects!$D$5,0)+IF(AND(Projects!$G$6="Yes",55&gt;=Projects!$C$6,55&lt;Projects!$C$6+Projects!$D$6),0/Projects!$D$6,0)+IF(AND(Projects!$G$7="Yes",55&gt;=Projects!$C$7,55&lt;Projects!$C$7+Projects!$D$7),Projects!$B$7*Assumptions!$B$12/Projects!$D$7,0)+IF(AND(Projects!$G$8="Yes",55&gt;=Projects!$C$8,55&lt;Projects!$C$8+Projects!$D$8),Projects!$B$8*Assumptions!$B$12/Projects!$D$8,0)+IF(AND(Projects!$G$9="Yes",55&gt;=Projects!$C$9,55&lt;Projects!$C$9+Projects!$D$9),Projects!$B$9*Assumptions!$B$12/Projects!$D$9,0)+IF(AND(Projects!$G$10="Yes",55&gt;=Projects!$C$10,55&lt;Projects!$C$10+Projects!$D$10),Projects!$B$10*Assumptions!$B$12/Projects!$D$10,0)+IF(AND(Projects!$G$11="Yes",55&gt;=Projects!$C$11,55&lt;Projects!$C$11+Projects!$D$11),Projects!$B$11*Assumptions!$B$12/Projects!$D$11,0)+IF(AND(Projects!$G$12="Yes",55&gt;=Projects!$C$12,55&lt;Projects!$C$12+Projects!$D$12),Projects!$B$12*Assumptions!$B$12/Projects!$D$12,0)+IF(AND(Projects!$G$13="Yes",55&gt;=Projects!$C$13,55&lt;Projects!$C$13+Projects!$D$13),Projects!$B$13*Assumptions!$B$12/Projects!$D$13,0)+IF(AND(Projects!$G$14="Yes",55&gt;=Projects!$C$14,55&lt;Projects!$C$14+Projects!$D$14),Projects!$B$14*Assumptions!$B$12/Projects!$D$14,0)+IF(AND(Projects!$G$15="Yes",55&gt;=Projects!$C$15,55&lt;Projects!$C$15+Projects!$D$15),Projects!$B$15*Assumptions!$B$12/Projects!$D$15,0)+IF(AND(Projects!$G$16="Yes",55&gt;=Projects!$C$16,55&lt;Projects!$C$16+Projects!$D$16),Projects!$B$16*Assumptions!$B$12/Projects!$D$16,0)</f>
        <v>22378.0476190476</v>
      </c>
      <c r="BF10" s="10" t="n">
        <f aca="false">IF(AND(Projects!$G$2="Yes",56&gt;=Projects!$C$2,56&lt;Projects!$C$2+Projects!$D$2),46323/Projects!$D$2,0)+IF(AND(Projects!$G$3="Yes",56&gt;=Projects!$C$3,56&lt;Projects!$C$3+Projects!$D$3),176626/Projects!$D$3,0)+IF(AND(Projects!$G$4="Yes",56&gt;=Projects!$C$4,56&lt;Projects!$C$4+Projects!$D$4),Projects!$B$4*Assumptions!$B$12/Projects!$D$4,0)+IF(AND(Projects!$G$5="Yes",56&gt;=Projects!$C$5,56&lt;Projects!$C$5+Projects!$D$5),Projects!$B$5*Assumptions!$B$12/Projects!$D$5,0)+IF(AND(Projects!$G$6="Yes",56&gt;=Projects!$C$6,56&lt;Projects!$C$6+Projects!$D$6),0/Projects!$D$6,0)+IF(AND(Projects!$G$7="Yes",56&gt;=Projects!$C$7,56&lt;Projects!$C$7+Projects!$D$7),Projects!$B$7*Assumptions!$B$12/Projects!$D$7,0)+IF(AND(Projects!$G$8="Yes",56&gt;=Projects!$C$8,56&lt;Projects!$C$8+Projects!$D$8),Projects!$B$8*Assumptions!$B$12/Projects!$D$8,0)+IF(AND(Projects!$G$9="Yes",56&gt;=Projects!$C$9,56&lt;Projects!$C$9+Projects!$D$9),Projects!$B$9*Assumptions!$B$12/Projects!$D$9,0)+IF(AND(Projects!$G$10="Yes",56&gt;=Projects!$C$10,56&lt;Projects!$C$10+Projects!$D$10),Projects!$B$10*Assumptions!$B$12/Projects!$D$10,0)+IF(AND(Projects!$G$11="Yes",56&gt;=Projects!$C$11,56&lt;Projects!$C$11+Projects!$D$11),Projects!$B$11*Assumptions!$B$12/Projects!$D$11,0)+IF(AND(Projects!$G$12="Yes",56&gt;=Projects!$C$12,56&lt;Projects!$C$12+Projects!$D$12),Projects!$B$12*Assumptions!$B$12/Projects!$D$12,0)+IF(AND(Projects!$G$13="Yes",56&gt;=Projects!$C$13,56&lt;Projects!$C$13+Projects!$D$13),Projects!$B$13*Assumptions!$B$12/Projects!$D$13,0)+IF(AND(Projects!$G$14="Yes",56&gt;=Projects!$C$14,56&lt;Projects!$C$14+Projects!$D$14),Projects!$B$14*Assumptions!$B$12/Projects!$D$14,0)+IF(AND(Projects!$G$15="Yes",56&gt;=Projects!$C$15,56&lt;Projects!$C$15+Projects!$D$15),Projects!$B$15*Assumptions!$B$12/Projects!$D$15,0)+IF(AND(Projects!$G$16="Yes",56&gt;=Projects!$C$16,56&lt;Projects!$C$16+Projects!$D$16),Projects!$B$16*Assumptions!$B$12/Projects!$D$16,0)</f>
        <v>22378.0476190476</v>
      </c>
      <c r="BG10" s="10" t="n">
        <f aca="false">IF(AND(Projects!$G$2="Yes",57&gt;=Projects!$C$2,57&lt;Projects!$C$2+Projects!$D$2),46323/Projects!$D$2,0)+IF(AND(Projects!$G$3="Yes",57&gt;=Projects!$C$3,57&lt;Projects!$C$3+Projects!$D$3),176626/Projects!$D$3,0)+IF(AND(Projects!$G$4="Yes",57&gt;=Projects!$C$4,57&lt;Projects!$C$4+Projects!$D$4),Projects!$B$4*Assumptions!$B$12/Projects!$D$4,0)+IF(AND(Projects!$G$5="Yes",57&gt;=Projects!$C$5,57&lt;Projects!$C$5+Projects!$D$5),Projects!$B$5*Assumptions!$B$12/Projects!$D$5,0)+IF(AND(Projects!$G$6="Yes",57&gt;=Projects!$C$6,57&lt;Projects!$C$6+Projects!$D$6),0/Projects!$D$6,0)+IF(AND(Projects!$G$7="Yes",57&gt;=Projects!$C$7,57&lt;Projects!$C$7+Projects!$D$7),Projects!$B$7*Assumptions!$B$12/Projects!$D$7,0)+IF(AND(Projects!$G$8="Yes",57&gt;=Projects!$C$8,57&lt;Projects!$C$8+Projects!$D$8),Projects!$B$8*Assumptions!$B$12/Projects!$D$8,0)+IF(AND(Projects!$G$9="Yes",57&gt;=Projects!$C$9,57&lt;Projects!$C$9+Projects!$D$9),Projects!$B$9*Assumptions!$B$12/Projects!$D$9,0)+IF(AND(Projects!$G$10="Yes",57&gt;=Projects!$C$10,57&lt;Projects!$C$10+Projects!$D$10),Projects!$B$10*Assumptions!$B$12/Projects!$D$10,0)+IF(AND(Projects!$G$11="Yes",57&gt;=Projects!$C$11,57&lt;Projects!$C$11+Projects!$D$11),Projects!$B$11*Assumptions!$B$12/Projects!$D$11,0)+IF(AND(Projects!$G$12="Yes",57&gt;=Projects!$C$12,57&lt;Projects!$C$12+Projects!$D$12),Projects!$B$12*Assumptions!$B$12/Projects!$D$12,0)+IF(AND(Projects!$G$13="Yes",57&gt;=Projects!$C$13,57&lt;Projects!$C$13+Projects!$D$13),Projects!$B$13*Assumptions!$B$12/Projects!$D$13,0)+IF(AND(Projects!$G$14="Yes",57&gt;=Projects!$C$14,57&lt;Projects!$C$14+Projects!$D$14),Projects!$B$14*Assumptions!$B$12/Projects!$D$14,0)+IF(AND(Projects!$G$15="Yes",57&gt;=Projects!$C$15,57&lt;Projects!$C$15+Projects!$D$15),Projects!$B$15*Assumptions!$B$12/Projects!$D$15,0)+IF(AND(Projects!$G$16="Yes",57&gt;=Projects!$C$16,57&lt;Projects!$C$16+Projects!$D$16),Projects!$B$16*Assumptions!$B$12/Projects!$D$16,0)</f>
        <v>0</v>
      </c>
      <c r="BH10" s="10" t="n">
        <f aca="false">IF(AND(Projects!$G$2="Yes",58&gt;=Projects!$C$2,58&lt;Projects!$C$2+Projects!$D$2),46323/Projects!$D$2,0)+IF(AND(Projects!$G$3="Yes",58&gt;=Projects!$C$3,58&lt;Projects!$C$3+Projects!$D$3),176626/Projects!$D$3,0)+IF(AND(Projects!$G$4="Yes",58&gt;=Projects!$C$4,58&lt;Projects!$C$4+Projects!$D$4),Projects!$B$4*Assumptions!$B$12/Projects!$D$4,0)+IF(AND(Projects!$G$5="Yes",58&gt;=Projects!$C$5,58&lt;Projects!$C$5+Projects!$D$5),Projects!$B$5*Assumptions!$B$12/Projects!$D$5,0)+IF(AND(Projects!$G$6="Yes",58&gt;=Projects!$C$6,58&lt;Projects!$C$6+Projects!$D$6),0/Projects!$D$6,0)+IF(AND(Projects!$G$7="Yes",58&gt;=Projects!$C$7,58&lt;Projects!$C$7+Projects!$D$7),Projects!$B$7*Assumptions!$B$12/Projects!$D$7,0)+IF(AND(Projects!$G$8="Yes",58&gt;=Projects!$C$8,58&lt;Projects!$C$8+Projects!$D$8),Projects!$B$8*Assumptions!$B$12/Projects!$D$8,0)+IF(AND(Projects!$G$9="Yes",58&gt;=Projects!$C$9,58&lt;Projects!$C$9+Projects!$D$9),Projects!$B$9*Assumptions!$B$12/Projects!$D$9,0)+IF(AND(Projects!$G$10="Yes",58&gt;=Projects!$C$10,58&lt;Projects!$C$10+Projects!$D$10),Projects!$B$10*Assumptions!$B$12/Projects!$D$10,0)+IF(AND(Projects!$G$11="Yes",58&gt;=Projects!$C$11,58&lt;Projects!$C$11+Projects!$D$11),Projects!$B$11*Assumptions!$B$12/Projects!$D$11,0)+IF(AND(Projects!$G$12="Yes",58&gt;=Projects!$C$12,58&lt;Projects!$C$12+Projects!$D$12),Projects!$B$12*Assumptions!$B$12/Projects!$D$12,0)+IF(AND(Projects!$G$13="Yes",58&gt;=Projects!$C$13,58&lt;Projects!$C$13+Projects!$D$13),Projects!$B$13*Assumptions!$B$12/Projects!$D$13,0)+IF(AND(Projects!$G$14="Yes",58&gt;=Projects!$C$14,58&lt;Projects!$C$14+Projects!$D$14),Projects!$B$14*Assumptions!$B$12/Projects!$D$14,0)+IF(AND(Projects!$G$15="Yes",58&gt;=Projects!$C$15,58&lt;Projects!$C$15+Projects!$D$15),Projects!$B$15*Assumptions!$B$12/Projects!$D$15,0)+IF(AND(Projects!$G$16="Yes",58&gt;=Projects!$C$16,58&lt;Projects!$C$16+Projects!$D$16),Projects!$B$16*Assumptions!$B$12/Projects!$D$16,0)</f>
        <v>0</v>
      </c>
      <c r="BI10" s="10" t="n">
        <f aca="false">IF(AND(Projects!$G$2="Yes",59&gt;=Projects!$C$2,59&lt;Projects!$C$2+Projects!$D$2),46323/Projects!$D$2,0)+IF(AND(Projects!$G$3="Yes",59&gt;=Projects!$C$3,59&lt;Projects!$C$3+Projects!$D$3),176626/Projects!$D$3,0)+IF(AND(Projects!$G$4="Yes",59&gt;=Projects!$C$4,59&lt;Projects!$C$4+Projects!$D$4),Projects!$B$4*Assumptions!$B$12/Projects!$D$4,0)+IF(AND(Projects!$G$5="Yes",59&gt;=Projects!$C$5,59&lt;Projects!$C$5+Projects!$D$5),Projects!$B$5*Assumptions!$B$12/Projects!$D$5,0)+IF(AND(Projects!$G$6="Yes",59&gt;=Projects!$C$6,59&lt;Projects!$C$6+Projects!$D$6),0/Projects!$D$6,0)+IF(AND(Projects!$G$7="Yes",59&gt;=Projects!$C$7,59&lt;Projects!$C$7+Projects!$D$7),Projects!$B$7*Assumptions!$B$12/Projects!$D$7,0)+IF(AND(Projects!$G$8="Yes",59&gt;=Projects!$C$8,59&lt;Projects!$C$8+Projects!$D$8),Projects!$B$8*Assumptions!$B$12/Projects!$D$8,0)+IF(AND(Projects!$G$9="Yes",59&gt;=Projects!$C$9,59&lt;Projects!$C$9+Projects!$D$9),Projects!$B$9*Assumptions!$B$12/Projects!$D$9,0)+IF(AND(Projects!$G$10="Yes",59&gt;=Projects!$C$10,59&lt;Projects!$C$10+Projects!$D$10),Projects!$B$10*Assumptions!$B$12/Projects!$D$10,0)+IF(AND(Projects!$G$11="Yes",59&gt;=Projects!$C$11,59&lt;Projects!$C$11+Projects!$D$11),Projects!$B$11*Assumptions!$B$12/Projects!$D$11,0)+IF(AND(Projects!$G$12="Yes",59&gt;=Projects!$C$12,59&lt;Projects!$C$12+Projects!$D$12),Projects!$B$12*Assumptions!$B$12/Projects!$D$12,0)+IF(AND(Projects!$G$13="Yes",59&gt;=Projects!$C$13,59&lt;Projects!$C$13+Projects!$D$13),Projects!$B$13*Assumptions!$B$12/Projects!$D$13,0)+IF(AND(Projects!$G$14="Yes",59&gt;=Projects!$C$14,59&lt;Projects!$C$14+Projects!$D$14),Projects!$B$14*Assumptions!$B$12/Projects!$D$14,0)+IF(AND(Projects!$G$15="Yes",59&gt;=Projects!$C$15,59&lt;Projects!$C$15+Projects!$D$15),Projects!$B$15*Assumptions!$B$12/Projects!$D$15,0)+IF(AND(Projects!$G$16="Yes",59&gt;=Projects!$C$16,59&lt;Projects!$C$16+Projects!$D$16),Projects!$B$16*Assumptions!$B$12/Projects!$D$16,0)</f>
        <v>0</v>
      </c>
      <c r="BJ10" s="10" t="n">
        <f aca="false">IF(AND(Projects!$G$2="Yes",60&gt;=Projects!$C$2,60&lt;Projects!$C$2+Projects!$D$2),46323/Projects!$D$2,0)+IF(AND(Projects!$G$3="Yes",60&gt;=Projects!$C$3,60&lt;Projects!$C$3+Projects!$D$3),176626/Projects!$D$3,0)+IF(AND(Projects!$G$4="Yes",60&gt;=Projects!$C$4,60&lt;Projects!$C$4+Projects!$D$4),Projects!$B$4*Assumptions!$B$12/Projects!$D$4,0)+IF(AND(Projects!$G$5="Yes",60&gt;=Projects!$C$5,60&lt;Projects!$C$5+Projects!$D$5),Projects!$B$5*Assumptions!$B$12/Projects!$D$5,0)+IF(AND(Projects!$G$6="Yes",60&gt;=Projects!$C$6,60&lt;Projects!$C$6+Projects!$D$6),0/Projects!$D$6,0)+IF(AND(Projects!$G$7="Yes",60&gt;=Projects!$C$7,60&lt;Projects!$C$7+Projects!$D$7),Projects!$B$7*Assumptions!$B$12/Projects!$D$7,0)+IF(AND(Projects!$G$8="Yes",60&gt;=Projects!$C$8,60&lt;Projects!$C$8+Projects!$D$8),Projects!$B$8*Assumptions!$B$12/Projects!$D$8,0)+IF(AND(Projects!$G$9="Yes",60&gt;=Projects!$C$9,60&lt;Projects!$C$9+Projects!$D$9),Projects!$B$9*Assumptions!$B$12/Projects!$D$9,0)+IF(AND(Projects!$G$10="Yes",60&gt;=Projects!$C$10,60&lt;Projects!$C$10+Projects!$D$10),Projects!$B$10*Assumptions!$B$12/Projects!$D$10,0)+IF(AND(Projects!$G$11="Yes",60&gt;=Projects!$C$11,60&lt;Projects!$C$11+Projects!$D$11),Projects!$B$11*Assumptions!$B$12/Projects!$D$11,0)+IF(AND(Projects!$G$12="Yes",60&gt;=Projects!$C$12,60&lt;Projects!$C$12+Projects!$D$12),Projects!$B$12*Assumptions!$B$12/Projects!$D$12,0)+IF(AND(Projects!$G$13="Yes",60&gt;=Projects!$C$13,60&lt;Projects!$C$13+Projects!$D$13),Projects!$B$13*Assumptions!$B$12/Projects!$D$13,0)+IF(AND(Projects!$G$14="Yes",60&gt;=Projects!$C$14,60&lt;Projects!$C$14+Projects!$D$14),Projects!$B$14*Assumptions!$B$12/Projects!$D$14,0)+IF(AND(Projects!$G$15="Yes",60&gt;=Projects!$C$15,60&lt;Projects!$C$15+Projects!$D$15),Projects!$B$15*Assumptions!$B$12/Projects!$D$15,0)+IF(AND(Projects!$G$16="Yes",60&gt;=Projects!$C$16,60&lt;Projects!$C$16+Projects!$D$16),Projects!$B$16*Assumptions!$B$12/Projects!$D$16,0)</f>
        <v>0</v>
      </c>
      <c r="BK10" s="10" t="n">
        <f aca="false">IF(AND(Projects!$G$2="Yes",61&gt;=Projects!$C$2,61&lt;Projects!$C$2+Projects!$D$2),46323/Projects!$D$2,0)+IF(AND(Projects!$G$3="Yes",61&gt;=Projects!$C$3,61&lt;Projects!$C$3+Projects!$D$3),176626/Projects!$D$3,0)+IF(AND(Projects!$G$4="Yes",61&gt;=Projects!$C$4,61&lt;Projects!$C$4+Projects!$D$4),Projects!$B$4*Assumptions!$B$12/Projects!$D$4,0)+IF(AND(Projects!$G$5="Yes",61&gt;=Projects!$C$5,61&lt;Projects!$C$5+Projects!$D$5),Projects!$B$5*Assumptions!$B$12/Projects!$D$5,0)+IF(AND(Projects!$G$6="Yes",61&gt;=Projects!$C$6,61&lt;Projects!$C$6+Projects!$D$6),0/Projects!$D$6,0)+IF(AND(Projects!$G$7="Yes",61&gt;=Projects!$C$7,61&lt;Projects!$C$7+Projects!$D$7),Projects!$B$7*Assumptions!$B$12/Projects!$D$7,0)+IF(AND(Projects!$G$8="Yes",61&gt;=Projects!$C$8,61&lt;Projects!$C$8+Projects!$D$8),Projects!$B$8*Assumptions!$B$12/Projects!$D$8,0)+IF(AND(Projects!$G$9="Yes",61&gt;=Projects!$C$9,61&lt;Projects!$C$9+Projects!$D$9),Projects!$B$9*Assumptions!$B$12/Projects!$D$9,0)+IF(AND(Projects!$G$10="Yes",61&gt;=Projects!$C$10,61&lt;Projects!$C$10+Projects!$D$10),Projects!$B$10*Assumptions!$B$12/Projects!$D$10,0)+IF(AND(Projects!$G$11="Yes",61&gt;=Projects!$C$11,61&lt;Projects!$C$11+Projects!$D$11),Projects!$B$11*Assumptions!$B$12/Projects!$D$11,0)+IF(AND(Projects!$G$12="Yes",61&gt;=Projects!$C$12,61&lt;Projects!$C$12+Projects!$D$12),Projects!$B$12*Assumptions!$B$12/Projects!$D$12,0)+IF(AND(Projects!$G$13="Yes",61&gt;=Projects!$C$13,61&lt;Projects!$C$13+Projects!$D$13),Projects!$B$13*Assumptions!$B$12/Projects!$D$13,0)+IF(AND(Projects!$G$14="Yes",61&gt;=Projects!$C$14,61&lt;Projects!$C$14+Projects!$D$14),Projects!$B$14*Assumptions!$B$12/Projects!$D$14,0)+IF(AND(Projects!$G$15="Yes",61&gt;=Projects!$C$15,61&lt;Projects!$C$15+Projects!$D$15),Projects!$B$15*Assumptions!$B$12/Projects!$D$15,0)+IF(AND(Projects!$G$16="Yes",61&gt;=Projects!$C$16,61&lt;Projects!$C$16+Projects!$D$16),Projects!$B$16*Assumptions!$B$12/Projects!$D$16,0)</f>
        <v>0</v>
      </c>
      <c r="BL10" s="10" t="n">
        <f aca="false">IF(AND(Projects!$G$2="Yes",62&gt;=Projects!$C$2,62&lt;Projects!$C$2+Projects!$D$2),46323/Projects!$D$2,0)+IF(AND(Projects!$G$3="Yes",62&gt;=Projects!$C$3,62&lt;Projects!$C$3+Projects!$D$3),176626/Projects!$D$3,0)+IF(AND(Projects!$G$4="Yes",62&gt;=Projects!$C$4,62&lt;Projects!$C$4+Projects!$D$4),Projects!$B$4*Assumptions!$B$12/Projects!$D$4,0)+IF(AND(Projects!$G$5="Yes",62&gt;=Projects!$C$5,62&lt;Projects!$C$5+Projects!$D$5),Projects!$B$5*Assumptions!$B$12/Projects!$D$5,0)+IF(AND(Projects!$G$6="Yes",62&gt;=Projects!$C$6,62&lt;Projects!$C$6+Projects!$D$6),0/Projects!$D$6,0)+IF(AND(Projects!$G$7="Yes",62&gt;=Projects!$C$7,62&lt;Projects!$C$7+Projects!$D$7),Projects!$B$7*Assumptions!$B$12/Projects!$D$7,0)+IF(AND(Projects!$G$8="Yes",62&gt;=Projects!$C$8,62&lt;Projects!$C$8+Projects!$D$8),Projects!$B$8*Assumptions!$B$12/Projects!$D$8,0)+IF(AND(Projects!$G$9="Yes",62&gt;=Projects!$C$9,62&lt;Projects!$C$9+Projects!$D$9),Projects!$B$9*Assumptions!$B$12/Projects!$D$9,0)+IF(AND(Projects!$G$10="Yes",62&gt;=Projects!$C$10,62&lt;Projects!$C$10+Projects!$D$10),Projects!$B$10*Assumptions!$B$12/Projects!$D$10,0)+IF(AND(Projects!$G$11="Yes",62&gt;=Projects!$C$11,62&lt;Projects!$C$11+Projects!$D$11),Projects!$B$11*Assumptions!$B$12/Projects!$D$11,0)+IF(AND(Projects!$G$12="Yes",62&gt;=Projects!$C$12,62&lt;Projects!$C$12+Projects!$D$12),Projects!$B$12*Assumptions!$B$12/Projects!$D$12,0)+IF(AND(Projects!$G$13="Yes",62&gt;=Projects!$C$13,62&lt;Projects!$C$13+Projects!$D$13),Projects!$B$13*Assumptions!$B$12/Projects!$D$13,0)+IF(AND(Projects!$G$14="Yes",62&gt;=Projects!$C$14,62&lt;Projects!$C$14+Projects!$D$14),Projects!$B$14*Assumptions!$B$12/Projects!$D$14,0)+IF(AND(Projects!$G$15="Yes",62&gt;=Projects!$C$15,62&lt;Projects!$C$15+Projects!$D$15),Projects!$B$15*Assumptions!$B$12/Projects!$D$15,0)+IF(AND(Projects!$G$16="Yes",62&gt;=Projects!$C$16,62&lt;Projects!$C$16+Projects!$D$16),Projects!$B$16*Assumptions!$B$12/Projects!$D$16,0)</f>
        <v>0</v>
      </c>
      <c r="BM10" s="10" t="n">
        <f aca="false">IF(AND(Projects!$G$2="Yes",63&gt;=Projects!$C$2,63&lt;Projects!$C$2+Projects!$D$2),46323/Projects!$D$2,0)+IF(AND(Projects!$G$3="Yes",63&gt;=Projects!$C$3,63&lt;Projects!$C$3+Projects!$D$3),176626/Projects!$D$3,0)+IF(AND(Projects!$G$4="Yes",63&gt;=Projects!$C$4,63&lt;Projects!$C$4+Projects!$D$4),Projects!$B$4*Assumptions!$B$12/Projects!$D$4,0)+IF(AND(Projects!$G$5="Yes",63&gt;=Projects!$C$5,63&lt;Projects!$C$5+Projects!$D$5),Projects!$B$5*Assumptions!$B$12/Projects!$D$5,0)+IF(AND(Projects!$G$6="Yes",63&gt;=Projects!$C$6,63&lt;Projects!$C$6+Projects!$D$6),0/Projects!$D$6,0)+IF(AND(Projects!$G$7="Yes",63&gt;=Projects!$C$7,63&lt;Projects!$C$7+Projects!$D$7),Projects!$B$7*Assumptions!$B$12/Projects!$D$7,0)+IF(AND(Projects!$G$8="Yes",63&gt;=Projects!$C$8,63&lt;Projects!$C$8+Projects!$D$8),Projects!$B$8*Assumptions!$B$12/Projects!$D$8,0)+IF(AND(Projects!$G$9="Yes",63&gt;=Projects!$C$9,63&lt;Projects!$C$9+Projects!$D$9),Projects!$B$9*Assumptions!$B$12/Projects!$D$9,0)+IF(AND(Projects!$G$10="Yes",63&gt;=Projects!$C$10,63&lt;Projects!$C$10+Projects!$D$10),Projects!$B$10*Assumptions!$B$12/Projects!$D$10,0)+IF(AND(Projects!$G$11="Yes",63&gt;=Projects!$C$11,63&lt;Projects!$C$11+Projects!$D$11),Projects!$B$11*Assumptions!$B$12/Projects!$D$11,0)+IF(AND(Projects!$G$12="Yes",63&gt;=Projects!$C$12,63&lt;Projects!$C$12+Projects!$D$12),Projects!$B$12*Assumptions!$B$12/Projects!$D$12,0)+IF(AND(Projects!$G$13="Yes",63&gt;=Projects!$C$13,63&lt;Projects!$C$13+Projects!$D$13),Projects!$B$13*Assumptions!$B$12/Projects!$D$13,0)+IF(AND(Projects!$G$14="Yes",63&gt;=Projects!$C$14,63&lt;Projects!$C$14+Projects!$D$14),Projects!$B$14*Assumptions!$B$12/Projects!$D$14,0)+IF(AND(Projects!$G$15="Yes",63&gt;=Projects!$C$15,63&lt;Projects!$C$15+Projects!$D$15),Projects!$B$15*Assumptions!$B$12/Projects!$D$15,0)+IF(AND(Projects!$G$16="Yes",63&gt;=Projects!$C$16,63&lt;Projects!$C$16+Projects!$D$16),Projects!$B$16*Assumptions!$B$12/Projects!$D$16,0)</f>
        <v>0</v>
      </c>
      <c r="BN10" s="10" t="n">
        <f aca="false">IF(AND(Projects!$G$2="Yes",64&gt;=Projects!$C$2,64&lt;Projects!$C$2+Projects!$D$2),46323/Projects!$D$2,0)+IF(AND(Projects!$G$3="Yes",64&gt;=Projects!$C$3,64&lt;Projects!$C$3+Projects!$D$3),176626/Projects!$D$3,0)+IF(AND(Projects!$G$4="Yes",64&gt;=Projects!$C$4,64&lt;Projects!$C$4+Projects!$D$4),Projects!$B$4*Assumptions!$B$12/Projects!$D$4,0)+IF(AND(Projects!$G$5="Yes",64&gt;=Projects!$C$5,64&lt;Projects!$C$5+Projects!$D$5),Projects!$B$5*Assumptions!$B$12/Projects!$D$5,0)+IF(AND(Projects!$G$6="Yes",64&gt;=Projects!$C$6,64&lt;Projects!$C$6+Projects!$D$6),0/Projects!$D$6,0)+IF(AND(Projects!$G$7="Yes",64&gt;=Projects!$C$7,64&lt;Projects!$C$7+Projects!$D$7),Projects!$B$7*Assumptions!$B$12/Projects!$D$7,0)+IF(AND(Projects!$G$8="Yes",64&gt;=Projects!$C$8,64&lt;Projects!$C$8+Projects!$D$8),Projects!$B$8*Assumptions!$B$12/Projects!$D$8,0)+IF(AND(Projects!$G$9="Yes",64&gt;=Projects!$C$9,64&lt;Projects!$C$9+Projects!$D$9),Projects!$B$9*Assumptions!$B$12/Projects!$D$9,0)+IF(AND(Projects!$G$10="Yes",64&gt;=Projects!$C$10,64&lt;Projects!$C$10+Projects!$D$10),Projects!$B$10*Assumptions!$B$12/Projects!$D$10,0)+IF(AND(Projects!$G$11="Yes",64&gt;=Projects!$C$11,64&lt;Projects!$C$11+Projects!$D$11),Projects!$B$11*Assumptions!$B$12/Projects!$D$11,0)+IF(AND(Projects!$G$12="Yes",64&gt;=Projects!$C$12,64&lt;Projects!$C$12+Projects!$D$12),Projects!$B$12*Assumptions!$B$12/Projects!$D$12,0)+IF(AND(Projects!$G$13="Yes",64&gt;=Projects!$C$13,64&lt;Projects!$C$13+Projects!$D$13),Projects!$B$13*Assumptions!$B$12/Projects!$D$13,0)+IF(AND(Projects!$G$14="Yes",64&gt;=Projects!$C$14,64&lt;Projects!$C$14+Projects!$D$14),Projects!$B$14*Assumptions!$B$12/Projects!$D$14,0)+IF(AND(Projects!$G$15="Yes",64&gt;=Projects!$C$15,64&lt;Projects!$C$15+Projects!$D$15),Projects!$B$15*Assumptions!$B$12/Projects!$D$15,0)+IF(AND(Projects!$G$16="Yes",64&gt;=Projects!$C$16,64&lt;Projects!$C$16+Projects!$D$16),Projects!$B$16*Assumptions!$B$12/Projects!$D$16,0)</f>
        <v>0</v>
      </c>
      <c r="BO10" s="10" t="n">
        <f aca="false">IF(AND(Projects!$G$2="Yes",65&gt;=Projects!$C$2,65&lt;Projects!$C$2+Projects!$D$2),46323/Projects!$D$2,0)+IF(AND(Projects!$G$3="Yes",65&gt;=Projects!$C$3,65&lt;Projects!$C$3+Projects!$D$3),176626/Projects!$D$3,0)+IF(AND(Projects!$G$4="Yes",65&gt;=Projects!$C$4,65&lt;Projects!$C$4+Projects!$D$4),Projects!$B$4*Assumptions!$B$12/Projects!$D$4,0)+IF(AND(Projects!$G$5="Yes",65&gt;=Projects!$C$5,65&lt;Projects!$C$5+Projects!$D$5),Projects!$B$5*Assumptions!$B$12/Projects!$D$5,0)+IF(AND(Projects!$G$6="Yes",65&gt;=Projects!$C$6,65&lt;Projects!$C$6+Projects!$D$6),0/Projects!$D$6,0)+IF(AND(Projects!$G$7="Yes",65&gt;=Projects!$C$7,65&lt;Projects!$C$7+Projects!$D$7),Projects!$B$7*Assumptions!$B$12/Projects!$D$7,0)+IF(AND(Projects!$G$8="Yes",65&gt;=Projects!$C$8,65&lt;Projects!$C$8+Projects!$D$8),Projects!$B$8*Assumptions!$B$12/Projects!$D$8,0)+IF(AND(Projects!$G$9="Yes",65&gt;=Projects!$C$9,65&lt;Projects!$C$9+Projects!$D$9),Projects!$B$9*Assumptions!$B$12/Projects!$D$9,0)+IF(AND(Projects!$G$10="Yes",65&gt;=Projects!$C$10,65&lt;Projects!$C$10+Projects!$D$10),Projects!$B$10*Assumptions!$B$12/Projects!$D$10,0)+IF(AND(Projects!$G$11="Yes",65&gt;=Projects!$C$11,65&lt;Projects!$C$11+Projects!$D$11),Projects!$B$11*Assumptions!$B$12/Projects!$D$11,0)+IF(AND(Projects!$G$12="Yes",65&gt;=Projects!$C$12,65&lt;Projects!$C$12+Projects!$D$12),Projects!$B$12*Assumptions!$B$12/Projects!$D$12,0)+IF(AND(Projects!$G$13="Yes",65&gt;=Projects!$C$13,65&lt;Projects!$C$13+Projects!$D$13),Projects!$B$13*Assumptions!$B$12/Projects!$D$13,0)+IF(AND(Projects!$G$14="Yes",65&gt;=Projects!$C$14,65&lt;Projects!$C$14+Projects!$D$14),Projects!$B$14*Assumptions!$B$12/Projects!$D$14,0)+IF(AND(Projects!$G$15="Yes",65&gt;=Projects!$C$15,65&lt;Projects!$C$15+Projects!$D$15),Projects!$B$15*Assumptions!$B$12/Projects!$D$15,0)+IF(AND(Projects!$G$16="Yes",65&gt;=Projects!$C$16,65&lt;Projects!$C$16+Projects!$D$16),Projects!$B$16*Assumptions!$B$12/Projects!$D$16,0)</f>
        <v>0</v>
      </c>
      <c r="BP10" s="10" t="n">
        <f aca="false">IF(AND(Projects!$G$2="Yes",66&gt;=Projects!$C$2,66&lt;Projects!$C$2+Projects!$D$2),46323/Projects!$D$2,0)+IF(AND(Projects!$G$3="Yes",66&gt;=Projects!$C$3,66&lt;Projects!$C$3+Projects!$D$3),176626/Projects!$D$3,0)+IF(AND(Projects!$G$4="Yes",66&gt;=Projects!$C$4,66&lt;Projects!$C$4+Projects!$D$4),Projects!$B$4*Assumptions!$B$12/Projects!$D$4,0)+IF(AND(Projects!$G$5="Yes",66&gt;=Projects!$C$5,66&lt;Projects!$C$5+Projects!$D$5),Projects!$B$5*Assumptions!$B$12/Projects!$D$5,0)+IF(AND(Projects!$G$6="Yes",66&gt;=Projects!$C$6,66&lt;Projects!$C$6+Projects!$D$6),0/Projects!$D$6,0)+IF(AND(Projects!$G$7="Yes",66&gt;=Projects!$C$7,66&lt;Projects!$C$7+Projects!$D$7),Projects!$B$7*Assumptions!$B$12/Projects!$D$7,0)+IF(AND(Projects!$G$8="Yes",66&gt;=Projects!$C$8,66&lt;Projects!$C$8+Projects!$D$8),Projects!$B$8*Assumptions!$B$12/Projects!$D$8,0)+IF(AND(Projects!$G$9="Yes",66&gt;=Projects!$C$9,66&lt;Projects!$C$9+Projects!$D$9),Projects!$B$9*Assumptions!$B$12/Projects!$D$9,0)+IF(AND(Projects!$G$10="Yes",66&gt;=Projects!$C$10,66&lt;Projects!$C$10+Projects!$D$10),Projects!$B$10*Assumptions!$B$12/Projects!$D$10,0)+IF(AND(Projects!$G$11="Yes",66&gt;=Projects!$C$11,66&lt;Projects!$C$11+Projects!$D$11),Projects!$B$11*Assumptions!$B$12/Projects!$D$11,0)+IF(AND(Projects!$G$12="Yes",66&gt;=Projects!$C$12,66&lt;Projects!$C$12+Projects!$D$12),Projects!$B$12*Assumptions!$B$12/Projects!$D$12,0)+IF(AND(Projects!$G$13="Yes",66&gt;=Projects!$C$13,66&lt;Projects!$C$13+Projects!$D$13),Projects!$B$13*Assumptions!$B$12/Projects!$D$13,0)+IF(AND(Projects!$G$14="Yes",66&gt;=Projects!$C$14,66&lt;Projects!$C$14+Projects!$D$14),Projects!$B$14*Assumptions!$B$12/Projects!$D$14,0)+IF(AND(Projects!$G$15="Yes",66&gt;=Projects!$C$15,66&lt;Projects!$C$15+Projects!$D$15),Projects!$B$15*Assumptions!$B$12/Projects!$D$15,0)+IF(AND(Projects!$G$16="Yes",66&gt;=Projects!$C$16,66&lt;Projects!$C$16+Projects!$D$16),Projects!$B$16*Assumptions!$B$12/Projects!$D$16,0)</f>
        <v>0</v>
      </c>
      <c r="BQ10" s="10" t="n">
        <f aca="false">IF(AND(Projects!$G$2="Yes",67&gt;=Projects!$C$2,67&lt;Projects!$C$2+Projects!$D$2),46323/Projects!$D$2,0)+IF(AND(Projects!$G$3="Yes",67&gt;=Projects!$C$3,67&lt;Projects!$C$3+Projects!$D$3),176626/Projects!$D$3,0)+IF(AND(Projects!$G$4="Yes",67&gt;=Projects!$C$4,67&lt;Projects!$C$4+Projects!$D$4),Projects!$B$4*Assumptions!$B$12/Projects!$D$4,0)+IF(AND(Projects!$G$5="Yes",67&gt;=Projects!$C$5,67&lt;Projects!$C$5+Projects!$D$5),Projects!$B$5*Assumptions!$B$12/Projects!$D$5,0)+IF(AND(Projects!$G$6="Yes",67&gt;=Projects!$C$6,67&lt;Projects!$C$6+Projects!$D$6),0/Projects!$D$6,0)+IF(AND(Projects!$G$7="Yes",67&gt;=Projects!$C$7,67&lt;Projects!$C$7+Projects!$D$7),Projects!$B$7*Assumptions!$B$12/Projects!$D$7,0)+IF(AND(Projects!$G$8="Yes",67&gt;=Projects!$C$8,67&lt;Projects!$C$8+Projects!$D$8),Projects!$B$8*Assumptions!$B$12/Projects!$D$8,0)+IF(AND(Projects!$G$9="Yes",67&gt;=Projects!$C$9,67&lt;Projects!$C$9+Projects!$D$9),Projects!$B$9*Assumptions!$B$12/Projects!$D$9,0)+IF(AND(Projects!$G$10="Yes",67&gt;=Projects!$C$10,67&lt;Projects!$C$10+Projects!$D$10),Projects!$B$10*Assumptions!$B$12/Projects!$D$10,0)+IF(AND(Projects!$G$11="Yes",67&gt;=Projects!$C$11,67&lt;Projects!$C$11+Projects!$D$11),Projects!$B$11*Assumptions!$B$12/Projects!$D$11,0)+IF(AND(Projects!$G$12="Yes",67&gt;=Projects!$C$12,67&lt;Projects!$C$12+Projects!$D$12),Projects!$B$12*Assumptions!$B$12/Projects!$D$12,0)+IF(AND(Projects!$G$13="Yes",67&gt;=Projects!$C$13,67&lt;Projects!$C$13+Projects!$D$13),Projects!$B$13*Assumptions!$B$12/Projects!$D$13,0)+IF(AND(Projects!$G$14="Yes",67&gt;=Projects!$C$14,67&lt;Projects!$C$14+Projects!$D$14),Projects!$B$14*Assumptions!$B$12/Projects!$D$14,0)+IF(AND(Projects!$G$15="Yes",67&gt;=Projects!$C$15,67&lt;Projects!$C$15+Projects!$D$15),Projects!$B$15*Assumptions!$B$12/Projects!$D$15,0)+IF(AND(Projects!$G$16="Yes",67&gt;=Projects!$C$16,67&lt;Projects!$C$16+Projects!$D$16),Projects!$B$16*Assumptions!$B$12/Projects!$D$16,0)</f>
        <v>0</v>
      </c>
      <c r="BR10" s="10" t="n">
        <f aca="false">IF(AND(Projects!$G$2="Yes",68&gt;=Projects!$C$2,68&lt;Projects!$C$2+Projects!$D$2),46323/Projects!$D$2,0)+IF(AND(Projects!$G$3="Yes",68&gt;=Projects!$C$3,68&lt;Projects!$C$3+Projects!$D$3),176626/Projects!$D$3,0)+IF(AND(Projects!$G$4="Yes",68&gt;=Projects!$C$4,68&lt;Projects!$C$4+Projects!$D$4),Projects!$B$4*Assumptions!$B$12/Projects!$D$4,0)+IF(AND(Projects!$G$5="Yes",68&gt;=Projects!$C$5,68&lt;Projects!$C$5+Projects!$D$5),Projects!$B$5*Assumptions!$B$12/Projects!$D$5,0)+IF(AND(Projects!$G$6="Yes",68&gt;=Projects!$C$6,68&lt;Projects!$C$6+Projects!$D$6),0/Projects!$D$6,0)+IF(AND(Projects!$G$7="Yes",68&gt;=Projects!$C$7,68&lt;Projects!$C$7+Projects!$D$7),Projects!$B$7*Assumptions!$B$12/Projects!$D$7,0)+IF(AND(Projects!$G$8="Yes",68&gt;=Projects!$C$8,68&lt;Projects!$C$8+Projects!$D$8),Projects!$B$8*Assumptions!$B$12/Projects!$D$8,0)+IF(AND(Projects!$G$9="Yes",68&gt;=Projects!$C$9,68&lt;Projects!$C$9+Projects!$D$9),Projects!$B$9*Assumptions!$B$12/Projects!$D$9,0)+IF(AND(Projects!$G$10="Yes",68&gt;=Projects!$C$10,68&lt;Projects!$C$10+Projects!$D$10),Projects!$B$10*Assumptions!$B$12/Projects!$D$10,0)+IF(AND(Projects!$G$11="Yes",68&gt;=Projects!$C$11,68&lt;Projects!$C$11+Projects!$D$11),Projects!$B$11*Assumptions!$B$12/Projects!$D$11,0)+IF(AND(Projects!$G$12="Yes",68&gt;=Projects!$C$12,68&lt;Projects!$C$12+Projects!$D$12),Projects!$B$12*Assumptions!$B$12/Projects!$D$12,0)+IF(AND(Projects!$G$13="Yes",68&gt;=Projects!$C$13,68&lt;Projects!$C$13+Projects!$D$13),Projects!$B$13*Assumptions!$B$12/Projects!$D$13,0)+IF(AND(Projects!$G$14="Yes",68&gt;=Projects!$C$14,68&lt;Projects!$C$14+Projects!$D$14),Projects!$B$14*Assumptions!$B$12/Projects!$D$14,0)+IF(AND(Projects!$G$15="Yes",68&gt;=Projects!$C$15,68&lt;Projects!$C$15+Projects!$D$15),Projects!$B$15*Assumptions!$B$12/Projects!$D$15,0)+IF(AND(Projects!$G$16="Yes",68&gt;=Projects!$C$16,68&lt;Projects!$C$16+Projects!$D$16),Projects!$B$16*Assumptions!$B$12/Projects!$D$16,0)</f>
        <v>0</v>
      </c>
      <c r="BS10" s="10" t="n">
        <f aca="false">IF(AND(Projects!$G$2="Yes",69&gt;=Projects!$C$2,69&lt;Projects!$C$2+Projects!$D$2),46323/Projects!$D$2,0)+IF(AND(Projects!$G$3="Yes",69&gt;=Projects!$C$3,69&lt;Projects!$C$3+Projects!$D$3),176626/Projects!$D$3,0)+IF(AND(Projects!$G$4="Yes",69&gt;=Projects!$C$4,69&lt;Projects!$C$4+Projects!$D$4),Projects!$B$4*Assumptions!$B$12/Projects!$D$4,0)+IF(AND(Projects!$G$5="Yes",69&gt;=Projects!$C$5,69&lt;Projects!$C$5+Projects!$D$5),Projects!$B$5*Assumptions!$B$12/Projects!$D$5,0)+IF(AND(Projects!$G$6="Yes",69&gt;=Projects!$C$6,69&lt;Projects!$C$6+Projects!$D$6),0/Projects!$D$6,0)+IF(AND(Projects!$G$7="Yes",69&gt;=Projects!$C$7,69&lt;Projects!$C$7+Projects!$D$7),Projects!$B$7*Assumptions!$B$12/Projects!$D$7,0)+IF(AND(Projects!$G$8="Yes",69&gt;=Projects!$C$8,69&lt;Projects!$C$8+Projects!$D$8),Projects!$B$8*Assumptions!$B$12/Projects!$D$8,0)+IF(AND(Projects!$G$9="Yes",69&gt;=Projects!$C$9,69&lt;Projects!$C$9+Projects!$D$9),Projects!$B$9*Assumptions!$B$12/Projects!$D$9,0)+IF(AND(Projects!$G$10="Yes",69&gt;=Projects!$C$10,69&lt;Projects!$C$10+Projects!$D$10),Projects!$B$10*Assumptions!$B$12/Projects!$D$10,0)+IF(AND(Projects!$G$11="Yes",69&gt;=Projects!$C$11,69&lt;Projects!$C$11+Projects!$D$11),Projects!$B$11*Assumptions!$B$12/Projects!$D$11,0)+IF(AND(Projects!$G$12="Yes",69&gt;=Projects!$C$12,69&lt;Projects!$C$12+Projects!$D$12),Projects!$B$12*Assumptions!$B$12/Projects!$D$12,0)+IF(AND(Projects!$G$13="Yes",69&gt;=Projects!$C$13,69&lt;Projects!$C$13+Projects!$D$13),Projects!$B$13*Assumptions!$B$12/Projects!$D$13,0)+IF(AND(Projects!$G$14="Yes",69&gt;=Projects!$C$14,69&lt;Projects!$C$14+Projects!$D$14),Projects!$B$14*Assumptions!$B$12/Projects!$D$14,0)+IF(AND(Projects!$G$15="Yes",69&gt;=Projects!$C$15,69&lt;Projects!$C$15+Projects!$D$15),Projects!$B$15*Assumptions!$B$12/Projects!$D$15,0)+IF(AND(Projects!$G$16="Yes",69&gt;=Projects!$C$16,69&lt;Projects!$C$16+Projects!$D$16),Projects!$B$16*Assumptions!$B$12/Projects!$D$16,0)</f>
        <v>0</v>
      </c>
      <c r="BT10" s="10" t="n">
        <f aca="false">IF(AND(Projects!$G$2="Yes",70&gt;=Projects!$C$2,70&lt;Projects!$C$2+Projects!$D$2),46323/Projects!$D$2,0)+IF(AND(Projects!$G$3="Yes",70&gt;=Projects!$C$3,70&lt;Projects!$C$3+Projects!$D$3),176626/Projects!$D$3,0)+IF(AND(Projects!$G$4="Yes",70&gt;=Projects!$C$4,70&lt;Projects!$C$4+Projects!$D$4),Projects!$B$4*Assumptions!$B$12/Projects!$D$4,0)+IF(AND(Projects!$G$5="Yes",70&gt;=Projects!$C$5,70&lt;Projects!$C$5+Projects!$D$5),Projects!$B$5*Assumptions!$B$12/Projects!$D$5,0)+IF(AND(Projects!$G$6="Yes",70&gt;=Projects!$C$6,70&lt;Projects!$C$6+Projects!$D$6),0/Projects!$D$6,0)+IF(AND(Projects!$G$7="Yes",70&gt;=Projects!$C$7,70&lt;Projects!$C$7+Projects!$D$7),Projects!$B$7*Assumptions!$B$12/Projects!$D$7,0)+IF(AND(Projects!$G$8="Yes",70&gt;=Projects!$C$8,70&lt;Projects!$C$8+Projects!$D$8),Projects!$B$8*Assumptions!$B$12/Projects!$D$8,0)+IF(AND(Projects!$G$9="Yes",70&gt;=Projects!$C$9,70&lt;Projects!$C$9+Projects!$D$9),Projects!$B$9*Assumptions!$B$12/Projects!$D$9,0)+IF(AND(Projects!$G$10="Yes",70&gt;=Projects!$C$10,70&lt;Projects!$C$10+Projects!$D$10),Projects!$B$10*Assumptions!$B$12/Projects!$D$10,0)+IF(AND(Projects!$G$11="Yes",70&gt;=Projects!$C$11,70&lt;Projects!$C$11+Projects!$D$11),Projects!$B$11*Assumptions!$B$12/Projects!$D$11,0)+IF(AND(Projects!$G$12="Yes",70&gt;=Projects!$C$12,70&lt;Projects!$C$12+Projects!$D$12),Projects!$B$12*Assumptions!$B$12/Projects!$D$12,0)+IF(AND(Projects!$G$13="Yes",70&gt;=Projects!$C$13,70&lt;Projects!$C$13+Projects!$D$13),Projects!$B$13*Assumptions!$B$12/Projects!$D$13,0)+IF(AND(Projects!$G$14="Yes",70&gt;=Projects!$C$14,70&lt;Projects!$C$14+Projects!$D$14),Projects!$B$14*Assumptions!$B$12/Projects!$D$14,0)+IF(AND(Projects!$G$15="Yes",70&gt;=Projects!$C$15,70&lt;Projects!$C$15+Projects!$D$15),Projects!$B$15*Assumptions!$B$12/Projects!$D$15,0)+IF(AND(Projects!$G$16="Yes",70&gt;=Projects!$C$16,70&lt;Projects!$C$16+Projects!$D$16),Projects!$B$16*Assumptions!$B$12/Projects!$D$16,0)</f>
        <v>0</v>
      </c>
      <c r="BU10" s="10" t="n">
        <f aca="false">IF(AND(Projects!$G$2="Yes",71&gt;=Projects!$C$2,71&lt;Projects!$C$2+Projects!$D$2),46323/Projects!$D$2,0)+IF(AND(Projects!$G$3="Yes",71&gt;=Projects!$C$3,71&lt;Projects!$C$3+Projects!$D$3),176626/Projects!$D$3,0)+IF(AND(Projects!$G$4="Yes",71&gt;=Projects!$C$4,71&lt;Projects!$C$4+Projects!$D$4),Projects!$B$4*Assumptions!$B$12/Projects!$D$4,0)+IF(AND(Projects!$G$5="Yes",71&gt;=Projects!$C$5,71&lt;Projects!$C$5+Projects!$D$5),Projects!$B$5*Assumptions!$B$12/Projects!$D$5,0)+IF(AND(Projects!$G$6="Yes",71&gt;=Projects!$C$6,71&lt;Projects!$C$6+Projects!$D$6),0/Projects!$D$6,0)+IF(AND(Projects!$G$7="Yes",71&gt;=Projects!$C$7,71&lt;Projects!$C$7+Projects!$D$7),Projects!$B$7*Assumptions!$B$12/Projects!$D$7,0)+IF(AND(Projects!$G$8="Yes",71&gt;=Projects!$C$8,71&lt;Projects!$C$8+Projects!$D$8),Projects!$B$8*Assumptions!$B$12/Projects!$D$8,0)+IF(AND(Projects!$G$9="Yes",71&gt;=Projects!$C$9,71&lt;Projects!$C$9+Projects!$D$9),Projects!$B$9*Assumptions!$B$12/Projects!$D$9,0)+IF(AND(Projects!$G$10="Yes",71&gt;=Projects!$C$10,71&lt;Projects!$C$10+Projects!$D$10),Projects!$B$10*Assumptions!$B$12/Projects!$D$10,0)+IF(AND(Projects!$G$11="Yes",71&gt;=Projects!$C$11,71&lt;Projects!$C$11+Projects!$D$11),Projects!$B$11*Assumptions!$B$12/Projects!$D$11,0)+IF(AND(Projects!$G$12="Yes",71&gt;=Projects!$C$12,71&lt;Projects!$C$12+Projects!$D$12),Projects!$B$12*Assumptions!$B$12/Projects!$D$12,0)+IF(AND(Projects!$G$13="Yes",71&gt;=Projects!$C$13,71&lt;Projects!$C$13+Projects!$D$13),Projects!$B$13*Assumptions!$B$12/Projects!$D$13,0)+IF(AND(Projects!$G$14="Yes",71&gt;=Projects!$C$14,71&lt;Projects!$C$14+Projects!$D$14),Projects!$B$14*Assumptions!$B$12/Projects!$D$14,0)+IF(AND(Projects!$G$15="Yes",71&gt;=Projects!$C$15,71&lt;Projects!$C$15+Projects!$D$15),Projects!$B$15*Assumptions!$B$12/Projects!$D$15,0)+IF(AND(Projects!$G$16="Yes",71&gt;=Projects!$C$16,71&lt;Projects!$C$16+Projects!$D$16),Projects!$B$16*Assumptions!$B$12/Projects!$D$16,0)</f>
        <v>0</v>
      </c>
      <c r="BV10" s="10" t="n">
        <f aca="false">IF(AND(Projects!$G$2="Yes",72&gt;=Projects!$C$2,72&lt;Projects!$C$2+Projects!$D$2),46323/Projects!$D$2,0)+IF(AND(Projects!$G$3="Yes",72&gt;=Projects!$C$3,72&lt;Projects!$C$3+Projects!$D$3),176626/Projects!$D$3,0)+IF(AND(Projects!$G$4="Yes",72&gt;=Projects!$C$4,72&lt;Projects!$C$4+Projects!$D$4),Projects!$B$4*Assumptions!$B$12/Projects!$D$4,0)+IF(AND(Projects!$G$5="Yes",72&gt;=Projects!$C$5,72&lt;Projects!$C$5+Projects!$D$5),Projects!$B$5*Assumptions!$B$12/Projects!$D$5,0)+IF(AND(Projects!$G$6="Yes",72&gt;=Projects!$C$6,72&lt;Projects!$C$6+Projects!$D$6),0/Projects!$D$6,0)+IF(AND(Projects!$G$7="Yes",72&gt;=Projects!$C$7,72&lt;Projects!$C$7+Projects!$D$7),Projects!$B$7*Assumptions!$B$12/Projects!$D$7,0)+IF(AND(Projects!$G$8="Yes",72&gt;=Projects!$C$8,72&lt;Projects!$C$8+Projects!$D$8),Projects!$B$8*Assumptions!$B$12/Projects!$D$8,0)+IF(AND(Projects!$G$9="Yes",72&gt;=Projects!$C$9,72&lt;Projects!$C$9+Projects!$D$9),Projects!$B$9*Assumptions!$B$12/Projects!$D$9,0)+IF(AND(Projects!$G$10="Yes",72&gt;=Projects!$C$10,72&lt;Projects!$C$10+Projects!$D$10),Projects!$B$10*Assumptions!$B$12/Projects!$D$10,0)+IF(AND(Projects!$G$11="Yes",72&gt;=Projects!$C$11,72&lt;Projects!$C$11+Projects!$D$11),Projects!$B$11*Assumptions!$B$12/Projects!$D$11,0)+IF(AND(Projects!$G$12="Yes",72&gt;=Projects!$C$12,72&lt;Projects!$C$12+Projects!$D$12),Projects!$B$12*Assumptions!$B$12/Projects!$D$12,0)+IF(AND(Projects!$G$13="Yes",72&gt;=Projects!$C$13,72&lt;Projects!$C$13+Projects!$D$13),Projects!$B$13*Assumptions!$B$12/Projects!$D$13,0)+IF(AND(Projects!$G$14="Yes",72&gt;=Projects!$C$14,72&lt;Projects!$C$14+Projects!$D$14),Projects!$B$14*Assumptions!$B$12/Projects!$D$14,0)+IF(AND(Projects!$G$15="Yes",72&gt;=Projects!$C$15,72&lt;Projects!$C$15+Projects!$D$15),Projects!$B$15*Assumptions!$B$12/Projects!$D$15,0)+IF(AND(Projects!$G$16="Yes",72&gt;=Projects!$C$16,72&lt;Projects!$C$16+Projects!$D$16),Projects!$B$16*Assumptions!$B$12/Projects!$D$16,0)</f>
        <v>0</v>
      </c>
      <c r="BW10" s="10" t="n">
        <f aca="false">IF(AND(Projects!$G$2="Yes",73&gt;=Projects!$C$2,73&lt;Projects!$C$2+Projects!$D$2),46323/Projects!$D$2,0)+IF(AND(Projects!$G$3="Yes",73&gt;=Projects!$C$3,73&lt;Projects!$C$3+Projects!$D$3),176626/Projects!$D$3,0)+IF(AND(Projects!$G$4="Yes",73&gt;=Projects!$C$4,73&lt;Projects!$C$4+Projects!$D$4),Projects!$B$4*Assumptions!$B$12/Projects!$D$4,0)+IF(AND(Projects!$G$5="Yes",73&gt;=Projects!$C$5,73&lt;Projects!$C$5+Projects!$D$5),Projects!$B$5*Assumptions!$B$12/Projects!$D$5,0)+IF(AND(Projects!$G$6="Yes",73&gt;=Projects!$C$6,73&lt;Projects!$C$6+Projects!$D$6),0/Projects!$D$6,0)+IF(AND(Projects!$G$7="Yes",73&gt;=Projects!$C$7,73&lt;Projects!$C$7+Projects!$D$7),Projects!$B$7*Assumptions!$B$12/Projects!$D$7,0)+IF(AND(Projects!$G$8="Yes",73&gt;=Projects!$C$8,73&lt;Projects!$C$8+Projects!$D$8),Projects!$B$8*Assumptions!$B$12/Projects!$D$8,0)+IF(AND(Projects!$G$9="Yes",73&gt;=Projects!$C$9,73&lt;Projects!$C$9+Projects!$D$9),Projects!$B$9*Assumptions!$B$12/Projects!$D$9,0)+IF(AND(Projects!$G$10="Yes",73&gt;=Projects!$C$10,73&lt;Projects!$C$10+Projects!$D$10),Projects!$B$10*Assumptions!$B$12/Projects!$D$10,0)+IF(AND(Projects!$G$11="Yes",73&gt;=Projects!$C$11,73&lt;Projects!$C$11+Projects!$D$11),Projects!$B$11*Assumptions!$B$12/Projects!$D$11,0)+IF(AND(Projects!$G$12="Yes",73&gt;=Projects!$C$12,73&lt;Projects!$C$12+Projects!$D$12),Projects!$B$12*Assumptions!$B$12/Projects!$D$12,0)+IF(AND(Projects!$G$13="Yes",73&gt;=Projects!$C$13,73&lt;Projects!$C$13+Projects!$D$13),Projects!$B$13*Assumptions!$B$12/Projects!$D$13,0)+IF(AND(Projects!$G$14="Yes",73&gt;=Projects!$C$14,73&lt;Projects!$C$14+Projects!$D$14),Projects!$B$14*Assumptions!$B$12/Projects!$D$14,0)+IF(AND(Projects!$G$15="Yes",73&gt;=Projects!$C$15,73&lt;Projects!$C$15+Projects!$D$15),Projects!$B$15*Assumptions!$B$12/Projects!$D$15,0)+IF(AND(Projects!$G$16="Yes",73&gt;=Projects!$C$16,73&lt;Projects!$C$16+Projects!$D$16),Projects!$B$16*Assumptions!$B$12/Projects!$D$16,0)</f>
        <v>0</v>
      </c>
      <c r="BX10" s="10" t="n">
        <f aca="false">IF(AND(Projects!$G$2="Yes",74&gt;=Projects!$C$2,74&lt;Projects!$C$2+Projects!$D$2),46323/Projects!$D$2,0)+IF(AND(Projects!$G$3="Yes",74&gt;=Projects!$C$3,74&lt;Projects!$C$3+Projects!$D$3),176626/Projects!$D$3,0)+IF(AND(Projects!$G$4="Yes",74&gt;=Projects!$C$4,74&lt;Projects!$C$4+Projects!$D$4),Projects!$B$4*Assumptions!$B$12/Projects!$D$4,0)+IF(AND(Projects!$G$5="Yes",74&gt;=Projects!$C$5,74&lt;Projects!$C$5+Projects!$D$5),Projects!$B$5*Assumptions!$B$12/Projects!$D$5,0)+IF(AND(Projects!$G$6="Yes",74&gt;=Projects!$C$6,74&lt;Projects!$C$6+Projects!$D$6),0/Projects!$D$6,0)+IF(AND(Projects!$G$7="Yes",74&gt;=Projects!$C$7,74&lt;Projects!$C$7+Projects!$D$7),Projects!$B$7*Assumptions!$B$12/Projects!$D$7,0)+IF(AND(Projects!$G$8="Yes",74&gt;=Projects!$C$8,74&lt;Projects!$C$8+Projects!$D$8),Projects!$B$8*Assumptions!$B$12/Projects!$D$8,0)+IF(AND(Projects!$G$9="Yes",74&gt;=Projects!$C$9,74&lt;Projects!$C$9+Projects!$D$9),Projects!$B$9*Assumptions!$B$12/Projects!$D$9,0)+IF(AND(Projects!$G$10="Yes",74&gt;=Projects!$C$10,74&lt;Projects!$C$10+Projects!$D$10),Projects!$B$10*Assumptions!$B$12/Projects!$D$10,0)+IF(AND(Projects!$G$11="Yes",74&gt;=Projects!$C$11,74&lt;Projects!$C$11+Projects!$D$11),Projects!$B$11*Assumptions!$B$12/Projects!$D$11,0)+IF(AND(Projects!$G$12="Yes",74&gt;=Projects!$C$12,74&lt;Projects!$C$12+Projects!$D$12),Projects!$B$12*Assumptions!$B$12/Projects!$D$12,0)+IF(AND(Projects!$G$13="Yes",74&gt;=Projects!$C$13,74&lt;Projects!$C$13+Projects!$D$13),Projects!$B$13*Assumptions!$B$12/Projects!$D$13,0)+IF(AND(Projects!$G$14="Yes",74&gt;=Projects!$C$14,74&lt;Projects!$C$14+Projects!$D$14),Projects!$B$14*Assumptions!$B$12/Projects!$D$14,0)+IF(AND(Projects!$G$15="Yes",74&gt;=Projects!$C$15,74&lt;Projects!$C$15+Projects!$D$15),Projects!$B$15*Assumptions!$B$12/Projects!$D$15,0)+IF(AND(Projects!$G$16="Yes",74&gt;=Projects!$C$16,74&lt;Projects!$C$16+Projects!$D$16),Projects!$B$16*Assumptions!$B$12/Projects!$D$16,0)</f>
        <v>0</v>
      </c>
      <c r="BY10" s="10" t="n">
        <f aca="false">IF(AND(Projects!$G$2="Yes",75&gt;=Projects!$C$2,75&lt;Projects!$C$2+Projects!$D$2),46323/Projects!$D$2,0)+IF(AND(Projects!$G$3="Yes",75&gt;=Projects!$C$3,75&lt;Projects!$C$3+Projects!$D$3),176626/Projects!$D$3,0)+IF(AND(Projects!$G$4="Yes",75&gt;=Projects!$C$4,75&lt;Projects!$C$4+Projects!$D$4),Projects!$B$4*Assumptions!$B$12/Projects!$D$4,0)+IF(AND(Projects!$G$5="Yes",75&gt;=Projects!$C$5,75&lt;Projects!$C$5+Projects!$D$5),Projects!$B$5*Assumptions!$B$12/Projects!$D$5,0)+IF(AND(Projects!$G$6="Yes",75&gt;=Projects!$C$6,75&lt;Projects!$C$6+Projects!$D$6),0/Projects!$D$6,0)+IF(AND(Projects!$G$7="Yes",75&gt;=Projects!$C$7,75&lt;Projects!$C$7+Projects!$D$7),Projects!$B$7*Assumptions!$B$12/Projects!$D$7,0)+IF(AND(Projects!$G$8="Yes",75&gt;=Projects!$C$8,75&lt;Projects!$C$8+Projects!$D$8),Projects!$B$8*Assumptions!$B$12/Projects!$D$8,0)+IF(AND(Projects!$G$9="Yes",75&gt;=Projects!$C$9,75&lt;Projects!$C$9+Projects!$D$9),Projects!$B$9*Assumptions!$B$12/Projects!$D$9,0)+IF(AND(Projects!$G$10="Yes",75&gt;=Projects!$C$10,75&lt;Projects!$C$10+Projects!$D$10),Projects!$B$10*Assumptions!$B$12/Projects!$D$10,0)+IF(AND(Projects!$G$11="Yes",75&gt;=Projects!$C$11,75&lt;Projects!$C$11+Projects!$D$11),Projects!$B$11*Assumptions!$B$12/Projects!$D$11,0)+IF(AND(Projects!$G$12="Yes",75&gt;=Projects!$C$12,75&lt;Projects!$C$12+Projects!$D$12),Projects!$B$12*Assumptions!$B$12/Projects!$D$12,0)+IF(AND(Projects!$G$13="Yes",75&gt;=Projects!$C$13,75&lt;Projects!$C$13+Projects!$D$13),Projects!$B$13*Assumptions!$B$12/Projects!$D$13,0)+IF(AND(Projects!$G$14="Yes",75&gt;=Projects!$C$14,75&lt;Projects!$C$14+Projects!$D$14),Projects!$B$14*Assumptions!$B$12/Projects!$D$14,0)+IF(AND(Projects!$G$15="Yes",75&gt;=Projects!$C$15,75&lt;Projects!$C$15+Projects!$D$15),Projects!$B$15*Assumptions!$B$12/Projects!$D$15,0)+IF(AND(Projects!$G$16="Yes",75&gt;=Projects!$C$16,75&lt;Projects!$C$16+Projects!$D$16),Projects!$B$16*Assumptions!$B$12/Projects!$D$16,0)</f>
        <v>0</v>
      </c>
      <c r="BZ10" s="10" t="n">
        <f aca="false">IF(AND(Projects!$G$2="Yes",76&gt;=Projects!$C$2,76&lt;Projects!$C$2+Projects!$D$2),46323/Projects!$D$2,0)+IF(AND(Projects!$G$3="Yes",76&gt;=Projects!$C$3,76&lt;Projects!$C$3+Projects!$D$3),176626/Projects!$D$3,0)+IF(AND(Projects!$G$4="Yes",76&gt;=Projects!$C$4,76&lt;Projects!$C$4+Projects!$D$4),Projects!$B$4*Assumptions!$B$12/Projects!$D$4,0)+IF(AND(Projects!$G$5="Yes",76&gt;=Projects!$C$5,76&lt;Projects!$C$5+Projects!$D$5),Projects!$B$5*Assumptions!$B$12/Projects!$D$5,0)+IF(AND(Projects!$G$6="Yes",76&gt;=Projects!$C$6,76&lt;Projects!$C$6+Projects!$D$6),0/Projects!$D$6,0)+IF(AND(Projects!$G$7="Yes",76&gt;=Projects!$C$7,76&lt;Projects!$C$7+Projects!$D$7),Projects!$B$7*Assumptions!$B$12/Projects!$D$7,0)+IF(AND(Projects!$G$8="Yes",76&gt;=Projects!$C$8,76&lt;Projects!$C$8+Projects!$D$8),Projects!$B$8*Assumptions!$B$12/Projects!$D$8,0)+IF(AND(Projects!$G$9="Yes",76&gt;=Projects!$C$9,76&lt;Projects!$C$9+Projects!$D$9),Projects!$B$9*Assumptions!$B$12/Projects!$D$9,0)+IF(AND(Projects!$G$10="Yes",76&gt;=Projects!$C$10,76&lt;Projects!$C$10+Projects!$D$10),Projects!$B$10*Assumptions!$B$12/Projects!$D$10,0)+IF(AND(Projects!$G$11="Yes",76&gt;=Projects!$C$11,76&lt;Projects!$C$11+Projects!$D$11),Projects!$B$11*Assumptions!$B$12/Projects!$D$11,0)+IF(AND(Projects!$G$12="Yes",76&gt;=Projects!$C$12,76&lt;Projects!$C$12+Projects!$D$12),Projects!$B$12*Assumptions!$B$12/Projects!$D$12,0)+IF(AND(Projects!$G$13="Yes",76&gt;=Projects!$C$13,76&lt;Projects!$C$13+Projects!$D$13),Projects!$B$13*Assumptions!$B$12/Projects!$D$13,0)+IF(AND(Projects!$G$14="Yes",76&gt;=Projects!$C$14,76&lt;Projects!$C$14+Projects!$D$14),Projects!$B$14*Assumptions!$B$12/Projects!$D$14,0)+IF(AND(Projects!$G$15="Yes",76&gt;=Projects!$C$15,76&lt;Projects!$C$15+Projects!$D$15),Projects!$B$15*Assumptions!$B$12/Projects!$D$15,0)+IF(AND(Projects!$G$16="Yes",76&gt;=Projects!$C$16,76&lt;Projects!$C$16+Projects!$D$16),Projects!$B$16*Assumptions!$B$12/Projects!$D$16,0)</f>
        <v>0</v>
      </c>
      <c r="CA10" s="10" t="n">
        <f aca="false">IF(AND(Projects!$G$2="Yes",77&gt;=Projects!$C$2,77&lt;Projects!$C$2+Projects!$D$2),46323/Projects!$D$2,0)+IF(AND(Projects!$G$3="Yes",77&gt;=Projects!$C$3,77&lt;Projects!$C$3+Projects!$D$3),176626/Projects!$D$3,0)+IF(AND(Projects!$G$4="Yes",77&gt;=Projects!$C$4,77&lt;Projects!$C$4+Projects!$D$4),Projects!$B$4*Assumptions!$B$12/Projects!$D$4,0)+IF(AND(Projects!$G$5="Yes",77&gt;=Projects!$C$5,77&lt;Projects!$C$5+Projects!$D$5),Projects!$B$5*Assumptions!$B$12/Projects!$D$5,0)+IF(AND(Projects!$G$6="Yes",77&gt;=Projects!$C$6,77&lt;Projects!$C$6+Projects!$D$6),0/Projects!$D$6,0)+IF(AND(Projects!$G$7="Yes",77&gt;=Projects!$C$7,77&lt;Projects!$C$7+Projects!$D$7),Projects!$B$7*Assumptions!$B$12/Projects!$D$7,0)+IF(AND(Projects!$G$8="Yes",77&gt;=Projects!$C$8,77&lt;Projects!$C$8+Projects!$D$8),Projects!$B$8*Assumptions!$B$12/Projects!$D$8,0)+IF(AND(Projects!$G$9="Yes",77&gt;=Projects!$C$9,77&lt;Projects!$C$9+Projects!$D$9),Projects!$B$9*Assumptions!$B$12/Projects!$D$9,0)+IF(AND(Projects!$G$10="Yes",77&gt;=Projects!$C$10,77&lt;Projects!$C$10+Projects!$D$10),Projects!$B$10*Assumptions!$B$12/Projects!$D$10,0)+IF(AND(Projects!$G$11="Yes",77&gt;=Projects!$C$11,77&lt;Projects!$C$11+Projects!$D$11),Projects!$B$11*Assumptions!$B$12/Projects!$D$11,0)+IF(AND(Projects!$G$12="Yes",77&gt;=Projects!$C$12,77&lt;Projects!$C$12+Projects!$D$12),Projects!$B$12*Assumptions!$B$12/Projects!$D$12,0)+IF(AND(Projects!$G$13="Yes",77&gt;=Projects!$C$13,77&lt;Projects!$C$13+Projects!$D$13),Projects!$B$13*Assumptions!$B$12/Projects!$D$13,0)+IF(AND(Projects!$G$14="Yes",77&gt;=Projects!$C$14,77&lt;Projects!$C$14+Projects!$D$14),Projects!$B$14*Assumptions!$B$12/Projects!$D$14,0)+IF(AND(Projects!$G$15="Yes",77&gt;=Projects!$C$15,77&lt;Projects!$C$15+Projects!$D$15),Projects!$B$15*Assumptions!$B$12/Projects!$D$15,0)+IF(AND(Projects!$G$16="Yes",77&gt;=Projects!$C$16,77&lt;Projects!$C$16+Projects!$D$16),Projects!$B$16*Assumptions!$B$12/Projects!$D$16,0)</f>
        <v>0</v>
      </c>
      <c r="CB10" s="10" t="n">
        <f aca="false">IF(AND(Projects!$G$2="Yes",78&gt;=Projects!$C$2,78&lt;Projects!$C$2+Projects!$D$2),46323/Projects!$D$2,0)+IF(AND(Projects!$G$3="Yes",78&gt;=Projects!$C$3,78&lt;Projects!$C$3+Projects!$D$3),176626/Projects!$D$3,0)+IF(AND(Projects!$G$4="Yes",78&gt;=Projects!$C$4,78&lt;Projects!$C$4+Projects!$D$4),Projects!$B$4*Assumptions!$B$12/Projects!$D$4,0)+IF(AND(Projects!$G$5="Yes",78&gt;=Projects!$C$5,78&lt;Projects!$C$5+Projects!$D$5),Projects!$B$5*Assumptions!$B$12/Projects!$D$5,0)+IF(AND(Projects!$G$6="Yes",78&gt;=Projects!$C$6,78&lt;Projects!$C$6+Projects!$D$6),0/Projects!$D$6,0)+IF(AND(Projects!$G$7="Yes",78&gt;=Projects!$C$7,78&lt;Projects!$C$7+Projects!$D$7),Projects!$B$7*Assumptions!$B$12/Projects!$D$7,0)+IF(AND(Projects!$G$8="Yes",78&gt;=Projects!$C$8,78&lt;Projects!$C$8+Projects!$D$8),Projects!$B$8*Assumptions!$B$12/Projects!$D$8,0)+IF(AND(Projects!$G$9="Yes",78&gt;=Projects!$C$9,78&lt;Projects!$C$9+Projects!$D$9),Projects!$B$9*Assumptions!$B$12/Projects!$D$9,0)+IF(AND(Projects!$G$10="Yes",78&gt;=Projects!$C$10,78&lt;Projects!$C$10+Projects!$D$10),Projects!$B$10*Assumptions!$B$12/Projects!$D$10,0)+IF(AND(Projects!$G$11="Yes",78&gt;=Projects!$C$11,78&lt;Projects!$C$11+Projects!$D$11),Projects!$B$11*Assumptions!$B$12/Projects!$D$11,0)+IF(AND(Projects!$G$12="Yes",78&gt;=Projects!$C$12,78&lt;Projects!$C$12+Projects!$D$12),Projects!$B$12*Assumptions!$B$12/Projects!$D$12,0)+IF(AND(Projects!$G$13="Yes",78&gt;=Projects!$C$13,78&lt;Projects!$C$13+Projects!$D$13),Projects!$B$13*Assumptions!$B$12/Projects!$D$13,0)+IF(AND(Projects!$G$14="Yes",78&gt;=Projects!$C$14,78&lt;Projects!$C$14+Projects!$D$14),Projects!$B$14*Assumptions!$B$12/Projects!$D$14,0)+IF(AND(Projects!$G$15="Yes",78&gt;=Projects!$C$15,78&lt;Projects!$C$15+Projects!$D$15),Projects!$B$15*Assumptions!$B$12/Projects!$D$15,0)+IF(AND(Projects!$G$16="Yes",78&gt;=Projects!$C$16,78&lt;Projects!$C$16+Projects!$D$16),Projects!$B$16*Assumptions!$B$12/Projects!$D$16,0)</f>
        <v>0</v>
      </c>
      <c r="CC10" s="10" t="n">
        <f aca="false">IF(AND(Projects!$G$2="Yes",79&gt;=Projects!$C$2,79&lt;Projects!$C$2+Projects!$D$2),46323/Projects!$D$2,0)+IF(AND(Projects!$G$3="Yes",79&gt;=Projects!$C$3,79&lt;Projects!$C$3+Projects!$D$3),176626/Projects!$D$3,0)+IF(AND(Projects!$G$4="Yes",79&gt;=Projects!$C$4,79&lt;Projects!$C$4+Projects!$D$4),Projects!$B$4*Assumptions!$B$12/Projects!$D$4,0)+IF(AND(Projects!$G$5="Yes",79&gt;=Projects!$C$5,79&lt;Projects!$C$5+Projects!$D$5),Projects!$B$5*Assumptions!$B$12/Projects!$D$5,0)+IF(AND(Projects!$G$6="Yes",79&gt;=Projects!$C$6,79&lt;Projects!$C$6+Projects!$D$6),0/Projects!$D$6,0)+IF(AND(Projects!$G$7="Yes",79&gt;=Projects!$C$7,79&lt;Projects!$C$7+Projects!$D$7),Projects!$B$7*Assumptions!$B$12/Projects!$D$7,0)+IF(AND(Projects!$G$8="Yes",79&gt;=Projects!$C$8,79&lt;Projects!$C$8+Projects!$D$8),Projects!$B$8*Assumptions!$B$12/Projects!$D$8,0)+IF(AND(Projects!$G$9="Yes",79&gt;=Projects!$C$9,79&lt;Projects!$C$9+Projects!$D$9),Projects!$B$9*Assumptions!$B$12/Projects!$D$9,0)+IF(AND(Projects!$G$10="Yes",79&gt;=Projects!$C$10,79&lt;Projects!$C$10+Projects!$D$10),Projects!$B$10*Assumptions!$B$12/Projects!$D$10,0)+IF(AND(Projects!$G$11="Yes",79&gt;=Projects!$C$11,79&lt;Projects!$C$11+Projects!$D$11),Projects!$B$11*Assumptions!$B$12/Projects!$D$11,0)+IF(AND(Projects!$G$12="Yes",79&gt;=Projects!$C$12,79&lt;Projects!$C$12+Projects!$D$12),Projects!$B$12*Assumptions!$B$12/Projects!$D$12,0)+IF(AND(Projects!$G$13="Yes",79&gt;=Projects!$C$13,79&lt;Projects!$C$13+Projects!$D$13),Projects!$B$13*Assumptions!$B$12/Projects!$D$13,0)+IF(AND(Projects!$G$14="Yes",79&gt;=Projects!$C$14,79&lt;Projects!$C$14+Projects!$D$14),Projects!$B$14*Assumptions!$B$12/Projects!$D$14,0)+IF(AND(Projects!$G$15="Yes",79&gt;=Projects!$C$15,79&lt;Projects!$C$15+Projects!$D$15),Projects!$B$15*Assumptions!$B$12/Projects!$D$15,0)+IF(AND(Projects!$G$16="Yes",79&gt;=Projects!$C$16,79&lt;Projects!$C$16+Projects!$D$16),Projects!$B$16*Assumptions!$B$12/Projects!$D$16,0)</f>
        <v>0</v>
      </c>
      <c r="CD10" s="10" t="n">
        <f aca="false">IF(AND(Projects!$G$2="Yes",80&gt;=Projects!$C$2,80&lt;Projects!$C$2+Projects!$D$2),46323/Projects!$D$2,0)+IF(AND(Projects!$G$3="Yes",80&gt;=Projects!$C$3,80&lt;Projects!$C$3+Projects!$D$3),176626/Projects!$D$3,0)+IF(AND(Projects!$G$4="Yes",80&gt;=Projects!$C$4,80&lt;Projects!$C$4+Projects!$D$4),Projects!$B$4*Assumptions!$B$12/Projects!$D$4,0)+IF(AND(Projects!$G$5="Yes",80&gt;=Projects!$C$5,80&lt;Projects!$C$5+Projects!$D$5),Projects!$B$5*Assumptions!$B$12/Projects!$D$5,0)+IF(AND(Projects!$G$6="Yes",80&gt;=Projects!$C$6,80&lt;Projects!$C$6+Projects!$D$6),0/Projects!$D$6,0)+IF(AND(Projects!$G$7="Yes",80&gt;=Projects!$C$7,80&lt;Projects!$C$7+Projects!$D$7),Projects!$B$7*Assumptions!$B$12/Projects!$D$7,0)+IF(AND(Projects!$G$8="Yes",80&gt;=Projects!$C$8,80&lt;Projects!$C$8+Projects!$D$8),Projects!$B$8*Assumptions!$B$12/Projects!$D$8,0)+IF(AND(Projects!$G$9="Yes",80&gt;=Projects!$C$9,80&lt;Projects!$C$9+Projects!$D$9),Projects!$B$9*Assumptions!$B$12/Projects!$D$9,0)+IF(AND(Projects!$G$10="Yes",80&gt;=Projects!$C$10,80&lt;Projects!$C$10+Projects!$D$10),Projects!$B$10*Assumptions!$B$12/Projects!$D$10,0)+IF(AND(Projects!$G$11="Yes",80&gt;=Projects!$C$11,80&lt;Projects!$C$11+Projects!$D$11),Projects!$B$11*Assumptions!$B$12/Projects!$D$11,0)+IF(AND(Projects!$G$12="Yes",80&gt;=Projects!$C$12,80&lt;Projects!$C$12+Projects!$D$12),Projects!$B$12*Assumptions!$B$12/Projects!$D$12,0)+IF(AND(Projects!$G$13="Yes",80&gt;=Projects!$C$13,80&lt;Projects!$C$13+Projects!$D$13),Projects!$B$13*Assumptions!$B$12/Projects!$D$13,0)+IF(AND(Projects!$G$14="Yes",80&gt;=Projects!$C$14,80&lt;Projects!$C$14+Projects!$D$14),Projects!$B$14*Assumptions!$B$12/Projects!$D$14,0)+IF(AND(Projects!$G$15="Yes",80&gt;=Projects!$C$15,80&lt;Projects!$C$15+Projects!$D$15),Projects!$B$15*Assumptions!$B$12/Projects!$D$15,0)+IF(AND(Projects!$G$16="Yes",80&gt;=Projects!$C$16,80&lt;Projects!$C$16+Projects!$D$16),Projects!$B$16*Assumptions!$B$12/Projects!$D$16,0)</f>
        <v>0</v>
      </c>
      <c r="CE10" s="10" t="n">
        <f aca="false">IF(AND(Projects!$G$2="Yes",81&gt;=Projects!$C$2,81&lt;Projects!$C$2+Projects!$D$2),46323/Projects!$D$2,0)+IF(AND(Projects!$G$3="Yes",81&gt;=Projects!$C$3,81&lt;Projects!$C$3+Projects!$D$3),176626/Projects!$D$3,0)+IF(AND(Projects!$G$4="Yes",81&gt;=Projects!$C$4,81&lt;Projects!$C$4+Projects!$D$4),Projects!$B$4*Assumptions!$B$12/Projects!$D$4,0)+IF(AND(Projects!$G$5="Yes",81&gt;=Projects!$C$5,81&lt;Projects!$C$5+Projects!$D$5),Projects!$B$5*Assumptions!$B$12/Projects!$D$5,0)+IF(AND(Projects!$G$6="Yes",81&gt;=Projects!$C$6,81&lt;Projects!$C$6+Projects!$D$6),0/Projects!$D$6,0)+IF(AND(Projects!$G$7="Yes",81&gt;=Projects!$C$7,81&lt;Projects!$C$7+Projects!$D$7),Projects!$B$7*Assumptions!$B$12/Projects!$D$7,0)+IF(AND(Projects!$G$8="Yes",81&gt;=Projects!$C$8,81&lt;Projects!$C$8+Projects!$D$8),Projects!$B$8*Assumptions!$B$12/Projects!$D$8,0)+IF(AND(Projects!$G$9="Yes",81&gt;=Projects!$C$9,81&lt;Projects!$C$9+Projects!$D$9),Projects!$B$9*Assumptions!$B$12/Projects!$D$9,0)+IF(AND(Projects!$G$10="Yes",81&gt;=Projects!$C$10,81&lt;Projects!$C$10+Projects!$D$10),Projects!$B$10*Assumptions!$B$12/Projects!$D$10,0)+IF(AND(Projects!$G$11="Yes",81&gt;=Projects!$C$11,81&lt;Projects!$C$11+Projects!$D$11),Projects!$B$11*Assumptions!$B$12/Projects!$D$11,0)+IF(AND(Projects!$G$12="Yes",81&gt;=Projects!$C$12,81&lt;Projects!$C$12+Projects!$D$12),Projects!$B$12*Assumptions!$B$12/Projects!$D$12,0)+IF(AND(Projects!$G$13="Yes",81&gt;=Projects!$C$13,81&lt;Projects!$C$13+Projects!$D$13),Projects!$B$13*Assumptions!$B$12/Projects!$D$13,0)+IF(AND(Projects!$G$14="Yes",81&gt;=Projects!$C$14,81&lt;Projects!$C$14+Projects!$D$14),Projects!$B$14*Assumptions!$B$12/Projects!$D$14,0)+IF(AND(Projects!$G$15="Yes",81&gt;=Projects!$C$15,81&lt;Projects!$C$15+Projects!$D$15),Projects!$B$15*Assumptions!$B$12/Projects!$D$15,0)+IF(AND(Projects!$G$16="Yes",81&gt;=Projects!$C$16,81&lt;Projects!$C$16+Projects!$D$16),Projects!$B$16*Assumptions!$B$12/Projects!$D$16,0)</f>
        <v>0</v>
      </c>
      <c r="CF10" s="10" t="n">
        <f aca="false">IF(AND(Projects!$G$2="Yes",82&gt;=Projects!$C$2,82&lt;Projects!$C$2+Projects!$D$2),46323/Projects!$D$2,0)+IF(AND(Projects!$G$3="Yes",82&gt;=Projects!$C$3,82&lt;Projects!$C$3+Projects!$D$3),176626/Projects!$D$3,0)+IF(AND(Projects!$G$4="Yes",82&gt;=Projects!$C$4,82&lt;Projects!$C$4+Projects!$D$4),Projects!$B$4*Assumptions!$B$12/Projects!$D$4,0)+IF(AND(Projects!$G$5="Yes",82&gt;=Projects!$C$5,82&lt;Projects!$C$5+Projects!$D$5),Projects!$B$5*Assumptions!$B$12/Projects!$D$5,0)+IF(AND(Projects!$G$6="Yes",82&gt;=Projects!$C$6,82&lt;Projects!$C$6+Projects!$D$6),0/Projects!$D$6,0)+IF(AND(Projects!$G$7="Yes",82&gt;=Projects!$C$7,82&lt;Projects!$C$7+Projects!$D$7),Projects!$B$7*Assumptions!$B$12/Projects!$D$7,0)+IF(AND(Projects!$G$8="Yes",82&gt;=Projects!$C$8,82&lt;Projects!$C$8+Projects!$D$8),Projects!$B$8*Assumptions!$B$12/Projects!$D$8,0)+IF(AND(Projects!$G$9="Yes",82&gt;=Projects!$C$9,82&lt;Projects!$C$9+Projects!$D$9),Projects!$B$9*Assumptions!$B$12/Projects!$D$9,0)+IF(AND(Projects!$G$10="Yes",82&gt;=Projects!$C$10,82&lt;Projects!$C$10+Projects!$D$10),Projects!$B$10*Assumptions!$B$12/Projects!$D$10,0)+IF(AND(Projects!$G$11="Yes",82&gt;=Projects!$C$11,82&lt;Projects!$C$11+Projects!$D$11),Projects!$B$11*Assumptions!$B$12/Projects!$D$11,0)+IF(AND(Projects!$G$12="Yes",82&gt;=Projects!$C$12,82&lt;Projects!$C$12+Projects!$D$12),Projects!$B$12*Assumptions!$B$12/Projects!$D$12,0)+IF(AND(Projects!$G$13="Yes",82&gt;=Projects!$C$13,82&lt;Projects!$C$13+Projects!$D$13),Projects!$B$13*Assumptions!$B$12/Projects!$D$13,0)+IF(AND(Projects!$G$14="Yes",82&gt;=Projects!$C$14,82&lt;Projects!$C$14+Projects!$D$14),Projects!$B$14*Assumptions!$B$12/Projects!$D$14,0)+IF(AND(Projects!$G$15="Yes",82&gt;=Projects!$C$15,82&lt;Projects!$C$15+Projects!$D$15),Projects!$B$15*Assumptions!$B$12/Projects!$D$15,0)+IF(AND(Projects!$G$16="Yes",82&gt;=Projects!$C$16,82&lt;Projects!$C$16+Projects!$D$16),Projects!$B$16*Assumptions!$B$12/Projects!$D$16,0)</f>
        <v>0</v>
      </c>
      <c r="CG10" s="10" t="n">
        <f aca="false">IF(AND(Projects!$G$2="Yes",83&gt;=Projects!$C$2,83&lt;Projects!$C$2+Projects!$D$2),46323/Projects!$D$2,0)+IF(AND(Projects!$G$3="Yes",83&gt;=Projects!$C$3,83&lt;Projects!$C$3+Projects!$D$3),176626/Projects!$D$3,0)+IF(AND(Projects!$G$4="Yes",83&gt;=Projects!$C$4,83&lt;Projects!$C$4+Projects!$D$4),Projects!$B$4*Assumptions!$B$12/Projects!$D$4,0)+IF(AND(Projects!$G$5="Yes",83&gt;=Projects!$C$5,83&lt;Projects!$C$5+Projects!$D$5),Projects!$B$5*Assumptions!$B$12/Projects!$D$5,0)+IF(AND(Projects!$G$6="Yes",83&gt;=Projects!$C$6,83&lt;Projects!$C$6+Projects!$D$6),0/Projects!$D$6,0)+IF(AND(Projects!$G$7="Yes",83&gt;=Projects!$C$7,83&lt;Projects!$C$7+Projects!$D$7),Projects!$B$7*Assumptions!$B$12/Projects!$D$7,0)+IF(AND(Projects!$G$8="Yes",83&gt;=Projects!$C$8,83&lt;Projects!$C$8+Projects!$D$8),Projects!$B$8*Assumptions!$B$12/Projects!$D$8,0)+IF(AND(Projects!$G$9="Yes",83&gt;=Projects!$C$9,83&lt;Projects!$C$9+Projects!$D$9),Projects!$B$9*Assumptions!$B$12/Projects!$D$9,0)+IF(AND(Projects!$G$10="Yes",83&gt;=Projects!$C$10,83&lt;Projects!$C$10+Projects!$D$10),Projects!$B$10*Assumptions!$B$12/Projects!$D$10,0)+IF(AND(Projects!$G$11="Yes",83&gt;=Projects!$C$11,83&lt;Projects!$C$11+Projects!$D$11),Projects!$B$11*Assumptions!$B$12/Projects!$D$11,0)+IF(AND(Projects!$G$12="Yes",83&gt;=Projects!$C$12,83&lt;Projects!$C$12+Projects!$D$12),Projects!$B$12*Assumptions!$B$12/Projects!$D$12,0)+IF(AND(Projects!$G$13="Yes",83&gt;=Projects!$C$13,83&lt;Projects!$C$13+Projects!$D$13),Projects!$B$13*Assumptions!$B$12/Projects!$D$13,0)+IF(AND(Projects!$G$14="Yes",83&gt;=Projects!$C$14,83&lt;Projects!$C$14+Projects!$D$14),Projects!$B$14*Assumptions!$B$12/Projects!$D$14,0)+IF(AND(Projects!$G$15="Yes",83&gt;=Projects!$C$15,83&lt;Projects!$C$15+Projects!$D$15),Projects!$B$15*Assumptions!$B$12/Projects!$D$15,0)+IF(AND(Projects!$G$16="Yes",83&gt;=Projects!$C$16,83&lt;Projects!$C$16+Projects!$D$16),Projects!$B$16*Assumptions!$B$12/Projects!$D$16,0)</f>
        <v>0</v>
      </c>
      <c r="CH10" s="10" t="n">
        <f aca="false">IF(AND(Projects!$G$2="Yes",84&gt;=Projects!$C$2,84&lt;Projects!$C$2+Projects!$D$2),46323/Projects!$D$2,0)+IF(AND(Projects!$G$3="Yes",84&gt;=Projects!$C$3,84&lt;Projects!$C$3+Projects!$D$3),176626/Projects!$D$3,0)+IF(AND(Projects!$G$4="Yes",84&gt;=Projects!$C$4,84&lt;Projects!$C$4+Projects!$D$4),Projects!$B$4*Assumptions!$B$12/Projects!$D$4,0)+IF(AND(Projects!$G$5="Yes",84&gt;=Projects!$C$5,84&lt;Projects!$C$5+Projects!$D$5),Projects!$B$5*Assumptions!$B$12/Projects!$D$5,0)+IF(AND(Projects!$G$6="Yes",84&gt;=Projects!$C$6,84&lt;Projects!$C$6+Projects!$D$6),0/Projects!$D$6,0)+IF(AND(Projects!$G$7="Yes",84&gt;=Projects!$C$7,84&lt;Projects!$C$7+Projects!$D$7),Projects!$B$7*Assumptions!$B$12/Projects!$D$7,0)+IF(AND(Projects!$G$8="Yes",84&gt;=Projects!$C$8,84&lt;Projects!$C$8+Projects!$D$8),Projects!$B$8*Assumptions!$B$12/Projects!$D$8,0)+IF(AND(Projects!$G$9="Yes",84&gt;=Projects!$C$9,84&lt;Projects!$C$9+Projects!$D$9),Projects!$B$9*Assumptions!$B$12/Projects!$D$9,0)+IF(AND(Projects!$G$10="Yes",84&gt;=Projects!$C$10,84&lt;Projects!$C$10+Projects!$D$10),Projects!$B$10*Assumptions!$B$12/Projects!$D$10,0)+IF(AND(Projects!$G$11="Yes",84&gt;=Projects!$C$11,84&lt;Projects!$C$11+Projects!$D$11),Projects!$B$11*Assumptions!$B$12/Projects!$D$11,0)+IF(AND(Projects!$G$12="Yes",84&gt;=Projects!$C$12,84&lt;Projects!$C$12+Projects!$D$12),Projects!$B$12*Assumptions!$B$12/Projects!$D$12,0)+IF(AND(Projects!$G$13="Yes",84&gt;=Projects!$C$13,84&lt;Projects!$C$13+Projects!$D$13),Projects!$B$13*Assumptions!$B$12/Projects!$D$13,0)+IF(AND(Projects!$G$14="Yes",84&gt;=Projects!$C$14,84&lt;Projects!$C$14+Projects!$D$14),Projects!$B$14*Assumptions!$B$12/Projects!$D$14,0)+IF(AND(Projects!$G$15="Yes",84&gt;=Projects!$C$15,84&lt;Projects!$C$15+Projects!$D$15),Projects!$B$15*Assumptions!$B$12/Projects!$D$15,0)+IF(AND(Projects!$G$16="Yes",84&gt;=Projects!$C$16,84&lt;Projects!$C$16+Projects!$D$16),Projects!$B$16*Assumptions!$B$12/Projects!$D$16,0)</f>
        <v>0</v>
      </c>
      <c r="CI10" s="25"/>
    </row>
    <row r="11" customFormat="false" ht="15" hidden="false" customHeight="true" outlineLevel="0" collapsed="false">
      <c r="A11" s="9" t="s">
        <v>61</v>
      </c>
      <c r="B11" s="24"/>
      <c r="C11" s="10" t="n">
        <f aca="false"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10" t="n">
        <f aca="false"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10" t="n">
        <f aca="false"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10" t="n">
        <f aca="false"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10" t="n">
        <f aca="false"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10" t="n">
        <f aca="false"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10" t="n">
        <f aca="false"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442059.825</v>
      </c>
      <c r="J11" s="10" t="n">
        <f aca="false"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</v>
      </c>
      <c r="K11" s="10" t="n">
        <f aca="false"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10" t="n">
        <f aca="false"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10" t="n">
        <f aca="false"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10" t="n">
        <f aca="false"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10" t="n">
        <f aca="false"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679001.55</v>
      </c>
      <c r="P11" s="10" t="n">
        <f aca="false"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10" t="n">
        <f aca="false"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10" t="n">
        <f aca="false"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10" t="n">
        <f aca="false"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10" t="n">
        <f aca="false"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10" t="n">
        <f aca="false"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10" t="n">
        <f aca="false"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10" t="n">
        <f aca="false"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10" t="n">
        <f aca="false"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10" t="n">
        <f aca="false"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10" t="n">
        <f aca="false"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10" t="n">
        <f aca="false"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10" t="n">
        <f aca="false"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10" t="n">
        <f aca="false"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10" t="n">
        <f aca="false"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10" t="n">
        <f aca="false"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10" t="n">
        <f aca="false"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10" t="n">
        <f aca="false"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10" t="n">
        <f aca="false"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10" t="n">
        <f aca="false"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10" t="n">
        <f aca="false"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10" t="n">
        <f aca="false"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10" t="n">
        <f aca="false"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10" t="n">
        <f aca="false"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10" t="n">
        <f aca="false"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10" t="n">
        <f aca="false"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10" t="n">
        <f aca="false"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10" t="n">
        <f aca="false"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10" t="n">
        <f aca="false"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10" t="n">
        <f aca="false"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10" t="n">
        <f aca="false"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10" t="n">
        <f aca="false"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10" t="n">
        <f aca="false"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10" t="n">
        <f aca="false"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10" t="n">
        <f aca="false"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10" t="n">
        <f aca="false"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10" t="n">
        <f aca="false"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10" t="n">
        <f aca="false"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10" t="n">
        <f aca="false"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10" t="n">
        <f aca="false"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10" t="n">
        <f aca="false"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10" t="n">
        <f aca="false"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10" t="n">
        <f aca="false"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10" t="n">
        <f aca="false"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10" t="n">
        <f aca="false"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10" t="n">
        <f aca="false"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10" t="n">
        <f aca="false"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10" t="n">
        <f aca="false"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10" t="n">
        <f aca="false"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10" t="n">
        <f aca="false"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10" t="n">
        <f aca="false"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10" t="n">
        <f aca="false"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10" t="n">
        <f aca="false"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10" t="n">
        <f aca="false"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10" t="n">
        <f aca="false"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10" t="n">
        <f aca="false"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10" t="n">
        <f aca="false"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10" t="n">
        <f aca="false"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10" t="n">
        <f aca="false"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10" t="n">
        <f aca="false"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10" t="n">
        <f aca="false"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10" t="n">
        <f aca="false"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10" t="n">
        <f aca="false"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10" t="n">
        <f aca="false"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10" t="n">
        <f aca="false"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10" t="n">
        <f aca="false"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10" t="n">
        <f aca="false"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10" t="n">
        <f aca="false"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10" t="n">
        <f aca="false"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10" t="n">
        <f aca="false"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10" t="n">
        <f aca="false"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5"/>
    </row>
    <row r="12" customFormat="false" ht="15" hidden="false" customHeight="true" outlineLevel="0" collapsed="false">
      <c r="A12" s="11" t="s">
        <v>15</v>
      </c>
      <c r="B12" s="30"/>
      <c r="C12" s="12" t="n">
        <f aca="false">C8+C9+C10+C11</f>
        <v>407525.044258373</v>
      </c>
      <c r="D12" s="12" t="n">
        <f aca="false">D8+D9+D10+D11</f>
        <v>407525.044258373</v>
      </c>
      <c r="E12" s="12" t="n">
        <f aca="false">E8+E9+E10+E11</f>
        <v>407525.044258373</v>
      </c>
      <c r="F12" s="12" t="n">
        <f aca="false">F8+F9+F10+F11</f>
        <v>1214811.03698565</v>
      </c>
      <c r="G12" s="12" t="n">
        <f aca="false">G8+G9+G10+G11</f>
        <v>570284.316985646</v>
      </c>
      <c r="H12" s="12" t="n">
        <f aca="false">H8+H9+H10+H11</f>
        <v>570284.316985646</v>
      </c>
      <c r="I12" s="12" t="n">
        <f aca="false">I8+I9+I10+I11</f>
        <v>1153856.48987241</v>
      </c>
      <c r="J12" s="12" t="n">
        <f aca="false">J8+J9+J10+J11</f>
        <v>1131426.74081938</v>
      </c>
      <c r="K12" s="12" t="n">
        <f aca="false">K8+K9+K10+K11</f>
        <v>751838.665819378</v>
      </c>
      <c r="L12" s="12" t="n">
        <f aca="false">L8+L9+L10+L11</f>
        <v>751838.665819378</v>
      </c>
      <c r="M12" s="12" t="n">
        <f aca="false">M8+M9+M10+M11</f>
        <v>751838.665819378</v>
      </c>
      <c r="N12" s="12" t="n">
        <f aca="false">N8+N9+N10+N11</f>
        <v>751838.665819378</v>
      </c>
      <c r="O12" s="12" t="n">
        <f aca="false">O8+O9+O10+O11</f>
        <v>1602305.25369817</v>
      </c>
      <c r="P12" s="12" t="n">
        <f aca="false">P8+P9+P10+P11</f>
        <v>923303.703698166</v>
      </c>
      <c r="Q12" s="12" t="n">
        <f aca="false">Q8+Q9+Q10+Q11</f>
        <v>923303.703698166</v>
      </c>
      <c r="R12" s="12" t="n">
        <f aca="false">R8+R9+R10+R11</f>
        <v>732654.31733453</v>
      </c>
      <c r="S12" s="12" t="n">
        <f aca="false">S8+S9+S10+S11</f>
        <v>606718.81733453</v>
      </c>
      <c r="T12" s="12" t="n">
        <f aca="false">T8+T9+T10+T11</f>
        <v>606718.81733453</v>
      </c>
      <c r="U12" s="12" t="n">
        <f aca="false">U8+U9+U10+U11</f>
        <v>606718.81733453</v>
      </c>
      <c r="V12" s="12" t="n">
        <f aca="false">V8+V9+V10+V11</f>
        <v>576415.659439793</v>
      </c>
      <c r="W12" s="12" t="n">
        <f aca="false">W8+W9+W10+W11</f>
        <v>576415.659439793</v>
      </c>
      <c r="X12" s="12" t="n">
        <f aca="false">X8+X9+X10+X11</f>
        <v>576415.659439793</v>
      </c>
      <c r="Y12" s="12" t="n">
        <f aca="false">Y8+Y9+Y10+Y11</f>
        <v>576415.659439793</v>
      </c>
      <c r="Z12" s="12" t="n">
        <f aca="false">Z8+Z9+Z10+Z11</f>
        <v>576415.659439793</v>
      </c>
      <c r="AA12" s="12" t="n">
        <f aca="false">AA8+AA9+AA10+AA11</f>
        <v>576415.659439793</v>
      </c>
      <c r="AB12" s="12" t="n">
        <f aca="false">AB8+AB9+AB10+AB11</f>
        <v>494921.807765152</v>
      </c>
      <c r="AC12" s="12" t="n">
        <f aca="false">AC8+AC9+AC10+AC11</f>
        <v>1271887.62109848</v>
      </c>
      <c r="AD12" s="12" t="n">
        <f aca="false">AD8+AD9+AD10+AD11</f>
        <v>651568.141098485</v>
      </c>
      <c r="AE12" s="12" t="n">
        <f aca="false">AE8+AE9+AE10+AE11</f>
        <v>651568.141098485</v>
      </c>
      <c r="AF12" s="12" t="n">
        <f aca="false">AF8+AF9+AF10+AF11</f>
        <v>651568.141098485</v>
      </c>
      <c r="AG12" s="12" t="n">
        <f aca="false">AG8+AG9+AG10+AG11</f>
        <v>651568.141098485</v>
      </c>
      <c r="AH12" s="12" t="n">
        <f aca="false">AH8+AH9+AH10+AH11</f>
        <v>550889.140151515</v>
      </c>
      <c r="AI12" s="12" t="n">
        <f aca="false">AI8+AI9+AI10+AI11</f>
        <v>550889.140151515</v>
      </c>
      <c r="AJ12" s="12" t="n">
        <f aca="false">AJ8+AJ9+AJ10+AJ11</f>
        <v>388129.867424242</v>
      </c>
      <c r="AK12" s="12" t="n">
        <f aca="false">AK8+AK9+AK10+AK11</f>
        <v>388129.867424242</v>
      </c>
      <c r="AL12" s="12" t="n">
        <f aca="false">AL8+AL9+AL10+AL11</f>
        <v>388129.867424242</v>
      </c>
      <c r="AM12" s="12" t="n">
        <f aca="false">AM8+AM9+AM10+AM11</f>
        <v>328111.371212121</v>
      </c>
      <c r="AN12" s="12" t="n">
        <f aca="false">AN8+AN9+AN10+AN11</f>
        <v>328111.371212121</v>
      </c>
      <c r="AO12" s="12" t="n">
        <f aca="false">AO8+AO9+AO10+AO11</f>
        <v>328111.371212121</v>
      </c>
      <c r="AP12" s="12" t="n">
        <f aca="false">AP8+AP9+AP10+AP11</f>
        <v>328111.371212121</v>
      </c>
      <c r="AQ12" s="12" t="n">
        <f aca="false">AQ8+AQ9+AQ10+AQ11</f>
        <v>328111.371212121</v>
      </c>
      <c r="AR12" s="12" t="n">
        <f aca="false">AR8+AR9+AR10+AR11</f>
        <v>328111.371212121</v>
      </c>
      <c r="AS12" s="12" t="n">
        <f aca="false">AS8+AS9+AS10+AS11</f>
        <v>156646.333333333</v>
      </c>
      <c r="AT12" s="12" t="n">
        <f aca="false">AT8+AT9+AT10+AT11</f>
        <v>156646.333333333</v>
      </c>
      <c r="AU12" s="12" t="n">
        <f aca="false">AU8+AU9+AU10+AU11</f>
        <v>156646.333333333</v>
      </c>
      <c r="AV12" s="12" t="n">
        <f aca="false">AV8+AV9+AV10+AV11</f>
        <v>156646.333333333</v>
      </c>
      <c r="AW12" s="12" t="n">
        <f aca="false">AW8+AW9+AW10+AW11</f>
        <v>156646.333333333</v>
      </c>
      <c r="AX12" s="12" t="n">
        <f aca="false">AX8+AX9+AX10+AX11</f>
        <v>156646.333333333</v>
      </c>
      <c r="AY12" s="12" t="n">
        <f aca="false">AY8+AY9+AY10+AY11</f>
        <v>156646.333333333</v>
      </c>
      <c r="AZ12" s="12" t="n">
        <f aca="false">AZ8+AZ9+AZ10+AZ11</f>
        <v>156646.333333333</v>
      </c>
      <c r="BA12" s="12" t="n">
        <f aca="false">BA8+BA9+BA10+BA11</f>
        <v>156646.333333333</v>
      </c>
      <c r="BB12" s="12" t="n">
        <f aca="false">BB8+BB9+BB10+BB11</f>
        <v>156646.333333333</v>
      </c>
      <c r="BC12" s="12" t="n">
        <f aca="false">BC8+BC9+BC10+BC11</f>
        <v>156646.333333333</v>
      </c>
      <c r="BD12" s="12" t="n">
        <f aca="false">BD8+BD9+BD10+BD11</f>
        <v>156646.333333333</v>
      </c>
      <c r="BE12" s="12" t="n">
        <f aca="false">BE8+BE9+BE10+BE11</f>
        <v>156646.333333333</v>
      </c>
      <c r="BF12" s="12" t="n">
        <f aca="false">BF8+BF9+BF10+BF11</f>
        <v>156646.333333333</v>
      </c>
      <c r="BG12" s="12" t="n">
        <f aca="false">BG8+BG9+BG10+BG11</f>
        <v>0</v>
      </c>
      <c r="BH12" s="12" t="n">
        <f aca="false">BH8+BH9+BH10+BH11</f>
        <v>0</v>
      </c>
      <c r="BI12" s="12" t="n">
        <f aca="false">BI8+BI9+BI10+BI11</f>
        <v>0</v>
      </c>
      <c r="BJ12" s="12" t="n">
        <f aca="false">BJ8+BJ9+BJ10+BJ11</f>
        <v>0</v>
      </c>
      <c r="BK12" s="12" t="n">
        <f aca="false">BK8+BK9+BK10+BK11</f>
        <v>0</v>
      </c>
      <c r="BL12" s="12" t="n">
        <f aca="false">BL8+BL9+BL10+BL11</f>
        <v>0</v>
      </c>
      <c r="BM12" s="12" t="n">
        <f aca="false">BM8+BM9+BM10+BM11</f>
        <v>0</v>
      </c>
      <c r="BN12" s="12" t="n">
        <f aca="false">BN8+BN9+BN10+BN11</f>
        <v>0</v>
      </c>
      <c r="BO12" s="12" t="n">
        <f aca="false">BO8+BO9+BO10+BO11</f>
        <v>0</v>
      </c>
      <c r="BP12" s="12" t="n">
        <f aca="false">BP8+BP9+BP10+BP11</f>
        <v>0</v>
      </c>
      <c r="BQ12" s="12" t="n">
        <f aca="false">BQ8+BQ9+BQ10+BQ11</f>
        <v>0</v>
      </c>
      <c r="BR12" s="12" t="n">
        <f aca="false">BR8+BR9+BR10+BR11</f>
        <v>0</v>
      </c>
      <c r="BS12" s="12" t="n">
        <f aca="false">BS8+BS9+BS10+BS11</f>
        <v>0</v>
      </c>
      <c r="BT12" s="12" t="n">
        <f aca="false">BT8+BT9+BT10+BT11</f>
        <v>0</v>
      </c>
      <c r="BU12" s="12" t="n">
        <f aca="false">BU8+BU9+BU10+BU11</f>
        <v>0</v>
      </c>
      <c r="BV12" s="12" t="n">
        <f aca="false">BV8+BV9+BV10+BV11</f>
        <v>0</v>
      </c>
      <c r="BW12" s="12" t="n">
        <f aca="false">BW8+BW9+BW10+BW11</f>
        <v>0</v>
      </c>
      <c r="BX12" s="12" t="n">
        <f aca="false">BX8+BX9+BX10+BX11</f>
        <v>0</v>
      </c>
      <c r="BY12" s="12" t="n">
        <f aca="false">BY8+BY9+BY10+BY11</f>
        <v>0</v>
      </c>
      <c r="BZ12" s="12" t="n">
        <f aca="false">BZ8+BZ9+BZ10+BZ11</f>
        <v>0</v>
      </c>
      <c r="CA12" s="12" t="n">
        <f aca="false">CA8+CA9+CA10+CA11</f>
        <v>0</v>
      </c>
      <c r="CB12" s="12" t="n">
        <f aca="false">CB8+CB9+CB10+CB11</f>
        <v>0</v>
      </c>
      <c r="CC12" s="12" t="n">
        <f aca="false">CC8+CC9+CC10+CC11</f>
        <v>0</v>
      </c>
      <c r="CD12" s="12" t="n">
        <f aca="false">CD8+CD9+CD10+CD11</f>
        <v>0</v>
      </c>
      <c r="CE12" s="12" t="n">
        <f aca="false">CE8+CE9+CE10+CE11</f>
        <v>0</v>
      </c>
      <c r="CF12" s="12" t="n">
        <f aca="false">CF8+CF9+CF10+CF11</f>
        <v>0</v>
      </c>
      <c r="CG12" s="12" t="n">
        <f aca="false">CG8+CG9+CG10+CG11</f>
        <v>0</v>
      </c>
      <c r="CH12" s="12" t="n">
        <f aca="false">CH8+CH9+CH10+CH11</f>
        <v>0</v>
      </c>
      <c r="CI12" s="25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5"/>
    </row>
    <row r="14" customFormat="false" ht="15" hidden="false" customHeight="true" outlineLevel="0" collapsed="false">
      <c r="A14" s="8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25"/>
    </row>
    <row r="15" customFormat="false" ht="15" hidden="false" customHeight="true" outlineLevel="0" collapsed="false">
      <c r="A15" s="9" t="s">
        <v>62</v>
      </c>
      <c r="B15" s="24"/>
      <c r="C15" s="10" t="n">
        <f aca="false"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-0</v>
      </c>
      <c r="D15" s="10" t="n">
        <f aca="false"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-0</v>
      </c>
      <c r="E15" s="10" t="n">
        <f aca="false"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-0</v>
      </c>
      <c r="F15" s="10" t="n">
        <f aca="false"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</v>
      </c>
      <c r="G15" s="10" t="n">
        <f aca="false"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-0</v>
      </c>
      <c r="H15" s="10" t="n">
        <f aca="false"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-0</v>
      </c>
      <c r="I15" s="10" t="n">
        <f aca="false"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</v>
      </c>
      <c r="J15" s="10" t="n">
        <f aca="false"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</v>
      </c>
      <c r="K15" s="10" t="n">
        <f aca="false"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-0</v>
      </c>
      <c r="L15" s="10" t="n">
        <f aca="false"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-0</v>
      </c>
      <c r="M15" s="10" t="n">
        <f aca="false"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-0</v>
      </c>
      <c r="N15" s="10" t="n">
        <f aca="false"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-0</v>
      </c>
      <c r="O15" s="10" t="n">
        <f aca="false"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</v>
      </c>
      <c r="P15" s="10" t="n">
        <f aca="false"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-0</v>
      </c>
      <c r="Q15" s="10" t="n">
        <f aca="false"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-0</v>
      </c>
      <c r="R15" s="10" t="n">
        <f aca="false"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-0</v>
      </c>
      <c r="S15" s="10" t="n">
        <f aca="false"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-0</v>
      </c>
      <c r="T15" s="10" t="n">
        <f aca="false"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-0</v>
      </c>
      <c r="U15" s="10" t="n">
        <f aca="false"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-0</v>
      </c>
      <c r="V15" s="10" t="n">
        <f aca="false"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-0</v>
      </c>
      <c r="W15" s="10" t="n">
        <f aca="false"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-0</v>
      </c>
      <c r="X15" s="10" t="n">
        <f aca="false"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-0</v>
      </c>
      <c r="Y15" s="10" t="n">
        <f aca="false"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-0</v>
      </c>
      <c r="Z15" s="10" t="n">
        <f aca="false"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-0</v>
      </c>
      <c r="AA15" s="10" t="n">
        <f aca="false"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-0</v>
      </c>
      <c r="AB15" s="10" t="n">
        <f aca="false"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-0</v>
      </c>
      <c r="AC15" s="10" t="n">
        <f aca="false"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10" t="n">
        <f aca="false"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-0</v>
      </c>
      <c r="AE15" s="10" t="n">
        <f aca="false"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-0</v>
      </c>
      <c r="AF15" s="10" t="n">
        <f aca="false"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-0</v>
      </c>
      <c r="AG15" s="10" t="n">
        <f aca="false"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-0</v>
      </c>
      <c r="AH15" s="10" t="n">
        <f aca="false"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-0</v>
      </c>
      <c r="AI15" s="10" t="n">
        <f aca="false"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-0</v>
      </c>
      <c r="AJ15" s="10" t="n">
        <f aca="false"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-0</v>
      </c>
      <c r="AK15" s="10" t="n">
        <f aca="false"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-0</v>
      </c>
      <c r="AL15" s="10" t="n">
        <f aca="false"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-0</v>
      </c>
      <c r="AM15" s="10" t="n">
        <f aca="false"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-0</v>
      </c>
      <c r="AN15" s="10" t="n">
        <f aca="false"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-0</v>
      </c>
      <c r="AO15" s="10" t="n">
        <f aca="false"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-0</v>
      </c>
      <c r="AP15" s="10" t="n">
        <f aca="false"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-0</v>
      </c>
      <c r="AQ15" s="10" t="n">
        <f aca="false"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-0</v>
      </c>
      <c r="AR15" s="10" t="n">
        <f aca="false"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-0</v>
      </c>
      <c r="AS15" s="10" t="n">
        <f aca="false"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-0</v>
      </c>
      <c r="AT15" s="10" t="n">
        <f aca="false"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-0</v>
      </c>
      <c r="AU15" s="10" t="n">
        <f aca="false"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-0</v>
      </c>
      <c r="AV15" s="10" t="n">
        <f aca="false"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-0</v>
      </c>
      <c r="AW15" s="10" t="n">
        <f aca="false"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-0</v>
      </c>
      <c r="AX15" s="10" t="n">
        <f aca="false"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-0</v>
      </c>
      <c r="AY15" s="10" t="n">
        <f aca="false"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-0</v>
      </c>
      <c r="AZ15" s="10" t="n">
        <f aca="false"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-0</v>
      </c>
      <c r="BA15" s="10" t="n">
        <f aca="false"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-0</v>
      </c>
      <c r="BB15" s="10" t="n">
        <f aca="false"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-0</v>
      </c>
      <c r="BC15" s="10" t="n">
        <f aca="false"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-0</v>
      </c>
      <c r="BD15" s="10" t="n">
        <f aca="false"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-0</v>
      </c>
      <c r="BE15" s="10" t="n">
        <f aca="false"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-0</v>
      </c>
      <c r="BF15" s="10" t="n">
        <f aca="false"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-0</v>
      </c>
      <c r="BG15" s="10" t="n">
        <f aca="false"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-0</v>
      </c>
      <c r="BH15" s="10" t="n">
        <f aca="false"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-0</v>
      </c>
      <c r="BI15" s="10" t="n">
        <f aca="false"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-0</v>
      </c>
      <c r="BJ15" s="10" t="n">
        <f aca="false"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-0</v>
      </c>
      <c r="BK15" s="10" t="n">
        <f aca="false"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-0</v>
      </c>
      <c r="BL15" s="10" t="n">
        <f aca="false"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-0</v>
      </c>
      <c r="BM15" s="10" t="n">
        <f aca="false"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-0</v>
      </c>
      <c r="BN15" s="10" t="n">
        <f aca="false"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-0</v>
      </c>
      <c r="BO15" s="10" t="n">
        <f aca="false"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-0</v>
      </c>
      <c r="BP15" s="10" t="n">
        <f aca="false"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-0</v>
      </c>
      <c r="BQ15" s="10" t="n">
        <f aca="false"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-0</v>
      </c>
      <c r="BR15" s="10" t="n">
        <f aca="false"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-0</v>
      </c>
      <c r="BS15" s="10" t="n">
        <f aca="false"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-0</v>
      </c>
      <c r="BT15" s="10" t="n">
        <f aca="false"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-0</v>
      </c>
      <c r="BU15" s="10" t="n">
        <f aca="false"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-0</v>
      </c>
      <c r="BV15" s="10" t="n">
        <f aca="false"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-0</v>
      </c>
      <c r="BW15" s="10" t="n">
        <f aca="false"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-0</v>
      </c>
      <c r="BX15" s="10" t="n">
        <f aca="false"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-0</v>
      </c>
      <c r="BY15" s="10" t="n">
        <f aca="false"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-0</v>
      </c>
      <c r="BZ15" s="10" t="n">
        <f aca="false"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-0</v>
      </c>
      <c r="CA15" s="10" t="n">
        <f aca="false"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-0</v>
      </c>
      <c r="CB15" s="10" t="n">
        <f aca="false"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-0</v>
      </c>
      <c r="CC15" s="10" t="n">
        <f aca="false"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-0</v>
      </c>
      <c r="CD15" s="10" t="n">
        <f aca="false"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-0</v>
      </c>
      <c r="CE15" s="10" t="n">
        <f aca="false"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-0</v>
      </c>
      <c r="CF15" s="10" t="n">
        <f aca="false"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-0</v>
      </c>
      <c r="CG15" s="10" t="n">
        <f aca="false"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-0</v>
      </c>
      <c r="CH15" s="10" t="n">
        <f aca="false"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-0</v>
      </c>
      <c r="CI15" s="25"/>
    </row>
    <row r="16" customFormat="false" ht="15" hidden="false" customHeight="true" outlineLevel="0" collapsed="false">
      <c r="A16" s="9" t="s">
        <v>63</v>
      </c>
      <c r="B16" s="24"/>
      <c r="C16" s="10" t="n">
        <f aca="false"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)*Escalation!$B$2</f>
        <v>-190991</v>
      </c>
      <c r="D16" s="10" t="n">
        <f aca="false"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)*Escalation!$B$3</f>
        <v>-227241</v>
      </c>
      <c r="E16" s="10" t="n">
        <f aca="false"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)*Escalation!$B$4</f>
        <v>-257241</v>
      </c>
      <c r="F16" s="10" t="n">
        <f aca="false"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)*Escalation!$B$5</f>
        <v>-257241</v>
      </c>
      <c r="G16" s="10" t="n">
        <f aca="false"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)*Escalation!$B$6</f>
        <v>-257241</v>
      </c>
      <c r="H16" s="10" t="n">
        <f aca="false"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)*Escalation!$B$7</f>
        <v>-257241</v>
      </c>
      <c r="I16" s="10" t="n">
        <f aca="false"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)*Escalation!$B$8</f>
        <v>-257241</v>
      </c>
      <c r="J16" s="10" t="n">
        <f aca="false"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)*Escalation!$B$9</f>
        <v>-257241</v>
      </c>
      <c r="K16" s="10" t="n">
        <f aca="false"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)*Escalation!$B$10</f>
        <v>-257241</v>
      </c>
      <c r="L16" s="10" t="n">
        <f aca="false"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)*Escalation!$B$11</f>
        <v>-257241</v>
      </c>
      <c r="M16" s="10" t="n">
        <f aca="false"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)*Escalation!$B$12</f>
        <v>-257241</v>
      </c>
      <c r="N16" s="10" t="n">
        <f aca="false"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)*Escalation!$B$13</f>
        <v>-257241</v>
      </c>
      <c r="O16" s="10" t="n">
        <f aca="false"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)*Escalation!$B$14</f>
        <v>-262385.82</v>
      </c>
      <c r="P16" s="10" t="n">
        <f aca="false"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)*Escalation!$B$15</f>
        <v>-262385.82</v>
      </c>
      <c r="Q16" s="10" t="n">
        <f aca="false"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)*Escalation!$B$16</f>
        <v>-262385.82</v>
      </c>
      <c r="R16" s="10" t="n">
        <f aca="false"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)*Escalation!$B$17</f>
        <v>-262385.82</v>
      </c>
      <c r="S16" s="10" t="n">
        <f aca="false"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)*Escalation!$B$18</f>
        <v>-262385.82</v>
      </c>
      <c r="T16" s="10" t="n">
        <f aca="false"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)*Escalation!$B$19</f>
        <v>-262385.82</v>
      </c>
      <c r="U16" s="10" t="n">
        <f aca="false"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)*Escalation!$B$20</f>
        <v>-262385.82</v>
      </c>
      <c r="V16" s="10" t="n">
        <f aca="false"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)*Escalation!$B$21</f>
        <v>-262385.82</v>
      </c>
      <c r="W16" s="10" t="n">
        <f aca="false"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)*Escalation!$B$22</f>
        <v>-262385.82</v>
      </c>
      <c r="X16" s="10" t="n">
        <f aca="false"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)*Escalation!$B$23</f>
        <v>-262385.82</v>
      </c>
      <c r="Y16" s="10" t="n">
        <f aca="false"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)*Escalation!$B$24</f>
        <v>-262385.82</v>
      </c>
      <c r="Z16" s="10" t="n">
        <f aca="false"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)*Escalation!$B$25</f>
        <v>-262385.82</v>
      </c>
      <c r="AA16" s="10" t="n">
        <f aca="false"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)*Escalation!$B$26</f>
        <v>-267633.5364</v>
      </c>
      <c r="AB16" s="10" t="n">
        <f aca="false"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)*Escalation!$B$27</f>
        <v>-267633.5364</v>
      </c>
      <c r="AC16" s="10" t="n">
        <f aca="false"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)*Escalation!$B$28</f>
        <v>-267633.5364</v>
      </c>
      <c r="AD16" s="10" t="n">
        <f aca="false"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)*Escalation!$B$29</f>
        <v>-267633.5364</v>
      </c>
      <c r="AE16" s="10" t="n">
        <f aca="false"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)*Escalation!$B$30</f>
        <v>-267633.5364</v>
      </c>
      <c r="AF16" s="10" t="n">
        <f aca="false"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)*Escalation!$B$31</f>
        <v>-267633.5364</v>
      </c>
      <c r="AG16" s="10" t="n">
        <f aca="false"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)*Escalation!$B$32</f>
        <v>-267633.5364</v>
      </c>
      <c r="AH16" s="10" t="n">
        <f aca="false"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)*Escalation!$B$33</f>
        <v>-267633.5364</v>
      </c>
      <c r="AI16" s="10" t="n">
        <f aca="false"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)*Escalation!$B$34</f>
        <v>-267633.5364</v>
      </c>
      <c r="AJ16" s="10" t="n">
        <f aca="false"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)*Escalation!$B$35</f>
        <v>-267633.5364</v>
      </c>
      <c r="AK16" s="10" t="n">
        <f aca="false"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)*Escalation!$B$36</f>
        <v>-267633.5364</v>
      </c>
      <c r="AL16" s="10" t="n">
        <f aca="false"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)*Escalation!$B$37</f>
        <v>-267633.5364</v>
      </c>
      <c r="AM16" s="10" t="n">
        <f aca="false"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)*Escalation!$B$38</f>
        <v>-272986.207128</v>
      </c>
      <c r="AN16" s="10" t="n">
        <f aca="false"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)*Escalation!$B$39</f>
        <v>-272986.207128</v>
      </c>
      <c r="AO16" s="10" t="n">
        <f aca="false"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)*Escalation!$B$40</f>
        <v>-272986.207128</v>
      </c>
      <c r="AP16" s="10" t="n">
        <f aca="false"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)*Escalation!$B$41</f>
        <v>-272986.207128</v>
      </c>
      <c r="AQ16" s="10" t="n">
        <f aca="false"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)*Escalation!$B$42</f>
        <v>-272986.207128</v>
      </c>
      <c r="AR16" s="10" t="n">
        <f aca="false"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)*Escalation!$B$43</f>
        <v>-272986.207128</v>
      </c>
      <c r="AS16" s="10" t="n">
        <f aca="false"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)*Escalation!$B$44</f>
        <v>-272986.207128</v>
      </c>
      <c r="AT16" s="10" t="n">
        <f aca="false"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)*Escalation!$B$45</f>
        <v>-272986.207128</v>
      </c>
      <c r="AU16" s="10" t="n">
        <f aca="false"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)*Escalation!$B$46</f>
        <v>-272986.207128</v>
      </c>
      <c r="AV16" s="10" t="n">
        <f aca="false"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)*Escalation!$B$47</f>
        <v>-272986.207128</v>
      </c>
      <c r="AW16" s="10" t="n">
        <f aca="false"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)*Escalation!$B$48</f>
        <v>-272986.207128</v>
      </c>
      <c r="AX16" s="10" t="n">
        <f aca="false"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)*Escalation!$B$49</f>
        <v>-272986.207128</v>
      </c>
      <c r="AY16" s="10" t="n">
        <f aca="false"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)*Escalation!$B$50</f>
        <v>-278445.93127056</v>
      </c>
      <c r="AZ16" s="10" t="n">
        <f aca="false"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)*Escalation!$B$51</f>
        <v>-278445.93127056</v>
      </c>
      <c r="BA16" s="10" t="n">
        <f aca="false"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)*Escalation!$B$52</f>
        <v>-278445.93127056</v>
      </c>
      <c r="BB16" s="10" t="n">
        <f aca="false"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)*Escalation!$B$53</f>
        <v>-278445.93127056</v>
      </c>
      <c r="BC16" s="10" t="n">
        <f aca="false"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)*Escalation!$B$54</f>
        <v>-278445.93127056</v>
      </c>
      <c r="BD16" s="10" t="n">
        <f aca="false"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)*Escalation!$B$55</f>
        <v>-278445.93127056</v>
      </c>
      <c r="BE16" s="10" t="n">
        <f aca="false"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)*Escalation!$B$56</f>
        <v>-278445.93127056</v>
      </c>
      <c r="BF16" s="10" t="n">
        <f aca="false"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)*Escalation!$B$57</f>
        <v>-278445.93127056</v>
      </c>
      <c r="BG16" s="10" t="n">
        <f aca="false"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)*Escalation!$B$58</f>
        <v>-278445.93127056</v>
      </c>
      <c r="BH16" s="10" t="n">
        <f aca="false"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)*Escalation!$B$59</f>
        <v>-278445.93127056</v>
      </c>
      <c r="BI16" s="10" t="n">
        <f aca="false"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)*Escalation!$B$60</f>
        <v>-278445.93127056</v>
      </c>
      <c r="BJ16" s="10" t="n">
        <f aca="false"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)*Escalation!$B$61</f>
        <v>-278445.93127056</v>
      </c>
      <c r="BK16" s="10" t="n">
        <f aca="false"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)*Escalation!$B$62</f>
        <v>-284014.849895971</v>
      </c>
      <c r="BL16" s="10" t="n">
        <f aca="false"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)*Escalation!$B$63</f>
        <v>-284014.849895971</v>
      </c>
      <c r="BM16" s="10" t="n">
        <f aca="false"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)*Escalation!$B$64</f>
        <v>-284014.849895971</v>
      </c>
      <c r="BN16" s="10" t="n">
        <f aca="false"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)*Escalation!$B$65</f>
        <v>-284014.849895971</v>
      </c>
      <c r="BO16" s="10" t="n">
        <f aca="false"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)*Escalation!$B$66</f>
        <v>-284014.849895971</v>
      </c>
      <c r="BP16" s="10" t="n">
        <f aca="false"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)*Escalation!$B$67</f>
        <v>-284014.849895971</v>
      </c>
      <c r="BQ16" s="10" t="n">
        <f aca="false"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)*Escalation!$B$68</f>
        <v>-284014.849895971</v>
      </c>
      <c r="BR16" s="10" t="n">
        <f aca="false"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)*Escalation!$B$69</f>
        <v>-284014.849895971</v>
      </c>
      <c r="BS16" s="10" t="n">
        <f aca="false"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)*Escalation!$B$70</f>
        <v>-284014.849895971</v>
      </c>
      <c r="BT16" s="10" t="n">
        <f aca="false"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)*Escalation!$B$71</f>
        <v>-284014.849895971</v>
      </c>
      <c r="BU16" s="10" t="n">
        <f aca="false"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)*Escalation!$B$72</f>
        <v>-284014.849895971</v>
      </c>
      <c r="BV16" s="10" t="n">
        <f aca="false"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)*Escalation!$B$73</f>
        <v>-284014.849895971</v>
      </c>
      <c r="BW16" s="10" t="n">
        <f aca="false"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)*Escalation!$B$74</f>
        <v>-289695.146893891</v>
      </c>
      <c r="BX16" s="10" t="n">
        <f aca="false"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)*Escalation!$B$75</f>
        <v>-289695.146893891</v>
      </c>
      <c r="BY16" s="10" t="n">
        <f aca="false"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)*Escalation!$B$76</f>
        <v>-289695.146893891</v>
      </c>
      <c r="BZ16" s="10" t="n">
        <f aca="false"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)*Escalation!$B$77</f>
        <v>-289695.146893891</v>
      </c>
      <c r="CA16" s="10" t="n">
        <f aca="false"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)*Escalation!$B$78</f>
        <v>-289695.146893891</v>
      </c>
      <c r="CB16" s="10" t="n">
        <f aca="false"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)*Escalation!$B$79</f>
        <v>-289695.146893891</v>
      </c>
      <c r="CC16" s="10" t="n">
        <f aca="false"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)*Escalation!$B$80</f>
        <v>-289695.146893891</v>
      </c>
      <c r="CD16" s="10" t="n">
        <f aca="false"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)*Escalation!$B$81</f>
        <v>-289695.146893891</v>
      </c>
      <c r="CE16" s="10" t="n">
        <f aca="false"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)*Escalation!$B$82</f>
        <v>-289695.146893891</v>
      </c>
      <c r="CF16" s="10" t="n">
        <f aca="false"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)*Escalation!$B$83</f>
        <v>-289695.146893891</v>
      </c>
      <c r="CG16" s="10" t="n">
        <f aca="false"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)*Escalation!$B$84</f>
        <v>-289695.146893891</v>
      </c>
      <c r="CH16" s="10" t="n">
        <f aca="false"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)*Escalation!$B$85</f>
        <v>-289695.146893891</v>
      </c>
      <c r="CI16" s="25"/>
    </row>
    <row r="17" customFormat="false" ht="15" hidden="false" customHeight="true" outlineLevel="0" collapsed="false">
      <c r="A17" s="9" t="s">
        <v>64</v>
      </c>
      <c r="B17" s="24"/>
      <c r="C17" s="10" t="n">
        <f aca="false"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>-54583.3333333333</v>
      </c>
      <c r="D17" s="10" t="n">
        <f aca="false"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>-54583.3333333333</v>
      </c>
      <c r="E17" s="10" t="n">
        <f aca="false"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>-54583.3333333333</v>
      </c>
      <c r="F17" s="10" t="n">
        <f aca="false"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>-54583.3333333333</v>
      </c>
      <c r="G17" s="10" t="n">
        <f aca="false"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>-54583.3333333333</v>
      </c>
      <c r="H17" s="10" t="n">
        <f aca="false"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>-54583.3333333333</v>
      </c>
      <c r="I17" s="10" t="n">
        <f aca="false"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>-54583.3333333333</v>
      </c>
      <c r="J17" s="10" t="n">
        <f aca="false"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>-54583.3333333333</v>
      </c>
      <c r="K17" s="10" t="n">
        <f aca="false"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>-54583.3333333333</v>
      </c>
      <c r="L17" s="10" t="n">
        <f aca="false"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>-54583.3333333333</v>
      </c>
      <c r="M17" s="10" t="n">
        <f aca="false"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>-54583.3333333333</v>
      </c>
      <c r="N17" s="10" t="n">
        <f aca="false"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>-54583.3333333333</v>
      </c>
      <c r="O17" s="10" t="n">
        <f aca="false"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>-55675</v>
      </c>
      <c r="P17" s="10" t="n">
        <f aca="false"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>-55675</v>
      </c>
      <c r="Q17" s="10" t="n">
        <f aca="false"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>-55675</v>
      </c>
      <c r="R17" s="10" t="n">
        <f aca="false"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>-55675</v>
      </c>
      <c r="S17" s="10" t="n">
        <f aca="false"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>-55675</v>
      </c>
      <c r="T17" s="10" t="n">
        <f aca="false"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>-55675</v>
      </c>
      <c r="U17" s="10" t="n">
        <f aca="false"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>-55675</v>
      </c>
      <c r="V17" s="10" t="n">
        <f aca="false"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>-55675</v>
      </c>
      <c r="W17" s="10" t="n">
        <f aca="false"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>-55675</v>
      </c>
      <c r="X17" s="10" t="n">
        <f aca="false"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>-55675</v>
      </c>
      <c r="Y17" s="10" t="n">
        <f aca="false"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>-55675</v>
      </c>
      <c r="Z17" s="10" t="n">
        <f aca="false"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>-55675</v>
      </c>
      <c r="AA17" s="10" t="n">
        <f aca="false"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>-56788.5</v>
      </c>
      <c r="AB17" s="10" t="n">
        <f aca="false"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>-56788.5</v>
      </c>
      <c r="AC17" s="10" t="n">
        <f aca="false"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>-56788.5</v>
      </c>
      <c r="AD17" s="10" t="n">
        <f aca="false"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>-56788.5</v>
      </c>
      <c r="AE17" s="10" t="n">
        <f aca="false"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>-56788.5</v>
      </c>
      <c r="AF17" s="10" t="n">
        <f aca="false"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>-56788.5</v>
      </c>
      <c r="AG17" s="10" t="n">
        <f aca="false"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>-56788.5</v>
      </c>
      <c r="AH17" s="10" t="n">
        <f aca="false"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>-56788.5</v>
      </c>
      <c r="AI17" s="10" t="n">
        <f aca="false"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>-56788.5</v>
      </c>
      <c r="AJ17" s="10" t="n">
        <f aca="false"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>-56788.5</v>
      </c>
      <c r="AK17" s="10" t="n">
        <f aca="false"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>-56788.5</v>
      </c>
      <c r="AL17" s="10" t="n">
        <f aca="false"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>-56788.5</v>
      </c>
      <c r="AM17" s="10" t="n">
        <f aca="false"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>-57924.27</v>
      </c>
      <c r="AN17" s="10" t="n">
        <f aca="false"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>-57924.27</v>
      </c>
      <c r="AO17" s="10" t="n">
        <f aca="false"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>-57924.27</v>
      </c>
      <c r="AP17" s="10" t="n">
        <f aca="false"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>-57924.27</v>
      </c>
      <c r="AQ17" s="10" t="n">
        <f aca="false"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>-57924.27</v>
      </c>
      <c r="AR17" s="10" t="n">
        <f aca="false"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>-57924.27</v>
      </c>
      <c r="AS17" s="10" t="n">
        <f aca="false"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>-57924.27</v>
      </c>
      <c r="AT17" s="10" t="n">
        <f aca="false"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>-57924.27</v>
      </c>
      <c r="AU17" s="10" t="n">
        <f aca="false"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>-57924.27</v>
      </c>
      <c r="AV17" s="10" t="n">
        <f aca="false"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>-57924.27</v>
      </c>
      <c r="AW17" s="10" t="n">
        <f aca="false"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>-57924.27</v>
      </c>
      <c r="AX17" s="10" t="n">
        <f aca="false"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>-57924.27</v>
      </c>
      <c r="AY17" s="10" t="n">
        <f aca="false"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>-59082.7554</v>
      </c>
      <c r="AZ17" s="10" t="n">
        <f aca="false"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>-59082.7554</v>
      </c>
      <c r="BA17" s="10" t="n">
        <f aca="false"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>-59082.7554</v>
      </c>
      <c r="BB17" s="10" t="n">
        <f aca="false"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>-59082.7554</v>
      </c>
      <c r="BC17" s="10" t="n">
        <f aca="false"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>-59082.7554</v>
      </c>
      <c r="BD17" s="10" t="n">
        <f aca="false"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>-59082.7554</v>
      </c>
      <c r="BE17" s="10" t="n">
        <f aca="false"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>-59082.7554</v>
      </c>
      <c r="BF17" s="10" t="n">
        <f aca="false"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>-59082.7554</v>
      </c>
      <c r="BG17" s="10" t="n">
        <f aca="false"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>-59082.7554</v>
      </c>
      <c r="BH17" s="10" t="n">
        <f aca="false"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>-59082.7554</v>
      </c>
      <c r="BI17" s="10" t="n">
        <f aca="false"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>-59082.7554</v>
      </c>
      <c r="BJ17" s="10" t="n">
        <f aca="false"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>-59082.7554</v>
      </c>
      <c r="BK17" s="10" t="n">
        <f aca="false"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>-60264.410508</v>
      </c>
      <c r="BL17" s="10" t="n">
        <f aca="false"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>-60264.410508</v>
      </c>
      <c r="BM17" s="10" t="n">
        <f aca="false"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>-60264.410508</v>
      </c>
      <c r="BN17" s="10" t="n">
        <f aca="false"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>-60264.410508</v>
      </c>
      <c r="BO17" s="10" t="n">
        <f aca="false"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>-60264.410508</v>
      </c>
      <c r="BP17" s="10" t="n">
        <f aca="false"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>-60264.410508</v>
      </c>
      <c r="BQ17" s="10" t="n">
        <f aca="false"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>-60264.410508</v>
      </c>
      <c r="BR17" s="10" t="n">
        <f aca="false"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>-60264.410508</v>
      </c>
      <c r="BS17" s="10" t="n">
        <f aca="false"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>-60264.410508</v>
      </c>
      <c r="BT17" s="10" t="n">
        <f aca="false"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>-60264.410508</v>
      </c>
      <c r="BU17" s="10" t="n">
        <f aca="false"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>-60264.410508</v>
      </c>
      <c r="BV17" s="10" t="n">
        <f aca="false"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>-60264.410508</v>
      </c>
      <c r="BW17" s="10" t="n">
        <f aca="false"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>-61469.69871816</v>
      </c>
      <c r="BX17" s="10" t="n">
        <f aca="false"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>-61469.69871816</v>
      </c>
      <c r="BY17" s="10" t="n">
        <f aca="false"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>-61469.69871816</v>
      </c>
      <c r="BZ17" s="10" t="n">
        <f aca="false"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>-61469.69871816</v>
      </c>
      <c r="CA17" s="10" t="n">
        <f aca="false"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>-61469.69871816</v>
      </c>
      <c r="CB17" s="10" t="n">
        <f aca="false"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>-61469.69871816</v>
      </c>
      <c r="CC17" s="10" t="n">
        <f aca="false"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>-61469.69871816</v>
      </c>
      <c r="CD17" s="10" t="n">
        <f aca="false"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>-61469.69871816</v>
      </c>
      <c r="CE17" s="10" t="n">
        <f aca="false"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>-61469.69871816</v>
      </c>
      <c r="CF17" s="10" t="n">
        <f aca="false"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>-61469.69871816</v>
      </c>
      <c r="CG17" s="10" t="n">
        <f aca="false"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>-61469.69871816</v>
      </c>
      <c r="CH17" s="10" t="n">
        <f aca="false"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>-61469.69871816</v>
      </c>
      <c r="CI17" s="25"/>
    </row>
    <row r="18" customFormat="false" ht="15" hidden="false" customHeight="true" outlineLevel="0" collapsed="false">
      <c r="A18" s="9" t="s">
        <v>65</v>
      </c>
      <c r="B18" s="24"/>
      <c r="C18" s="10" t="n">
        <f aca="false">-Helpers!C4*Assumptions!$B$20</f>
        <v>-29273.65</v>
      </c>
      <c r="D18" s="10" t="n">
        <f aca="false">-Helpers!D4*Assumptions!$B$20</f>
        <v>-34711.15</v>
      </c>
      <c r="E18" s="10" t="n">
        <f aca="false">-Helpers!E4*Assumptions!$B$20</f>
        <v>-39211.15</v>
      </c>
      <c r="F18" s="10" t="n">
        <f aca="false">-Helpers!F4*Assumptions!$B$20</f>
        <v>-39211.15</v>
      </c>
      <c r="G18" s="10" t="n">
        <f aca="false">-Helpers!G4*Assumptions!$B$20</f>
        <v>-39211.15</v>
      </c>
      <c r="H18" s="10" t="n">
        <f aca="false">-Helpers!H4*Assumptions!$B$20</f>
        <v>-39211.15</v>
      </c>
      <c r="I18" s="10" t="n">
        <f aca="false">-Helpers!I4*Assumptions!$B$20</f>
        <v>-39211.15</v>
      </c>
      <c r="J18" s="10" t="n">
        <f aca="false">-Helpers!J4*Assumptions!$B$20</f>
        <v>-39211.15</v>
      </c>
      <c r="K18" s="10" t="n">
        <f aca="false">-Helpers!K4*Assumptions!$B$20</f>
        <v>-39211.15</v>
      </c>
      <c r="L18" s="10" t="n">
        <f aca="false">-Helpers!L4*Assumptions!$B$20</f>
        <v>-39211.15</v>
      </c>
      <c r="M18" s="10" t="n">
        <f aca="false">-Helpers!M4*Assumptions!$B$20</f>
        <v>-39211.15</v>
      </c>
      <c r="N18" s="10" t="n">
        <f aca="false">-Helpers!N4*Assumptions!$B$20</f>
        <v>-39211.15</v>
      </c>
      <c r="O18" s="10" t="n">
        <f aca="false">-Helpers!O4*Assumptions!$B$20</f>
        <v>-39995.373</v>
      </c>
      <c r="P18" s="10" t="n">
        <f aca="false">-Helpers!P4*Assumptions!$B$20</f>
        <v>-39995.373</v>
      </c>
      <c r="Q18" s="10" t="n">
        <f aca="false">-Helpers!Q4*Assumptions!$B$20</f>
        <v>-39995.373</v>
      </c>
      <c r="R18" s="10" t="n">
        <f aca="false">-Helpers!R4*Assumptions!$B$20</f>
        <v>-39995.373</v>
      </c>
      <c r="S18" s="10" t="n">
        <f aca="false">-Helpers!S4*Assumptions!$B$20</f>
        <v>-39995.373</v>
      </c>
      <c r="T18" s="10" t="n">
        <f aca="false">-Helpers!T4*Assumptions!$B$20</f>
        <v>-39995.373</v>
      </c>
      <c r="U18" s="10" t="n">
        <f aca="false">-Helpers!U4*Assumptions!$B$20</f>
        <v>-39995.373</v>
      </c>
      <c r="V18" s="10" t="n">
        <f aca="false">-Helpers!V4*Assumptions!$B$20</f>
        <v>-39995.373</v>
      </c>
      <c r="W18" s="10" t="n">
        <f aca="false">-Helpers!W4*Assumptions!$B$20</f>
        <v>-39995.373</v>
      </c>
      <c r="X18" s="10" t="n">
        <f aca="false">-Helpers!X4*Assumptions!$B$20</f>
        <v>-39995.373</v>
      </c>
      <c r="Y18" s="10" t="n">
        <f aca="false">-Helpers!Y4*Assumptions!$B$20</f>
        <v>-39995.373</v>
      </c>
      <c r="Z18" s="10" t="n">
        <f aca="false">-Helpers!Z4*Assumptions!$B$20</f>
        <v>-39995.373</v>
      </c>
      <c r="AA18" s="10" t="n">
        <f aca="false">-Helpers!AA4*Assumptions!$B$20</f>
        <v>-40795.28046</v>
      </c>
      <c r="AB18" s="10" t="n">
        <f aca="false">-Helpers!AB4*Assumptions!$B$20</f>
        <v>-40795.28046</v>
      </c>
      <c r="AC18" s="10" t="n">
        <f aca="false">-Helpers!AC4*Assumptions!$B$20</f>
        <v>-40795.28046</v>
      </c>
      <c r="AD18" s="10" t="n">
        <f aca="false">-Helpers!AD4*Assumptions!$B$20</f>
        <v>-40795.28046</v>
      </c>
      <c r="AE18" s="10" t="n">
        <f aca="false">-Helpers!AE4*Assumptions!$B$20</f>
        <v>-40795.28046</v>
      </c>
      <c r="AF18" s="10" t="n">
        <f aca="false">-Helpers!AF4*Assumptions!$B$20</f>
        <v>-40795.28046</v>
      </c>
      <c r="AG18" s="10" t="n">
        <f aca="false">-Helpers!AG4*Assumptions!$B$20</f>
        <v>-40795.28046</v>
      </c>
      <c r="AH18" s="10" t="n">
        <f aca="false">-Helpers!AH4*Assumptions!$B$20</f>
        <v>-40795.28046</v>
      </c>
      <c r="AI18" s="10" t="n">
        <f aca="false">-Helpers!AI4*Assumptions!$B$20</f>
        <v>-40795.28046</v>
      </c>
      <c r="AJ18" s="10" t="n">
        <f aca="false">-Helpers!AJ4*Assumptions!$B$20</f>
        <v>-40795.28046</v>
      </c>
      <c r="AK18" s="10" t="n">
        <f aca="false">-Helpers!AK4*Assumptions!$B$20</f>
        <v>-40795.28046</v>
      </c>
      <c r="AL18" s="10" t="n">
        <f aca="false">-Helpers!AL4*Assumptions!$B$20</f>
        <v>-40795.28046</v>
      </c>
      <c r="AM18" s="10" t="n">
        <f aca="false">-Helpers!AM4*Assumptions!$B$20</f>
        <v>-41611.1860692</v>
      </c>
      <c r="AN18" s="10" t="n">
        <f aca="false">-Helpers!AN4*Assumptions!$B$20</f>
        <v>-41611.1860692</v>
      </c>
      <c r="AO18" s="10" t="n">
        <f aca="false">-Helpers!AO4*Assumptions!$B$20</f>
        <v>-41611.1860692</v>
      </c>
      <c r="AP18" s="10" t="n">
        <f aca="false">-Helpers!AP4*Assumptions!$B$20</f>
        <v>-41611.1860692</v>
      </c>
      <c r="AQ18" s="10" t="n">
        <f aca="false">-Helpers!AQ4*Assumptions!$B$20</f>
        <v>-41611.1860692</v>
      </c>
      <c r="AR18" s="10" t="n">
        <f aca="false">-Helpers!AR4*Assumptions!$B$20</f>
        <v>-41611.1860692</v>
      </c>
      <c r="AS18" s="10" t="n">
        <f aca="false">-Helpers!AS4*Assumptions!$B$20</f>
        <v>-41611.1860692</v>
      </c>
      <c r="AT18" s="10" t="n">
        <f aca="false">-Helpers!AT4*Assumptions!$B$20</f>
        <v>-41611.1860692</v>
      </c>
      <c r="AU18" s="10" t="n">
        <f aca="false">-Helpers!AU4*Assumptions!$B$20</f>
        <v>-41611.1860692</v>
      </c>
      <c r="AV18" s="10" t="n">
        <f aca="false">-Helpers!AV4*Assumptions!$B$20</f>
        <v>-41611.1860692</v>
      </c>
      <c r="AW18" s="10" t="n">
        <f aca="false">-Helpers!AW4*Assumptions!$B$20</f>
        <v>-41611.1860692</v>
      </c>
      <c r="AX18" s="10" t="n">
        <f aca="false">-Helpers!AX4*Assumptions!$B$20</f>
        <v>-41611.1860692</v>
      </c>
      <c r="AY18" s="10" t="n">
        <f aca="false">-Helpers!AY4*Assumptions!$B$20</f>
        <v>-42443.409790584</v>
      </c>
      <c r="AZ18" s="10" t="n">
        <f aca="false">-Helpers!AZ4*Assumptions!$B$20</f>
        <v>-42443.409790584</v>
      </c>
      <c r="BA18" s="10" t="n">
        <f aca="false">-Helpers!BA4*Assumptions!$B$20</f>
        <v>-42443.409790584</v>
      </c>
      <c r="BB18" s="10" t="n">
        <f aca="false">-Helpers!BB4*Assumptions!$B$20</f>
        <v>-42443.409790584</v>
      </c>
      <c r="BC18" s="10" t="n">
        <f aca="false">-Helpers!BC4*Assumptions!$B$20</f>
        <v>-42443.409790584</v>
      </c>
      <c r="BD18" s="10" t="n">
        <f aca="false">-Helpers!BD4*Assumptions!$B$20</f>
        <v>-42443.409790584</v>
      </c>
      <c r="BE18" s="10" t="n">
        <f aca="false">-Helpers!BE4*Assumptions!$B$20</f>
        <v>-42443.409790584</v>
      </c>
      <c r="BF18" s="10" t="n">
        <f aca="false">-Helpers!BF4*Assumptions!$B$20</f>
        <v>-42443.409790584</v>
      </c>
      <c r="BG18" s="10" t="n">
        <f aca="false">-Helpers!BG4*Assumptions!$B$20</f>
        <v>-42443.409790584</v>
      </c>
      <c r="BH18" s="10" t="n">
        <f aca="false">-Helpers!BH4*Assumptions!$B$20</f>
        <v>-42443.409790584</v>
      </c>
      <c r="BI18" s="10" t="n">
        <f aca="false">-Helpers!BI4*Assumptions!$B$20</f>
        <v>-42443.409790584</v>
      </c>
      <c r="BJ18" s="10" t="n">
        <f aca="false">-Helpers!BJ4*Assumptions!$B$20</f>
        <v>-42443.409790584</v>
      </c>
      <c r="BK18" s="10" t="n">
        <f aca="false">-Helpers!BK4*Assumptions!$B$20</f>
        <v>-43292.2779863957</v>
      </c>
      <c r="BL18" s="10" t="n">
        <f aca="false">-Helpers!BL4*Assumptions!$B$20</f>
        <v>-43292.2779863957</v>
      </c>
      <c r="BM18" s="10" t="n">
        <f aca="false">-Helpers!BM4*Assumptions!$B$20</f>
        <v>-43292.2779863957</v>
      </c>
      <c r="BN18" s="10" t="n">
        <f aca="false">-Helpers!BN4*Assumptions!$B$20</f>
        <v>-43292.2779863957</v>
      </c>
      <c r="BO18" s="10" t="n">
        <f aca="false">-Helpers!BO4*Assumptions!$B$20</f>
        <v>-43292.2779863957</v>
      </c>
      <c r="BP18" s="10" t="n">
        <f aca="false">-Helpers!BP4*Assumptions!$B$20</f>
        <v>-43292.2779863957</v>
      </c>
      <c r="BQ18" s="10" t="n">
        <f aca="false">-Helpers!BQ4*Assumptions!$B$20</f>
        <v>-43292.2779863957</v>
      </c>
      <c r="BR18" s="10" t="n">
        <f aca="false">-Helpers!BR4*Assumptions!$B$20</f>
        <v>-43292.2779863957</v>
      </c>
      <c r="BS18" s="10" t="n">
        <f aca="false">-Helpers!BS4*Assumptions!$B$20</f>
        <v>-43292.2779863957</v>
      </c>
      <c r="BT18" s="10" t="n">
        <f aca="false">-Helpers!BT4*Assumptions!$B$20</f>
        <v>-43292.2779863957</v>
      </c>
      <c r="BU18" s="10" t="n">
        <f aca="false">-Helpers!BU4*Assumptions!$B$20</f>
        <v>-43292.2779863957</v>
      </c>
      <c r="BV18" s="10" t="n">
        <f aca="false">-Helpers!BV4*Assumptions!$B$20</f>
        <v>-43292.2779863957</v>
      </c>
      <c r="BW18" s="10" t="n">
        <f aca="false">-Helpers!BW4*Assumptions!$B$20</f>
        <v>-44158.1235461236</v>
      </c>
      <c r="BX18" s="10" t="n">
        <f aca="false">-Helpers!BX4*Assumptions!$B$20</f>
        <v>-44158.1235461236</v>
      </c>
      <c r="BY18" s="10" t="n">
        <f aca="false">-Helpers!BY4*Assumptions!$B$20</f>
        <v>-44158.1235461236</v>
      </c>
      <c r="BZ18" s="10" t="n">
        <f aca="false">-Helpers!BZ4*Assumptions!$B$20</f>
        <v>-44158.1235461236</v>
      </c>
      <c r="CA18" s="10" t="n">
        <f aca="false">-Helpers!CA4*Assumptions!$B$20</f>
        <v>-44158.1235461236</v>
      </c>
      <c r="CB18" s="10" t="n">
        <f aca="false">-Helpers!CB4*Assumptions!$B$20</f>
        <v>-44158.1235461236</v>
      </c>
      <c r="CC18" s="10" t="n">
        <f aca="false">-Helpers!CC4*Assumptions!$B$20</f>
        <v>-44158.1235461236</v>
      </c>
      <c r="CD18" s="10" t="n">
        <f aca="false">-Helpers!CD4*Assumptions!$B$20</f>
        <v>-44158.1235461236</v>
      </c>
      <c r="CE18" s="10" t="n">
        <f aca="false">-Helpers!CE4*Assumptions!$B$20</f>
        <v>-44158.1235461236</v>
      </c>
      <c r="CF18" s="10" t="n">
        <f aca="false">-Helpers!CF4*Assumptions!$B$20</f>
        <v>-44158.1235461236</v>
      </c>
      <c r="CG18" s="10" t="n">
        <f aca="false">-Helpers!CG4*Assumptions!$B$20</f>
        <v>-44158.1235461236</v>
      </c>
      <c r="CH18" s="10" t="n">
        <f aca="false">-Helpers!CH4*Assumptions!$B$20</f>
        <v>-44158.1235461236</v>
      </c>
      <c r="CI18" s="25"/>
    </row>
    <row r="19" customFormat="false" ht="15" hidden="false" customHeight="true" outlineLevel="0" collapsed="false">
      <c r="A19" s="9" t="s">
        <v>66</v>
      </c>
      <c r="B19" s="24"/>
      <c r="C19" s="10" t="n">
        <f aca="false">-Helpers!C4*Assumptions!$B$21</f>
        <v>-975.788333333333</v>
      </c>
      <c r="D19" s="10" t="n">
        <f aca="false">-Helpers!D4*Assumptions!$B$21</f>
        <v>-1157.03833333333</v>
      </c>
      <c r="E19" s="10" t="n">
        <f aca="false">-Helpers!E4*Assumptions!$B$21</f>
        <v>-1307.03833333333</v>
      </c>
      <c r="F19" s="10" t="n">
        <f aca="false">-Helpers!F4*Assumptions!$B$21</f>
        <v>-1307.03833333333</v>
      </c>
      <c r="G19" s="10" t="n">
        <f aca="false">-Helpers!G4*Assumptions!$B$21</f>
        <v>-1307.03833333333</v>
      </c>
      <c r="H19" s="10" t="n">
        <f aca="false">-Helpers!H4*Assumptions!$B$21</f>
        <v>-1307.03833333333</v>
      </c>
      <c r="I19" s="10" t="n">
        <f aca="false">-Helpers!I4*Assumptions!$B$21</f>
        <v>-1307.03833333333</v>
      </c>
      <c r="J19" s="10" t="n">
        <f aca="false">-Helpers!J4*Assumptions!$B$21</f>
        <v>-1307.03833333333</v>
      </c>
      <c r="K19" s="10" t="n">
        <f aca="false">-Helpers!K4*Assumptions!$B$21</f>
        <v>-1307.03833333333</v>
      </c>
      <c r="L19" s="10" t="n">
        <f aca="false">-Helpers!L4*Assumptions!$B$21</f>
        <v>-1307.03833333333</v>
      </c>
      <c r="M19" s="10" t="n">
        <f aca="false">-Helpers!M4*Assumptions!$B$21</f>
        <v>-1307.03833333333</v>
      </c>
      <c r="N19" s="10" t="n">
        <f aca="false">-Helpers!N4*Assumptions!$B$21</f>
        <v>-1307.03833333333</v>
      </c>
      <c r="O19" s="10" t="n">
        <f aca="false">-Helpers!O4*Assumptions!$B$21</f>
        <v>-1333.1791</v>
      </c>
      <c r="P19" s="10" t="n">
        <f aca="false">-Helpers!P4*Assumptions!$B$21</f>
        <v>-1333.1791</v>
      </c>
      <c r="Q19" s="10" t="n">
        <f aca="false">-Helpers!Q4*Assumptions!$B$21</f>
        <v>-1333.1791</v>
      </c>
      <c r="R19" s="10" t="n">
        <f aca="false">-Helpers!R4*Assumptions!$B$21</f>
        <v>-1333.1791</v>
      </c>
      <c r="S19" s="10" t="n">
        <f aca="false">-Helpers!S4*Assumptions!$B$21</f>
        <v>-1333.1791</v>
      </c>
      <c r="T19" s="10" t="n">
        <f aca="false">-Helpers!T4*Assumptions!$B$21</f>
        <v>-1333.1791</v>
      </c>
      <c r="U19" s="10" t="n">
        <f aca="false">-Helpers!U4*Assumptions!$B$21</f>
        <v>-1333.1791</v>
      </c>
      <c r="V19" s="10" t="n">
        <f aca="false">-Helpers!V4*Assumptions!$B$21</f>
        <v>-1333.1791</v>
      </c>
      <c r="W19" s="10" t="n">
        <f aca="false">-Helpers!W4*Assumptions!$B$21</f>
        <v>-1333.1791</v>
      </c>
      <c r="X19" s="10" t="n">
        <f aca="false">-Helpers!X4*Assumptions!$B$21</f>
        <v>-1333.1791</v>
      </c>
      <c r="Y19" s="10" t="n">
        <f aca="false">-Helpers!Y4*Assumptions!$B$21</f>
        <v>-1333.1791</v>
      </c>
      <c r="Z19" s="10" t="n">
        <f aca="false">-Helpers!Z4*Assumptions!$B$21</f>
        <v>-1333.1791</v>
      </c>
      <c r="AA19" s="10" t="n">
        <f aca="false">-Helpers!AA4*Assumptions!$B$21</f>
        <v>-1359.842682</v>
      </c>
      <c r="AB19" s="10" t="n">
        <f aca="false">-Helpers!AB4*Assumptions!$B$21</f>
        <v>-1359.842682</v>
      </c>
      <c r="AC19" s="10" t="n">
        <f aca="false">-Helpers!AC4*Assumptions!$B$21</f>
        <v>-1359.842682</v>
      </c>
      <c r="AD19" s="10" t="n">
        <f aca="false">-Helpers!AD4*Assumptions!$B$21</f>
        <v>-1359.842682</v>
      </c>
      <c r="AE19" s="10" t="n">
        <f aca="false">-Helpers!AE4*Assumptions!$B$21</f>
        <v>-1359.842682</v>
      </c>
      <c r="AF19" s="10" t="n">
        <f aca="false">-Helpers!AF4*Assumptions!$B$21</f>
        <v>-1359.842682</v>
      </c>
      <c r="AG19" s="10" t="n">
        <f aca="false">-Helpers!AG4*Assumptions!$B$21</f>
        <v>-1359.842682</v>
      </c>
      <c r="AH19" s="10" t="n">
        <f aca="false">-Helpers!AH4*Assumptions!$B$21</f>
        <v>-1359.842682</v>
      </c>
      <c r="AI19" s="10" t="n">
        <f aca="false">-Helpers!AI4*Assumptions!$B$21</f>
        <v>-1359.842682</v>
      </c>
      <c r="AJ19" s="10" t="n">
        <f aca="false">-Helpers!AJ4*Assumptions!$B$21</f>
        <v>-1359.842682</v>
      </c>
      <c r="AK19" s="10" t="n">
        <f aca="false">-Helpers!AK4*Assumptions!$B$21</f>
        <v>-1359.842682</v>
      </c>
      <c r="AL19" s="10" t="n">
        <f aca="false">-Helpers!AL4*Assumptions!$B$21</f>
        <v>-1359.842682</v>
      </c>
      <c r="AM19" s="10" t="n">
        <f aca="false">-Helpers!AM4*Assumptions!$B$21</f>
        <v>-1387.03953564</v>
      </c>
      <c r="AN19" s="10" t="n">
        <f aca="false">-Helpers!AN4*Assumptions!$B$21</f>
        <v>-1387.03953564</v>
      </c>
      <c r="AO19" s="10" t="n">
        <f aca="false">-Helpers!AO4*Assumptions!$B$21</f>
        <v>-1387.03953564</v>
      </c>
      <c r="AP19" s="10" t="n">
        <f aca="false">-Helpers!AP4*Assumptions!$B$21</f>
        <v>-1387.03953564</v>
      </c>
      <c r="AQ19" s="10" t="n">
        <f aca="false">-Helpers!AQ4*Assumptions!$B$21</f>
        <v>-1387.03953564</v>
      </c>
      <c r="AR19" s="10" t="n">
        <f aca="false">-Helpers!AR4*Assumptions!$B$21</f>
        <v>-1387.03953564</v>
      </c>
      <c r="AS19" s="10" t="n">
        <f aca="false">-Helpers!AS4*Assumptions!$B$21</f>
        <v>-1387.03953564</v>
      </c>
      <c r="AT19" s="10" t="n">
        <f aca="false">-Helpers!AT4*Assumptions!$B$21</f>
        <v>-1387.03953564</v>
      </c>
      <c r="AU19" s="10" t="n">
        <f aca="false">-Helpers!AU4*Assumptions!$B$21</f>
        <v>-1387.03953564</v>
      </c>
      <c r="AV19" s="10" t="n">
        <f aca="false">-Helpers!AV4*Assumptions!$B$21</f>
        <v>-1387.03953564</v>
      </c>
      <c r="AW19" s="10" t="n">
        <f aca="false">-Helpers!AW4*Assumptions!$B$21</f>
        <v>-1387.03953564</v>
      </c>
      <c r="AX19" s="10" t="n">
        <f aca="false">-Helpers!AX4*Assumptions!$B$21</f>
        <v>-1387.03953564</v>
      </c>
      <c r="AY19" s="10" t="n">
        <f aca="false">-Helpers!AY4*Assumptions!$B$21</f>
        <v>-1414.7803263528</v>
      </c>
      <c r="AZ19" s="10" t="n">
        <f aca="false">-Helpers!AZ4*Assumptions!$B$21</f>
        <v>-1414.7803263528</v>
      </c>
      <c r="BA19" s="10" t="n">
        <f aca="false">-Helpers!BA4*Assumptions!$B$21</f>
        <v>-1414.7803263528</v>
      </c>
      <c r="BB19" s="10" t="n">
        <f aca="false">-Helpers!BB4*Assumptions!$B$21</f>
        <v>-1414.7803263528</v>
      </c>
      <c r="BC19" s="10" t="n">
        <f aca="false">-Helpers!BC4*Assumptions!$B$21</f>
        <v>-1414.7803263528</v>
      </c>
      <c r="BD19" s="10" t="n">
        <f aca="false">-Helpers!BD4*Assumptions!$B$21</f>
        <v>-1414.7803263528</v>
      </c>
      <c r="BE19" s="10" t="n">
        <f aca="false">-Helpers!BE4*Assumptions!$B$21</f>
        <v>-1414.7803263528</v>
      </c>
      <c r="BF19" s="10" t="n">
        <f aca="false">-Helpers!BF4*Assumptions!$B$21</f>
        <v>-1414.7803263528</v>
      </c>
      <c r="BG19" s="10" t="n">
        <f aca="false">-Helpers!BG4*Assumptions!$B$21</f>
        <v>-1414.7803263528</v>
      </c>
      <c r="BH19" s="10" t="n">
        <f aca="false">-Helpers!BH4*Assumptions!$B$21</f>
        <v>-1414.7803263528</v>
      </c>
      <c r="BI19" s="10" t="n">
        <f aca="false">-Helpers!BI4*Assumptions!$B$21</f>
        <v>-1414.7803263528</v>
      </c>
      <c r="BJ19" s="10" t="n">
        <f aca="false">-Helpers!BJ4*Assumptions!$B$21</f>
        <v>-1414.7803263528</v>
      </c>
      <c r="BK19" s="10" t="n">
        <f aca="false">-Helpers!BK4*Assumptions!$B$21</f>
        <v>-1443.07593287986</v>
      </c>
      <c r="BL19" s="10" t="n">
        <f aca="false">-Helpers!BL4*Assumptions!$B$21</f>
        <v>-1443.07593287986</v>
      </c>
      <c r="BM19" s="10" t="n">
        <f aca="false">-Helpers!BM4*Assumptions!$B$21</f>
        <v>-1443.07593287986</v>
      </c>
      <c r="BN19" s="10" t="n">
        <f aca="false">-Helpers!BN4*Assumptions!$B$21</f>
        <v>-1443.07593287986</v>
      </c>
      <c r="BO19" s="10" t="n">
        <f aca="false">-Helpers!BO4*Assumptions!$B$21</f>
        <v>-1443.07593287986</v>
      </c>
      <c r="BP19" s="10" t="n">
        <f aca="false">-Helpers!BP4*Assumptions!$B$21</f>
        <v>-1443.07593287986</v>
      </c>
      <c r="BQ19" s="10" t="n">
        <f aca="false">-Helpers!BQ4*Assumptions!$B$21</f>
        <v>-1443.07593287986</v>
      </c>
      <c r="BR19" s="10" t="n">
        <f aca="false">-Helpers!BR4*Assumptions!$B$21</f>
        <v>-1443.07593287986</v>
      </c>
      <c r="BS19" s="10" t="n">
        <f aca="false">-Helpers!BS4*Assumptions!$B$21</f>
        <v>-1443.07593287986</v>
      </c>
      <c r="BT19" s="10" t="n">
        <f aca="false">-Helpers!BT4*Assumptions!$B$21</f>
        <v>-1443.07593287986</v>
      </c>
      <c r="BU19" s="10" t="n">
        <f aca="false">-Helpers!BU4*Assumptions!$B$21</f>
        <v>-1443.07593287986</v>
      </c>
      <c r="BV19" s="10" t="n">
        <f aca="false">-Helpers!BV4*Assumptions!$B$21</f>
        <v>-1443.07593287986</v>
      </c>
      <c r="BW19" s="10" t="n">
        <f aca="false">-Helpers!BW4*Assumptions!$B$21</f>
        <v>-1471.93745153745</v>
      </c>
      <c r="BX19" s="10" t="n">
        <f aca="false">-Helpers!BX4*Assumptions!$B$21</f>
        <v>-1471.93745153745</v>
      </c>
      <c r="BY19" s="10" t="n">
        <f aca="false">-Helpers!BY4*Assumptions!$B$21</f>
        <v>-1471.93745153745</v>
      </c>
      <c r="BZ19" s="10" t="n">
        <f aca="false">-Helpers!BZ4*Assumptions!$B$21</f>
        <v>-1471.93745153745</v>
      </c>
      <c r="CA19" s="10" t="n">
        <f aca="false">-Helpers!CA4*Assumptions!$B$21</f>
        <v>-1471.93745153745</v>
      </c>
      <c r="CB19" s="10" t="n">
        <f aca="false">-Helpers!CB4*Assumptions!$B$21</f>
        <v>-1471.93745153745</v>
      </c>
      <c r="CC19" s="10" t="n">
        <f aca="false">-Helpers!CC4*Assumptions!$B$21</f>
        <v>-1471.93745153745</v>
      </c>
      <c r="CD19" s="10" t="n">
        <f aca="false">-Helpers!CD4*Assumptions!$B$21</f>
        <v>-1471.93745153745</v>
      </c>
      <c r="CE19" s="10" t="n">
        <f aca="false">-Helpers!CE4*Assumptions!$B$21</f>
        <v>-1471.93745153745</v>
      </c>
      <c r="CF19" s="10" t="n">
        <f aca="false">-Helpers!CF4*Assumptions!$B$21</f>
        <v>-1471.93745153745</v>
      </c>
      <c r="CG19" s="10" t="n">
        <f aca="false">-Helpers!CG4*Assumptions!$B$21</f>
        <v>-1471.93745153745</v>
      </c>
      <c r="CH19" s="10" t="n">
        <f aca="false">-Helpers!CH4*Assumptions!$B$21</f>
        <v>-1471.93745153745</v>
      </c>
      <c r="CI19" s="25"/>
    </row>
    <row r="20" customFormat="false" ht="15" hidden="false" customHeight="true" outlineLevel="0" collapsed="false">
      <c r="A20" s="9" t="s">
        <v>67</v>
      </c>
      <c r="B20" s="24"/>
      <c r="C20" s="10" t="n">
        <f aca="false">-Helpers!C4*Assumptions!$B$22</f>
        <v>-23614.0776666667</v>
      </c>
      <c r="D20" s="10" t="n">
        <f aca="false">-Helpers!D4*Assumptions!$B$22</f>
        <v>-28000.3276666667</v>
      </c>
      <c r="E20" s="10" t="n">
        <f aca="false">-Helpers!E4*Assumptions!$B$22</f>
        <v>-31630.3276666667</v>
      </c>
      <c r="F20" s="10" t="n">
        <f aca="false">-Helpers!F4*Assumptions!$B$22</f>
        <v>-31630.3276666667</v>
      </c>
      <c r="G20" s="10" t="n">
        <f aca="false">-Helpers!G4*Assumptions!$B$22</f>
        <v>-31630.3276666667</v>
      </c>
      <c r="H20" s="10" t="n">
        <f aca="false">-Helpers!H4*Assumptions!$B$22</f>
        <v>-31630.3276666667</v>
      </c>
      <c r="I20" s="10" t="n">
        <f aca="false">-Helpers!I4*Assumptions!$B$22</f>
        <v>-31630.3276666667</v>
      </c>
      <c r="J20" s="10" t="n">
        <f aca="false">-Helpers!J4*Assumptions!$B$22</f>
        <v>-31630.3276666667</v>
      </c>
      <c r="K20" s="10" t="n">
        <f aca="false">-Helpers!K4*Assumptions!$B$22</f>
        <v>-31630.3276666667</v>
      </c>
      <c r="L20" s="10" t="n">
        <f aca="false">-Helpers!L4*Assumptions!$B$22</f>
        <v>-31630.3276666667</v>
      </c>
      <c r="M20" s="10" t="n">
        <f aca="false">-Helpers!M4*Assumptions!$B$22</f>
        <v>-31630.3276666667</v>
      </c>
      <c r="N20" s="10" t="n">
        <f aca="false">-Helpers!N4*Assumptions!$B$22</f>
        <v>-31630.3276666667</v>
      </c>
      <c r="O20" s="10" t="n">
        <f aca="false">-Helpers!O4*Assumptions!$B$22</f>
        <v>-32262.93422</v>
      </c>
      <c r="P20" s="10" t="n">
        <f aca="false">-Helpers!P4*Assumptions!$B$22</f>
        <v>-32262.93422</v>
      </c>
      <c r="Q20" s="10" t="n">
        <f aca="false">-Helpers!Q4*Assumptions!$B$22</f>
        <v>-32262.93422</v>
      </c>
      <c r="R20" s="10" t="n">
        <f aca="false">-Helpers!R4*Assumptions!$B$22</f>
        <v>-32262.93422</v>
      </c>
      <c r="S20" s="10" t="n">
        <f aca="false">-Helpers!S4*Assumptions!$B$22</f>
        <v>-32262.93422</v>
      </c>
      <c r="T20" s="10" t="n">
        <f aca="false">-Helpers!T4*Assumptions!$B$22</f>
        <v>-32262.93422</v>
      </c>
      <c r="U20" s="10" t="n">
        <f aca="false">-Helpers!U4*Assumptions!$B$22</f>
        <v>-32262.93422</v>
      </c>
      <c r="V20" s="10" t="n">
        <f aca="false">-Helpers!V4*Assumptions!$B$22</f>
        <v>-32262.93422</v>
      </c>
      <c r="W20" s="10" t="n">
        <f aca="false">-Helpers!W4*Assumptions!$B$22</f>
        <v>-32262.93422</v>
      </c>
      <c r="X20" s="10" t="n">
        <f aca="false">-Helpers!X4*Assumptions!$B$22</f>
        <v>-32262.93422</v>
      </c>
      <c r="Y20" s="10" t="n">
        <f aca="false">-Helpers!Y4*Assumptions!$B$22</f>
        <v>-32262.93422</v>
      </c>
      <c r="Z20" s="10" t="n">
        <f aca="false">-Helpers!Z4*Assumptions!$B$22</f>
        <v>-32262.93422</v>
      </c>
      <c r="AA20" s="10" t="n">
        <f aca="false">-Helpers!AA4*Assumptions!$B$22</f>
        <v>-32908.1929044</v>
      </c>
      <c r="AB20" s="10" t="n">
        <f aca="false">-Helpers!AB4*Assumptions!$B$22</f>
        <v>-32908.1929044</v>
      </c>
      <c r="AC20" s="10" t="n">
        <f aca="false">-Helpers!AC4*Assumptions!$B$22</f>
        <v>-32908.1929044</v>
      </c>
      <c r="AD20" s="10" t="n">
        <f aca="false">-Helpers!AD4*Assumptions!$B$22</f>
        <v>-32908.1929044</v>
      </c>
      <c r="AE20" s="10" t="n">
        <f aca="false">-Helpers!AE4*Assumptions!$B$22</f>
        <v>-32908.1929044</v>
      </c>
      <c r="AF20" s="10" t="n">
        <f aca="false">-Helpers!AF4*Assumptions!$B$22</f>
        <v>-32908.1929044</v>
      </c>
      <c r="AG20" s="10" t="n">
        <f aca="false">-Helpers!AG4*Assumptions!$B$22</f>
        <v>-32908.1929044</v>
      </c>
      <c r="AH20" s="10" t="n">
        <f aca="false">-Helpers!AH4*Assumptions!$B$22</f>
        <v>-32908.1929044</v>
      </c>
      <c r="AI20" s="10" t="n">
        <f aca="false">-Helpers!AI4*Assumptions!$B$22</f>
        <v>-32908.1929044</v>
      </c>
      <c r="AJ20" s="10" t="n">
        <f aca="false">-Helpers!AJ4*Assumptions!$B$22</f>
        <v>-32908.1929044</v>
      </c>
      <c r="AK20" s="10" t="n">
        <f aca="false">-Helpers!AK4*Assumptions!$B$22</f>
        <v>-32908.1929044</v>
      </c>
      <c r="AL20" s="10" t="n">
        <f aca="false">-Helpers!AL4*Assumptions!$B$22</f>
        <v>-32908.1929044</v>
      </c>
      <c r="AM20" s="10" t="n">
        <f aca="false">-Helpers!AM4*Assumptions!$B$22</f>
        <v>-33566.356762488</v>
      </c>
      <c r="AN20" s="10" t="n">
        <f aca="false">-Helpers!AN4*Assumptions!$B$22</f>
        <v>-33566.356762488</v>
      </c>
      <c r="AO20" s="10" t="n">
        <f aca="false">-Helpers!AO4*Assumptions!$B$22</f>
        <v>-33566.356762488</v>
      </c>
      <c r="AP20" s="10" t="n">
        <f aca="false">-Helpers!AP4*Assumptions!$B$22</f>
        <v>-33566.356762488</v>
      </c>
      <c r="AQ20" s="10" t="n">
        <f aca="false">-Helpers!AQ4*Assumptions!$B$22</f>
        <v>-33566.356762488</v>
      </c>
      <c r="AR20" s="10" t="n">
        <f aca="false">-Helpers!AR4*Assumptions!$B$22</f>
        <v>-33566.356762488</v>
      </c>
      <c r="AS20" s="10" t="n">
        <f aca="false">-Helpers!AS4*Assumptions!$B$22</f>
        <v>-33566.356762488</v>
      </c>
      <c r="AT20" s="10" t="n">
        <f aca="false">-Helpers!AT4*Assumptions!$B$22</f>
        <v>-33566.356762488</v>
      </c>
      <c r="AU20" s="10" t="n">
        <f aca="false">-Helpers!AU4*Assumptions!$B$22</f>
        <v>-33566.356762488</v>
      </c>
      <c r="AV20" s="10" t="n">
        <f aca="false">-Helpers!AV4*Assumptions!$B$22</f>
        <v>-33566.356762488</v>
      </c>
      <c r="AW20" s="10" t="n">
        <f aca="false">-Helpers!AW4*Assumptions!$B$22</f>
        <v>-33566.356762488</v>
      </c>
      <c r="AX20" s="10" t="n">
        <f aca="false">-Helpers!AX4*Assumptions!$B$22</f>
        <v>-33566.356762488</v>
      </c>
      <c r="AY20" s="10" t="n">
        <f aca="false">-Helpers!AY4*Assumptions!$B$22</f>
        <v>-34237.6838977378</v>
      </c>
      <c r="AZ20" s="10" t="n">
        <f aca="false">-Helpers!AZ4*Assumptions!$B$22</f>
        <v>-34237.6838977378</v>
      </c>
      <c r="BA20" s="10" t="n">
        <f aca="false">-Helpers!BA4*Assumptions!$B$22</f>
        <v>-34237.6838977378</v>
      </c>
      <c r="BB20" s="10" t="n">
        <f aca="false">-Helpers!BB4*Assumptions!$B$22</f>
        <v>-34237.6838977378</v>
      </c>
      <c r="BC20" s="10" t="n">
        <f aca="false">-Helpers!BC4*Assumptions!$B$22</f>
        <v>-34237.6838977378</v>
      </c>
      <c r="BD20" s="10" t="n">
        <f aca="false">-Helpers!BD4*Assumptions!$B$22</f>
        <v>-34237.6838977378</v>
      </c>
      <c r="BE20" s="10" t="n">
        <f aca="false">-Helpers!BE4*Assumptions!$B$22</f>
        <v>-34237.6838977378</v>
      </c>
      <c r="BF20" s="10" t="n">
        <f aca="false">-Helpers!BF4*Assumptions!$B$22</f>
        <v>-34237.6838977378</v>
      </c>
      <c r="BG20" s="10" t="n">
        <f aca="false">-Helpers!BG4*Assumptions!$B$22</f>
        <v>-34237.6838977378</v>
      </c>
      <c r="BH20" s="10" t="n">
        <f aca="false">-Helpers!BH4*Assumptions!$B$22</f>
        <v>-34237.6838977378</v>
      </c>
      <c r="BI20" s="10" t="n">
        <f aca="false">-Helpers!BI4*Assumptions!$B$22</f>
        <v>-34237.6838977378</v>
      </c>
      <c r="BJ20" s="10" t="n">
        <f aca="false">-Helpers!BJ4*Assumptions!$B$22</f>
        <v>-34237.6838977378</v>
      </c>
      <c r="BK20" s="10" t="n">
        <f aca="false">-Helpers!BK4*Assumptions!$B$22</f>
        <v>-34922.4375756925</v>
      </c>
      <c r="BL20" s="10" t="n">
        <f aca="false">-Helpers!BL4*Assumptions!$B$22</f>
        <v>-34922.4375756925</v>
      </c>
      <c r="BM20" s="10" t="n">
        <f aca="false">-Helpers!BM4*Assumptions!$B$22</f>
        <v>-34922.4375756925</v>
      </c>
      <c r="BN20" s="10" t="n">
        <f aca="false">-Helpers!BN4*Assumptions!$B$22</f>
        <v>-34922.4375756925</v>
      </c>
      <c r="BO20" s="10" t="n">
        <f aca="false">-Helpers!BO4*Assumptions!$B$22</f>
        <v>-34922.4375756925</v>
      </c>
      <c r="BP20" s="10" t="n">
        <f aca="false">-Helpers!BP4*Assumptions!$B$22</f>
        <v>-34922.4375756925</v>
      </c>
      <c r="BQ20" s="10" t="n">
        <f aca="false">-Helpers!BQ4*Assumptions!$B$22</f>
        <v>-34922.4375756925</v>
      </c>
      <c r="BR20" s="10" t="n">
        <f aca="false">-Helpers!BR4*Assumptions!$B$22</f>
        <v>-34922.4375756925</v>
      </c>
      <c r="BS20" s="10" t="n">
        <f aca="false">-Helpers!BS4*Assumptions!$B$22</f>
        <v>-34922.4375756925</v>
      </c>
      <c r="BT20" s="10" t="n">
        <f aca="false">-Helpers!BT4*Assumptions!$B$22</f>
        <v>-34922.4375756925</v>
      </c>
      <c r="BU20" s="10" t="n">
        <f aca="false">-Helpers!BU4*Assumptions!$B$22</f>
        <v>-34922.4375756925</v>
      </c>
      <c r="BV20" s="10" t="n">
        <f aca="false">-Helpers!BV4*Assumptions!$B$22</f>
        <v>-34922.4375756925</v>
      </c>
      <c r="BW20" s="10" t="n">
        <f aca="false">-Helpers!BW4*Assumptions!$B$22</f>
        <v>-35620.8863272064</v>
      </c>
      <c r="BX20" s="10" t="n">
        <f aca="false">-Helpers!BX4*Assumptions!$B$22</f>
        <v>-35620.8863272064</v>
      </c>
      <c r="BY20" s="10" t="n">
        <f aca="false">-Helpers!BY4*Assumptions!$B$22</f>
        <v>-35620.8863272064</v>
      </c>
      <c r="BZ20" s="10" t="n">
        <f aca="false">-Helpers!BZ4*Assumptions!$B$22</f>
        <v>-35620.8863272064</v>
      </c>
      <c r="CA20" s="10" t="n">
        <f aca="false">-Helpers!CA4*Assumptions!$B$22</f>
        <v>-35620.8863272064</v>
      </c>
      <c r="CB20" s="10" t="n">
        <f aca="false">-Helpers!CB4*Assumptions!$B$22</f>
        <v>-35620.8863272064</v>
      </c>
      <c r="CC20" s="10" t="n">
        <f aca="false">-Helpers!CC4*Assumptions!$B$22</f>
        <v>-35620.8863272064</v>
      </c>
      <c r="CD20" s="10" t="n">
        <f aca="false">-Helpers!CD4*Assumptions!$B$22</f>
        <v>-35620.8863272064</v>
      </c>
      <c r="CE20" s="10" t="n">
        <f aca="false">-Helpers!CE4*Assumptions!$B$22</f>
        <v>-35620.8863272064</v>
      </c>
      <c r="CF20" s="10" t="n">
        <f aca="false">-Helpers!CF4*Assumptions!$B$22</f>
        <v>-35620.8863272064</v>
      </c>
      <c r="CG20" s="10" t="n">
        <f aca="false">-Helpers!CG4*Assumptions!$B$22</f>
        <v>-35620.8863272064</v>
      </c>
      <c r="CH20" s="10" t="n">
        <f aca="false">-Helpers!CH4*Assumptions!$B$22</f>
        <v>-35620.8863272064</v>
      </c>
      <c r="CI20" s="25"/>
    </row>
    <row r="21" customFormat="false" ht="15" hidden="false" customHeight="true" outlineLevel="0" collapsed="false">
      <c r="A21" s="9" t="s">
        <v>68</v>
      </c>
      <c r="B21" s="24"/>
      <c r="C21" s="10" t="n">
        <f aca="false">-Helpers!C4*Assumptions!$B$23</f>
        <v>-1756.419</v>
      </c>
      <c r="D21" s="10" t="n">
        <f aca="false">-Helpers!D4*Assumptions!$B$23</f>
        <v>-2082.669</v>
      </c>
      <c r="E21" s="10" t="n">
        <f aca="false">-Helpers!E4*Assumptions!$B$23</f>
        <v>-2352.669</v>
      </c>
      <c r="F21" s="10" t="n">
        <f aca="false">-Helpers!F4*Assumptions!$B$23</f>
        <v>-2352.669</v>
      </c>
      <c r="G21" s="10" t="n">
        <f aca="false">-Helpers!G4*Assumptions!$B$23</f>
        <v>-2352.669</v>
      </c>
      <c r="H21" s="10" t="n">
        <f aca="false">-Helpers!H4*Assumptions!$B$23</f>
        <v>-2352.669</v>
      </c>
      <c r="I21" s="10" t="n">
        <f aca="false">-Helpers!I4*Assumptions!$B$23</f>
        <v>-2352.669</v>
      </c>
      <c r="J21" s="10" t="n">
        <f aca="false">-Helpers!J4*Assumptions!$B$23</f>
        <v>-2352.669</v>
      </c>
      <c r="K21" s="10" t="n">
        <f aca="false">-Helpers!K4*Assumptions!$B$23</f>
        <v>-2352.669</v>
      </c>
      <c r="L21" s="10" t="n">
        <f aca="false">-Helpers!L4*Assumptions!$B$23</f>
        <v>-2352.669</v>
      </c>
      <c r="M21" s="10" t="n">
        <f aca="false">-Helpers!M4*Assumptions!$B$23</f>
        <v>-2352.669</v>
      </c>
      <c r="N21" s="10" t="n">
        <f aca="false">-Helpers!N4*Assumptions!$B$23</f>
        <v>-2352.669</v>
      </c>
      <c r="O21" s="10" t="n">
        <f aca="false">-Helpers!O4*Assumptions!$B$23</f>
        <v>-2399.72238</v>
      </c>
      <c r="P21" s="10" t="n">
        <f aca="false">-Helpers!P4*Assumptions!$B$23</f>
        <v>-2399.72238</v>
      </c>
      <c r="Q21" s="10" t="n">
        <f aca="false">-Helpers!Q4*Assumptions!$B$23</f>
        <v>-2399.72238</v>
      </c>
      <c r="R21" s="10" t="n">
        <f aca="false">-Helpers!R4*Assumptions!$B$23</f>
        <v>-2399.72238</v>
      </c>
      <c r="S21" s="10" t="n">
        <f aca="false">-Helpers!S4*Assumptions!$B$23</f>
        <v>-2399.72238</v>
      </c>
      <c r="T21" s="10" t="n">
        <f aca="false">-Helpers!T4*Assumptions!$B$23</f>
        <v>-2399.72238</v>
      </c>
      <c r="U21" s="10" t="n">
        <f aca="false">-Helpers!U4*Assumptions!$B$23</f>
        <v>-2399.72238</v>
      </c>
      <c r="V21" s="10" t="n">
        <f aca="false">-Helpers!V4*Assumptions!$B$23</f>
        <v>-2399.72238</v>
      </c>
      <c r="W21" s="10" t="n">
        <f aca="false">-Helpers!W4*Assumptions!$B$23</f>
        <v>-2399.72238</v>
      </c>
      <c r="X21" s="10" t="n">
        <f aca="false">-Helpers!X4*Assumptions!$B$23</f>
        <v>-2399.72238</v>
      </c>
      <c r="Y21" s="10" t="n">
        <f aca="false">-Helpers!Y4*Assumptions!$B$23</f>
        <v>-2399.72238</v>
      </c>
      <c r="Z21" s="10" t="n">
        <f aca="false">-Helpers!Z4*Assumptions!$B$23</f>
        <v>-2399.72238</v>
      </c>
      <c r="AA21" s="10" t="n">
        <f aca="false">-Helpers!AA4*Assumptions!$B$23</f>
        <v>-2447.7168276</v>
      </c>
      <c r="AB21" s="10" t="n">
        <f aca="false">-Helpers!AB4*Assumptions!$B$23</f>
        <v>-2447.7168276</v>
      </c>
      <c r="AC21" s="10" t="n">
        <f aca="false">-Helpers!AC4*Assumptions!$B$23</f>
        <v>-2447.7168276</v>
      </c>
      <c r="AD21" s="10" t="n">
        <f aca="false">-Helpers!AD4*Assumptions!$B$23</f>
        <v>-2447.7168276</v>
      </c>
      <c r="AE21" s="10" t="n">
        <f aca="false">-Helpers!AE4*Assumptions!$B$23</f>
        <v>-2447.7168276</v>
      </c>
      <c r="AF21" s="10" t="n">
        <f aca="false">-Helpers!AF4*Assumptions!$B$23</f>
        <v>-2447.7168276</v>
      </c>
      <c r="AG21" s="10" t="n">
        <f aca="false">-Helpers!AG4*Assumptions!$B$23</f>
        <v>-2447.7168276</v>
      </c>
      <c r="AH21" s="10" t="n">
        <f aca="false">-Helpers!AH4*Assumptions!$B$23</f>
        <v>-2447.7168276</v>
      </c>
      <c r="AI21" s="10" t="n">
        <f aca="false">-Helpers!AI4*Assumptions!$B$23</f>
        <v>-2447.7168276</v>
      </c>
      <c r="AJ21" s="10" t="n">
        <f aca="false">-Helpers!AJ4*Assumptions!$B$23</f>
        <v>-2447.7168276</v>
      </c>
      <c r="AK21" s="10" t="n">
        <f aca="false">-Helpers!AK4*Assumptions!$B$23</f>
        <v>-2447.7168276</v>
      </c>
      <c r="AL21" s="10" t="n">
        <f aca="false">-Helpers!AL4*Assumptions!$B$23</f>
        <v>-2447.7168276</v>
      </c>
      <c r="AM21" s="10" t="n">
        <f aca="false">-Helpers!AM4*Assumptions!$B$23</f>
        <v>-2496.671164152</v>
      </c>
      <c r="AN21" s="10" t="n">
        <f aca="false">-Helpers!AN4*Assumptions!$B$23</f>
        <v>-2496.671164152</v>
      </c>
      <c r="AO21" s="10" t="n">
        <f aca="false">-Helpers!AO4*Assumptions!$B$23</f>
        <v>-2496.671164152</v>
      </c>
      <c r="AP21" s="10" t="n">
        <f aca="false">-Helpers!AP4*Assumptions!$B$23</f>
        <v>-2496.671164152</v>
      </c>
      <c r="AQ21" s="10" t="n">
        <f aca="false">-Helpers!AQ4*Assumptions!$B$23</f>
        <v>-2496.671164152</v>
      </c>
      <c r="AR21" s="10" t="n">
        <f aca="false">-Helpers!AR4*Assumptions!$B$23</f>
        <v>-2496.671164152</v>
      </c>
      <c r="AS21" s="10" t="n">
        <f aca="false">-Helpers!AS4*Assumptions!$B$23</f>
        <v>-2496.671164152</v>
      </c>
      <c r="AT21" s="10" t="n">
        <f aca="false">-Helpers!AT4*Assumptions!$B$23</f>
        <v>-2496.671164152</v>
      </c>
      <c r="AU21" s="10" t="n">
        <f aca="false">-Helpers!AU4*Assumptions!$B$23</f>
        <v>-2496.671164152</v>
      </c>
      <c r="AV21" s="10" t="n">
        <f aca="false">-Helpers!AV4*Assumptions!$B$23</f>
        <v>-2496.671164152</v>
      </c>
      <c r="AW21" s="10" t="n">
        <f aca="false">-Helpers!AW4*Assumptions!$B$23</f>
        <v>-2496.671164152</v>
      </c>
      <c r="AX21" s="10" t="n">
        <f aca="false">-Helpers!AX4*Assumptions!$B$23</f>
        <v>-2496.671164152</v>
      </c>
      <c r="AY21" s="10" t="n">
        <f aca="false">-Helpers!AY4*Assumptions!$B$23</f>
        <v>-2546.60458743504</v>
      </c>
      <c r="AZ21" s="10" t="n">
        <f aca="false">-Helpers!AZ4*Assumptions!$B$23</f>
        <v>-2546.60458743504</v>
      </c>
      <c r="BA21" s="10" t="n">
        <f aca="false">-Helpers!BA4*Assumptions!$B$23</f>
        <v>-2546.60458743504</v>
      </c>
      <c r="BB21" s="10" t="n">
        <f aca="false">-Helpers!BB4*Assumptions!$B$23</f>
        <v>-2546.60458743504</v>
      </c>
      <c r="BC21" s="10" t="n">
        <f aca="false">-Helpers!BC4*Assumptions!$B$23</f>
        <v>-2546.60458743504</v>
      </c>
      <c r="BD21" s="10" t="n">
        <f aca="false">-Helpers!BD4*Assumptions!$B$23</f>
        <v>-2546.60458743504</v>
      </c>
      <c r="BE21" s="10" t="n">
        <f aca="false">-Helpers!BE4*Assumptions!$B$23</f>
        <v>-2546.60458743504</v>
      </c>
      <c r="BF21" s="10" t="n">
        <f aca="false">-Helpers!BF4*Assumptions!$B$23</f>
        <v>-2546.60458743504</v>
      </c>
      <c r="BG21" s="10" t="n">
        <f aca="false">-Helpers!BG4*Assumptions!$B$23</f>
        <v>-2546.60458743504</v>
      </c>
      <c r="BH21" s="10" t="n">
        <f aca="false">-Helpers!BH4*Assumptions!$B$23</f>
        <v>-2546.60458743504</v>
      </c>
      <c r="BI21" s="10" t="n">
        <f aca="false">-Helpers!BI4*Assumptions!$B$23</f>
        <v>-2546.60458743504</v>
      </c>
      <c r="BJ21" s="10" t="n">
        <f aca="false">-Helpers!BJ4*Assumptions!$B$23</f>
        <v>-2546.60458743504</v>
      </c>
      <c r="BK21" s="10" t="n">
        <f aca="false">-Helpers!BK4*Assumptions!$B$23</f>
        <v>-2597.53667918374</v>
      </c>
      <c r="BL21" s="10" t="n">
        <f aca="false">-Helpers!BL4*Assumptions!$B$23</f>
        <v>-2597.53667918374</v>
      </c>
      <c r="BM21" s="10" t="n">
        <f aca="false">-Helpers!BM4*Assumptions!$B$23</f>
        <v>-2597.53667918374</v>
      </c>
      <c r="BN21" s="10" t="n">
        <f aca="false">-Helpers!BN4*Assumptions!$B$23</f>
        <v>-2597.53667918374</v>
      </c>
      <c r="BO21" s="10" t="n">
        <f aca="false">-Helpers!BO4*Assumptions!$B$23</f>
        <v>-2597.53667918374</v>
      </c>
      <c r="BP21" s="10" t="n">
        <f aca="false">-Helpers!BP4*Assumptions!$B$23</f>
        <v>-2597.53667918374</v>
      </c>
      <c r="BQ21" s="10" t="n">
        <f aca="false">-Helpers!BQ4*Assumptions!$B$23</f>
        <v>-2597.53667918374</v>
      </c>
      <c r="BR21" s="10" t="n">
        <f aca="false">-Helpers!BR4*Assumptions!$B$23</f>
        <v>-2597.53667918374</v>
      </c>
      <c r="BS21" s="10" t="n">
        <f aca="false">-Helpers!BS4*Assumptions!$B$23</f>
        <v>-2597.53667918374</v>
      </c>
      <c r="BT21" s="10" t="n">
        <f aca="false">-Helpers!BT4*Assumptions!$B$23</f>
        <v>-2597.53667918374</v>
      </c>
      <c r="BU21" s="10" t="n">
        <f aca="false">-Helpers!BU4*Assumptions!$B$23</f>
        <v>-2597.53667918374</v>
      </c>
      <c r="BV21" s="10" t="n">
        <f aca="false">-Helpers!BV4*Assumptions!$B$23</f>
        <v>-2597.53667918374</v>
      </c>
      <c r="BW21" s="10" t="n">
        <f aca="false">-Helpers!BW4*Assumptions!$B$23</f>
        <v>-2649.48741276742</v>
      </c>
      <c r="BX21" s="10" t="n">
        <f aca="false">-Helpers!BX4*Assumptions!$B$23</f>
        <v>-2649.48741276742</v>
      </c>
      <c r="BY21" s="10" t="n">
        <f aca="false">-Helpers!BY4*Assumptions!$B$23</f>
        <v>-2649.48741276742</v>
      </c>
      <c r="BZ21" s="10" t="n">
        <f aca="false">-Helpers!BZ4*Assumptions!$B$23</f>
        <v>-2649.48741276742</v>
      </c>
      <c r="CA21" s="10" t="n">
        <f aca="false">-Helpers!CA4*Assumptions!$B$23</f>
        <v>-2649.48741276742</v>
      </c>
      <c r="CB21" s="10" t="n">
        <f aca="false">-Helpers!CB4*Assumptions!$B$23</f>
        <v>-2649.48741276742</v>
      </c>
      <c r="CC21" s="10" t="n">
        <f aca="false">-Helpers!CC4*Assumptions!$B$23</f>
        <v>-2649.48741276742</v>
      </c>
      <c r="CD21" s="10" t="n">
        <f aca="false">-Helpers!CD4*Assumptions!$B$23</f>
        <v>-2649.48741276742</v>
      </c>
      <c r="CE21" s="10" t="n">
        <f aca="false">-Helpers!CE4*Assumptions!$B$23</f>
        <v>-2649.48741276742</v>
      </c>
      <c r="CF21" s="10" t="n">
        <f aca="false">-Helpers!CF4*Assumptions!$B$23</f>
        <v>-2649.48741276742</v>
      </c>
      <c r="CG21" s="10" t="n">
        <f aca="false">-Helpers!CG4*Assumptions!$B$23</f>
        <v>-2649.48741276742</v>
      </c>
      <c r="CH21" s="10" t="n">
        <f aca="false">-Helpers!CH4*Assumptions!$B$23</f>
        <v>-2649.48741276742</v>
      </c>
      <c r="CI21" s="25"/>
    </row>
    <row r="22" customFormat="false" ht="15" hidden="false" customHeight="true" outlineLevel="0" collapsed="false">
      <c r="A22" s="9" t="s">
        <v>69</v>
      </c>
      <c r="B22" s="24"/>
      <c r="C22" s="10" t="n">
        <f aca="false">-10000*Escalation!$B$2</f>
        <v>-10000</v>
      </c>
      <c r="D22" s="10" t="n">
        <f aca="false">-10000*Escalation!$B$3</f>
        <v>-10000</v>
      </c>
      <c r="E22" s="10" t="n">
        <f aca="false">-10000*Escalation!$B$4</f>
        <v>-10000</v>
      </c>
      <c r="F22" s="10" t="n">
        <f aca="false">-10000*Escalation!$B$5</f>
        <v>-10000</v>
      </c>
      <c r="G22" s="10" t="n">
        <f aca="false">-10000*Escalation!$B$6</f>
        <v>-10000</v>
      </c>
      <c r="H22" s="10" t="n">
        <f aca="false">-10000*Escalation!$B$7</f>
        <v>-10000</v>
      </c>
      <c r="I22" s="10" t="n">
        <f aca="false">-10000*Escalation!$B$8</f>
        <v>-10000</v>
      </c>
      <c r="J22" s="10" t="n">
        <f aca="false">-10000*Escalation!$B$9</f>
        <v>-10000</v>
      </c>
      <c r="K22" s="10" t="n">
        <f aca="false">-10000*Escalation!$B$10</f>
        <v>-10000</v>
      </c>
      <c r="L22" s="10" t="n">
        <f aca="false">-10000*Escalation!$B$11</f>
        <v>-10000</v>
      </c>
      <c r="M22" s="10" t="n">
        <f aca="false">-10000*Escalation!$B$12</f>
        <v>-10000</v>
      </c>
      <c r="N22" s="10" t="n">
        <f aca="false">-10000*Escalation!$B$13</f>
        <v>-10000</v>
      </c>
      <c r="O22" s="10" t="n">
        <f aca="false">-10000*Escalation!$B$14</f>
        <v>-10200</v>
      </c>
      <c r="P22" s="10" t="n">
        <f aca="false">-10000*Escalation!$B$15</f>
        <v>-10200</v>
      </c>
      <c r="Q22" s="10" t="n">
        <f aca="false">-10000*Escalation!$B$16</f>
        <v>-10200</v>
      </c>
      <c r="R22" s="10" t="n">
        <f aca="false">-10000*Escalation!$B$17</f>
        <v>-10200</v>
      </c>
      <c r="S22" s="10" t="n">
        <f aca="false">-10000*Escalation!$B$18</f>
        <v>-10200</v>
      </c>
      <c r="T22" s="10" t="n">
        <f aca="false">-10000*Escalation!$B$19</f>
        <v>-10200</v>
      </c>
      <c r="U22" s="10" t="n">
        <f aca="false">-10000*Escalation!$B$20</f>
        <v>-10200</v>
      </c>
      <c r="V22" s="10" t="n">
        <f aca="false">-10000*Escalation!$B$21</f>
        <v>-10200</v>
      </c>
      <c r="W22" s="10" t="n">
        <f aca="false">-10000*Escalation!$B$22</f>
        <v>-10200</v>
      </c>
      <c r="X22" s="10" t="n">
        <f aca="false">-10000*Escalation!$B$23</f>
        <v>-10200</v>
      </c>
      <c r="Y22" s="10" t="n">
        <f aca="false">-10000*Escalation!$B$24</f>
        <v>-10200</v>
      </c>
      <c r="Z22" s="10" t="n">
        <f aca="false">-10000*Escalation!$B$25</f>
        <v>-10200</v>
      </c>
      <c r="AA22" s="10" t="n">
        <f aca="false">-10000*Escalation!$B$26</f>
        <v>-10404</v>
      </c>
      <c r="AB22" s="10" t="n">
        <f aca="false">-10000*Escalation!$B$27</f>
        <v>-10404</v>
      </c>
      <c r="AC22" s="10" t="n">
        <f aca="false">-10000*Escalation!$B$28</f>
        <v>-10404</v>
      </c>
      <c r="AD22" s="10" t="n">
        <f aca="false">-10000*Escalation!$B$29</f>
        <v>-10404</v>
      </c>
      <c r="AE22" s="10" t="n">
        <f aca="false">-10000*Escalation!$B$30</f>
        <v>-10404</v>
      </c>
      <c r="AF22" s="10" t="n">
        <f aca="false">-10000*Escalation!$B$31</f>
        <v>-10404</v>
      </c>
      <c r="AG22" s="10" t="n">
        <f aca="false">-10000*Escalation!$B$32</f>
        <v>-10404</v>
      </c>
      <c r="AH22" s="10" t="n">
        <f aca="false">-10000*Escalation!$B$33</f>
        <v>-10404</v>
      </c>
      <c r="AI22" s="10" t="n">
        <f aca="false">-10000*Escalation!$B$34</f>
        <v>-10404</v>
      </c>
      <c r="AJ22" s="10" t="n">
        <f aca="false">-10000*Escalation!$B$35</f>
        <v>-10404</v>
      </c>
      <c r="AK22" s="10" t="n">
        <f aca="false">-10000*Escalation!$B$36</f>
        <v>-10404</v>
      </c>
      <c r="AL22" s="10" t="n">
        <f aca="false">-10000*Escalation!$B$37</f>
        <v>-10404</v>
      </c>
      <c r="AM22" s="10" t="n">
        <f aca="false">-10000*Escalation!$B$38</f>
        <v>-10612.08</v>
      </c>
      <c r="AN22" s="10" t="n">
        <f aca="false">-10000*Escalation!$B$39</f>
        <v>-10612.08</v>
      </c>
      <c r="AO22" s="10" t="n">
        <f aca="false">-10000*Escalation!$B$40</f>
        <v>-10612.08</v>
      </c>
      <c r="AP22" s="10" t="n">
        <f aca="false">-10000*Escalation!$B$41</f>
        <v>-10612.08</v>
      </c>
      <c r="AQ22" s="10" t="n">
        <f aca="false">-10000*Escalation!$B$42</f>
        <v>-10612.08</v>
      </c>
      <c r="AR22" s="10" t="n">
        <f aca="false">-10000*Escalation!$B$43</f>
        <v>-10612.08</v>
      </c>
      <c r="AS22" s="10" t="n">
        <f aca="false">-10000*Escalation!$B$44</f>
        <v>-10612.08</v>
      </c>
      <c r="AT22" s="10" t="n">
        <f aca="false">-10000*Escalation!$B$45</f>
        <v>-10612.08</v>
      </c>
      <c r="AU22" s="10" t="n">
        <f aca="false">-10000*Escalation!$B$46</f>
        <v>-10612.08</v>
      </c>
      <c r="AV22" s="10" t="n">
        <f aca="false">-10000*Escalation!$B$47</f>
        <v>-10612.08</v>
      </c>
      <c r="AW22" s="10" t="n">
        <f aca="false">-10000*Escalation!$B$48</f>
        <v>-10612.08</v>
      </c>
      <c r="AX22" s="10" t="n">
        <f aca="false">-10000*Escalation!$B$49</f>
        <v>-10612.08</v>
      </c>
      <c r="AY22" s="10" t="n">
        <f aca="false">-10000*Escalation!$B$50</f>
        <v>-10824.3216</v>
      </c>
      <c r="AZ22" s="10" t="n">
        <f aca="false">-10000*Escalation!$B$51</f>
        <v>-10824.3216</v>
      </c>
      <c r="BA22" s="10" t="n">
        <f aca="false">-10000*Escalation!$B$52</f>
        <v>-10824.3216</v>
      </c>
      <c r="BB22" s="10" t="n">
        <f aca="false">-10000*Escalation!$B$53</f>
        <v>-10824.3216</v>
      </c>
      <c r="BC22" s="10" t="n">
        <f aca="false">-10000*Escalation!$B$54</f>
        <v>-10824.3216</v>
      </c>
      <c r="BD22" s="10" t="n">
        <f aca="false">-10000*Escalation!$B$55</f>
        <v>-10824.3216</v>
      </c>
      <c r="BE22" s="10" t="n">
        <f aca="false">-10000*Escalation!$B$56</f>
        <v>-10824.3216</v>
      </c>
      <c r="BF22" s="10" t="n">
        <f aca="false">-10000*Escalation!$B$57</f>
        <v>-10824.3216</v>
      </c>
      <c r="BG22" s="10" t="n">
        <f aca="false">-10000*Escalation!$B$58</f>
        <v>-10824.3216</v>
      </c>
      <c r="BH22" s="10" t="n">
        <f aca="false">-10000*Escalation!$B$59</f>
        <v>-10824.3216</v>
      </c>
      <c r="BI22" s="10" t="n">
        <f aca="false">-10000*Escalation!$B$60</f>
        <v>-10824.3216</v>
      </c>
      <c r="BJ22" s="10" t="n">
        <f aca="false">-10000*Escalation!$B$61</f>
        <v>-10824.3216</v>
      </c>
      <c r="BK22" s="10" t="n">
        <f aca="false">-10000*Escalation!$B$62</f>
        <v>-11040.808032</v>
      </c>
      <c r="BL22" s="10" t="n">
        <f aca="false">-10000*Escalation!$B$63</f>
        <v>-11040.808032</v>
      </c>
      <c r="BM22" s="10" t="n">
        <f aca="false">-10000*Escalation!$B$64</f>
        <v>-11040.808032</v>
      </c>
      <c r="BN22" s="10" t="n">
        <f aca="false">-10000*Escalation!$B$65</f>
        <v>-11040.808032</v>
      </c>
      <c r="BO22" s="10" t="n">
        <f aca="false">-10000*Escalation!$B$66</f>
        <v>-11040.808032</v>
      </c>
      <c r="BP22" s="10" t="n">
        <f aca="false">-10000*Escalation!$B$67</f>
        <v>-11040.808032</v>
      </c>
      <c r="BQ22" s="10" t="n">
        <f aca="false">-10000*Escalation!$B$68</f>
        <v>-11040.808032</v>
      </c>
      <c r="BR22" s="10" t="n">
        <f aca="false">-10000*Escalation!$B$69</f>
        <v>-11040.808032</v>
      </c>
      <c r="BS22" s="10" t="n">
        <f aca="false">-10000*Escalation!$B$70</f>
        <v>-11040.808032</v>
      </c>
      <c r="BT22" s="10" t="n">
        <f aca="false">-10000*Escalation!$B$71</f>
        <v>-11040.808032</v>
      </c>
      <c r="BU22" s="10" t="n">
        <f aca="false">-10000*Escalation!$B$72</f>
        <v>-11040.808032</v>
      </c>
      <c r="BV22" s="10" t="n">
        <f aca="false">-10000*Escalation!$B$73</f>
        <v>-11040.808032</v>
      </c>
      <c r="BW22" s="10" t="n">
        <f aca="false">-10000*Escalation!$B$74</f>
        <v>-11261.62419264</v>
      </c>
      <c r="BX22" s="10" t="n">
        <f aca="false">-10000*Escalation!$B$75</f>
        <v>-11261.62419264</v>
      </c>
      <c r="BY22" s="10" t="n">
        <f aca="false">-10000*Escalation!$B$76</f>
        <v>-11261.62419264</v>
      </c>
      <c r="BZ22" s="10" t="n">
        <f aca="false">-10000*Escalation!$B$77</f>
        <v>-11261.62419264</v>
      </c>
      <c r="CA22" s="10" t="n">
        <f aca="false">-10000*Escalation!$B$78</f>
        <v>-11261.62419264</v>
      </c>
      <c r="CB22" s="10" t="n">
        <f aca="false">-10000*Escalation!$B$79</f>
        <v>-11261.62419264</v>
      </c>
      <c r="CC22" s="10" t="n">
        <f aca="false">-10000*Escalation!$B$80</f>
        <v>-11261.62419264</v>
      </c>
      <c r="CD22" s="10" t="n">
        <f aca="false">-10000*Escalation!$B$81</f>
        <v>-11261.62419264</v>
      </c>
      <c r="CE22" s="10" t="n">
        <f aca="false">-10000*Escalation!$B$82</f>
        <v>-11261.62419264</v>
      </c>
      <c r="CF22" s="10" t="n">
        <f aca="false">-10000*Escalation!$B$83</f>
        <v>-11261.62419264</v>
      </c>
      <c r="CG22" s="10" t="n">
        <f aca="false">-10000*Escalation!$B$84</f>
        <v>-11261.62419264</v>
      </c>
      <c r="CH22" s="10" t="n">
        <f aca="false">-10000*Escalation!$B$85</f>
        <v>-11261.62419264</v>
      </c>
      <c r="CI22" s="25"/>
    </row>
    <row r="23" customFormat="false" ht="15" hidden="false" customHeight="true" outlineLevel="0" collapsed="false">
      <c r="A23" s="9" t="s">
        <v>70</v>
      </c>
      <c r="B23" s="24"/>
      <c r="C23" s="10" t="n">
        <f aca="false">-2500*Escalation!$B$2</f>
        <v>-2500</v>
      </c>
      <c r="D23" s="10" t="n">
        <f aca="false">-2500*Escalation!$B$3</f>
        <v>-2500</v>
      </c>
      <c r="E23" s="10" t="n">
        <f aca="false">-2500*Escalation!$B$4</f>
        <v>-2500</v>
      </c>
      <c r="F23" s="10" t="n">
        <f aca="false">-2500*Escalation!$B$5</f>
        <v>-2500</v>
      </c>
      <c r="G23" s="10" t="n">
        <f aca="false">-2500*Escalation!$B$6</f>
        <v>-2500</v>
      </c>
      <c r="H23" s="10" t="n">
        <f aca="false">-2500*Escalation!$B$7</f>
        <v>-2500</v>
      </c>
      <c r="I23" s="10" t="n">
        <f aca="false">-2500*Escalation!$B$8</f>
        <v>-2500</v>
      </c>
      <c r="J23" s="10" t="n">
        <f aca="false">-2500*Escalation!$B$9</f>
        <v>-2500</v>
      </c>
      <c r="K23" s="10" t="n">
        <f aca="false">-2500*Escalation!$B$10</f>
        <v>-2500</v>
      </c>
      <c r="L23" s="10" t="n">
        <f aca="false">-2500*Escalation!$B$11</f>
        <v>-2500</v>
      </c>
      <c r="M23" s="10" t="n">
        <f aca="false">-2500*Escalation!$B$12</f>
        <v>-2500</v>
      </c>
      <c r="N23" s="10" t="n">
        <f aca="false">-2500*Escalation!$B$13</f>
        <v>-2500</v>
      </c>
      <c r="O23" s="10" t="n">
        <f aca="false">-2500*Escalation!$B$14</f>
        <v>-2550</v>
      </c>
      <c r="P23" s="10" t="n">
        <f aca="false">-2500*Escalation!$B$15</f>
        <v>-2550</v>
      </c>
      <c r="Q23" s="10" t="n">
        <f aca="false">-2500*Escalation!$B$16</f>
        <v>-2550</v>
      </c>
      <c r="R23" s="10" t="n">
        <f aca="false">-2500*Escalation!$B$17</f>
        <v>-2550</v>
      </c>
      <c r="S23" s="10" t="n">
        <f aca="false">-2500*Escalation!$B$18</f>
        <v>-2550</v>
      </c>
      <c r="T23" s="10" t="n">
        <f aca="false">-2500*Escalation!$B$19</f>
        <v>-2550</v>
      </c>
      <c r="U23" s="10" t="n">
        <f aca="false">-2500*Escalation!$B$20</f>
        <v>-2550</v>
      </c>
      <c r="V23" s="10" t="n">
        <f aca="false">-2500*Escalation!$B$21</f>
        <v>-2550</v>
      </c>
      <c r="W23" s="10" t="n">
        <f aca="false">-2500*Escalation!$B$22</f>
        <v>-2550</v>
      </c>
      <c r="X23" s="10" t="n">
        <f aca="false">-2500*Escalation!$B$23</f>
        <v>-2550</v>
      </c>
      <c r="Y23" s="10" t="n">
        <f aca="false">-2500*Escalation!$B$24</f>
        <v>-2550</v>
      </c>
      <c r="Z23" s="10" t="n">
        <f aca="false">-2500*Escalation!$B$25</f>
        <v>-2550</v>
      </c>
      <c r="AA23" s="10" t="n">
        <f aca="false">-2500*Escalation!$B$26</f>
        <v>-2601</v>
      </c>
      <c r="AB23" s="10" t="n">
        <f aca="false">-2500*Escalation!$B$27</f>
        <v>-2601</v>
      </c>
      <c r="AC23" s="10" t="n">
        <f aca="false">-2500*Escalation!$B$28</f>
        <v>-2601</v>
      </c>
      <c r="AD23" s="10" t="n">
        <f aca="false">-2500*Escalation!$B$29</f>
        <v>-2601</v>
      </c>
      <c r="AE23" s="10" t="n">
        <f aca="false">-2500*Escalation!$B$30</f>
        <v>-2601</v>
      </c>
      <c r="AF23" s="10" t="n">
        <f aca="false">-2500*Escalation!$B$31</f>
        <v>-2601</v>
      </c>
      <c r="AG23" s="10" t="n">
        <f aca="false">-2500*Escalation!$B$32</f>
        <v>-2601</v>
      </c>
      <c r="AH23" s="10" t="n">
        <f aca="false">-2500*Escalation!$B$33</f>
        <v>-2601</v>
      </c>
      <c r="AI23" s="10" t="n">
        <f aca="false">-2500*Escalation!$B$34</f>
        <v>-2601</v>
      </c>
      <c r="AJ23" s="10" t="n">
        <f aca="false">-2500*Escalation!$B$35</f>
        <v>-2601</v>
      </c>
      <c r="AK23" s="10" t="n">
        <f aca="false">-2500*Escalation!$B$36</f>
        <v>-2601</v>
      </c>
      <c r="AL23" s="10" t="n">
        <f aca="false">-2500*Escalation!$B$37</f>
        <v>-2601</v>
      </c>
      <c r="AM23" s="10" t="n">
        <f aca="false">-2500*Escalation!$B$38</f>
        <v>-2653.02</v>
      </c>
      <c r="AN23" s="10" t="n">
        <f aca="false">-2500*Escalation!$B$39</f>
        <v>-2653.02</v>
      </c>
      <c r="AO23" s="10" t="n">
        <f aca="false">-2500*Escalation!$B$40</f>
        <v>-2653.02</v>
      </c>
      <c r="AP23" s="10" t="n">
        <f aca="false">-2500*Escalation!$B$41</f>
        <v>-2653.02</v>
      </c>
      <c r="AQ23" s="10" t="n">
        <f aca="false">-2500*Escalation!$B$42</f>
        <v>-2653.02</v>
      </c>
      <c r="AR23" s="10" t="n">
        <f aca="false">-2500*Escalation!$B$43</f>
        <v>-2653.02</v>
      </c>
      <c r="AS23" s="10" t="n">
        <f aca="false">-2500*Escalation!$B$44</f>
        <v>-2653.02</v>
      </c>
      <c r="AT23" s="10" t="n">
        <f aca="false">-2500*Escalation!$B$45</f>
        <v>-2653.02</v>
      </c>
      <c r="AU23" s="10" t="n">
        <f aca="false">-2500*Escalation!$B$46</f>
        <v>-2653.02</v>
      </c>
      <c r="AV23" s="10" t="n">
        <f aca="false">-2500*Escalation!$B$47</f>
        <v>-2653.02</v>
      </c>
      <c r="AW23" s="10" t="n">
        <f aca="false">-2500*Escalation!$B$48</f>
        <v>-2653.02</v>
      </c>
      <c r="AX23" s="10" t="n">
        <f aca="false">-2500*Escalation!$B$49</f>
        <v>-2653.02</v>
      </c>
      <c r="AY23" s="10" t="n">
        <f aca="false">-2500*Escalation!$B$50</f>
        <v>-2706.0804</v>
      </c>
      <c r="AZ23" s="10" t="n">
        <f aca="false">-2500*Escalation!$B$51</f>
        <v>-2706.0804</v>
      </c>
      <c r="BA23" s="10" t="n">
        <f aca="false">-2500*Escalation!$B$52</f>
        <v>-2706.0804</v>
      </c>
      <c r="BB23" s="10" t="n">
        <f aca="false">-2500*Escalation!$B$53</f>
        <v>-2706.0804</v>
      </c>
      <c r="BC23" s="10" t="n">
        <f aca="false">-2500*Escalation!$B$54</f>
        <v>-2706.0804</v>
      </c>
      <c r="BD23" s="10" t="n">
        <f aca="false">-2500*Escalation!$B$55</f>
        <v>-2706.0804</v>
      </c>
      <c r="BE23" s="10" t="n">
        <f aca="false">-2500*Escalation!$B$56</f>
        <v>-2706.0804</v>
      </c>
      <c r="BF23" s="10" t="n">
        <f aca="false">-2500*Escalation!$B$57</f>
        <v>-2706.0804</v>
      </c>
      <c r="BG23" s="10" t="n">
        <f aca="false">-2500*Escalation!$B$58</f>
        <v>-2706.0804</v>
      </c>
      <c r="BH23" s="10" t="n">
        <f aca="false">-2500*Escalation!$B$59</f>
        <v>-2706.0804</v>
      </c>
      <c r="BI23" s="10" t="n">
        <f aca="false">-2500*Escalation!$B$60</f>
        <v>-2706.0804</v>
      </c>
      <c r="BJ23" s="10" t="n">
        <f aca="false">-2500*Escalation!$B$61</f>
        <v>-2706.0804</v>
      </c>
      <c r="BK23" s="10" t="n">
        <f aca="false">-2500*Escalation!$B$62</f>
        <v>-2760.202008</v>
      </c>
      <c r="BL23" s="10" t="n">
        <f aca="false">-2500*Escalation!$B$63</f>
        <v>-2760.202008</v>
      </c>
      <c r="BM23" s="10" t="n">
        <f aca="false">-2500*Escalation!$B$64</f>
        <v>-2760.202008</v>
      </c>
      <c r="BN23" s="10" t="n">
        <f aca="false">-2500*Escalation!$B$65</f>
        <v>-2760.202008</v>
      </c>
      <c r="BO23" s="10" t="n">
        <f aca="false">-2500*Escalation!$B$66</f>
        <v>-2760.202008</v>
      </c>
      <c r="BP23" s="10" t="n">
        <f aca="false">-2500*Escalation!$B$67</f>
        <v>-2760.202008</v>
      </c>
      <c r="BQ23" s="10" t="n">
        <f aca="false">-2500*Escalation!$B$68</f>
        <v>-2760.202008</v>
      </c>
      <c r="BR23" s="10" t="n">
        <f aca="false">-2500*Escalation!$B$69</f>
        <v>-2760.202008</v>
      </c>
      <c r="BS23" s="10" t="n">
        <f aca="false">-2500*Escalation!$B$70</f>
        <v>-2760.202008</v>
      </c>
      <c r="BT23" s="10" t="n">
        <f aca="false">-2500*Escalation!$B$71</f>
        <v>-2760.202008</v>
      </c>
      <c r="BU23" s="10" t="n">
        <f aca="false">-2500*Escalation!$B$72</f>
        <v>-2760.202008</v>
      </c>
      <c r="BV23" s="10" t="n">
        <f aca="false">-2500*Escalation!$B$73</f>
        <v>-2760.202008</v>
      </c>
      <c r="BW23" s="10" t="n">
        <f aca="false">-2500*Escalation!$B$74</f>
        <v>-2815.40604816</v>
      </c>
      <c r="BX23" s="10" t="n">
        <f aca="false">-2500*Escalation!$B$75</f>
        <v>-2815.40604816</v>
      </c>
      <c r="BY23" s="10" t="n">
        <f aca="false">-2500*Escalation!$B$76</f>
        <v>-2815.40604816</v>
      </c>
      <c r="BZ23" s="10" t="n">
        <f aca="false">-2500*Escalation!$B$77</f>
        <v>-2815.40604816</v>
      </c>
      <c r="CA23" s="10" t="n">
        <f aca="false">-2500*Escalation!$B$78</f>
        <v>-2815.40604816</v>
      </c>
      <c r="CB23" s="10" t="n">
        <f aca="false">-2500*Escalation!$B$79</f>
        <v>-2815.40604816</v>
      </c>
      <c r="CC23" s="10" t="n">
        <f aca="false">-2500*Escalation!$B$80</f>
        <v>-2815.40604816</v>
      </c>
      <c r="CD23" s="10" t="n">
        <f aca="false">-2500*Escalation!$B$81</f>
        <v>-2815.40604816</v>
      </c>
      <c r="CE23" s="10" t="n">
        <f aca="false">-2500*Escalation!$B$82</f>
        <v>-2815.40604816</v>
      </c>
      <c r="CF23" s="10" t="n">
        <f aca="false">-2500*Escalation!$B$83</f>
        <v>-2815.40604816</v>
      </c>
      <c r="CG23" s="10" t="n">
        <f aca="false">-2500*Escalation!$B$84</f>
        <v>-2815.40604816</v>
      </c>
      <c r="CH23" s="10" t="n">
        <f aca="false">-2500*Escalation!$B$85</f>
        <v>-2815.40604816</v>
      </c>
      <c r="CI23" s="25"/>
    </row>
    <row r="24" customFormat="false" ht="15" hidden="false" customHeight="true" outlineLevel="0" collapsed="false">
      <c r="A24" s="9" t="s">
        <v>71</v>
      </c>
      <c r="B24" s="24"/>
      <c r="C24" s="10" t="n">
        <f aca="false">-300*Escalation!$B$2</f>
        <v>-300</v>
      </c>
      <c r="D24" s="10" t="n">
        <f aca="false">-300*Escalation!$B$3</f>
        <v>-300</v>
      </c>
      <c r="E24" s="10" t="n">
        <f aca="false">-300*Escalation!$B$4</f>
        <v>-300</v>
      </c>
      <c r="F24" s="10" t="n">
        <f aca="false">-300*Escalation!$B$5</f>
        <v>-300</v>
      </c>
      <c r="G24" s="10" t="n">
        <f aca="false">-300*Escalation!$B$6</f>
        <v>-300</v>
      </c>
      <c r="H24" s="10" t="n">
        <f aca="false">-300*Escalation!$B$7</f>
        <v>-300</v>
      </c>
      <c r="I24" s="10" t="n">
        <f aca="false">-300*Escalation!$B$8</f>
        <v>-300</v>
      </c>
      <c r="J24" s="10" t="n">
        <f aca="false">-300*Escalation!$B$9</f>
        <v>-300</v>
      </c>
      <c r="K24" s="10" t="n">
        <f aca="false">-300*Escalation!$B$10</f>
        <v>-300</v>
      </c>
      <c r="L24" s="10" t="n">
        <f aca="false">-300*Escalation!$B$11</f>
        <v>-300</v>
      </c>
      <c r="M24" s="10" t="n">
        <f aca="false">-300*Escalation!$B$12</f>
        <v>-300</v>
      </c>
      <c r="N24" s="10" t="n">
        <f aca="false">-300*Escalation!$B$13</f>
        <v>-300</v>
      </c>
      <c r="O24" s="10" t="n">
        <f aca="false">-300*Escalation!$B$14</f>
        <v>-306</v>
      </c>
      <c r="P24" s="10" t="n">
        <f aca="false">-300*Escalation!$B$15</f>
        <v>-306</v>
      </c>
      <c r="Q24" s="10" t="n">
        <f aca="false">-300*Escalation!$B$16</f>
        <v>-306</v>
      </c>
      <c r="R24" s="10" t="n">
        <f aca="false">-300*Escalation!$B$17</f>
        <v>-306</v>
      </c>
      <c r="S24" s="10" t="n">
        <f aca="false">-300*Escalation!$B$18</f>
        <v>-306</v>
      </c>
      <c r="T24" s="10" t="n">
        <f aca="false">-300*Escalation!$B$19</f>
        <v>-306</v>
      </c>
      <c r="U24" s="10" t="n">
        <f aca="false">-300*Escalation!$B$20</f>
        <v>-306</v>
      </c>
      <c r="V24" s="10" t="n">
        <f aca="false">-300*Escalation!$B$21</f>
        <v>-306</v>
      </c>
      <c r="W24" s="10" t="n">
        <f aca="false">-300*Escalation!$B$22</f>
        <v>-306</v>
      </c>
      <c r="X24" s="10" t="n">
        <f aca="false">-300*Escalation!$B$23</f>
        <v>-306</v>
      </c>
      <c r="Y24" s="10" t="n">
        <f aca="false">-300*Escalation!$B$24</f>
        <v>-306</v>
      </c>
      <c r="Z24" s="10" t="n">
        <f aca="false">-300*Escalation!$B$25</f>
        <v>-306</v>
      </c>
      <c r="AA24" s="10" t="n">
        <f aca="false">-300*Escalation!$B$26</f>
        <v>-312.12</v>
      </c>
      <c r="AB24" s="10" t="n">
        <f aca="false">-300*Escalation!$B$27</f>
        <v>-312.12</v>
      </c>
      <c r="AC24" s="10" t="n">
        <f aca="false">-300*Escalation!$B$28</f>
        <v>-312.12</v>
      </c>
      <c r="AD24" s="10" t="n">
        <f aca="false">-300*Escalation!$B$29</f>
        <v>-312.12</v>
      </c>
      <c r="AE24" s="10" t="n">
        <f aca="false">-300*Escalation!$B$30</f>
        <v>-312.12</v>
      </c>
      <c r="AF24" s="10" t="n">
        <f aca="false">-300*Escalation!$B$31</f>
        <v>-312.12</v>
      </c>
      <c r="AG24" s="10" t="n">
        <f aca="false">-300*Escalation!$B$32</f>
        <v>-312.12</v>
      </c>
      <c r="AH24" s="10" t="n">
        <f aca="false">-300*Escalation!$B$33</f>
        <v>-312.12</v>
      </c>
      <c r="AI24" s="10" t="n">
        <f aca="false">-300*Escalation!$B$34</f>
        <v>-312.12</v>
      </c>
      <c r="AJ24" s="10" t="n">
        <f aca="false">-300*Escalation!$B$35</f>
        <v>-312.12</v>
      </c>
      <c r="AK24" s="10" t="n">
        <f aca="false">-300*Escalation!$B$36</f>
        <v>-312.12</v>
      </c>
      <c r="AL24" s="10" t="n">
        <f aca="false">-300*Escalation!$B$37</f>
        <v>-312.12</v>
      </c>
      <c r="AM24" s="10" t="n">
        <f aca="false">-300*Escalation!$B$38</f>
        <v>-318.3624</v>
      </c>
      <c r="AN24" s="10" t="n">
        <f aca="false">-300*Escalation!$B$39</f>
        <v>-318.3624</v>
      </c>
      <c r="AO24" s="10" t="n">
        <f aca="false">-300*Escalation!$B$40</f>
        <v>-318.3624</v>
      </c>
      <c r="AP24" s="10" t="n">
        <f aca="false">-300*Escalation!$B$41</f>
        <v>-318.3624</v>
      </c>
      <c r="AQ24" s="10" t="n">
        <f aca="false">-300*Escalation!$B$42</f>
        <v>-318.3624</v>
      </c>
      <c r="AR24" s="10" t="n">
        <f aca="false">-300*Escalation!$B$43</f>
        <v>-318.3624</v>
      </c>
      <c r="AS24" s="10" t="n">
        <f aca="false">-300*Escalation!$B$44</f>
        <v>-318.3624</v>
      </c>
      <c r="AT24" s="10" t="n">
        <f aca="false">-300*Escalation!$B$45</f>
        <v>-318.3624</v>
      </c>
      <c r="AU24" s="10" t="n">
        <f aca="false">-300*Escalation!$B$46</f>
        <v>-318.3624</v>
      </c>
      <c r="AV24" s="10" t="n">
        <f aca="false">-300*Escalation!$B$47</f>
        <v>-318.3624</v>
      </c>
      <c r="AW24" s="10" t="n">
        <f aca="false">-300*Escalation!$B$48</f>
        <v>-318.3624</v>
      </c>
      <c r="AX24" s="10" t="n">
        <f aca="false">-300*Escalation!$B$49</f>
        <v>-318.3624</v>
      </c>
      <c r="AY24" s="10" t="n">
        <f aca="false">-300*Escalation!$B$50</f>
        <v>-324.729648</v>
      </c>
      <c r="AZ24" s="10" t="n">
        <f aca="false">-300*Escalation!$B$51</f>
        <v>-324.729648</v>
      </c>
      <c r="BA24" s="10" t="n">
        <f aca="false">-300*Escalation!$B$52</f>
        <v>-324.729648</v>
      </c>
      <c r="BB24" s="10" t="n">
        <f aca="false">-300*Escalation!$B$53</f>
        <v>-324.729648</v>
      </c>
      <c r="BC24" s="10" t="n">
        <f aca="false">-300*Escalation!$B$54</f>
        <v>-324.729648</v>
      </c>
      <c r="BD24" s="10" t="n">
        <f aca="false">-300*Escalation!$B$55</f>
        <v>-324.729648</v>
      </c>
      <c r="BE24" s="10" t="n">
        <f aca="false">-300*Escalation!$B$56</f>
        <v>-324.729648</v>
      </c>
      <c r="BF24" s="10" t="n">
        <f aca="false">-300*Escalation!$B$57</f>
        <v>-324.729648</v>
      </c>
      <c r="BG24" s="10" t="n">
        <f aca="false">-300*Escalation!$B$58</f>
        <v>-324.729648</v>
      </c>
      <c r="BH24" s="10" t="n">
        <f aca="false">-300*Escalation!$B$59</f>
        <v>-324.729648</v>
      </c>
      <c r="BI24" s="10" t="n">
        <f aca="false">-300*Escalation!$B$60</f>
        <v>-324.729648</v>
      </c>
      <c r="BJ24" s="10" t="n">
        <f aca="false">-300*Escalation!$B$61</f>
        <v>-324.729648</v>
      </c>
      <c r="BK24" s="10" t="n">
        <f aca="false">-300*Escalation!$B$62</f>
        <v>-331.22424096</v>
      </c>
      <c r="BL24" s="10" t="n">
        <f aca="false">-300*Escalation!$B$63</f>
        <v>-331.22424096</v>
      </c>
      <c r="BM24" s="10" t="n">
        <f aca="false">-300*Escalation!$B$64</f>
        <v>-331.22424096</v>
      </c>
      <c r="BN24" s="10" t="n">
        <f aca="false">-300*Escalation!$B$65</f>
        <v>-331.22424096</v>
      </c>
      <c r="BO24" s="10" t="n">
        <f aca="false">-300*Escalation!$B$66</f>
        <v>-331.22424096</v>
      </c>
      <c r="BP24" s="10" t="n">
        <f aca="false">-300*Escalation!$B$67</f>
        <v>-331.22424096</v>
      </c>
      <c r="BQ24" s="10" t="n">
        <f aca="false">-300*Escalation!$B$68</f>
        <v>-331.22424096</v>
      </c>
      <c r="BR24" s="10" t="n">
        <f aca="false">-300*Escalation!$B$69</f>
        <v>-331.22424096</v>
      </c>
      <c r="BS24" s="10" t="n">
        <f aca="false">-300*Escalation!$B$70</f>
        <v>-331.22424096</v>
      </c>
      <c r="BT24" s="10" t="n">
        <f aca="false">-300*Escalation!$B$71</f>
        <v>-331.22424096</v>
      </c>
      <c r="BU24" s="10" t="n">
        <f aca="false">-300*Escalation!$B$72</f>
        <v>-331.22424096</v>
      </c>
      <c r="BV24" s="10" t="n">
        <f aca="false">-300*Escalation!$B$73</f>
        <v>-331.22424096</v>
      </c>
      <c r="BW24" s="10" t="n">
        <f aca="false">-300*Escalation!$B$74</f>
        <v>-337.8487257792</v>
      </c>
      <c r="BX24" s="10" t="n">
        <f aca="false">-300*Escalation!$B$75</f>
        <v>-337.8487257792</v>
      </c>
      <c r="BY24" s="10" t="n">
        <f aca="false">-300*Escalation!$B$76</f>
        <v>-337.8487257792</v>
      </c>
      <c r="BZ24" s="10" t="n">
        <f aca="false">-300*Escalation!$B$77</f>
        <v>-337.8487257792</v>
      </c>
      <c r="CA24" s="10" t="n">
        <f aca="false">-300*Escalation!$B$78</f>
        <v>-337.8487257792</v>
      </c>
      <c r="CB24" s="10" t="n">
        <f aca="false">-300*Escalation!$B$79</f>
        <v>-337.8487257792</v>
      </c>
      <c r="CC24" s="10" t="n">
        <f aca="false">-300*Escalation!$B$80</f>
        <v>-337.8487257792</v>
      </c>
      <c r="CD24" s="10" t="n">
        <f aca="false">-300*Escalation!$B$81</f>
        <v>-337.8487257792</v>
      </c>
      <c r="CE24" s="10" t="n">
        <f aca="false">-300*Escalation!$B$82</f>
        <v>-337.8487257792</v>
      </c>
      <c r="CF24" s="10" t="n">
        <f aca="false">-300*Escalation!$B$83</f>
        <v>-337.8487257792</v>
      </c>
      <c r="CG24" s="10" t="n">
        <f aca="false">-300*Escalation!$B$84</f>
        <v>-337.8487257792</v>
      </c>
      <c r="CH24" s="10" t="n">
        <f aca="false">-300*Escalation!$B$85</f>
        <v>-337.8487257792</v>
      </c>
      <c r="CI24" s="25"/>
    </row>
    <row r="25" customFormat="false" ht="15" hidden="false" customHeight="true" outlineLevel="0" collapsed="false">
      <c r="A25" s="9" t="s">
        <v>72</v>
      </c>
      <c r="B25" s="24"/>
      <c r="C25" s="10" t="n">
        <f aca="false">-3000*Escalation!$B$2</f>
        <v>-3000</v>
      </c>
      <c r="D25" s="10" t="n">
        <f aca="false">-3000*Escalation!$B$3</f>
        <v>-3000</v>
      </c>
      <c r="E25" s="10" t="n">
        <f aca="false">-3000*Escalation!$B$4</f>
        <v>-3000</v>
      </c>
      <c r="F25" s="10" t="n">
        <f aca="false">-3000*Escalation!$B$5</f>
        <v>-3000</v>
      </c>
      <c r="G25" s="10" t="n">
        <f aca="false">-3000*Escalation!$B$6</f>
        <v>-3000</v>
      </c>
      <c r="H25" s="10" t="n">
        <f aca="false">-3000*Escalation!$B$7</f>
        <v>-3000</v>
      </c>
      <c r="I25" s="10" t="n">
        <f aca="false">-3000*Escalation!$B$8</f>
        <v>-3000</v>
      </c>
      <c r="J25" s="10" t="n">
        <f aca="false">-3000*Escalation!$B$9</f>
        <v>-3000</v>
      </c>
      <c r="K25" s="10" t="n">
        <f aca="false">-3000*Escalation!$B$10</f>
        <v>-3000</v>
      </c>
      <c r="L25" s="10" t="n">
        <f aca="false">-3000*Escalation!$B$11</f>
        <v>-3000</v>
      </c>
      <c r="M25" s="10" t="n">
        <f aca="false">-3000*Escalation!$B$12</f>
        <v>-3000</v>
      </c>
      <c r="N25" s="10" t="n">
        <f aca="false">-3000*Escalation!$B$13</f>
        <v>-3000</v>
      </c>
      <c r="O25" s="10" t="n">
        <f aca="false">-3000*Escalation!$B$14</f>
        <v>-3060</v>
      </c>
      <c r="P25" s="10" t="n">
        <f aca="false">-3000*Escalation!$B$15</f>
        <v>-3060</v>
      </c>
      <c r="Q25" s="10" t="n">
        <f aca="false">-3000*Escalation!$B$16</f>
        <v>-3060</v>
      </c>
      <c r="R25" s="10" t="n">
        <f aca="false">-3000*Escalation!$B$17</f>
        <v>-3060</v>
      </c>
      <c r="S25" s="10" t="n">
        <f aca="false">-3000*Escalation!$B$18</f>
        <v>-3060</v>
      </c>
      <c r="T25" s="10" t="n">
        <f aca="false">-3000*Escalation!$B$19</f>
        <v>-3060</v>
      </c>
      <c r="U25" s="10" t="n">
        <f aca="false">-3000*Escalation!$B$20</f>
        <v>-3060</v>
      </c>
      <c r="V25" s="10" t="n">
        <f aca="false">-3000*Escalation!$B$21</f>
        <v>-3060</v>
      </c>
      <c r="W25" s="10" t="n">
        <f aca="false">-3000*Escalation!$B$22</f>
        <v>-3060</v>
      </c>
      <c r="X25" s="10" t="n">
        <f aca="false">-3000*Escalation!$B$23</f>
        <v>-3060</v>
      </c>
      <c r="Y25" s="10" t="n">
        <f aca="false">-3000*Escalation!$B$24</f>
        <v>-3060</v>
      </c>
      <c r="Z25" s="10" t="n">
        <f aca="false">-3000*Escalation!$B$25</f>
        <v>-3060</v>
      </c>
      <c r="AA25" s="10" t="n">
        <f aca="false">-3000*Escalation!$B$26</f>
        <v>-3121.2</v>
      </c>
      <c r="AB25" s="10" t="n">
        <f aca="false">-3000*Escalation!$B$27</f>
        <v>-3121.2</v>
      </c>
      <c r="AC25" s="10" t="n">
        <f aca="false">-3000*Escalation!$B$28</f>
        <v>-3121.2</v>
      </c>
      <c r="AD25" s="10" t="n">
        <f aca="false">-3000*Escalation!$B$29</f>
        <v>-3121.2</v>
      </c>
      <c r="AE25" s="10" t="n">
        <f aca="false">-3000*Escalation!$B$30</f>
        <v>-3121.2</v>
      </c>
      <c r="AF25" s="10" t="n">
        <f aca="false">-3000*Escalation!$B$31</f>
        <v>-3121.2</v>
      </c>
      <c r="AG25" s="10" t="n">
        <f aca="false">-3000*Escalation!$B$32</f>
        <v>-3121.2</v>
      </c>
      <c r="AH25" s="10" t="n">
        <f aca="false">-3000*Escalation!$B$33</f>
        <v>-3121.2</v>
      </c>
      <c r="AI25" s="10" t="n">
        <f aca="false">-3000*Escalation!$B$34</f>
        <v>-3121.2</v>
      </c>
      <c r="AJ25" s="10" t="n">
        <f aca="false">-3000*Escalation!$B$35</f>
        <v>-3121.2</v>
      </c>
      <c r="AK25" s="10" t="n">
        <f aca="false">-3000*Escalation!$B$36</f>
        <v>-3121.2</v>
      </c>
      <c r="AL25" s="10" t="n">
        <f aca="false">-3000*Escalation!$B$37</f>
        <v>-3121.2</v>
      </c>
      <c r="AM25" s="10" t="n">
        <f aca="false">-3000*Escalation!$B$38</f>
        <v>-3183.624</v>
      </c>
      <c r="AN25" s="10" t="n">
        <f aca="false">-3000*Escalation!$B$39</f>
        <v>-3183.624</v>
      </c>
      <c r="AO25" s="10" t="n">
        <f aca="false">-3000*Escalation!$B$40</f>
        <v>-3183.624</v>
      </c>
      <c r="AP25" s="10" t="n">
        <f aca="false">-3000*Escalation!$B$41</f>
        <v>-3183.624</v>
      </c>
      <c r="AQ25" s="10" t="n">
        <f aca="false">-3000*Escalation!$B$42</f>
        <v>-3183.624</v>
      </c>
      <c r="AR25" s="10" t="n">
        <f aca="false">-3000*Escalation!$B$43</f>
        <v>-3183.624</v>
      </c>
      <c r="AS25" s="10" t="n">
        <f aca="false">-3000*Escalation!$B$44</f>
        <v>-3183.624</v>
      </c>
      <c r="AT25" s="10" t="n">
        <f aca="false">-3000*Escalation!$B$45</f>
        <v>-3183.624</v>
      </c>
      <c r="AU25" s="10" t="n">
        <f aca="false">-3000*Escalation!$B$46</f>
        <v>-3183.624</v>
      </c>
      <c r="AV25" s="10" t="n">
        <f aca="false">-3000*Escalation!$B$47</f>
        <v>-3183.624</v>
      </c>
      <c r="AW25" s="10" t="n">
        <f aca="false">-3000*Escalation!$B$48</f>
        <v>-3183.624</v>
      </c>
      <c r="AX25" s="10" t="n">
        <f aca="false">-3000*Escalation!$B$49</f>
        <v>-3183.624</v>
      </c>
      <c r="AY25" s="10" t="n">
        <f aca="false">-3000*Escalation!$B$50</f>
        <v>-3247.29648</v>
      </c>
      <c r="AZ25" s="10" t="n">
        <f aca="false">-3000*Escalation!$B$51</f>
        <v>-3247.29648</v>
      </c>
      <c r="BA25" s="10" t="n">
        <f aca="false">-3000*Escalation!$B$52</f>
        <v>-3247.29648</v>
      </c>
      <c r="BB25" s="10" t="n">
        <f aca="false">-3000*Escalation!$B$53</f>
        <v>-3247.29648</v>
      </c>
      <c r="BC25" s="10" t="n">
        <f aca="false">-3000*Escalation!$B$54</f>
        <v>-3247.29648</v>
      </c>
      <c r="BD25" s="10" t="n">
        <f aca="false">-3000*Escalation!$B$55</f>
        <v>-3247.29648</v>
      </c>
      <c r="BE25" s="10" t="n">
        <f aca="false">-3000*Escalation!$B$56</f>
        <v>-3247.29648</v>
      </c>
      <c r="BF25" s="10" t="n">
        <f aca="false">-3000*Escalation!$B$57</f>
        <v>-3247.29648</v>
      </c>
      <c r="BG25" s="10" t="n">
        <f aca="false">-3000*Escalation!$B$58</f>
        <v>-3247.29648</v>
      </c>
      <c r="BH25" s="10" t="n">
        <f aca="false">-3000*Escalation!$B$59</f>
        <v>-3247.29648</v>
      </c>
      <c r="BI25" s="10" t="n">
        <f aca="false">-3000*Escalation!$B$60</f>
        <v>-3247.29648</v>
      </c>
      <c r="BJ25" s="10" t="n">
        <f aca="false">-3000*Escalation!$B$61</f>
        <v>-3247.29648</v>
      </c>
      <c r="BK25" s="10" t="n">
        <f aca="false">-3000*Escalation!$B$62</f>
        <v>-3312.2424096</v>
      </c>
      <c r="BL25" s="10" t="n">
        <f aca="false">-3000*Escalation!$B$63</f>
        <v>-3312.2424096</v>
      </c>
      <c r="BM25" s="10" t="n">
        <f aca="false">-3000*Escalation!$B$64</f>
        <v>-3312.2424096</v>
      </c>
      <c r="BN25" s="10" t="n">
        <f aca="false">-3000*Escalation!$B$65</f>
        <v>-3312.2424096</v>
      </c>
      <c r="BO25" s="10" t="n">
        <f aca="false">-3000*Escalation!$B$66</f>
        <v>-3312.2424096</v>
      </c>
      <c r="BP25" s="10" t="n">
        <f aca="false">-3000*Escalation!$B$67</f>
        <v>-3312.2424096</v>
      </c>
      <c r="BQ25" s="10" t="n">
        <f aca="false">-3000*Escalation!$B$68</f>
        <v>-3312.2424096</v>
      </c>
      <c r="BR25" s="10" t="n">
        <f aca="false">-3000*Escalation!$B$69</f>
        <v>-3312.2424096</v>
      </c>
      <c r="BS25" s="10" t="n">
        <f aca="false">-3000*Escalation!$B$70</f>
        <v>-3312.2424096</v>
      </c>
      <c r="BT25" s="10" t="n">
        <f aca="false">-3000*Escalation!$B$71</f>
        <v>-3312.2424096</v>
      </c>
      <c r="BU25" s="10" t="n">
        <f aca="false">-3000*Escalation!$B$72</f>
        <v>-3312.2424096</v>
      </c>
      <c r="BV25" s="10" t="n">
        <f aca="false">-3000*Escalation!$B$73</f>
        <v>-3312.2424096</v>
      </c>
      <c r="BW25" s="10" t="n">
        <f aca="false">-3000*Escalation!$B$74</f>
        <v>-3378.487257792</v>
      </c>
      <c r="BX25" s="10" t="n">
        <f aca="false">-3000*Escalation!$B$75</f>
        <v>-3378.487257792</v>
      </c>
      <c r="BY25" s="10" t="n">
        <f aca="false">-3000*Escalation!$B$76</f>
        <v>-3378.487257792</v>
      </c>
      <c r="BZ25" s="10" t="n">
        <f aca="false">-3000*Escalation!$B$77</f>
        <v>-3378.487257792</v>
      </c>
      <c r="CA25" s="10" t="n">
        <f aca="false">-3000*Escalation!$B$78</f>
        <v>-3378.487257792</v>
      </c>
      <c r="CB25" s="10" t="n">
        <f aca="false">-3000*Escalation!$B$79</f>
        <v>-3378.487257792</v>
      </c>
      <c r="CC25" s="10" t="n">
        <f aca="false">-3000*Escalation!$B$80</f>
        <v>-3378.487257792</v>
      </c>
      <c r="CD25" s="10" t="n">
        <f aca="false">-3000*Escalation!$B$81</f>
        <v>-3378.487257792</v>
      </c>
      <c r="CE25" s="10" t="n">
        <f aca="false">-3000*Escalation!$B$82</f>
        <v>-3378.487257792</v>
      </c>
      <c r="CF25" s="10" t="n">
        <f aca="false">-3000*Escalation!$B$83</f>
        <v>-3378.487257792</v>
      </c>
      <c r="CG25" s="10" t="n">
        <f aca="false">-3000*Escalation!$B$84</f>
        <v>-3378.487257792</v>
      </c>
      <c r="CH25" s="10" t="n">
        <f aca="false">-3000*Escalation!$B$85</f>
        <v>-3378.487257792</v>
      </c>
      <c r="CI25" s="25"/>
    </row>
    <row r="26" customFormat="false" ht="15" hidden="false" customHeight="true" outlineLevel="0" collapsed="false">
      <c r="A26" s="9" t="s">
        <v>73</v>
      </c>
      <c r="B26" s="24"/>
      <c r="C26" s="10" t="n">
        <f aca="false">-300*Escalation!$B$2</f>
        <v>-300</v>
      </c>
      <c r="D26" s="10" t="n">
        <f aca="false">-300*Escalation!$B$3</f>
        <v>-300</v>
      </c>
      <c r="E26" s="10" t="n">
        <f aca="false">-300*Escalation!$B$4</f>
        <v>-300</v>
      </c>
      <c r="F26" s="10" t="n">
        <f aca="false">-300*Escalation!$B$5</f>
        <v>-300</v>
      </c>
      <c r="G26" s="10" t="n">
        <f aca="false">-300*Escalation!$B$6</f>
        <v>-300</v>
      </c>
      <c r="H26" s="10" t="n">
        <f aca="false">-300*Escalation!$B$7</f>
        <v>-300</v>
      </c>
      <c r="I26" s="10" t="n">
        <f aca="false">-300*Escalation!$B$8</f>
        <v>-300</v>
      </c>
      <c r="J26" s="10" t="n">
        <f aca="false">-300*Escalation!$B$9</f>
        <v>-300</v>
      </c>
      <c r="K26" s="10" t="n">
        <f aca="false">-300*Escalation!$B$10</f>
        <v>-300</v>
      </c>
      <c r="L26" s="10" t="n">
        <f aca="false">-300*Escalation!$B$11</f>
        <v>-300</v>
      </c>
      <c r="M26" s="10" t="n">
        <f aca="false">-300*Escalation!$B$12</f>
        <v>-300</v>
      </c>
      <c r="N26" s="10" t="n">
        <f aca="false">-300*Escalation!$B$13</f>
        <v>-300</v>
      </c>
      <c r="O26" s="10" t="n">
        <f aca="false">-300*Escalation!$B$14</f>
        <v>-306</v>
      </c>
      <c r="P26" s="10" t="n">
        <f aca="false">-300*Escalation!$B$15</f>
        <v>-306</v>
      </c>
      <c r="Q26" s="10" t="n">
        <f aca="false">-300*Escalation!$B$16</f>
        <v>-306</v>
      </c>
      <c r="R26" s="10" t="n">
        <f aca="false">-300*Escalation!$B$17</f>
        <v>-306</v>
      </c>
      <c r="S26" s="10" t="n">
        <f aca="false">-300*Escalation!$B$18</f>
        <v>-306</v>
      </c>
      <c r="T26" s="10" t="n">
        <f aca="false">-300*Escalation!$B$19</f>
        <v>-306</v>
      </c>
      <c r="U26" s="10" t="n">
        <f aca="false">-300*Escalation!$B$20</f>
        <v>-306</v>
      </c>
      <c r="V26" s="10" t="n">
        <f aca="false">-300*Escalation!$B$21</f>
        <v>-306</v>
      </c>
      <c r="W26" s="10" t="n">
        <f aca="false">-300*Escalation!$B$22</f>
        <v>-306</v>
      </c>
      <c r="X26" s="10" t="n">
        <f aca="false">-300*Escalation!$B$23</f>
        <v>-306</v>
      </c>
      <c r="Y26" s="10" t="n">
        <f aca="false">-300*Escalation!$B$24</f>
        <v>-306</v>
      </c>
      <c r="Z26" s="10" t="n">
        <f aca="false">-300*Escalation!$B$25</f>
        <v>-306</v>
      </c>
      <c r="AA26" s="10" t="n">
        <f aca="false">-300*Escalation!$B$26</f>
        <v>-312.12</v>
      </c>
      <c r="AB26" s="10" t="n">
        <f aca="false">-300*Escalation!$B$27</f>
        <v>-312.12</v>
      </c>
      <c r="AC26" s="10" t="n">
        <f aca="false">-300*Escalation!$B$28</f>
        <v>-312.12</v>
      </c>
      <c r="AD26" s="10" t="n">
        <f aca="false">-300*Escalation!$B$29</f>
        <v>-312.12</v>
      </c>
      <c r="AE26" s="10" t="n">
        <f aca="false">-300*Escalation!$B$30</f>
        <v>-312.12</v>
      </c>
      <c r="AF26" s="10" t="n">
        <f aca="false">-300*Escalation!$B$31</f>
        <v>-312.12</v>
      </c>
      <c r="AG26" s="10" t="n">
        <f aca="false">-300*Escalation!$B$32</f>
        <v>-312.12</v>
      </c>
      <c r="AH26" s="10" t="n">
        <f aca="false">-300*Escalation!$B$33</f>
        <v>-312.12</v>
      </c>
      <c r="AI26" s="10" t="n">
        <f aca="false">-300*Escalation!$B$34</f>
        <v>-312.12</v>
      </c>
      <c r="AJ26" s="10" t="n">
        <f aca="false">-300*Escalation!$B$35</f>
        <v>-312.12</v>
      </c>
      <c r="AK26" s="10" t="n">
        <f aca="false">-300*Escalation!$B$36</f>
        <v>-312.12</v>
      </c>
      <c r="AL26" s="10" t="n">
        <f aca="false">-300*Escalation!$B$37</f>
        <v>-312.12</v>
      </c>
      <c r="AM26" s="10" t="n">
        <f aca="false">-300*Escalation!$B$38</f>
        <v>-318.3624</v>
      </c>
      <c r="AN26" s="10" t="n">
        <f aca="false">-300*Escalation!$B$39</f>
        <v>-318.3624</v>
      </c>
      <c r="AO26" s="10" t="n">
        <f aca="false">-300*Escalation!$B$40</f>
        <v>-318.3624</v>
      </c>
      <c r="AP26" s="10" t="n">
        <f aca="false">-300*Escalation!$B$41</f>
        <v>-318.3624</v>
      </c>
      <c r="AQ26" s="10" t="n">
        <f aca="false">-300*Escalation!$B$42</f>
        <v>-318.3624</v>
      </c>
      <c r="AR26" s="10" t="n">
        <f aca="false">-300*Escalation!$B$43</f>
        <v>-318.3624</v>
      </c>
      <c r="AS26" s="10" t="n">
        <f aca="false">-300*Escalation!$B$44</f>
        <v>-318.3624</v>
      </c>
      <c r="AT26" s="10" t="n">
        <f aca="false">-300*Escalation!$B$45</f>
        <v>-318.3624</v>
      </c>
      <c r="AU26" s="10" t="n">
        <f aca="false">-300*Escalation!$B$46</f>
        <v>-318.3624</v>
      </c>
      <c r="AV26" s="10" t="n">
        <f aca="false">-300*Escalation!$B$47</f>
        <v>-318.3624</v>
      </c>
      <c r="AW26" s="10" t="n">
        <f aca="false">-300*Escalation!$B$48</f>
        <v>-318.3624</v>
      </c>
      <c r="AX26" s="10" t="n">
        <f aca="false">-300*Escalation!$B$49</f>
        <v>-318.3624</v>
      </c>
      <c r="AY26" s="10" t="n">
        <f aca="false">-300*Escalation!$B$50</f>
        <v>-324.729648</v>
      </c>
      <c r="AZ26" s="10" t="n">
        <f aca="false">-300*Escalation!$B$51</f>
        <v>-324.729648</v>
      </c>
      <c r="BA26" s="10" t="n">
        <f aca="false">-300*Escalation!$B$52</f>
        <v>-324.729648</v>
      </c>
      <c r="BB26" s="10" t="n">
        <f aca="false">-300*Escalation!$B$53</f>
        <v>-324.729648</v>
      </c>
      <c r="BC26" s="10" t="n">
        <f aca="false">-300*Escalation!$B$54</f>
        <v>-324.729648</v>
      </c>
      <c r="BD26" s="10" t="n">
        <f aca="false">-300*Escalation!$B$55</f>
        <v>-324.729648</v>
      </c>
      <c r="BE26" s="10" t="n">
        <f aca="false">-300*Escalation!$B$56</f>
        <v>-324.729648</v>
      </c>
      <c r="BF26" s="10" t="n">
        <f aca="false">-300*Escalation!$B$57</f>
        <v>-324.729648</v>
      </c>
      <c r="BG26" s="10" t="n">
        <f aca="false">-300*Escalation!$B$58</f>
        <v>-324.729648</v>
      </c>
      <c r="BH26" s="10" t="n">
        <f aca="false">-300*Escalation!$B$59</f>
        <v>-324.729648</v>
      </c>
      <c r="BI26" s="10" t="n">
        <f aca="false">-300*Escalation!$B$60</f>
        <v>-324.729648</v>
      </c>
      <c r="BJ26" s="10" t="n">
        <f aca="false">-300*Escalation!$B$61</f>
        <v>-324.729648</v>
      </c>
      <c r="BK26" s="10" t="n">
        <f aca="false">-300*Escalation!$B$62</f>
        <v>-331.22424096</v>
      </c>
      <c r="BL26" s="10" t="n">
        <f aca="false">-300*Escalation!$B$63</f>
        <v>-331.22424096</v>
      </c>
      <c r="BM26" s="10" t="n">
        <f aca="false">-300*Escalation!$B$64</f>
        <v>-331.22424096</v>
      </c>
      <c r="BN26" s="10" t="n">
        <f aca="false">-300*Escalation!$B$65</f>
        <v>-331.22424096</v>
      </c>
      <c r="BO26" s="10" t="n">
        <f aca="false">-300*Escalation!$B$66</f>
        <v>-331.22424096</v>
      </c>
      <c r="BP26" s="10" t="n">
        <f aca="false">-300*Escalation!$B$67</f>
        <v>-331.22424096</v>
      </c>
      <c r="BQ26" s="10" t="n">
        <f aca="false">-300*Escalation!$B$68</f>
        <v>-331.22424096</v>
      </c>
      <c r="BR26" s="10" t="n">
        <f aca="false">-300*Escalation!$B$69</f>
        <v>-331.22424096</v>
      </c>
      <c r="BS26" s="10" t="n">
        <f aca="false">-300*Escalation!$B$70</f>
        <v>-331.22424096</v>
      </c>
      <c r="BT26" s="10" t="n">
        <f aca="false">-300*Escalation!$B$71</f>
        <v>-331.22424096</v>
      </c>
      <c r="BU26" s="10" t="n">
        <f aca="false">-300*Escalation!$B$72</f>
        <v>-331.22424096</v>
      </c>
      <c r="BV26" s="10" t="n">
        <f aca="false">-300*Escalation!$B$73</f>
        <v>-331.22424096</v>
      </c>
      <c r="BW26" s="10" t="n">
        <f aca="false">-300*Escalation!$B$74</f>
        <v>-337.8487257792</v>
      </c>
      <c r="BX26" s="10" t="n">
        <f aca="false">-300*Escalation!$B$75</f>
        <v>-337.8487257792</v>
      </c>
      <c r="BY26" s="10" t="n">
        <f aca="false">-300*Escalation!$B$76</f>
        <v>-337.8487257792</v>
      </c>
      <c r="BZ26" s="10" t="n">
        <f aca="false">-300*Escalation!$B$77</f>
        <v>-337.8487257792</v>
      </c>
      <c r="CA26" s="10" t="n">
        <f aca="false">-300*Escalation!$B$78</f>
        <v>-337.8487257792</v>
      </c>
      <c r="CB26" s="10" t="n">
        <f aca="false">-300*Escalation!$B$79</f>
        <v>-337.8487257792</v>
      </c>
      <c r="CC26" s="10" t="n">
        <f aca="false">-300*Escalation!$B$80</f>
        <v>-337.8487257792</v>
      </c>
      <c r="CD26" s="10" t="n">
        <f aca="false">-300*Escalation!$B$81</f>
        <v>-337.8487257792</v>
      </c>
      <c r="CE26" s="10" t="n">
        <f aca="false">-300*Escalation!$B$82</f>
        <v>-337.8487257792</v>
      </c>
      <c r="CF26" s="10" t="n">
        <f aca="false">-300*Escalation!$B$83</f>
        <v>-337.8487257792</v>
      </c>
      <c r="CG26" s="10" t="n">
        <f aca="false">-300*Escalation!$B$84</f>
        <v>-337.8487257792</v>
      </c>
      <c r="CH26" s="10" t="n">
        <f aca="false">-300*Escalation!$B$85</f>
        <v>-337.8487257792</v>
      </c>
      <c r="CI26" s="25"/>
    </row>
    <row r="27" customFormat="false" ht="15" hidden="false" customHeight="true" outlineLevel="0" collapsed="false">
      <c r="A27" s="9" t="s">
        <v>74</v>
      </c>
      <c r="B27" s="24"/>
      <c r="C27" s="10" t="n">
        <f aca="false">-300*Escalation!$B$2</f>
        <v>-300</v>
      </c>
      <c r="D27" s="10" t="n">
        <f aca="false">-300*Escalation!$B$3</f>
        <v>-300</v>
      </c>
      <c r="E27" s="10" t="n">
        <f aca="false">-300*Escalation!$B$4</f>
        <v>-300</v>
      </c>
      <c r="F27" s="10" t="n">
        <f aca="false">-300*Escalation!$B$5</f>
        <v>-300</v>
      </c>
      <c r="G27" s="10" t="n">
        <f aca="false">-300*Escalation!$B$6</f>
        <v>-300</v>
      </c>
      <c r="H27" s="10" t="n">
        <f aca="false">-300*Escalation!$B$7</f>
        <v>-300</v>
      </c>
      <c r="I27" s="10" t="n">
        <f aca="false">-300*Escalation!$B$8</f>
        <v>-300</v>
      </c>
      <c r="J27" s="10" t="n">
        <f aca="false">-300*Escalation!$B$9</f>
        <v>-300</v>
      </c>
      <c r="K27" s="10" t="n">
        <f aca="false">-300*Escalation!$B$10</f>
        <v>-300</v>
      </c>
      <c r="L27" s="10" t="n">
        <f aca="false">-300*Escalation!$B$11</f>
        <v>-300</v>
      </c>
      <c r="M27" s="10" t="n">
        <f aca="false">-300*Escalation!$B$12</f>
        <v>-300</v>
      </c>
      <c r="N27" s="10" t="n">
        <f aca="false">-300*Escalation!$B$13</f>
        <v>-300</v>
      </c>
      <c r="O27" s="10" t="n">
        <f aca="false">-300*Escalation!$B$14</f>
        <v>-306</v>
      </c>
      <c r="P27" s="10" t="n">
        <f aca="false">-300*Escalation!$B$15</f>
        <v>-306</v>
      </c>
      <c r="Q27" s="10" t="n">
        <f aca="false">-300*Escalation!$B$16</f>
        <v>-306</v>
      </c>
      <c r="R27" s="10" t="n">
        <f aca="false">-300*Escalation!$B$17</f>
        <v>-306</v>
      </c>
      <c r="S27" s="10" t="n">
        <f aca="false">-300*Escalation!$B$18</f>
        <v>-306</v>
      </c>
      <c r="T27" s="10" t="n">
        <f aca="false">-300*Escalation!$B$19</f>
        <v>-306</v>
      </c>
      <c r="U27" s="10" t="n">
        <f aca="false">-300*Escalation!$B$20</f>
        <v>-306</v>
      </c>
      <c r="V27" s="10" t="n">
        <f aca="false">-300*Escalation!$B$21</f>
        <v>-306</v>
      </c>
      <c r="W27" s="10" t="n">
        <f aca="false">-300*Escalation!$B$22</f>
        <v>-306</v>
      </c>
      <c r="X27" s="10" t="n">
        <f aca="false">-300*Escalation!$B$23</f>
        <v>-306</v>
      </c>
      <c r="Y27" s="10" t="n">
        <f aca="false">-300*Escalation!$B$24</f>
        <v>-306</v>
      </c>
      <c r="Z27" s="10" t="n">
        <f aca="false">-300*Escalation!$B$25</f>
        <v>-306</v>
      </c>
      <c r="AA27" s="10" t="n">
        <f aca="false">-300*Escalation!$B$26</f>
        <v>-312.12</v>
      </c>
      <c r="AB27" s="10" t="n">
        <f aca="false">-300*Escalation!$B$27</f>
        <v>-312.12</v>
      </c>
      <c r="AC27" s="10" t="n">
        <f aca="false">-300*Escalation!$B$28</f>
        <v>-312.12</v>
      </c>
      <c r="AD27" s="10" t="n">
        <f aca="false">-300*Escalation!$B$29</f>
        <v>-312.12</v>
      </c>
      <c r="AE27" s="10" t="n">
        <f aca="false">-300*Escalation!$B$30</f>
        <v>-312.12</v>
      </c>
      <c r="AF27" s="10" t="n">
        <f aca="false">-300*Escalation!$B$31</f>
        <v>-312.12</v>
      </c>
      <c r="AG27" s="10" t="n">
        <f aca="false">-300*Escalation!$B$32</f>
        <v>-312.12</v>
      </c>
      <c r="AH27" s="10" t="n">
        <f aca="false">-300*Escalation!$B$33</f>
        <v>-312.12</v>
      </c>
      <c r="AI27" s="10" t="n">
        <f aca="false">-300*Escalation!$B$34</f>
        <v>-312.12</v>
      </c>
      <c r="AJ27" s="10" t="n">
        <f aca="false">-300*Escalation!$B$35</f>
        <v>-312.12</v>
      </c>
      <c r="AK27" s="10" t="n">
        <f aca="false">-300*Escalation!$B$36</f>
        <v>-312.12</v>
      </c>
      <c r="AL27" s="10" t="n">
        <f aca="false">-300*Escalation!$B$37</f>
        <v>-312.12</v>
      </c>
      <c r="AM27" s="10" t="n">
        <f aca="false">-300*Escalation!$B$38</f>
        <v>-318.3624</v>
      </c>
      <c r="AN27" s="10" t="n">
        <f aca="false">-300*Escalation!$B$39</f>
        <v>-318.3624</v>
      </c>
      <c r="AO27" s="10" t="n">
        <f aca="false">-300*Escalation!$B$40</f>
        <v>-318.3624</v>
      </c>
      <c r="AP27" s="10" t="n">
        <f aca="false">-300*Escalation!$B$41</f>
        <v>-318.3624</v>
      </c>
      <c r="AQ27" s="10" t="n">
        <f aca="false">-300*Escalation!$B$42</f>
        <v>-318.3624</v>
      </c>
      <c r="AR27" s="10" t="n">
        <f aca="false">-300*Escalation!$B$43</f>
        <v>-318.3624</v>
      </c>
      <c r="AS27" s="10" t="n">
        <f aca="false">-300*Escalation!$B$44</f>
        <v>-318.3624</v>
      </c>
      <c r="AT27" s="10" t="n">
        <f aca="false">-300*Escalation!$B$45</f>
        <v>-318.3624</v>
      </c>
      <c r="AU27" s="10" t="n">
        <f aca="false">-300*Escalation!$B$46</f>
        <v>-318.3624</v>
      </c>
      <c r="AV27" s="10" t="n">
        <f aca="false">-300*Escalation!$B$47</f>
        <v>-318.3624</v>
      </c>
      <c r="AW27" s="10" t="n">
        <f aca="false">-300*Escalation!$B$48</f>
        <v>-318.3624</v>
      </c>
      <c r="AX27" s="10" t="n">
        <f aca="false">-300*Escalation!$B$49</f>
        <v>-318.3624</v>
      </c>
      <c r="AY27" s="10" t="n">
        <f aca="false">-300*Escalation!$B$50</f>
        <v>-324.729648</v>
      </c>
      <c r="AZ27" s="10" t="n">
        <f aca="false">-300*Escalation!$B$51</f>
        <v>-324.729648</v>
      </c>
      <c r="BA27" s="10" t="n">
        <f aca="false">-300*Escalation!$B$52</f>
        <v>-324.729648</v>
      </c>
      <c r="BB27" s="10" t="n">
        <f aca="false">-300*Escalation!$B$53</f>
        <v>-324.729648</v>
      </c>
      <c r="BC27" s="10" t="n">
        <f aca="false">-300*Escalation!$B$54</f>
        <v>-324.729648</v>
      </c>
      <c r="BD27" s="10" t="n">
        <f aca="false">-300*Escalation!$B$55</f>
        <v>-324.729648</v>
      </c>
      <c r="BE27" s="10" t="n">
        <f aca="false">-300*Escalation!$B$56</f>
        <v>-324.729648</v>
      </c>
      <c r="BF27" s="10" t="n">
        <f aca="false">-300*Escalation!$B$57</f>
        <v>-324.729648</v>
      </c>
      <c r="BG27" s="10" t="n">
        <f aca="false">-300*Escalation!$B$58</f>
        <v>-324.729648</v>
      </c>
      <c r="BH27" s="10" t="n">
        <f aca="false">-300*Escalation!$B$59</f>
        <v>-324.729648</v>
      </c>
      <c r="BI27" s="10" t="n">
        <f aca="false">-300*Escalation!$B$60</f>
        <v>-324.729648</v>
      </c>
      <c r="BJ27" s="10" t="n">
        <f aca="false">-300*Escalation!$B$61</f>
        <v>-324.729648</v>
      </c>
      <c r="BK27" s="10" t="n">
        <f aca="false">-300*Escalation!$B$62</f>
        <v>-331.22424096</v>
      </c>
      <c r="BL27" s="10" t="n">
        <f aca="false">-300*Escalation!$B$63</f>
        <v>-331.22424096</v>
      </c>
      <c r="BM27" s="10" t="n">
        <f aca="false">-300*Escalation!$B$64</f>
        <v>-331.22424096</v>
      </c>
      <c r="BN27" s="10" t="n">
        <f aca="false">-300*Escalation!$B$65</f>
        <v>-331.22424096</v>
      </c>
      <c r="BO27" s="10" t="n">
        <f aca="false">-300*Escalation!$B$66</f>
        <v>-331.22424096</v>
      </c>
      <c r="BP27" s="10" t="n">
        <f aca="false">-300*Escalation!$B$67</f>
        <v>-331.22424096</v>
      </c>
      <c r="BQ27" s="10" t="n">
        <f aca="false">-300*Escalation!$B$68</f>
        <v>-331.22424096</v>
      </c>
      <c r="BR27" s="10" t="n">
        <f aca="false">-300*Escalation!$B$69</f>
        <v>-331.22424096</v>
      </c>
      <c r="BS27" s="10" t="n">
        <f aca="false">-300*Escalation!$B$70</f>
        <v>-331.22424096</v>
      </c>
      <c r="BT27" s="10" t="n">
        <f aca="false">-300*Escalation!$B$71</f>
        <v>-331.22424096</v>
      </c>
      <c r="BU27" s="10" t="n">
        <f aca="false">-300*Escalation!$B$72</f>
        <v>-331.22424096</v>
      </c>
      <c r="BV27" s="10" t="n">
        <f aca="false">-300*Escalation!$B$73</f>
        <v>-331.22424096</v>
      </c>
      <c r="BW27" s="10" t="n">
        <f aca="false">-300*Escalation!$B$74</f>
        <v>-337.8487257792</v>
      </c>
      <c r="BX27" s="10" t="n">
        <f aca="false">-300*Escalation!$B$75</f>
        <v>-337.8487257792</v>
      </c>
      <c r="BY27" s="10" t="n">
        <f aca="false">-300*Escalation!$B$76</f>
        <v>-337.8487257792</v>
      </c>
      <c r="BZ27" s="10" t="n">
        <f aca="false">-300*Escalation!$B$77</f>
        <v>-337.8487257792</v>
      </c>
      <c r="CA27" s="10" t="n">
        <f aca="false">-300*Escalation!$B$78</f>
        <v>-337.8487257792</v>
      </c>
      <c r="CB27" s="10" t="n">
        <f aca="false">-300*Escalation!$B$79</f>
        <v>-337.8487257792</v>
      </c>
      <c r="CC27" s="10" t="n">
        <f aca="false">-300*Escalation!$B$80</f>
        <v>-337.8487257792</v>
      </c>
      <c r="CD27" s="10" t="n">
        <f aca="false">-300*Escalation!$B$81</f>
        <v>-337.8487257792</v>
      </c>
      <c r="CE27" s="10" t="n">
        <f aca="false">-300*Escalation!$B$82</f>
        <v>-337.8487257792</v>
      </c>
      <c r="CF27" s="10" t="n">
        <f aca="false">-300*Escalation!$B$83</f>
        <v>-337.8487257792</v>
      </c>
      <c r="CG27" s="10" t="n">
        <f aca="false">-300*Escalation!$B$84</f>
        <v>-337.8487257792</v>
      </c>
      <c r="CH27" s="10" t="n">
        <f aca="false">-300*Escalation!$B$85</f>
        <v>-337.8487257792</v>
      </c>
      <c r="CI27" s="25"/>
    </row>
    <row r="28" customFormat="false" ht="15" hidden="false" customHeight="true" outlineLevel="0" collapsed="false">
      <c r="A28" s="9" t="s">
        <v>75</v>
      </c>
      <c r="B28" s="24"/>
      <c r="C28" s="10" t="n">
        <f aca="false">-1500*Escalation!$B$2</f>
        <v>-1500</v>
      </c>
      <c r="D28" s="10" t="n">
        <f aca="false">-1500*Escalation!$B$3</f>
        <v>-1500</v>
      </c>
      <c r="E28" s="10" t="n">
        <f aca="false">-1500*Escalation!$B$4</f>
        <v>-1500</v>
      </c>
      <c r="F28" s="10" t="n">
        <f aca="false">-1500*Escalation!$B$5</f>
        <v>-1500</v>
      </c>
      <c r="G28" s="10" t="n">
        <f aca="false">-1500*Escalation!$B$6</f>
        <v>-1500</v>
      </c>
      <c r="H28" s="10" t="n">
        <f aca="false">-1500*Escalation!$B$7</f>
        <v>-1500</v>
      </c>
      <c r="I28" s="10" t="n">
        <f aca="false">-1500*Escalation!$B$8</f>
        <v>-1500</v>
      </c>
      <c r="J28" s="10" t="n">
        <f aca="false">-1500*Escalation!$B$9</f>
        <v>-1500</v>
      </c>
      <c r="K28" s="10" t="n">
        <f aca="false">-1500*Escalation!$B$10</f>
        <v>-1500</v>
      </c>
      <c r="L28" s="10" t="n">
        <f aca="false">-1500*Escalation!$B$11</f>
        <v>-1500</v>
      </c>
      <c r="M28" s="10" t="n">
        <f aca="false">-1500*Escalation!$B$12</f>
        <v>-1500</v>
      </c>
      <c r="N28" s="10" t="n">
        <f aca="false">-1500*Escalation!$B$13</f>
        <v>-1500</v>
      </c>
      <c r="O28" s="10" t="n">
        <f aca="false">-1500*Escalation!$B$14</f>
        <v>-1530</v>
      </c>
      <c r="P28" s="10" t="n">
        <f aca="false">-1500*Escalation!$B$15</f>
        <v>-1530</v>
      </c>
      <c r="Q28" s="10" t="n">
        <f aca="false">-1500*Escalation!$B$16</f>
        <v>-1530</v>
      </c>
      <c r="R28" s="10" t="n">
        <f aca="false">-1500*Escalation!$B$17</f>
        <v>-1530</v>
      </c>
      <c r="S28" s="10" t="n">
        <f aca="false">-1500*Escalation!$B$18</f>
        <v>-1530</v>
      </c>
      <c r="T28" s="10" t="n">
        <f aca="false">-1500*Escalation!$B$19</f>
        <v>-1530</v>
      </c>
      <c r="U28" s="10" t="n">
        <f aca="false">-1500*Escalation!$B$20</f>
        <v>-1530</v>
      </c>
      <c r="V28" s="10" t="n">
        <f aca="false">-1500*Escalation!$B$21</f>
        <v>-1530</v>
      </c>
      <c r="W28" s="10" t="n">
        <f aca="false">-1500*Escalation!$B$22</f>
        <v>-1530</v>
      </c>
      <c r="X28" s="10" t="n">
        <f aca="false">-1500*Escalation!$B$23</f>
        <v>-1530</v>
      </c>
      <c r="Y28" s="10" t="n">
        <f aca="false">-1500*Escalation!$B$24</f>
        <v>-1530</v>
      </c>
      <c r="Z28" s="10" t="n">
        <f aca="false">-1500*Escalation!$B$25</f>
        <v>-1530</v>
      </c>
      <c r="AA28" s="10" t="n">
        <f aca="false">-1500*Escalation!$B$26</f>
        <v>-1560.6</v>
      </c>
      <c r="AB28" s="10" t="n">
        <f aca="false">-1500*Escalation!$B$27</f>
        <v>-1560.6</v>
      </c>
      <c r="AC28" s="10" t="n">
        <f aca="false">-1500*Escalation!$B$28</f>
        <v>-1560.6</v>
      </c>
      <c r="AD28" s="10" t="n">
        <f aca="false">-1500*Escalation!$B$29</f>
        <v>-1560.6</v>
      </c>
      <c r="AE28" s="10" t="n">
        <f aca="false">-1500*Escalation!$B$30</f>
        <v>-1560.6</v>
      </c>
      <c r="AF28" s="10" t="n">
        <f aca="false">-1500*Escalation!$B$31</f>
        <v>-1560.6</v>
      </c>
      <c r="AG28" s="10" t="n">
        <f aca="false">-1500*Escalation!$B$32</f>
        <v>-1560.6</v>
      </c>
      <c r="AH28" s="10" t="n">
        <f aca="false">-1500*Escalation!$B$33</f>
        <v>-1560.6</v>
      </c>
      <c r="AI28" s="10" t="n">
        <f aca="false">-1500*Escalation!$B$34</f>
        <v>-1560.6</v>
      </c>
      <c r="AJ28" s="10" t="n">
        <f aca="false">-1500*Escalation!$B$35</f>
        <v>-1560.6</v>
      </c>
      <c r="AK28" s="10" t="n">
        <f aca="false">-1500*Escalation!$B$36</f>
        <v>-1560.6</v>
      </c>
      <c r="AL28" s="10" t="n">
        <f aca="false">-1500*Escalation!$B$37</f>
        <v>-1560.6</v>
      </c>
      <c r="AM28" s="10" t="n">
        <f aca="false">-1500*Escalation!$B$38</f>
        <v>-1591.812</v>
      </c>
      <c r="AN28" s="10" t="n">
        <f aca="false">-1500*Escalation!$B$39</f>
        <v>-1591.812</v>
      </c>
      <c r="AO28" s="10" t="n">
        <f aca="false">-1500*Escalation!$B$40</f>
        <v>-1591.812</v>
      </c>
      <c r="AP28" s="10" t="n">
        <f aca="false">-1500*Escalation!$B$41</f>
        <v>-1591.812</v>
      </c>
      <c r="AQ28" s="10" t="n">
        <f aca="false">-1500*Escalation!$B$42</f>
        <v>-1591.812</v>
      </c>
      <c r="AR28" s="10" t="n">
        <f aca="false">-1500*Escalation!$B$43</f>
        <v>-1591.812</v>
      </c>
      <c r="AS28" s="10" t="n">
        <f aca="false">-1500*Escalation!$B$44</f>
        <v>-1591.812</v>
      </c>
      <c r="AT28" s="10" t="n">
        <f aca="false">-1500*Escalation!$B$45</f>
        <v>-1591.812</v>
      </c>
      <c r="AU28" s="10" t="n">
        <f aca="false">-1500*Escalation!$B$46</f>
        <v>-1591.812</v>
      </c>
      <c r="AV28" s="10" t="n">
        <f aca="false">-1500*Escalation!$B$47</f>
        <v>-1591.812</v>
      </c>
      <c r="AW28" s="10" t="n">
        <f aca="false">-1500*Escalation!$B$48</f>
        <v>-1591.812</v>
      </c>
      <c r="AX28" s="10" t="n">
        <f aca="false">-1500*Escalation!$B$49</f>
        <v>-1591.812</v>
      </c>
      <c r="AY28" s="10" t="n">
        <f aca="false">-1500*Escalation!$B$50</f>
        <v>-1623.64824</v>
      </c>
      <c r="AZ28" s="10" t="n">
        <f aca="false">-1500*Escalation!$B$51</f>
        <v>-1623.64824</v>
      </c>
      <c r="BA28" s="10" t="n">
        <f aca="false">-1500*Escalation!$B$52</f>
        <v>-1623.64824</v>
      </c>
      <c r="BB28" s="10" t="n">
        <f aca="false">-1500*Escalation!$B$53</f>
        <v>-1623.64824</v>
      </c>
      <c r="BC28" s="10" t="n">
        <f aca="false">-1500*Escalation!$B$54</f>
        <v>-1623.64824</v>
      </c>
      <c r="BD28" s="10" t="n">
        <f aca="false">-1500*Escalation!$B$55</f>
        <v>-1623.64824</v>
      </c>
      <c r="BE28" s="10" t="n">
        <f aca="false">-1500*Escalation!$B$56</f>
        <v>-1623.64824</v>
      </c>
      <c r="BF28" s="10" t="n">
        <f aca="false">-1500*Escalation!$B$57</f>
        <v>-1623.64824</v>
      </c>
      <c r="BG28" s="10" t="n">
        <f aca="false">-1500*Escalation!$B$58</f>
        <v>-1623.64824</v>
      </c>
      <c r="BH28" s="10" t="n">
        <f aca="false">-1500*Escalation!$B$59</f>
        <v>-1623.64824</v>
      </c>
      <c r="BI28" s="10" t="n">
        <f aca="false">-1500*Escalation!$B$60</f>
        <v>-1623.64824</v>
      </c>
      <c r="BJ28" s="10" t="n">
        <f aca="false">-1500*Escalation!$B$61</f>
        <v>-1623.64824</v>
      </c>
      <c r="BK28" s="10" t="n">
        <f aca="false">-1500*Escalation!$B$62</f>
        <v>-1656.1212048</v>
      </c>
      <c r="BL28" s="10" t="n">
        <f aca="false">-1500*Escalation!$B$63</f>
        <v>-1656.1212048</v>
      </c>
      <c r="BM28" s="10" t="n">
        <f aca="false">-1500*Escalation!$B$64</f>
        <v>-1656.1212048</v>
      </c>
      <c r="BN28" s="10" t="n">
        <f aca="false">-1500*Escalation!$B$65</f>
        <v>-1656.1212048</v>
      </c>
      <c r="BO28" s="10" t="n">
        <f aca="false">-1500*Escalation!$B$66</f>
        <v>-1656.1212048</v>
      </c>
      <c r="BP28" s="10" t="n">
        <f aca="false">-1500*Escalation!$B$67</f>
        <v>-1656.1212048</v>
      </c>
      <c r="BQ28" s="10" t="n">
        <f aca="false">-1500*Escalation!$B$68</f>
        <v>-1656.1212048</v>
      </c>
      <c r="BR28" s="10" t="n">
        <f aca="false">-1500*Escalation!$B$69</f>
        <v>-1656.1212048</v>
      </c>
      <c r="BS28" s="10" t="n">
        <f aca="false">-1500*Escalation!$B$70</f>
        <v>-1656.1212048</v>
      </c>
      <c r="BT28" s="10" t="n">
        <f aca="false">-1500*Escalation!$B$71</f>
        <v>-1656.1212048</v>
      </c>
      <c r="BU28" s="10" t="n">
        <f aca="false">-1500*Escalation!$B$72</f>
        <v>-1656.1212048</v>
      </c>
      <c r="BV28" s="10" t="n">
        <f aca="false">-1500*Escalation!$B$73</f>
        <v>-1656.1212048</v>
      </c>
      <c r="BW28" s="10" t="n">
        <f aca="false">-1500*Escalation!$B$74</f>
        <v>-1689.243628896</v>
      </c>
      <c r="BX28" s="10" t="n">
        <f aca="false">-1500*Escalation!$B$75</f>
        <v>-1689.243628896</v>
      </c>
      <c r="BY28" s="10" t="n">
        <f aca="false">-1500*Escalation!$B$76</f>
        <v>-1689.243628896</v>
      </c>
      <c r="BZ28" s="10" t="n">
        <f aca="false">-1500*Escalation!$B$77</f>
        <v>-1689.243628896</v>
      </c>
      <c r="CA28" s="10" t="n">
        <f aca="false">-1500*Escalation!$B$78</f>
        <v>-1689.243628896</v>
      </c>
      <c r="CB28" s="10" t="n">
        <f aca="false">-1500*Escalation!$B$79</f>
        <v>-1689.243628896</v>
      </c>
      <c r="CC28" s="10" t="n">
        <f aca="false">-1500*Escalation!$B$80</f>
        <v>-1689.243628896</v>
      </c>
      <c r="CD28" s="10" t="n">
        <f aca="false">-1500*Escalation!$B$81</f>
        <v>-1689.243628896</v>
      </c>
      <c r="CE28" s="10" t="n">
        <f aca="false">-1500*Escalation!$B$82</f>
        <v>-1689.243628896</v>
      </c>
      <c r="CF28" s="10" t="n">
        <f aca="false">-1500*Escalation!$B$83</f>
        <v>-1689.243628896</v>
      </c>
      <c r="CG28" s="10" t="n">
        <f aca="false">-1500*Escalation!$B$84</f>
        <v>-1689.243628896</v>
      </c>
      <c r="CH28" s="10" t="n">
        <f aca="false">-1500*Escalation!$B$85</f>
        <v>-1689.243628896</v>
      </c>
      <c r="CI28" s="25"/>
    </row>
    <row r="29" customFormat="false" ht="15" hidden="false" customHeight="true" outlineLevel="0" collapsed="false">
      <c r="A29" s="9" t="s">
        <v>76</v>
      </c>
      <c r="B29" s="24"/>
      <c r="C29" s="10" t="n">
        <f aca="false">-1000*Escalation!$B$2</f>
        <v>-1000</v>
      </c>
      <c r="D29" s="10" t="n">
        <f aca="false">-1000*Escalation!$B$3</f>
        <v>-1000</v>
      </c>
      <c r="E29" s="10" t="n">
        <f aca="false">-1000*Escalation!$B$4</f>
        <v>-1000</v>
      </c>
      <c r="F29" s="10" t="n">
        <f aca="false">-1000*Escalation!$B$5</f>
        <v>-1000</v>
      </c>
      <c r="G29" s="10" t="n">
        <f aca="false">-1000*Escalation!$B$6</f>
        <v>-1000</v>
      </c>
      <c r="H29" s="10" t="n">
        <f aca="false">-1000*Escalation!$B$7</f>
        <v>-1000</v>
      </c>
      <c r="I29" s="10" t="n">
        <f aca="false">-1000*Escalation!$B$8</f>
        <v>-1000</v>
      </c>
      <c r="J29" s="10" t="n">
        <f aca="false">-1000*Escalation!$B$9</f>
        <v>-1000</v>
      </c>
      <c r="K29" s="10" t="n">
        <f aca="false">-1000*Escalation!$B$10</f>
        <v>-1000</v>
      </c>
      <c r="L29" s="10" t="n">
        <f aca="false">-1000*Escalation!$B$11</f>
        <v>-1000</v>
      </c>
      <c r="M29" s="10" t="n">
        <f aca="false">-1000*Escalation!$B$12</f>
        <v>-1000</v>
      </c>
      <c r="N29" s="10" t="n">
        <f aca="false">-1000*Escalation!$B$13</f>
        <v>-1000</v>
      </c>
      <c r="O29" s="10" t="n">
        <f aca="false">-1000*Escalation!$B$14</f>
        <v>-1020</v>
      </c>
      <c r="P29" s="10" t="n">
        <f aca="false">-1000*Escalation!$B$15</f>
        <v>-1020</v>
      </c>
      <c r="Q29" s="10" t="n">
        <f aca="false">-1000*Escalation!$B$16</f>
        <v>-1020</v>
      </c>
      <c r="R29" s="10" t="n">
        <f aca="false">-1000*Escalation!$B$17</f>
        <v>-1020</v>
      </c>
      <c r="S29" s="10" t="n">
        <f aca="false">-1000*Escalation!$B$18</f>
        <v>-1020</v>
      </c>
      <c r="T29" s="10" t="n">
        <f aca="false">-1000*Escalation!$B$19</f>
        <v>-1020</v>
      </c>
      <c r="U29" s="10" t="n">
        <f aca="false">-1000*Escalation!$B$20</f>
        <v>-1020</v>
      </c>
      <c r="V29" s="10" t="n">
        <f aca="false">-1000*Escalation!$B$21</f>
        <v>-1020</v>
      </c>
      <c r="W29" s="10" t="n">
        <f aca="false">-1000*Escalation!$B$22</f>
        <v>-1020</v>
      </c>
      <c r="X29" s="10" t="n">
        <f aca="false">-1000*Escalation!$B$23</f>
        <v>-1020</v>
      </c>
      <c r="Y29" s="10" t="n">
        <f aca="false">-1000*Escalation!$B$24</f>
        <v>-1020</v>
      </c>
      <c r="Z29" s="10" t="n">
        <f aca="false">-1000*Escalation!$B$25</f>
        <v>-1020</v>
      </c>
      <c r="AA29" s="10" t="n">
        <f aca="false">-1000*Escalation!$B$26</f>
        <v>-1040.4</v>
      </c>
      <c r="AB29" s="10" t="n">
        <f aca="false">-1000*Escalation!$B$27</f>
        <v>-1040.4</v>
      </c>
      <c r="AC29" s="10" t="n">
        <f aca="false">-1000*Escalation!$B$28</f>
        <v>-1040.4</v>
      </c>
      <c r="AD29" s="10" t="n">
        <f aca="false">-1000*Escalation!$B$29</f>
        <v>-1040.4</v>
      </c>
      <c r="AE29" s="10" t="n">
        <f aca="false">-1000*Escalation!$B$30</f>
        <v>-1040.4</v>
      </c>
      <c r="AF29" s="10" t="n">
        <f aca="false">-1000*Escalation!$B$31</f>
        <v>-1040.4</v>
      </c>
      <c r="AG29" s="10" t="n">
        <f aca="false">-1000*Escalation!$B$32</f>
        <v>-1040.4</v>
      </c>
      <c r="AH29" s="10" t="n">
        <f aca="false">-1000*Escalation!$B$33</f>
        <v>-1040.4</v>
      </c>
      <c r="AI29" s="10" t="n">
        <f aca="false">-1000*Escalation!$B$34</f>
        <v>-1040.4</v>
      </c>
      <c r="AJ29" s="10" t="n">
        <f aca="false">-1000*Escalation!$B$35</f>
        <v>-1040.4</v>
      </c>
      <c r="AK29" s="10" t="n">
        <f aca="false">-1000*Escalation!$B$36</f>
        <v>-1040.4</v>
      </c>
      <c r="AL29" s="10" t="n">
        <f aca="false">-1000*Escalation!$B$37</f>
        <v>-1040.4</v>
      </c>
      <c r="AM29" s="10" t="n">
        <f aca="false">-1000*Escalation!$B$38</f>
        <v>-1061.208</v>
      </c>
      <c r="AN29" s="10" t="n">
        <f aca="false">-1000*Escalation!$B$39</f>
        <v>-1061.208</v>
      </c>
      <c r="AO29" s="10" t="n">
        <f aca="false">-1000*Escalation!$B$40</f>
        <v>-1061.208</v>
      </c>
      <c r="AP29" s="10" t="n">
        <f aca="false">-1000*Escalation!$B$41</f>
        <v>-1061.208</v>
      </c>
      <c r="AQ29" s="10" t="n">
        <f aca="false">-1000*Escalation!$B$42</f>
        <v>-1061.208</v>
      </c>
      <c r="AR29" s="10" t="n">
        <f aca="false">-1000*Escalation!$B$43</f>
        <v>-1061.208</v>
      </c>
      <c r="AS29" s="10" t="n">
        <f aca="false">-1000*Escalation!$B$44</f>
        <v>-1061.208</v>
      </c>
      <c r="AT29" s="10" t="n">
        <f aca="false">-1000*Escalation!$B$45</f>
        <v>-1061.208</v>
      </c>
      <c r="AU29" s="10" t="n">
        <f aca="false">-1000*Escalation!$B$46</f>
        <v>-1061.208</v>
      </c>
      <c r="AV29" s="10" t="n">
        <f aca="false">-1000*Escalation!$B$47</f>
        <v>-1061.208</v>
      </c>
      <c r="AW29" s="10" t="n">
        <f aca="false">-1000*Escalation!$B$48</f>
        <v>-1061.208</v>
      </c>
      <c r="AX29" s="10" t="n">
        <f aca="false">-1000*Escalation!$B$49</f>
        <v>-1061.208</v>
      </c>
      <c r="AY29" s="10" t="n">
        <f aca="false">-1000*Escalation!$B$50</f>
        <v>-1082.43216</v>
      </c>
      <c r="AZ29" s="10" t="n">
        <f aca="false">-1000*Escalation!$B$51</f>
        <v>-1082.43216</v>
      </c>
      <c r="BA29" s="10" t="n">
        <f aca="false">-1000*Escalation!$B$52</f>
        <v>-1082.43216</v>
      </c>
      <c r="BB29" s="10" t="n">
        <f aca="false">-1000*Escalation!$B$53</f>
        <v>-1082.43216</v>
      </c>
      <c r="BC29" s="10" t="n">
        <f aca="false">-1000*Escalation!$B$54</f>
        <v>-1082.43216</v>
      </c>
      <c r="BD29" s="10" t="n">
        <f aca="false">-1000*Escalation!$B$55</f>
        <v>-1082.43216</v>
      </c>
      <c r="BE29" s="10" t="n">
        <f aca="false">-1000*Escalation!$B$56</f>
        <v>-1082.43216</v>
      </c>
      <c r="BF29" s="10" t="n">
        <f aca="false">-1000*Escalation!$B$57</f>
        <v>-1082.43216</v>
      </c>
      <c r="BG29" s="10" t="n">
        <f aca="false">-1000*Escalation!$B$58</f>
        <v>-1082.43216</v>
      </c>
      <c r="BH29" s="10" t="n">
        <f aca="false">-1000*Escalation!$B$59</f>
        <v>-1082.43216</v>
      </c>
      <c r="BI29" s="10" t="n">
        <f aca="false">-1000*Escalation!$B$60</f>
        <v>-1082.43216</v>
      </c>
      <c r="BJ29" s="10" t="n">
        <f aca="false">-1000*Escalation!$B$61</f>
        <v>-1082.43216</v>
      </c>
      <c r="BK29" s="10" t="n">
        <f aca="false">-1000*Escalation!$B$62</f>
        <v>-1104.0808032</v>
      </c>
      <c r="BL29" s="10" t="n">
        <f aca="false">-1000*Escalation!$B$63</f>
        <v>-1104.0808032</v>
      </c>
      <c r="BM29" s="10" t="n">
        <f aca="false">-1000*Escalation!$B$64</f>
        <v>-1104.0808032</v>
      </c>
      <c r="BN29" s="10" t="n">
        <f aca="false">-1000*Escalation!$B$65</f>
        <v>-1104.0808032</v>
      </c>
      <c r="BO29" s="10" t="n">
        <f aca="false">-1000*Escalation!$B$66</f>
        <v>-1104.0808032</v>
      </c>
      <c r="BP29" s="10" t="n">
        <f aca="false">-1000*Escalation!$B$67</f>
        <v>-1104.0808032</v>
      </c>
      <c r="BQ29" s="10" t="n">
        <f aca="false">-1000*Escalation!$B$68</f>
        <v>-1104.0808032</v>
      </c>
      <c r="BR29" s="10" t="n">
        <f aca="false">-1000*Escalation!$B$69</f>
        <v>-1104.0808032</v>
      </c>
      <c r="BS29" s="10" t="n">
        <f aca="false">-1000*Escalation!$B$70</f>
        <v>-1104.0808032</v>
      </c>
      <c r="BT29" s="10" t="n">
        <f aca="false">-1000*Escalation!$B$71</f>
        <v>-1104.0808032</v>
      </c>
      <c r="BU29" s="10" t="n">
        <f aca="false">-1000*Escalation!$B$72</f>
        <v>-1104.0808032</v>
      </c>
      <c r="BV29" s="10" t="n">
        <f aca="false">-1000*Escalation!$B$73</f>
        <v>-1104.0808032</v>
      </c>
      <c r="BW29" s="10" t="n">
        <f aca="false">-1000*Escalation!$B$74</f>
        <v>-1126.162419264</v>
      </c>
      <c r="BX29" s="10" t="n">
        <f aca="false">-1000*Escalation!$B$75</f>
        <v>-1126.162419264</v>
      </c>
      <c r="BY29" s="10" t="n">
        <f aca="false">-1000*Escalation!$B$76</f>
        <v>-1126.162419264</v>
      </c>
      <c r="BZ29" s="10" t="n">
        <f aca="false">-1000*Escalation!$B$77</f>
        <v>-1126.162419264</v>
      </c>
      <c r="CA29" s="10" t="n">
        <f aca="false">-1000*Escalation!$B$78</f>
        <v>-1126.162419264</v>
      </c>
      <c r="CB29" s="10" t="n">
        <f aca="false">-1000*Escalation!$B$79</f>
        <v>-1126.162419264</v>
      </c>
      <c r="CC29" s="10" t="n">
        <f aca="false">-1000*Escalation!$B$80</f>
        <v>-1126.162419264</v>
      </c>
      <c r="CD29" s="10" t="n">
        <f aca="false">-1000*Escalation!$B$81</f>
        <v>-1126.162419264</v>
      </c>
      <c r="CE29" s="10" t="n">
        <f aca="false">-1000*Escalation!$B$82</f>
        <v>-1126.162419264</v>
      </c>
      <c r="CF29" s="10" t="n">
        <f aca="false">-1000*Escalation!$B$83</f>
        <v>-1126.162419264</v>
      </c>
      <c r="CG29" s="10" t="n">
        <f aca="false">-1000*Escalation!$B$84</f>
        <v>-1126.162419264</v>
      </c>
      <c r="CH29" s="10" t="n">
        <f aca="false">-1000*Escalation!$B$85</f>
        <v>-1126.162419264</v>
      </c>
      <c r="CI29" s="25"/>
    </row>
    <row r="30" customFormat="false" ht="15" hidden="false" customHeight="true" outlineLevel="0" collapsed="false">
      <c r="A30" s="9" t="s">
        <v>77</v>
      </c>
      <c r="B30" s="24"/>
      <c r="C30" s="10" t="n">
        <f aca="false">-1000*Escalation!$B$2</f>
        <v>-1000</v>
      </c>
      <c r="D30" s="10" t="n">
        <f aca="false">-1000*Escalation!$B$3</f>
        <v>-1000</v>
      </c>
      <c r="E30" s="10" t="n">
        <f aca="false">-1000*Escalation!$B$4</f>
        <v>-1000</v>
      </c>
      <c r="F30" s="10" t="n">
        <f aca="false">-1000*Escalation!$B$5</f>
        <v>-1000</v>
      </c>
      <c r="G30" s="10" t="n">
        <f aca="false">-1000*Escalation!$B$6</f>
        <v>-1000</v>
      </c>
      <c r="H30" s="10" t="n">
        <f aca="false">-1000*Escalation!$B$7</f>
        <v>-1000</v>
      </c>
      <c r="I30" s="10" t="n">
        <f aca="false">-1000*Escalation!$B$8</f>
        <v>-1000</v>
      </c>
      <c r="J30" s="10" t="n">
        <f aca="false">-1000*Escalation!$B$9</f>
        <v>-1000</v>
      </c>
      <c r="K30" s="10" t="n">
        <f aca="false">-1000*Escalation!$B$10</f>
        <v>-1000</v>
      </c>
      <c r="L30" s="10" t="n">
        <f aca="false">-1000*Escalation!$B$11</f>
        <v>-1000</v>
      </c>
      <c r="M30" s="10" t="n">
        <f aca="false">-1000*Escalation!$B$12</f>
        <v>-1000</v>
      </c>
      <c r="N30" s="10" t="n">
        <f aca="false">-1000*Escalation!$B$13</f>
        <v>-1000</v>
      </c>
      <c r="O30" s="10" t="n">
        <f aca="false">-1000*Escalation!$B$14</f>
        <v>-1020</v>
      </c>
      <c r="P30" s="10" t="n">
        <f aca="false">-1000*Escalation!$B$15</f>
        <v>-1020</v>
      </c>
      <c r="Q30" s="10" t="n">
        <f aca="false">-1000*Escalation!$B$16</f>
        <v>-1020</v>
      </c>
      <c r="R30" s="10" t="n">
        <f aca="false">-1000*Escalation!$B$17</f>
        <v>-1020</v>
      </c>
      <c r="S30" s="10" t="n">
        <f aca="false">-1000*Escalation!$B$18</f>
        <v>-1020</v>
      </c>
      <c r="T30" s="10" t="n">
        <f aca="false">-1000*Escalation!$B$19</f>
        <v>-1020</v>
      </c>
      <c r="U30" s="10" t="n">
        <f aca="false">-1000*Escalation!$B$20</f>
        <v>-1020</v>
      </c>
      <c r="V30" s="10" t="n">
        <f aca="false">-1000*Escalation!$B$21</f>
        <v>-1020</v>
      </c>
      <c r="W30" s="10" t="n">
        <f aca="false">-1000*Escalation!$B$22</f>
        <v>-1020</v>
      </c>
      <c r="X30" s="10" t="n">
        <f aca="false">-1000*Escalation!$B$23</f>
        <v>-1020</v>
      </c>
      <c r="Y30" s="10" t="n">
        <f aca="false">-1000*Escalation!$B$24</f>
        <v>-1020</v>
      </c>
      <c r="Z30" s="10" t="n">
        <f aca="false">-1000*Escalation!$B$25</f>
        <v>-1020</v>
      </c>
      <c r="AA30" s="10" t="n">
        <f aca="false">-1000*Escalation!$B$26</f>
        <v>-1040.4</v>
      </c>
      <c r="AB30" s="10" t="n">
        <f aca="false">-1000*Escalation!$B$27</f>
        <v>-1040.4</v>
      </c>
      <c r="AC30" s="10" t="n">
        <f aca="false">-1000*Escalation!$B$28</f>
        <v>-1040.4</v>
      </c>
      <c r="AD30" s="10" t="n">
        <f aca="false">-1000*Escalation!$B$29</f>
        <v>-1040.4</v>
      </c>
      <c r="AE30" s="10" t="n">
        <f aca="false">-1000*Escalation!$B$30</f>
        <v>-1040.4</v>
      </c>
      <c r="AF30" s="10" t="n">
        <f aca="false">-1000*Escalation!$B$31</f>
        <v>-1040.4</v>
      </c>
      <c r="AG30" s="10" t="n">
        <f aca="false">-1000*Escalation!$B$32</f>
        <v>-1040.4</v>
      </c>
      <c r="AH30" s="10" t="n">
        <f aca="false">-1000*Escalation!$B$33</f>
        <v>-1040.4</v>
      </c>
      <c r="AI30" s="10" t="n">
        <f aca="false">-1000*Escalation!$B$34</f>
        <v>-1040.4</v>
      </c>
      <c r="AJ30" s="10" t="n">
        <f aca="false">-1000*Escalation!$B$35</f>
        <v>-1040.4</v>
      </c>
      <c r="AK30" s="10" t="n">
        <f aca="false">-1000*Escalation!$B$36</f>
        <v>-1040.4</v>
      </c>
      <c r="AL30" s="10" t="n">
        <f aca="false">-1000*Escalation!$B$37</f>
        <v>-1040.4</v>
      </c>
      <c r="AM30" s="10" t="n">
        <f aca="false">-1000*Escalation!$B$38</f>
        <v>-1061.208</v>
      </c>
      <c r="AN30" s="10" t="n">
        <f aca="false">-1000*Escalation!$B$39</f>
        <v>-1061.208</v>
      </c>
      <c r="AO30" s="10" t="n">
        <f aca="false">-1000*Escalation!$B$40</f>
        <v>-1061.208</v>
      </c>
      <c r="AP30" s="10" t="n">
        <f aca="false">-1000*Escalation!$B$41</f>
        <v>-1061.208</v>
      </c>
      <c r="AQ30" s="10" t="n">
        <f aca="false">-1000*Escalation!$B$42</f>
        <v>-1061.208</v>
      </c>
      <c r="AR30" s="10" t="n">
        <f aca="false">-1000*Escalation!$B$43</f>
        <v>-1061.208</v>
      </c>
      <c r="AS30" s="10" t="n">
        <f aca="false">-1000*Escalation!$B$44</f>
        <v>-1061.208</v>
      </c>
      <c r="AT30" s="10" t="n">
        <f aca="false">-1000*Escalation!$B$45</f>
        <v>-1061.208</v>
      </c>
      <c r="AU30" s="10" t="n">
        <f aca="false">-1000*Escalation!$B$46</f>
        <v>-1061.208</v>
      </c>
      <c r="AV30" s="10" t="n">
        <f aca="false">-1000*Escalation!$B$47</f>
        <v>-1061.208</v>
      </c>
      <c r="AW30" s="10" t="n">
        <f aca="false">-1000*Escalation!$B$48</f>
        <v>-1061.208</v>
      </c>
      <c r="AX30" s="10" t="n">
        <f aca="false">-1000*Escalation!$B$49</f>
        <v>-1061.208</v>
      </c>
      <c r="AY30" s="10" t="n">
        <f aca="false">-1000*Escalation!$B$50</f>
        <v>-1082.43216</v>
      </c>
      <c r="AZ30" s="10" t="n">
        <f aca="false">-1000*Escalation!$B$51</f>
        <v>-1082.43216</v>
      </c>
      <c r="BA30" s="10" t="n">
        <f aca="false">-1000*Escalation!$B$52</f>
        <v>-1082.43216</v>
      </c>
      <c r="BB30" s="10" t="n">
        <f aca="false">-1000*Escalation!$B$53</f>
        <v>-1082.43216</v>
      </c>
      <c r="BC30" s="10" t="n">
        <f aca="false">-1000*Escalation!$B$54</f>
        <v>-1082.43216</v>
      </c>
      <c r="BD30" s="10" t="n">
        <f aca="false">-1000*Escalation!$B$55</f>
        <v>-1082.43216</v>
      </c>
      <c r="BE30" s="10" t="n">
        <f aca="false">-1000*Escalation!$B$56</f>
        <v>-1082.43216</v>
      </c>
      <c r="BF30" s="10" t="n">
        <f aca="false">-1000*Escalation!$B$57</f>
        <v>-1082.43216</v>
      </c>
      <c r="BG30" s="10" t="n">
        <f aca="false">-1000*Escalation!$B$58</f>
        <v>-1082.43216</v>
      </c>
      <c r="BH30" s="10" t="n">
        <f aca="false">-1000*Escalation!$B$59</f>
        <v>-1082.43216</v>
      </c>
      <c r="BI30" s="10" t="n">
        <f aca="false">-1000*Escalation!$B$60</f>
        <v>-1082.43216</v>
      </c>
      <c r="BJ30" s="10" t="n">
        <f aca="false">-1000*Escalation!$B$61</f>
        <v>-1082.43216</v>
      </c>
      <c r="BK30" s="10" t="n">
        <f aca="false">-1000*Escalation!$B$62</f>
        <v>-1104.0808032</v>
      </c>
      <c r="BL30" s="10" t="n">
        <f aca="false">-1000*Escalation!$B$63</f>
        <v>-1104.0808032</v>
      </c>
      <c r="BM30" s="10" t="n">
        <f aca="false">-1000*Escalation!$B$64</f>
        <v>-1104.0808032</v>
      </c>
      <c r="BN30" s="10" t="n">
        <f aca="false">-1000*Escalation!$B$65</f>
        <v>-1104.0808032</v>
      </c>
      <c r="BO30" s="10" t="n">
        <f aca="false">-1000*Escalation!$B$66</f>
        <v>-1104.0808032</v>
      </c>
      <c r="BP30" s="10" t="n">
        <f aca="false">-1000*Escalation!$B$67</f>
        <v>-1104.0808032</v>
      </c>
      <c r="BQ30" s="10" t="n">
        <f aca="false">-1000*Escalation!$B$68</f>
        <v>-1104.0808032</v>
      </c>
      <c r="BR30" s="10" t="n">
        <f aca="false">-1000*Escalation!$B$69</f>
        <v>-1104.0808032</v>
      </c>
      <c r="BS30" s="10" t="n">
        <f aca="false">-1000*Escalation!$B$70</f>
        <v>-1104.0808032</v>
      </c>
      <c r="BT30" s="10" t="n">
        <f aca="false">-1000*Escalation!$B$71</f>
        <v>-1104.0808032</v>
      </c>
      <c r="BU30" s="10" t="n">
        <f aca="false">-1000*Escalation!$B$72</f>
        <v>-1104.0808032</v>
      </c>
      <c r="BV30" s="10" t="n">
        <f aca="false">-1000*Escalation!$B$73</f>
        <v>-1104.0808032</v>
      </c>
      <c r="BW30" s="10" t="n">
        <f aca="false">-1000*Escalation!$B$74</f>
        <v>-1126.162419264</v>
      </c>
      <c r="BX30" s="10" t="n">
        <f aca="false">-1000*Escalation!$B$75</f>
        <v>-1126.162419264</v>
      </c>
      <c r="BY30" s="10" t="n">
        <f aca="false">-1000*Escalation!$B$76</f>
        <v>-1126.162419264</v>
      </c>
      <c r="BZ30" s="10" t="n">
        <f aca="false">-1000*Escalation!$B$77</f>
        <v>-1126.162419264</v>
      </c>
      <c r="CA30" s="10" t="n">
        <f aca="false">-1000*Escalation!$B$78</f>
        <v>-1126.162419264</v>
      </c>
      <c r="CB30" s="10" t="n">
        <f aca="false">-1000*Escalation!$B$79</f>
        <v>-1126.162419264</v>
      </c>
      <c r="CC30" s="10" t="n">
        <f aca="false">-1000*Escalation!$B$80</f>
        <v>-1126.162419264</v>
      </c>
      <c r="CD30" s="10" t="n">
        <f aca="false">-1000*Escalation!$B$81</f>
        <v>-1126.162419264</v>
      </c>
      <c r="CE30" s="10" t="n">
        <f aca="false">-1000*Escalation!$B$82</f>
        <v>-1126.162419264</v>
      </c>
      <c r="CF30" s="10" t="n">
        <f aca="false">-1000*Escalation!$B$83</f>
        <v>-1126.162419264</v>
      </c>
      <c r="CG30" s="10" t="n">
        <f aca="false">-1000*Escalation!$B$84</f>
        <v>-1126.162419264</v>
      </c>
      <c r="CH30" s="10" t="n">
        <f aca="false">-1000*Escalation!$B$85</f>
        <v>-1126.162419264</v>
      </c>
      <c r="CI30" s="25"/>
    </row>
    <row r="31" customFormat="false" ht="15" hidden="false" customHeight="true" outlineLevel="0" collapsed="false">
      <c r="A31" s="9" t="s">
        <v>78</v>
      </c>
      <c r="B31" s="24"/>
      <c r="C31" s="10" t="n">
        <f aca="false">-416.67*Escalation!$B$2</f>
        <v>-416.67</v>
      </c>
      <c r="D31" s="10" t="n">
        <f aca="false">-416.67*Escalation!$B$3</f>
        <v>-416.67</v>
      </c>
      <c r="E31" s="10" t="n">
        <f aca="false">-416.67*Escalation!$B$4</f>
        <v>-416.67</v>
      </c>
      <c r="F31" s="10" t="n">
        <f aca="false">-416.67*Escalation!$B$5</f>
        <v>-416.67</v>
      </c>
      <c r="G31" s="10" t="n">
        <f aca="false">-416.67*Escalation!$B$6</f>
        <v>-416.67</v>
      </c>
      <c r="H31" s="10" t="n">
        <f aca="false">-416.67*Escalation!$B$7</f>
        <v>-416.67</v>
      </c>
      <c r="I31" s="10" t="n">
        <f aca="false">-416.67*Escalation!$B$8</f>
        <v>-416.67</v>
      </c>
      <c r="J31" s="10" t="n">
        <f aca="false">-416.67*Escalation!$B$9</f>
        <v>-416.67</v>
      </c>
      <c r="K31" s="10" t="n">
        <f aca="false">-416.67*Escalation!$B$10</f>
        <v>-416.67</v>
      </c>
      <c r="L31" s="10" t="n">
        <f aca="false">-416.67*Escalation!$B$11</f>
        <v>-416.67</v>
      </c>
      <c r="M31" s="10" t="n">
        <f aca="false">-416.67*Escalation!$B$12</f>
        <v>-416.67</v>
      </c>
      <c r="N31" s="10" t="n">
        <f aca="false">-416.67*Escalation!$B$13</f>
        <v>-416.67</v>
      </c>
      <c r="O31" s="10" t="n">
        <f aca="false">-416.67*Escalation!$B$14</f>
        <v>-425.0034</v>
      </c>
      <c r="P31" s="10" t="n">
        <f aca="false">-416.67*Escalation!$B$15</f>
        <v>-425.0034</v>
      </c>
      <c r="Q31" s="10" t="n">
        <f aca="false">-416.67*Escalation!$B$16</f>
        <v>-425.0034</v>
      </c>
      <c r="R31" s="10" t="n">
        <f aca="false">-416.67*Escalation!$B$17</f>
        <v>-425.0034</v>
      </c>
      <c r="S31" s="10" t="n">
        <f aca="false">-416.67*Escalation!$B$18</f>
        <v>-425.0034</v>
      </c>
      <c r="T31" s="10" t="n">
        <f aca="false">-416.67*Escalation!$B$19</f>
        <v>-425.0034</v>
      </c>
      <c r="U31" s="10" t="n">
        <f aca="false">-416.67*Escalation!$B$20</f>
        <v>-425.0034</v>
      </c>
      <c r="V31" s="10" t="n">
        <f aca="false">-416.67*Escalation!$B$21</f>
        <v>-425.0034</v>
      </c>
      <c r="W31" s="10" t="n">
        <f aca="false">-416.67*Escalation!$B$22</f>
        <v>-425.0034</v>
      </c>
      <c r="X31" s="10" t="n">
        <f aca="false">-416.67*Escalation!$B$23</f>
        <v>-425.0034</v>
      </c>
      <c r="Y31" s="10" t="n">
        <f aca="false">-416.67*Escalation!$B$24</f>
        <v>-425.0034</v>
      </c>
      <c r="Z31" s="10" t="n">
        <f aca="false">-416.67*Escalation!$B$25</f>
        <v>-425.0034</v>
      </c>
      <c r="AA31" s="10" t="n">
        <f aca="false">-416.67*Escalation!$B$26</f>
        <v>-433.503468</v>
      </c>
      <c r="AB31" s="10" t="n">
        <f aca="false">-416.67*Escalation!$B$27</f>
        <v>-433.503468</v>
      </c>
      <c r="AC31" s="10" t="n">
        <f aca="false">-416.67*Escalation!$B$28</f>
        <v>-433.503468</v>
      </c>
      <c r="AD31" s="10" t="n">
        <f aca="false">-416.67*Escalation!$B$29</f>
        <v>-433.503468</v>
      </c>
      <c r="AE31" s="10" t="n">
        <f aca="false">-416.67*Escalation!$B$30</f>
        <v>-433.503468</v>
      </c>
      <c r="AF31" s="10" t="n">
        <f aca="false">-416.67*Escalation!$B$31</f>
        <v>-433.503468</v>
      </c>
      <c r="AG31" s="10" t="n">
        <f aca="false">-416.67*Escalation!$B$32</f>
        <v>-433.503468</v>
      </c>
      <c r="AH31" s="10" t="n">
        <f aca="false">-416.67*Escalation!$B$33</f>
        <v>-433.503468</v>
      </c>
      <c r="AI31" s="10" t="n">
        <f aca="false">-416.67*Escalation!$B$34</f>
        <v>-433.503468</v>
      </c>
      <c r="AJ31" s="10" t="n">
        <f aca="false">-416.67*Escalation!$B$35</f>
        <v>-433.503468</v>
      </c>
      <c r="AK31" s="10" t="n">
        <f aca="false">-416.67*Escalation!$B$36</f>
        <v>-433.503468</v>
      </c>
      <c r="AL31" s="10" t="n">
        <f aca="false">-416.67*Escalation!$B$37</f>
        <v>-433.503468</v>
      </c>
      <c r="AM31" s="10" t="n">
        <f aca="false">-416.67*Escalation!$B$38</f>
        <v>-442.17353736</v>
      </c>
      <c r="AN31" s="10" t="n">
        <f aca="false">-416.67*Escalation!$B$39</f>
        <v>-442.17353736</v>
      </c>
      <c r="AO31" s="10" t="n">
        <f aca="false">-416.67*Escalation!$B$40</f>
        <v>-442.17353736</v>
      </c>
      <c r="AP31" s="10" t="n">
        <f aca="false">-416.67*Escalation!$B$41</f>
        <v>-442.17353736</v>
      </c>
      <c r="AQ31" s="10" t="n">
        <f aca="false">-416.67*Escalation!$B$42</f>
        <v>-442.17353736</v>
      </c>
      <c r="AR31" s="10" t="n">
        <f aca="false">-416.67*Escalation!$B$43</f>
        <v>-442.17353736</v>
      </c>
      <c r="AS31" s="10" t="n">
        <f aca="false">-416.67*Escalation!$B$44</f>
        <v>-442.17353736</v>
      </c>
      <c r="AT31" s="10" t="n">
        <f aca="false">-416.67*Escalation!$B$45</f>
        <v>-442.17353736</v>
      </c>
      <c r="AU31" s="10" t="n">
        <f aca="false">-416.67*Escalation!$B$46</f>
        <v>-442.17353736</v>
      </c>
      <c r="AV31" s="10" t="n">
        <f aca="false">-416.67*Escalation!$B$47</f>
        <v>-442.17353736</v>
      </c>
      <c r="AW31" s="10" t="n">
        <f aca="false">-416.67*Escalation!$B$48</f>
        <v>-442.17353736</v>
      </c>
      <c r="AX31" s="10" t="n">
        <f aca="false">-416.67*Escalation!$B$49</f>
        <v>-442.17353736</v>
      </c>
      <c r="AY31" s="10" t="n">
        <f aca="false">-416.67*Escalation!$B$50</f>
        <v>-451.0170081072</v>
      </c>
      <c r="AZ31" s="10" t="n">
        <f aca="false">-416.67*Escalation!$B$51</f>
        <v>-451.0170081072</v>
      </c>
      <c r="BA31" s="10" t="n">
        <f aca="false">-416.67*Escalation!$B$52</f>
        <v>-451.0170081072</v>
      </c>
      <c r="BB31" s="10" t="n">
        <f aca="false">-416.67*Escalation!$B$53</f>
        <v>-451.0170081072</v>
      </c>
      <c r="BC31" s="10" t="n">
        <f aca="false">-416.67*Escalation!$B$54</f>
        <v>-451.0170081072</v>
      </c>
      <c r="BD31" s="10" t="n">
        <f aca="false">-416.67*Escalation!$B$55</f>
        <v>-451.0170081072</v>
      </c>
      <c r="BE31" s="10" t="n">
        <f aca="false">-416.67*Escalation!$B$56</f>
        <v>-451.0170081072</v>
      </c>
      <c r="BF31" s="10" t="n">
        <f aca="false">-416.67*Escalation!$B$57</f>
        <v>-451.0170081072</v>
      </c>
      <c r="BG31" s="10" t="n">
        <f aca="false">-416.67*Escalation!$B$58</f>
        <v>-451.0170081072</v>
      </c>
      <c r="BH31" s="10" t="n">
        <f aca="false">-416.67*Escalation!$B$59</f>
        <v>-451.0170081072</v>
      </c>
      <c r="BI31" s="10" t="n">
        <f aca="false">-416.67*Escalation!$B$60</f>
        <v>-451.0170081072</v>
      </c>
      <c r="BJ31" s="10" t="n">
        <f aca="false">-416.67*Escalation!$B$61</f>
        <v>-451.0170081072</v>
      </c>
      <c r="BK31" s="10" t="n">
        <f aca="false">-416.67*Escalation!$B$62</f>
        <v>-460.037348269344</v>
      </c>
      <c r="BL31" s="10" t="n">
        <f aca="false">-416.67*Escalation!$B$63</f>
        <v>-460.037348269344</v>
      </c>
      <c r="BM31" s="10" t="n">
        <f aca="false">-416.67*Escalation!$B$64</f>
        <v>-460.037348269344</v>
      </c>
      <c r="BN31" s="10" t="n">
        <f aca="false">-416.67*Escalation!$B$65</f>
        <v>-460.037348269344</v>
      </c>
      <c r="BO31" s="10" t="n">
        <f aca="false">-416.67*Escalation!$B$66</f>
        <v>-460.037348269344</v>
      </c>
      <c r="BP31" s="10" t="n">
        <f aca="false">-416.67*Escalation!$B$67</f>
        <v>-460.037348269344</v>
      </c>
      <c r="BQ31" s="10" t="n">
        <f aca="false">-416.67*Escalation!$B$68</f>
        <v>-460.037348269344</v>
      </c>
      <c r="BR31" s="10" t="n">
        <f aca="false">-416.67*Escalation!$B$69</f>
        <v>-460.037348269344</v>
      </c>
      <c r="BS31" s="10" t="n">
        <f aca="false">-416.67*Escalation!$B$70</f>
        <v>-460.037348269344</v>
      </c>
      <c r="BT31" s="10" t="n">
        <f aca="false">-416.67*Escalation!$B$71</f>
        <v>-460.037348269344</v>
      </c>
      <c r="BU31" s="10" t="n">
        <f aca="false">-416.67*Escalation!$B$72</f>
        <v>-460.037348269344</v>
      </c>
      <c r="BV31" s="10" t="n">
        <f aca="false">-416.67*Escalation!$B$73</f>
        <v>-460.037348269344</v>
      </c>
      <c r="BW31" s="10" t="n">
        <f aca="false">-416.67*Escalation!$B$74</f>
        <v>-469.238095234731</v>
      </c>
      <c r="BX31" s="10" t="n">
        <f aca="false">-416.67*Escalation!$B$75</f>
        <v>-469.238095234731</v>
      </c>
      <c r="BY31" s="10" t="n">
        <f aca="false">-416.67*Escalation!$B$76</f>
        <v>-469.238095234731</v>
      </c>
      <c r="BZ31" s="10" t="n">
        <f aca="false">-416.67*Escalation!$B$77</f>
        <v>-469.238095234731</v>
      </c>
      <c r="CA31" s="10" t="n">
        <f aca="false">-416.67*Escalation!$B$78</f>
        <v>-469.238095234731</v>
      </c>
      <c r="CB31" s="10" t="n">
        <f aca="false">-416.67*Escalation!$B$79</f>
        <v>-469.238095234731</v>
      </c>
      <c r="CC31" s="10" t="n">
        <f aca="false">-416.67*Escalation!$B$80</f>
        <v>-469.238095234731</v>
      </c>
      <c r="CD31" s="10" t="n">
        <f aca="false">-416.67*Escalation!$B$81</f>
        <v>-469.238095234731</v>
      </c>
      <c r="CE31" s="10" t="n">
        <f aca="false">-416.67*Escalation!$B$82</f>
        <v>-469.238095234731</v>
      </c>
      <c r="CF31" s="10" t="n">
        <f aca="false">-416.67*Escalation!$B$83</f>
        <v>-469.238095234731</v>
      </c>
      <c r="CG31" s="10" t="n">
        <f aca="false">-416.67*Escalation!$B$84</f>
        <v>-469.238095234731</v>
      </c>
      <c r="CH31" s="10" t="n">
        <f aca="false">-416.67*Escalation!$B$85</f>
        <v>-469.238095234731</v>
      </c>
      <c r="CI31" s="25"/>
    </row>
    <row r="32" customFormat="false" ht="15" hidden="false" customHeight="true" outlineLevel="0" collapsed="false">
      <c r="A32" s="9" t="s">
        <v>79</v>
      </c>
      <c r="B32" s="24"/>
      <c r="C32" s="10" t="n">
        <f aca="false">-1666.67*Escalation!$B$2</f>
        <v>-1666.67</v>
      </c>
      <c r="D32" s="10" t="n">
        <f aca="false">-1666.67*Escalation!$B$3</f>
        <v>-1666.67</v>
      </c>
      <c r="E32" s="10" t="n">
        <f aca="false">-1666.67*Escalation!$B$4</f>
        <v>-1666.67</v>
      </c>
      <c r="F32" s="10" t="n">
        <f aca="false">-1666.67*Escalation!$B$5</f>
        <v>-1666.67</v>
      </c>
      <c r="G32" s="10" t="n">
        <f aca="false">-1666.67*Escalation!$B$6</f>
        <v>-1666.67</v>
      </c>
      <c r="H32" s="10" t="n">
        <f aca="false">-1666.67*Escalation!$B$7</f>
        <v>-1666.67</v>
      </c>
      <c r="I32" s="10" t="n">
        <f aca="false">-1666.67*Escalation!$B$8</f>
        <v>-1666.67</v>
      </c>
      <c r="J32" s="10" t="n">
        <f aca="false">-1666.67*Escalation!$B$9</f>
        <v>-1666.67</v>
      </c>
      <c r="K32" s="10" t="n">
        <f aca="false">-1666.67*Escalation!$B$10</f>
        <v>-1666.67</v>
      </c>
      <c r="L32" s="10" t="n">
        <f aca="false">-1666.67*Escalation!$B$11</f>
        <v>-1666.67</v>
      </c>
      <c r="M32" s="10" t="n">
        <f aca="false">-1666.67*Escalation!$B$12</f>
        <v>-1666.67</v>
      </c>
      <c r="N32" s="10" t="n">
        <f aca="false">-1666.67*Escalation!$B$13</f>
        <v>-1666.67</v>
      </c>
      <c r="O32" s="10" t="n">
        <f aca="false">-1666.67*Escalation!$B$14</f>
        <v>-1700.0034</v>
      </c>
      <c r="P32" s="10" t="n">
        <f aca="false">-1666.67*Escalation!$B$15</f>
        <v>-1700.0034</v>
      </c>
      <c r="Q32" s="10" t="n">
        <f aca="false">-1666.67*Escalation!$B$16</f>
        <v>-1700.0034</v>
      </c>
      <c r="R32" s="10" t="n">
        <f aca="false">-1666.67*Escalation!$B$17</f>
        <v>-1700.0034</v>
      </c>
      <c r="S32" s="10" t="n">
        <f aca="false">-1666.67*Escalation!$B$18</f>
        <v>-1700.0034</v>
      </c>
      <c r="T32" s="10" t="n">
        <f aca="false">-1666.67*Escalation!$B$19</f>
        <v>-1700.0034</v>
      </c>
      <c r="U32" s="10" t="n">
        <f aca="false">-1666.67*Escalation!$B$20</f>
        <v>-1700.0034</v>
      </c>
      <c r="V32" s="10" t="n">
        <f aca="false">-1666.67*Escalation!$B$21</f>
        <v>-1700.0034</v>
      </c>
      <c r="W32" s="10" t="n">
        <f aca="false">-1666.67*Escalation!$B$22</f>
        <v>-1700.0034</v>
      </c>
      <c r="X32" s="10" t="n">
        <f aca="false">-1666.67*Escalation!$B$23</f>
        <v>-1700.0034</v>
      </c>
      <c r="Y32" s="10" t="n">
        <f aca="false">-1666.67*Escalation!$B$24</f>
        <v>-1700.0034</v>
      </c>
      <c r="Z32" s="10" t="n">
        <f aca="false">-1666.67*Escalation!$B$25</f>
        <v>-1700.0034</v>
      </c>
      <c r="AA32" s="10" t="n">
        <f aca="false">-1666.67*Escalation!$B$26</f>
        <v>-1734.003468</v>
      </c>
      <c r="AB32" s="10" t="n">
        <f aca="false">-1666.67*Escalation!$B$27</f>
        <v>-1734.003468</v>
      </c>
      <c r="AC32" s="10" t="n">
        <f aca="false">-1666.67*Escalation!$B$28</f>
        <v>-1734.003468</v>
      </c>
      <c r="AD32" s="10" t="n">
        <f aca="false">-1666.67*Escalation!$B$29</f>
        <v>-1734.003468</v>
      </c>
      <c r="AE32" s="10" t="n">
        <f aca="false">-1666.67*Escalation!$B$30</f>
        <v>-1734.003468</v>
      </c>
      <c r="AF32" s="10" t="n">
        <f aca="false">-1666.67*Escalation!$B$31</f>
        <v>-1734.003468</v>
      </c>
      <c r="AG32" s="10" t="n">
        <f aca="false">-1666.67*Escalation!$B$32</f>
        <v>-1734.003468</v>
      </c>
      <c r="AH32" s="10" t="n">
        <f aca="false">-1666.67*Escalation!$B$33</f>
        <v>-1734.003468</v>
      </c>
      <c r="AI32" s="10" t="n">
        <f aca="false">-1666.67*Escalation!$B$34</f>
        <v>-1734.003468</v>
      </c>
      <c r="AJ32" s="10" t="n">
        <f aca="false">-1666.67*Escalation!$B$35</f>
        <v>-1734.003468</v>
      </c>
      <c r="AK32" s="10" t="n">
        <f aca="false">-1666.67*Escalation!$B$36</f>
        <v>-1734.003468</v>
      </c>
      <c r="AL32" s="10" t="n">
        <f aca="false">-1666.67*Escalation!$B$37</f>
        <v>-1734.003468</v>
      </c>
      <c r="AM32" s="10" t="n">
        <f aca="false">-1666.67*Escalation!$B$38</f>
        <v>-1768.68353736</v>
      </c>
      <c r="AN32" s="10" t="n">
        <f aca="false">-1666.67*Escalation!$B$39</f>
        <v>-1768.68353736</v>
      </c>
      <c r="AO32" s="10" t="n">
        <f aca="false">-1666.67*Escalation!$B$40</f>
        <v>-1768.68353736</v>
      </c>
      <c r="AP32" s="10" t="n">
        <f aca="false">-1666.67*Escalation!$B$41</f>
        <v>-1768.68353736</v>
      </c>
      <c r="AQ32" s="10" t="n">
        <f aca="false">-1666.67*Escalation!$B$42</f>
        <v>-1768.68353736</v>
      </c>
      <c r="AR32" s="10" t="n">
        <f aca="false">-1666.67*Escalation!$B$43</f>
        <v>-1768.68353736</v>
      </c>
      <c r="AS32" s="10" t="n">
        <f aca="false">-1666.67*Escalation!$B$44</f>
        <v>-1768.68353736</v>
      </c>
      <c r="AT32" s="10" t="n">
        <f aca="false">-1666.67*Escalation!$B$45</f>
        <v>-1768.68353736</v>
      </c>
      <c r="AU32" s="10" t="n">
        <f aca="false">-1666.67*Escalation!$B$46</f>
        <v>-1768.68353736</v>
      </c>
      <c r="AV32" s="10" t="n">
        <f aca="false">-1666.67*Escalation!$B$47</f>
        <v>-1768.68353736</v>
      </c>
      <c r="AW32" s="10" t="n">
        <f aca="false">-1666.67*Escalation!$B$48</f>
        <v>-1768.68353736</v>
      </c>
      <c r="AX32" s="10" t="n">
        <f aca="false">-1666.67*Escalation!$B$49</f>
        <v>-1768.68353736</v>
      </c>
      <c r="AY32" s="10" t="n">
        <f aca="false">-1666.67*Escalation!$B$50</f>
        <v>-1804.0572081072</v>
      </c>
      <c r="AZ32" s="10" t="n">
        <f aca="false">-1666.67*Escalation!$B$51</f>
        <v>-1804.0572081072</v>
      </c>
      <c r="BA32" s="10" t="n">
        <f aca="false">-1666.67*Escalation!$B$52</f>
        <v>-1804.0572081072</v>
      </c>
      <c r="BB32" s="10" t="n">
        <f aca="false">-1666.67*Escalation!$B$53</f>
        <v>-1804.0572081072</v>
      </c>
      <c r="BC32" s="10" t="n">
        <f aca="false">-1666.67*Escalation!$B$54</f>
        <v>-1804.0572081072</v>
      </c>
      <c r="BD32" s="10" t="n">
        <f aca="false">-1666.67*Escalation!$B$55</f>
        <v>-1804.0572081072</v>
      </c>
      <c r="BE32" s="10" t="n">
        <f aca="false">-1666.67*Escalation!$B$56</f>
        <v>-1804.0572081072</v>
      </c>
      <c r="BF32" s="10" t="n">
        <f aca="false">-1666.67*Escalation!$B$57</f>
        <v>-1804.0572081072</v>
      </c>
      <c r="BG32" s="10" t="n">
        <f aca="false">-1666.67*Escalation!$B$58</f>
        <v>-1804.0572081072</v>
      </c>
      <c r="BH32" s="10" t="n">
        <f aca="false">-1666.67*Escalation!$B$59</f>
        <v>-1804.0572081072</v>
      </c>
      <c r="BI32" s="10" t="n">
        <f aca="false">-1666.67*Escalation!$B$60</f>
        <v>-1804.0572081072</v>
      </c>
      <c r="BJ32" s="10" t="n">
        <f aca="false">-1666.67*Escalation!$B$61</f>
        <v>-1804.0572081072</v>
      </c>
      <c r="BK32" s="10" t="n">
        <f aca="false">-1666.67*Escalation!$B$62</f>
        <v>-1840.13835226934</v>
      </c>
      <c r="BL32" s="10" t="n">
        <f aca="false">-1666.67*Escalation!$B$63</f>
        <v>-1840.13835226934</v>
      </c>
      <c r="BM32" s="10" t="n">
        <f aca="false">-1666.67*Escalation!$B$64</f>
        <v>-1840.13835226934</v>
      </c>
      <c r="BN32" s="10" t="n">
        <f aca="false">-1666.67*Escalation!$B$65</f>
        <v>-1840.13835226934</v>
      </c>
      <c r="BO32" s="10" t="n">
        <f aca="false">-1666.67*Escalation!$B$66</f>
        <v>-1840.13835226934</v>
      </c>
      <c r="BP32" s="10" t="n">
        <f aca="false">-1666.67*Escalation!$B$67</f>
        <v>-1840.13835226934</v>
      </c>
      <c r="BQ32" s="10" t="n">
        <f aca="false">-1666.67*Escalation!$B$68</f>
        <v>-1840.13835226934</v>
      </c>
      <c r="BR32" s="10" t="n">
        <f aca="false">-1666.67*Escalation!$B$69</f>
        <v>-1840.13835226934</v>
      </c>
      <c r="BS32" s="10" t="n">
        <f aca="false">-1666.67*Escalation!$B$70</f>
        <v>-1840.13835226934</v>
      </c>
      <c r="BT32" s="10" t="n">
        <f aca="false">-1666.67*Escalation!$B$71</f>
        <v>-1840.13835226934</v>
      </c>
      <c r="BU32" s="10" t="n">
        <f aca="false">-1666.67*Escalation!$B$72</f>
        <v>-1840.13835226934</v>
      </c>
      <c r="BV32" s="10" t="n">
        <f aca="false">-1666.67*Escalation!$B$73</f>
        <v>-1840.13835226934</v>
      </c>
      <c r="BW32" s="10" t="n">
        <f aca="false">-1666.67*Escalation!$B$74</f>
        <v>-1876.94111931473</v>
      </c>
      <c r="BX32" s="10" t="n">
        <f aca="false">-1666.67*Escalation!$B$75</f>
        <v>-1876.94111931473</v>
      </c>
      <c r="BY32" s="10" t="n">
        <f aca="false">-1666.67*Escalation!$B$76</f>
        <v>-1876.94111931473</v>
      </c>
      <c r="BZ32" s="10" t="n">
        <f aca="false">-1666.67*Escalation!$B$77</f>
        <v>-1876.94111931473</v>
      </c>
      <c r="CA32" s="10" t="n">
        <f aca="false">-1666.67*Escalation!$B$78</f>
        <v>-1876.94111931473</v>
      </c>
      <c r="CB32" s="10" t="n">
        <f aca="false">-1666.67*Escalation!$B$79</f>
        <v>-1876.94111931473</v>
      </c>
      <c r="CC32" s="10" t="n">
        <f aca="false">-1666.67*Escalation!$B$80</f>
        <v>-1876.94111931473</v>
      </c>
      <c r="CD32" s="10" t="n">
        <f aca="false">-1666.67*Escalation!$B$81</f>
        <v>-1876.94111931473</v>
      </c>
      <c r="CE32" s="10" t="n">
        <f aca="false">-1666.67*Escalation!$B$82</f>
        <v>-1876.94111931473</v>
      </c>
      <c r="CF32" s="10" t="n">
        <f aca="false">-1666.67*Escalation!$B$83</f>
        <v>-1876.94111931473</v>
      </c>
      <c r="CG32" s="10" t="n">
        <f aca="false">-1666.67*Escalation!$B$84</f>
        <v>-1876.94111931473</v>
      </c>
      <c r="CH32" s="10" t="n">
        <f aca="false">-1666.67*Escalation!$B$85</f>
        <v>-1876.94111931473</v>
      </c>
      <c r="CI32" s="25"/>
    </row>
    <row r="33" customFormat="false" ht="15" hidden="false" customHeight="true" outlineLevel="0" collapsed="false">
      <c r="A33" s="9" t="s">
        <v>80</v>
      </c>
      <c r="B33" s="24"/>
      <c r="C33" s="10" t="n">
        <f aca="false">-1000*Escalation!$B$2</f>
        <v>-1000</v>
      </c>
      <c r="D33" s="10" t="n">
        <f aca="false">-1000*Escalation!$B$3</f>
        <v>-1000</v>
      </c>
      <c r="E33" s="10" t="n">
        <f aca="false">-1000*Escalation!$B$4</f>
        <v>-1000</v>
      </c>
      <c r="F33" s="10" t="n">
        <f aca="false">-1000*Escalation!$B$5</f>
        <v>-1000</v>
      </c>
      <c r="G33" s="10" t="n">
        <f aca="false">-1000*Escalation!$B$6</f>
        <v>-1000</v>
      </c>
      <c r="H33" s="10" t="n">
        <f aca="false">-1000*Escalation!$B$7</f>
        <v>-1000</v>
      </c>
      <c r="I33" s="10" t="n">
        <f aca="false">-1000*Escalation!$B$8</f>
        <v>-1000</v>
      </c>
      <c r="J33" s="10" t="n">
        <f aca="false">-1000*Escalation!$B$9</f>
        <v>-1000</v>
      </c>
      <c r="K33" s="10" t="n">
        <f aca="false">-1000*Escalation!$B$10</f>
        <v>-1000</v>
      </c>
      <c r="L33" s="10" t="n">
        <f aca="false">-1000*Escalation!$B$11</f>
        <v>-1000</v>
      </c>
      <c r="M33" s="10" t="n">
        <f aca="false">-1000*Escalation!$B$12</f>
        <v>-1000</v>
      </c>
      <c r="N33" s="10" t="n">
        <f aca="false">-1000*Escalation!$B$13</f>
        <v>-1000</v>
      </c>
      <c r="O33" s="10" t="n">
        <f aca="false">-1000*Escalation!$B$14</f>
        <v>-1020</v>
      </c>
      <c r="P33" s="10" t="n">
        <f aca="false">-1000*Escalation!$B$15</f>
        <v>-1020</v>
      </c>
      <c r="Q33" s="10" t="n">
        <f aca="false">-1000*Escalation!$B$16</f>
        <v>-1020</v>
      </c>
      <c r="R33" s="10" t="n">
        <f aca="false">-1000*Escalation!$B$17</f>
        <v>-1020</v>
      </c>
      <c r="S33" s="10" t="n">
        <f aca="false">-1000*Escalation!$B$18</f>
        <v>-1020</v>
      </c>
      <c r="T33" s="10" t="n">
        <f aca="false">-1000*Escalation!$B$19</f>
        <v>-1020</v>
      </c>
      <c r="U33" s="10" t="n">
        <f aca="false">-1000*Escalation!$B$20</f>
        <v>-1020</v>
      </c>
      <c r="V33" s="10" t="n">
        <f aca="false">-1000*Escalation!$B$21</f>
        <v>-1020</v>
      </c>
      <c r="W33" s="10" t="n">
        <f aca="false">-1000*Escalation!$B$22</f>
        <v>-1020</v>
      </c>
      <c r="X33" s="10" t="n">
        <f aca="false">-1000*Escalation!$B$23</f>
        <v>-1020</v>
      </c>
      <c r="Y33" s="10" t="n">
        <f aca="false">-1000*Escalation!$B$24</f>
        <v>-1020</v>
      </c>
      <c r="Z33" s="10" t="n">
        <f aca="false">-1000*Escalation!$B$25</f>
        <v>-1020</v>
      </c>
      <c r="AA33" s="10" t="n">
        <f aca="false">-1000*Escalation!$B$26</f>
        <v>-1040.4</v>
      </c>
      <c r="AB33" s="10" t="n">
        <f aca="false">-1000*Escalation!$B$27</f>
        <v>-1040.4</v>
      </c>
      <c r="AC33" s="10" t="n">
        <f aca="false">-1000*Escalation!$B$28</f>
        <v>-1040.4</v>
      </c>
      <c r="AD33" s="10" t="n">
        <f aca="false">-1000*Escalation!$B$29</f>
        <v>-1040.4</v>
      </c>
      <c r="AE33" s="10" t="n">
        <f aca="false">-1000*Escalation!$B$30</f>
        <v>-1040.4</v>
      </c>
      <c r="AF33" s="10" t="n">
        <f aca="false">-1000*Escalation!$B$31</f>
        <v>-1040.4</v>
      </c>
      <c r="AG33" s="10" t="n">
        <f aca="false">-1000*Escalation!$B$32</f>
        <v>-1040.4</v>
      </c>
      <c r="AH33" s="10" t="n">
        <f aca="false">-1000*Escalation!$B$33</f>
        <v>-1040.4</v>
      </c>
      <c r="AI33" s="10" t="n">
        <f aca="false">-1000*Escalation!$B$34</f>
        <v>-1040.4</v>
      </c>
      <c r="AJ33" s="10" t="n">
        <f aca="false">-1000*Escalation!$B$35</f>
        <v>-1040.4</v>
      </c>
      <c r="AK33" s="10" t="n">
        <f aca="false">-1000*Escalation!$B$36</f>
        <v>-1040.4</v>
      </c>
      <c r="AL33" s="10" t="n">
        <f aca="false">-1000*Escalation!$B$37</f>
        <v>-1040.4</v>
      </c>
      <c r="AM33" s="10" t="n">
        <f aca="false">-1000*Escalation!$B$38</f>
        <v>-1061.208</v>
      </c>
      <c r="AN33" s="10" t="n">
        <f aca="false">-1000*Escalation!$B$39</f>
        <v>-1061.208</v>
      </c>
      <c r="AO33" s="10" t="n">
        <f aca="false">-1000*Escalation!$B$40</f>
        <v>-1061.208</v>
      </c>
      <c r="AP33" s="10" t="n">
        <f aca="false">-1000*Escalation!$B$41</f>
        <v>-1061.208</v>
      </c>
      <c r="AQ33" s="10" t="n">
        <f aca="false">-1000*Escalation!$B$42</f>
        <v>-1061.208</v>
      </c>
      <c r="AR33" s="10" t="n">
        <f aca="false">-1000*Escalation!$B$43</f>
        <v>-1061.208</v>
      </c>
      <c r="AS33" s="10" t="n">
        <f aca="false">-1000*Escalation!$B$44</f>
        <v>-1061.208</v>
      </c>
      <c r="AT33" s="10" t="n">
        <f aca="false">-1000*Escalation!$B$45</f>
        <v>-1061.208</v>
      </c>
      <c r="AU33" s="10" t="n">
        <f aca="false">-1000*Escalation!$B$46</f>
        <v>-1061.208</v>
      </c>
      <c r="AV33" s="10" t="n">
        <f aca="false">-1000*Escalation!$B$47</f>
        <v>-1061.208</v>
      </c>
      <c r="AW33" s="10" t="n">
        <f aca="false">-1000*Escalation!$B$48</f>
        <v>-1061.208</v>
      </c>
      <c r="AX33" s="10" t="n">
        <f aca="false">-1000*Escalation!$B$49</f>
        <v>-1061.208</v>
      </c>
      <c r="AY33" s="10" t="n">
        <f aca="false">-1000*Escalation!$B$50</f>
        <v>-1082.43216</v>
      </c>
      <c r="AZ33" s="10" t="n">
        <f aca="false">-1000*Escalation!$B$51</f>
        <v>-1082.43216</v>
      </c>
      <c r="BA33" s="10" t="n">
        <f aca="false">-1000*Escalation!$B$52</f>
        <v>-1082.43216</v>
      </c>
      <c r="BB33" s="10" t="n">
        <f aca="false">-1000*Escalation!$B$53</f>
        <v>-1082.43216</v>
      </c>
      <c r="BC33" s="10" t="n">
        <f aca="false">-1000*Escalation!$B$54</f>
        <v>-1082.43216</v>
      </c>
      <c r="BD33" s="10" t="n">
        <f aca="false">-1000*Escalation!$B$55</f>
        <v>-1082.43216</v>
      </c>
      <c r="BE33" s="10" t="n">
        <f aca="false">-1000*Escalation!$B$56</f>
        <v>-1082.43216</v>
      </c>
      <c r="BF33" s="10" t="n">
        <f aca="false">-1000*Escalation!$B$57</f>
        <v>-1082.43216</v>
      </c>
      <c r="BG33" s="10" t="n">
        <f aca="false">-1000*Escalation!$B$58</f>
        <v>-1082.43216</v>
      </c>
      <c r="BH33" s="10" t="n">
        <f aca="false">-1000*Escalation!$B$59</f>
        <v>-1082.43216</v>
      </c>
      <c r="BI33" s="10" t="n">
        <f aca="false">-1000*Escalation!$B$60</f>
        <v>-1082.43216</v>
      </c>
      <c r="BJ33" s="10" t="n">
        <f aca="false">-1000*Escalation!$B$61</f>
        <v>-1082.43216</v>
      </c>
      <c r="BK33" s="10" t="n">
        <f aca="false">-1000*Escalation!$B$62</f>
        <v>-1104.0808032</v>
      </c>
      <c r="BL33" s="10" t="n">
        <f aca="false">-1000*Escalation!$B$63</f>
        <v>-1104.0808032</v>
      </c>
      <c r="BM33" s="10" t="n">
        <f aca="false">-1000*Escalation!$B$64</f>
        <v>-1104.0808032</v>
      </c>
      <c r="BN33" s="10" t="n">
        <f aca="false">-1000*Escalation!$B$65</f>
        <v>-1104.0808032</v>
      </c>
      <c r="BO33" s="10" t="n">
        <f aca="false">-1000*Escalation!$B$66</f>
        <v>-1104.0808032</v>
      </c>
      <c r="BP33" s="10" t="n">
        <f aca="false">-1000*Escalation!$B$67</f>
        <v>-1104.0808032</v>
      </c>
      <c r="BQ33" s="10" t="n">
        <f aca="false">-1000*Escalation!$B$68</f>
        <v>-1104.0808032</v>
      </c>
      <c r="BR33" s="10" t="n">
        <f aca="false">-1000*Escalation!$B$69</f>
        <v>-1104.0808032</v>
      </c>
      <c r="BS33" s="10" t="n">
        <f aca="false">-1000*Escalation!$B$70</f>
        <v>-1104.0808032</v>
      </c>
      <c r="BT33" s="10" t="n">
        <f aca="false">-1000*Escalation!$B$71</f>
        <v>-1104.0808032</v>
      </c>
      <c r="BU33" s="10" t="n">
        <f aca="false">-1000*Escalation!$B$72</f>
        <v>-1104.0808032</v>
      </c>
      <c r="BV33" s="10" t="n">
        <f aca="false">-1000*Escalation!$B$73</f>
        <v>-1104.0808032</v>
      </c>
      <c r="BW33" s="10" t="n">
        <f aca="false">-1000*Escalation!$B$74</f>
        <v>-1126.162419264</v>
      </c>
      <c r="BX33" s="10" t="n">
        <f aca="false">-1000*Escalation!$B$75</f>
        <v>-1126.162419264</v>
      </c>
      <c r="BY33" s="10" t="n">
        <f aca="false">-1000*Escalation!$B$76</f>
        <v>-1126.162419264</v>
      </c>
      <c r="BZ33" s="10" t="n">
        <f aca="false">-1000*Escalation!$B$77</f>
        <v>-1126.162419264</v>
      </c>
      <c r="CA33" s="10" t="n">
        <f aca="false">-1000*Escalation!$B$78</f>
        <v>-1126.162419264</v>
      </c>
      <c r="CB33" s="10" t="n">
        <f aca="false">-1000*Escalation!$B$79</f>
        <v>-1126.162419264</v>
      </c>
      <c r="CC33" s="10" t="n">
        <f aca="false">-1000*Escalation!$B$80</f>
        <v>-1126.162419264</v>
      </c>
      <c r="CD33" s="10" t="n">
        <f aca="false">-1000*Escalation!$B$81</f>
        <v>-1126.162419264</v>
      </c>
      <c r="CE33" s="10" t="n">
        <f aca="false">-1000*Escalation!$B$82</f>
        <v>-1126.162419264</v>
      </c>
      <c r="CF33" s="10" t="n">
        <f aca="false">-1000*Escalation!$B$83</f>
        <v>-1126.162419264</v>
      </c>
      <c r="CG33" s="10" t="n">
        <f aca="false">-1000*Escalation!$B$84</f>
        <v>-1126.162419264</v>
      </c>
      <c r="CH33" s="10" t="n">
        <f aca="false">-1000*Escalation!$B$85</f>
        <v>-1126.162419264</v>
      </c>
      <c r="CI33" s="25"/>
    </row>
    <row r="34" customFormat="false" ht="15" hidden="false" customHeight="true" outlineLevel="0" collapsed="false">
      <c r="A34" s="9" t="s">
        <v>81</v>
      </c>
      <c r="B34" s="24"/>
      <c r="C34" s="10" t="n">
        <f aca="false">-4166.67*Escalation!$B$2</f>
        <v>-4166.67</v>
      </c>
      <c r="D34" s="10" t="n">
        <f aca="false">-4166.67*Escalation!$B$3</f>
        <v>-4166.67</v>
      </c>
      <c r="E34" s="10" t="n">
        <f aca="false">-4166.67*Escalation!$B$4</f>
        <v>-4166.67</v>
      </c>
      <c r="F34" s="10" t="n">
        <f aca="false">-4166.67*Escalation!$B$5</f>
        <v>-4166.67</v>
      </c>
      <c r="G34" s="10" t="n">
        <f aca="false">-4166.67*Escalation!$B$6</f>
        <v>-4166.67</v>
      </c>
      <c r="H34" s="10" t="n">
        <f aca="false">-4166.67*Escalation!$B$7</f>
        <v>-4166.67</v>
      </c>
      <c r="I34" s="10" t="n">
        <f aca="false">-4166.67*Escalation!$B$8</f>
        <v>-4166.67</v>
      </c>
      <c r="J34" s="10" t="n">
        <f aca="false">-4166.67*Escalation!$B$9</f>
        <v>-4166.67</v>
      </c>
      <c r="K34" s="10" t="n">
        <f aca="false">-4166.67*Escalation!$B$10</f>
        <v>-4166.67</v>
      </c>
      <c r="L34" s="10" t="n">
        <f aca="false">-4166.67*Escalation!$B$11</f>
        <v>-4166.67</v>
      </c>
      <c r="M34" s="10" t="n">
        <f aca="false">-4166.67*Escalation!$B$12</f>
        <v>-4166.67</v>
      </c>
      <c r="N34" s="10" t="n">
        <f aca="false">-4166.67*Escalation!$B$13</f>
        <v>-4166.67</v>
      </c>
      <c r="O34" s="10" t="n">
        <f aca="false">-4166.67*Escalation!$B$14</f>
        <v>-4250.0034</v>
      </c>
      <c r="P34" s="10" t="n">
        <f aca="false">-4166.67*Escalation!$B$15</f>
        <v>-4250.0034</v>
      </c>
      <c r="Q34" s="10" t="n">
        <f aca="false">-4166.67*Escalation!$B$16</f>
        <v>-4250.0034</v>
      </c>
      <c r="R34" s="10" t="n">
        <f aca="false">-4166.67*Escalation!$B$17</f>
        <v>-4250.0034</v>
      </c>
      <c r="S34" s="10" t="n">
        <f aca="false">-4166.67*Escalation!$B$18</f>
        <v>-4250.0034</v>
      </c>
      <c r="T34" s="10" t="n">
        <f aca="false">-4166.67*Escalation!$B$19</f>
        <v>-4250.0034</v>
      </c>
      <c r="U34" s="10" t="n">
        <f aca="false">-4166.67*Escalation!$B$20</f>
        <v>-4250.0034</v>
      </c>
      <c r="V34" s="10" t="n">
        <f aca="false">-4166.67*Escalation!$B$21</f>
        <v>-4250.0034</v>
      </c>
      <c r="W34" s="10" t="n">
        <f aca="false">-4166.67*Escalation!$B$22</f>
        <v>-4250.0034</v>
      </c>
      <c r="X34" s="10" t="n">
        <f aca="false">-4166.67*Escalation!$B$23</f>
        <v>-4250.0034</v>
      </c>
      <c r="Y34" s="10" t="n">
        <f aca="false">-4166.67*Escalation!$B$24</f>
        <v>-4250.0034</v>
      </c>
      <c r="Z34" s="10" t="n">
        <f aca="false">-4166.67*Escalation!$B$25</f>
        <v>-4250.0034</v>
      </c>
      <c r="AA34" s="10" t="n">
        <f aca="false">-4166.67*Escalation!$B$26</f>
        <v>-4335.003468</v>
      </c>
      <c r="AB34" s="10" t="n">
        <f aca="false">-4166.67*Escalation!$B$27</f>
        <v>-4335.003468</v>
      </c>
      <c r="AC34" s="10" t="n">
        <f aca="false">-4166.67*Escalation!$B$28</f>
        <v>-4335.003468</v>
      </c>
      <c r="AD34" s="10" t="n">
        <f aca="false">-4166.67*Escalation!$B$29</f>
        <v>-4335.003468</v>
      </c>
      <c r="AE34" s="10" t="n">
        <f aca="false">-4166.67*Escalation!$B$30</f>
        <v>-4335.003468</v>
      </c>
      <c r="AF34" s="10" t="n">
        <f aca="false">-4166.67*Escalation!$B$31</f>
        <v>-4335.003468</v>
      </c>
      <c r="AG34" s="10" t="n">
        <f aca="false">-4166.67*Escalation!$B$32</f>
        <v>-4335.003468</v>
      </c>
      <c r="AH34" s="10" t="n">
        <f aca="false">-4166.67*Escalation!$B$33</f>
        <v>-4335.003468</v>
      </c>
      <c r="AI34" s="10" t="n">
        <f aca="false">-4166.67*Escalation!$B$34</f>
        <v>-4335.003468</v>
      </c>
      <c r="AJ34" s="10" t="n">
        <f aca="false">-4166.67*Escalation!$B$35</f>
        <v>-4335.003468</v>
      </c>
      <c r="AK34" s="10" t="n">
        <f aca="false">-4166.67*Escalation!$B$36</f>
        <v>-4335.003468</v>
      </c>
      <c r="AL34" s="10" t="n">
        <f aca="false">-4166.67*Escalation!$B$37</f>
        <v>-4335.003468</v>
      </c>
      <c r="AM34" s="10" t="n">
        <f aca="false">-4166.67*Escalation!$B$38</f>
        <v>-4421.70353736</v>
      </c>
      <c r="AN34" s="10" t="n">
        <f aca="false">-4166.67*Escalation!$B$39</f>
        <v>-4421.70353736</v>
      </c>
      <c r="AO34" s="10" t="n">
        <f aca="false">-4166.67*Escalation!$B$40</f>
        <v>-4421.70353736</v>
      </c>
      <c r="AP34" s="10" t="n">
        <f aca="false">-4166.67*Escalation!$B$41</f>
        <v>-4421.70353736</v>
      </c>
      <c r="AQ34" s="10" t="n">
        <f aca="false">-4166.67*Escalation!$B$42</f>
        <v>-4421.70353736</v>
      </c>
      <c r="AR34" s="10" t="n">
        <f aca="false">-4166.67*Escalation!$B$43</f>
        <v>-4421.70353736</v>
      </c>
      <c r="AS34" s="10" t="n">
        <f aca="false">-4166.67*Escalation!$B$44</f>
        <v>-4421.70353736</v>
      </c>
      <c r="AT34" s="10" t="n">
        <f aca="false">-4166.67*Escalation!$B$45</f>
        <v>-4421.70353736</v>
      </c>
      <c r="AU34" s="10" t="n">
        <f aca="false">-4166.67*Escalation!$B$46</f>
        <v>-4421.70353736</v>
      </c>
      <c r="AV34" s="10" t="n">
        <f aca="false">-4166.67*Escalation!$B$47</f>
        <v>-4421.70353736</v>
      </c>
      <c r="AW34" s="10" t="n">
        <f aca="false">-4166.67*Escalation!$B$48</f>
        <v>-4421.70353736</v>
      </c>
      <c r="AX34" s="10" t="n">
        <f aca="false">-4166.67*Escalation!$B$49</f>
        <v>-4421.70353736</v>
      </c>
      <c r="AY34" s="10" t="n">
        <f aca="false">-4166.67*Escalation!$B$50</f>
        <v>-4510.1376081072</v>
      </c>
      <c r="AZ34" s="10" t="n">
        <f aca="false">-4166.67*Escalation!$B$51</f>
        <v>-4510.1376081072</v>
      </c>
      <c r="BA34" s="10" t="n">
        <f aca="false">-4166.67*Escalation!$B$52</f>
        <v>-4510.1376081072</v>
      </c>
      <c r="BB34" s="10" t="n">
        <f aca="false">-4166.67*Escalation!$B$53</f>
        <v>-4510.1376081072</v>
      </c>
      <c r="BC34" s="10" t="n">
        <f aca="false">-4166.67*Escalation!$B$54</f>
        <v>-4510.1376081072</v>
      </c>
      <c r="BD34" s="10" t="n">
        <f aca="false">-4166.67*Escalation!$B$55</f>
        <v>-4510.1376081072</v>
      </c>
      <c r="BE34" s="10" t="n">
        <f aca="false">-4166.67*Escalation!$B$56</f>
        <v>-4510.1376081072</v>
      </c>
      <c r="BF34" s="10" t="n">
        <f aca="false">-4166.67*Escalation!$B$57</f>
        <v>-4510.1376081072</v>
      </c>
      <c r="BG34" s="10" t="n">
        <f aca="false">-4166.67*Escalation!$B$58</f>
        <v>-4510.1376081072</v>
      </c>
      <c r="BH34" s="10" t="n">
        <f aca="false">-4166.67*Escalation!$B$59</f>
        <v>-4510.1376081072</v>
      </c>
      <c r="BI34" s="10" t="n">
        <f aca="false">-4166.67*Escalation!$B$60</f>
        <v>-4510.1376081072</v>
      </c>
      <c r="BJ34" s="10" t="n">
        <f aca="false">-4166.67*Escalation!$B$61</f>
        <v>-4510.1376081072</v>
      </c>
      <c r="BK34" s="10" t="n">
        <f aca="false">-4166.67*Escalation!$B$62</f>
        <v>-4600.34036026934</v>
      </c>
      <c r="BL34" s="10" t="n">
        <f aca="false">-4166.67*Escalation!$B$63</f>
        <v>-4600.34036026934</v>
      </c>
      <c r="BM34" s="10" t="n">
        <f aca="false">-4166.67*Escalation!$B$64</f>
        <v>-4600.34036026934</v>
      </c>
      <c r="BN34" s="10" t="n">
        <f aca="false">-4166.67*Escalation!$B$65</f>
        <v>-4600.34036026934</v>
      </c>
      <c r="BO34" s="10" t="n">
        <f aca="false">-4166.67*Escalation!$B$66</f>
        <v>-4600.34036026934</v>
      </c>
      <c r="BP34" s="10" t="n">
        <f aca="false">-4166.67*Escalation!$B$67</f>
        <v>-4600.34036026934</v>
      </c>
      <c r="BQ34" s="10" t="n">
        <f aca="false">-4166.67*Escalation!$B$68</f>
        <v>-4600.34036026934</v>
      </c>
      <c r="BR34" s="10" t="n">
        <f aca="false">-4166.67*Escalation!$B$69</f>
        <v>-4600.34036026934</v>
      </c>
      <c r="BS34" s="10" t="n">
        <f aca="false">-4166.67*Escalation!$B$70</f>
        <v>-4600.34036026934</v>
      </c>
      <c r="BT34" s="10" t="n">
        <f aca="false">-4166.67*Escalation!$B$71</f>
        <v>-4600.34036026934</v>
      </c>
      <c r="BU34" s="10" t="n">
        <f aca="false">-4166.67*Escalation!$B$72</f>
        <v>-4600.34036026934</v>
      </c>
      <c r="BV34" s="10" t="n">
        <f aca="false">-4166.67*Escalation!$B$73</f>
        <v>-4600.34036026934</v>
      </c>
      <c r="BW34" s="10" t="n">
        <f aca="false">-4166.67*Escalation!$B$74</f>
        <v>-4692.34716747473</v>
      </c>
      <c r="BX34" s="10" t="n">
        <f aca="false">-4166.67*Escalation!$B$75</f>
        <v>-4692.34716747473</v>
      </c>
      <c r="BY34" s="10" t="n">
        <f aca="false">-4166.67*Escalation!$B$76</f>
        <v>-4692.34716747473</v>
      </c>
      <c r="BZ34" s="10" t="n">
        <f aca="false">-4166.67*Escalation!$B$77</f>
        <v>-4692.34716747473</v>
      </c>
      <c r="CA34" s="10" t="n">
        <f aca="false">-4166.67*Escalation!$B$78</f>
        <v>-4692.34716747473</v>
      </c>
      <c r="CB34" s="10" t="n">
        <f aca="false">-4166.67*Escalation!$B$79</f>
        <v>-4692.34716747473</v>
      </c>
      <c r="CC34" s="10" t="n">
        <f aca="false">-4166.67*Escalation!$B$80</f>
        <v>-4692.34716747473</v>
      </c>
      <c r="CD34" s="10" t="n">
        <f aca="false">-4166.67*Escalation!$B$81</f>
        <v>-4692.34716747473</v>
      </c>
      <c r="CE34" s="10" t="n">
        <f aca="false">-4166.67*Escalation!$B$82</f>
        <v>-4692.34716747473</v>
      </c>
      <c r="CF34" s="10" t="n">
        <f aca="false">-4166.67*Escalation!$B$83</f>
        <v>-4692.34716747473</v>
      </c>
      <c r="CG34" s="10" t="n">
        <f aca="false">-4166.67*Escalation!$B$84</f>
        <v>-4692.34716747473</v>
      </c>
      <c r="CH34" s="10" t="n">
        <f aca="false">-4166.67*Escalation!$B$85</f>
        <v>-4692.34716747473</v>
      </c>
      <c r="CI34" s="25"/>
    </row>
    <row r="35" customFormat="false" ht="15" hidden="false" customHeight="true" outlineLevel="0" collapsed="false">
      <c r="A35" s="9" t="s">
        <v>82</v>
      </c>
      <c r="B35" s="24"/>
      <c r="C35" s="10" t="n">
        <f aca="false">-1000*Escalation!$B$2</f>
        <v>-1000</v>
      </c>
      <c r="D35" s="10" t="n">
        <f aca="false">-1000*Escalation!$B$3</f>
        <v>-1000</v>
      </c>
      <c r="E35" s="10" t="n">
        <f aca="false">-1000*Escalation!$B$4</f>
        <v>-1000</v>
      </c>
      <c r="F35" s="10" t="n">
        <f aca="false">-1000*Escalation!$B$5</f>
        <v>-1000</v>
      </c>
      <c r="G35" s="10" t="n">
        <f aca="false">-1000*Escalation!$B$6</f>
        <v>-1000</v>
      </c>
      <c r="H35" s="10" t="n">
        <f aca="false">-1000*Escalation!$B$7</f>
        <v>-1000</v>
      </c>
      <c r="I35" s="10" t="n">
        <f aca="false">-1000*Escalation!$B$8</f>
        <v>-1000</v>
      </c>
      <c r="J35" s="10" t="n">
        <f aca="false">-1000*Escalation!$B$9</f>
        <v>-1000</v>
      </c>
      <c r="K35" s="10" t="n">
        <f aca="false">-1000*Escalation!$B$10</f>
        <v>-1000</v>
      </c>
      <c r="L35" s="10" t="n">
        <f aca="false">-1000*Escalation!$B$11</f>
        <v>-1000</v>
      </c>
      <c r="M35" s="10" t="n">
        <f aca="false">-1000*Escalation!$B$12</f>
        <v>-1000</v>
      </c>
      <c r="N35" s="10" t="n">
        <f aca="false">-1000*Escalation!$B$13</f>
        <v>-1000</v>
      </c>
      <c r="O35" s="10" t="n">
        <f aca="false">-1000*Escalation!$B$14</f>
        <v>-1020</v>
      </c>
      <c r="P35" s="10" t="n">
        <f aca="false">-1000*Escalation!$B$15</f>
        <v>-1020</v>
      </c>
      <c r="Q35" s="10" t="n">
        <f aca="false">-1000*Escalation!$B$16</f>
        <v>-1020</v>
      </c>
      <c r="R35" s="10" t="n">
        <f aca="false">-1000*Escalation!$B$17</f>
        <v>-1020</v>
      </c>
      <c r="S35" s="10" t="n">
        <f aca="false">-1000*Escalation!$B$18</f>
        <v>-1020</v>
      </c>
      <c r="T35" s="10" t="n">
        <f aca="false">-1000*Escalation!$B$19</f>
        <v>-1020</v>
      </c>
      <c r="U35" s="10" t="n">
        <f aca="false">-1000*Escalation!$B$20</f>
        <v>-1020</v>
      </c>
      <c r="V35" s="10" t="n">
        <f aca="false">-1000*Escalation!$B$21</f>
        <v>-1020</v>
      </c>
      <c r="W35" s="10" t="n">
        <f aca="false">-1000*Escalation!$B$22</f>
        <v>-1020</v>
      </c>
      <c r="X35" s="10" t="n">
        <f aca="false">-1000*Escalation!$B$23</f>
        <v>-1020</v>
      </c>
      <c r="Y35" s="10" t="n">
        <f aca="false">-1000*Escalation!$B$24</f>
        <v>-1020</v>
      </c>
      <c r="Z35" s="10" t="n">
        <f aca="false">-1000*Escalation!$B$25</f>
        <v>-1020</v>
      </c>
      <c r="AA35" s="10" t="n">
        <f aca="false">-1000*Escalation!$B$26</f>
        <v>-1040.4</v>
      </c>
      <c r="AB35" s="10" t="n">
        <f aca="false">-1000*Escalation!$B$27</f>
        <v>-1040.4</v>
      </c>
      <c r="AC35" s="10" t="n">
        <f aca="false">-1000*Escalation!$B$28</f>
        <v>-1040.4</v>
      </c>
      <c r="AD35" s="10" t="n">
        <f aca="false">-1000*Escalation!$B$29</f>
        <v>-1040.4</v>
      </c>
      <c r="AE35" s="10" t="n">
        <f aca="false">-1000*Escalation!$B$30</f>
        <v>-1040.4</v>
      </c>
      <c r="AF35" s="10" t="n">
        <f aca="false">-1000*Escalation!$B$31</f>
        <v>-1040.4</v>
      </c>
      <c r="AG35" s="10" t="n">
        <f aca="false">-1000*Escalation!$B$32</f>
        <v>-1040.4</v>
      </c>
      <c r="AH35" s="10" t="n">
        <f aca="false">-1000*Escalation!$B$33</f>
        <v>-1040.4</v>
      </c>
      <c r="AI35" s="10" t="n">
        <f aca="false">-1000*Escalation!$B$34</f>
        <v>-1040.4</v>
      </c>
      <c r="AJ35" s="10" t="n">
        <f aca="false">-1000*Escalation!$B$35</f>
        <v>-1040.4</v>
      </c>
      <c r="AK35" s="10" t="n">
        <f aca="false">-1000*Escalation!$B$36</f>
        <v>-1040.4</v>
      </c>
      <c r="AL35" s="10" t="n">
        <f aca="false">-1000*Escalation!$B$37</f>
        <v>-1040.4</v>
      </c>
      <c r="AM35" s="10" t="n">
        <f aca="false">-1000*Escalation!$B$38</f>
        <v>-1061.208</v>
      </c>
      <c r="AN35" s="10" t="n">
        <f aca="false">-1000*Escalation!$B$39</f>
        <v>-1061.208</v>
      </c>
      <c r="AO35" s="10" t="n">
        <f aca="false">-1000*Escalation!$B$40</f>
        <v>-1061.208</v>
      </c>
      <c r="AP35" s="10" t="n">
        <f aca="false">-1000*Escalation!$B$41</f>
        <v>-1061.208</v>
      </c>
      <c r="AQ35" s="10" t="n">
        <f aca="false">-1000*Escalation!$B$42</f>
        <v>-1061.208</v>
      </c>
      <c r="AR35" s="10" t="n">
        <f aca="false">-1000*Escalation!$B$43</f>
        <v>-1061.208</v>
      </c>
      <c r="AS35" s="10" t="n">
        <f aca="false">-1000*Escalation!$B$44</f>
        <v>-1061.208</v>
      </c>
      <c r="AT35" s="10" t="n">
        <f aca="false">-1000*Escalation!$B$45</f>
        <v>-1061.208</v>
      </c>
      <c r="AU35" s="10" t="n">
        <f aca="false">-1000*Escalation!$B$46</f>
        <v>-1061.208</v>
      </c>
      <c r="AV35" s="10" t="n">
        <f aca="false">-1000*Escalation!$B$47</f>
        <v>-1061.208</v>
      </c>
      <c r="AW35" s="10" t="n">
        <f aca="false">-1000*Escalation!$B$48</f>
        <v>-1061.208</v>
      </c>
      <c r="AX35" s="10" t="n">
        <f aca="false">-1000*Escalation!$B$49</f>
        <v>-1061.208</v>
      </c>
      <c r="AY35" s="10" t="n">
        <f aca="false">-1000*Escalation!$B$50</f>
        <v>-1082.43216</v>
      </c>
      <c r="AZ35" s="10" t="n">
        <f aca="false">-1000*Escalation!$B$51</f>
        <v>-1082.43216</v>
      </c>
      <c r="BA35" s="10" t="n">
        <f aca="false">-1000*Escalation!$B$52</f>
        <v>-1082.43216</v>
      </c>
      <c r="BB35" s="10" t="n">
        <f aca="false">-1000*Escalation!$B$53</f>
        <v>-1082.43216</v>
      </c>
      <c r="BC35" s="10" t="n">
        <f aca="false">-1000*Escalation!$B$54</f>
        <v>-1082.43216</v>
      </c>
      <c r="BD35" s="10" t="n">
        <f aca="false">-1000*Escalation!$B$55</f>
        <v>-1082.43216</v>
      </c>
      <c r="BE35" s="10" t="n">
        <f aca="false">-1000*Escalation!$B$56</f>
        <v>-1082.43216</v>
      </c>
      <c r="BF35" s="10" t="n">
        <f aca="false">-1000*Escalation!$B$57</f>
        <v>-1082.43216</v>
      </c>
      <c r="BG35" s="10" t="n">
        <f aca="false">-1000*Escalation!$B$58</f>
        <v>-1082.43216</v>
      </c>
      <c r="BH35" s="10" t="n">
        <f aca="false">-1000*Escalation!$B$59</f>
        <v>-1082.43216</v>
      </c>
      <c r="BI35" s="10" t="n">
        <f aca="false">-1000*Escalation!$B$60</f>
        <v>-1082.43216</v>
      </c>
      <c r="BJ35" s="10" t="n">
        <f aca="false">-1000*Escalation!$B$61</f>
        <v>-1082.43216</v>
      </c>
      <c r="BK35" s="10" t="n">
        <f aca="false">-1000*Escalation!$B$62</f>
        <v>-1104.0808032</v>
      </c>
      <c r="BL35" s="10" t="n">
        <f aca="false">-1000*Escalation!$B$63</f>
        <v>-1104.0808032</v>
      </c>
      <c r="BM35" s="10" t="n">
        <f aca="false">-1000*Escalation!$B$64</f>
        <v>-1104.0808032</v>
      </c>
      <c r="BN35" s="10" t="n">
        <f aca="false">-1000*Escalation!$B$65</f>
        <v>-1104.0808032</v>
      </c>
      <c r="BO35" s="10" t="n">
        <f aca="false">-1000*Escalation!$B$66</f>
        <v>-1104.0808032</v>
      </c>
      <c r="BP35" s="10" t="n">
        <f aca="false">-1000*Escalation!$B$67</f>
        <v>-1104.0808032</v>
      </c>
      <c r="BQ35" s="10" t="n">
        <f aca="false">-1000*Escalation!$B$68</f>
        <v>-1104.0808032</v>
      </c>
      <c r="BR35" s="10" t="n">
        <f aca="false">-1000*Escalation!$B$69</f>
        <v>-1104.0808032</v>
      </c>
      <c r="BS35" s="10" t="n">
        <f aca="false">-1000*Escalation!$B$70</f>
        <v>-1104.0808032</v>
      </c>
      <c r="BT35" s="10" t="n">
        <f aca="false">-1000*Escalation!$B$71</f>
        <v>-1104.0808032</v>
      </c>
      <c r="BU35" s="10" t="n">
        <f aca="false">-1000*Escalation!$B$72</f>
        <v>-1104.0808032</v>
      </c>
      <c r="BV35" s="10" t="n">
        <f aca="false">-1000*Escalation!$B$73</f>
        <v>-1104.0808032</v>
      </c>
      <c r="BW35" s="10" t="n">
        <f aca="false">-1000*Escalation!$B$74</f>
        <v>-1126.162419264</v>
      </c>
      <c r="BX35" s="10" t="n">
        <f aca="false">-1000*Escalation!$B$75</f>
        <v>-1126.162419264</v>
      </c>
      <c r="BY35" s="10" t="n">
        <f aca="false">-1000*Escalation!$B$76</f>
        <v>-1126.162419264</v>
      </c>
      <c r="BZ35" s="10" t="n">
        <f aca="false">-1000*Escalation!$B$77</f>
        <v>-1126.162419264</v>
      </c>
      <c r="CA35" s="10" t="n">
        <f aca="false">-1000*Escalation!$B$78</f>
        <v>-1126.162419264</v>
      </c>
      <c r="CB35" s="10" t="n">
        <f aca="false">-1000*Escalation!$B$79</f>
        <v>-1126.162419264</v>
      </c>
      <c r="CC35" s="10" t="n">
        <f aca="false">-1000*Escalation!$B$80</f>
        <v>-1126.162419264</v>
      </c>
      <c r="CD35" s="10" t="n">
        <f aca="false">-1000*Escalation!$B$81</f>
        <v>-1126.162419264</v>
      </c>
      <c r="CE35" s="10" t="n">
        <f aca="false">-1000*Escalation!$B$82</f>
        <v>-1126.162419264</v>
      </c>
      <c r="CF35" s="10" t="n">
        <f aca="false">-1000*Escalation!$B$83</f>
        <v>-1126.162419264</v>
      </c>
      <c r="CG35" s="10" t="n">
        <f aca="false">-1000*Escalation!$B$84</f>
        <v>-1126.162419264</v>
      </c>
      <c r="CH35" s="10" t="n">
        <f aca="false">-1000*Escalation!$B$85</f>
        <v>-1126.162419264</v>
      </c>
      <c r="CI35" s="25"/>
    </row>
    <row r="36" customFormat="false" ht="15" hidden="false" customHeight="true" outlineLevel="0" collapsed="false">
      <c r="A36" s="9" t="s">
        <v>83</v>
      </c>
      <c r="B36" s="24"/>
      <c r="C36" s="10" t="n">
        <f aca="false">-166.67*Escalation!$B$2</f>
        <v>-166.67</v>
      </c>
      <c r="D36" s="10" t="n">
        <f aca="false">-166.67*Escalation!$B$3</f>
        <v>-166.67</v>
      </c>
      <c r="E36" s="10" t="n">
        <f aca="false">-166.67*Escalation!$B$4</f>
        <v>-166.67</v>
      </c>
      <c r="F36" s="10" t="n">
        <f aca="false">-166.67*Escalation!$B$5</f>
        <v>-166.67</v>
      </c>
      <c r="G36" s="10" t="n">
        <f aca="false">-166.67*Escalation!$B$6</f>
        <v>-166.67</v>
      </c>
      <c r="H36" s="10" t="n">
        <f aca="false">-166.67*Escalation!$B$7</f>
        <v>-166.67</v>
      </c>
      <c r="I36" s="10" t="n">
        <f aca="false">-166.67*Escalation!$B$8</f>
        <v>-166.67</v>
      </c>
      <c r="J36" s="10" t="n">
        <f aca="false">-166.67*Escalation!$B$9</f>
        <v>-166.67</v>
      </c>
      <c r="K36" s="10" t="n">
        <f aca="false">-166.67*Escalation!$B$10</f>
        <v>-166.67</v>
      </c>
      <c r="L36" s="10" t="n">
        <f aca="false">-166.67*Escalation!$B$11</f>
        <v>-166.67</v>
      </c>
      <c r="M36" s="10" t="n">
        <f aca="false">-166.67*Escalation!$B$12</f>
        <v>-166.67</v>
      </c>
      <c r="N36" s="10" t="n">
        <f aca="false">-166.67*Escalation!$B$13</f>
        <v>-166.67</v>
      </c>
      <c r="O36" s="10" t="n">
        <f aca="false">-166.67*Escalation!$B$14</f>
        <v>-170.0034</v>
      </c>
      <c r="P36" s="10" t="n">
        <f aca="false">-166.67*Escalation!$B$15</f>
        <v>-170.0034</v>
      </c>
      <c r="Q36" s="10" t="n">
        <f aca="false">-166.67*Escalation!$B$16</f>
        <v>-170.0034</v>
      </c>
      <c r="R36" s="10" t="n">
        <f aca="false">-166.67*Escalation!$B$17</f>
        <v>-170.0034</v>
      </c>
      <c r="S36" s="10" t="n">
        <f aca="false">-166.67*Escalation!$B$18</f>
        <v>-170.0034</v>
      </c>
      <c r="T36" s="10" t="n">
        <f aca="false">-166.67*Escalation!$B$19</f>
        <v>-170.0034</v>
      </c>
      <c r="U36" s="10" t="n">
        <f aca="false">-166.67*Escalation!$B$20</f>
        <v>-170.0034</v>
      </c>
      <c r="V36" s="10" t="n">
        <f aca="false">-166.67*Escalation!$B$21</f>
        <v>-170.0034</v>
      </c>
      <c r="W36" s="10" t="n">
        <f aca="false">-166.67*Escalation!$B$22</f>
        <v>-170.0034</v>
      </c>
      <c r="X36" s="10" t="n">
        <f aca="false">-166.67*Escalation!$B$23</f>
        <v>-170.0034</v>
      </c>
      <c r="Y36" s="10" t="n">
        <f aca="false">-166.67*Escalation!$B$24</f>
        <v>-170.0034</v>
      </c>
      <c r="Z36" s="10" t="n">
        <f aca="false">-166.67*Escalation!$B$25</f>
        <v>-170.0034</v>
      </c>
      <c r="AA36" s="10" t="n">
        <f aca="false">-166.67*Escalation!$B$26</f>
        <v>-173.403468</v>
      </c>
      <c r="AB36" s="10" t="n">
        <f aca="false">-166.67*Escalation!$B$27</f>
        <v>-173.403468</v>
      </c>
      <c r="AC36" s="10" t="n">
        <f aca="false">-166.67*Escalation!$B$28</f>
        <v>-173.403468</v>
      </c>
      <c r="AD36" s="10" t="n">
        <f aca="false">-166.67*Escalation!$B$29</f>
        <v>-173.403468</v>
      </c>
      <c r="AE36" s="10" t="n">
        <f aca="false">-166.67*Escalation!$B$30</f>
        <v>-173.403468</v>
      </c>
      <c r="AF36" s="10" t="n">
        <f aca="false">-166.67*Escalation!$B$31</f>
        <v>-173.403468</v>
      </c>
      <c r="AG36" s="10" t="n">
        <f aca="false">-166.67*Escalation!$B$32</f>
        <v>-173.403468</v>
      </c>
      <c r="AH36" s="10" t="n">
        <f aca="false">-166.67*Escalation!$B$33</f>
        <v>-173.403468</v>
      </c>
      <c r="AI36" s="10" t="n">
        <f aca="false">-166.67*Escalation!$B$34</f>
        <v>-173.403468</v>
      </c>
      <c r="AJ36" s="10" t="n">
        <f aca="false">-166.67*Escalation!$B$35</f>
        <v>-173.403468</v>
      </c>
      <c r="AK36" s="10" t="n">
        <f aca="false">-166.67*Escalation!$B$36</f>
        <v>-173.403468</v>
      </c>
      <c r="AL36" s="10" t="n">
        <f aca="false">-166.67*Escalation!$B$37</f>
        <v>-173.403468</v>
      </c>
      <c r="AM36" s="10" t="n">
        <f aca="false">-166.67*Escalation!$B$38</f>
        <v>-176.87153736</v>
      </c>
      <c r="AN36" s="10" t="n">
        <f aca="false">-166.67*Escalation!$B$39</f>
        <v>-176.87153736</v>
      </c>
      <c r="AO36" s="10" t="n">
        <f aca="false">-166.67*Escalation!$B$40</f>
        <v>-176.87153736</v>
      </c>
      <c r="AP36" s="10" t="n">
        <f aca="false">-166.67*Escalation!$B$41</f>
        <v>-176.87153736</v>
      </c>
      <c r="AQ36" s="10" t="n">
        <f aca="false">-166.67*Escalation!$B$42</f>
        <v>-176.87153736</v>
      </c>
      <c r="AR36" s="10" t="n">
        <f aca="false">-166.67*Escalation!$B$43</f>
        <v>-176.87153736</v>
      </c>
      <c r="AS36" s="10" t="n">
        <f aca="false">-166.67*Escalation!$B$44</f>
        <v>-176.87153736</v>
      </c>
      <c r="AT36" s="10" t="n">
        <f aca="false">-166.67*Escalation!$B$45</f>
        <v>-176.87153736</v>
      </c>
      <c r="AU36" s="10" t="n">
        <f aca="false">-166.67*Escalation!$B$46</f>
        <v>-176.87153736</v>
      </c>
      <c r="AV36" s="10" t="n">
        <f aca="false">-166.67*Escalation!$B$47</f>
        <v>-176.87153736</v>
      </c>
      <c r="AW36" s="10" t="n">
        <f aca="false">-166.67*Escalation!$B$48</f>
        <v>-176.87153736</v>
      </c>
      <c r="AX36" s="10" t="n">
        <f aca="false">-166.67*Escalation!$B$49</f>
        <v>-176.87153736</v>
      </c>
      <c r="AY36" s="10" t="n">
        <f aca="false">-166.67*Escalation!$B$50</f>
        <v>-180.4089681072</v>
      </c>
      <c r="AZ36" s="10" t="n">
        <f aca="false">-166.67*Escalation!$B$51</f>
        <v>-180.4089681072</v>
      </c>
      <c r="BA36" s="10" t="n">
        <f aca="false">-166.67*Escalation!$B$52</f>
        <v>-180.4089681072</v>
      </c>
      <c r="BB36" s="10" t="n">
        <f aca="false">-166.67*Escalation!$B$53</f>
        <v>-180.4089681072</v>
      </c>
      <c r="BC36" s="10" t="n">
        <f aca="false">-166.67*Escalation!$B$54</f>
        <v>-180.4089681072</v>
      </c>
      <c r="BD36" s="10" t="n">
        <f aca="false">-166.67*Escalation!$B$55</f>
        <v>-180.4089681072</v>
      </c>
      <c r="BE36" s="10" t="n">
        <f aca="false">-166.67*Escalation!$B$56</f>
        <v>-180.4089681072</v>
      </c>
      <c r="BF36" s="10" t="n">
        <f aca="false">-166.67*Escalation!$B$57</f>
        <v>-180.4089681072</v>
      </c>
      <c r="BG36" s="10" t="n">
        <f aca="false">-166.67*Escalation!$B$58</f>
        <v>-180.4089681072</v>
      </c>
      <c r="BH36" s="10" t="n">
        <f aca="false">-166.67*Escalation!$B$59</f>
        <v>-180.4089681072</v>
      </c>
      <c r="BI36" s="10" t="n">
        <f aca="false">-166.67*Escalation!$B$60</f>
        <v>-180.4089681072</v>
      </c>
      <c r="BJ36" s="10" t="n">
        <f aca="false">-166.67*Escalation!$B$61</f>
        <v>-180.4089681072</v>
      </c>
      <c r="BK36" s="10" t="n">
        <f aca="false">-166.67*Escalation!$B$62</f>
        <v>-184.017147469344</v>
      </c>
      <c r="BL36" s="10" t="n">
        <f aca="false">-166.67*Escalation!$B$63</f>
        <v>-184.017147469344</v>
      </c>
      <c r="BM36" s="10" t="n">
        <f aca="false">-166.67*Escalation!$B$64</f>
        <v>-184.017147469344</v>
      </c>
      <c r="BN36" s="10" t="n">
        <f aca="false">-166.67*Escalation!$B$65</f>
        <v>-184.017147469344</v>
      </c>
      <c r="BO36" s="10" t="n">
        <f aca="false">-166.67*Escalation!$B$66</f>
        <v>-184.017147469344</v>
      </c>
      <c r="BP36" s="10" t="n">
        <f aca="false">-166.67*Escalation!$B$67</f>
        <v>-184.017147469344</v>
      </c>
      <c r="BQ36" s="10" t="n">
        <f aca="false">-166.67*Escalation!$B$68</f>
        <v>-184.017147469344</v>
      </c>
      <c r="BR36" s="10" t="n">
        <f aca="false">-166.67*Escalation!$B$69</f>
        <v>-184.017147469344</v>
      </c>
      <c r="BS36" s="10" t="n">
        <f aca="false">-166.67*Escalation!$B$70</f>
        <v>-184.017147469344</v>
      </c>
      <c r="BT36" s="10" t="n">
        <f aca="false">-166.67*Escalation!$B$71</f>
        <v>-184.017147469344</v>
      </c>
      <c r="BU36" s="10" t="n">
        <f aca="false">-166.67*Escalation!$B$72</f>
        <v>-184.017147469344</v>
      </c>
      <c r="BV36" s="10" t="n">
        <f aca="false">-166.67*Escalation!$B$73</f>
        <v>-184.017147469344</v>
      </c>
      <c r="BW36" s="10" t="n">
        <f aca="false">-166.67*Escalation!$B$74</f>
        <v>-187.697490418731</v>
      </c>
      <c r="BX36" s="10" t="n">
        <f aca="false">-166.67*Escalation!$B$75</f>
        <v>-187.697490418731</v>
      </c>
      <c r="BY36" s="10" t="n">
        <f aca="false">-166.67*Escalation!$B$76</f>
        <v>-187.697490418731</v>
      </c>
      <c r="BZ36" s="10" t="n">
        <f aca="false">-166.67*Escalation!$B$77</f>
        <v>-187.697490418731</v>
      </c>
      <c r="CA36" s="10" t="n">
        <f aca="false">-166.67*Escalation!$B$78</f>
        <v>-187.697490418731</v>
      </c>
      <c r="CB36" s="10" t="n">
        <f aca="false">-166.67*Escalation!$B$79</f>
        <v>-187.697490418731</v>
      </c>
      <c r="CC36" s="10" t="n">
        <f aca="false">-166.67*Escalation!$B$80</f>
        <v>-187.697490418731</v>
      </c>
      <c r="CD36" s="10" t="n">
        <f aca="false">-166.67*Escalation!$B$81</f>
        <v>-187.697490418731</v>
      </c>
      <c r="CE36" s="10" t="n">
        <f aca="false">-166.67*Escalation!$B$82</f>
        <v>-187.697490418731</v>
      </c>
      <c r="CF36" s="10" t="n">
        <f aca="false">-166.67*Escalation!$B$83</f>
        <v>-187.697490418731</v>
      </c>
      <c r="CG36" s="10" t="n">
        <f aca="false">-166.67*Escalation!$B$84</f>
        <v>-187.697490418731</v>
      </c>
      <c r="CH36" s="10" t="n">
        <f aca="false">-166.67*Escalation!$B$85</f>
        <v>-187.697490418731</v>
      </c>
      <c r="CI36" s="25"/>
    </row>
    <row r="37" customFormat="false" ht="15" hidden="false" customHeight="true" outlineLevel="0" collapsed="false">
      <c r="A37" s="9" t="s">
        <v>84</v>
      </c>
      <c r="B37" s="24"/>
      <c r="C37" s="10" t="n">
        <f aca="false">-4166.67*Escalation!$B$2</f>
        <v>-4166.67</v>
      </c>
      <c r="D37" s="10" t="n">
        <f aca="false">-4166.67*Escalation!$B$3</f>
        <v>-4166.67</v>
      </c>
      <c r="E37" s="10" t="n">
        <f aca="false">-4166.67*Escalation!$B$4</f>
        <v>-4166.67</v>
      </c>
      <c r="F37" s="10" t="n">
        <f aca="false">-4166.67*Escalation!$B$5</f>
        <v>-4166.67</v>
      </c>
      <c r="G37" s="10" t="n">
        <f aca="false">-4166.67*Escalation!$B$6</f>
        <v>-4166.67</v>
      </c>
      <c r="H37" s="10" t="n">
        <f aca="false">-4166.67*Escalation!$B$7</f>
        <v>-4166.67</v>
      </c>
      <c r="I37" s="10" t="n">
        <f aca="false">-4166.67*Escalation!$B$8</f>
        <v>-4166.67</v>
      </c>
      <c r="J37" s="10" t="n">
        <f aca="false">-4166.67*Escalation!$B$9</f>
        <v>-4166.67</v>
      </c>
      <c r="K37" s="10" t="n">
        <f aca="false">-4166.67*Escalation!$B$10</f>
        <v>-4166.67</v>
      </c>
      <c r="L37" s="10" t="n">
        <f aca="false">-4166.67*Escalation!$B$11</f>
        <v>-4166.67</v>
      </c>
      <c r="M37" s="10" t="n">
        <f aca="false">-4166.67*Escalation!$B$12</f>
        <v>-4166.67</v>
      </c>
      <c r="N37" s="10" t="n">
        <f aca="false">-4166.67*Escalation!$B$13</f>
        <v>-4166.67</v>
      </c>
      <c r="O37" s="10" t="n">
        <f aca="false">-4166.67*Escalation!$B$14</f>
        <v>-4250.0034</v>
      </c>
      <c r="P37" s="10" t="n">
        <f aca="false">-4166.67*Escalation!$B$15</f>
        <v>-4250.0034</v>
      </c>
      <c r="Q37" s="10" t="n">
        <f aca="false">-4166.67*Escalation!$B$16</f>
        <v>-4250.0034</v>
      </c>
      <c r="R37" s="10" t="n">
        <f aca="false">-4166.67*Escalation!$B$17</f>
        <v>-4250.0034</v>
      </c>
      <c r="S37" s="10" t="n">
        <f aca="false">-4166.67*Escalation!$B$18</f>
        <v>-4250.0034</v>
      </c>
      <c r="T37" s="10" t="n">
        <f aca="false">-4166.67*Escalation!$B$19</f>
        <v>-4250.0034</v>
      </c>
      <c r="U37" s="10" t="n">
        <f aca="false">-4166.67*Escalation!$B$20</f>
        <v>-4250.0034</v>
      </c>
      <c r="V37" s="10" t="n">
        <f aca="false">-4166.67*Escalation!$B$21</f>
        <v>-4250.0034</v>
      </c>
      <c r="W37" s="10" t="n">
        <f aca="false">-4166.67*Escalation!$B$22</f>
        <v>-4250.0034</v>
      </c>
      <c r="X37" s="10" t="n">
        <f aca="false">-4166.67*Escalation!$B$23</f>
        <v>-4250.0034</v>
      </c>
      <c r="Y37" s="10" t="n">
        <f aca="false">-4166.67*Escalation!$B$24</f>
        <v>-4250.0034</v>
      </c>
      <c r="Z37" s="10" t="n">
        <f aca="false">-4166.67*Escalation!$B$25</f>
        <v>-4250.0034</v>
      </c>
      <c r="AA37" s="10" t="n">
        <f aca="false">-4166.67*Escalation!$B$26</f>
        <v>-4335.003468</v>
      </c>
      <c r="AB37" s="10" t="n">
        <f aca="false">-4166.67*Escalation!$B$27</f>
        <v>-4335.003468</v>
      </c>
      <c r="AC37" s="10" t="n">
        <f aca="false">-4166.67*Escalation!$B$28</f>
        <v>-4335.003468</v>
      </c>
      <c r="AD37" s="10" t="n">
        <f aca="false">-4166.67*Escalation!$B$29</f>
        <v>-4335.003468</v>
      </c>
      <c r="AE37" s="10" t="n">
        <f aca="false">-4166.67*Escalation!$B$30</f>
        <v>-4335.003468</v>
      </c>
      <c r="AF37" s="10" t="n">
        <f aca="false">-4166.67*Escalation!$B$31</f>
        <v>-4335.003468</v>
      </c>
      <c r="AG37" s="10" t="n">
        <f aca="false">-4166.67*Escalation!$B$32</f>
        <v>-4335.003468</v>
      </c>
      <c r="AH37" s="10" t="n">
        <f aca="false">-4166.67*Escalation!$B$33</f>
        <v>-4335.003468</v>
      </c>
      <c r="AI37" s="10" t="n">
        <f aca="false">-4166.67*Escalation!$B$34</f>
        <v>-4335.003468</v>
      </c>
      <c r="AJ37" s="10" t="n">
        <f aca="false">-4166.67*Escalation!$B$35</f>
        <v>-4335.003468</v>
      </c>
      <c r="AK37" s="10" t="n">
        <f aca="false">-4166.67*Escalation!$B$36</f>
        <v>-4335.003468</v>
      </c>
      <c r="AL37" s="10" t="n">
        <f aca="false">-4166.67*Escalation!$B$37</f>
        <v>-4335.003468</v>
      </c>
      <c r="AM37" s="10" t="n">
        <f aca="false">-4166.67*Escalation!$B$38</f>
        <v>-4421.70353736</v>
      </c>
      <c r="AN37" s="10" t="n">
        <f aca="false">-4166.67*Escalation!$B$39</f>
        <v>-4421.70353736</v>
      </c>
      <c r="AO37" s="10" t="n">
        <f aca="false">-4166.67*Escalation!$B$40</f>
        <v>-4421.70353736</v>
      </c>
      <c r="AP37" s="10" t="n">
        <f aca="false">-4166.67*Escalation!$B$41</f>
        <v>-4421.70353736</v>
      </c>
      <c r="AQ37" s="10" t="n">
        <f aca="false">-4166.67*Escalation!$B$42</f>
        <v>-4421.70353736</v>
      </c>
      <c r="AR37" s="10" t="n">
        <f aca="false">-4166.67*Escalation!$B$43</f>
        <v>-4421.70353736</v>
      </c>
      <c r="AS37" s="10" t="n">
        <f aca="false">-4166.67*Escalation!$B$44</f>
        <v>-4421.70353736</v>
      </c>
      <c r="AT37" s="10" t="n">
        <f aca="false">-4166.67*Escalation!$B$45</f>
        <v>-4421.70353736</v>
      </c>
      <c r="AU37" s="10" t="n">
        <f aca="false">-4166.67*Escalation!$B$46</f>
        <v>-4421.70353736</v>
      </c>
      <c r="AV37" s="10" t="n">
        <f aca="false">-4166.67*Escalation!$B$47</f>
        <v>-4421.70353736</v>
      </c>
      <c r="AW37" s="10" t="n">
        <f aca="false">-4166.67*Escalation!$B$48</f>
        <v>-4421.70353736</v>
      </c>
      <c r="AX37" s="10" t="n">
        <f aca="false">-4166.67*Escalation!$B$49</f>
        <v>-4421.70353736</v>
      </c>
      <c r="AY37" s="10" t="n">
        <f aca="false">-4166.67*Escalation!$B$50</f>
        <v>-4510.1376081072</v>
      </c>
      <c r="AZ37" s="10" t="n">
        <f aca="false">-4166.67*Escalation!$B$51</f>
        <v>-4510.1376081072</v>
      </c>
      <c r="BA37" s="10" t="n">
        <f aca="false">-4166.67*Escalation!$B$52</f>
        <v>-4510.1376081072</v>
      </c>
      <c r="BB37" s="10" t="n">
        <f aca="false">-4166.67*Escalation!$B$53</f>
        <v>-4510.1376081072</v>
      </c>
      <c r="BC37" s="10" t="n">
        <f aca="false">-4166.67*Escalation!$B$54</f>
        <v>-4510.1376081072</v>
      </c>
      <c r="BD37" s="10" t="n">
        <f aca="false">-4166.67*Escalation!$B$55</f>
        <v>-4510.1376081072</v>
      </c>
      <c r="BE37" s="10" t="n">
        <f aca="false">-4166.67*Escalation!$B$56</f>
        <v>-4510.1376081072</v>
      </c>
      <c r="BF37" s="10" t="n">
        <f aca="false">-4166.67*Escalation!$B$57</f>
        <v>-4510.1376081072</v>
      </c>
      <c r="BG37" s="10" t="n">
        <f aca="false">-4166.67*Escalation!$B$58</f>
        <v>-4510.1376081072</v>
      </c>
      <c r="BH37" s="10" t="n">
        <f aca="false">-4166.67*Escalation!$B$59</f>
        <v>-4510.1376081072</v>
      </c>
      <c r="BI37" s="10" t="n">
        <f aca="false">-4166.67*Escalation!$B$60</f>
        <v>-4510.1376081072</v>
      </c>
      <c r="BJ37" s="10" t="n">
        <f aca="false">-4166.67*Escalation!$B$61</f>
        <v>-4510.1376081072</v>
      </c>
      <c r="BK37" s="10" t="n">
        <f aca="false">-4166.67*Escalation!$B$62</f>
        <v>-4600.34036026934</v>
      </c>
      <c r="BL37" s="10" t="n">
        <f aca="false">-4166.67*Escalation!$B$63</f>
        <v>-4600.34036026934</v>
      </c>
      <c r="BM37" s="10" t="n">
        <f aca="false">-4166.67*Escalation!$B$64</f>
        <v>-4600.34036026934</v>
      </c>
      <c r="BN37" s="10" t="n">
        <f aca="false">-4166.67*Escalation!$B$65</f>
        <v>-4600.34036026934</v>
      </c>
      <c r="BO37" s="10" t="n">
        <f aca="false">-4166.67*Escalation!$B$66</f>
        <v>-4600.34036026934</v>
      </c>
      <c r="BP37" s="10" t="n">
        <f aca="false">-4166.67*Escalation!$B$67</f>
        <v>-4600.34036026934</v>
      </c>
      <c r="BQ37" s="10" t="n">
        <f aca="false">-4166.67*Escalation!$B$68</f>
        <v>-4600.34036026934</v>
      </c>
      <c r="BR37" s="10" t="n">
        <f aca="false">-4166.67*Escalation!$B$69</f>
        <v>-4600.34036026934</v>
      </c>
      <c r="BS37" s="10" t="n">
        <f aca="false">-4166.67*Escalation!$B$70</f>
        <v>-4600.34036026934</v>
      </c>
      <c r="BT37" s="10" t="n">
        <f aca="false">-4166.67*Escalation!$B$71</f>
        <v>-4600.34036026934</v>
      </c>
      <c r="BU37" s="10" t="n">
        <f aca="false">-4166.67*Escalation!$B$72</f>
        <v>-4600.34036026934</v>
      </c>
      <c r="BV37" s="10" t="n">
        <f aca="false">-4166.67*Escalation!$B$73</f>
        <v>-4600.34036026934</v>
      </c>
      <c r="BW37" s="10" t="n">
        <f aca="false">-4166.67*Escalation!$B$74</f>
        <v>-4692.34716747473</v>
      </c>
      <c r="BX37" s="10" t="n">
        <f aca="false">-4166.67*Escalation!$B$75</f>
        <v>-4692.34716747473</v>
      </c>
      <c r="BY37" s="10" t="n">
        <f aca="false">-4166.67*Escalation!$B$76</f>
        <v>-4692.34716747473</v>
      </c>
      <c r="BZ37" s="10" t="n">
        <f aca="false">-4166.67*Escalation!$B$77</f>
        <v>-4692.34716747473</v>
      </c>
      <c r="CA37" s="10" t="n">
        <f aca="false">-4166.67*Escalation!$B$78</f>
        <v>-4692.34716747473</v>
      </c>
      <c r="CB37" s="10" t="n">
        <f aca="false">-4166.67*Escalation!$B$79</f>
        <v>-4692.34716747473</v>
      </c>
      <c r="CC37" s="10" t="n">
        <f aca="false">-4166.67*Escalation!$B$80</f>
        <v>-4692.34716747473</v>
      </c>
      <c r="CD37" s="10" t="n">
        <f aca="false">-4166.67*Escalation!$B$81</f>
        <v>-4692.34716747473</v>
      </c>
      <c r="CE37" s="10" t="n">
        <f aca="false">-4166.67*Escalation!$B$82</f>
        <v>-4692.34716747473</v>
      </c>
      <c r="CF37" s="10" t="n">
        <f aca="false">-4166.67*Escalation!$B$83</f>
        <v>-4692.34716747473</v>
      </c>
      <c r="CG37" s="10" t="n">
        <f aca="false">-4166.67*Escalation!$B$84</f>
        <v>-4692.34716747473</v>
      </c>
      <c r="CH37" s="10" t="n">
        <f aca="false">-4166.67*Escalation!$B$85</f>
        <v>-4692.34716747473</v>
      </c>
      <c r="CI37" s="25"/>
    </row>
    <row r="38" customFormat="false" ht="15" hidden="false" customHeight="true" outlineLevel="0" collapsed="false">
      <c r="A38" s="11" t="s">
        <v>20</v>
      </c>
      <c r="B38" s="30"/>
      <c r="C38" s="12" t="n">
        <f aca="false">C15+C16+C17+C18+C19+C20+C21+SUM(C22:C37)</f>
        <v>-333677.618333333</v>
      </c>
      <c r="D38" s="12" t="n">
        <f aca="false">D15+D16+D17+D18+D19+D20+D21+SUM(D22:D37)</f>
        <v>-380258.868333333</v>
      </c>
      <c r="E38" s="12" t="n">
        <f aca="false">E15+E16+E17+E18+E19+E20+E21+SUM(E22:E37)</f>
        <v>-418808.868333333</v>
      </c>
      <c r="F38" s="12" t="n">
        <f aca="false">F15+F16+F17+F18+F19+F20+F21+SUM(F22:F37)</f>
        <v>-736775.383533333</v>
      </c>
      <c r="G38" s="12" t="n">
        <f aca="false">G15+G16+G17+G18+G19+G20+G21+SUM(G22:G37)</f>
        <v>-418808.868333333</v>
      </c>
      <c r="H38" s="12" t="n">
        <f aca="false">H15+H16+H17+H18+H19+H20+H21+SUM(H22:H37)</f>
        <v>-418808.868333333</v>
      </c>
      <c r="I38" s="12" t="n">
        <f aca="false">I15+I16+I17+I18+I19+I20+I21+SUM(I22:I37)</f>
        <v>-636891.715333333</v>
      </c>
      <c r="J38" s="12" t="n">
        <f aca="false">J15+J16+J17+J18+J19+J20+J21+SUM(J22:J37)</f>
        <v>-576158.065333333</v>
      </c>
      <c r="K38" s="12" t="n">
        <f aca="false">K15+K16+K17+K18+K19+K20+K21+SUM(K22:K37)</f>
        <v>-418808.868333333</v>
      </c>
      <c r="L38" s="12" t="n">
        <f aca="false">L15+L16+L17+L18+L19+L20+L21+SUM(L22:L37)</f>
        <v>-418808.868333333</v>
      </c>
      <c r="M38" s="12" t="n">
        <f aca="false">M15+M16+M17+M18+M19+M20+M21+SUM(M22:M37)</f>
        <v>-418808.868333333</v>
      </c>
      <c r="N38" s="12" t="n">
        <f aca="false">N15+N16+N17+N18+N19+N20+N21+SUM(N22:N37)</f>
        <v>-418808.868333333</v>
      </c>
      <c r="O38" s="12" t="n">
        <f aca="false">O15+O16+O17+O18+O19+O20+O21+SUM(O22:O37)</f>
        <v>-1898355.0707</v>
      </c>
      <c r="P38" s="12" t="n">
        <f aca="false">P15+P16+P17+P18+P19+P20+P21+SUM(P22:P37)</f>
        <v>-427185.0457</v>
      </c>
      <c r="Q38" s="12" t="n">
        <f aca="false">Q15+Q16+Q17+Q18+Q19+Q20+Q21+SUM(Q22:Q37)</f>
        <v>-427185.0457</v>
      </c>
      <c r="R38" s="12" t="n">
        <f aca="false">R15+R16+R17+R18+R19+R20+R21+SUM(R22:R37)</f>
        <v>-427185.0457</v>
      </c>
      <c r="S38" s="12" t="n">
        <f aca="false">S15+S16+S17+S18+S19+S20+S21+SUM(S22:S37)</f>
        <v>-427185.0457</v>
      </c>
      <c r="T38" s="12" t="n">
        <f aca="false">T15+T16+T17+T18+T19+T20+T21+SUM(T22:T37)</f>
        <v>-427185.0457</v>
      </c>
      <c r="U38" s="12" t="n">
        <f aca="false">U15+U16+U17+U18+U19+U20+U21+SUM(U22:U37)</f>
        <v>-427185.0457</v>
      </c>
      <c r="V38" s="12" t="n">
        <f aca="false">V15+V16+V17+V18+V19+V20+V21+SUM(V22:V37)</f>
        <v>-427185.0457</v>
      </c>
      <c r="W38" s="12" t="n">
        <f aca="false">W15+W16+W17+W18+W19+W20+W21+SUM(W22:W37)</f>
        <v>-427185.0457</v>
      </c>
      <c r="X38" s="12" t="n">
        <f aca="false">X15+X16+X17+X18+X19+X20+X21+SUM(X22:X37)</f>
        <v>-427185.0457</v>
      </c>
      <c r="Y38" s="12" t="n">
        <f aca="false">Y15+Y16+Y17+Y18+Y19+Y20+Y21+SUM(Y22:Y37)</f>
        <v>-427185.0457</v>
      </c>
      <c r="Z38" s="12" t="n">
        <f aca="false">Z15+Z16+Z17+Z18+Z19+Z20+Z21+SUM(Z22:Z37)</f>
        <v>-427185.0457</v>
      </c>
      <c r="AA38" s="12" t="n">
        <f aca="false">AA15+AA16+AA17+AA18+AA19+AA20+AA21+SUM(AA22:AA37)</f>
        <v>-435728.746614</v>
      </c>
      <c r="AB38" s="12" t="n">
        <f aca="false">AB15+AB16+AB17+AB18+AB19+AB20+AB21+SUM(AB22:AB37)</f>
        <v>-435728.746614</v>
      </c>
      <c r="AC38" s="12" t="n">
        <f aca="false">AC15+AC16+AC17+AC18+AC19+AC20+AC21+SUM(AC22:AC37)</f>
        <v>-1779754.286614</v>
      </c>
      <c r="AD38" s="12" t="n">
        <f aca="false">AD15+AD16+AD17+AD18+AD19+AD20+AD21+SUM(AD22:AD37)</f>
        <v>-435728.746614</v>
      </c>
      <c r="AE38" s="12" t="n">
        <f aca="false">AE15+AE16+AE17+AE18+AE19+AE20+AE21+SUM(AE22:AE37)</f>
        <v>-435728.746614</v>
      </c>
      <c r="AF38" s="12" t="n">
        <f aca="false">AF15+AF16+AF17+AF18+AF19+AF20+AF21+SUM(AF22:AF37)</f>
        <v>-435728.746614</v>
      </c>
      <c r="AG38" s="12" t="n">
        <f aca="false">AG15+AG16+AG17+AG18+AG19+AG20+AG21+SUM(AG22:AG37)</f>
        <v>-435728.746614</v>
      </c>
      <c r="AH38" s="12" t="n">
        <f aca="false">AH15+AH16+AH17+AH18+AH19+AH20+AH21+SUM(AH22:AH37)</f>
        <v>-435728.746614</v>
      </c>
      <c r="AI38" s="12" t="n">
        <f aca="false">AI15+AI16+AI17+AI18+AI19+AI20+AI21+SUM(AI22:AI37)</f>
        <v>-435728.746614</v>
      </c>
      <c r="AJ38" s="12" t="n">
        <f aca="false">AJ15+AJ16+AJ17+AJ18+AJ19+AJ20+AJ21+SUM(AJ22:AJ37)</f>
        <v>-435728.746614</v>
      </c>
      <c r="AK38" s="12" t="n">
        <f aca="false">AK15+AK16+AK17+AK18+AK19+AK20+AK21+SUM(AK22:AK37)</f>
        <v>-435728.746614</v>
      </c>
      <c r="AL38" s="12" t="n">
        <f aca="false">AL15+AL16+AL17+AL18+AL19+AL20+AL21+SUM(AL22:AL37)</f>
        <v>-435728.746614</v>
      </c>
      <c r="AM38" s="12" t="n">
        <f aca="false">AM15+AM16+AM17+AM18+AM19+AM20+AM21+SUM(AM22:AM37)</f>
        <v>-444443.32154628</v>
      </c>
      <c r="AN38" s="12" t="n">
        <f aca="false">AN15+AN16+AN17+AN18+AN19+AN20+AN21+SUM(AN22:AN37)</f>
        <v>-444443.32154628</v>
      </c>
      <c r="AO38" s="12" t="n">
        <f aca="false">AO15+AO16+AO17+AO18+AO19+AO20+AO21+SUM(AO22:AO37)</f>
        <v>-444443.32154628</v>
      </c>
      <c r="AP38" s="12" t="n">
        <f aca="false">AP15+AP16+AP17+AP18+AP19+AP20+AP21+SUM(AP22:AP37)</f>
        <v>-444443.32154628</v>
      </c>
      <c r="AQ38" s="12" t="n">
        <f aca="false">AQ15+AQ16+AQ17+AQ18+AQ19+AQ20+AQ21+SUM(AQ22:AQ37)</f>
        <v>-444443.32154628</v>
      </c>
      <c r="AR38" s="12" t="n">
        <f aca="false">AR15+AR16+AR17+AR18+AR19+AR20+AR21+SUM(AR22:AR37)</f>
        <v>-444443.32154628</v>
      </c>
      <c r="AS38" s="12" t="n">
        <f aca="false">AS15+AS16+AS17+AS18+AS19+AS20+AS21+SUM(AS22:AS37)</f>
        <v>-444443.32154628</v>
      </c>
      <c r="AT38" s="12" t="n">
        <f aca="false">AT15+AT16+AT17+AT18+AT19+AT20+AT21+SUM(AT22:AT37)</f>
        <v>-444443.32154628</v>
      </c>
      <c r="AU38" s="12" t="n">
        <f aca="false">AU15+AU16+AU17+AU18+AU19+AU20+AU21+SUM(AU22:AU37)</f>
        <v>-444443.32154628</v>
      </c>
      <c r="AV38" s="12" t="n">
        <f aca="false">AV15+AV16+AV17+AV18+AV19+AV20+AV21+SUM(AV22:AV37)</f>
        <v>-444443.32154628</v>
      </c>
      <c r="AW38" s="12" t="n">
        <f aca="false">AW15+AW16+AW17+AW18+AW19+AW20+AW21+SUM(AW22:AW37)</f>
        <v>-444443.32154628</v>
      </c>
      <c r="AX38" s="12" t="n">
        <f aca="false">AX15+AX16+AX17+AX18+AX19+AX20+AX21+SUM(AX22:AX37)</f>
        <v>-444443.32154628</v>
      </c>
      <c r="AY38" s="12" t="n">
        <f aca="false">AY15+AY16+AY17+AY18+AY19+AY20+AY21+SUM(AY22:AY37)</f>
        <v>-453332.187977206</v>
      </c>
      <c r="AZ38" s="12" t="n">
        <f aca="false">AZ15+AZ16+AZ17+AZ18+AZ19+AZ20+AZ21+SUM(AZ22:AZ37)</f>
        <v>-453332.187977206</v>
      </c>
      <c r="BA38" s="12" t="n">
        <f aca="false">BA15+BA16+BA17+BA18+BA19+BA20+BA21+SUM(BA22:BA37)</f>
        <v>-453332.187977206</v>
      </c>
      <c r="BB38" s="12" t="n">
        <f aca="false">BB15+BB16+BB17+BB18+BB19+BB20+BB21+SUM(BB22:BB37)</f>
        <v>-453332.187977206</v>
      </c>
      <c r="BC38" s="12" t="n">
        <f aca="false">BC15+BC16+BC17+BC18+BC19+BC20+BC21+SUM(BC22:BC37)</f>
        <v>-453332.187977206</v>
      </c>
      <c r="BD38" s="12" t="n">
        <f aca="false">BD15+BD16+BD17+BD18+BD19+BD20+BD21+SUM(BD22:BD37)</f>
        <v>-453332.187977206</v>
      </c>
      <c r="BE38" s="12" t="n">
        <f aca="false">BE15+BE16+BE17+BE18+BE19+BE20+BE21+SUM(BE22:BE37)</f>
        <v>-453332.187977206</v>
      </c>
      <c r="BF38" s="12" t="n">
        <f aca="false">BF15+BF16+BF17+BF18+BF19+BF20+BF21+SUM(BF22:BF37)</f>
        <v>-453332.187977206</v>
      </c>
      <c r="BG38" s="12" t="n">
        <f aca="false">BG15+BG16+BG17+BG18+BG19+BG20+BG21+SUM(BG22:BG37)</f>
        <v>-453332.187977206</v>
      </c>
      <c r="BH38" s="12" t="n">
        <f aca="false">BH15+BH16+BH17+BH18+BH19+BH20+BH21+SUM(BH22:BH37)</f>
        <v>-453332.187977206</v>
      </c>
      <c r="BI38" s="12" t="n">
        <f aca="false">BI15+BI16+BI17+BI18+BI19+BI20+BI21+SUM(BI22:BI37)</f>
        <v>-453332.187977206</v>
      </c>
      <c r="BJ38" s="12" t="n">
        <f aca="false">BJ15+BJ16+BJ17+BJ18+BJ19+BJ20+BJ21+SUM(BJ22:BJ37)</f>
        <v>-453332.187977206</v>
      </c>
      <c r="BK38" s="12" t="n">
        <f aca="false">BK15+BK16+BK17+BK18+BK19+BK20+BK21+SUM(BK22:BK37)</f>
        <v>-462398.83173675</v>
      </c>
      <c r="BL38" s="12" t="n">
        <f aca="false">BL15+BL16+BL17+BL18+BL19+BL20+BL21+SUM(BL22:BL37)</f>
        <v>-462398.83173675</v>
      </c>
      <c r="BM38" s="12" t="n">
        <f aca="false">BM15+BM16+BM17+BM18+BM19+BM20+BM21+SUM(BM22:BM37)</f>
        <v>-462398.83173675</v>
      </c>
      <c r="BN38" s="12" t="n">
        <f aca="false">BN15+BN16+BN17+BN18+BN19+BN20+BN21+SUM(BN22:BN37)</f>
        <v>-462398.83173675</v>
      </c>
      <c r="BO38" s="12" t="n">
        <f aca="false">BO15+BO16+BO17+BO18+BO19+BO20+BO21+SUM(BO22:BO37)</f>
        <v>-462398.83173675</v>
      </c>
      <c r="BP38" s="12" t="n">
        <f aca="false">BP15+BP16+BP17+BP18+BP19+BP20+BP21+SUM(BP22:BP37)</f>
        <v>-462398.83173675</v>
      </c>
      <c r="BQ38" s="12" t="n">
        <f aca="false">BQ15+BQ16+BQ17+BQ18+BQ19+BQ20+BQ21+SUM(BQ22:BQ37)</f>
        <v>-462398.83173675</v>
      </c>
      <c r="BR38" s="12" t="n">
        <f aca="false">BR15+BR16+BR17+BR18+BR19+BR20+BR21+SUM(BR22:BR37)</f>
        <v>-462398.83173675</v>
      </c>
      <c r="BS38" s="12" t="n">
        <f aca="false">BS15+BS16+BS17+BS18+BS19+BS20+BS21+SUM(BS22:BS37)</f>
        <v>-462398.83173675</v>
      </c>
      <c r="BT38" s="12" t="n">
        <f aca="false">BT15+BT16+BT17+BT18+BT19+BT20+BT21+SUM(BT22:BT37)</f>
        <v>-462398.83173675</v>
      </c>
      <c r="BU38" s="12" t="n">
        <f aca="false">BU15+BU16+BU17+BU18+BU19+BU20+BU21+SUM(BU22:BU37)</f>
        <v>-462398.83173675</v>
      </c>
      <c r="BV38" s="12" t="n">
        <f aca="false">BV15+BV16+BV17+BV18+BV19+BV20+BV21+SUM(BV22:BV37)</f>
        <v>-462398.83173675</v>
      </c>
      <c r="BW38" s="12" t="n">
        <f aca="false">BW15+BW16+BW17+BW18+BW19+BW20+BW21+SUM(BW22:BW37)</f>
        <v>-471646.808371485</v>
      </c>
      <c r="BX38" s="12" t="n">
        <f aca="false">BX15+BX16+BX17+BX18+BX19+BX20+BX21+SUM(BX22:BX37)</f>
        <v>-471646.808371485</v>
      </c>
      <c r="BY38" s="12" t="n">
        <f aca="false">BY15+BY16+BY17+BY18+BY19+BY20+BY21+SUM(BY22:BY37)</f>
        <v>-471646.808371485</v>
      </c>
      <c r="BZ38" s="12" t="n">
        <f aca="false">BZ15+BZ16+BZ17+BZ18+BZ19+BZ20+BZ21+SUM(BZ22:BZ37)</f>
        <v>-471646.808371485</v>
      </c>
      <c r="CA38" s="12" t="n">
        <f aca="false">CA15+CA16+CA17+CA18+CA19+CA20+CA21+SUM(CA22:CA37)</f>
        <v>-471646.808371485</v>
      </c>
      <c r="CB38" s="12" t="n">
        <f aca="false">CB15+CB16+CB17+CB18+CB19+CB20+CB21+SUM(CB22:CB37)</f>
        <v>-471646.808371485</v>
      </c>
      <c r="CC38" s="12" t="n">
        <f aca="false">CC15+CC16+CC17+CC18+CC19+CC20+CC21+SUM(CC22:CC37)</f>
        <v>-471646.808371485</v>
      </c>
      <c r="CD38" s="12" t="n">
        <f aca="false">CD15+CD16+CD17+CD18+CD19+CD20+CD21+SUM(CD22:CD37)</f>
        <v>-471646.808371485</v>
      </c>
      <c r="CE38" s="12" t="n">
        <f aca="false">CE15+CE16+CE17+CE18+CE19+CE20+CE21+SUM(CE22:CE37)</f>
        <v>-471646.808371485</v>
      </c>
      <c r="CF38" s="12" t="n">
        <f aca="false">CF15+CF16+CF17+CF18+CF19+CF20+CF21+SUM(CF22:CF37)</f>
        <v>-471646.808371485</v>
      </c>
      <c r="CG38" s="12" t="n">
        <f aca="false">CG15+CG16+CG17+CG18+CG19+CG20+CG21+SUM(CG22:CG37)</f>
        <v>-471646.808371485</v>
      </c>
      <c r="CH38" s="12" t="n">
        <f aca="false">CH15+CH16+CH17+CH18+CH19+CH20+CH21+SUM(CH22:CH37)</f>
        <v>-471646.808371485</v>
      </c>
      <c r="CI38" s="25"/>
    </row>
    <row r="39" customFormat="false" ht="15" hidden="false" customHeight="tru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5"/>
    </row>
    <row r="40" customFormat="false" ht="15" hidden="false" customHeight="true" outlineLevel="0" collapsed="false">
      <c r="A40" s="15" t="s">
        <v>21</v>
      </c>
      <c r="B40" s="31"/>
      <c r="C40" s="16" t="n">
        <f aca="false">C12+C38</f>
        <v>73847.4259250399</v>
      </c>
      <c r="D40" s="16" t="n">
        <f aca="false">D12+D38</f>
        <v>27266.1759250399</v>
      </c>
      <c r="E40" s="16" t="n">
        <f aca="false">E12+E38</f>
        <v>-11283.8240749601</v>
      </c>
      <c r="F40" s="16" t="n">
        <f aca="false">F12+F38</f>
        <v>478035.653452313</v>
      </c>
      <c r="G40" s="16" t="n">
        <f aca="false">G12+G38</f>
        <v>151475.448652313</v>
      </c>
      <c r="H40" s="16" t="n">
        <f aca="false">H12+H38</f>
        <v>151475.448652313</v>
      </c>
      <c r="I40" s="16" t="n">
        <f aca="false">I12+I38</f>
        <v>516964.774539075</v>
      </c>
      <c r="J40" s="16" t="n">
        <f aca="false">J12+J38</f>
        <v>555268.675486045</v>
      </c>
      <c r="K40" s="16" t="n">
        <f aca="false">K12+K38</f>
        <v>333029.797486045</v>
      </c>
      <c r="L40" s="16" t="n">
        <f aca="false">L12+L38</f>
        <v>333029.797486045</v>
      </c>
      <c r="M40" s="16" t="n">
        <f aca="false">M12+M38</f>
        <v>333029.797486045</v>
      </c>
      <c r="N40" s="16" t="n">
        <f aca="false">N12+N38</f>
        <v>333029.797486045</v>
      </c>
      <c r="O40" s="16" t="n">
        <f aca="false">O12+O38</f>
        <v>-296049.817001834</v>
      </c>
      <c r="P40" s="16" t="n">
        <f aca="false">P12+P38</f>
        <v>496118.657998166</v>
      </c>
      <c r="Q40" s="16" t="n">
        <f aca="false">Q12+Q38</f>
        <v>496118.657998166</v>
      </c>
      <c r="R40" s="16" t="n">
        <f aca="false">R12+R38</f>
        <v>305469.271634529</v>
      </c>
      <c r="S40" s="16" t="n">
        <f aca="false">S12+S38</f>
        <v>179533.771634529</v>
      </c>
      <c r="T40" s="16" t="n">
        <f aca="false">T12+T38</f>
        <v>179533.771634529</v>
      </c>
      <c r="U40" s="16" t="n">
        <f aca="false">U12+U38</f>
        <v>179533.771634529</v>
      </c>
      <c r="V40" s="16" t="n">
        <f aca="false">V12+V38</f>
        <v>149230.613739793</v>
      </c>
      <c r="W40" s="16" t="n">
        <f aca="false">W12+W38</f>
        <v>149230.613739793</v>
      </c>
      <c r="X40" s="16" t="n">
        <f aca="false">X12+X38</f>
        <v>149230.613739793</v>
      </c>
      <c r="Y40" s="16" t="n">
        <f aca="false">Y12+Y38</f>
        <v>149230.613739793</v>
      </c>
      <c r="Z40" s="16" t="n">
        <f aca="false">Z12+Z38</f>
        <v>149230.613739793</v>
      </c>
      <c r="AA40" s="16" t="n">
        <f aca="false">AA12+AA38</f>
        <v>140686.912825793</v>
      </c>
      <c r="AB40" s="16" t="n">
        <f aca="false">AB12+AB38</f>
        <v>59193.0611511515</v>
      </c>
      <c r="AC40" s="16" t="n">
        <f aca="false">AC12+AC38</f>
        <v>-507866.665515515</v>
      </c>
      <c r="AD40" s="16" t="n">
        <f aca="false">AD12+AD38</f>
        <v>215839.394484485</v>
      </c>
      <c r="AE40" s="16" t="n">
        <f aca="false">AE12+AE38</f>
        <v>215839.394484485</v>
      </c>
      <c r="AF40" s="16" t="n">
        <f aca="false">AF12+AF38</f>
        <v>215839.394484485</v>
      </c>
      <c r="AG40" s="16" t="n">
        <f aca="false">AG12+AG38</f>
        <v>215839.394484485</v>
      </c>
      <c r="AH40" s="16" t="n">
        <f aca="false">AH12+AH38</f>
        <v>115160.393537515</v>
      </c>
      <c r="AI40" s="16" t="n">
        <f aca="false">AI12+AI38</f>
        <v>115160.393537515</v>
      </c>
      <c r="AJ40" s="16" t="n">
        <f aca="false">AJ12+AJ38</f>
        <v>-47598.8791897575</v>
      </c>
      <c r="AK40" s="16" t="n">
        <f aca="false">AK12+AK38</f>
        <v>-47598.8791897575</v>
      </c>
      <c r="AL40" s="16" t="n">
        <f aca="false">AL12+AL38</f>
        <v>-47598.8791897575</v>
      </c>
      <c r="AM40" s="16" t="n">
        <f aca="false">AM12+AM38</f>
        <v>-116331.950334159</v>
      </c>
      <c r="AN40" s="16" t="n">
        <f aca="false">AN12+AN38</f>
        <v>-116331.950334159</v>
      </c>
      <c r="AO40" s="16" t="n">
        <f aca="false">AO12+AO38</f>
        <v>-116331.950334159</v>
      </c>
      <c r="AP40" s="16" t="n">
        <f aca="false">AP12+AP38</f>
        <v>-116331.950334159</v>
      </c>
      <c r="AQ40" s="16" t="n">
        <f aca="false">AQ12+AQ38</f>
        <v>-116331.950334159</v>
      </c>
      <c r="AR40" s="16" t="n">
        <f aca="false">AR12+AR38</f>
        <v>-116331.950334159</v>
      </c>
      <c r="AS40" s="16" t="n">
        <f aca="false">AS12+AS38</f>
        <v>-287796.988212947</v>
      </c>
      <c r="AT40" s="16" t="n">
        <f aca="false">AT12+AT38</f>
        <v>-287796.988212947</v>
      </c>
      <c r="AU40" s="16" t="n">
        <f aca="false">AU12+AU38</f>
        <v>-287796.988212947</v>
      </c>
      <c r="AV40" s="16" t="n">
        <f aca="false">AV12+AV38</f>
        <v>-287796.988212947</v>
      </c>
      <c r="AW40" s="16" t="n">
        <f aca="false">AW12+AW38</f>
        <v>-287796.988212947</v>
      </c>
      <c r="AX40" s="16" t="n">
        <f aca="false">AX12+AX38</f>
        <v>-287796.988212947</v>
      </c>
      <c r="AY40" s="16" t="n">
        <f aca="false">AY12+AY38</f>
        <v>-296685.854643872</v>
      </c>
      <c r="AZ40" s="16" t="n">
        <f aca="false">AZ12+AZ38</f>
        <v>-296685.854643872</v>
      </c>
      <c r="BA40" s="16" t="n">
        <f aca="false">BA12+BA38</f>
        <v>-296685.854643872</v>
      </c>
      <c r="BB40" s="16" t="n">
        <f aca="false">BB12+BB38</f>
        <v>-296685.854643872</v>
      </c>
      <c r="BC40" s="16" t="n">
        <f aca="false">BC12+BC38</f>
        <v>-296685.854643872</v>
      </c>
      <c r="BD40" s="16" t="n">
        <f aca="false">BD12+BD38</f>
        <v>-296685.854643872</v>
      </c>
      <c r="BE40" s="16" t="n">
        <f aca="false">BE12+BE38</f>
        <v>-296685.854643872</v>
      </c>
      <c r="BF40" s="16" t="n">
        <f aca="false">BF12+BF38</f>
        <v>-296685.854643872</v>
      </c>
      <c r="BG40" s="16" t="n">
        <f aca="false">BG12+BG38</f>
        <v>-453332.187977206</v>
      </c>
      <c r="BH40" s="16" t="n">
        <f aca="false">BH12+BH38</f>
        <v>-453332.187977206</v>
      </c>
      <c r="BI40" s="16" t="n">
        <f aca="false">BI12+BI38</f>
        <v>-453332.187977206</v>
      </c>
      <c r="BJ40" s="16" t="n">
        <f aca="false">BJ12+BJ38</f>
        <v>-453332.187977206</v>
      </c>
      <c r="BK40" s="16" t="n">
        <f aca="false">BK12+BK38</f>
        <v>-462398.83173675</v>
      </c>
      <c r="BL40" s="16" t="n">
        <f aca="false">BL12+BL38</f>
        <v>-462398.83173675</v>
      </c>
      <c r="BM40" s="16" t="n">
        <f aca="false">BM12+BM38</f>
        <v>-462398.83173675</v>
      </c>
      <c r="BN40" s="16" t="n">
        <f aca="false">BN12+BN38</f>
        <v>-462398.83173675</v>
      </c>
      <c r="BO40" s="16" t="n">
        <f aca="false">BO12+BO38</f>
        <v>-462398.83173675</v>
      </c>
      <c r="BP40" s="16" t="n">
        <f aca="false">BP12+BP38</f>
        <v>-462398.83173675</v>
      </c>
      <c r="BQ40" s="16" t="n">
        <f aca="false">BQ12+BQ38</f>
        <v>-462398.83173675</v>
      </c>
      <c r="BR40" s="16" t="n">
        <f aca="false">BR12+BR38</f>
        <v>-462398.83173675</v>
      </c>
      <c r="BS40" s="16" t="n">
        <f aca="false">BS12+BS38</f>
        <v>-462398.83173675</v>
      </c>
      <c r="BT40" s="16" t="n">
        <f aca="false">BT12+BT38</f>
        <v>-462398.83173675</v>
      </c>
      <c r="BU40" s="16" t="n">
        <f aca="false">BU12+BU38</f>
        <v>-462398.83173675</v>
      </c>
      <c r="BV40" s="16" t="n">
        <f aca="false">BV12+BV38</f>
        <v>-462398.83173675</v>
      </c>
      <c r="BW40" s="16" t="n">
        <f aca="false">BW12+BW38</f>
        <v>-471646.808371485</v>
      </c>
      <c r="BX40" s="16" t="n">
        <f aca="false">BX12+BX38</f>
        <v>-471646.808371485</v>
      </c>
      <c r="BY40" s="16" t="n">
        <f aca="false">BY12+BY38</f>
        <v>-471646.808371485</v>
      </c>
      <c r="BZ40" s="16" t="n">
        <f aca="false">BZ12+BZ38</f>
        <v>-471646.808371485</v>
      </c>
      <c r="CA40" s="16" t="n">
        <f aca="false">CA12+CA38</f>
        <v>-471646.808371485</v>
      </c>
      <c r="CB40" s="16" t="n">
        <f aca="false">CB12+CB38</f>
        <v>-471646.808371485</v>
      </c>
      <c r="CC40" s="16" t="n">
        <f aca="false">CC12+CC38</f>
        <v>-471646.808371485</v>
      </c>
      <c r="CD40" s="16" t="n">
        <f aca="false">CD12+CD38</f>
        <v>-471646.808371485</v>
      </c>
      <c r="CE40" s="16" t="n">
        <f aca="false">CE12+CE38</f>
        <v>-471646.808371485</v>
      </c>
      <c r="CF40" s="16" t="n">
        <f aca="false">CF12+CF38</f>
        <v>-471646.808371485</v>
      </c>
      <c r="CG40" s="16" t="n">
        <f aca="false">CG12+CG38</f>
        <v>-471646.808371485</v>
      </c>
      <c r="CH40" s="16" t="n">
        <f aca="false">CH12+CH38</f>
        <v>-471646.808371485</v>
      </c>
      <c r="CI40" s="25"/>
    </row>
    <row r="41" customFormat="false" ht="15" hidden="false" customHeight="true" outlineLevel="0" collapsed="false">
      <c r="A41" s="9" t="s">
        <v>22</v>
      </c>
      <c r="B41" s="24"/>
      <c r="C41" s="32" t="n">
        <f aca="false">IF(C12&lt;&gt;0,C40/C12,0)</f>
        <v>0.181209540285873</v>
      </c>
      <c r="D41" s="32" t="n">
        <f aca="false">IF(D12&lt;&gt;0,D40/D12,0)</f>
        <v>0.0669067491904939</v>
      </c>
      <c r="E41" s="32" t="n">
        <f aca="false">IF(E12&lt;&gt;0,E40/E12,0)</f>
        <v>-0.0276886641298199</v>
      </c>
      <c r="F41" s="32" t="n">
        <f aca="false">IF(F12&lt;&gt;0,F40/F12,0)</f>
        <v>0.393506182359422</v>
      </c>
      <c r="G41" s="32" t="n">
        <f aca="false">IF(G12&lt;&gt;0,G40/G12,0)</f>
        <v>0.26561391246557</v>
      </c>
      <c r="H41" s="32" t="n">
        <f aca="false">IF(H12&lt;&gt;0,H40/H12,0)</f>
        <v>0.26561391246557</v>
      </c>
      <c r="I41" s="32" t="n">
        <f aca="false">IF(I12&lt;&gt;0,I40/I12,0)</f>
        <v>0.448032124511637</v>
      </c>
      <c r="J41" s="32" t="n">
        <f aca="false">IF(J12&lt;&gt;0,J40/J12,0)</f>
        <v>0.49076856278288</v>
      </c>
      <c r="K41" s="32" t="n">
        <f aca="false">IF(K12&lt;&gt;0,K40/K12,0)</f>
        <v>0.442953804621232</v>
      </c>
      <c r="L41" s="32" t="n">
        <f aca="false">IF(L12&lt;&gt;0,L40/L12,0)</f>
        <v>0.442953804621232</v>
      </c>
      <c r="M41" s="32" t="n">
        <f aca="false">IF(M12&lt;&gt;0,M40/M12,0)</f>
        <v>0.442953804621232</v>
      </c>
      <c r="N41" s="32" t="n">
        <f aca="false">IF(N12&lt;&gt;0,N40/N12,0)</f>
        <v>0.442953804621232</v>
      </c>
      <c r="O41" s="32" t="n">
        <f aca="false">IF(O12&lt;&gt;0,O40/O12,0)</f>
        <v>-0.18476492935322</v>
      </c>
      <c r="P41" s="32" t="n">
        <f aca="false">IF(P12&lt;&gt;0,P40/P12,0)</f>
        <v>0.537329868829759</v>
      </c>
      <c r="Q41" s="32" t="n">
        <f aca="false">IF(Q12&lt;&gt;0,Q40/Q12,0)</f>
        <v>0.537329868829759</v>
      </c>
      <c r="R41" s="32" t="n">
        <f aca="false">IF(R12&lt;&gt;0,R40/R12,0)</f>
        <v>0.416935059832661</v>
      </c>
      <c r="S41" s="32" t="n">
        <f aca="false">IF(S12&lt;&gt;0,S40/S12,0)</f>
        <v>0.295909351259727</v>
      </c>
      <c r="T41" s="32" t="n">
        <f aca="false">IF(T12&lt;&gt;0,T40/T12,0)</f>
        <v>0.295909351259727</v>
      </c>
      <c r="U41" s="32" t="n">
        <f aca="false">IF(U12&lt;&gt;0,U40/U12,0)</f>
        <v>0.295909351259727</v>
      </c>
      <c r="V41" s="32" t="n">
        <f aca="false">IF(V12&lt;&gt;0,V40/V12,0)</f>
        <v>0.258894100630137</v>
      </c>
      <c r="W41" s="32" t="n">
        <f aca="false">IF(W12&lt;&gt;0,W40/W12,0)</f>
        <v>0.258894100630137</v>
      </c>
      <c r="X41" s="32" t="n">
        <f aca="false">IF(X12&lt;&gt;0,X40/X12,0)</f>
        <v>0.258894100630137</v>
      </c>
      <c r="Y41" s="32" t="n">
        <f aca="false">IF(Y12&lt;&gt;0,Y40/Y12,0)</f>
        <v>0.258894100630137</v>
      </c>
      <c r="Z41" s="32" t="n">
        <f aca="false">IF(Z12&lt;&gt;0,Z40/Z12,0)</f>
        <v>0.258894100630137</v>
      </c>
      <c r="AA41" s="32" t="n">
        <f aca="false">IF(AA12&lt;&gt;0,AA40/AA12,0)</f>
        <v>0.24407198264274</v>
      </c>
      <c r="AB41" s="32" t="n">
        <f aca="false">IF(AB12&lt;&gt;0,AB40/AB12,0)</f>
        <v>0.119600834358949</v>
      </c>
      <c r="AC41" s="32" t="n">
        <f aca="false">IF(AC12&lt;&gt;0,AC40/AC12,0)</f>
        <v>-0.399301524042579</v>
      </c>
      <c r="AD41" s="32" t="n">
        <f aca="false">IF(AD12&lt;&gt;0,AD40/AD12,0)</f>
        <v>0.331261430493823</v>
      </c>
      <c r="AE41" s="32" t="n">
        <f aca="false">IF(AE12&lt;&gt;0,AE40/AE12,0)</f>
        <v>0.331261430493823</v>
      </c>
      <c r="AF41" s="32" t="n">
        <f aca="false">IF(AF12&lt;&gt;0,AF40/AF12,0)</f>
        <v>0.331261430493823</v>
      </c>
      <c r="AG41" s="32" t="n">
        <f aca="false">IF(AG12&lt;&gt;0,AG40/AG12,0)</f>
        <v>0.331261430493823</v>
      </c>
      <c r="AH41" s="32" t="n">
        <f aca="false">IF(AH12&lt;&gt;0,AH40/AH12,0)</f>
        <v>0.209044588364624</v>
      </c>
      <c r="AI41" s="32" t="n">
        <f aca="false">IF(AI12&lt;&gt;0,AI40/AI12,0)</f>
        <v>0.209044588364624</v>
      </c>
      <c r="AJ41" s="32" t="n">
        <f aca="false">IF(AJ12&lt;&gt;0,AJ40/AJ12,0)</f>
        <v>-0.122636476047668</v>
      </c>
      <c r="AK41" s="32" t="n">
        <f aca="false">IF(AK12&lt;&gt;0,AK40/AK12,0)</f>
        <v>-0.122636476047668</v>
      </c>
      <c r="AL41" s="32" t="n">
        <f aca="false">IF(AL12&lt;&gt;0,AL40/AL12,0)</f>
        <v>-0.122636476047668</v>
      </c>
      <c r="AM41" s="32" t="n">
        <f aca="false">IF(AM12&lt;&gt;0,AM40/AM12,0)</f>
        <v>-0.354550194052712</v>
      </c>
      <c r="AN41" s="32" t="n">
        <f aca="false">IF(AN12&lt;&gt;0,AN40/AN12,0)</f>
        <v>-0.354550194052712</v>
      </c>
      <c r="AO41" s="32" t="n">
        <f aca="false">IF(AO12&lt;&gt;0,AO40/AO12,0)</f>
        <v>-0.354550194052712</v>
      </c>
      <c r="AP41" s="32" t="n">
        <f aca="false">IF(AP12&lt;&gt;0,AP40/AP12,0)</f>
        <v>-0.354550194052712</v>
      </c>
      <c r="AQ41" s="32" t="n">
        <f aca="false">IF(AQ12&lt;&gt;0,AQ40/AQ12,0)</f>
        <v>-0.354550194052712</v>
      </c>
      <c r="AR41" s="32" t="n">
        <f aca="false">IF(AR12&lt;&gt;0,AR40/AR12,0)</f>
        <v>-0.354550194052712</v>
      </c>
      <c r="AS41" s="32" t="n">
        <f aca="false">IF(AS12&lt;&gt;0,AS40/AS12,0)</f>
        <v>-1.83724050278619</v>
      </c>
      <c r="AT41" s="32" t="n">
        <f aca="false">IF(AT12&lt;&gt;0,AT40/AT12,0)</f>
        <v>-1.83724050278619</v>
      </c>
      <c r="AU41" s="32" t="n">
        <f aca="false">IF(AU12&lt;&gt;0,AU40/AU12,0)</f>
        <v>-1.83724050278619</v>
      </c>
      <c r="AV41" s="32" t="n">
        <f aca="false">IF(AV12&lt;&gt;0,AV40/AV12,0)</f>
        <v>-1.83724050278619</v>
      </c>
      <c r="AW41" s="32" t="n">
        <f aca="false">IF(AW12&lt;&gt;0,AW40/AW12,0)</f>
        <v>-1.83724050278619</v>
      </c>
      <c r="AX41" s="32" t="n">
        <f aca="false">IF(AX12&lt;&gt;0,AX40/AX12,0)</f>
        <v>-1.83724050278619</v>
      </c>
      <c r="AY41" s="32" t="n">
        <f aca="false">IF(AY12&lt;&gt;0,AY40/AY12,0)</f>
        <v>-1.89398531284191</v>
      </c>
      <c r="AZ41" s="32" t="n">
        <f aca="false">IF(AZ12&lt;&gt;0,AZ40/AZ12,0)</f>
        <v>-1.89398531284191</v>
      </c>
      <c r="BA41" s="32" t="n">
        <f aca="false">IF(BA12&lt;&gt;0,BA40/BA12,0)</f>
        <v>-1.89398531284191</v>
      </c>
      <c r="BB41" s="32" t="n">
        <f aca="false">IF(BB12&lt;&gt;0,BB40/BB12,0)</f>
        <v>-1.89398531284191</v>
      </c>
      <c r="BC41" s="32" t="n">
        <f aca="false">IF(BC12&lt;&gt;0,BC40/BC12,0)</f>
        <v>-1.89398531284191</v>
      </c>
      <c r="BD41" s="32" t="n">
        <f aca="false">IF(BD12&lt;&gt;0,BD40/BD12,0)</f>
        <v>-1.89398531284191</v>
      </c>
      <c r="BE41" s="32" t="n">
        <f aca="false">IF(BE12&lt;&gt;0,BE40/BE12,0)</f>
        <v>-1.89398531284191</v>
      </c>
      <c r="BF41" s="32" t="n">
        <f aca="false">IF(BF12&lt;&gt;0,BF40/BF12,0)</f>
        <v>-1.89398531284191</v>
      </c>
      <c r="BG41" s="32" t="n">
        <f aca="false">IF(BG12&lt;&gt;0,BG40/BG12,0)</f>
        <v>0</v>
      </c>
      <c r="BH41" s="32" t="n">
        <f aca="false">IF(BH12&lt;&gt;0,BH40/BH12,0)</f>
        <v>0</v>
      </c>
      <c r="BI41" s="32" t="n">
        <f aca="false">IF(BI12&lt;&gt;0,BI40/BI12,0)</f>
        <v>0</v>
      </c>
      <c r="BJ41" s="32" t="n">
        <f aca="false">IF(BJ12&lt;&gt;0,BJ40/BJ12,0)</f>
        <v>0</v>
      </c>
      <c r="BK41" s="32" t="n">
        <f aca="false">IF(BK12&lt;&gt;0,BK40/BK12,0)</f>
        <v>0</v>
      </c>
      <c r="BL41" s="32" t="n">
        <f aca="false">IF(BL12&lt;&gt;0,BL40/BL12,0)</f>
        <v>0</v>
      </c>
      <c r="BM41" s="32" t="n">
        <f aca="false">IF(BM12&lt;&gt;0,BM40/BM12,0)</f>
        <v>0</v>
      </c>
      <c r="BN41" s="32" t="n">
        <f aca="false">IF(BN12&lt;&gt;0,BN40/BN12,0)</f>
        <v>0</v>
      </c>
      <c r="BO41" s="32" t="n">
        <f aca="false">IF(BO12&lt;&gt;0,BO40/BO12,0)</f>
        <v>0</v>
      </c>
      <c r="BP41" s="32" t="n">
        <f aca="false">IF(BP12&lt;&gt;0,BP40/BP12,0)</f>
        <v>0</v>
      </c>
      <c r="BQ41" s="32" t="n">
        <f aca="false">IF(BQ12&lt;&gt;0,BQ40/BQ12,0)</f>
        <v>0</v>
      </c>
      <c r="BR41" s="32" t="n">
        <f aca="false">IF(BR12&lt;&gt;0,BR40/BR12,0)</f>
        <v>0</v>
      </c>
      <c r="BS41" s="32" t="n">
        <f aca="false">IF(BS12&lt;&gt;0,BS40/BS12,0)</f>
        <v>0</v>
      </c>
      <c r="BT41" s="32" t="n">
        <f aca="false">IF(BT12&lt;&gt;0,BT40/BT12,0)</f>
        <v>0</v>
      </c>
      <c r="BU41" s="32" t="n">
        <f aca="false">IF(BU12&lt;&gt;0,BU40/BU12,0)</f>
        <v>0</v>
      </c>
      <c r="BV41" s="32" t="n">
        <f aca="false">IF(BV12&lt;&gt;0,BV40/BV12,0)</f>
        <v>0</v>
      </c>
      <c r="BW41" s="32" t="n">
        <f aca="false">IF(BW12&lt;&gt;0,BW40/BW12,0)</f>
        <v>0</v>
      </c>
      <c r="BX41" s="32" t="n">
        <f aca="false">IF(BX12&lt;&gt;0,BX40/BX12,0)</f>
        <v>0</v>
      </c>
      <c r="BY41" s="32" t="n">
        <f aca="false">IF(BY12&lt;&gt;0,BY40/BY12,0)</f>
        <v>0</v>
      </c>
      <c r="BZ41" s="32" t="n">
        <f aca="false">IF(BZ12&lt;&gt;0,BZ40/BZ12,0)</f>
        <v>0</v>
      </c>
      <c r="CA41" s="32" t="n">
        <f aca="false">IF(CA12&lt;&gt;0,CA40/CA12,0)</f>
        <v>0</v>
      </c>
      <c r="CB41" s="32" t="n">
        <f aca="false">IF(CB12&lt;&gt;0,CB40/CB12,0)</f>
        <v>0</v>
      </c>
      <c r="CC41" s="32" t="n">
        <f aca="false">IF(CC12&lt;&gt;0,CC40/CC12,0)</f>
        <v>0</v>
      </c>
      <c r="CD41" s="32" t="n">
        <f aca="false">IF(CD12&lt;&gt;0,CD40/CD12,0)</f>
        <v>0</v>
      </c>
      <c r="CE41" s="32" t="n">
        <f aca="false">IF(CE12&lt;&gt;0,CE40/CE12,0)</f>
        <v>0</v>
      </c>
      <c r="CF41" s="32" t="n">
        <f aca="false">IF(CF12&lt;&gt;0,CF40/CF12,0)</f>
        <v>0</v>
      </c>
      <c r="CG41" s="32" t="n">
        <f aca="false">IF(CG12&lt;&gt;0,CG40/CG12,0)</f>
        <v>0</v>
      </c>
      <c r="CH41" s="32" t="n">
        <f aca="false">IF(CH12&lt;&gt;0,CH40/CH12,0)</f>
        <v>0</v>
      </c>
      <c r="CI41" s="25"/>
    </row>
    <row r="42" customFormat="false" ht="15" hidden="false" customHeight="true" outlineLevel="0" collapsed="false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5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5"/>
    </row>
    <row r="44" customFormat="false" ht="15" hidden="false" customHeight="true" outlineLevel="0" collapsed="false">
      <c r="A44" s="28" t="s">
        <v>85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5"/>
    </row>
    <row r="45" customFormat="false" ht="15" hidden="false" customHeight="true" outlineLevel="0" collapsed="false">
      <c r="A45" s="8" t="s">
        <v>23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25"/>
    </row>
    <row r="46" customFormat="false" ht="15" hidden="false" customHeight="true" outlineLevel="0" collapsed="false">
      <c r="A46" s="9" t="s">
        <v>86</v>
      </c>
      <c r="B46" s="24"/>
      <c r="C46" s="10" t="n">
        <f aca="false">IF(1&lt;=Assumptions!$B$68,Assumptions!$B$67,0)</f>
        <v>833.33</v>
      </c>
      <c r="D46" s="10" t="n">
        <f aca="false">IF(2&lt;=Assumptions!$B$68,Assumptions!$B$67,0)</f>
        <v>833.33</v>
      </c>
      <c r="E46" s="10" t="n">
        <f aca="false">IF(3&lt;=Assumptions!$B$68,Assumptions!$B$67,0)</f>
        <v>833.33</v>
      </c>
      <c r="F46" s="10" t="n">
        <f aca="false">IF(4&lt;=Assumptions!$B$68,Assumptions!$B$67,0)</f>
        <v>833.33</v>
      </c>
      <c r="G46" s="10" t="n">
        <f aca="false">IF(5&lt;=Assumptions!$B$68,Assumptions!$B$67,0)</f>
        <v>833.33</v>
      </c>
      <c r="H46" s="10" t="n">
        <f aca="false">IF(6&lt;=Assumptions!$B$68,Assumptions!$B$67,0)</f>
        <v>0</v>
      </c>
      <c r="I46" s="10" t="n">
        <f aca="false">IF(7&lt;=Assumptions!$B$68,Assumptions!$B$67,0)</f>
        <v>0</v>
      </c>
      <c r="J46" s="10" t="n">
        <f aca="false">IF(8&lt;=Assumptions!$B$68,Assumptions!$B$67,0)</f>
        <v>0</v>
      </c>
      <c r="K46" s="10" t="n">
        <f aca="false">IF(9&lt;=Assumptions!$B$68,Assumptions!$B$67,0)</f>
        <v>0</v>
      </c>
      <c r="L46" s="10" t="n">
        <f aca="false">IF(10&lt;=Assumptions!$B$68,Assumptions!$B$67,0)</f>
        <v>0</v>
      </c>
      <c r="M46" s="10" t="n">
        <f aca="false">IF(11&lt;=Assumptions!$B$68,Assumptions!$B$67,0)</f>
        <v>0</v>
      </c>
      <c r="N46" s="10" t="n">
        <f aca="false">IF(12&lt;=Assumptions!$B$68,Assumptions!$B$67,0)</f>
        <v>0</v>
      </c>
      <c r="O46" s="10" t="n">
        <f aca="false">IF(13&lt;=Assumptions!$B$68,Assumptions!$B$67,0)</f>
        <v>0</v>
      </c>
      <c r="P46" s="10" t="n">
        <f aca="false">IF(14&lt;=Assumptions!$B$68,Assumptions!$B$67,0)</f>
        <v>0</v>
      </c>
      <c r="Q46" s="10" t="n">
        <f aca="false">IF(15&lt;=Assumptions!$B$68,Assumptions!$B$67,0)</f>
        <v>0</v>
      </c>
      <c r="R46" s="10" t="n">
        <f aca="false">IF(16&lt;=Assumptions!$B$68,Assumptions!$B$67,0)</f>
        <v>0</v>
      </c>
      <c r="S46" s="10" t="n">
        <f aca="false">IF(17&lt;=Assumptions!$B$68,Assumptions!$B$67,0)</f>
        <v>0</v>
      </c>
      <c r="T46" s="10" t="n">
        <f aca="false">IF(18&lt;=Assumptions!$B$68,Assumptions!$B$67,0)</f>
        <v>0</v>
      </c>
      <c r="U46" s="10" t="n">
        <f aca="false">IF(19&lt;=Assumptions!$B$68,Assumptions!$B$67,0)</f>
        <v>0</v>
      </c>
      <c r="V46" s="10" t="n">
        <f aca="false">IF(20&lt;=Assumptions!$B$68,Assumptions!$B$67,0)</f>
        <v>0</v>
      </c>
      <c r="W46" s="10" t="n">
        <f aca="false">IF(21&lt;=Assumptions!$B$68,Assumptions!$B$67,0)</f>
        <v>0</v>
      </c>
      <c r="X46" s="10" t="n">
        <f aca="false">IF(22&lt;=Assumptions!$B$68,Assumptions!$B$67,0)</f>
        <v>0</v>
      </c>
      <c r="Y46" s="10" t="n">
        <f aca="false">IF(23&lt;=Assumptions!$B$68,Assumptions!$B$67,0)</f>
        <v>0</v>
      </c>
      <c r="Z46" s="10" t="n">
        <f aca="false">IF(24&lt;=Assumptions!$B$68,Assumptions!$B$67,0)</f>
        <v>0</v>
      </c>
      <c r="AA46" s="10" t="n">
        <f aca="false">IF(25&lt;=Assumptions!$B$68,Assumptions!$B$67,0)</f>
        <v>0</v>
      </c>
      <c r="AB46" s="10" t="n">
        <f aca="false">IF(26&lt;=Assumptions!$B$68,Assumptions!$B$67,0)</f>
        <v>0</v>
      </c>
      <c r="AC46" s="10" t="n">
        <f aca="false">IF(27&lt;=Assumptions!$B$68,Assumptions!$B$67,0)</f>
        <v>0</v>
      </c>
      <c r="AD46" s="10" t="n">
        <f aca="false">IF(28&lt;=Assumptions!$B$68,Assumptions!$B$67,0)</f>
        <v>0</v>
      </c>
      <c r="AE46" s="10" t="n">
        <f aca="false">IF(29&lt;=Assumptions!$B$68,Assumptions!$B$67,0)</f>
        <v>0</v>
      </c>
      <c r="AF46" s="10" t="n">
        <f aca="false">IF(30&lt;=Assumptions!$B$68,Assumptions!$B$67,0)</f>
        <v>0</v>
      </c>
      <c r="AG46" s="10" t="n">
        <f aca="false">IF(31&lt;=Assumptions!$B$68,Assumptions!$B$67,0)</f>
        <v>0</v>
      </c>
      <c r="AH46" s="10" t="n">
        <f aca="false">IF(32&lt;=Assumptions!$B$68,Assumptions!$B$67,0)</f>
        <v>0</v>
      </c>
      <c r="AI46" s="10" t="n">
        <f aca="false">IF(33&lt;=Assumptions!$B$68,Assumptions!$B$67,0)</f>
        <v>0</v>
      </c>
      <c r="AJ46" s="10" t="n">
        <f aca="false">IF(34&lt;=Assumptions!$B$68,Assumptions!$B$67,0)</f>
        <v>0</v>
      </c>
      <c r="AK46" s="10" t="n">
        <f aca="false">IF(35&lt;=Assumptions!$B$68,Assumptions!$B$67,0)</f>
        <v>0</v>
      </c>
      <c r="AL46" s="10" t="n">
        <f aca="false">IF(36&lt;=Assumptions!$B$68,Assumptions!$B$67,0)</f>
        <v>0</v>
      </c>
      <c r="AM46" s="10" t="n">
        <f aca="false">IF(37&lt;=Assumptions!$B$68,Assumptions!$B$67,0)</f>
        <v>0</v>
      </c>
      <c r="AN46" s="10" t="n">
        <f aca="false">IF(38&lt;=Assumptions!$B$68,Assumptions!$B$67,0)</f>
        <v>0</v>
      </c>
      <c r="AO46" s="10" t="n">
        <f aca="false">IF(39&lt;=Assumptions!$B$68,Assumptions!$B$67,0)</f>
        <v>0</v>
      </c>
      <c r="AP46" s="10" t="n">
        <f aca="false">IF(40&lt;=Assumptions!$B$68,Assumptions!$B$67,0)</f>
        <v>0</v>
      </c>
      <c r="AQ46" s="10" t="n">
        <f aca="false">IF(41&lt;=Assumptions!$B$68,Assumptions!$B$67,0)</f>
        <v>0</v>
      </c>
      <c r="AR46" s="10" t="n">
        <f aca="false">IF(42&lt;=Assumptions!$B$68,Assumptions!$B$67,0)</f>
        <v>0</v>
      </c>
      <c r="AS46" s="10" t="n">
        <f aca="false">IF(43&lt;=Assumptions!$B$68,Assumptions!$B$67,0)</f>
        <v>0</v>
      </c>
      <c r="AT46" s="10" t="n">
        <f aca="false">IF(44&lt;=Assumptions!$B$68,Assumptions!$B$67,0)</f>
        <v>0</v>
      </c>
      <c r="AU46" s="10" t="n">
        <f aca="false">IF(45&lt;=Assumptions!$B$68,Assumptions!$B$67,0)</f>
        <v>0</v>
      </c>
      <c r="AV46" s="10" t="n">
        <f aca="false">IF(46&lt;=Assumptions!$B$68,Assumptions!$B$67,0)</f>
        <v>0</v>
      </c>
      <c r="AW46" s="10" t="n">
        <f aca="false">IF(47&lt;=Assumptions!$B$68,Assumptions!$B$67,0)</f>
        <v>0</v>
      </c>
      <c r="AX46" s="10" t="n">
        <f aca="false">IF(48&lt;=Assumptions!$B$68,Assumptions!$B$67,0)</f>
        <v>0</v>
      </c>
      <c r="AY46" s="10" t="n">
        <f aca="false">IF(49&lt;=Assumptions!$B$68,Assumptions!$B$67,0)</f>
        <v>0</v>
      </c>
      <c r="AZ46" s="10" t="n">
        <f aca="false">IF(50&lt;=Assumptions!$B$68,Assumptions!$B$67,0)</f>
        <v>0</v>
      </c>
      <c r="BA46" s="10" t="n">
        <f aca="false">IF(51&lt;=Assumptions!$B$68,Assumptions!$B$67,0)</f>
        <v>0</v>
      </c>
      <c r="BB46" s="10" t="n">
        <f aca="false">IF(52&lt;=Assumptions!$B$68,Assumptions!$B$67,0)</f>
        <v>0</v>
      </c>
      <c r="BC46" s="10" t="n">
        <f aca="false">IF(53&lt;=Assumptions!$B$68,Assumptions!$B$67,0)</f>
        <v>0</v>
      </c>
      <c r="BD46" s="10" t="n">
        <f aca="false">IF(54&lt;=Assumptions!$B$68,Assumptions!$B$67,0)</f>
        <v>0</v>
      </c>
      <c r="BE46" s="10" t="n">
        <f aca="false">IF(55&lt;=Assumptions!$B$68,Assumptions!$B$67,0)</f>
        <v>0</v>
      </c>
      <c r="BF46" s="10" t="n">
        <f aca="false">IF(56&lt;=Assumptions!$B$68,Assumptions!$B$67,0)</f>
        <v>0</v>
      </c>
      <c r="BG46" s="10" t="n">
        <f aca="false">IF(57&lt;=Assumptions!$B$68,Assumptions!$B$67,0)</f>
        <v>0</v>
      </c>
      <c r="BH46" s="10" t="n">
        <f aca="false">IF(58&lt;=Assumptions!$B$68,Assumptions!$B$67,0)</f>
        <v>0</v>
      </c>
      <c r="BI46" s="10" t="n">
        <f aca="false">IF(59&lt;=Assumptions!$B$68,Assumptions!$B$67,0)</f>
        <v>0</v>
      </c>
      <c r="BJ46" s="10" t="n">
        <f aca="false">IF(60&lt;=Assumptions!$B$68,Assumptions!$B$67,0)</f>
        <v>0</v>
      </c>
      <c r="BK46" s="10" t="n">
        <f aca="false">IF(61&lt;=Assumptions!$B$68,Assumptions!$B$67,0)</f>
        <v>0</v>
      </c>
      <c r="BL46" s="10" t="n">
        <f aca="false">IF(62&lt;=Assumptions!$B$68,Assumptions!$B$67,0)</f>
        <v>0</v>
      </c>
      <c r="BM46" s="10" t="n">
        <f aca="false">IF(63&lt;=Assumptions!$B$68,Assumptions!$B$67,0)</f>
        <v>0</v>
      </c>
      <c r="BN46" s="10" t="n">
        <f aca="false">IF(64&lt;=Assumptions!$B$68,Assumptions!$B$67,0)</f>
        <v>0</v>
      </c>
      <c r="BO46" s="10" t="n">
        <f aca="false">IF(65&lt;=Assumptions!$B$68,Assumptions!$B$67,0)</f>
        <v>0</v>
      </c>
      <c r="BP46" s="10" t="n">
        <f aca="false">IF(66&lt;=Assumptions!$B$68,Assumptions!$B$67,0)</f>
        <v>0</v>
      </c>
      <c r="BQ46" s="10" t="n">
        <f aca="false">IF(67&lt;=Assumptions!$B$68,Assumptions!$B$67,0)</f>
        <v>0</v>
      </c>
      <c r="BR46" s="10" t="n">
        <f aca="false">IF(68&lt;=Assumptions!$B$68,Assumptions!$B$67,0)</f>
        <v>0</v>
      </c>
      <c r="BS46" s="10" t="n">
        <f aca="false">IF(69&lt;=Assumptions!$B$68,Assumptions!$B$67,0)</f>
        <v>0</v>
      </c>
      <c r="BT46" s="10" t="n">
        <f aca="false">IF(70&lt;=Assumptions!$B$68,Assumptions!$B$67,0)</f>
        <v>0</v>
      </c>
      <c r="BU46" s="10" t="n">
        <f aca="false">IF(71&lt;=Assumptions!$B$68,Assumptions!$B$67,0)</f>
        <v>0</v>
      </c>
      <c r="BV46" s="10" t="n">
        <f aca="false">IF(72&lt;=Assumptions!$B$68,Assumptions!$B$67,0)</f>
        <v>0</v>
      </c>
      <c r="BW46" s="10" t="n">
        <f aca="false">IF(73&lt;=Assumptions!$B$68,Assumptions!$B$67,0)</f>
        <v>0</v>
      </c>
      <c r="BX46" s="10" t="n">
        <f aca="false">IF(74&lt;=Assumptions!$B$68,Assumptions!$B$67,0)</f>
        <v>0</v>
      </c>
      <c r="BY46" s="10" t="n">
        <f aca="false">IF(75&lt;=Assumptions!$B$68,Assumptions!$B$67,0)</f>
        <v>0</v>
      </c>
      <c r="BZ46" s="10" t="n">
        <f aca="false">IF(76&lt;=Assumptions!$B$68,Assumptions!$B$67,0)</f>
        <v>0</v>
      </c>
      <c r="CA46" s="10" t="n">
        <f aca="false">IF(77&lt;=Assumptions!$B$68,Assumptions!$B$67,0)</f>
        <v>0</v>
      </c>
      <c r="CB46" s="10" t="n">
        <f aca="false">IF(78&lt;=Assumptions!$B$68,Assumptions!$B$67,0)</f>
        <v>0</v>
      </c>
      <c r="CC46" s="10" t="n">
        <f aca="false">IF(79&lt;=Assumptions!$B$68,Assumptions!$B$67,0)</f>
        <v>0</v>
      </c>
      <c r="CD46" s="10" t="n">
        <f aca="false">IF(80&lt;=Assumptions!$B$68,Assumptions!$B$67,0)</f>
        <v>0</v>
      </c>
      <c r="CE46" s="10" t="n">
        <f aca="false">IF(81&lt;=Assumptions!$B$68,Assumptions!$B$67,0)</f>
        <v>0</v>
      </c>
      <c r="CF46" s="10" t="n">
        <f aca="false">IF(82&lt;=Assumptions!$B$68,Assumptions!$B$67,0)</f>
        <v>0</v>
      </c>
      <c r="CG46" s="10" t="n">
        <f aca="false">IF(83&lt;=Assumptions!$B$68,Assumptions!$B$67,0)</f>
        <v>0</v>
      </c>
      <c r="CH46" s="10" t="n">
        <f aca="false">IF(84&lt;=Assumptions!$B$68,Assumptions!$B$67,0)</f>
        <v>0</v>
      </c>
      <c r="CI46" s="25"/>
    </row>
    <row r="47" customFormat="false" ht="15" hidden="false" customHeight="true" outlineLevel="0" collapsed="false">
      <c r="A47" s="9" t="s">
        <v>87</v>
      </c>
      <c r="B47" s="24"/>
      <c r="C47" s="10" t="n">
        <f aca="false">IF(Projects!$G$3="Yes",23906.25,0)</f>
        <v>23906.25</v>
      </c>
      <c r="D47" s="10" t="n">
        <f aca="false">IF(Projects!$G$3="Yes",23906.25,0)</f>
        <v>23906.25</v>
      </c>
      <c r="E47" s="10" t="n">
        <f aca="false">IF(Projects!$G$3="Yes",23906.25,0)</f>
        <v>23906.25</v>
      </c>
      <c r="F47" s="10" t="n">
        <f aca="false">IF(Projects!$G$3="Yes",23906.25,0)</f>
        <v>23906.25</v>
      </c>
      <c r="G47" s="10" t="n">
        <f aca="false">IF(Projects!$G$3="Yes",23906.25,0)</f>
        <v>23906.25</v>
      </c>
      <c r="H47" s="10" t="n">
        <f aca="false">IF(Projects!$G$3="Yes",23906.25,0)</f>
        <v>23906.25</v>
      </c>
      <c r="I47" s="10" t="n">
        <f aca="false">IF(Projects!$G$3="Yes",23906.25,0)</f>
        <v>23906.25</v>
      </c>
      <c r="J47" s="10" t="n">
        <f aca="false">IF(Projects!$G$3="Yes",23906.25,0)</f>
        <v>23906.25</v>
      </c>
      <c r="K47" s="10" t="n">
        <f aca="false">IF(Projects!$G$3="Yes",23906.25,0)</f>
        <v>23906.25</v>
      </c>
      <c r="L47" s="10" t="n">
        <f aca="false">IF(Projects!$G$3="Yes",23906.25,0)</f>
        <v>23906.25</v>
      </c>
      <c r="M47" s="10" t="n">
        <f aca="false">IF(Projects!$G$3="Yes",23906.25,0)</f>
        <v>23906.25</v>
      </c>
      <c r="N47" s="10" t="n">
        <f aca="false">IF(Projects!$G$3="Yes",23906.25,0)</f>
        <v>23906.25</v>
      </c>
      <c r="O47" s="10" t="n">
        <f aca="false">IF(Projects!$G$3="Yes",23906.25,0)</f>
        <v>23906.25</v>
      </c>
      <c r="P47" s="10" t="n">
        <f aca="false">IF(Projects!$G$3="Yes",23906.25,0)</f>
        <v>23906.25</v>
      </c>
      <c r="Q47" s="10" t="n">
        <f aca="false">IF(Projects!$G$3="Yes",23906.25,0)</f>
        <v>23906.25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0</v>
      </c>
      <c r="AT47" s="10" t="n">
        <v>0</v>
      </c>
      <c r="AU47" s="10" t="n">
        <v>0</v>
      </c>
      <c r="AV47" s="10" t="n">
        <v>0</v>
      </c>
      <c r="AW47" s="10" t="n">
        <v>0</v>
      </c>
      <c r="AX47" s="10" t="n">
        <v>0</v>
      </c>
      <c r="AY47" s="10" t="n">
        <v>0</v>
      </c>
      <c r="AZ47" s="10" t="n">
        <v>0</v>
      </c>
      <c r="BA47" s="10" t="n">
        <v>0</v>
      </c>
      <c r="BB47" s="10" t="n">
        <v>0</v>
      </c>
      <c r="BC47" s="10" t="n">
        <v>0</v>
      </c>
      <c r="BD47" s="10" t="n">
        <v>0</v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0</v>
      </c>
      <c r="BL47" s="10" t="n">
        <v>0</v>
      </c>
      <c r="BM47" s="10" t="n">
        <v>0</v>
      </c>
      <c r="BN47" s="10" t="n">
        <v>0</v>
      </c>
      <c r="BO47" s="10" t="n">
        <v>0</v>
      </c>
      <c r="BP47" s="10" t="n">
        <v>0</v>
      </c>
      <c r="BQ47" s="10" t="n">
        <v>0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0</v>
      </c>
      <c r="BW47" s="10" t="n">
        <v>0</v>
      </c>
      <c r="BX47" s="10" t="n">
        <v>0</v>
      </c>
      <c r="BY47" s="10" t="n">
        <v>0</v>
      </c>
      <c r="BZ47" s="10" t="n">
        <v>0</v>
      </c>
      <c r="CA47" s="10" t="n">
        <v>0</v>
      </c>
      <c r="CB47" s="10" t="n">
        <v>0</v>
      </c>
      <c r="CC47" s="10" t="n">
        <v>0</v>
      </c>
      <c r="CD47" s="10" t="n">
        <v>0</v>
      </c>
      <c r="CE47" s="10" t="n">
        <v>0</v>
      </c>
      <c r="CF47" s="10" t="n">
        <v>0</v>
      </c>
      <c r="CG47" s="10" t="n">
        <v>0</v>
      </c>
      <c r="CH47" s="10" t="n">
        <v>0</v>
      </c>
      <c r="CI47" s="25"/>
    </row>
    <row r="48" customFormat="false" ht="15" hidden="false" customHeight="true" outlineLevel="0" collapsed="false">
      <c r="A48" s="9" t="s">
        <v>88</v>
      </c>
      <c r="B48" s="24"/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f aca="false">IF(Projects!$G$3="Yes",57375,0)</f>
        <v>57375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25"/>
    </row>
    <row r="49" customFormat="false" ht="15" hidden="false" customHeight="true" outlineLevel="0" collapsed="false">
      <c r="A49" s="9" t="s">
        <v>89</v>
      </c>
      <c r="B49" s="24"/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f aca="false">IF(Projects!$G$3="Yes",57375,0)</f>
        <v>57375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25"/>
    </row>
    <row r="50" customFormat="false" ht="15" hidden="false" customHeight="true" outlineLevel="0" collapsed="false">
      <c r="A50" s="9" t="s">
        <v>90</v>
      </c>
      <c r="B50" s="24"/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f aca="false">IF(Projects!$G$3="Yes",57375,0)</f>
        <v>57375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25"/>
    </row>
    <row r="51" customFormat="false" ht="15" hidden="false" customHeight="true" outlineLevel="0" collapsed="false">
      <c r="A51" s="9" t="s">
        <v>91</v>
      </c>
      <c r="B51" s="24"/>
      <c r="C51" s="10" t="n">
        <f aca="false">IF(Projects!$G$2="Yes",9375,0)</f>
        <v>9375</v>
      </c>
      <c r="D51" s="10" t="n">
        <f aca="false">IF(Projects!$G$2="Yes",9375,0)</f>
        <v>9375</v>
      </c>
      <c r="E51" s="10" t="n">
        <f aca="false">IF(Projects!$G$2="Yes",9375,0)</f>
        <v>9375</v>
      </c>
      <c r="F51" s="10" t="n">
        <f aca="false">IF(Projects!$G$2="Yes",9375,0)</f>
        <v>9375</v>
      </c>
      <c r="G51" s="10" t="n">
        <f aca="false">IF(Projects!$G$2="Yes",9375,0)</f>
        <v>9375</v>
      </c>
      <c r="H51" s="10" t="n">
        <f aca="false">IF(Projects!$G$2="Yes",9375,0)</f>
        <v>9375</v>
      </c>
      <c r="I51" s="10" t="n">
        <f aca="false">IF(Projects!$G$2="Yes",9375,0)</f>
        <v>9375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25"/>
    </row>
    <row r="52" customFormat="false" ht="15" hidden="false" customHeight="true" outlineLevel="0" collapsed="false">
      <c r="A52" s="9" t="s">
        <v>92</v>
      </c>
      <c r="B52" s="24"/>
      <c r="C52" s="10" t="n">
        <v>9500</v>
      </c>
      <c r="D52" s="10" t="n">
        <v>9500</v>
      </c>
      <c r="E52" s="10" t="n">
        <v>9500</v>
      </c>
      <c r="F52" s="10" t="n">
        <v>9500</v>
      </c>
      <c r="G52" s="10" t="n">
        <v>9500</v>
      </c>
      <c r="H52" s="10" t="n">
        <v>9500</v>
      </c>
      <c r="I52" s="10" t="n">
        <v>9500</v>
      </c>
      <c r="J52" s="10" t="n">
        <v>9500</v>
      </c>
      <c r="K52" s="10" t="n">
        <v>9500</v>
      </c>
      <c r="L52" s="10" t="n">
        <v>9500</v>
      </c>
      <c r="M52" s="10" t="n">
        <v>9500</v>
      </c>
      <c r="N52" s="10" t="n">
        <v>9500</v>
      </c>
      <c r="O52" s="10" t="n">
        <v>9500</v>
      </c>
      <c r="P52" s="10" t="n">
        <v>9500</v>
      </c>
      <c r="Q52" s="10" t="n">
        <v>9500</v>
      </c>
      <c r="R52" s="10" t="n">
        <v>9500</v>
      </c>
      <c r="S52" s="10" t="n">
        <v>9500</v>
      </c>
      <c r="T52" s="10" t="n">
        <v>9500</v>
      </c>
      <c r="U52" s="10" t="n">
        <v>9500</v>
      </c>
      <c r="V52" s="10" t="n">
        <v>9500</v>
      </c>
      <c r="W52" s="10" t="n">
        <v>9500</v>
      </c>
      <c r="X52" s="10" t="n">
        <v>9500</v>
      </c>
      <c r="Y52" s="10" t="n">
        <v>9500</v>
      </c>
      <c r="Z52" s="10" t="n">
        <v>9500</v>
      </c>
      <c r="AA52" s="10" t="n">
        <v>9500</v>
      </c>
      <c r="AB52" s="10" t="n">
        <v>9500</v>
      </c>
      <c r="AC52" s="10" t="n">
        <v>9500</v>
      </c>
      <c r="AD52" s="10" t="n">
        <v>9500</v>
      </c>
      <c r="AE52" s="10" t="n">
        <v>9500</v>
      </c>
      <c r="AF52" s="10" t="n">
        <v>9500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25"/>
    </row>
    <row r="53" customFormat="false" ht="15" hidden="false" customHeight="true" outlineLevel="0" collapsed="false">
      <c r="A53" s="9" t="s">
        <v>93</v>
      </c>
      <c r="B53" s="24"/>
      <c r="C53" s="10" t="n">
        <v>0</v>
      </c>
      <c r="D53" s="10" t="n">
        <v>0</v>
      </c>
      <c r="E53" s="10" t="n">
        <v>0</v>
      </c>
      <c r="F53" s="10" t="n">
        <v>0</v>
      </c>
      <c r="G53" s="10" t="n">
        <f aca="false">IF(Projects!$G$11="Yes",6315.79,0)</f>
        <v>0</v>
      </c>
      <c r="H53" s="10" t="n">
        <f aca="false">IF(Projects!$G$11="Yes",6315.79,0)</f>
        <v>0</v>
      </c>
      <c r="I53" s="10" t="n">
        <f aca="false">IF(Projects!$G$11="Yes",6315.79,0)</f>
        <v>0</v>
      </c>
      <c r="J53" s="10" t="n">
        <f aca="false">IF(Projects!$G$11="Yes",6315.79,0)</f>
        <v>0</v>
      </c>
      <c r="K53" s="10" t="n">
        <f aca="false">IF(Projects!$G$11="Yes",6315.79,0)</f>
        <v>0</v>
      </c>
      <c r="L53" s="10" t="n">
        <f aca="false">IF(Projects!$G$11="Yes",6315.79,0)</f>
        <v>0</v>
      </c>
      <c r="M53" s="10" t="n">
        <f aca="false">IF(Projects!$G$11="Yes",6315.79,0)</f>
        <v>0</v>
      </c>
      <c r="N53" s="10" t="n">
        <f aca="false">IF(Projects!$G$11="Yes",6315.79,0)</f>
        <v>0</v>
      </c>
      <c r="O53" s="10" t="n">
        <f aca="false">IF(Projects!$G$11="Yes",6315.79,0)</f>
        <v>0</v>
      </c>
      <c r="P53" s="10" t="n">
        <f aca="false">IF(Projects!$G$11="Yes",6315.79,0)</f>
        <v>0</v>
      </c>
      <c r="Q53" s="10" t="n">
        <f aca="false">IF(Projects!$G$11="Yes",6315.79,0)</f>
        <v>0</v>
      </c>
      <c r="R53" s="10" t="n">
        <f aca="false">IF(Projects!$G$11="Yes",6315.79,0)</f>
        <v>0</v>
      </c>
      <c r="S53" s="10" t="n">
        <f aca="false">IF(Projects!$G$11="Yes",6315.79,0)</f>
        <v>0</v>
      </c>
      <c r="T53" s="10" t="n">
        <f aca="false">IF(Projects!$G$11="Yes",6315.79,0)</f>
        <v>0</v>
      </c>
      <c r="U53" s="10" t="n">
        <f aca="false">IF(Projects!$G$11="Yes",6315.79,0)</f>
        <v>0</v>
      </c>
      <c r="V53" s="10" t="n">
        <f aca="false">IF(Projects!$G$11="Yes",6315.79,0)</f>
        <v>0</v>
      </c>
      <c r="W53" s="10" t="n">
        <f aca="false">IF(Projects!$G$11="Yes",6315.79,0)</f>
        <v>0</v>
      </c>
      <c r="X53" s="10" t="n">
        <f aca="false">IF(Projects!$G$11="Yes",6315.79,0)</f>
        <v>0</v>
      </c>
      <c r="Y53" s="10" t="n">
        <f aca="false">IF(Projects!$G$11="Yes",6315.79,0)</f>
        <v>0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n">
        <v>0</v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0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25"/>
    </row>
    <row r="54" customFormat="false" ht="15" hidden="false" customHeight="true" outlineLevel="0" collapsed="false">
      <c r="A54" s="9" t="s">
        <v>94</v>
      </c>
      <c r="B54" s="24"/>
      <c r="C54" s="10" t="n">
        <v>0</v>
      </c>
      <c r="D54" s="10" t="n">
        <v>0</v>
      </c>
      <c r="E54" s="10" t="n">
        <v>0</v>
      </c>
      <c r="F54" s="10" t="n">
        <v>0</v>
      </c>
      <c r="G54" s="10" t="n">
        <f aca="false">IF(Projects!$G$11="Yes",6315.79,0)</f>
        <v>0</v>
      </c>
      <c r="H54" s="10" t="n">
        <f aca="false">IF(Projects!$G$11="Yes",6315.79,0)</f>
        <v>0</v>
      </c>
      <c r="I54" s="10" t="n">
        <f aca="false">IF(Projects!$G$11="Yes",6315.79,0)</f>
        <v>0</v>
      </c>
      <c r="J54" s="10" t="n">
        <f aca="false">IF(Projects!$G$11="Yes",6315.79,0)</f>
        <v>0</v>
      </c>
      <c r="K54" s="10" t="n">
        <f aca="false">IF(Projects!$G$11="Yes",6315.79,0)</f>
        <v>0</v>
      </c>
      <c r="L54" s="10" t="n">
        <f aca="false">IF(Projects!$G$11="Yes",6315.79,0)</f>
        <v>0</v>
      </c>
      <c r="M54" s="10" t="n">
        <f aca="false">IF(Projects!$G$11="Yes",6315.79,0)</f>
        <v>0</v>
      </c>
      <c r="N54" s="10" t="n">
        <f aca="false">IF(Projects!$G$11="Yes",6315.79,0)</f>
        <v>0</v>
      </c>
      <c r="O54" s="10" t="n">
        <f aca="false">IF(Projects!$G$11="Yes",6315.79,0)</f>
        <v>0</v>
      </c>
      <c r="P54" s="10" t="n">
        <f aca="false">IF(Projects!$G$11="Yes",6315.79,0)</f>
        <v>0</v>
      </c>
      <c r="Q54" s="10" t="n">
        <f aca="false">IF(Projects!$G$11="Yes",6315.79,0)</f>
        <v>0</v>
      </c>
      <c r="R54" s="10" t="n">
        <f aca="false">IF(Projects!$G$11="Yes",6315.79,0)</f>
        <v>0</v>
      </c>
      <c r="S54" s="10" t="n">
        <f aca="false">IF(Projects!$G$11="Yes",6315.79,0)</f>
        <v>0</v>
      </c>
      <c r="T54" s="10" t="n">
        <f aca="false">IF(Projects!$G$11="Yes",6315.79,0)</f>
        <v>0</v>
      </c>
      <c r="U54" s="10" t="n">
        <f aca="false">IF(Projects!$G$11="Yes",6315.79,0)</f>
        <v>0</v>
      </c>
      <c r="V54" s="10" t="n">
        <f aca="false">IF(Projects!$G$11="Yes",6315.79,0)</f>
        <v>0</v>
      </c>
      <c r="W54" s="10" t="n">
        <f aca="false">IF(Projects!$G$11="Yes",6315.79,0)</f>
        <v>0</v>
      </c>
      <c r="X54" s="10" t="n">
        <f aca="false">IF(Projects!$G$11="Yes",6315.79,0)</f>
        <v>0</v>
      </c>
      <c r="Y54" s="10" t="n">
        <f aca="false">IF(Projects!$G$11="Yes",6315.79,0)</f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25"/>
    </row>
    <row r="55" customFormat="false" ht="15" hidden="false" customHeight="true" outlineLevel="0" collapsed="false">
      <c r="A55" s="9" t="s">
        <v>95</v>
      </c>
      <c r="B55" s="24"/>
      <c r="C55" s="10" t="n">
        <v>0</v>
      </c>
      <c r="D55" s="10" t="n">
        <v>0</v>
      </c>
      <c r="E55" s="10" t="n">
        <v>0</v>
      </c>
      <c r="F55" s="10" t="n">
        <v>0</v>
      </c>
      <c r="G55" s="10" t="n">
        <f aca="false">IF(Projects!$G$11="Yes",253980,0)</f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n">
        <v>0</v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25"/>
    </row>
    <row r="56" customFormat="false" ht="15" hidden="false" customHeight="true" outlineLevel="0" collapsed="false">
      <c r="A56" s="9" t="s">
        <v>96</v>
      </c>
      <c r="B56" s="24"/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f aca="false">IF(Projects!$G$12="Yes",6315.79,0)</f>
        <v>0</v>
      </c>
      <c r="I56" s="10" t="n">
        <f aca="false">IF(Projects!$G$12="Yes",6315.79,0)</f>
        <v>0</v>
      </c>
      <c r="J56" s="10" t="n">
        <f aca="false">IF(Projects!$G$12="Yes",6315.79,0)</f>
        <v>0</v>
      </c>
      <c r="K56" s="10" t="n">
        <f aca="false">IF(Projects!$G$12="Yes",6315.79,0)</f>
        <v>0</v>
      </c>
      <c r="L56" s="10" t="n">
        <f aca="false">IF(Projects!$G$12="Yes",6315.79,0)</f>
        <v>0</v>
      </c>
      <c r="M56" s="10" t="n">
        <f aca="false">IF(Projects!$G$12="Yes",6315.79,0)</f>
        <v>0</v>
      </c>
      <c r="N56" s="10" t="n">
        <f aca="false">IF(Projects!$G$12="Yes",6315.79,0)</f>
        <v>0</v>
      </c>
      <c r="O56" s="10" t="n">
        <f aca="false">IF(Projects!$G$12="Yes",6315.79,0)</f>
        <v>0</v>
      </c>
      <c r="P56" s="10" t="n">
        <f aca="false">IF(Projects!$G$12="Yes",6315.79,0)</f>
        <v>0</v>
      </c>
      <c r="Q56" s="10" t="n">
        <f aca="false">IF(Projects!$G$12="Yes",6315.79,0)</f>
        <v>0</v>
      </c>
      <c r="R56" s="10" t="n">
        <f aca="false">IF(Projects!$G$12="Yes",6315.79,0)</f>
        <v>0</v>
      </c>
      <c r="S56" s="10" t="n">
        <f aca="false">IF(Projects!$G$12="Yes",6315.79,0)</f>
        <v>0</v>
      </c>
      <c r="T56" s="10" t="n">
        <f aca="false">IF(Projects!$G$12="Yes",6315.79,0)</f>
        <v>0</v>
      </c>
      <c r="U56" s="10" t="n">
        <f aca="false">IF(Projects!$G$12="Yes",6315.79,0)</f>
        <v>0</v>
      </c>
      <c r="V56" s="10" t="n">
        <f aca="false">IF(Projects!$G$12="Yes",6315.79,0)</f>
        <v>0</v>
      </c>
      <c r="W56" s="10" t="n">
        <f aca="false">IF(Projects!$G$12="Yes",6315.79,0)</f>
        <v>0</v>
      </c>
      <c r="X56" s="10" t="n">
        <f aca="false">IF(Projects!$G$12="Yes",6315.79,0)</f>
        <v>0</v>
      </c>
      <c r="Y56" s="10" t="n">
        <f aca="false">IF(Projects!$G$12="Yes",6315.79,0)</f>
        <v>0</v>
      </c>
      <c r="Z56" s="10" t="n">
        <f aca="false">IF(Projects!$G$12="Yes",6315.79,0)</f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25"/>
    </row>
    <row r="57" customFormat="false" ht="15" hidden="false" customHeight="true" outlineLevel="0" collapsed="false">
      <c r="A57" s="9" t="s">
        <v>97</v>
      </c>
      <c r="B57" s="24"/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f aca="false">IF(Projects!$G$12="Yes",4736.84,0)</f>
        <v>0</v>
      </c>
      <c r="I57" s="10" t="n">
        <f aca="false">IF(Projects!$G$12="Yes",4736.84,0)</f>
        <v>0</v>
      </c>
      <c r="J57" s="10" t="n">
        <f aca="false">IF(Projects!$G$12="Yes",4736.84,0)</f>
        <v>0</v>
      </c>
      <c r="K57" s="10" t="n">
        <f aca="false">IF(Projects!$G$12="Yes",4736.84,0)</f>
        <v>0</v>
      </c>
      <c r="L57" s="10" t="n">
        <f aca="false">IF(Projects!$G$12="Yes",4736.84,0)</f>
        <v>0</v>
      </c>
      <c r="M57" s="10" t="n">
        <f aca="false">IF(Projects!$G$12="Yes",4736.84,0)</f>
        <v>0</v>
      </c>
      <c r="N57" s="10" t="n">
        <f aca="false">IF(Projects!$G$12="Yes",4736.84,0)</f>
        <v>0</v>
      </c>
      <c r="O57" s="10" t="n">
        <f aca="false">IF(Projects!$G$12="Yes",4736.84,0)</f>
        <v>0</v>
      </c>
      <c r="P57" s="10" t="n">
        <f aca="false">IF(Projects!$G$12="Yes",4736.84,0)</f>
        <v>0</v>
      </c>
      <c r="Q57" s="10" t="n">
        <f aca="false">IF(Projects!$G$12="Yes",4736.84,0)</f>
        <v>0</v>
      </c>
      <c r="R57" s="10" t="n">
        <f aca="false">IF(Projects!$G$12="Yes",4736.84,0)</f>
        <v>0</v>
      </c>
      <c r="S57" s="10" t="n">
        <f aca="false">IF(Projects!$G$12="Yes",4736.84,0)</f>
        <v>0</v>
      </c>
      <c r="T57" s="10" t="n">
        <f aca="false">IF(Projects!$G$12="Yes",4736.84,0)</f>
        <v>0</v>
      </c>
      <c r="U57" s="10" t="n">
        <f aca="false">IF(Projects!$G$12="Yes",4736.84,0)</f>
        <v>0</v>
      </c>
      <c r="V57" s="10" t="n">
        <f aca="false">IF(Projects!$G$12="Yes",4736.84,0)</f>
        <v>0</v>
      </c>
      <c r="W57" s="10" t="n">
        <f aca="false">IF(Projects!$G$12="Yes",4736.84,0)</f>
        <v>0</v>
      </c>
      <c r="X57" s="10" t="n">
        <f aca="false">IF(Projects!$G$12="Yes",4736.84,0)</f>
        <v>0</v>
      </c>
      <c r="Y57" s="10" t="n">
        <f aca="false">IF(Projects!$G$12="Yes",4736.84,0)</f>
        <v>0</v>
      </c>
      <c r="Z57" s="10" t="n">
        <f aca="false">IF(Projects!$G$12="Yes",4736.84,0)</f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25"/>
    </row>
    <row r="58" customFormat="false" ht="15" hidden="false" customHeight="true" outlineLevel="0" collapsed="false">
      <c r="A58" s="9" t="s">
        <v>98</v>
      </c>
      <c r="B58" s="24"/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f aca="false">IF(Projects!$G$12="Yes",181745,0)</f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25"/>
    </row>
    <row r="59" customFormat="false" ht="15" hidden="false" customHeight="true" outlineLevel="0" collapsed="false">
      <c r="A59" s="9" t="s">
        <v>99</v>
      </c>
      <c r="B59" s="24"/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f aca="false">IF(Projects!$G$7="Yes",81683,0)</f>
        <v>81683</v>
      </c>
      <c r="AS59" s="10" t="n">
        <v>0</v>
      </c>
      <c r="AT59" s="10" t="n">
        <v>0</v>
      </c>
      <c r="AU59" s="10" t="n">
        <f aca="false">IF(Projects!$G$7="Yes",81682,0)</f>
        <v>81682</v>
      </c>
      <c r="AV59" s="10" t="n">
        <v>0</v>
      </c>
      <c r="AW59" s="10" t="n">
        <v>0</v>
      </c>
      <c r="AX59" s="10" t="n">
        <f aca="false">IF(Projects!$G$7="Yes",81682,0)</f>
        <v>81682</v>
      </c>
      <c r="AY59" s="10" t="n">
        <v>0</v>
      </c>
      <c r="AZ59" s="10" t="n">
        <v>0</v>
      </c>
      <c r="BA59" s="10" t="n">
        <f aca="false">IF(Projects!$G$7="Yes",81682,0)</f>
        <v>81682</v>
      </c>
      <c r="BB59" s="10" t="n">
        <v>0</v>
      </c>
      <c r="BC59" s="10" t="n">
        <v>0</v>
      </c>
      <c r="BD59" s="10" t="n">
        <f aca="false">IF(Projects!$G$7="Yes",59178,0)</f>
        <v>59178</v>
      </c>
      <c r="BE59" s="10" t="n">
        <v>0</v>
      </c>
      <c r="BF59" s="10" t="n">
        <v>0</v>
      </c>
      <c r="BG59" s="10" t="n">
        <f aca="false">IF(Projects!$G$7="Yes",59176,0)</f>
        <v>59176</v>
      </c>
      <c r="BH59" s="10" t="n">
        <v>0</v>
      </c>
      <c r="BI59" s="10" t="n">
        <v>0</v>
      </c>
      <c r="BJ59" s="10" t="n">
        <f aca="false">IF(Projects!$G$7="Yes",59176,0)</f>
        <v>59176</v>
      </c>
      <c r="BK59" s="10" t="n">
        <v>0</v>
      </c>
      <c r="BL59" s="10" t="n">
        <v>0</v>
      </c>
      <c r="BM59" s="10" t="n">
        <f aca="false">IF(Projects!$G$7="Yes",59176,0)</f>
        <v>59176</v>
      </c>
      <c r="BN59" s="10" t="n">
        <v>0</v>
      </c>
      <c r="BO59" s="10" t="n">
        <v>0</v>
      </c>
      <c r="BP59" s="10" t="n">
        <f aca="false">IF(Projects!$G$7="Yes",67763,0)</f>
        <v>67763</v>
      </c>
      <c r="BQ59" s="10" t="n">
        <v>0</v>
      </c>
      <c r="BR59" s="10" t="n">
        <v>0</v>
      </c>
      <c r="BS59" s="10" t="n">
        <f aca="false">IF(Projects!$G$7="Yes",67762,0)</f>
        <v>67762</v>
      </c>
      <c r="BT59" s="10" t="n">
        <v>0</v>
      </c>
      <c r="BU59" s="10" t="n">
        <v>0</v>
      </c>
      <c r="BV59" s="10" t="n">
        <f aca="false">IF(Projects!$G$7="Yes",67762,0)</f>
        <v>67762</v>
      </c>
      <c r="BW59" s="10" t="n">
        <v>0</v>
      </c>
      <c r="BX59" s="10" t="n">
        <v>0</v>
      </c>
      <c r="BY59" s="10" t="n">
        <f aca="false">IF(Projects!$G$7="Yes",67762,0)</f>
        <v>67762</v>
      </c>
      <c r="BZ59" s="10" t="n">
        <v>0</v>
      </c>
      <c r="CA59" s="10" t="n">
        <v>0</v>
      </c>
      <c r="CB59" s="10" t="n">
        <f aca="false">IF(Projects!$G$7="Yes",76499,0)</f>
        <v>76499</v>
      </c>
      <c r="CC59" s="10" t="n">
        <v>0</v>
      </c>
      <c r="CD59" s="10" t="n">
        <v>0</v>
      </c>
      <c r="CE59" s="10" t="n">
        <f aca="false">IF(Projects!$G$7="Yes",76499,0)</f>
        <v>76499</v>
      </c>
      <c r="CF59" s="10" t="n">
        <v>0</v>
      </c>
      <c r="CG59" s="10" t="n">
        <v>0</v>
      </c>
      <c r="CH59" s="10" t="n">
        <f aca="false">IF(Projects!$G$7="Yes",76499,0)</f>
        <v>76499</v>
      </c>
      <c r="CI59" s="25"/>
    </row>
    <row r="60" customFormat="false" ht="15" hidden="false" customHeight="true" outlineLevel="0" collapsed="false">
      <c r="A60" s="9" t="s">
        <v>100</v>
      </c>
      <c r="B60" s="24"/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0</v>
      </c>
      <c r="AU60" s="10" t="n">
        <v>0</v>
      </c>
      <c r="AV60" s="10" t="n">
        <v>0</v>
      </c>
      <c r="AW60" s="10" t="n">
        <v>0</v>
      </c>
      <c r="AX60" s="10" t="n">
        <v>0</v>
      </c>
      <c r="AY60" s="10" t="n">
        <v>0</v>
      </c>
      <c r="AZ60" s="10" t="n">
        <v>0</v>
      </c>
      <c r="BA60" s="10" t="n">
        <f aca="false">IF(Projects!$G$13="Yes",851839,0)</f>
        <v>851839</v>
      </c>
      <c r="BB60" s="10" t="n">
        <v>0</v>
      </c>
      <c r="BC60" s="10" t="n">
        <v>0</v>
      </c>
      <c r="BD60" s="10" t="n">
        <f aca="false">IF(Projects!$G$13="Yes",71700,0)</f>
        <v>71700</v>
      </c>
      <c r="BE60" s="10" t="n">
        <v>0</v>
      </c>
      <c r="BF60" s="10" t="n">
        <v>0</v>
      </c>
      <c r="BG60" s="10" t="n">
        <f aca="false">IF(Projects!$G$13="Yes",71700,0)</f>
        <v>71700</v>
      </c>
      <c r="BH60" s="10" t="n">
        <v>0</v>
      </c>
      <c r="BI60" s="10" t="n">
        <v>0</v>
      </c>
      <c r="BJ60" s="10" t="n">
        <f aca="false">IF(Projects!$G$13="Yes",71700,0)</f>
        <v>71700</v>
      </c>
      <c r="BK60" s="10" t="n">
        <v>0</v>
      </c>
      <c r="BL60" s="10" t="n">
        <v>0</v>
      </c>
      <c r="BM60" s="10" t="n">
        <f aca="false">IF(Projects!$G$13="Yes",71700,0)</f>
        <v>71700</v>
      </c>
      <c r="BN60" s="10" t="n">
        <v>0</v>
      </c>
      <c r="BO60" s="10" t="n">
        <v>0</v>
      </c>
      <c r="BP60" s="10" t="n">
        <f aca="false">IF(Projects!$G$13="Yes",74643,0)</f>
        <v>74643</v>
      </c>
      <c r="BQ60" s="10" t="n">
        <v>0</v>
      </c>
      <c r="BR60" s="10" t="n">
        <v>0</v>
      </c>
      <c r="BS60" s="10" t="n">
        <f aca="false">IF(Projects!$G$13="Yes",74640,0)</f>
        <v>74640</v>
      </c>
      <c r="BT60" s="10" t="n">
        <v>0</v>
      </c>
      <c r="BU60" s="10" t="n">
        <v>0</v>
      </c>
      <c r="BV60" s="10" t="n">
        <f aca="false">IF(Projects!$G$13="Yes",74640,0)</f>
        <v>74640</v>
      </c>
      <c r="BW60" s="10" t="n">
        <v>0</v>
      </c>
      <c r="BX60" s="10" t="n">
        <v>0</v>
      </c>
      <c r="BY60" s="10" t="n">
        <f aca="false">IF(Projects!$G$13="Yes",74640,0)</f>
        <v>74640</v>
      </c>
      <c r="BZ60" s="10" t="n">
        <v>0</v>
      </c>
      <c r="CA60" s="10" t="n">
        <v>0</v>
      </c>
      <c r="CB60" s="10" t="n">
        <f aca="false">IF(Projects!$G$13="Yes",81363,0)</f>
        <v>81363</v>
      </c>
      <c r="CC60" s="10" t="n">
        <v>0</v>
      </c>
      <c r="CD60" s="10" t="n">
        <v>0</v>
      </c>
      <c r="CE60" s="10" t="n">
        <f aca="false">IF(Projects!$G$13="Yes",81362,0)</f>
        <v>81362</v>
      </c>
      <c r="CF60" s="10" t="n">
        <v>0</v>
      </c>
      <c r="CG60" s="10" t="n">
        <v>0</v>
      </c>
      <c r="CH60" s="10" t="n">
        <f aca="false">IF(Projects!$G$13="Yes",81362,0)</f>
        <v>81362</v>
      </c>
      <c r="CI60" s="25"/>
    </row>
    <row r="61" customFormat="false" ht="15" hidden="false" customHeight="true" outlineLevel="0" collapsed="false">
      <c r="A61" s="9" t="s">
        <v>101</v>
      </c>
      <c r="B61" s="9"/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v>0</v>
      </c>
      <c r="BB61" s="10" t="n">
        <v>0</v>
      </c>
      <c r="BC61" s="10" t="n">
        <v>0</v>
      </c>
      <c r="BD61" s="10" t="n">
        <v>0</v>
      </c>
      <c r="BE61" s="10" t="n">
        <v>0</v>
      </c>
      <c r="BF61" s="10" t="n">
        <v>0</v>
      </c>
      <c r="BG61" s="10" t="n">
        <v>0</v>
      </c>
      <c r="BH61" s="10" t="n">
        <v>0</v>
      </c>
      <c r="BI61" s="10" t="n">
        <v>0</v>
      </c>
      <c r="BJ61" s="10" t="n">
        <v>0</v>
      </c>
      <c r="BK61" s="10" t="n">
        <v>0</v>
      </c>
      <c r="BL61" s="10" t="n">
        <v>0</v>
      </c>
      <c r="BM61" s="10" t="n">
        <v>0</v>
      </c>
      <c r="BN61" s="10" t="n">
        <v>0</v>
      </c>
      <c r="BO61" s="10" t="n">
        <v>0</v>
      </c>
      <c r="BP61" s="10" t="n">
        <v>0</v>
      </c>
      <c r="BQ61" s="10" t="n">
        <v>0</v>
      </c>
      <c r="BR61" s="10" t="n">
        <v>0</v>
      </c>
      <c r="BS61" s="10" t="n">
        <v>0</v>
      </c>
      <c r="BT61" s="10" t="n">
        <v>0</v>
      </c>
      <c r="BU61" s="10" t="n">
        <v>0</v>
      </c>
      <c r="BV61" s="10" t="n">
        <v>0</v>
      </c>
      <c r="BW61" s="10" t="n">
        <v>0</v>
      </c>
      <c r="BX61" s="10" t="n">
        <v>0</v>
      </c>
      <c r="BY61" s="10" t="n">
        <f aca="false">IF(Projects!$G$14="Yes",73156,0)</f>
        <v>73156</v>
      </c>
      <c r="BZ61" s="10" t="n">
        <v>0</v>
      </c>
      <c r="CA61" s="10" t="n">
        <v>0</v>
      </c>
      <c r="CB61" s="10" t="n">
        <f aca="false">IF(Projects!$G$14="Yes",73155,0)</f>
        <v>73155</v>
      </c>
      <c r="CC61" s="10" t="n">
        <v>0</v>
      </c>
      <c r="CD61" s="10" t="n">
        <v>0</v>
      </c>
      <c r="CE61" s="10" t="n">
        <f aca="false">IF(Projects!$G$14="Yes",73155,0)</f>
        <v>73155</v>
      </c>
      <c r="CF61" s="10" t="n">
        <v>0</v>
      </c>
      <c r="CG61" s="10" t="n">
        <v>0</v>
      </c>
      <c r="CH61" s="10" t="n">
        <f aca="false">IF(Projects!$G$14="Yes",73155,0)</f>
        <v>73155</v>
      </c>
      <c r="CI61" s="25"/>
    </row>
    <row r="62" customFormat="false" ht="15" hidden="false" customHeight="true" outlineLevel="0" collapsed="false">
      <c r="A62" s="9" t="s">
        <v>102</v>
      </c>
      <c r="B62" s="33"/>
      <c r="C62" s="10" t="n">
        <f aca="false">IF(Uplifters!$B$2="Yes",Uplifters!C107,0)</f>
        <v>0</v>
      </c>
      <c r="D62" s="10" t="n">
        <f aca="false">IF(Uplifters!$B$2="Yes",Uplifters!D107,0)</f>
        <v>0</v>
      </c>
      <c r="E62" s="10" t="n">
        <f aca="false">IF(Uplifters!$B$2="Yes",Uplifters!E107,0)</f>
        <v>0</v>
      </c>
      <c r="F62" s="10" t="n">
        <f aca="false">IF(Uplifters!$B$2="Yes",Uplifters!F107,0)</f>
        <v>0</v>
      </c>
      <c r="G62" s="10" t="n">
        <f aca="false">IF(Uplifters!$B$2="Yes",Uplifters!G107,0)</f>
        <v>0</v>
      </c>
      <c r="H62" s="10" t="n">
        <f aca="false">IF(Uplifters!$B$2="Yes",Uplifters!H107,0)</f>
        <v>0</v>
      </c>
      <c r="I62" s="10" t="n">
        <f aca="false">IF(Uplifters!$B$2="Yes",Uplifters!I107,0)</f>
        <v>0</v>
      </c>
      <c r="J62" s="10" t="n">
        <f aca="false">IF(Uplifters!$B$2="Yes",Uplifters!J107,0)</f>
        <v>0</v>
      </c>
      <c r="K62" s="10" t="n">
        <f aca="false">IF(Uplifters!$B$2="Yes",Uplifters!K107,0)</f>
        <v>0</v>
      </c>
      <c r="L62" s="10" t="n">
        <f aca="false">IF(Uplifters!$B$2="Yes",Uplifters!L107,0)</f>
        <v>12131.8304</v>
      </c>
      <c r="M62" s="10" t="n">
        <f aca="false">IF(Uplifters!$B$2="Yes",Uplifters!M107,0)</f>
        <v>12131.8304</v>
      </c>
      <c r="N62" s="10" t="n">
        <f aca="false">IF(Uplifters!$B$2="Yes",Uplifters!N107,0)</f>
        <v>12131.8304</v>
      </c>
      <c r="O62" s="10" t="n">
        <f aca="false">IF(Uplifters!$B$2="Yes",Uplifters!O107,0)</f>
        <v>12131.8304</v>
      </c>
      <c r="P62" s="10" t="n">
        <f aca="false">IF(Uplifters!$B$2="Yes",Uplifters!P107,0)</f>
        <v>12131.8304</v>
      </c>
      <c r="Q62" s="10" t="n">
        <f aca="false">IF(Uplifters!$B$2="Yes",Uplifters!Q107,0)</f>
        <v>12131.8304</v>
      </c>
      <c r="R62" s="10" t="n">
        <f aca="false">IF(Uplifters!$B$2="Yes",Uplifters!R107,0)</f>
        <v>16203.6928</v>
      </c>
      <c r="S62" s="10" t="n">
        <f aca="false">IF(Uplifters!$B$2="Yes",Uplifters!S107,0)</f>
        <v>32775.9552</v>
      </c>
      <c r="T62" s="10" t="n">
        <f aca="false">IF(Uplifters!$B$2="Yes",Uplifters!T107,0)</f>
        <v>49348.2176</v>
      </c>
      <c r="U62" s="10" t="n">
        <f aca="false">IF(Uplifters!$B$2="Yes",Uplifters!U107,0)</f>
        <v>65920.4736</v>
      </c>
      <c r="V62" s="10" t="n">
        <f aca="false">IF(Uplifters!$B$2="Yes",Uplifters!V107,0)</f>
        <v>82492.7424</v>
      </c>
      <c r="W62" s="10" t="n">
        <f aca="false">IF(Uplifters!$B$2="Yes",Uplifters!W107,0)</f>
        <v>99064.9984</v>
      </c>
      <c r="X62" s="10" t="n">
        <f aca="false">IF(Uplifters!$B$2="Yes",Uplifters!X107,0)</f>
        <v>115637.2544</v>
      </c>
      <c r="Y62" s="10" t="n">
        <f aca="false">IF(Uplifters!$B$2="Yes",Uplifters!Y107,0)</f>
        <v>132209.5168</v>
      </c>
      <c r="Z62" s="10" t="n">
        <f aca="false">IF(Uplifters!$B$2="Yes",Uplifters!Z107,0)</f>
        <v>148781.7856</v>
      </c>
      <c r="AA62" s="10" t="n">
        <f aca="false">IF(Uplifters!$B$2="Yes",Uplifters!AA107,0)</f>
        <v>165354.0416</v>
      </c>
      <c r="AB62" s="10" t="n">
        <f aca="false">IF(Uplifters!$B$2="Yes",Uplifters!AB107,0)</f>
        <v>181926.3104</v>
      </c>
      <c r="AC62" s="10" t="n">
        <f aca="false">IF(Uplifters!$B$2="Yes",Uplifters!AC107,0)</f>
        <v>227330.7904</v>
      </c>
      <c r="AD62" s="10" t="n">
        <f aca="false">IF(Uplifters!$B$2="Yes",Uplifters!AD107,0)</f>
        <v>170166.8864</v>
      </c>
      <c r="AE62" s="10" t="n">
        <f aca="false">IF(Uplifters!$B$2="Yes",Uplifters!AE107,0)</f>
        <v>170667.4432</v>
      </c>
      <c r="AF62" s="10" t="n">
        <f aca="false">IF(Uplifters!$B$2="Yes",Uplifters!AF107,0)</f>
        <v>171167.9872</v>
      </c>
      <c r="AG62" s="10" t="n">
        <f aca="false">IF(Uplifters!$B$2="Yes",Uplifters!AG107,0)</f>
        <v>171668.5376</v>
      </c>
      <c r="AH62" s="10" t="n">
        <f aca="false">IF(Uplifters!$B$2="Yes",Uplifters!AH107,0)</f>
        <v>172169.0816</v>
      </c>
      <c r="AI62" s="10" t="n">
        <f aca="false">IF(Uplifters!$B$2="Yes",Uplifters!AI107,0)</f>
        <v>189241.8944</v>
      </c>
      <c r="AJ62" s="10" t="n">
        <f aca="false">IF(Uplifters!$B$2="Yes",Uplifters!AJ107,0)</f>
        <v>173170.1888</v>
      </c>
      <c r="AK62" s="10" t="n">
        <f aca="false">IF(Uplifters!$B$2="Yes",Uplifters!AK107,0)</f>
        <v>157098.4768</v>
      </c>
      <c r="AL62" s="10" t="n">
        <f aca="false">IF(Uplifters!$B$2="Yes",Uplifters!AL107,0)</f>
        <v>141026.7648</v>
      </c>
      <c r="AM62" s="10" t="n">
        <f aca="false">IF(Uplifters!$B$2="Yes",Uplifters!AM107,0)</f>
        <v>124955.0464</v>
      </c>
      <c r="AN62" s="10" t="n">
        <f aca="false">IF(Uplifters!$B$2="Yes",Uplifters!AN107,0)</f>
        <v>108883.3408</v>
      </c>
      <c r="AO62" s="10" t="n">
        <f aca="false">IF(Uplifters!$B$2="Yes",Uplifters!AO107,0)</f>
        <v>92811.6288</v>
      </c>
      <c r="AP62" s="10" t="n">
        <f aca="false">IF(Uplifters!$B$2="Yes",Uplifters!AP107,0)</f>
        <v>76739.9104</v>
      </c>
      <c r="AQ62" s="10" t="n">
        <f aca="false">IF(Uplifters!$B$2="Yes",Uplifters!AQ107,0)</f>
        <v>60668.2048</v>
      </c>
      <c r="AR62" s="10" t="n">
        <f aca="false">IF(Uplifters!$B$2="Yes",Uplifters!AR107,0)</f>
        <v>44596.4928</v>
      </c>
      <c r="AS62" s="10" t="n">
        <f aca="false">IF(Uplifters!$B$2="Yes",Uplifters!AS107,0)</f>
        <v>96300.064</v>
      </c>
      <c r="AT62" s="10" t="n">
        <f aca="false">IF(Uplifters!$B$2="Yes",Uplifters!AT107,0)</f>
        <v>79727.808</v>
      </c>
      <c r="AU62" s="10" t="n">
        <f aca="false">IF(Uplifters!$B$2="Yes",Uplifters!AU107,0)</f>
        <v>47083.84</v>
      </c>
      <c r="AV62" s="10" t="n">
        <f aca="false">IF(Uplifters!$B$2="Yes",Uplifters!AV107,0)</f>
        <v>46583.2896</v>
      </c>
      <c r="AW62" s="10" t="n">
        <f aca="false">IF(Uplifters!$B$2="Yes",Uplifters!AW107,0)</f>
        <v>46082.7328</v>
      </c>
      <c r="AX62" s="10" t="n">
        <f aca="false">IF(Uplifters!$B$2="Yes",Uplifters!AX107,0)</f>
        <v>45582.1888</v>
      </c>
      <c r="AY62" s="10" t="n">
        <f aca="false">IF(Uplifters!$B$2="Yes",Uplifters!AY107,0)</f>
        <v>45081.6384</v>
      </c>
      <c r="AZ62" s="10" t="n">
        <f aca="false">IF(Uplifters!$B$2="Yes",Uplifters!AZ107,0)</f>
        <v>44581.088</v>
      </c>
      <c r="BA62" s="10" t="n">
        <f aca="false">IF(Uplifters!$B$2="Yes",Uplifters!BA107,0)</f>
        <v>44080.5376</v>
      </c>
      <c r="BB62" s="10" t="n">
        <f aca="false">IF(Uplifters!$B$2="Yes",Uplifters!BB107,0)</f>
        <v>43579.9872</v>
      </c>
      <c r="BC62" s="10" t="n">
        <f aca="false">IF(Uplifters!$B$2="Yes",Uplifters!BC107,0)</f>
        <v>43079.4368</v>
      </c>
      <c r="BD62" s="10" t="n">
        <f aca="false">IF(Uplifters!$B$2="Yes",Uplifters!BD107,0)</f>
        <v>42578.8864</v>
      </c>
      <c r="BE62" s="10" t="n">
        <f aca="false">IF(Uplifters!$B$2="Yes",Uplifters!BE107,0)</f>
        <v>42078.336</v>
      </c>
      <c r="BF62" s="10" t="n">
        <f aca="false">IF(Uplifters!$B$2="Yes",Uplifters!BF107,0)</f>
        <v>41577.7856</v>
      </c>
      <c r="BG62" s="10" t="n">
        <f aca="false">IF(Uplifters!$B$2="Yes",Uplifters!BG107,0)</f>
        <v>41077.2416</v>
      </c>
      <c r="BH62" s="10" t="n">
        <f aca="false">IF(Uplifters!$B$2="Yes",Uplifters!BH107,0)</f>
        <v>69777.4848</v>
      </c>
      <c r="BI62" s="10" t="n">
        <f aca="false">IF(Uplifters!$B$2="Yes",Uplifters!BI107,0)</f>
        <v>69276.9344</v>
      </c>
      <c r="BJ62" s="10" t="n">
        <f aca="false">IF(Uplifters!$B$2="Yes",Uplifters!BJ107,0)</f>
        <v>136551.6736</v>
      </c>
      <c r="BK62" s="10" t="n">
        <f aca="false">IF(Uplifters!$B$2="Yes",Uplifters!BK107,0)</f>
        <v>0</v>
      </c>
      <c r="BL62" s="10" t="n">
        <f aca="false">IF(Uplifters!$B$2="Yes",Uplifters!BL107,0)</f>
        <v>0</v>
      </c>
      <c r="BM62" s="10" t="n">
        <f aca="false">IF(Uplifters!$B$2="Yes",Uplifters!BM107,0)</f>
        <v>0</v>
      </c>
      <c r="BN62" s="10" t="n">
        <f aca="false">IF(Uplifters!$B$2="Yes",Uplifters!BN107,0)</f>
        <v>0</v>
      </c>
      <c r="BO62" s="10" t="n">
        <f aca="false">IF(Uplifters!$B$2="Yes",Uplifters!BO107,0)</f>
        <v>0</v>
      </c>
      <c r="BP62" s="10" t="n">
        <f aca="false">IF(Uplifters!$B$2="Yes",Uplifters!BP107,0)</f>
        <v>0</v>
      </c>
      <c r="BQ62" s="10" t="n">
        <f aca="false">IF(Uplifters!$B$2="Yes",Uplifters!BQ107,0)</f>
        <v>0</v>
      </c>
      <c r="BR62" s="10" t="n">
        <f aca="false">IF(Uplifters!$B$2="Yes",Uplifters!BR107,0)</f>
        <v>0</v>
      </c>
      <c r="BS62" s="10" t="n">
        <f aca="false">IF(Uplifters!$B$2="Yes",Uplifters!BS107,0)</f>
        <v>0</v>
      </c>
      <c r="BT62" s="10" t="n">
        <f aca="false">IF(Uplifters!$B$2="Yes",Uplifters!BT107,0)</f>
        <v>0</v>
      </c>
      <c r="BU62" s="10" t="n">
        <f aca="false">IF(Uplifters!$B$2="Yes",Uplifters!BU107,0)</f>
        <v>0</v>
      </c>
      <c r="BV62" s="10" t="n">
        <f aca="false">IF(Uplifters!$B$2="Yes",Uplifters!BV107,0)</f>
        <v>0</v>
      </c>
      <c r="BW62" s="10" t="n">
        <f aca="false">IF(Uplifters!$B$2="Yes",Uplifters!BW107,0)</f>
        <v>0</v>
      </c>
      <c r="BX62" s="10" t="n">
        <f aca="false">IF(Uplifters!$B$2="Yes",Uplifters!BX107,0)</f>
        <v>0</v>
      </c>
      <c r="BY62" s="10" t="n">
        <f aca="false">IF(Uplifters!$B$2="Yes",Uplifters!BY107,0)</f>
        <v>0</v>
      </c>
      <c r="BZ62" s="10" t="n">
        <f aca="false">IF(Uplifters!$B$2="Yes",Uplifters!BZ107,0)</f>
        <v>0</v>
      </c>
      <c r="CA62" s="10" t="n">
        <f aca="false">IF(Uplifters!$B$2="Yes",Uplifters!CA107,0)</f>
        <v>0</v>
      </c>
      <c r="CB62" s="10" t="n">
        <f aca="false">IF(Uplifters!$B$2="Yes",Uplifters!CB107,0)</f>
        <v>0</v>
      </c>
      <c r="CC62" s="10" t="n">
        <f aca="false">IF(Uplifters!$B$2="Yes",Uplifters!CC107,0)</f>
        <v>0</v>
      </c>
      <c r="CD62" s="10" t="n">
        <f aca="false">IF(Uplifters!$B$2="Yes",Uplifters!CD107,0)</f>
        <v>0</v>
      </c>
      <c r="CE62" s="10" t="n">
        <f aca="false">IF(Uplifters!$B$2="Yes",Uplifters!CE107,0)</f>
        <v>0</v>
      </c>
      <c r="CF62" s="10" t="n">
        <f aca="false">IF(Uplifters!$B$2="Yes",Uplifters!CF107,0)</f>
        <v>0</v>
      </c>
      <c r="CG62" s="10" t="n">
        <f aca="false">IF(Uplifters!$B$2="Yes",Uplifters!CG107,0)</f>
        <v>0</v>
      </c>
      <c r="CH62" s="10" t="n">
        <f aca="false">IF(Uplifters!$B$2="Yes",Uplifters!CH107,0)</f>
        <v>0</v>
      </c>
      <c r="CI62" s="25"/>
    </row>
    <row r="63" customFormat="false" ht="15" hidden="false" customHeight="true" outlineLevel="0" collapsed="false">
      <c r="A63" s="11" t="s">
        <v>103</v>
      </c>
      <c r="B63" s="30"/>
      <c r="C63" s="34" t="n">
        <f aca="false">SUM(C46:C62)</f>
        <v>43614.58</v>
      </c>
      <c r="D63" s="34" t="n">
        <f aca="false">SUM(D46:D62)</f>
        <v>43614.58</v>
      </c>
      <c r="E63" s="34" t="n">
        <f aca="false">SUM(E46:E62)</f>
        <v>43614.58</v>
      </c>
      <c r="F63" s="34" t="n">
        <f aca="false">SUM(F46:F62)</f>
        <v>43614.58</v>
      </c>
      <c r="G63" s="34" t="n">
        <f aca="false">SUM(G46:G62)</f>
        <v>43614.58</v>
      </c>
      <c r="H63" s="34" t="n">
        <f aca="false">SUM(H46:H62)</f>
        <v>42781.25</v>
      </c>
      <c r="I63" s="34" t="n">
        <f aca="false">SUM(I46:I62)</f>
        <v>42781.25</v>
      </c>
      <c r="J63" s="34" t="n">
        <f aca="false">SUM(J46:J62)</f>
        <v>33406.25</v>
      </c>
      <c r="K63" s="34" t="n">
        <f aca="false">SUM(K46:K62)</f>
        <v>33406.25</v>
      </c>
      <c r="L63" s="34" t="n">
        <f aca="false">SUM(L46:L62)</f>
        <v>45538.0804</v>
      </c>
      <c r="M63" s="34" t="n">
        <f aca="false">SUM(M46:M62)</f>
        <v>45538.0804</v>
      </c>
      <c r="N63" s="34" t="n">
        <f aca="false">SUM(N46:N62)</f>
        <v>45538.0804</v>
      </c>
      <c r="O63" s="34" t="n">
        <f aca="false">SUM(O46:O62)</f>
        <v>45538.0804</v>
      </c>
      <c r="P63" s="34" t="n">
        <f aca="false">SUM(P46:P62)</f>
        <v>45538.0804</v>
      </c>
      <c r="Q63" s="34" t="n">
        <f aca="false">SUM(Q46:Q62)</f>
        <v>45538.0804</v>
      </c>
      <c r="R63" s="34" t="n">
        <f aca="false">SUM(R46:R62)</f>
        <v>25703.6928</v>
      </c>
      <c r="S63" s="34" t="n">
        <f aca="false">SUM(S46:S62)</f>
        <v>42275.9552</v>
      </c>
      <c r="T63" s="34" t="n">
        <f aca="false">SUM(T46:T62)</f>
        <v>58848.2176</v>
      </c>
      <c r="U63" s="34" t="n">
        <f aca="false">SUM(U46:U62)</f>
        <v>75420.4736</v>
      </c>
      <c r="V63" s="34" t="n">
        <f aca="false">SUM(V46:V62)</f>
        <v>91992.7424</v>
      </c>
      <c r="W63" s="34" t="n">
        <f aca="false">SUM(W46:W62)</f>
        <v>165939.9984</v>
      </c>
      <c r="X63" s="34" t="n">
        <f aca="false">SUM(X46:X62)</f>
        <v>125137.2544</v>
      </c>
      <c r="Y63" s="34" t="n">
        <f aca="false">SUM(Y46:Y62)</f>
        <v>141709.5168</v>
      </c>
      <c r="Z63" s="34" t="n">
        <f aca="false">SUM(Z46:Z62)</f>
        <v>215656.7856</v>
      </c>
      <c r="AA63" s="34" t="n">
        <f aca="false">SUM(AA46:AA62)</f>
        <v>174854.0416</v>
      </c>
      <c r="AB63" s="34" t="n">
        <f aca="false">SUM(AB46:AB62)</f>
        <v>191426.3104</v>
      </c>
      <c r="AC63" s="34" t="n">
        <f aca="false">SUM(AC46:AC62)</f>
        <v>294205.7904</v>
      </c>
      <c r="AD63" s="34" t="n">
        <f aca="false">SUM(AD46:AD62)</f>
        <v>179666.8864</v>
      </c>
      <c r="AE63" s="34" t="n">
        <f aca="false">SUM(AE46:AE62)</f>
        <v>180167.4432</v>
      </c>
      <c r="AF63" s="34" t="n">
        <f aca="false">SUM(AF46:AF62)</f>
        <v>180667.9872</v>
      </c>
      <c r="AG63" s="34" t="n">
        <f aca="false">SUM(AG46:AG62)</f>
        <v>171668.5376</v>
      </c>
      <c r="AH63" s="34" t="n">
        <f aca="false">SUM(AH46:AH62)</f>
        <v>172169.0816</v>
      </c>
      <c r="AI63" s="34" t="n">
        <f aca="false">SUM(AI46:AI62)</f>
        <v>189241.8944</v>
      </c>
      <c r="AJ63" s="34" t="n">
        <f aca="false">SUM(AJ46:AJ62)</f>
        <v>173170.1888</v>
      </c>
      <c r="AK63" s="34" t="n">
        <f aca="false">SUM(AK46:AK62)</f>
        <v>157098.4768</v>
      </c>
      <c r="AL63" s="34" t="n">
        <f aca="false">SUM(AL46:AL62)</f>
        <v>141026.7648</v>
      </c>
      <c r="AM63" s="34" t="n">
        <f aca="false">SUM(AM46:AM62)</f>
        <v>124955.0464</v>
      </c>
      <c r="AN63" s="34" t="n">
        <f aca="false">SUM(AN46:AN62)</f>
        <v>108883.3408</v>
      </c>
      <c r="AO63" s="34" t="n">
        <f aca="false">SUM(AO46:AO62)</f>
        <v>92811.6288</v>
      </c>
      <c r="AP63" s="34" t="n">
        <f aca="false">SUM(AP46:AP62)</f>
        <v>76739.9104</v>
      </c>
      <c r="AQ63" s="34" t="n">
        <f aca="false">SUM(AQ46:AQ62)</f>
        <v>60668.2048</v>
      </c>
      <c r="AR63" s="34" t="n">
        <f aca="false">SUM(AR46:AR62)</f>
        <v>126279.4928</v>
      </c>
      <c r="AS63" s="34" t="n">
        <f aca="false">SUM(AS46:AS62)</f>
        <v>96300.064</v>
      </c>
      <c r="AT63" s="34" t="n">
        <f aca="false">SUM(AT46:AT62)</f>
        <v>79727.808</v>
      </c>
      <c r="AU63" s="34" t="n">
        <f aca="false">SUM(AU46:AU62)</f>
        <v>128765.84</v>
      </c>
      <c r="AV63" s="34" t="n">
        <f aca="false">SUM(AV46:AV62)</f>
        <v>46583.2896</v>
      </c>
      <c r="AW63" s="34" t="n">
        <f aca="false">SUM(AW46:AW62)</f>
        <v>46082.7328</v>
      </c>
      <c r="AX63" s="34" t="n">
        <f aca="false">SUM(AX46:AX62)</f>
        <v>127264.1888</v>
      </c>
      <c r="AY63" s="34" t="n">
        <f aca="false">SUM(AY46:AY62)</f>
        <v>45081.6384</v>
      </c>
      <c r="AZ63" s="34" t="n">
        <f aca="false">SUM(AZ46:AZ62)</f>
        <v>44581.088</v>
      </c>
      <c r="BA63" s="34" t="n">
        <f aca="false">SUM(BA46:BA62)</f>
        <v>977601.5376</v>
      </c>
      <c r="BB63" s="34" t="n">
        <f aca="false">SUM(BB46:BB62)</f>
        <v>43579.9872</v>
      </c>
      <c r="BC63" s="34" t="n">
        <f aca="false">SUM(BC46:BC62)</f>
        <v>43079.4368</v>
      </c>
      <c r="BD63" s="34" t="n">
        <f aca="false">SUM(BD46:BD62)</f>
        <v>173456.8864</v>
      </c>
      <c r="BE63" s="34" t="n">
        <f aca="false">SUM(BE46:BE62)</f>
        <v>42078.336</v>
      </c>
      <c r="BF63" s="34" t="n">
        <f aca="false">SUM(BF46:BF62)</f>
        <v>41577.7856</v>
      </c>
      <c r="BG63" s="34" t="n">
        <f aca="false">SUM(BG46:BG62)</f>
        <v>171953.2416</v>
      </c>
      <c r="BH63" s="34" t="n">
        <f aca="false">SUM(BH46:BH62)</f>
        <v>69777.4848</v>
      </c>
      <c r="BI63" s="34" t="n">
        <f aca="false">SUM(BI46:BI62)</f>
        <v>69276.9344</v>
      </c>
      <c r="BJ63" s="34" t="n">
        <f aca="false">SUM(BJ46:BJ62)</f>
        <v>267427.6736</v>
      </c>
      <c r="BK63" s="34" t="n">
        <f aca="false">SUM(BK46:BK62)</f>
        <v>0</v>
      </c>
      <c r="BL63" s="34" t="n">
        <f aca="false">SUM(BL46:BL62)</f>
        <v>0</v>
      </c>
      <c r="BM63" s="34" t="n">
        <f aca="false">SUM(BM46:BM62)</f>
        <v>130876</v>
      </c>
      <c r="BN63" s="34" t="n">
        <f aca="false">SUM(BN46:BN62)</f>
        <v>0</v>
      </c>
      <c r="BO63" s="34" t="n">
        <f aca="false">SUM(BO46:BO62)</f>
        <v>0</v>
      </c>
      <c r="BP63" s="34" t="n">
        <f aca="false">SUM(BP46:BP62)</f>
        <v>142406</v>
      </c>
      <c r="BQ63" s="34" t="n">
        <f aca="false">SUM(BQ46:BQ62)</f>
        <v>0</v>
      </c>
      <c r="BR63" s="34" t="n">
        <f aca="false">SUM(BR46:BR62)</f>
        <v>0</v>
      </c>
      <c r="BS63" s="34" t="n">
        <f aca="false">SUM(BS46:BS62)</f>
        <v>142402</v>
      </c>
      <c r="BT63" s="34" t="n">
        <f aca="false">SUM(BT46:BT62)</f>
        <v>0</v>
      </c>
      <c r="BU63" s="34" t="n">
        <f aca="false">SUM(BU46:BU62)</f>
        <v>0</v>
      </c>
      <c r="BV63" s="34" t="n">
        <f aca="false">SUM(BV46:BV62)</f>
        <v>142402</v>
      </c>
      <c r="BW63" s="34" t="n">
        <f aca="false">SUM(BW46:BW62)</f>
        <v>0</v>
      </c>
      <c r="BX63" s="34" t="n">
        <f aca="false">SUM(BX46:BX62)</f>
        <v>0</v>
      </c>
      <c r="BY63" s="34" t="n">
        <f aca="false">SUM(BY46:BY62)</f>
        <v>215558</v>
      </c>
      <c r="BZ63" s="34" t="n">
        <f aca="false">SUM(BZ46:BZ62)</f>
        <v>0</v>
      </c>
      <c r="CA63" s="34" t="n">
        <f aca="false">SUM(CA46:CA62)</f>
        <v>0</v>
      </c>
      <c r="CB63" s="34" t="n">
        <f aca="false">SUM(CB46:CB62)</f>
        <v>231017</v>
      </c>
      <c r="CC63" s="34" t="n">
        <f aca="false">SUM(CC46:CC62)</f>
        <v>0</v>
      </c>
      <c r="CD63" s="34" t="n">
        <f aca="false">SUM(CD46:CD62)</f>
        <v>0</v>
      </c>
      <c r="CE63" s="34" t="n">
        <f aca="false">SUM(CE46:CE62)</f>
        <v>231016</v>
      </c>
      <c r="CF63" s="34" t="n">
        <f aca="false">SUM(CF46:CF62)</f>
        <v>0</v>
      </c>
      <c r="CG63" s="34" t="n">
        <f aca="false">SUM(CG46:CG62)</f>
        <v>0</v>
      </c>
      <c r="CH63" s="34" t="n">
        <f aca="false">SUM(CH46:CH62)</f>
        <v>231016</v>
      </c>
      <c r="CI63" s="25"/>
    </row>
    <row r="64" customFormat="false" ht="15" hidden="false" customHeight="true" outlineLevel="0" collapsed="false">
      <c r="A64" s="8" t="s">
        <v>24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25"/>
    </row>
    <row r="65" customFormat="false" ht="15" hidden="false" customHeight="true" outlineLevel="0" collapsed="false">
      <c r="A65" s="9" t="s">
        <v>104</v>
      </c>
      <c r="B65" s="24"/>
      <c r="C65" s="10" t="n">
        <f aca="false"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>-94333.3333333333</v>
      </c>
      <c r="D65" s="10" t="n">
        <f aca="false"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>-94333.3333333333</v>
      </c>
      <c r="E65" s="10" t="n">
        <f aca="false"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>-94333.3333333333</v>
      </c>
      <c r="F65" s="10" t="n">
        <f aca="false"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>-94333.3333333333</v>
      </c>
      <c r="G65" s="10" t="n">
        <f aca="false"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>-94333.3333333333</v>
      </c>
      <c r="H65" s="10" t="n">
        <f aca="false"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>-94333.3333333333</v>
      </c>
      <c r="I65" s="10" t="n">
        <f aca="false"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>-94333.3333333333</v>
      </c>
      <c r="J65" s="10" t="n">
        <f aca="false"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>-94333.3333333333</v>
      </c>
      <c r="K65" s="10" t="n">
        <f aca="false"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>-94333.3333333333</v>
      </c>
      <c r="L65" s="10" t="n">
        <f aca="false"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>-94333.3333333333</v>
      </c>
      <c r="M65" s="10" t="n">
        <f aca="false"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>-94333.3333333333</v>
      </c>
      <c r="N65" s="10" t="n">
        <f aca="false"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>-94333.3333333333</v>
      </c>
      <c r="O65" s="10" t="n">
        <f aca="false"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>-96220</v>
      </c>
      <c r="P65" s="10" t="n">
        <f aca="false"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>-96220</v>
      </c>
      <c r="Q65" s="10" t="n">
        <f aca="false"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>-96220</v>
      </c>
      <c r="R65" s="10" t="n">
        <f aca="false"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>-96220</v>
      </c>
      <c r="S65" s="10" t="n">
        <f aca="false"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>-96220</v>
      </c>
      <c r="T65" s="10" t="n">
        <f aca="false"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>-96220</v>
      </c>
      <c r="U65" s="10" t="n">
        <f aca="false"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>-96220</v>
      </c>
      <c r="V65" s="10" t="n">
        <f aca="false"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>-96220</v>
      </c>
      <c r="W65" s="10" t="n">
        <f aca="false"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>-96220</v>
      </c>
      <c r="X65" s="10" t="n">
        <f aca="false"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>-96220</v>
      </c>
      <c r="Y65" s="10" t="n">
        <f aca="false"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>-96220</v>
      </c>
      <c r="Z65" s="10" t="n">
        <f aca="false"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>-96220</v>
      </c>
      <c r="AA65" s="10" t="n">
        <f aca="false"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>-98144.4</v>
      </c>
      <c r="AB65" s="10" t="n">
        <f aca="false"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>-98144.4</v>
      </c>
      <c r="AC65" s="10" t="n">
        <f aca="false"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>-98144.4</v>
      </c>
      <c r="AD65" s="10" t="n">
        <f aca="false"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>-98144.4</v>
      </c>
      <c r="AE65" s="10" t="n">
        <f aca="false"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>-98144.4</v>
      </c>
      <c r="AF65" s="10" t="n">
        <f aca="false"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>-98144.4</v>
      </c>
      <c r="AG65" s="10" t="n">
        <f aca="false"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>-98144.4</v>
      </c>
      <c r="AH65" s="10" t="n">
        <f aca="false"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>-98144.4</v>
      </c>
      <c r="AI65" s="10" t="n">
        <f aca="false"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>-98144.4</v>
      </c>
      <c r="AJ65" s="10" t="n">
        <f aca="false"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>-98144.4</v>
      </c>
      <c r="AK65" s="10" t="n">
        <f aca="false"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>-98144.4</v>
      </c>
      <c r="AL65" s="10" t="n">
        <f aca="false"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>-98144.4</v>
      </c>
      <c r="AM65" s="10" t="n">
        <f aca="false"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>-100107.288</v>
      </c>
      <c r="AN65" s="10" t="n">
        <f aca="false"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>-100107.288</v>
      </c>
      <c r="AO65" s="10" t="n">
        <f aca="false"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>-100107.288</v>
      </c>
      <c r="AP65" s="10" t="n">
        <f aca="false"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>-100107.288</v>
      </c>
      <c r="AQ65" s="10" t="n">
        <f aca="false"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>-100107.288</v>
      </c>
      <c r="AR65" s="10" t="n">
        <f aca="false"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>-100107.288</v>
      </c>
      <c r="AS65" s="10" t="n">
        <f aca="false"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>-100107.288</v>
      </c>
      <c r="AT65" s="10" t="n">
        <f aca="false"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>-100107.288</v>
      </c>
      <c r="AU65" s="10" t="n">
        <f aca="false"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>-100107.288</v>
      </c>
      <c r="AV65" s="10" t="n">
        <f aca="false"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>-100107.288</v>
      </c>
      <c r="AW65" s="10" t="n">
        <f aca="false"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>-100107.288</v>
      </c>
      <c r="AX65" s="10" t="n">
        <f aca="false"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>-100107.288</v>
      </c>
      <c r="AY65" s="10" t="n">
        <f aca="false"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>-102109.43376</v>
      </c>
      <c r="AZ65" s="10" t="n">
        <f aca="false"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>-102109.43376</v>
      </c>
      <c r="BA65" s="10" t="n">
        <f aca="false"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>-102109.43376</v>
      </c>
      <c r="BB65" s="10" t="n">
        <f aca="false"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>-102109.43376</v>
      </c>
      <c r="BC65" s="10" t="n">
        <f aca="false"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>-102109.43376</v>
      </c>
      <c r="BD65" s="10" t="n">
        <f aca="false"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>-102109.43376</v>
      </c>
      <c r="BE65" s="10" t="n">
        <f aca="false"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>-102109.43376</v>
      </c>
      <c r="BF65" s="10" t="n">
        <f aca="false"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>-102109.43376</v>
      </c>
      <c r="BG65" s="10" t="n">
        <f aca="false"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>-102109.43376</v>
      </c>
      <c r="BH65" s="10" t="n">
        <f aca="false"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>-102109.43376</v>
      </c>
      <c r="BI65" s="10" t="n">
        <f aca="false"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>-102109.43376</v>
      </c>
      <c r="BJ65" s="10" t="n">
        <f aca="false"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>-102109.43376</v>
      </c>
      <c r="BK65" s="10" t="n">
        <f aca="false"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>-104151.6224352</v>
      </c>
      <c r="BL65" s="10" t="n">
        <f aca="false"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>-104151.6224352</v>
      </c>
      <c r="BM65" s="10" t="n">
        <f aca="false"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>-104151.6224352</v>
      </c>
      <c r="BN65" s="10" t="n">
        <f aca="false"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>-104151.6224352</v>
      </c>
      <c r="BO65" s="10" t="n">
        <f aca="false"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>-104151.6224352</v>
      </c>
      <c r="BP65" s="10" t="n">
        <f aca="false"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>-104151.6224352</v>
      </c>
      <c r="BQ65" s="10" t="n">
        <f aca="false"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>-104151.6224352</v>
      </c>
      <c r="BR65" s="10" t="n">
        <f aca="false"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>-104151.6224352</v>
      </c>
      <c r="BS65" s="10" t="n">
        <f aca="false"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>-104151.6224352</v>
      </c>
      <c r="BT65" s="10" t="n">
        <f aca="false"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>-104151.6224352</v>
      </c>
      <c r="BU65" s="10" t="n">
        <f aca="false"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>-104151.6224352</v>
      </c>
      <c r="BV65" s="10" t="n">
        <f aca="false"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>-104151.6224352</v>
      </c>
      <c r="BW65" s="10" t="n">
        <f aca="false"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>-106234.654883904</v>
      </c>
      <c r="BX65" s="10" t="n">
        <f aca="false"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>-106234.654883904</v>
      </c>
      <c r="BY65" s="10" t="n">
        <f aca="false"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>-106234.654883904</v>
      </c>
      <c r="BZ65" s="10" t="n">
        <f aca="false"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>-106234.654883904</v>
      </c>
      <c r="CA65" s="10" t="n">
        <f aca="false"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>-106234.654883904</v>
      </c>
      <c r="CB65" s="10" t="n">
        <f aca="false"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>-106234.654883904</v>
      </c>
      <c r="CC65" s="10" t="n">
        <f aca="false"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>-106234.654883904</v>
      </c>
      <c r="CD65" s="10" t="n">
        <f aca="false"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>-106234.654883904</v>
      </c>
      <c r="CE65" s="10" t="n">
        <f aca="false"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>-106234.654883904</v>
      </c>
      <c r="CF65" s="10" t="n">
        <f aca="false"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>-106234.654883904</v>
      </c>
      <c r="CG65" s="10" t="n">
        <f aca="false"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>-106234.654883904</v>
      </c>
      <c r="CH65" s="10" t="n">
        <f aca="false"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>-106234.654883904</v>
      </c>
      <c r="CI65" s="25"/>
    </row>
    <row r="66" customFormat="false" ht="15" hidden="false" customHeight="true" outlineLevel="0" collapsed="false">
      <c r="A66" s="9" t="s">
        <v>105</v>
      </c>
      <c r="B66" s="24"/>
      <c r="C66" s="10" t="n">
        <f aca="false">-Helpers!C5*Assumptions!$B$20</f>
        <v>-3437.5</v>
      </c>
      <c r="D66" s="10" t="n">
        <f aca="false">-Helpers!D5*Assumptions!$B$20</f>
        <v>-3437.5</v>
      </c>
      <c r="E66" s="10" t="n">
        <f aca="false">-Helpers!E5*Assumptions!$B$20</f>
        <v>-3437.5</v>
      </c>
      <c r="F66" s="10" t="n">
        <f aca="false">-Helpers!F5*Assumptions!$B$20</f>
        <v>-3437.5</v>
      </c>
      <c r="G66" s="10" t="n">
        <f aca="false">-Helpers!G5*Assumptions!$B$20</f>
        <v>-3437.5</v>
      </c>
      <c r="H66" s="10" t="n">
        <f aca="false">-Helpers!H5*Assumptions!$B$20</f>
        <v>-3437.5</v>
      </c>
      <c r="I66" s="10" t="n">
        <f aca="false">-Helpers!I5*Assumptions!$B$20</f>
        <v>-3437.5</v>
      </c>
      <c r="J66" s="10" t="n">
        <f aca="false">-Helpers!J5*Assumptions!$B$20</f>
        <v>-3437.5</v>
      </c>
      <c r="K66" s="10" t="n">
        <f aca="false">-Helpers!K5*Assumptions!$B$20</f>
        <v>-3437.5</v>
      </c>
      <c r="L66" s="10" t="n">
        <f aca="false">-Helpers!L5*Assumptions!$B$20</f>
        <v>-3437.5</v>
      </c>
      <c r="M66" s="10" t="n">
        <f aca="false">-Helpers!M5*Assumptions!$B$20</f>
        <v>-3437.5</v>
      </c>
      <c r="N66" s="10" t="n">
        <f aca="false">-Helpers!N5*Assumptions!$B$20</f>
        <v>-3437.5</v>
      </c>
      <c r="O66" s="10" t="n">
        <f aca="false">-Helpers!O5*Assumptions!$B$20</f>
        <v>-3506.25</v>
      </c>
      <c r="P66" s="10" t="n">
        <f aca="false">-Helpers!P5*Assumptions!$B$20</f>
        <v>-3506.25</v>
      </c>
      <c r="Q66" s="10" t="n">
        <f aca="false">-Helpers!Q5*Assumptions!$B$20</f>
        <v>-3506.25</v>
      </c>
      <c r="R66" s="10" t="n">
        <f aca="false">-Helpers!R5*Assumptions!$B$20</f>
        <v>-3506.25</v>
      </c>
      <c r="S66" s="10" t="n">
        <f aca="false">-Helpers!S5*Assumptions!$B$20</f>
        <v>-3506.25</v>
      </c>
      <c r="T66" s="10" t="n">
        <f aca="false">-Helpers!T5*Assumptions!$B$20</f>
        <v>-3506.25</v>
      </c>
      <c r="U66" s="10" t="n">
        <f aca="false">-Helpers!U5*Assumptions!$B$20</f>
        <v>-3506.25</v>
      </c>
      <c r="V66" s="10" t="n">
        <f aca="false">-Helpers!V5*Assumptions!$B$20</f>
        <v>-3506.25</v>
      </c>
      <c r="W66" s="10" t="n">
        <f aca="false">-Helpers!W5*Assumptions!$B$20</f>
        <v>-3506.25</v>
      </c>
      <c r="X66" s="10" t="n">
        <f aca="false">-Helpers!X5*Assumptions!$B$20</f>
        <v>-3506.25</v>
      </c>
      <c r="Y66" s="10" t="n">
        <f aca="false">-Helpers!Y5*Assumptions!$B$20</f>
        <v>-3506.25</v>
      </c>
      <c r="Z66" s="10" t="n">
        <f aca="false">-Helpers!Z5*Assumptions!$B$20</f>
        <v>-3506.25</v>
      </c>
      <c r="AA66" s="10" t="n">
        <f aca="false">-Helpers!AA5*Assumptions!$B$20</f>
        <v>-3576.375</v>
      </c>
      <c r="AB66" s="10" t="n">
        <f aca="false">-Helpers!AB5*Assumptions!$B$20</f>
        <v>-3576.375</v>
      </c>
      <c r="AC66" s="10" t="n">
        <f aca="false">-Helpers!AC5*Assumptions!$B$20</f>
        <v>-3576.375</v>
      </c>
      <c r="AD66" s="10" t="n">
        <f aca="false">-Helpers!AD5*Assumptions!$B$20</f>
        <v>-3576.375</v>
      </c>
      <c r="AE66" s="10" t="n">
        <f aca="false">-Helpers!AE5*Assumptions!$B$20</f>
        <v>-3576.375</v>
      </c>
      <c r="AF66" s="10" t="n">
        <f aca="false">-Helpers!AF5*Assumptions!$B$20</f>
        <v>-3576.375</v>
      </c>
      <c r="AG66" s="10" t="n">
        <f aca="false">-Helpers!AG5*Assumptions!$B$20</f>
        <v>-3576.375</v>
      </c>
      <c r="AH66" s="10" t="n">
        <f aca="false">-Helpers!AH5*Assumptions!$B$20</f>
        <v>-3576.375</v>
      </c>
      <c r="AI66" s="10" t="n">
        <f aca="false">-Helpers!AI5*Assumptions!$B$20</f>
        <v>-3576.375</v>
      </c>
      <c r="AJ66" s="10" t="n">
        <f aca="false">-Helpers!AJ5*Assumptions!$B$20</f>
        <v>-3576.375</v>
      </c>
      <c r="AK66" s="10" t="n">
        <f aca="false">-Helpers!AK5*Assumptions!$B$20</f>
        <v>-3576.375</v>
      </c>
      <c r="AL66" s="10" t="n">
        <f aca="false">-Helpers!AL5*Assumptions!$B$20</f>
        <v>-3576.375</v>
      </c>
      <c r="AM66" s="10" t="n">
        <f aca="false">-Helpers!AM5*Assumptions!$B$20</f>
        <v>-3647.9025</v>
      </c>
      <c r="AN66" s="10" t="n">
        <f aca="false">-Helpers!AN5*Assumptions!$B$20</f>
        <v>-3647.9025</v>
      </c>
      <c r="AO66" s="10" t="n">
        <f aca="false">-Helpers!AO5*Assumptions!$B$20</f>
        <v>-3647.9025</v>
      </c>
      <c r="AP66" s="10" t="n">
        <f aca="false">-Helpers!AP5*Assumptions!$B$20</f>
        <v>-3647.9025</v>
      </c>
      <c r="AQ66" s="10" t="n">
        <f aca="false">-Helpers!AQ5*Assumptions!$B$20</f>
        <v>-3647.9025</v>
      </c>
      <c r="AR66" s="10" t="n">
        <f aca="false">-Helpers!AR5*Assumptions!$B$20</f>
        <v>-3647.9025</v>
      </c>
      <c r="AS66" s="10" t="n">
        <f aca="false">-Helpers!AS5*Assumptions!$B$20</f>
        <v>-3647.9025</v>
      </c>
      <c r="AT66" s="10" t="n">
        <f aca="false">-Helpers!AT5*Assumptions!$B$20</f>
        <v>-3647.9025</v>
      </c>
      <c r="AU66" s="10" t="n">
        <f aca="false">-Helpers!AU5*Assumptions!$B$20</f>
        <v>-3647.9025</v>
      </c>
      <c r="AV66" s="10" t="n">
        <f aca="false">-Helpers!AV5*Assumptions!$B$20</f>
        <v>-3647.9025</v>
      </c>
      <c r="AW66" s="10" t="n">
        <f aca="false">-Helpers!AW5*Assumptions!$B$20</f>
        <v>-3647.9025</v>
      </c>
      <c r="AX66" s="10" t="n">
        <f aca="false">-Helpers!AX5*Assumptions!$B$20</f>
        <v>-3647.9025</v>
      </c>
      <c r="AY66" s="10" t="n">
        <f aca="false">-Helpers!AY5*Assumptions!$B$20</f>
        <v>-3720.86055</v>
      </c>
      <c r="AZ66" s="10" t="n">
        <f aca="false">-Helpers!AZ5*Assumptions!$B$20</f>
        <v>-3720.86055</v>
      </c>
      <c r="BA66" s="10" t="n">
        <f aca="false">-Helpers!BA5*Assumptions!$B$20</f>
        <v>-3720.86055</v>
      </c>
      <c r="BB66" s="10" t="n">
        <f aca="false">-Helpers!BB5*Assumptions!$B$20</f>
        <v>-3720.86055</v>
      </c>
      <c r="BC66" s="10" t="n">
        <f aca="false">-Helpers!BC5*Assumptions!$B$20</f>
        <v>-3720.86055</v>
      </c>
      <c r="BD66" s="10" t="n">
        <f aca="false">-Helpers!BD5*Assumptions!$B$20</f>
        <v>-3720.86055</v>
      </c>
      <c r="BE66" s="10" t="n">
        <f aca="false">-Helpers!BE5*Assumptions!$B$20</f>
        <v>-3720.86055</v>
      </c>
      <c r="BF66" s="10" t="n">
        <f aca="false">-Helpers!BF5*Assumptions!$B$20</f>
        <v>-3720.86055</v>
      </c>
      <c r="BG66" s="10" t="n">
        <f aca="false">-Helpers!BG5*Assumptions!$B$20</f>
        <v>-3720.86055</v>
      </c>
      <c r="BH66" s="10" t="n">
        <f aca="false">-Helpers!BH5*Assumptions!$B$20</f>
        <v>-3720.86055</v>
      </c>
      <c r="BI66" s="10" t="n">
        <f aca="false">-Helpers!BI5*Assumptions!$B$20</f>
        <v>-3720.86055</v>
      </c>
      <c r="BJ66" s="10" t="n">
        <f aca="false">-Helpers!BJ5*Assumptions!$B$20</f>
        <v>-3720.86055</v>
      </c>
      <c r="BK66" s="10" t="n">
        <f aca="false">-Helpers!BK5*Assumptions!$B$20</f>
        <v>-3795.277761</v>
      </c>
      <c r="BL66" s="10" t="n">
        <f aca="false">-Helpers!BL5*Assumptions!$B$20</f>
        <v>-3795.277761</v>
      </c>
      <c r="BM66" s="10" t="n">
        <f aca="false">-Helpers!BM5*Assumptions!$B$20</f>
        <v>-3795.277761</v>
      </c>
      <c r="BN66" s="10" t="n">
        <f aca="false">-Helpers!BN5*Assumptions!$B$20</f>
        <v>-3795.277761</v>
      </c>
      <c r="BO66" s="10" t="n">
        <f aca="false">-Helpers!BO5*Assumptions!$B$20</f>
        <v>-3795.277761</v>
      </c>
      <c r="BP66" s="10" t="n">
        <f aca="false">-Helpers!BP5*Assumptions!$B$20</f>
        <v>-3795.277761</v>
      </c>
      <c r="BQ66" s="10" t="n">
        <f aca="false">-Helpers!BQ5*Assumptions!$B$20</f>
        <v>-3795.277761</v>
      </c>
      <c r="BR66" s="10" t="n">
        <f aca="false">-Helpers!BR5*Assumptions!$B$20</f>
        <v>-3795.277761</v>
      </c>
      <c r="BS66" s="10" t="n">
        <f aca="false">-Helpers!BS5*Assumptions!$B$20</f>
        <v>-3795.277761</v>
      </c>
      <c r="BT66" s="10" t="n">
        <f aca="false">-Helpers!BT5*Assumptions!$B$20</f>
        <v>-3795.277761</v>
      </c>
      <c r="BU66" s="10" t="n">
        <f aca="false">-Helpers!BU5*Assumptions!$B$20</f>
        <v>-3795.277761</v>
      </c>
      <c r="BV66" s="10" t="n">
        <f aca="false">-Helpers!BV5*Assumptions!$B$20</f>
        <v>-3795.277761</v>
      </c>
      <c r="BW66" s="10" t="n">
        <f aca="false">-Helpers!BW5*Assumptions!$B$20</f>
        <v>-3871.18331622</v>
      </c>
      <c r="BX66" s="10" t="n">
        <f aca="false">-Helpers!BX5*Assumptions!$B$20</f>
        <v>-3871.18331622</v>
      </c>
      <c r="BY66" s="10" t="n">
        <f aca="false">-Helpers!BY5*Assumptions!$B$20</f>
        <v>-3871.18331622</v>
      </c>
      <c r="BZ66" s="10" t="n">
        <f aca="false">-Helpers!BZ5*Assumptions!$B$20</f>
        <v>-3871.18331622</v>
      </c>
      <c r="CA66" s="10" t="n">
        <f aca="false">-Helpers!CA5*Assumptions!$B$20</f>
        <v>-3871.18331622</v>
      </c>
      <c r="CB66" s="10" t="n">
        <f aca="false">-Helpers!CB5*Assumptions!$B$20</f>
        <v>-3871.18331622</v>
      </c>
      <c r="CC66" s="10" t="n">
        <f aca="false">-Helpers!CC5*Assumptions!$B$20</f>
        <v>-3871.18331622</v>
      </c>
      <c r="CD66" s="10" t="n">
        <f aca="false">-Helpers!CD5*Assumptions!$B$20</f>
        <v>-3871.18331622</v>
      </c>
      <c r="CE66" s="10" t="n">
        <f aca="false">-Helpers!CE5*Assumptions!$B$20</f>
        <v>-3871.18331622</v>
      </c>
      <c r="CF66" s="10" t="n">
        <f aca="false">-Helpers!CF5*Assumptions!$B$20</f>
        <v>-3871.18331622</v>
      </c>
      <c r="CG66" s="10" t="n">
        <f aca="false">-Helpers!CG5*Assumptions!$B$20</f>
        <v>-3871.18331622</v>
      </c>
      <c r="CH66" s="10" t="n">
        <f aca="false">-Helpers!CH5*Assumptions!$B$20</f>
        <v>-3871.18331622</v>
      </c>
      <c r="CI66" s="25"/>
    </row>
    <row r="67" customFormat="false" ht="15" hidden="false" customHeight="true" outlineLevel="0" collapsed="false">
      <c r="A67" s="9" t="s">
        <v>106</v>
      </c>
      <c r="B67" s="24"/>
      <c r="C67" s="10" t="n">
        <f aca="false">-Helpers!C5*Assumptions!$B$21</f>
        <v>-114.583333333333</v>
      </c>
      <c r="D67" s="10" t="n">
        <f aca="false">-Helpers!D5*Assumptions!$B$21</f>
        <v>-114.583333333333</v>
      </c>
      <c r="E67" s="10" t="n">
        <f aca="false">-Helpers!E5*Assumptions!$B$21</f>
        <v>-114.583333333333</v>
      </c>
      <c r="F67" s="10" t="n">
        <f aca="false">-Helpers!F5*Assumptions!$B$21</f>
        <v>-114.583333333333</v>
      </c>
      <c r="G67" s="10" t="n">
        <f aca="false">-Helpers!G5*Assumptions!$B$21</f>
        <v>-114.583333333333</v>
      </c>
      <c r="H67" s="10" t="n">
        <f aca="false">-Helpers!H5*Assumptions!$B$21</f>
        <v>-114.583333333333</v>
      </c>
      <c r="I67" s="10" t="n">
        <f aca="false">-Helpers!I5*Assumptions!$B$21</f>
        <v>-114.583333333333</v>
      </c>
      <c r="J67" s="10" t="n">
        <f aca="false">-Helpers!J5*Assumptions!$B$21</f>
        <v>-114.583333333333</v>
      </c>
      <c r="K67" s="10" t="n">
        <f aca="false">-Helpers!K5*Assumptions!$B$21</f>
        <v>-114.583333333333</v>
      </c>
      <c r="L67" s="10" t="n">
        <f aca="false">-Helpers!L5*Assumptions!$B$21</f>
        <v>-114.583333333333</v>
      </c>
      <c r="M67" s="10" t="n">
        <f aca="false">-Helpers!M5*Assumptions!$B$21</f>
        <v>-114.583333333333</v>
      </c>
      <c r="N67" s="10" t="n">
        <f aca="false">-Helpers!N5*Assumptions!$B$21</f>
        <v>-114.583333333333</v>
      </c>
      <c r="O67" s="10" t="n">
        <f aca="false">-Helpers!O5*Assumptions!$B$21</f>
        <v>-116.875</v>
      </c>
      <c r="P67" s="10" t="n">
        <f aca="false">-Helpers!P5*Assumptions!$B$21</f>
        <v>-116.875</v>
      </c>
      <c r="Q67" s="10" t="n">
        <f aca="false">-Helpers!Q5*Assumptions!$B$21</f>
        <v>-116.875</v>
      </c>
      <c r="R67" s="10" t="n">
        <f aca="false">-Helpers!R5*Assumptions!$B$21</f>
        <v>-116.875</v>
      </c>
      <c r="S67" s="10" t="n">
        <f aca="false">-Helpers!S5*Assumptions!$B$21</f>
        <v>-116.875</v>
      </c>
      <c r="T67" s="10" t="n">
        <f aca="false">-Helpers!T5*Assumptions!$B$21</f>
        <v>-116.875</v>
      </c>
      <c r="U67" s="10" t="n">
        <f aca="false">-Helpers!U5*Assumptions!$B$21</f>
        <v>-116.875</v>
      </c>
      <c r="V67" s="10" t="n">
        <f aca="false">-Helpers!V5*Assumptions!$B$21</f>
        <v>-116.875</v>
      </c>
      <c r="W67" s="10" t="n">
        <f aca="false">-Helpers!W5*Assumptions!$B$21</f>
        <v>-116.875</v>
      </c>
      <c r="X67" s="10" t="n">
        <f aca="false">-Helpers!X5*Assumptions!$B$21</f>
        <v>-116.875</v>
      </c>
      <c r="Y67" s="10" t="n">
        <f aca="false">-Helpers!Y5*Assumptions!$B$21</f>
        <v>-116.875</v>
      </c>
      <c r="Z67" s="10" t="n">
        <f aca="false">-Helpers!Z5*Assumptions!$B$21</f>
        <v>-116.875</v>
      </c>
      <c r="AA67" s="10" t="n">
        <f aca="false">-Helpers!AA5*Assumptions!$B$21</f>
        <v>-119.2125</v>
      </c>
      <c r="AB67" s="10" t="n">
        <f aca="false">-Helpers!AB5*Assumptions!$B$21</f>
        <v>-119.2125</v>
      </c>
      <c r="AC67" s="10" t="n">
        <f aca="false">-Helpers!AC5*Assumptions!$B$21</f>
        <v>-119.2125</v>
      </c>
      <c r="AD67" s="10" t="n">
        <f aca="false">-Helpers!AD5*Assumptions!$B$21</f>
        <v>-119.2125</v>
      </c>
      <c r="AE67" s="10" t="n">
        <f aca="false">-Helpers!AE5*Assumptions!$B$21</f>
        <v>-119.2125</v>
      </c>
      <c r="AF67" s="10" t="n">
        <f aca="false">-Helpers!AF5*Assumptions!$B$21</f>
        <v>-119.2125</v>
      </c>
      <c r="AG67" s="10" t="n">
        <f aca="false">-Helpers!AG5*Assumptions!$B$21</f>
        <v>-119.2125</v>
      </c>
      <c r="AH67" s="10" t="n">
        <f aca="false">-Helpers!AH5*Assumptions!$B$21</f>
        <v>-119.2125</v>
      </c>
      <c r="AI67" s="10" t="n">
        <f aca="false">-Helpers!AI5*Assumptions!$B$21</f>
        <v>-119.2125</v>
      </c>
      <c r="AJ67" s="10" t="n">
        <f aca="false">-Helpers!AJ5*Assumptions!$B$21</f>
        <v>-119.2125</v>
      </c>
      <c r="AK67" s="10" t="n">
        <f aca="false">-Helpers!AK5*Assumptions!$B$21</f>
        <v>-119.2125</v>
      </c>
      <c r="AL67" s="10" t="n">
        <f aca="false">-Helpers!AL5*Assumptions!$B$21</f>
        <v>-119.2125</v>
      </c>
      <c r="AM67" s="10" t="n">
        <f aca="false">-Helpers!AM5*Assumptions!$B$21</f>
        <v>-121.59675</v>
      </c>
      <c r="AN67" s="10" t="n">
        <f aca="false">-Helpers!AN5*Assumptions!$B$21</f>
        <v>-121.59675</v>
      </c>
      <c r="AO67" s="10" t="n">
        <f aca="false">-Helpers!AO5*Assumptions!$B$21</f>
        <v>-121.59675</v>
      </c>
      <c r="AP67" s="10" t="n">
        <f aca="false">-Helpers!AP5*Assumptions!$B$21</f>
        <v>-121.59675</v>
      </c>
      <c r="AQ67" s="10" t="n">
        <f aca="false">-Helpers!AQ5*Assumptions!$B$21</f>
        <v>-121.59675</v>
      </c>
      <c r="AR67" s="10" t="n">
        <f aca="false">-Helpers!AR5*Assumptions!$B$21</f>
        <v>-121.59675</v>
      </c>
      <c r="AS67" s="10" t="n">
        <f aca="false">-Helpers!AS5*Assumptions!$B$21</f>
        <v>-121.59675</v>
      </c>
      <c r="AT67" s="10" t="n">
        <f aca="false">-Helpers!AT5*Assumptions!$B$21</f>
        <v>-121.59675</v>
      </c>
      <c r="AU67" s="10" t="n">
        <f aca="false">-Helpers!AU5*Assumptions!$B$21</f>
        <v>-121.59675</v>
      </c>
      <c r="AV67" s="10" t="n">
        <f aca="false">-Helpers!AV5*Assumptions!$B$21</f>
        <v>-121.59675</v>
      </c>
      <c r="AW67" s="10" t="n">
        <f aca="false">-Helpers!AW5*Assumptions!$B$21</f>
        <v>-121.59675</v>
      </c>
      <c r="AX67" s="10" t="n">
        <f aca="false">-Helpers!AX5*Assumptions!$B$21</f>
        <v>-121.59675</v>
      </c>
      <c r="AY67" s="10" t="n">
        <f aca="false">-Helpers!AY5*Assumptions!$B$21</f>
        <v>-124.028685</v>
      </c>
      <c r="AZ67" s="10" t="n">
        <f aca="false">-Helpers!AZ5*Assumptions!$B$21</f>
        <v>-124.028685</v>
      </c>
      <c r="BA67" s="10" t="n">
        <f aca="false">-Helpers!BA5*Assumptions!$B$21</f>
        <v>-124.028685</v>
      </c>
      <c r="BB67" s="10" t="n">
        <f aca="false">-Helpers!BB5*Assumptions!$B$21</f>
        <v>-124.028685</v>
      </c>
      <c r="BC67" s="10" t="n">
        <f aca="false">-Helpers!BC5*Assumptions!$B$21</f>
        <v>-124.028685</v>
      </c>
      <c r="BD67" s="10" t="n">
        <f aca="false">-Helpers!BD5*Assumptions!$B$21</f>
        <v>-124.028685</v>
      </c>
      <c r="BE67" s="10" t="n">
        <f aca="false">-Helpers!BE5*Assumptions!$B$21</f>
        <v>-124.028685</v>
      </c>
      <c r="BF67" s="10" t="n">
        <f aca="false">-Helpers!BF5*Assumptions!$B$21</f>
        <v>-124.028685</v>
      </c>
      <c r="BG67" s="10" t="n">
        <f aca="false">-Helpers!BG5*Assumptions!$B$21</f>
        <v>-124.028685</v>
      </c>
      <c r="BH67" s="10" t="n">
        <f aca="false">-Helpers!BH5*Assumptions!$B$21</f>
        <v>-124.028685</v>
      </c>
      <c r="BI67" s="10" t="n">
        <f aca="false">-Helpers!BI5*Assumptions!$B$21</f>
        <v>-124.028685</v>
      </c>
      <c r="BJ67" s="10" t="n">
        <f aca="false">-Helpers!BJ5*Assumptions!$B$21</f>
        <v>-124.028685</v>
      </c>
      <c r="BK67" s="10" t="n">
        <f aca="false">-Helpers!BK5*Assumptions!$B$21</f>
        <v>-126.5092587</v>
      </c>
      <c r="BL67" s="10" t="n">
        <f aca="false">-Helpers!BL5*Assumptions!$B$21</f>
        <v>-126.5092587</v>
      </c>
      <c r="BM67" s="10" t="n">
        <f aca="false">-Helpers!BM5*Assumptions!$B$21</f>
        <v>-126.5092587</v>
      </c>
      <c r="BN67" s="10" t="n">
        <f aca="false">-Helpers!BN5*Assumptions!$B$21</f>
        <v>-126.5092587</v>
      </c>
      <c r="BO67" s="10" t="n">
        <f aca="false">-Helpers!BO5*Assumptions!$B$21</f>
        <v>-126.5092587</v>
      </c>
      <c r="BP67" s="10" t="n">
        <f aca="false">-Helpers!BP5*Assumptions!$B$21</f>
        <v>-126.5092587</v>
      </c>
      <c r="BQ67" s="10" t="n">
        <f aca="false">-Helpers!BQ5*Assumptions!$B$21</f>
        <v>-126.5092587</v>
      </c>
      <c r="BR67" s="10" t="n">
        <f aca="false">-Helpers!BR5*Assumptions!$B$21</f>
        <v>-126.5092587</v>
      </c>
      <c r="BS67" s="10" t="n">
        <f aca="false">-Helpers!BS5*Assumptions!$B$21</f>
        <v>-126.5092587</v>
      </c>
      <c r="BT67" s="10" t="n">
        <f aca="false">-Helpers!BT5*Assumptions!$B$21</f>
        <v>-126.5092587</v>
      </c>
      <c r="BU67" s="10" t="n">
        <f aca="false">-Helpers!BU5*Assumptions!$B$21</f>
        <v>-126.5092587</v>
      </c>
      <c r="BV67" s="10" t="n">
        <f aca="false">-Helpers!BV5*Assumptions!$B$21</f>
        <v>-126.5092587</v>
      </c>
      <c r="BW67" s="10" t="n">
        <f aca="false">-Helpers!BW5*Assumptions!$B$21</f>
        <v>-129.039443874</v>
      </c>
      <c r="BX67" s="10" t="n">
        <f aca="false">-Helpers!BX5*Assumptions!$B$21</f>
        <v>-129.039443874</v>
      </c>
      <c r="BY67" s="10" t="n">
        <f aca="false">-Helpers!BY5*Assumptions!$B$21</f>
        <v>-129.039443874</v>
      </c>
      <c r="BZ67" s="10" t="n">
        <f aca="false">-Helpers!BZ5*Assumptions!$B$21</f>
        <v>-129.039443874</v>
      </c>
      <c r="CA67" s="10" t="n">
        <f aca="false">-Helpers!CA5*Assumptions!$B$21</f>
        <v>-129.039443874</v>
      </c>
      <c r="CB67" s="10" t="n">
        <f aca="false">-Helpers!CB5*Assumptions!$B$21</f>
        <v>-129.039443874</v>
      </c>
      <c r="CC67" s="10" t="n">
        <f aca="false">-Helpers!CC5*Assumptions!$B$21</f>
        <v>-129.039443874</v>
      </c>
      <c r="CD67" s="10" t="n">
        <f aca="false">-Helpers!CD5*Assumptions!$B$21</f>
        <v>-129.039443874</v>
      </c>
      <c r="CE67" s="10" t="n">
        <f aca="false">-Helpers!CE5*Assumptions!$B$21</f>
        <v>-129.039443874</v>
      </c>
      <c r="CF67" s="10" t="n">
        <f aca="false">-Helpers!CF5*Assumptions!$B$21</f>
        <v>-129.039443874</v>
      </c>
      <c r="CG67" s="10" t="n">
        <f aca="false">-Helpers!CG5*Assumptions!$B$21</f>
        <v>-129.039443874</v>
      </c>
      <c r="CH67" s="10" t="n">
        <f aca="false">-Helpers!CH5*Assumptions!$B$21</f>
        <v>-129.039443874</v>
      </c>
      <c r="CI67" s="25"/>
    </row>
    <row r="68" customFormat="false" ht="15" hidden="false" customHeight="true" outlineLevel="0" collapsed="false">
      <c r="A68" s="9" t="s">
        <v>107</v>
      </c>
      <c r="B68" s="24"/>
      <c r="C68" s="10" t="n">
        <f aca="false">-Helpers!C5*Assumptions!$B$22</f>
        <v>-2772.91666666667</v>
      </c>
      <c r="D68" s="10" t="n">
        <f aca="false">-Helpers!D5*Assumptions!$B$22</f>
        <v>-2772.91666666667</v>
      </c>
      <c r="E68" s="10" t="n">
        <f aca="false">-Helpers!E5*Assumptions!$B$22</f>
        <v>-2772.91666666667</v>
      </c>
      <c r="F68" s="10" t="n">
        <f aca="false">-Helpers!F5*Assumptions!$B$22</f>
        <v>-2772.91666666667</v>
      </c>
      <c r="G68" s="10" t="n">
        <f aca="false">-Helpers!G5*Assumptions!$B$22</f>
        <v>-2772.91666666667</v>
      </c>
      <c r="H68" s="10" t="n">
        <f aca="false">-Helpers!H5*Assumptions!$B$22</f>
        <v>-2772.91666666667</v>
      </c>
      <c r="I68" s="10" t="n">
        <f aca="false">-Helpers!I5*Assumptions!$B$22</f>
        <v>-2772.91666666667</v>
      </c>
      <c r="J68" s="10" t="n">
        <f aca="false">-Helpers!J5*Assumptions!$B$22</f>
        <v>-2772.91666666667</v>
      </c>
      <c r="K68" s="10" t="n">
        <f aca="false">-Helpers!K5*Assumptions!$B$22</f>
        <v>-2772.91666666667</v>
      </c>
      <c r="L68" s="10" t="n">
        <f aca="false">-Helpers!L5*Assumptions!$B$22</f>
        <v>-2772.91666666667</v>
      </c>
      <c r="M68" s="10" t="n">
        <f aca="false">-Helpers!M5*Assumptions!$B$22</f>
        <v>-2772.91666666667</v>
      </c>
      <c r="N68" s="10" t="n">
        <f aca="false">-Helpers!N5*Assumptions!$B$22</f>
        <v>-2772.91666666667</v>
      </c>
      <c r="O68" s="10" t="n">
        <f aca="false">-Helpers!O5*Assumptions!$B$22</f>
        <v>-2828.375</v>
      </c>
      <c r="P68" s="10" t="n">
        <f aca="false">-Helpers!P5*Assumptions!$B$22</f>
        <v>-2828.375</v>
      </c>
      <c r="Q68" s="10" t="n">
        <f aca="false">-Helpers!Q5*Assumptions!$B$22</f>
        <v>-2828.375</v>
      </c>
      <c r="R68" s="10" t="n">
        <f aca="false">-Helpers!R5*Assumptions!$B$22</f>
        <v>-2828.375</v>
      </c>
      <c r="S68" s="10" t="n">
        <f aca="false">-Helpers!S5*Assumptions!$B$22</f>
        <v>-2828.375</v>
      </c>
      <c r="T68" s="10" t="n">
        <f aca="false">-Helpers!T5*Assumptions!$B$22</f>
        <v>-2828.375</v>
      </c>
      <c r="U68" s="10" t="n">
        <f aca="false">-Helpers!U5*Assumptions!$B$22</f>
        <v>-2828.375</v>
      </c>
      <c r="V68" s="10" t="n">
        <f aca="false">-Helpers!V5*Assumptions!$B$22</f>
        <v>-2828.375</v>
      </c>
      <c r="W68" s="10" t="n">
        <f aca="false">-Helpers!W5*Assumptions!$B$22</f>
        <v>-2828.375</v>
      </c>
      <c r="X68" s="10" t="n">
        <f aca="false">-Helpers!X5*Assumptions!$B$22</f>
        <v>-2828.375</v>
      </c>
      <c r="Y68" s="10" t="n">
        <f aca="false">-Helpers!Y5*Assumptions!$B$22</f>
        <v>-2828.375</v>
      </c>
      <c r="Z68" s="10" t="n">
        <f aca="false">-Helpers!Z5*Assumptions!$B$22</f>
        <v>-2828.375</v>
      </c>
      <c r="AA68" s="10" t="n">
        <f aca="false">-Helpers!AA5*Assumptions!$B$22</f>
        <v>-2884.9425</v>
      </c>
      <c r="AB68" s="10" t="n">
        <f aca="false">-Helpers!AB5*Assumptions!$B$22</f>
        <v>-2884.9425</v>
      </c>
      <c r="AC68" s="10" t="n">
        <f aca="false">-Helpers!AC5*Assumptions!$B$22</f>
        <v>-2884.9425</v>
      </c>
      <c r="AD68" s="10" t="n">
        <f aca="false">-Helpers!AD5*Assumptions!$B$22</f>
        <v>-2884.9425</v>
      </c>
      <c r="AE68" s="10" t="n">
        <f aca="false">-Helpers!AE5*Assumptions!$B$22</f>
        <v>-2884.9425</v>
      </c>
      <c r="AF68" s="10" t="n">
        <f aca="false">-Helpers!AF5*Assumptions!$B$22</f>
        <v>-2884.9425</v>
      </c>
      <c r="AG68" s="10" t="n">
        <f aca="false">-Helpers!AG5*Assumptions!$B$22</f>
        <v>-2884.9425</v>
      </c>
      <c r="AH68" s="10" t="n">
        <f aca="false">-Helpers!AH5*Assumptions!$B$22</f>
        <v>-2884.9425</v>
      </c>
      <c r="AI68" s="10" t="n">
        <f aca="false">-Helpers!AI5*Assumptions!$B$22</f>
        <v>-2884.9425</v>
      </c>
      <c r="AJ68" s="10" t="n">
        <f aca="false">-Helpers!AJ5*Assumptions!$B$22</f>
        <v>-2884.9425</v>
      </c>
      <c r="AK68" s="10" t="n">
        <f aca="false">-Helpers!AK5*Assumptions!$B$22</f>
        <v>-2884.9425</v>
      </c>
      <c r="AL68" s="10" t="n">
        <f aca="false">-Helpers!AL5*Assumptions!$B$22</f>
        <v>-2884.9425</v>
      </c>
      <c r="AM68" s="10" t="n">
        <f aca="false">-Helpers!AM5*Assumptions!$B$22</f>
        <v>-2942.64135</v>
      </c>
      <c r="AN68" s="10" t="n">
        <f aca="false">-Helpers!AN5*Assumptions!$B$22</f>
        <v>-2942.64135</v>
      </c>
      <c r="AO68" s="10" t="n">
        <f aca="false">-Helpers!AO5*Assumptions!$B$22</f>
        <v>-2942.64135</v>
      </c>
      <c r="AP68" s="10" t="n">
        <f aca="false">-Helpers!AP5*Assumptions!$B$22</f>
        <v>-2942.64135</v>
      </c>
      <c r="AQ68" s="10" t="n">
        <f aca="false">-Helpers!AQ5*Assumptions!$B$22</f>
        <v>-2942.64135</v>
      </c>
      <c r="AR68" s="10" t="n">
        <f aca="false">-Helpers!AR5*Assumptions!$B$22</f>
        <v>-2942.64135</v>
      </c>
      <c r="AS68" s="10" t="n">
        <f aca="false">-Helpers!AS5*Assumptions!$B$22</f>
        <v>-2942.64135</v>
      </c>
      <c r="AT68" s="10" t="n">
        <f aca="false">-Helpers!AT5*Assumptions!$B$22</f>
        <v>-2942.64135</v>
      </c>
      <c r="AU68" s="10" t="n">
        <f aca="false">-Helpers!AU5*Assumptions!$B$22</f>
        <v>-2942.64135</v>
      </c>
      <c r="AV68" s="10" t="n">
        <f aca="false">-Helpers!AV5*Assumptions!$B$22</f>
        <v>-2942.64135</v>
      </c>
      <c r="AW68" s="10" t="n">
        <f aca="false">-Helpers!AW5*Assumptions!$B$22</f>
        <v>-2942.64135</v>
      </c>
      <c r="AX68" s="10" t="n">
        <f aca="false">-Helpers!AX5*Assumptions!$B$22</f>
        <v>-2942.64135</v>
      </c>
      <c r="AY68" s="10" t="n">
        <f aca="false">-Helpers!AY5*Assumptions!$B$22</f>
        <v>-3001.494177</v>
      </c>
      <c r="AZ68" s="10" t="n">
        <f aca="false">-Helpers!AZ5*Assumptions!$B$22</f>
        <v>-3001.494177</v>
      </c>
      <c r="BA68" s="10" t="n">
        <f aca="false">-Helpers!BA5*Assumptions!$B$22</f>
        <v>-3001.494177</v>
      </c>
      <c r="BB68" s="10" t="n">
        <f aca="false">-Helpers!BB5*Assumptions!$B$22</f>
        <v>-3001.494177</v>
      </c>
      <c r="BC68" s="10" t="n">
        <f aca="false">-Helpers!BC5*Assumptions!$B$22</f>
        <v>-3001.494177</v>
      </c>
      <c r="BD68" s="10" t="n">
        <f aca="false">-Helpers!BD5*Assumptions!$B$22</f>
        <v>-3001.494177</v>
      </c>
      <c r="BE68" s="10" t="n">
        <f aca="false">-Helpers!BE5*Assumptions!$B$22</f>
        <v>-3001.494177</v>
      </c>
      <c r="BF68" s="10" t="n">
        <f aca="false">-Helpers!BF5*Assumptions!$B$22</f>
        <v>-3001.494177</v>
      </c>
      <c r="BG68" s="10" t="n">
        <f aca="false">-Helpers!BG5*Assumptions!$B$22</f>
        <v>-3001.494177</v>
      </c>
      <c r="BH68" s="10" t="n">
        <f aca="false">-Helpers!BH5*Assumptions!$B$22</f>
        <v>-3001.494177</v>
      </c>
      <c r="BI68" s="10" t="n">
        <f aca="false">-Helpers!BI5*Assumptions!$B$22</f>
        <v>-3001.494177</v>
      </c>
      <c r="BJ68" s="10" t="n">
        <f aca="false">-Helpers!BJ5*Assumptions!$B$22</f>
        <v>-3001.494177</v>
      </c>
      <c r="BK68" s="10" t="n">
        <f aca="false">-Helpers!BK5*Assumptions!$B$22</f>
        <v>-3061.52406054</v>
      </c>
      <c r="BL68" s="10" t="n">
        <f aca="false">-Helpers!BL5*Assumptions!$B$22</f>
        <v>-3061.52406054</v>
      </c>
      <c r="BM68" s="10" t="n">
        <f aca="false">-Helpers!BM5*Assumptions!$B$22</f>
        <v>-3061.52406054</v>
      </c>
      <c r="BN68" s="10" t="n">
        <f aca="false">-Helpers!BN5*Assumptions!$B$22</f>
        <v>-3061.52406054</v>
      </c>
      <c r="BO68" s="10" t="n">
        <f aca="false">-Helpers!BO5*Assumptions!$B$22</f>
        <v>-3061.52406054</v>
      </c>
      <c r="BP68" s="10" t="n">
        <f aca="false">-Helpers!BP5*Assumptions!$B$22</f>
        <v>-3061.52406054</v>
      </c>
      <c r="BQ68" s="10" t="n">
        <f aca="false">-Helpers!BQ5*Assumptions!$B$22</f>
        <v>-3061.52406054</v>
      </c>
      <c r="BR68" s="10" t="n">
        <f aca="false">-Helpers!BR5*Assumptions!$B$22</f>
        <v>-3061.52406054</v>
      </c>
      <c r="BS68" s="10" t="n">
        <f aca="false">-Helpers!BS5*Assumptions!$B$22</f>
        <v>-3061.52406054</v>
      </c>
      <c r="BT68" s="10" t="n">
        <f aca="false">-Helpers!BT5*Assumptions!$B$22</f>
        <v>-3061.52406054</v>
      </c>
      <c r="BU68" s="10" t="n">
        <f aca="false">-Helpers!BU5*Assumptions!$B$22</f>
        <v>-3061.52406054</v>
      </c>
      <c r="BV68" s="10" t="n">
        <f aca="false">-Helpers!BV5*Assumptions!$B$22</f>
        <v>-3061.52406054</v>
      </c>
      <c r="BW68" s="10" t="n">
        <f aca="false">-Helpers!BW5*Assumptions!$B$22</f>
        <v>-3122.7545417508</v>
      </c>
      <c r="BX68" s="10" t="n">
        <f aca="false">-Helpers!BX5*Assumptions!$B$22</f>
        <v>-3122.7545417508</v>
      </c>
      <c r="BY68" s="10" t="n">
        <f aca="false">-Helpers!BY5*Assumptions!$B$22</f>
        <v>-3122.7545417508</v>
      </c>
      <c r="BZ68" s="10" t="n">
        <f aca="false">-Helpers!BZ5*Assumptions!$B$22</f>
        <v>-3122.7545417508</v>
      </c>
      <c r="CA68" s="10" t="n">
        <f aca="false">-Helpers!CA5*Assumptions!$B$22</f>
        <v>-3122.7545417508</v>
      </c>
      <c r="CB68" s="10" t="n">
        <f aca="false">-Helpers!CB5*Assumptions!$B$22</f>
        <v>-3122.7545417508</v>
      </c>
      <c r="CC68" s="10" t="n">
        <f aca="false">-Helpers!CC5*Assumptions!$B$22</f>
        <v>-3122.7545417508</v>
      </c>
      <c r="CD68" s="10" t="n">
        <f aca="false">-Helpers!CD5*Assumptions!$B$22</f>
        <v>-3122.7545417508</v>
      </c>
      <c r="CE68" s="10" t="n">
        <f aca="false">-Helpers!CE5*Assumptions!$B$22</f>
        <v>-3122.7545417508</v>
      </c>
      <c r="CF68" s="10" t="n">
        <f aca="false">-Helpers!CF5*Assumptions!$B$22</f>
        <v>-3122.7545417508</v>
      </c>
      <c r="CG68" s="10" t="n">
        <f aca="false">-Helpers!CG5*Assumptions!$B$22</f>
        <v>-3122.7545417508</v>
      </c>
      <c r="CH68" s="10" t="n">
        <f aca="false">-Helpers!CH5*Assumptions!$B$22</f>
        <v>-3122.7545417508</v>
      </c>
      <c r="CI68" s="25"/>
    </row>
    <row r="69" customFormat="false" ht="15" hidden="false" customHeight="true" outlineLevel="0" collapsed="false">
      <c r="A69" s="9" t="s">
        <v>108</v>
      </c>
      <c r="B69" s="24"/>
      <c r="C69" s="10" t="n">
        <f aca="false">-Helpers!C5*Assumptions!$B$23</f>
        <v>-206.25</v>
      </c>
      <c r="D69" s="10" t="n">
        <f aca="false">-Helpers!D5*Assumptions!$B$23</f>
        <v>-206.25</v>
      </c>
      <c r="E69" s="10" t="n">
        <f aca="false">-Helpers!E5*Assumptions!$B$23</f>
        <v>-206.25</v>
      </c>
      <c r="F69" s="10" t="n">
        <f aca="false">-Helpers!F5*Assumptions!$B$23</f>
        <v>-206.25</v>
      </c>
      <c r="G69" s="10" t="n">
        <f aca="false">-Helpers!G5*Assumptions!$B$23</f>
        <v>-206.25</v>
      </c>
      <c r="H69" s="10" t="n">
        <f aca="false">-Helpers!H5*Assumptions!$B$23</f>
        <v>-206.25</v>
      </c>
      <c r="I69" s="10" t="n">
        <f aca="false">-Helpers!I5*Assumptions!$B$23</f>
        <v>-206.25</v>
      </c>
      <c r="J69" s="10" t="n">
        <f aca="false">-Helpers!J5*Assumptions!$B$23</f>
        <v>-206.25</v>
      </c>
      <c r="K69" s="10" t="n">
        <f aca="false">-Helpers!K5*Assumptions!$B$23</f>
        <v>-206.25</v>
      </c>
      <c r="L69" s="10" t="n">
        <f aca="false">-Helpers!L5*Assumptions!$B$23</f>
        <v>-206.25</v>
      </c>
      <c r="M69" s="10" t="n">
        <f aca="false">-Helpers!M5*Assumptions!$B$23</f>
        <v>-206.25</v>
      </c>
      <c r="N69" s="10" t="n">
        <f aca="false">-Helpers!N5*Assumptions!$B$23</f>
        <v>-206.25</v>
      </c>
      <c r="O69" s="10" t="n">
        <f aca="false">-Helpers!O5*Assumptions!$B$23</f>
        <v>-210.375</v>
      </c>
      <c r="P69" s="10" t="n">
        <f aca="false">-Helpers!P5*Assumptions!$B$23</f>
        <v>-210.375</v>
      </c>
      <c r="Q69" s="10" t="n">
        <f aca="false">-Helpers!Q5*Assumptions!$B$23</f>
        <v>-210.375</v>
      </c>
      <c r="R69" s="10" t="n">
        <f aca="false">-Helpers!R5*Assumptions!$B$23</f>
        <v>-210.375</v>
      </c>
      <c r="S69" s="10" t="n">
        <f aca="false">-Helpers!S5*Assumptions!$B$23</f>
        <v>-210.375</v>
      </c>
      <c r="T69" s="10" t="n">
        <f aca="false">-Helpers!T5*Assumptions!$B$23</f>
        <v>-210.375</v>
      </c>
      <c r="U69" s="10" t="n">
        <f aca="false">-Helpers!U5*Assumptions!$B$23</f>
        <v>-210.375</v>
      </c>
      <c r="V69" s="10" t="n">
        <f aca="false">-Helpers!V5*Assumptions!$B$23</f>
        <v>-210.375</v>
      </c>
      <c r="W69" s="10" t="n">
        <f aca="false">-Helpers!W5*Assumptions!$B$23</f>
        <v>-210.375</v>
      </c>
      <c r="X69" s="10" t="n">
        <f aca="false">-Helpers!X5*Assumptions!$B$23</f>
        <v>-210.375</v>
      </c>
      <c r="Y69" s="10" t="n">
        <f aca="false">-Helpers!Y5*Assumptions!$B$23</f>
        <v>-210.375</v>
      </c>
      <c r="Z69" s="10" t="n">
        <f aca="false">-Helpers!Z5*Assumptions!$B$23</f>
        <v>-210.375</v>
      </c>
      <c r="AA69" s="10" t="n">
        <f aca="false">-Helpers!AA5*Assumptions!$B$23</f>
        <v>-214.5825</v>
      </c>
      <c r="AB69" s="10" t="n">
        <f aca="false">-Helpers!AB5*Assumptions!$B$23</f>
        <v>-214.5825</v>
      </c>
      <c r="AC69" s="10" t="n">
        <f aca="false">-Helpers!AC5*Assumptions!$B$23</f>
        <v>-214.5825</v>
      </c>
      <c r="AD69" s="10" t="n">
        <f aca="false">-Helpers!AD5*Assumptions!$B$23</f>
        <v>-214.5825</v>
      </c>
      <c r="AE69" s="10" t="n">
        <f aca="false">-Helpers!AE5*Assumptions!$B$23</f>
        <v>-214.5825</v>
      </c>
      <c r="AF69" s="10" t="n">
        <f aca="false">-Helpers!AF5*Assumptions!$B$23</f>
        <v>-214.5825</v>
      </c>
      <c r="AG69" s="10" t="n">
        <f aca="false">-Helpers!AG5*Assumptions!$B$23</f>
        <v>-214.5825</v>
      </c>
      <c r="AH69" s="10" t="n">
        <f aca="false">-Helpers!AH5*Assumptions!$B$23</f>
        <v>-214.5825</v>
      </c>
      <c r="AI69" s="10" t="n">
        <f aca="false">-Helpers!AI5*Assumptions!$B$23</f>
        <v>-214.5825</v>
      </c>
      <c r="AJ69" s="10" t="n">
        <f aca="false">-Helpers!AJ5*Assumptions!$B$23</f>
        <v>-214.5825</v>
      </c>
      <c r="AK69" s="10" t="n">
        <f aca="false">-Helpers!AK5*Assumptions!$B$23</f>
        <v>-214.5825</v>
      </c>
      <c r="AL69" s="10" t="n">
        <f aca="false">-Helpers!AL5*Assumptions!$B$23</f>
        <v>-214.5825</v>
      </c>
      <c r="AM69" s="10" t="n">
        <f aca="false">-Helpers!AM5*Assumptions!$B$23</f>
        <v>-218.87415</v>
      </c>
      <c r="AN69" s="10" t="n">
        <f aca="false">-Helpers!AN5*Assumptions!$B$23</f>
        <v>-218.87415</v>
      </c>
      <c r="AO69" s="10" t="n">
        <f aca="false">-Helpers!AO5*Assumptions!$B$23</f>
        <v>-218.87415</v>
      </c>
      <c r="AP69" s="10" t="n">
        <f aca="false">-Helpers!AP5*Assumptions!$B$23</f>
        <v>-218.87415</v>
      </c>
      <c r="AQ69" s="10" t="n">
        <f aca="false">-Helpers!AQ5*Assumptions!$B$23</f>
        <v>-218.87415</v>
      </c>
      <c r="AR69" s="10" t="n">
        <f aca="false">-Helpers!AR5*Assumptions!$B$23</f>
        <v>-218.87415</v>
      </c>
      <c r="AS69" s="10" t="n">
        <f aca="false">-Helpers!AS5*Assumptions!$B$23</f>
        <v>-218.87415</v>
      </c>
      <c r="AT69" s="10" t="n">
        <f aca="false">-Helpers!AT5*Assumptions!$B$23</f>
        <v>-218.87415</v>
      </c>
      <c r="AU69" s="10" t="n">
        <f aca="false">-Helpers!AU5*Assumptions!$B$23</f>
        <v>-218.87415</v>
      </c>
      <c r="AV69" s="10" t="n">
        <f aca="false">-Helpers!AV5*Assumptions!$B$23</f>
        <v>-218.87415</v>
      </c>
      <c r="AW69" s="10" t="n">
        <f aca="false">-Helpers!AW5*Assumptions!$B$23</f>
        <v>-218.87415</v>
      </c>
      <c r="AX69" s="10" t="n">
        <f aca="false">-Helpers!AX5*Assumptions!$B$23</f>
        <v>-218.87415</v>
      </c>
      <c r="AY69" s="10" t="n">
        <f aca="false">-Helpers!AY5*Assumptions!$B$23</f>
        <v>-223.251633</v>
      </c>
      <c r="AZ69" s="10" t="n">
        <f aca="false">-Helpers!AZ5*Assumptions!$B$23</f>
        <v>-223.251633</v>
      </c>
      <c r="BA69" s="10" t="n">
        <f aca="false">-Helpers!BA5*Assumptions!$B$23</f>
        <v>-223.251633</v>
      </c>
      <c r="BB69" s="10" t="n">
        <f aca="false">-Helpers!BB5*Assumptions!$B$23</f>
        <v>-223.251633</v>
      </c>
      <c r="BC69" s="10" t="n">
        <f aca="false">-Helpers!BC5*Assumptions!$B$23</f>
        <v>-223.251633</v>
      </c>
      <c r="BD69" s="10" t="n">
        <f aca="false">-Helpers!BD5*Assumptions!$B$23</f>
        <v>-223.251633</v>
      </c>
      <c r="BE69" s="10" t="n">
        <f aca="false">-Helpers!BE5*Assumptions!$B$23</f>
        <v>-223.251633</v>
      </c>
      <c r="BF69" s="10" t="n">
        <f aca="false">-Helpers!BF5*Assumptions!$B$23</f>
        <v>-223.251633</v>
      </c>
      <c r="BG69" s="10" t="n">
        <f aca="false">-Helpers!BG5*Assumptions!$B$23</f>
        <v>-223.251633</v>
      </c>
      <c r="BH69" s="10" t="n">
        <f aca="false">-Helpers!BH5*Assumptions!$B$23</f>
        <v>-223.251633</v>
      </c>
      <c r="BI69" s="10" t="n">
        <f aca="false">-Helpers!BI5*Assumptions!$B$23</f>
        <v>-223.251633</v>
      </c>
      <c r="BJ69" s="10" t="n">
        <f aca="false">-Helpers!BJ5*Assumptions!$B$23</f>
        <v>-223.251633</v>
      </c>
      <c r="BK69" s="10" t="n">
        <f aca="false">-Helpers!BK5*Assumptions!$B$23</f>
        <v>-227.71666566</v>
      </c>
      <c r="BL69" s="10" t="n">
        <f aca="false">-Helpers!BL5*Assumptions!$B$23</f>
        <v>-227.71666566</v>
      </c>
      <c r="BM69" s="10" t="n">
        <f aca="false">-Helpers!BM5*Assumptions!$B$23</f>
        <v>-227.71666566</v>
      </c>
      <c r="BN69" s="10" t="n">
        <f aca="false">-Helpers!BN5*Assumptions!$B$23</f>
        <v>-227.71666566</v>
      </c>
      <c r="BO69" s="10" t="n">
        <f aca="false">-Helpers!BO5*Assumptions!$B$23</f>
        <v>-227.71666566</v>
      </c>
      <c r="BP69" s="10" t="n">
        <f aca="false">-Helpers!BP5*Assumptions!$B$23</f>
        <v>-227.71666566</v>
      </c>
      <c r="BQ69" s="10" t="n">
        <f aca="false">-Helpers!BQ5*Assumptions!$B$23</f>
        <v>-227.71666566</v>
      </c>
      <c r="BR69" s="10" t="n">
        <f aca="false">-Helpers!BR5*Assumptions!$B$23</f>
        <v>-227.71666566</v>
      </c>
      <c r="BS69" s="10" t="n">
        <f aca="false">-Helpers!BS5*Assumptions!$B$23</f>
        <v>-227.71666566</v>
      </c>
      <c r="BT69" s="10" t="n">
        <f aca="false">-Helpers!BT5*Assumptions!$B$23</f>
        <v>-227.71666566</v>
      </c>
      <c r="BU69" s="10" t="n">
        <f aca="false">-Helpers!BU5*Assumptions!$B$23</f>
        <v>-227.71666566</v>
      </c>
      <c r="BV69" s="10" t="n">
        <f aca="false">-Helpers!BV5*Assumptions!$B$23</f>
        <v>-227.71666566</v>
      </c>
      <c r="BW69" s="10" t="n">
        <f aca="false">-Helpers!BW5*Assumptions!$B$23</f>
        <v>-232.2709989732</v>
      </c>
      <c r="BX69" s="10" t="n">
        <f aca="false">-Helpers!BX5*Assumptions!$B$23</f>
        <v>-232.2709989732</v>
      </c>
      <c r="BY69" s="10" t="n">
        <f aca="false">-Helpers!BY5*Assumptions!$B$23</f>
        <v>-232.2709989732</v>
      </c>
      <c r="BZ69" s="10" t="n">
        <f aca="false">-Helpers!BZ5*Assumptions!$B$23</f>
        <v>-232.2709989732</v>
      </c>
      <c r="CA69" s="10" t="n">
        <f aca="false">-Helpers!CA5*Assumptions!$B$23</f>
        <v>-232.2709989732</v>
      </c>
      <c r="CB69" s="10" t="n">
        <f aca="false">-Helpers!CB5*Assumptions!$B$23</f>
        <v>-232.2709989732</v>
      </c>
      <c r="CC69" s="10" t="n">
        <f aca="false">-Helpers!CC5*Assumptions!$B$23</f>
        <v>-232.2709989732</v>
      </c>
      <c r="CD69" s="10" t="n">
        <f aca="false">-Helpers!CD5*Assumptions!$B$23</f>
        <v>-232.2709989732</v>
      </c>
      <c r="CE69" s="10" t="n">
        <f aca="false">-Helpers!CE5*Assumptions!$B$23</f>
        <v>-232.2709989732</v>
      </c>
      <c r="CF69" s="10" t="n">
        <f aca="false">-Helpers!CF5*Assumptions!$B$23</f>
        <v>-232.2709989732</v>
      </c>
      <c r="CG69" s="10" t="n">
        <f aca="false">-Helpers!CG5*Assumptions!$B$23</f>
        <v>-232.2709989732</v>
      </c>
      <c r="CH69" s="10" t="n">
        <f aca="false">-Helpers!CH5*Assumptions!$B$23</f>
        <v>-232.2709989732</v>
      </c>
      <c r="CI69" s="25"/>
    </row>
    <row r="70" customFormat="false" ht="15" hidden="false" customHeight="true" outlineLevel="0" collapsed="false">
      <c r="A70" s="9" t="s">
        <v>109</v>
      </c>
      <c r="B70" s="24"/>
      <c r="C70" s="10" t="n">
        <f aca="false">-3500*Escalation!$B$2</f>
        <v>-3500</v>
      </c>
      <c r="D70" s="10" t="n">
        <f aca="false">-3500*Escalation!$B$3</f>
        <v>-3500</v>
      </c>
      <c r="E70" s="10" t="n">
        <f aca="false">-3500*Escalation!$B$4</f>
        <v>-3500</v>
      </c>
      <c r="F70" s="10" t="n">
        <f aca="false">-3500*Escalation!$B$5</f>
        <v>-3500</v>
      </c>
      <c r="G70" s="10" t="n">
        <f aca="false">-3500*Escalation!$B$6</f>
        <v>-3500</v>
      </c>
      <c r="H70" s="10" t="n">
        <f aca="false">-3500*Escalation!$B$7</f>
        <v>-3500</v>
      </c>
      <c r="I70" s="10" t="n">
        <f aca="false">-3500*Escalation!$B$8</f>
        <v>-3500</v>
      </c>
      <c r="J70" s="10" t="n">
        <f aca="false">-3500*Escalation!$B$9</f>
        <v>-3500</v>
      </c>
      <c r="K70" s="10" t="n">
        <f aca="false">-3500*Escalation!$B$10</f>
        <v>-3500</v>
      </c>
      <c r="L70" s="10" t="n">
        <f aca="false">-3500*Escalation!$B$11</f>
        <v>-3500</v>
      </c>
      <c r="M70" s="10" t="n">
        <f aca="false">-3500*Escalation!$B$12</f>
        <v>-3500</v>
      </c>
      <c r="N70" s="10" t="n">
        <f aca="false">-3500*Escalation!$B$13</f>
        <v>-3500</v>
      </c>
      <c r="O70" s="10" t="n">
        <f aca="false">-3500*Escalation!$B$14</f>
        <v>-3570</v>
      </c>
      <c r="P70" s="10" t="n">
        <f aca="false">-3500*Escalation!$B$15</f>
        <v>-3570</v>
      </c>
      <c r="Q70" s="10" t="n">
        <f aca="false">-3500*Escalation!$B$16</f>
        <v>-3570</v>
      </c>
      <c r="R70" s="10" t="n">
        <f aca="false">-3500*Escalation!$B$17</f>
        <v>-3570</v>
      </c>
      <c r="S70" s="10" t="n">
        <f aca="false">-3500*Escalation!$B$18</f>
        <v>-3570</v>
      </c>
      <c r="T70" s="10" t="n">
        <f aca="false">-3500*Escalation!$B$19</f>
        <v>-3570</v>
      </c>
      <c r="U70" s="10" t="n">
        <f aca="false">-3500*Escalation!$B$20</f>
        <v>-3570</v>
      </c>
      <c r="V70" s="10" t="n">
        <f aca="false">-3500*Escalation!$B$21</f>
        <v>-3570</v>
      </c>
      <c r="W70" s="10" t="n">
        <f aca="false">-3500*Escalation!$B$22</f>
        <v>-3570</v>
      </c>
      <c r="X70" s="10" t="n">
        <f aca="false">-3500*Escalation!$B$23</f>
        <v>-3570</v>
      </c>
      <c r="Y70" s="10" t="n">
        <f aca="false">-3500*Escalation!$B$24</f>
        <v>-3570</v>
      </c>
      <c r="Z70" s="10" t="n">
        <f aca="false">-3500*Escalation!$B$25</f>
        <v>-3570</v>
      </c>
      <c r="AA70" s="10" t="n">
        <f aca="false">-3500*Escalation!$B$26</f>
        <v>-3641.4</v>
      </c>
      <c r="AB70" s="10" t="n">
        <f aca="false">-3500*Escalation!$B$27</f>
        <v>-3641.4</v>
      </c>
      <c r="AC70" s="10" t="n">
        <f aca="false">-3500*Escalation!$B$28</f>
        <v>-3641.4</v>
      </c>
      <c r="AD70" s="10" t="n">
        <f aca="false">-3500*Escalation!$B$29</f>
        <v>-3641.4</v>
      </c>
      <c r="AE70" s="10" t="n">
        <f aca="false">-3500*Escalation!$B$30</f>
        <v>-3641.4</v>
      </c>
      <c r="AF70" s="10" t="n">
        <f aca="false">-3500*Escalation!$B$31</f>
        <v>-3641.4</v>
      </c>
      <c r="AG70" s="10" t="n">
        <f aca="false">-3500*Escalation!$B$32</f>
        <v>-3641.4</v>
      </c>
      <c r="AH70" s="10" t="n">
        <f aca="false">-3500*Escalation!$B$33</f>
        <v>-3641.4</v>
      </c>
      <c r="AI70" s="10" t="n">
        <f aca="false">-3500*Escalation!$B$34</f>
        <v>-3641.4</v>
      </c>
      <c r="AJ70" s="10" t="n">
        <f aca="false">-3500*Escalation!$B$35</f>
        <v>-3641.4</v>
      </c>
      <c r="AK70" s="10" t="n">
        <f aca="false">-3500*Escalation!$B$36</f>
        <v>-3641.4</v>
      </c>
      <c r="AL70" s="10" t="n">
        <f aca="false">-3500*Escalation!$B$37</f>
        <v>-3641.4</v>
      </c>
      <c r="AM70" s="10" t="n">
        <f aca="false">-3500*Escalation!$B$38</f>
        <v>-3714.228</v>
      </c>
      <c r="AN70" s="10" t="n">
        <f aca="false">-3500*Escalation!$B$39</f>
        <v>-3714.228</v>
      </c>
      <c r="AO70" s="10" t="n">
        <f aca="false">-3500*Escalation!$B$40</f>
        <v>-3714.228</v>
      </c>
      <c r="AP70" s="10" t="n">
        <f aca="false">-3500*Escalation!$B$41</f>
        <v>-3714.228</v>
      </c>
      <c r="AQ70" s="10" t="n">
        <f aca="false">-3500*Escalation!$B$42</f>
        <v>-3714.228</v>
      </c>
      <c r="AR70" s="10" t="n">
        <f aca="false">-3500*Escalation!$B$43</f>
        <v>-3714.228</v>
      </c>
      <c r="AS70" s="10" t="n">
        <f aca="false">-3500*Escalation!$B$44</f>
        <v>-3714.228</v>
      </c>
      <c r="AT70" s="10" t="n">
        <f aca="false">-3500*Escalation!$B$45</f>
        <v>-3714.228</v>
      </c>
      <c r="AU70" s="10" t="n">
        <f aca="false">-3500*Escalation!$B$46</f>
        <v>-3714.228</v>
      </c>
      <c r="AV70" s="10" t="n">
        <f aca="false">-3500*Escalation!$B$47</f>
        <v>-3714.228</v>
      </c>
      <c r="AW70" s="10" t="n">
        <f aca="false">-3500*Escalation!$B$48</f>
        <v>-3714.228</v>
      </c>
      <c r="AX70" s="10" t="n">
        <f aca="false">-3500*Escalation!$B$49</f>
        <v>-3714.228</v>
      </c>
      <c r="AY70" s="10" t="n">
        <f aca="false">-3500*Escalation!$B$50</f>
        <v>-3788.51256</v>
      </c>
      <c r="AZ70" s="10" t="n">
        <f aca="false">-3500*Escalation!$B$51</f>
        <v>-3788.51256</v>
      </c>
      <c r="BA70" s="10" t="n">
        <f aca="false">-3500*Escalation!$B$52</f>
        <v>-3788.51256</v>
      </c>
      <c r="BB70" s="10" t="n">
        <f aca="false">-3500*Escalation!$B$53</f>
        <v>-3788.51256</v>
      </c>
      <c r="BC70" s="10" t="n">
        <f aca="false">-3500*Escalation!$B$54</f>
        <v>-3788.51256</v>
      </c>
      <c r="BD70" s="10" t="n">
        <f aca="false">-3500*Escalation!$B$55</f>
        <v>-3788.51256</v>
      </c>
      <c r="BE70" s="10" t="n">
        <f aca="false">-3500*Escalation!$B$56</f>
        <v>-3788.51256</v>
      </c>
      <c r="BF70" s="10" t="n">
        <f aca="false">-3500*Escalation!$B$57</f>
        <v>-3788.51256</v>
      </c>
      <c r="BG70" s="10" t="n">
        <f aca="false">-3500*Escalation!$B$58</f>
        <v>-3788.51256</v>
      </c>
      <c r="BH70" s="10" t="n">
        <f aca="false">-3500*Escalation!$B$59</f>
        <v>-3788.51256</v>
      </c>
      <c r="BI70" s="10" t="n">
        <f aca="false">-3500*Escalation!$B$60</f>
        <v>-3788.51256</v>
      </c>
      <c r="BJ70" s="10" t="n">
        <f aca="false">-3500*Escalation!$B$61</f>
        <v>-3788.51256</v>
      </c>
      <c r="BK70" s="10" t="n">
        <f aca="false">-3500*Escalation!$B$62</f>
        <v>-3864.2828112</v>
      </c>
      <c r="BL70" s="10" t="n">
        <f aca="false">-3500*Escalation!$B$63</f>
        <v>-3864.2828112</v>
      </c>
      <c r="BM70" s="10" t="n">
        <f aca="false">-3500*Escalation!$B$64</f>
        <v>-3864.2828112</v>
      </c>
      <c r="BN70" s="10" t="n">
        <f aca="false">-3500*Escalation!$B$65</f>
        <v>-3864.2828112</v>
      </c>
      <c r="BO70" s="10" t="n">
        <f aca="false">-3500*Escalation!$B$66</f>
        <v>-3864.2828112</v>
      </c>
      <c r="BP70" s="10" t="n">
        <f aca="false">-3500*Escalation!$B$67</f>
        <v>-3864.2828112</v>
      </c>
      <c r="BQ70" s="10" t="n">
        <f aca="false">-3500*Escalation!$B$68</f>
        <v>-3864.2828112</v>
      </c>
      <c r="BR70" s="10" t="n">
        <f aca="false">-3500*Escalation!$B$69</f>
        <v>-3864.2828112</v>
      </c>
      <c r="BS70" s="10" t="n">
        <f aca="false">-3500*Escalation!$B$70</f>
        <v>-3864.2828112</v>
      </c>
      <c r="BT70" s="10" t="n">
        <f aca="false">-3500*Escalation!$B$71</f>
        <v>-3864.2828112</v>
      </c>
      <c r="BU70" s="10" t="n">
        <f aca="false">-3500*Escalation!$B$72</f>
        <v>-3864.2828112</v>
      </c>
      <c r="BV70" s="10" t="n">
        <f aca="false">-3500*Escalation!$B$73</f>
        <v>-3864.2828112</v>
      </c>
      <c r="BW70" s="10" t="n">
        <f aca="false">-3500*Escalation!$B$74</f>
        <v>-3941.568467424</v>
      </c>
      <c r="BX70" s="10" t="n">
        <f aca="false">-3500*Escalation!$B$75</f>
        <v>-3941.568467424</v>
      </c>
      <c r="BY70" s="10" t="n">
        <f aca="false">-3500*Escalation!$B$76</f>
        <v>-3941.568467424</v>
      </c>
      <c r="BZ70" s="10" t="n">
        <f aca="false">-3500*Escalation!$B$77</f>
        <v>-3941.568467424</v>
      </c>
      <c r="CA70" s="10" t="n">
        <f aca="false">-3500*Escalation!$B$78</f>
        <v>-3941.568467424</v>
      </c>
      <c r="CB70" s="10" t="n">
        <f aca="false">-3500*Escalation!$B$79</f>
        <v>-3941.568467424</v>
      </c>
      <c r="CC70" s="10" t="n">
        <f aca="false">-3500*Escalation!$B$80</f>
        <v>-3941.568467424</v>
      </c>
      <c r="CD70" s="10" t="n">
        <f aca="false">-3500*Escalation!$B$81</f>
        <v>-3941.568467424</v>
      </c>
      <c r="CE70" s="10" t="n">
        <f aca="false">-3500*Escalation!$B$82</f>
        <v>-3941.568467424</v>
      </c>
      <c r="CF70" s="10" t="n">
        <f aca="false">-3500*Escalation!$B$83</f>
        <v>-3941.568467424</v>
      </c>
      <c r="CG70" s="10" t="n">
        <f aca="false">-3500*Escalation!$B$84</f>
        <v>-3941.568467424</v>
      </c>
      <c r="CH70" s="10" t="n">
        <f aca="false">-3500*Escalation!$B$85</f>
        <v>-3941.568467424</v>
      </c>
      <c r="CI70" s="25"/>
    </row>
    <row r="71" customFormat="false" ht="15" hidden="false" customHeight="true" outlineLevel="0" collapsed="false">
      <c r="A71" s="9" t="s">
        <v>110</v>
      </c>
      <c r="B71" s="24"/>
      <c r="C71" s="10" t="n">
        <f aca="false">-5000*Escalation!$B$2</f>
        <v>-5000</v>
      </c>
      <c r="D71" s="10" t="n">
        <f aca="false">-5000*Escalation!$B$3</f>
        <v>-5000</v>
      </c>
      <c r="E71" s="10" t="n">
        <f aca="false">-5000*Escalation!$B$4</f>
        <v>-5000</v>
      </c>
      <c r="F71" s="10" t="n">
        <f aca="false">-5000*Escalation!$B$5</f>
        <v>-5000</v>
      </c>
      <c r="G71" s="10" t="n">
        <f aca="false">-5000*Escalation!$B$6</f>
        <v>-5000</v>
      </c>
      <c r="H71" s="10" t="n">
        <f aca="false">-5000*Escalation!$B$7</f>
        <v>-5000</v>
      </c>
      <c r="I71" s="10" t="n">
        <f aca="false">-5000*Escalation!$B$8</f>
        <v>-5000</v>
      </c>
      <c r="J71" s="10" t="n">
        <f aca="false">-5000*Escalation!$B$9</f>
        <v>-5000</v>
      </c>
      <c r="K71" s="10" t="n">
        <f aca="false">-5000*Escalation!$B$10</f>
        <v>-5000</v>
      </c>
      <c r="L71" s="10" t="n">
        <f aca="false">-5000*Escalation!$B$11</f>
        <v>-5000</v>
      </c>
      <c r="M71" s="10" t="n">
        <f aca="false">-5000*Escalation!$B$12</f>
        <v>-5000</v>
      </c>
      <c r="N71" s="10" t="n">
        <f aca="false">-5000*Escalation!$B$13</f>
        <v>-5000</v>
      </c>
      <c r="O71" s="10" t="n">
        <f aca="false">-5000*Escalation!$B$14</f>
        <v>-5100</v>
      </c>
      <c r="P71" s="10" t="n">
        <f aca="false">-5000*Escalation!$B$15</f>
        <v>-5100</v>
      </c>
      <c r="Q71" s="10" t="n">
        <f aca="false">-5000*Escalation!$B$16</f>
        <v>-5100</v>
      </c>
      <c r="R71" s="10" t="n">
        <f aca="false">-5000*Escalation!$B$17</f>
        <v>-5100</v>
      </c>
      <c r="S71" s="10" t="n">
        <f aca="false">-5000*Escalation!$B$18</f>
        <v>-5100</v>
      </c>
      <c r="T71" s="10" t="n">
        <f aca="false">-5000*Escalation!$B$19</f>
        <v>-5100</v>
      </c>
      <c r="U71" s="10" t="n">
        <f aca="false">-5000*Escalation!$B$20</f>
        <v>-5100</v>
      </c>
      <c r="V71" s="10" t="n">
        <f aca="false">-5000*Escalation!$B$21</f>
        <v>-5100</v>
      </c>
      <c r="W71" s="10" t="n">
        <f aca="false">-5000*Escalation!$B$22</f>
        <v>-5100</v>
      </c>
      <c r="X71" s="10" t="n">
        <f aca="false">-5000*Escalation!$B$23</f>
        <v>-5100</v>
      </c>
      <c r="Y71" s="10" t="n">
        <f aca="false">-5000*Escalation!$B$24</f>
        <v>-5100</v>
      </c>
      <c r="Z71" s="10" t="n">
        <f aca="false">-5000*Escalation!$B$25</f>
        <v>-5100</v>
      </c>
      <c r="AA71" s="10" t="n">
        <f aca="false">-5000*Escalation!$B$26</f>
        <v>-5202</v>
      </c>
      <c r="AB71" s="10" t="n">
        <f aca="false">-5000*Escalation!$B$27</f>
        <v>-5202</v>
      </c>
      <c r="AC71" s="10" t="n">
        <f aca="false">-5000*Escalation!$B$28</f>
        <v>-5202</v>
      </c>
      <c r="AD71" s="10" t="n">
        <f aca="false">-5000*Escalation!$B$29</f>
        <v>-5202</v>
      </c>
      <c r="AE71" s="10" t="n">
        <f aca="false">-5000*Escalation!$B$30</f>
        <v>-5202</v>
      </c>
      <c r="AF71" s="10" t="n">
        <f aca="false">-5000*Escalation!$B$31</f>
        <v>-5202</v>
      </c>
      <c r="AG71" s="10" t="n">
        <f aca="false">-5000*Escalation!$B$32</f>
        <v>-5202</v>
      </c>
      <c r="AH71" s="10" t="n">
        <f aca="false">-5000*Escalation!$B$33</f>
        <v>-5202</v>
      </c>
      <c r="AI71" s="10" t="n">
        <f aca="false">-5000*Escalation!$B$34</f>
        <v>-5202</v>
      </c>
      <c r="AJ71" s="10" t="n">
        <f aca="false">-5000*Escalation!$B$35</f>
        <v>-5202</v>
      </c>
      <c r="AK71" s="10" t="n">
        <f aca="false">-5000*Escalation!$B$36</f>
        <v>-5202</v>
      </c>
      <c r="AL71" s="10" t="n">
        <f aca="false">-5000*Escalation!$B$37</f>
        <v>-5202</v>
      </c>
      <c r="AM71" s="10" t="n">
        <f aca="false">-5000*Escalation!$B$38</f>
        <v>-5306.04</v>
      </c>
      <c r="AN71" s="10" t="n">
        <f aca="false">-5000*Escalation!$B$39</f>
        <v>-5306.04</v>
      </c>
      <c r="AO71" s="10" t="n">
        <f aca="false">-5000*Escalation!$B$40</f>
        <v>-5306.04</v>
      </c>
      <c r="AP71" s="10" t="n">
        <f aca="false">-5000*Escalation!$B$41</f>
        <v>-5306.04</v>
      </c>
      <c r="AQ71" s="10" t="n">
        <f aca="false">-5000*Escalation!$B$42</f>
        <v>-5306.04</v>
      </c>
      <c r="AR71" s="10" t="n">
        <f aca="false">-5000*Escalation!$B$43</f>
        <v>-5306.04</v>
      </c>
      <c r="AS71" s="10" t="n">
        <f aca="false">-5000*Escalation!$B$44</f>
        <v>-5306.04</v>
      </c>
      <c r="AT71" s="10" t="n">
        <f aca="false">-5000*Escalation!$B$45</f>
        <v>-5306.04</v>
      </c>
      <c r="AU71" s="10" t="n">
        <f aca="false">-5000*Escalation!$B$46</f>
        <v>-5306.04</v>
      </c>
      <c r="AV71" s="10" t="n">
        <f aca="false">-5000*Escalation!$B$47</f>
        <v>-5306.04</v>
      </c>
      <c r="AW71" s="10" t="n">
        <f aca="false">-5000*Escalation!$B$48</f>
        <v>-5306.04</v>
      </c>
      <c r="AX71" s="10" t="n">
        <f aca="false">-5000*Escalation!$B$49</f>
        <v>-5306.04</v>
      </c>
      <c r="AY71" s="10" t="n">
        <f aca="false">-5000*Escalation!$B$50</f>
        <v>-5412.1608</v>
      </c>
      <c r="AZ71" s="10" t="n">
        <f aca="false">-5000*Escalation!$B$51</f>
        <v>-5412.1608</v>
      </c>
      <c r="BA71" s="10" t="n">
        <f aca="false">-5000*Escalation!$B$52</f>
        <v>-5412.1608</v>
      </c>
      <c r="BB71" s="10" t="n">
        <f aca="false">-5000*Escalation!$B$53</f>
        <v>-5412.1608</v>
      </c>
      <c r="BC71" s="10" t="n">
        <f aca="false">-5000*Escalation!$B$54</f>
        <v>-5412.1608</v>
      </c>
      <c r="BD71" s="10" t="n">
        <f aca="false">-5000*Escalation!$B$55</f>
        <v>-5412.1608</v>
      </c>
      <c r="BE71" s="10" t="n">
        <f aca="false">-5000*Escalation!$B$56</f>
        <v>-5412.1608</v>
      </c>
      <c r="BF71" s="10" t="n">
        <f aca="false">-5000*Escalation!$B$57</f>
        <v>-5412.1608</v>
      </c>
      <c r="BG71" s="10" t="n">
        <f aca="false">-5000*Escalation!$B$58</f>
        <v>-5412.1608</v>
      </c>
      <c r="BH71" s="10" t="n">
        <f aca="false">-5000*Escalation!$B$59</f>
        <v>-5412.1608</v>
      </c>
      <c r="BI71" s="10" t="n">
        <f aca="false">-5000*Escalation!$B$60</f>
        <v>-5412.1608</v>
      </c>
      <c r="BJ71" s="10" t="n">
        <f aca="false">-5000*Escalation!$B$61</f>
        <v>-5412.1608</v>
      </c>
      <c r="BK71" s="10" t="n">
        <f aca="false">-5000*Escalation!$B$62</f>
        <v>-5520.404016</v>
      </c>
      <c r="BL71" s="10" t="n">
        <f aca="false">-5000*Escalation!$B$63</f>
        <v>-5520.404016</v>
      </c>
      <c r="BM71" s="10" t="n">
        <f aca="false">-5000*Escalation!$B$64</f>
        <v>-5520.404016</v>
      </c>
      <c r="BN71" s="10" t="n">
        <f aca="false">-5000*Escalation!$B$65</f>
        <v>-5520.404016</v>
      </c>
      <c r="BO71" s="10" t="n">
        <f aca="false">-5000*Escalation!$B$66</f>
        <v>-5520.404016</v>
      </c>
      <c r="BP71" s="10" t="n">
        <f aca="false">-5000*Escalation!$B$67</f>
        <v>-5520.404016</v>
      </c>
      <c r="BQ71" s="10" t="n">
        <f aca="false">-5000*Escalation!$B$68</f>
        <v>-5520.404016</v>
      </c>
      <c r="BR71" s="10" t="n">
        <f aca="false">-5000*Escalation!$B$69</f>
        <v>-5520.404016</v>
      </c>
      <c r="BS71" s="10" t="n">
        <f aca="false">-5000*Escalation!$B$70</f>
        <v>-5520.404016</v>
      </c>
      <c r="BT71" s="10" t="n">
        <f aca="false">-5000*Escalation!$B$71</f>
        <v>-5520.404016</v>
      </c>
      <c r="BU71" s="10" t="n">
        <f aca="false">-5000*Escalation!$B$72</f>
        <v>-5520.404016</v>
      </c>
      <c r="BV71" s="10" t="n">
        <f aca="false">-5000*Escalation!$B$73</f>
        <v>-5520.404016</v>
      </c>
      <c r="BW71" s="10" t="n">
        <f aca="false">-5000*Escalation!$B$74</f>
        <v>-5630.81209632</v>
      </c>
      <c r="BX71" s="10" t="n">
        <f aca="false">-5000*Escalation!$B$75</f>
        <v>-5630.81209632</v>
      </c>
      <c r="BY71" s="10" t="n">
        <f aca="false">-5000*Escalation!$B$76</f>
        <v>-5630.81209632</v>
      </c>
      <c r="BZ71" s="10" t="n">
        <f aca="false">-5000*Escalation!$B$77</f>
        <v>-5630.81209632</v>
      </c>
      <c r="CA71" s="10" t="n">
        <f aca="false">-5000*Escalation!$B$78</f>
        <v>-5630.81209632</v>
      </c>
      <c r="CB71" s="10" t="n">
        <f aca="false">-5000*Escalation!$B$79</f>
        <v>-5630.81209632</v>
      </c>
      <c r="CC71" s="10" t="n">
        <f aca="false">-5000*Escalation!$B$80</f>
        <v>-5630.81209632</v>
      </c>
      <c r="CD71" s="10" t="n">
        <f aca="false">-5000*Escalation!$B$81</f>
        <v>-5630.81209632</v>
      </c>
      <c r="CE71" s="10" t="n">
        <f aca="false">-5000*Escalation!$B$82</f>
        <v>-5630.81209632</v>
      </c>
      <c r="CF71" s="10" t="n">
        <f aca="false">-5000*Escalation!$B$83</f>
        <v>-5630.81209632</v>
      </c>
      <c r="CG71" s="10" t="n">
        <f aca="false">-5000*Escalation!$B$84</f>
        <v>-5630.81209632</v>
      </c>
      <c r="CH71" s="10" t="n">
        <f aca="false">-5000*Escalation!$B$85</f>
        <v>-5630.81209632</v>
      </c>
      <c r="CI71" s="25"/>
    </row>
    <row r="72" customFormat="false" ht="15" hidden="false" customHeight="true" outlineLevel="0" collapsed="false">
      <c r="A72" s="9" t="s">
        <v>111</v>
      </c>
      <c r="B72" s="24"/>
      <c r="C72" s="10" t="n">
        <f aca="false">-100*Escalation!$B$2</f>
        <v>-100</v>
      </c>
      <c r="D72" s="10" t="n">
        <f aca="false">-100*Escalation!$B$3</f>
        <v>-100</v>
      </c>
      <c r="E72" s="10" t="n">
        <f aca="false">-100*Escalation!$B$4</f>
        <v>-100</v>
      </c>
      <c r="F72" s="10" t="n">
        <f aca="false">-100*Escalation!$B$5</f>
        <v>-100</v>
      </c>
      <c r="G72" s="10" t="n">
        <f aca="false">-100*Escalation!$B$6</f>
        <v>-100</v>
      </c>
      <c r="H72" s="10" t="n">
        <f aca="false">-100*Escalation!$B$7</f>
        <v>-100</v>
      </c>
      <c r="I72" s="10" t="n">
        <f aca="false">-100*Escalation!$B$8</f>
        <v>-100</v>
      </c>
      <c r="J72" s="10" t="n">
        <f aca="false">-100*Escalation!$B$9</f>
        <v>-100</v>
      </c>
      <c r="K72" s="10" t="n">
        <f aca="false">-100*Escalation!$B$10</f>
        <v>-100</v>
      </c>
      <c r="L72" s="10" t="n">
        <f aca="false">-100*Escalation!$B$11</f>
        <v>-100</v>
      </c>
      <c r="M72" s="10" t="n">
        <f aca="false">-100*Escalation!$B$12</f>
        <v>-100</v>
      </c>
      <c r="N72" s="10" t="n">
        <f aca="false">-100*Escalation!$B$13</f>
        <v>-100</v>
      </c>
      <c r="O72" s="10" t="n">
        <f aca="false">-100*Escalation!$B$14</f>
        <v>-102</v>
      </c>
      <c r="P72" s="10" t="n">
        <f aca="false">-100*Escalation!$B$15</f>
        <v>-102</v>
      </c>
      <c r="Q72" s="10" t="n">
        <f aca="false">-100*Escalation!$B$16</f>
        <v>-102</v>
      </c>
      <c r="R72" s="10" t="n">
        <f aca="false">-100*Escalation!$B$17</f>
        <v>-102</v>
      </c>
      <c r="S72" s="10" t="n">
        <f aca="false">-100*Escalation!$B$18</f>
        <v>-102</v>
      </c>
      <c r="T72" s="10" t="n">
        <f aca="false">-100*Escalation!$B$19</f>
        <v>-102</v>
      </c>
      <c r="U72" s="10" t="n">
        <f aca="false">-100*Escalation!$B$20</f>
        <v>-102</v>
      </c>
      <c r="V72" s="10" t="n">
        <f aca="false">-100*Escalation!$B$21</f>
        <v>-102</v>
      </c>
      <c r="W72" s="10" t="n">
        <f aca="false">-100*Escalation!$B$22</f>
        <v>-102</v>
      </c>
      <c r="X72" s="10" t="n">
        <f aca="false">-100*Escalation!$B$23</f>
        <v>-102</v>
      </c>
      <c r="Y72" s="10" t="n">
        <f aca="false">-100*Escalation!$B$24</f>
        <v>-102</v>
      </c>
      <c r="Z72" s="10" t="n">
        <f aca="false">-100*Escalation!$B$25</f>
        <v>-102</v>
      </c>
      <c r="AA72" s="10" t="n">
        <f aca="false">-100*Escalation!$B$26</f>
        <v>-104.04</v>
      </c>
      <c r="AB72" s="10" t="n">
        <f aca="false">-100*Escalation!$B$27</f>
        <v>-104.04</v>
      </c>
      <c r="AC72" s="10" t="n">
        <f aca="false">-100*Escalation!$B$28</f>
        <v>-104.04</v>
      </c>
      <c r="AD72" s="10" t="n">
        <f aca="false">-100*Escalation!$B$29</f>
        <v>-104.04</v>
      </c>
      <c r="AE72" s="10" t="n">
        <f aca="false">-100*Escalation!$B$30</f>
        <v>-104.04</v>
      </c>
      <c r="AF72" s="10" t="n">
        <f aca="false">-100*Escalation!$B$31</f>
        <v>-104.04</v>
      </c>
      <c r="AG72" s="10" t="n">
        <f aca="false">-100*Escalation!$B$32</f>
        <v>-104.04</v>
      </c>
      <c r="AH72" s="10" t="n">
        <f aca="false">-100*Escalation!$B$33</f>
        <v>-104.04</v>
      </c>
      <c r="AI72" s="10" t="n">
        <f aca="false">-100*Escalation!$B$34</f>
        <v>-104.04</v>
      </c>
      <c r="AJ72" s="10" t="n">
        <f aca="false">-100*Escalation!$B$35</f>
        <v>-104.04</v>
      </c>
      <c r="AK72" s="10" t="n">
        <f aca="false">-100*Escalation!$B$36</f>
        <v>-104.04</v>
      </c>
      <c r="AL72" s="10" t="n">
        <f aca="false">-100*Escalation!$B$37</f>
        <v>-104.04</v>
      </c>
      <c r="AM72" s="10" t="n">
        <f aca="false">-100*Escalation!$B$38</f>
        <v>-106.1208</v>
      </c>
      <c r="AN72" s="10" t="n">
        <f aca="false">-100*Escalation!$B$39</f>
        <v>-106.1208</v>
      </c>
      <c r="AO72" s="10" t="n">
        <f aca="false">-100*Escalation!$B$40</f>
        <v>-106.1208</v>
      </c>
      <c r="AP72" s="10" t="n">
        <f aca="false">-100*Escalation!$B$41</f>
        <v>-106.1208</v>
      </c>
      <c r="AQ72" s="10" t="n">
        <f aca="false">-100*Escalation!$B$42</f>
        <v>-106.1208</v>
      </c>
      <c r="AR72" s="10" t="n">
        <f aca="false">-100*Escalation!$B$43</f>
        <v>-106.1208</v>
      </c>
      <c r="AS72" s="10" t="n">
        <f aca="false">-100*Escalation!$B$44</f>
        <v>-106.1208</v>
      </c>
      <c r="AT72" s="10" t="n">
        <f aca="false">-100*Escalation!$B$45</f>
        <v>-106.1208</v>
      </c>
      <c r="AU72" s="10" t="n">
        <f aca="false">-100*Escalation!$B$46</f>
        <v>-106.1208</v>
      </c>
      <c r="AV72" s="10" t="n">
        <f aca="false">-100*Escalation!$B$47</f>
        <v>-106.1208</v>
      </c>
      <c r="AW72" s="10" t="n">
        <f aca="false">-100*Escalation!$B$48</f>
        <v>-106.1208</v>
      </c>
      <c r="AX72" s="10" t="n">
        <f aca="false">-100*Escalation!$B$49</f>
        <v>-106.1208</v>
      </c>
      <c r="AY72" s="10" t="n">
        <f aca="false">-100*Escalation!$B$50</f>
        <v>-108.243216</v>
      </c>
      <c r="AZ72" s="10" t="n">
        <f aca="false">-100*Escalation!$B$51</f>
        <v>-108.243216</v>
      </c>
      <c r="BA72" s="10" t="n">
        <f aca="false">-100*Escalation!$B$52</f>
        <v>-108.243216</v>
      </c>
      <c r="BB72" s="10" t="n">
        <f aca="false">-100*Escalation!$B$53</f>
        <v>-108.243216</v>
      </c>
      <c r="BC72" s="10" t="n">
        <f aca="false">-100*Escalation!$B$54</f>
        <v>-108.243216</v>
      </c>
      <c r="BD72" s="10" t="n">
        <f aca="false">-100*Escalation!$B$55</f>
        <v>-108.243216</v>
      </c>
      <c r="BE72" s="10" t="n">
        <f aca="false">-100*Escalation!$B$56</f>
        <v>-108.243216</v>
      </c>
      <c r="BF72" s="10" t="n">
        <f aca="false">-100*Escalation!$B$57</f>
        <v>-108.243216</v>
      </c>
      <c r="BG72" s="10" t="n">
        <f aca="false">-100*Escalation!$B$58</f>
        <v>-108.243216</v>
      </c>
      <c r="BH72" s="10" t="n">
        <f aca="false">-100*Escalation!$B$59</f>
        <v>-108.243216</v>
      </c>
      <c r="BI72" s="10" t="n">
        <f aca="false">-100*Escalation!$B$60</f>
        <v>-108.243216</v>
      </c>
      <c r="BJ72" s="10" t="n">
        <f aca="false">-100*Escalation!$B$61</f>
        <v>-108.243216</v>
      </c>
      <c r="BK72" s="10" t="n">
        <f aca="false">-100*Escalation!$B$62</f>
        <v>-110.40808032</v>
      </c>
      <c r="BL72" s="10" t="n">
        <f aca="false">-100*Escalation!$B$63</f>
        <v>-110.40808032</v>
      </c>
      <c r="BM72" s="10" t="n">
        <f aca="false">-100*Escalation!$B$64</f>
        <v>-110.40808032</v>
      </c>
      <c r="BN72" s="10" t="n">
        <f aca="false">-100*Escalation!$B$65</f>
        <v>-110.40808032</v>
      </c>
      <c r="BO72" s="10" t="n">
        <f aca="false">-100*Escalation!$B$66</f>
        <v>-110.40808032</v>
      </c>
      <c r="BP72" s="10" t="n">
        <f aca="false">-100*Escalation!$B$67</f>
        <v>-110.40808032</v>
      </c>
      <c r="BQ72" s="10" t="n">
        <f aca="false">-100*Escalation!$B$68</f>
        <v>-110.40808032</v>
      </c>
      <c r="BR72" s="10" t="n">
        <f aca="false">-100*Escalation!$B$69</f>
        <v>-110.40808032</v>
      </c>
      <c r="BS72" s="10" t="n">
        <f aca="false">-100*Escalation!$B$70</f>
        <v>-110.40808032</v>
      </c>
      <c r="BT72" s="10" t="n">
        <f aca="false">-100*Escalation!$B$71</f>
        <v>-110.40808032</v>
      </c>
      <c r="BU72" s="10" t="n">
        <f aca="false">-100*Escalation!$B$72</f>
        <v>-110.40808032</v>
      </c>
      <c r="BV72" s="10" t="n">
        <f aca="false">-100*Escalation!$B$73</f>
        <v>-110.40808032</v>
      </c>
      <c r="BW72" s="10" t="n">
        <f aca="false">-100*Escalation!$B$74</f>
        <v>-112.6162419264</v>
      </c>
      <c r="BX72" s="10" t="n">
        <f aca="false">-100*Escalation!$B$75</f>
        <v>-112.6162419264</v>
      </c>
      <c r="BY72" s="10" t="n">
        <f aca="false">-100*Escalation!$B$76</f>
        <v>-112.6162419264</v>
      </c>
      <c r="BZ72" s="10" t="n">
        <f aca="false">-100*Escalation!$B$77</f>
        <v>-112.6162419264</v>
      </c>
      <c r="CA72" s="10" t="n">
        <f aca="false">-100*Escalation!$B$78</f>
        <v>-112.6162419264</v>
      </c>
      <c r="CB72" s="10" t="n">
        <f aca="false">-100*Escalation!$B$79</f>
        <v>-112.6162419264</v>
      </c>
      <c r="CC72" s="10" t="n">
        <f aca="false">-100*Escalation!$B$80</f>
        <v>-112.6162419264</v>
      </c>
      <c r="CD72" s="10" t="n">
        <f aca="false">-100*Escalation!$B$81</f>
        <v>-112.6162419264</v>
      </c>
      <c r="CE72" s="10" t="n">
        <f aca="false">-100*Escalation!$B$82</f>
        <v>-112.6162419264</v>
      </c>
      <c r="CF72" s="10" t="n">
        <f aca="false">-100*Escalation!$B$83</f>
        <v>-112.6162419264</v>
      </c>
      <c r="CG72" s="10" t="n">
        <f aca="false">-100*Escalation!$B$84</f>
        <v>-112.6162419264</v>
      </c>
      <c r="CH72" s="10" t="n">
        <f aca="false">-100*Escalation!$B$85</f>
        <v>-112.6162419264</v>
      </c>
      <c r="CI72" s="25"/>
    </row>
    <row r="73" customFormat="false" ht="15" hidden="false" customHeight="true" outlineLevel="0" collapsed="false">
      <c r="A73" s="9" t="s">
        <v>112</v>
      </c>
      <c r="B73" s="24"/>
      <c r="C73" s="10" t="n">
        <f aca="false">-3000*Escalation!$B$2</f>
        <v>-3000</v>
      </c>
      <c r="D73" s="10" t="n">
        <f aca="false">-3000*Escalation!$B$3</f>
        <v>-3000</v>
      </c>
      <c r="E73" s="10" t="n">
        <f aca="false">-3000*Escalation!$B$4</f>
        <v>-3000</v>
      </c>
      <c r="F73" s="10" t="n">
        <f aca="false">-3000*Escalation!$B$5</f>
        <v>-3000</v>
      </c>
      <c r="G73" s="10" t="n">
        <f aca="false">-3000*Escalation!$B$6</f>
        <v>-3000</v>
      </c>
      <c r="H73" s="10" t="n">
        <f aca="false">-3000*Escalation!$B$7</f>
        <v>-3000</v>
      </c>
      <c r="I73" s="10" t="n">
        <f aca="false">-3000*Escalation!$B$8</f>
        <v>-3000</v>
      </c>
      <c r="J73" s="10" t="n">
        <f aca="false">-3000*Escalation!$B$9</f>
        <v>-3000</v>
      </c>
      <c r="K73" s="10" t="n">
        <f aca="false">-3000*Escalation!$B$10</f>
        <v>-3000</v>
      </c>
      <c r="L73" s="10" t="n">
        <f aca="false">-3000*Escalation!$B$11</f>
        <v>-3000</v>
      </c>
      <c r="M73" s="10" t="n">
        <f aca="false">-3000*Escalation!$B$12</f>
        <v>-3000</v>
      </c>
      <c r="N73" s="10" t="n">
        <f aca="false">-3000*Escalation!$B$13</f>
        <v>-3000</v>
      </c>
      <c r="O73" s="10" t="n">
        <f aca="false">-3000*Escalation!$B$14</f>
        <v>-3060</v>
      </c>
      <c r="P73" s="10" t="n">
        <f aca="false">-3000*Escalation!$B$15</f>
        <v>-3060</v>
      </c>
      <c r="Q73" s="10" t="n">
        <f aca="false">-3000*Escalation!$B$16</f>
        <v>-3060</v>
      </c>
      <c r="R73" s="10" t="n">
        <f aca="false">-3000*Escalation!$B$17</f>
        <v>-3060</v>
      </c>
      <c r="S73" s="10" t="n">
        <f aca="false">-3000*Escalation!$B$18</f>
        <v>-3060</v>
      </c>
      <c r="T73" s="10" t="n">
        <f aca="false">-3000*Escalation!$B$19</f>
        <v>-3060</v>
      </c>
      <c r="U73" s="10" t="n">
        <f aca="false">-3000*Escalation!$B$20</f>
        <v>-3060</v>
      </c>
      <c r="V73" s="10" t="n">
        <f aca="false">-3000*Escalation!$B$21</f>
        <v>-3060</v>
      </c>
      <c r="W73" s="10" t="n">
        <f aca="false">-3000*Escalation!$B$22</f>
        <v>-3060</v>
      </c>
      <c r="X73" s="10" t="n">
        <f aca="false">-3000*Escalation!$B$23</f>
        <v>-3060</v>
      </c>
      <c r="Y73" s="10" t="n">
        <f aca="false">-3000*Escalation!$B$24</f>
        <v>-3060</v>
      </c>
      <c r="Z73" s="10" t="n">
        <f aca="false">-3000*Escalation!$B$25</f>
        <v>-3060</v>
      </c>
      <c r="AA73" s="10" t="n">
        <f aca="false">-3000*Escalation!$B$26</f>
        <v>-3121.2</v>
      </c>
      <c r="AB73" s="10" t="n">
        <f aca="false">-3000*Escalation!$B$27</f>
        <v>-3121.2</v>
      </c>
      <c r="AC73" s="10" t="n">
        <f aca="false">-3000*Escalation!$B$28</f>
        <v>-3121.2</v>
      </c>
      <c r="AD73" s="10" t="n">
        <f aca="false">-3000*Escalation!$B$29</f>
        <v>-3121.2</v>
      </c>
      <c r="AE73" s="10" t="n">
        <f aca="false">-3000*Escalation!$B$30</f>
        <v>-3121.2</v>
      </c>
      <c r="AF73" s="10" t="n">
        <f aca="false">-3000*Escalation!$B$31</f>
        <v>-3121.2</v>
      </c>
      <c r="AG73" s="10" t="n">
        <f aca="false">-3000*Escalation!$B$32</f>
        <v>-3121.2</v>
      </c>
      <c r="AH73" s="10" t="n">
        <f aca="false">-3000*Escalation!$B$33</f>
        <v>-3121.2</v>
      </c>
      <c r="AI73" s="10" t="n">
        <f aca="false">-3000*Escalation!$B$34</f>
        <v>-3121.2</v>
      </c>
      <c r="AJ73" s="10" t="n">
        <f aca="false">-3000*Escalation!$B$35</f>
        <v>-3121.2</v>
      </c>
      <c r="AK73" s="10" t="n">
        <f aca="false">-3000*Escalation!$B$36</f>
        <v>-3121.2</v>
      </c>
      <c r="AL73" s="10" t="n">
        <f aca="false">-3000*Escalation!$B$37</f>
        <v>-3121.2</v>
      </c>
      <c r="AM73" s="10" t="n">
        <f aca="false">-3000*Escalation!$B$38</f>
        <v>-3183.624</v>
      </c>
      <c r="AN73" s="10" t="n">
        <f aca="false">-3000*Escalation!$B$39</f>
        <v>-3183.624</v>
      </c>
      <c r="AO73" s="10" t="n">
        <f aca="false">-3000*Escalation!$B$40</f>
        <v>-3183.624</v>
      </c>
      <c r="AP73" s="10" t="n">
        <f aca="false">-3000*Escalation!$B$41</f>
        <v>-3183.624</v>
      </c>
      <c r="AQ73" s="10" t="n">
        <f aca="false">-3000*Escalation!$B$42</f>
        <v>-3183.624</v>
      </c>
      <c r="AR73" s="10" t="n">
        <f aca="false">-3000*Escalation!$B$43</f>
        <v>-3183.624</v>
      </c>
      <c r="AS73" s="10" t="n">
        <f aca="false">-3000*Escalation!$B$44</f>
        <v>-3183.624</v>
      </c>
      <c r="AT73" s="10" t="n">
        <f aca="false">-3000*Escalation!$B$45</f>
        <v>-3183.624</v>
      </c>
      <c r="AU73" s="10" t="n">
        <f aca="false">-3000*Escalation!$B$46</f>
        <v>-3183.624</v>
      </c>
      <c r="AV73" s="10" t="n">
        <f aca="false">-3000*Escalation!$B$47</f>
        <v>-3183.624</v>
      </c>
      <c r="AW73" s="10" t="n">
        <f aca="false">-3000*Escalation!$B$48</f>
        <v>-3183.624</v>
      </c>
      <c r="AX73" s="10" t="n">
        <f aca="false">-3000*Escalation!$B$49</f>
        <v>-3183.624</v>
      </c>
      <c r="AY73" s="10" t="n">
        <f aca="false">-3000*Escalation!$B$50</f>
        <v>-3247.29648</v>
      </c>
      <c r="AZ73" s="10" t="n">
        <f aca="false">-3000*Escalation!$B$51</f>
        <v>-3247.29648</v>
      </c>
      <c r="BA73" s="10" t="n">
        <f aca="false">-3000*Escalation!$B$52</f>
        <v>-3247.29648</v>
      </c>
      <c r="BB73" s="10" t="n">
        <f aca="false">-3000*Escalation!$B$53</f>
        <v>-3247.29648</v>
      </c>
      <c r="BC73" s="10" t="n">
        <f aca="false">-3000*Escalation!$B$54</f>
        <v>-3247.29648</v>
      </c>
      <c r="BD73" s="10" t="n">
        <f aca="false">-3000*Escalation!$B$55</f>
        <v>-3247.29648</v>
      </c>
      <c r="BE73" s="10" t="n">
        <f aca="false">-3000*Escalation!$B$56</f>
        <v>-3247.29648</v>
      </c>
      <c r="BF73" s="10" t="n">
        <f aca="false">-3000*Escalation!$B$57</f>
        <v>-3247.29648</v>
      </c>
      <c r="BG73" s="10" t="n">
        <f aca="false">-3000*Escalation!$B$58</f>
        <v>-3247.29648</v>
      </c>
      <c r="BH73" s="10" t="n">
        <f aca="false">-3000*Escalation!$B$59</f>
        <v>-3247.29648</v>
      </c>
      <c r="BI73" s="10" t="n">
        <f aca="false">-3000*Escalation!$B$60</f>
        <v>-3247.29648</v>
      </c>
      <c r="BJ73" s="10" t="n">
        <f aca="false">-3000*Escalation!$B$61</f>
        <v>-3247.29648</v>
      </c>
      <c r="BK73" s="10" t="n">
        <f aca="false">-3000*Escalation!$B$62</f>
        <v>-3312.2424096</v>
      </c>
      <c r="BL73" s="10" t="n">
        <f aca="false">-3000*Escalation!$B$63</f>
        <v>-3312.2424096</v>
      </c>
      <c r="BM73" s="10" t="n">
        <f aca="false">-3000*Escalation!$B$64</f>
        <v>-3312.2424096</v>
      </c>
      <c r="BN73" s="10" t="n">
        <f aca="false">-3000*Escalation!$B$65</f>
        <v>-3312.2424096</v>
      </c>
      <c r="BO73" s="10" t="n">
        <f aca="false">-3000*Escalation!$B$66</f>
        <v>-3312.2424096</v>
      </c>
      <c r="BP73" s="10" t="n">
        <f aca="false">-3000*Escalation!$B$67</f>
        <v>-3312.2424096</v>
      </c>
      <c r="BQ73" s="10" t="n">
        <f aca="false">-3000*Escalation!$B$68</f>
        <v>-3312.2424096</v>
      </c>
      <c r="BR73" s="10" t="n">
        <f aca="false">-3000*Escalation!$B$69</f>
        <v>-3312.2424096</v>
      </c>
      <c r="BS73" s="10" t="n">
        <f aca="false">-3000*Escalation!$B$70</f>
        <v>-3312.2424096</v>
      </c>
      <c r="BT73" s="10" t="n">
        <f aca="false">-3000*Escalation!$B$71</f>
        <v>-3312.2424096</v>
      </c>
      <c r="BU73" s="10" t="n">
        <f aca="false">-3000*Escalation!$B$72</f>
        <v>-3312.2424096</v>
      </c>
      <c r="BV73" s="10" t="n">
        <f aca="false">-3000*Escalation!$B$73</f>
        <v>-3312.2424096</v>
      </c>
      <c r="BW73" s="10" t="n">
        <f aca="false">-3000*Escalation!$B$74</f>
        <v>-3378.487257792</v>
      </c>
      <c r="BX73" s="10" t="n">
        <f aca="false">-3000*Escalation!$B$75</f>
        <v>-3378.487257792</v>
      </c>
      <c r="BY73" s="10" t="n">
        <f aca="false">-3000*Escalation!$B$76</f>
        <v>-3378.487257792</v>
      </c>
      <c r="BZ73" s="10" t="n">
        <f aca="false">-3000*Escalation!$B$77</f>
        <v>-3378.487257792</v>
      </c>
      <c r="CA73" s="10" t="n">
        <f aca="false">-3000*Escalation!$B$78</f>
        <v>-3378.487257792</v>
      </c>
      <c r="CB73" s="10" t="n">
        <f aca="false">-3000*Escalation!$B$79</f>
        <v>-3378.487257792</v>
      </c>
      <c r="CC73" s="10" t="n">
        <f aca="false">-3000*Escalation!$B$80</f>
        <v>-3378.487257792</v>
      </c>
      <c r="CD73" s="10" t="n">
        <f aca="false">-3000*Escalation!$B$81</f>
        <v>-3378.487257792</v>
      </c>
      <c r="CE73" s="10" t="n">
        <f aca="false">-3000*Escalation!$B$82</f>
        <v>-3378.487257792</v>
      </c>
      <c r="CF73" s="10" t="n">
        <f aca="false">-3000*Escalation!$B$83</f>
        <v>-3378.487257792</v>
      </c>
      <c r="CG73" s="10" t="n">
        <f aca="false">-3000*Escalation!$B$84</f>
        <v>-3378.487257792</v>
      </c>
      <c r="CH73" s="10" t="n">
        <f aca="false">-3000*Escalation!$B$85</f>
        <v>-3378.487257792</v>
      </c>
      <c r="CI73" s="25"/>
    </row>
    <row r="74" customFormat="false" ht="15" hidden="false" customHeight="true" outlineLevel="0" collapsed="false">
      <c r="A74" s="9" t="s">
        <v>113</v>
      </c>
      <c r="B74" s="24"/>
      <c r="C74" s="10" t="n">
        <f aca="false">-2500*Escalation!$B$2</f>
        <v>-2500</v>
      </c>
      <c r="D74" s="10" t="n">
        <f aca="false">-2500*Escalation!$B$3</f>
        <v>-2500</v>
      </c>
      <c r="E74" s="10" t="n">
        <f aca="false">-2500*Escalation!$B$4</f>
        <v>-2500</v>
      </c>
      <c r="F74" s="10" t="n">
        <f aca="false">-2500*Escalation!$B$5</f>
        <v>-2500</v>
      </c>
      <c r="G74" s="10" t="n">
        <f aca="false">-2500*Escalation!$B$6</f>
        <v>-2500</v>
      </c>
      <c r="H74" s="10" t="n">
        <f aca="false">-2500*Escalation!$B$7</f>
        <v>-2500</v>
      </c>
      <c r="I74" s="10" t="n">
        <f aca="false">-2500*Escalation!$B$8</f>
        <v>-2500</v>
      </c>
      <c r="J74" s="10" t="n">
        <f aca="false">-2500*Escalation!$B$9</f>
        <v>-2500</v>
      </c>
      <c r="K74" s="10" t="n">
        <f aca="false">-2500*Escalation!$B$10</f>
        <v>-2500</v>
      </c>
      <c r="L74" s="10" t="n">
        <f aca="false">-2500*Escalation!$B$11</f>
        <v>-2500</v>
      </c>
      <c r="M74" s="10" t="n">
        <f aca="false">-2500*Escalation!$B$12</f>
        <v>-2500</v>
      </c>
      <c r="N74" s="10" t="n">
        <f aca="false">-2500*Escalation!$B$13</f>
        <v>-2500</v>
      </c>
      <c r="O74" s="10" t="n">
        <f aca="false">-2500*Escalation!$B$14</f>
        <v>-2550</v>
      </c>
      <c r="P74" s="10" t="n">
        <f aca="false">-2500*Escalation!$B$15</f>
        <v>-2550</v>
      </c>
      <c r="Q74" s="10" t="n">
        <f aca="false">-2500*Escalation!$B$16</f>
        <v>-2550</v>
      </c>
      <c r="R74" s="10" t="n">
        <f aca="false">-2500*Escalation!$B$17</f>
        <v>-2550</v>
      </c>
      <c r="S74" s="10" t="n">
        <f aca="false">-2500*Escalation!$B$18</f>
        <v>-2550</v>
      </c>
      <c r="T74" s="10" t="n">
        <f aca="false">-2500*Escalation!$B$19</f>
        <v>-2550</v>
      </c>
      <c r="U74" s="10" t="n">
        <f aca="false">-2500*Escalation!$B$20</f>
        <v>-2550</v>
      </c>
      <c r="V74" s="10" t="n">
        <f aca="false">-2500*Escalation!$B$21</f>
        <v>-2550</v>
      </c>
      <c r="W74" s="10" t="n">
        <f aca="false">-2500*Escalation!$B$22</f>
        <v>-2550</v>
      </c>
      <c r="X74" s="10" t="n">
        <f aca="false">-2500*Escalation!$B$23</f>
        <v>-2550</v>
      </c>
      <c r="Y74" s="10" t="n">
        <f aca="false">-2500*Escalation!$B$24</f>
        <v>-2550</v>
      </c>
      <c r="Z74" s="10" t="n">
        <f aca="false">-2500*Escalation!$B$25</f>
        <v>-2550</v>
      </c>
      <c r="AA74" s="10" t="n">
        <f aca="false">-2500*Escalation!$B$26</f>
        <v>-2601</v>
      </c>
      <c r="AB74" s="10" t="n">
        <f aca="false">-2500*Escalation!$B$27</f>
        <v>-2601</v>
      </c>
      <c r="AC74" s="10" t="n">
        <f aca="false">-2500*Escalation!$B$28</f>
        <v>-2601</v>
      </c>
      <c r="AD74" s="10" t="n">
        <f aca="false">-2500*Escalation!$B$29</f>
        <v>-2601</v>
      </c>
      <c r="AE74" s="10" t="n">
        <f aca="false">-2500*Escalation!$B$30</f>
        <v>-2601</v>
      </c>
      <c r="AF74" s="10" t="n">
        <f aca="false">-2500*Escalation!$B$31</f>
        <v>-2601</v>
      </c>
      <c r="AG74" s="10" t="n">
        <f aca="false">-2500*Escalation!$B$32</f>
        <v>-2601</v>
      </c>
      <c r="AH74" s="10" t="n">
        <f aca="false">-2500*Escalation!$B$33</f>
        <v>-2601</v>
      </c>
      <c r="AI74" s="10" t="n">
        <f aca="false">-2500*Escalation!$B$34</f>
        <v>-2601</v>
      </c>
      <c r="AJ74" s="10" t="n">
        <f aca="false">-2500*Escalation!$B$35</f>
        <v>-2601</v>
      </c>
      <c r="AK74" s="10" t="n">
        <f aca="false">-2500*Escalation!$B$36</f>
        <v>-2601</v>
      </c>
      <c r="AL74" s="10" t="n">
        <f aca="false">-2500*Escalation!$B$37</f>
        <v>-2601</v>
      </c>
      <c r="AM74" s="10" t="n">
        <f aca="false">-2500*Escalation!$B$38</f>
        <v>-2653.02</v>
      </c>
      <c r="AN74" s="10" t="n">
        <f aca="false">-2500*Escalation!$B$39</f>
        <v>-2653.02</v>
      </c>
      <c r="AO74" s="10" t="n">
        <f aca="false">-2500*Escalation!$B$40</f>
        <v>-2653.02</v>
      </c>
      <c r="AP74" s="10" t="n">
        <f aca="false">-2500*Escalation!$B$41</f>
        <v>-2653.02</v>
      </c>
      <c r="AQ74" s="10" t="n">
        <f aca="false">-2500*Escalation!$B$42</f>
        <v>-2653.02</v>
      </c>
      <c r="AR74" s="10" t="n">
        <f aca="false">-2500*Escalation!$B$43</f>
        <v>-2653.02</v>
      </c>
      <c r="AS74" s="10" t="n">
        <f aca="false">-2500*Escalation!$B$44</f>
        <v>-2653.02</v>
      </c>
      <c r="AT74" s="10" t="n">
        <f aca="false">-2500*Escalation!$B$45</f>
        <v>-2653.02</v>
      </c>
      <c r="AU74" s="10" t="n">
        <f aca="false">-2500*Escalation!$B$46</f>
        <v>-2653.02</v>
      </c>
      <c r="AV74" s="10" t="n">
        <f aca="false">-2500*Escalation!$B$47</f>
        <v>-2653.02</v>
      </c>
      <c r="AW74" s="10" t="n">
        <f aca="false">-2500*Escalation!$B$48</f>
        <v>-2653.02</v>
      </c>
      <c r="AX74" s="10" t="n">
        <f aca="false">-2500*Escalation!$B$49</f>
        <v>-2653.02</v>
      </c>
      <c r="AY74" s="10" t="n">
        <f aca="false">-2500*Escalation!$B$50</f>
        <v>-2706.0804</v>
      </c>
      <c r="AZ74" s="10" t="n">
        <f aca="false">-2500*Escalation!$B$51</f>
        <v>-2706.0804</v>
      </c>
      <c r="BA74" s="10" t="n">
        <f aca="false">-2500*Escalation!$B$52</f>
        <v>-2706.0804</v>
      </c>
      <c r="BB74" s="10" t="n">
        <f aca="false">-2500*Escalation!$B$53</f>
        <v>-2706.0804</v>
      </c>
      <c r="BC74" s="10" t="n">
        <f aca="false">-2500*Escalation!$B$54</f>
        <v>-2706.0804</v>
      </c>
      <c r="BD74" s="10" t="n">
        <f aca="false">-2500*Escalation!$B$55</f>
        <v>-2706.0804</v>
      </c>
      <c r="BE74" s="10" t="n">
        <f aca="false">-2500*Escalation!$B$56</f>
        <v>-2706.0804</v>
      </c>
      <c r="BF74" s="10" t="n">
        <f aca="false">-2500*Escalation!$B$57</f>
        <v>-2706.0804</v>
      </c>
      <c r="BG74" s="10" t="n">
        <f aca="false">-2500*Escalation!$B$58</f>
        <v>-2706.0804</v>
      </c>
      <c r="BH74" s="10" t="n">
        <f aca="false">-2500*Escalation!$B$59</f>
        <v>-2706.0804</v>
      </c>
      <c r="BI74" s="10" t="n">
        <f aca="false">-2500*Escalation!$B$60</f>
        <v>-2706.0804</v>
      </c>
      <c r="BJ74" s="10" t="n">
        <f aca="false">-2500*Escalation!$B$61</f>
        <v>-2706.0804</v>
      </c>
      <c r="BK74" s="10" t="n">
        <f aca="false">-2500*Escalation!$B$62</f>
        <v>-2760.202008</v>
      </c>
      <c r="BL74" s="10" t="n">
        <f aca="false">-2500*Escalation!$B$63</f>
        <v>-2760.202008</v>
      </c>
      <c r="BM74" s="10" t="n">
        <f aca="false">-2500*Escalation!$B$64</f>
        <v>-2760.202008</v>
      </c>
      <c r="BN74" s="10" t="n">
        <f aca="false">-2500*Escalation!$B$65</f>
        <v>-2760.202008</v>
      </c>
      <c r="BO74" s="10" t="n">
        <f aca="false">-2500*Escalation!$B$66</f>
        <v>-2760.202008</v>
      </c>
      <c r="BP74" s="10" t="n">
        <f aca="false">-2500*Escalation!$B$67</f>
        <v>-2760.202008</v>
      </c>
      <c r="BQ74" s="10" t="n">
        <f aca="false">-2500*Escalation!$B$68</f>
        <v>-2760.202008</v>
      </c>
      <c r="BR74" s="10" t="n">
        <f aca="false">-2500*Escalation!$B$69</f>
        <v>-2760.202008</v>
      </c>
      <c r="BS74" s="10" t="n">
        <f aca="false">-2500*Escalation!$B$70</f>
        <v>-2760.202008</v>
      </c>
      <c r="BT74" s="10" t="n">
        <f aca="false">-2500*Escalation!$B$71</f>
        <v>-2760.202008</v>
      </c>
      <c r="BU74" s="10" t="n">
        <f aca="false">-2500*Escalation!$B$72</f>
        <v>-2760.202008</v>
      </c>
      <c r="BV74" s="10" t="n">
        <f aca="false">-2500*Escalation!$B$73</f>
        <v>-2760.202008</v>
      </c>
      <c r="BW74" s="10" t="n">
        <f aca="false">-2500*Escalation!$B$74</f>
        <v>-2815.40604816</v>
      </c>
      <c r="BX74" s="10" t="n">
        <f aca="false">-2500*Escalation!$B$75</f>
        <v>-2815.40604816</v>
      </c>
      <c r="BY74" s="10" t="n">
        <f aca="false">-2500*Escalation!$B$76</f>
        <v>-2815.40604816</v>
      </c>
      <c r="BZ74" s="10" t="n">
        <f aca="false">-2500*Escalation!$B$77</f>
        <v>-2815.40604816</v>
      </c>
      <c r="CA74" s="10" t="n">
        <f aca="false">-2500*Escalation!$B$78</f>
        <v>-2815.40604816</v>
      </c>
      <c r="CB74" s="10" t="n">
        <f aca="false">-2500*Escalation!$B$79</f>
        <v>-2815.40604816</v>
      </c>
      <c r="CC74" s="10" t="n">
        <f aca="false">-2500*Escalation!$B$80</f>
        <v>-2815.40604816</v>
      </c>
      <c r="CD74" s="10" t="n">
        <f aca="false">-2500*Escalation!$B$81</f>
        <v>-2815.40604816</v>
      </c>
      <c r="CE74" s="10" t="n">
        <f aca="false">-2500*Escalation!$B$82</f>
        <v>-2815.40604816</v>
      </c>
      <c r="CF74" s="10" t="n">
        <f aca="false">-2500*Escalation!$B$83</f>
        <v>-2815.40604816</v>
      </c>
      <c r="CG74" s="10" t="n">
        <f aca="false">-2500*Escalation!$B$84</f>
        <v>-2815.40604816</v>
      </c>
      <c r="CH74" s="10" t="n">
        <f aca="false">-2500*Escalation!$B$85</f>
        <v>-2815.40604816</v>
      </c>
      <c r="CI74" s="25"/>
    </row>
    <row r="75" customFormat="false" ht="15" hidden="false" customHeight="true" outlineLevel="0" collapsed="false">
      <c r="A75" s="9" t="s">
        <v>114</v>
      </c>
      <c r="B75" s="24"/>
      <c r="C75" s="10" t="n">
        <f aca="false">-2100*Escalation!$B$2</f>
        <v>-2100</v>
      </c>
      <c r="D75" s="10" t="n">
        <f aca="false">-2100*Escalation!$B$3</f>
        <v>-2100</v>
      </c>
      <c r="E75" s="10" t="n">
        <f aca="false">-2100*Escalation!$B$4</f>
        <v>-2100</v>
      </c>
      <c r="F75" s="10" t="n">
        <f aca="false">-2100*Escalation!$B$5</f>
        <v>-2100</v>
      </c>
      <c r="G75" s="10" t="n">
        <f aca="false">-2100*Escalation!$B$6</f>
        <v>-2100</v>
      </c>
      <c r="H75" s="10" t="n">
        <f aca="false">-2100*Escalation!$B$7</f>
        <v>-2100</v>
      </c>
      <c r="I75" s="10" t="n">
        <f aca="false">-2100*Escalation!$B$8</f>
        <v>-2100</v>
      </c>
      <c r="J75" s="10" t="n">
        <f aca="false">-2100*Escalation!$B$9</f>
        <v>-2100</v>
      </c>
      <c r="K75" s="10" t="n">
        <f aca="false">-2100*Escalation!$B$10</f>
        <v>-2100</v>
      </c>
      <c r="L75" s="10" t="n">
        <f aca="false">-2100*Escalation!$B$11</f>
        <v>-2100</v>
      </c>
      <c r="M75" s="10" t="n">
        <f aca="false">-2100*Escalation!$B$12</f>
        <v>-2100</v>
      </c>
      <c r="N75" s="10" t="n">
        <f aca="false">-2100*Escalation!$B$13</f>
        <v>-2100</v>
      </c>
      <c r="O75" s="10" t="n">
        <f aca="false">-2100*Escalation!$B$14</f>
        <v>-2142</v>
      </c>
      <c r="P75" s="10" t="n">
        <f aca="false">-2100*Escalation!$B$15</f>
        <v>-2142</v>
      </c>
      <c r="Q75" s="10" t="n">
        <f aca="false">-2100*Escalation!$B$16</f>
        <v>-2142</v>
      </c>
      <c r="R75" s="10" t="n">
        <f aca="false">-2100*Escalation!$B$17</f>
        <v>-2142</v>
      </c>
      <c r="S75" s="10" t="n">
        <f aca="false">-2100*Escalation!$B$18</f>
        <v>-2142</v>
      </c>
      <c r="T75" s="10" t="n">
        <f aca="false">-2100*Escalation!$B$19</f>
        <v>-2142</v>
      </c>
      <c r="U75" s="10" t="n">
        <f aca="false">-2100*Escalation!$B$20</f>
        <v>-2142</v>
      </c>
      <c r="V75" s="10" t="n">
        <f aca="false">-2100*Escalation!$B$21</f>
        <v>-2142</v>
      </c>
      <c r="W75" s="10" t="n">
        <f aca="false">-2100*Escalation!$B$22</f>
        <v>-2142</v>
      </c>
      <c r="X75" s="10" t="n">
        <f aca="false">-2100*Escalation!$B$23</f>
        <v>-2142</v>
      </c>
      <c r="Y75" s="10" t="n">
        <f aca="false">-2100*Escalation!$B$24</f>
        <v>-2142</v>
      </c>
      <c r="Z75" s="10" t="n">
        <f aca="false">-2100*Escalation!$B$25</f>
        <v>-2142</v>
      </c>
      <c r="AA75" s="10" t="n">
        <f aca="false">-2100*Escalation!$B$26</f>
        <v>-2184.84</v>
      </c>
      <c r="AB75" s="10" t="n">
        <f aca="false">-2100*Escalation!$B$27</f>
        <v>-2184.84</v>
      </c>
      <c r="AC75" s="10" t="n">
        <f aca="false">-2100*Escalation!$B$28</f>
        <v>-2184.84</v>
      </c>
      <c r="AD75" s="10" t="n">
        <f aca="false">-2100*Escalation!$B$29</f>
        <v>-2184.84</v>
      </c>
      <c r="AE75" s="10" t="n">
        <f aca="false">-2100*Escalation!$B$30</f>
        <v>-2184.84</v>
      </c>
      <c r="AF75" s="10" t="n">
        <f aca="false">-2100*Escalation!$B$31</f>
        <v>-2184.84</v>
      </c>
      <c r="AG75" s="10" t="n">
        <f aca="false">-2100*Escalation!$B$32</f>
        <v>-2184.84</v>
      </c>
      <c r="AH75" s="10" t="n">
        <f aca="false">-2100*Escalation!$B$33</f>
        <v>-2184.84</v>
      </c>
      <c r="AI75" s="10" t="n">
        <f aca="false">-2100*Escalation!$B$34</f>
        <v>-2184.84</v>
      </c>
      <c r="AJ75" s="10" t="n">
        <f aca="false">-2100*Escalation!$B$35</f>
        <v>-2184.84</v>
      </c>
      <c r="AK75" s="10" t="n">
        <f aca="false">-2100*Escalation!$B$36</f>
        <v>-2184.84</v>
      </c>
      <c r="AL75" s="10" t="n">
        <f aca="false">-2100*Escalation!$B$37</f>
        <v>-2184.84</v>
      </c>
      <c r="AM75" s="10" t="n">
        <f aca="false">-2100*Escalation!$B$38</f>
        <v>-2228.5368</v>
      </c>
      <c r="AN75" s="10" t="n">
        <f aca="false">-2100*Escalation!$B$39</f>
        <v>-2228.5368</v>
      </c>
      <c r="AO75" s="10" t="n">
        <f aca="false">-2100*Escalation!$B$40</f>
        <v>-2228.5368</v>
      </c>
      <c r="AP75" s="10" t="n">
        <f aca="false">-2100*Escalation!$B$41</f>
        <v>-2228.5368</v>
      </c>
      <c r="AQ75" s="10" t="n">
        <f aca="false">-2100*Escalation!$B$42</f>
        <v>-2228.5368</v>
      </c>
      <c r="AR75" s="10" t="n">
        <f aca="false">-2100*Escalation!$B$43</f>
        <v>-2228.5368</v>
      </c>
      <c r="AS75" s="10" t="n">
        <f aca="false">-2100*Escalation!$B$44</f>
        <v>-2228.5368</v>
      </c>
      <c r="AT75" s="10" t="n">
        <f aca="false">-2100*Escalation!$B$45</f>
        <v>-2228.5368</v>
      </c>
      <c r="AU75" s="10" t="n">
        <f aca="false">-2100*Escalation!$B$46</f>
        <v>-2228.5368</v>
      </c>
      <c r="AV75" s="10" t="n">
        <f aca="false">-2100*Escalation!$B$47</f>
        <v>-2228.5368</v>
      </c>
      <c r="AW75" s="10" t="n">
        <f aca="false">-2100*Escalation!$B$48</f>
        <v>-2228.5368</v>
      </c>
      <c r="AX75" s="10" t="n">
        <f aca="false">-2100*Escalation!$B$49</f>
        <v>-2228.5368</v>
      </c>
      <c r="AY75" s="10" t="n">
        <f aca="false">-2100*Escalation!$B$50</f>
        <v>-2273.107536</v>
      </c>
      <c r="AZ75" s="10" t="n">
        <f aca="false">-2100*Escalation!$B$51</f>
        <v>-2273.107536</v>
      </c>
      <c r="BA75" s="10" t="n">
        <f aca="false">-2100*Escalation!$B$52</f>
        <v>-2273.107536</v>
      </c>
      <c r="BB75" s="10" t="n">
        <f aca="false">-2100*Escalation!$B$53</f>
        <v>-2273.107536</v>
      </c>
      <c r="BC75" s="10" t="n">
        <f aca="false">-2100*Escalation!$B$54</f>
        <v>-2273.107536</v>
      </c>
      <c r="BD75" s="10" t="n">
        <f aca="false">-2100*Escalation!$B$55</f>
        <v>-2273.107536</v>
      </c>
      <c r="BE75" s="10" t="n">
        <f aca="false">-2100*Escalation!$B$56</f>
        <v>-2273.107536</v>
      </c>
      <c r="BF75" s="10" t="n">
        <f aca="false">-2100*Escalation!$B$57</f>
        <v>-2273.107536</v>
      </c>
      <c r="BG75" s="10" t="n">
        <f aca="false">-2100*Escalation!$B$58</f>
        <v>-2273.107536</v>
      </c>
      <c r="BH75" s="10" t="n">
        <f aca="false">-2100*Escalation!$B$59</f>
        <v>-2273.107536</v>
      </c>
      <c r="BI75" s="10" t="n">
        <f aca="false">-2100*Escalation!$B$60</f>
        <v>-2273.107536</v>
      </c>
      <c r="BJ75" s="10" t="n">
        <f aca="false">-2100*Escalation!$B$61</f>
        <v>-2273.107536</v>
      </c>
      <c r="BK75" s="10" t="n">
        <f aca="false">-2100*Escalation!$B$62</f>
        <v>-2318.56968672</v>
      </c>
      <c r="BL75" s="10" t="n">
        <f aca="false">-2100*Escalation!$B$63</f>
        <v>-2318.56968672</v>
      </c>
      <c r="BM75" s="10" t="n">
        <f aca="false">-2100*Escalation!$B$64</f>
        <v>-2318.56968672</v>
      </c>
      <c r="BN75" s="10" t="n">
        <f aca="false">-2100*Escalation!$B$65</f>
        <v>-2318.56968672</v>
      </c>
      <c r="BO75" s="10" t="n">
        <f aca="false">-2100*Escalation!$B$66</f>
        <v>-2318.56968672</v>
      </c>
      <c r="BP75" s="10" t="n">
        <f aca="false">-2100*Escalation!$B$67</f>
        <v>-2318.56968672</v>
      </c>
      <c r="BQ75" s="10" t="n">
        <f aca="false">-2100*Escalation!$B$68</f>
        <v>-2318.56968672</v>
      </c>
      <c r="BR75" s="10" t="n">
        <f aca="false">-2100*Escalation!$B$69</f>
        <v>-2318.56968672</v>
      </c>
      <c r="BS75" s="10" t="n">
        <f aca="false">-2100*Escalation!$B$70</f>
        <v>-2318.56968672</v>
      </c>
      <c r="BT75" s="10" t="n">
        <f aca="false">-2100*Escalation!$B$71</f>
        <v>-2318.56968672</v>
      </c>
      <c r="BU75" s="10" t="n">
        <f aca="false">-2100*Escalation!$B$72</f>
        <v>-2318.56968672</v>
      </c>
      <c r="BV75" s="10" t="n">
        <f aca="false">-2100*Escalation!$B$73</f>
        <v>-2318.56968672</v>
      </c>
      <c r="BW75" s="10" t="n">
        <f aca="false">-2100*Escalation!$B$74</f>
        <v>-2364.9410804544</v>
      </c>
      <c r="BX75" s="10" t="n">
        <f aca="false">-2100*Escalation!$B$75</f>
        <v>-2364.9410804544</v>
      </c>
      <c r="BY75" s="10" t="n">
        <f aca="false">-2100*Escalation!$B$76</f>
        <v>-2364.9410804544</v>
      </c>
      <c r="BZ75" s="10" t="n">
        <f aca="false">-2100*Escalation!$B$77</f>
        <v>-2364.9410804544</v>
      </c>
      <c r="CA75" s="10" t="n">
        <f aca="false">-2100*Escalation!$B$78</f>
        <v>-2364.9410804544</v>
      </c>
      <c r="CB75" s="10" t="n">
        <f aca="false">-2100*Escalation!$B$79</f>
        <v>-2364.9410804544</v>
      </c>
      <c r="CC75" s="10" t="n">
        <f aca="false">-2100*Escalation!$B$80</f>
        <v>-2364.9410804544</v>
      </c>
      <c r="CD75" s="10" t="n">
        <f aca="false">-2100*Escalation!$B$81</f>
        <v>-2364.9410804544</v>
      </c>
      <c r="CE75" s="10" t="n">
        <f aca="false">-2100*Escalation!$B$82</f>
        <v>-2364.9410804544</v>
      </c>
      <c r="CF75" s="10" t="n">
        <f aca="false">-2100*Escalation!$B$83</f>
        <v>-2364.9410804544</v>
      </c>
      <c r="CG75" s="10" t="n">
        <f aca="false">-2100*Escalation!$B$84</f>
        <v>-2364.9410804544</v>
      </c>
      <c r="CH75" s="10" t="n">
        <f aca="false">-2100*Escalation!$B$85</f>
        <v>-2364.9410804544</v>
      </c>
      <c r="CI75" s="25"/>
    </row>
    <row r="76" customFormat="false" ht="15" hidden="false" customHeight="true" outlineLevel="0" collapsed="false">
      <c r="A76" s="9" t="s">
        <v>115</v>
      </c>
      <c r="B76" s="24"/>
      <c r="C76" s="10" t="n">
        <f aca="false">-2500*Escalation!$B$2</f>
        <v>-2500</v>
      </c>
      <c r="D76" s="10" t="n">
        <f aca="false">-2500*Escalation!$B$3</f>
        <v>-2500</v>
      </c>
      <c r="E76" s="10" t="n">
        <f aca="false">-2500*Escalation!$B$4</f>
        <v>-2500</v>
      </c>
      <c r="F76" s="10" t="n">
        <f aca="false">-2500*Escalation!$B$5</f>
        <v>-2500</v>
      </c>
      <c r="G76" s="10" t="n">
        <f aca="false">-2500*Escalation!$B$6</f>
        <v>-2500</v>
      </c>
      <c r="H76" s="10" t="n">
        <f aca="false">-2500*Escalation!$B$7</f>
        <v>-2500</v>
      </c>
      <c r="I76" s="10" t="n">
        <f aca="false">-2500*Escalation!$B$8</f>
        <v>-2500</v>
      </c>
      <c r="J76" s="10" t="n">
        <f aca="false">-2500*Escalation!$B$9</f>
        <v>-2500</v>
      </c>
      <c r="K76" s="10" t="n">
        <f aca="false">-2500*Escalation!$B$10</f>
        <v>-2500</v>
      </c>
      <c r="L76" s="10" t="n">
        <f aca="false">-2500*Escalation!$B$11</f>
        <v>-2500</v>
      </c>
      <c r="M76" s="10" t="n">
        <f aca="false">-2500*Escalation!$B$12</f>
        <v>-2500</v>
      </c>
      <c r="N76" s="10" t="n">
        <f aca="false">-2500*Escalation!$B$13</f>
        <v>-2500</v>
      </c>
      <c r="O76" s="10" t="n">
        <f aca="false">-2500*Escalation!$B$14</f>
        <v>-2550</v>
      </c>
      <c r="P76" s="10" t="n">
        <f aca="false">-2500*Escalation!$B$15</f>
        <v>-2550</v>
      </c>
      <c r="Q76" s="10" t="n">
        <f aca="false">-2500*Escalation!$B$16</f>
        <v>-2550</v>
      </c>
      <c r="R76" s="10" t="n">
        <f aca="false">-2500*Escalation!$B$17</f>
        <v>-2550</v>
      </c>
      <c r="S76" s="10" t="n">
        <f aca="false">-2500*Escalation!$B$18</f>
        <v>-2550</v>
      </c>
      <c r="T76" s="10" t="n">
        <f aca="false">-2500*Escalation!$B$19</f>
        <v>-2550</v>
      </c>
      <c r="U76" s="10" t="n">
        <f aca="false">-2500*Escalation!$B$20</f>
        <v>-2550</v>
      </c>
      <c r="V76" s="10" t="n">
        <f aca="false">-2500*Escalation!$B$21</f>
        <v>-2550</v>
      </c>
      <c r="W76" s="10" t="n">
        <f aca="false">-2500*Escalation!$B$22</f>
        <v>-2550</v>
      </c>
      <c r="X76" s="10" t="n">
        <f aca="false">-2500*Escalation!$B$23</f>
        <v>-2550</v>
      </c>
      <c r="Y76" s="10" t="n">
        <f aca="false">-2500*Escalation!$B$24</f>
        <v>-2550</v>
      </c>
      <c r="Z76" s="10" t="n">
        <f aca="false">-2500*Escalation!$B$25</f>
        <v>-2550</v>
      </c>
      <c r="AA76" s="10" t="n">
        <f aca="false">-2500*Escalation!$B$26</f>
        <v>-2601</v>
      </c>
      <c r="AB76" s="10" t="n">
        <f aca="false">-2500*Escalation!$B$27</f>
        <v>-2601</v>
      </c>
      <c r="AC76" s="10" t="n">
        <f aca="false">-2500*Escalation!$B$28</f>
        <v>-2601</v>
      </c>
      <c r="AD76" s="10" t="n">
        <f aca="false">-2500*Escalation!$B$29</f>
        <v>-2601</v>
      </c>
      <c r="AE76" s="10" t="n">
        <f aca="false">-2500*Escalation!$B$30</f>
        <v>-2601</v>
      </c>
      <c r="AF76" s="10" t="n">
        <f aca="false">-2500*Escalation!$B$31</f>
        <v>-2601</v>
      </c>
      <c r="AG76" s="10" t="n">
        <f aca="false">-2500*Escalation!$B$32</f>
        <v>-2601</v>
      </c>
      <c r="AH76" s="10" t="n">
        <f aca="false">-2500*Escalation!$B$33</f>
        <v>-2601</v>
      </c>
      <c r="AI76" s="10" t="n">
        <f aca="false">-2500*Escalation!$B$34</f>
        <v>-2601</v>
      </c>
      <c r="AJ76" s="10" t="n">
        <f aca="false">-2500*Escalation!$B$35</f>
        <v>-2601</v>
      </c>
      <c r="AK76" s="10" t="n">
        <f aca="false">-2500*Escalation!$B$36</f>
        <v>-2601</v>
      </c>
      <c r="AL76" s="10" t="n">
        <f aca="false">-2500*Escalation!$B$37</f>
        <v>-2601</v>
      </c>
      <c r="AM76" s="10" t="n">
        <f aca="false">-2500*Escalation!$B$38</f>
        <v>-2653.02</v>
      </c>
      <c r="AN76" s="10" t="n">
        <f aca="false">-2500*Escalation!$B$39</f>
        <v>-2653.02</v>
      </c>
      <c r="AO76" s="10" t="n">
        <f aca="false">-2500*Escalation!$B$40</f>
        <v>-2653.02</v>
      </c>
      <c r="AP76" s="10" t="n">
        <f aca="false">-2500*Escalation!$B$41</f>
        <v>-2653.02</v>
      </c>
      <c r="AQ76" s="10" t="n">
        <f aca="false">-2500*Escalation!$B$42</f>
        <v>-2653.02</v>
      </c>
      <c r="AR76" s="10" t="n">
        <f aca="false">-2500*Escalation!$B$43</f>
        <v>-2653.02</v>
      </c>
      <c r="AS76" s="10" t="n">
        <f aca="false">-2500*Escalation!$B$44</f>
        <v>-2653.02</v>
      </c>
      <c r="AT76" s="10" t="n">
        <f aca="false">-2500*Escalation!$B$45</f>
        <v>-2653.02</v>
      </c>
      <c r="AU76" s="10" t="n">
        <f aca="false">-2500*Escalation!$B$46</f>
        <v>-2653.02</v>
      </c>
      <c r="AV76" s="10" t="n">
        <f aca="false">-2500*Escalation!$B$47</f>
        <v>-2653.02</v>
      </c>
      <c r="AW76" s="10" t="n">
        <f aca="false">-2500*Escalation!$B$48</f>
        <v>-2653.02</v>
      </c>
      <c r="AX76" s="10" t="n">
        <f aca="false">-2500*Escalation!$B$49</f>
        <v>-2653.02</v>
      </c>
      <c r="AY76" s="10" t="n">
        <f aca="false">-2500*Escalation!$B$50</f>
        <v>-2706.0804</v>
      </c>
      <c r="AZ76" s="10" t="n">
        <f aca="false">-2500*Escalation!$B$51</f>
        <v>-2706.0804</v>
      </c>
      <c r="BA76" s="10" t="n">
        <f aca="false">-2500*Escalation!$B$52</f>
        <v>-2706.0804</v>
      </c>
      <c r="BB76" s="10" t="n">
        <f aca="false">-2500*Escalation!$B$53</f>
        <v>-2706.0804</v>
      </c>
      <c r="BC76" s="10" t="n">
        <f aca="false">-2500*Escalation!$B$54</f>
        <v>-2706.0804</v>
      </c>
      <c r="BD76" s="10" t="n">
        <f aca="false">-2500*Escalation!$B$55</f>
        <v>-2706.0804</v>
      </c>
      <c r="BE76" s="10" t="n">
        <f aca="false">-2500*Escalation!$B$56</f>
        <v>-2706.0804</v>
      </c>
      <c r="BF76" s="10" t="n">
        <f aca="false">-2500*Escalation!$B$57</f>
        <v>-2706.0804</v>
      </c>
      <c r="BG76" s="10" t="n">
        <f aca="false">-2500*Escalation!$B$58</f>
        <v>-2706.0804</v>
      </c>
      <c r="BH76" s="10" t="n">
        <f aca="false">-2500*Escalation!$B$59</f>
        <v>-2706.0804</v>
      </c>
      <c r="BI76" s="10" t="n">
        <f aca="false">-2500*Escalation!$B$60</f>
        <v>-2706.0804</v>
      </c>
      <c r="BJ76" s="10" t="n">
        <f aca="false">-2500*Escalation!$B$61</f>
        <v>-2706.0804</v>
      </c>
      <c r="BK76" s="10" t="n">
        <f aca="false">-2500*Escalation!$B$62</f>
        <v>-2760.202008</v>
      </c>
      <c r="BL76" s="10" t="n">
        <f aca="false">-2500*Escalation!$B$63</f>
        <v>-2760.202008</v>
      </c>
      <c r="BM76" s="10" t="n">
        <f aca="false">-2500*Escalation!$B$64</f>
        <v>-2760.202008</v>
      </c>
      <c r="BN76" s="10" t="n">
        <f aca="false">-2500*Escalation!$B$65</f>
        <v>-2760.202008</v>
      </c>
      <c r="BO76" s="10" t="n">
        <f aca="false">-2500*Escalation!$B$66</f>
        <v>-2760.202008</v>
      </c>
      <c r="BP76" s="10" t="n">
        <f aca="false">-2500*Escalation!$B$67</f>
        <v>-2760.202008</v>
      </c>
      <c r="BQ76" s="10" t="n">
        <f aca="false">-2500*Escalation!$B$68</f>
        <v>-2760.202008</v>
      </c>
      <c r="BR76" s="10" t="n">
        <f aca="false">-2500*Escalation!$B$69</f>
        <v>-2760.202008</v>
      </c>
      <c r="BS76" s="10" t="n">
        <f aca="false">-2500*Escalation!$B$70</f>
        <v>-2760.202008</v>
      </c>
      <c r="BT76" s="10" t="n">
        <f aca="false">-2500*Escalation!$B$71</f>
        <v>-2760.202008</v>
      </c>
      <c r="BU76" s="10" t="n">
        <f aca="false">-2500*Escalation!$B$72</f>
        <v>-2760.202008</v>
      </c>
      <c r="BV76" s="10" t="n">
        <f aca="false">-2500*Escalation!$B$73</f>
        <v>-2760.202008</v>
      </c>
      <c r="BW76" s="10" t="n">
        <f aca="false">-2500*Escalation!$B$74</f>
        <v>-2815.40604816</v>
      </c>
      <c r="BX76" s="10" t="n">
        <f aca="false">-2500*Escalation!$B$75</f>
        <v>-2815.40604816</v>
      </c>
      <c r="BY76" s="10" t="n">
        <f aca="false">-2500*Escalation!$B$76</f>
        <v>-2815.40604816</v>
      </c>
      <c r="BZ76" s="10" t="n">
        <f aca="false">-2500*Escalation!$B$77</f>
        <v>-2815.40604816</v>
      </c>
      <c r="CA76" s="10" t="n">
        <f aca="false">-2500*Escalation!$B$78</f>
        <v>-2815.40604816</v>
      </c>
      <c r="CB76" s="10" t="n">
        <f aca="false">-2500*Escalation!$B$79</f>
        <v>-2815.40604816</v>
      </c>
      <c r="CC76" s="10" t="n">
        <f aca="false">-2500*Escalation!$B$80</f>
        <v>-2815.40604816</v>
      </c>
      <c r="CD76" s="10" t="n">
        <f aca="false">-2500*Escalation!$B$81</f>
        <v>-2815.40604816</v>
      </c>
      <c r="CE76" s="10" t="n">
        <f aca="false">-2500*Escalation!$B$82</f>
        <v>-2815.40604816</v>
      </c>
      <c r="CF76" s="10" t="n">
        <f aca="false">-2500*Escalation!$B$83</f>
        <v>-2815.40604816</v>
      </c>
      <c r="CG76" s="10" t="n">
        <f aca="false">-2500*Escalation!$B$84</f>
        <v>-2815.40604816</v>
      </c>
      <c r="CH76" s="10" t="n">
        <f aca="false">-2500*Escalation!$B$85</f>
        <v>-2815.40604816</v>
      </c>
      <c r="CI76" s="25"/>
    </row>
    <row r="77" customFormat="false" ht="15" hidden="false" customHeight="true" outlineLevel="0" collapsed="false">
      <c r="A77" s="9" t="s">
        <v>116</v>
      </c>
      <c r="B77" s="24"/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f aca="false">-21000*Escalation!$B$10</f>
        <v>-21000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f aca="false">-21000*Escalation!$B$22</f>
        <v>-21420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0</v>
      </c>
      <c r="AI77" s="10" t="n">
        <f aca="false">-21000*Escalation!$B$34</f>
        <v>-21848.4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f aca="false">-21000*Escalation!$B$46</f>
        <v>-22285.368</v>
      </c>
      <c r="AV77" s="10" t="n">
        <v>0</v>
      </c>
      <c r="AW77" s="10" t="n">
        <v>0</v>
      </c>
      <c r="AX77" s="10" t="n">
        <v>0</v>
      </c>
      <c r="AY77" s="10" t="n">
        <v>0</v>
      </c>
      <c r="AZ77" s="10" t="n">
        <v>0</v>
      </c>
      <c r="BA77" s="10" t="n">
        <v>0</v>
      </c>
      <c r="BB77" s="10" t="n">
        <v>0</v>
      </c>
      <c r="BC77" s="10" t="n">
        <v>0</v>
      </c>
      <c r="BD77" s="10" t="n">
        <v>0</v>
      </c>
      <c r="BE77" s="10" t="n">
        <v>0</v>
      </c>
      <c r="BF77" s="10" t="n">
        <v>0</v>
      </c>
      <c r="BG77" s="10" t="n">
        <f aca="false">-21000*Escalation!$B$58</f>
        <v>-22731.07536</v>
      </c>
      <c r="BH77" s="10" t="n">
        <v>0</v>
      </c>
      <c r="BI77" s="10" t="n">
        <v>0</v>
      </c>
      <c r="BJ77" s="10" t="n">
        <v>0</v>
      </c>
      <c r="BK77" s="10" t="n">
        <v>0</v>
      </c>
      <c r="BL77" s="10" t="n">
        <v>0</v>
      </c>
      <c r="BM77" s="10" t="n">
        <v>0</v>
      </c>
      <c r="BN77" s="10" t="n">
        <v>0</v>
      </c>
      <c r="BO77" s="10" t="n">
        <v>0</v>
      </c>
      <c r="BP77" s="10" t="n">
        <v>0</v>
      </c>
      <c r="BQ77" s="10" t="n">
        <v>0</v>
      </c>
      <c r="BR77" s="10" t="n">
        <v>0</v>
      </c>
      <c r="BS77" s="10" t="n">
        <f aca="false">-21000*Escalation!$B$70</f>
        <v>-23185.6968672</v>
      </c>
      <c r="BT77" s="10" t="n">
        <v>0</v>
      </c>
      <c r="BU77" s="10" t="n">
        <v>0</v>
      </c>
      <c r="BV77" s="10" t="n">
        <v>0</v>
      </c>
      <c r="BW77" s="10" t="n">
        <v>0</v>
      </c>
      <c r="BX77" s="10" t="n">
        <v>0</v>
      </c>
      <c r="BY77" s="10" t="n">
        <v>0</v>
      </c>
      <c r="BZ77" s="10" t="n">
        <v>0</v>
      </c>
      <c r="CA77" s="10" t="n">
        <v>0</v>
      </c>
      <c r="CB77" s="10" t="n">
        <v>0</v>
      </c>
      <c r="CC77" s="10" t="n">
        <v>0</v>
      </c>
      <c r="CD77" s="10" t="n">
        <v>0</v>
      </c>
      <c r="CE77" s="10" t="n">
        <f aca="false">-21000*Escalation!$B$82</f>
        <v>-23649.410804544</v>
      </c>
      <c r="CF77" s="10" t="n">
        <v>0</v>
      </c>
      <c r="CG77" s="10" t="n">
        <v>0</v>
      </c>
      <c r="CH77" s="10" t="n">
        <v>0</v>
      </c>
      <c r="CI77" s="25"/>
    </row>
    <row r="78" customFormat="false" ht="15" hidden="false" customHeight="true" outlineLevel="0" collapsed="false">
      <c r="A78" s="9" t="s">
        <v>117</v>
      </c>
      <c r="B78" s="24"/>
      <c r="C78" s="10" t="n">
        <v>0</v>
      </c>
      <c r="D78" s="10" t="n">
        <v>0</v>
      </c>
      <c r="E78" s="10" t="n">
        <v>0</v>
      </c>
      <c r="F78" s="10" t="n">
        <f aca="false">-23000*Escalation!$B$5</f>
        <v>-23000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f aca="false">-23000*Escalation!$B$17</f>
        <v>-23460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f aca="false">-23000*Escalation!$B$29</f>
        <v>-23929.2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f aca="false">-23000*Escalation!$B$41</f>
        <v>-24407.784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v>0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f aca="false">-23000*Escalation!$B$53</f>
        <v>-24895.93968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v>0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f aca="false">-23000*Escalation!$B$65</f>
        <v>-25393.8584736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v>0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f aca="false">-23000*Escalation!$B$77</f>
        <v>-25901.735643072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v>0</v>
      </c>
      <c r="CF78" s="10" t="n">
        <v>0</v>
      </c>
      <c r="CG78" s="10" t="n">
        <v>0</v>
      </c>
      <c r="CH78" s="10" t="n">
        <v>0</v>
      </c>
      <c r="CI78" s="25"/>
    </row>
    <row r="79" customFormat="false" ht="15" hidden="false" customHeight="true" outlineLevel="0" collapsed="false">
      <c r="A79" s="9" t="s">
        <v>118</v>
      </c>
      <c r="B79" s="24"/>
      <c r="C79" s="10" t="n">
        <f aca="false"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-0</v>
      </c>
      <c r="D79" s="10" t="n">
        <f aca="false"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-0</v>
      </c>
      <c r="E79" s="10" t="n">
        <f aca="false"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-0</v>
      </c>
      <c r="F79" s="10" t="n">
        <f aca="false"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-0</v>
      </c>
      <c r="G79" s="10" t="n">
        <f aca="false"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-0</v>
      </c>
      <c r="H79" s="10" t="n">
        <f aca="false"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-0</v>
      </c>
      <c r="I79" s="10" t="n">
        <f aca="false"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-0</v>
      </c>
      <c r="J79" s="10" t="n">
        <f aca="false"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-0</v>
      </c>
      <c r="K79" s="10" t="n">
        <f aca="false"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-0</v>
      </c>
      <c r="L79" s="10" t="n">
        <f aca="false"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-0</v>
      </c>
      <c r="M79" s="10" t="n">
        <f aca="false"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-0</v>
      </c>
      <c r="N79" s="10" t="n">
        <f aca="false"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-0</v>
      </c>
      <c r="O79" s="10" t="n">
        <f aca="false"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-0</v>
      </c>
      <c r="P79" s="10" t="n">
        <f aca="false"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-0</v>
      </c>
      <c r="Q79" s="10" t="n">
        <f aca="false"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-0</v>
      </c>
      <c r="R79" s="10" t="n">
        <f aca="false"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-0</v>
      </c>
      <c r="S79" s="10" t="n">
        <f aca="false"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-0</v>
      </c>
      <c r="T79" s="10" t="n">
        <f aca="false"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-0</v>
      </c>
      <c r="U79" s="10" t="n">
        <f aca="false"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-0</v>
      </c>
      <c r="V79" s="10" t="n">
        <f aca="false"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-0</v>
      </c>
      <c r="W79" s="10" t="n">
        <f aca="false"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-0</v>
      </c>
      <c r="X79" s="10" t="n">
        <f aca="false"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-0</v>
      </c>
      <c r="Y79" s="10" t="n">
        <f aca="false"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-0</v>
      </c>
      <c r="Z79" s="10" t="n">
        <f aca="false"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-0</v>
      </c>
      <c r="AA79" s="10" t="n">
        <f aca="false"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-0</v>
      </c>
      <c r="AB79" s="10" t="n">
        <f aca="false"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-0</v>
      </c>
      <c r="AC79" s="10" t="n">
        <f aca="false"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-0</v>
      </c>
      <c r="AD79" s="10" t="n">
        <f aca="false"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-0</v>
      </c>
      <c r="AE79" s="10" t="n">
        <f aca="false"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-0</v>
      </c>
      <c r="AF79" s="10" t="n">
        <f aca="false"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-0</v>
      </c>
      <c r="AG79" s="10" t="n">
        <f aca="false"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-0</v>
      </c>
      <c r="AH79" s="10" t="n">
        <f aca="false"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-0</v>
      </c>
      <c r="AI79" s="10" t="n">
        <f aca="false"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-0</v>
      </c>
      <c r="AJ79" s="10" t="n">
        <f aca="false"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-0</v>
      </c>
      <c r="AK79" s="10" t="n">
        <f aca="false"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-0</v>
      </c>
      <c r="AL79" s="10" t="n">
        <f aca="false"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-0</v>
      </c>
      <c r="AM79" s="10" t="n">
        <f aca="false"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-0</v>
      </c>
      <c r="AN79" s="10" t="n">
        <f aca="false"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-0</v>
      </c>
      <c r="AO79" s="10" t="n">
        <f aca="false"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-0</v>
      </c>
      <c r="AP79" s="10" t="n">
        <f aca="false"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-0</v>
      </c>
      <c r="AQ79" s="10" t="n">
        <f aca="false"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-0</v>
      </c>
      <c r="AR79" s="10" t="n">
        <f aca="false"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-0</v>
      </c>
      <c r="AS79" s="10" t="n">
        <f aca="false"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-0</v>
      </c>
      <c r="AT79" s="10" t="n">
        <f aca="false"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-0</v>
      </c>
      <c r="AU79" s="10" t="n">
        <f aca="false"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-0</v>
      </c>
      <c r="AV79" s="10" t="n">
        <f aca="false"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-0</v>
      </c>
      <c r="AW79" s="10" t="n">
        <f aca="false"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-0</v>
      </c>
      <c r="AX79" s="10" t="n">
        <f aca="false"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-0</v>
      </c>
      <c r="AY79" s="10" t="n">
        <f aca="false"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-0</v>
      </c>
      <c r="AZ79" s="10" t="n">
        <f aca="false"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-0</v>
      </c>
      <c r="BA79" s="10" t="n">
        <f aca="false"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-0</v>
      </c>
      <c r="BB79" s="10" t="n">
        <f aca="false"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-0</v>
      </c>
      <c r="BC79" s="10" t="n">
        <f aca="false"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-0</v>
      </c>
      <c r="BD79" s="10" t="n">
        <f aca="false"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-0</v>
      </c>
      <c r="BE79" s="10" t="n">
        <f aca="false"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-0</v>
      </c>
      <c r="BF79" s="10" t="n">
        <f aca="false"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-0</v>
      </c>
      <c r="BG79" s="10" t="n">
        <f aca="false"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-0</v>
      </c>
      <c r="BH79" s="10" t="n">
        <f aca="false"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-0</v>
      </c>
      <c r="BI79" s="10" t="n">
        <f aca="false"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-0</v>
      </c>
      <c r="BJ79" s="10" t="n">
        <f aca="false"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-0</v>
      </c>
      <c r="BK79" s="10" t="n">
        <f aca="false"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-0</v>
      </c>
      <c r="BL79" s="10" t="n">
        <f aca="false"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-0</v>
      </c>
      <c r="BM79" s="10" t="n">
        <f aca="false"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-0</v>
      </c>
      <c r="BN79" s="10" t="n">
        <f aca="false"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-0</v>
      </c>
      <c r="BO79" s="10" t="n">
        <f aca="false"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-0</v>
      </c>
      <c r="BP79" s="10" t="n">
        <f aca="false"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-0</v>
      </c>
      <c r="BQ79" s="10" t="n">
        <f aca="false"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-0</v>
      </c>
      <c r="BR79" s="10" t="n">
        <f aca="false"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-0</v>
      </c>
      <c r="BS79" s="10" t="n">
        <f aca="false"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-0</v>
      </c>
      <c r="BT79" s="10" t="n">
        <f aca="false"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-0</v>
      </c>
      <c r="BU79" s="10" t="n">
        <f aca="false"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-0</v>
      </c>
      <c r="BV79" s="10" t="n">
        <f aca="false"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-0</v>
      </c>
      <c r="BW79" s="10" t="n">
        <f aca="false"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-0</v>
      </c>
      <c r="BX79" s="10" t="n">
        <f aca="false"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-0</v>
      </c>
      <c r="BY79" s="10" t="n">
        <f aca="false"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-0</v>
      </c>
      <c r="BZ79" s="10" t="n">
        <f aca="false"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-0</v>
      </c>
      <c r="CA79" s="10" t="n">
        <f aca="false"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-0</v>
      </c>
      <c r="CB79" s="10" t="n">
        <f aca="false"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-0</v>
      </c>
      <c r="CC79" s="10" t="n">
        <f aca="false"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-0</v>
      </c>
      <c r="CD79" s="10" t="n">
        <f aca="false"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-0</v>
      </c>
      <c r="CE79" s="10" t="n">
        <f aca="false"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-0</v>
      </c>
      <c r="CF79" s="10" t="n">
        <f aca="false"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-0</v>
      </c>
      <c r="CG79" s="10" t="n">
        <f aca="false"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-0</v>
      </c>
      <c r="CH79" s="10" t="n">
        <f aca="false"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-0</v>
      </c>
      <c r="CI79" s="25"/>
    </row>
    <row r="80" customFormat="false" ht="15" hidden="false" customHeight="true" outlineLevel="0" collapsed="false">
      <c r="A80" s="9" t="s">
        <v>119</v>
      </c>
      <c r="B80" s="24"/>
      <c r="C80" s="10" t="n">
        <f aca="false"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-0</v>
      </c>
      <c r="D80" s="10" t="n">
        <f aca="false"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-0</v>
      </c>
      <c r="E80" s="10" t="n">
        <f aca="false"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-0</v>
      </c>
      <c r="F80" s="10" t="n">
        <f aca="false"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-0</v>
      </c>
      <c r="G80" s="10" t="n">
        <f aca="false"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-0</v>
      </c>
      <c r="H80" s="10" t="n">
        <f aca="false"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-0</v>
      </c>
      <c r="I80" s="10" t="n">
        <f aca="false"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-0</v>
      </c>
      <c r="J80" s="10" t="n">
        <f aca="false"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-0</v>
      </c>
      <c r="K80" s="10" t="n">
        <f aca="false"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-0</v>
      </c>
      <c r="L80" s="10" t="n">
        <f aca="false"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-0</v>
      </c>
      <c r="M80" s="10" t="n">
        <f aca="false"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-0</v>
      </c>
      <c r="N80" s="10" t="n">
        <f aca="false"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-0</v>
      </c>
      <c r="O80" s="10" t="n">
        <f aca="false"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-0</v>
      </c>
      <c r="P80" s="10" t="n">
        <f aca="false"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-0</v>
      </c>
      <c r="Q80" s="10" t="n">
        <f aca="false"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-0</v>
      </c>
      <c r="R80" s="10" t="n">
        <f aca="false"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-0</v>
      </c>
      <c r="S80" s="10" t="n">
        <f aca="false"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-0</v>
      </c>
      <c r="T80" s="10" t="n">
        <f aca="false"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-0</v>
      </c>
      <c r="U80" s="10" t="n">
        <f aca="false"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-0</v>
      </c>
      <c r="V80" s="10" t="n">
        <f aca="false"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-0</v>
      </c>
      <c r="W80" s="10" t="n">
        <f aca="false"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-0</v>
      </c>
      <c r="X80" s="10" t="n">
        <f aca="false"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-0</v>
      </c>
      <c r="Y80" s="10" t="n">
        <f aca="false"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-0</v>
      </c>
      <c r="Z80" s="10" t="n">
        <f aca="false"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-0</v>
      </c>
      <c r="AA80" s="10" t="n">
        <f aca="false"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-0</v>
      </c>
      <c r="AB80" s="10" t="n">
        <f aca="false"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-0</v>
      </c>
      <c r="AC80" s="10" t="n">
        <f aca="false"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-0</v>
      </c>
      <c r="AD80" s="10" t="n">
        <f aca="false"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-0</v>
      </c>
      <c r="AE80" s="10" t="n">
        <f aca="false"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-0</v>
      </c>
      <c r="AF80" s="10" t="n">
        <f aca="false"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-0</v>
      </c>
      <c r="AG80" s="10" t="n">
        <f aca="false"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-0</v>
      </c>
      <c r="AH80" s="10" t="n">
        <f aca="false"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-0</v>
      </c>
      <c r="AI80" s="10" t="n">
        <f aca="false"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-0</v>
      </c>
      <c r="AJ80" s="10" t="n">
        <f aca="false"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-0</v>
      </c>
      <c r="AK80" s="10" t="n">
        <f aca="false"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-0</v>
      </c>
      <c r="AL80" s="10" t="n">
        <f aca="false"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-0</v>
      </c>
      <c r="AM80" s="10" t="n">
        <f aca="false"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-0</v>
      </c>
      <c r="AN80" s="10" t="n">
        <f aca="false"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-0</v>
      </c>
      <c r="AO80" s="10" t="n">
        <f aca="false"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-0</v>
      </c>
      <c r="AP80" s="10" t="n">
        <f aca="false"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-0</v>
      </c>
      <c r="AQ80" s="10" t="n">
        <f aca="false"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-0</v>
      </c>
      <c r="AR80" s="10" t="n">
        <f aca="false"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-0</v>
      </c>
      <c r="AS80" s="10" t="n">
        <f aca="false"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-0</v>
      </c>
      <c r="AT80" s="10" t="n">
        <f aca="false"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-0</v>
      </c>
      <c r="AU80" s="10" t="n">
        <f aca="false"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-0</v>
      </c>
      <c r="AV80" s="10" t="n">
        <f aca="false"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-0</v>
      </c>
      <c r="AW80" s="10" t="n">
        <f aca="false"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-0</v>
      </c>
      <c r="AX80" s="10" t="n">
        <f aca="false"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-0</v>
      </c>
      <c r="AY80" s="10" t="n">
        <f aca="false"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-0</v>
      </c>
      <c r="AZ80" s="10" t="n">
        <f aca="false"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-0</v>
      </c>
      <c r="BA80" s="10" t="n">
        <f aca="false"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-0</v>
      </c>
      <c r="BB80" s="10" t="n">
        <f aca="false"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-0</v>
      </c>
      <c r="BC80" s="10" t="n">
        <f aca="false"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-0</v>
      </c>
      <c r="BD80" s="10" t="n">
        <f aca="false"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-0</v>
      </c>
      <c r="BE80" s="10" t="n">
        <f aca="false"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-0</v>
      </c>
      <c r="BF80" s="10" t="n">
        <f aca="false"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-0</v>
      </c>
      <c r="BG80" s="10" t="n">
        <f aca="false"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-0</v>
      </c>
      <c r="BH80" s="10" t="n">
        <f aca="false"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-0</v>
      </c>
      <c r="BI80" s="10" t="n">
        <f aca="false"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-0</v>
      </c>
      <c r="BJ80" s="10" t="n">
        <f aca="false"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-0</v>
      </c>
      <c r="BK80" s="10" t="n">
        <f aca="false"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-0</v>
      </c>
      <c r="BL80" s="10" t="n">
        <f aca="false"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-0</v>
      </c>
      <c r="BM80" s="10" t="n">
        <f aca="false"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-0</v>
      </c>
      <c r="BN80" s="10" t="n">
        <f aca="false"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-0</v>
      </c>
      <c r="BO80" s="10" t="n">
        <f aca="false"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-0</v>
      </c>
      <c r="BP80" s="10" t="n">
        <f aca="false"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-0</v>
      </c>
      <c r="BQ80" s="10" t="n">
        <f aca="false"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-0</v>
      </c>
      <c r="BR80" s="10" t="n">
        <f aca="false"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-0</v>
      </c>
      <c r="BS80" s="10" t="n">
        <f aca="false"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-0</v>
      </c>
      <c r="BT80" s="10" t="n">
        <f aca="false"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-0</v>
      </c>
      <c r="BU80" s="10" t="n">
        <f aca="false"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-0</v>
      </c>
      <c r="BV80" s="10" t="n">
        <f aca="false"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-0</v>
      </c>
      <c r="BW80" s="10" t="n">
        <f aca="false"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-0</v>
      </c>
      <c r="BX80" s="10" t="n">
        <f aca="false"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-0</v>
      </c>
      <c r="BY80" s="10" t="n">
        <f aca="false"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-0</v>
      </c>
      <c r="BZ80" s="10" t="n">
        <f aca="false"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-0</v>
      </c>
      <c r="CA80" s="10" t="n">
        <f aca="false"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-0</v>
      </c>
      <c r="CB80" s="10" t="n">
        <f aca="false"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-0</v>
      </c>
      <c r="CC80" s="10" t="n">
        <f aca="false"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-0</v>
      </c>
      <c r="CD80" s="10" t="n">
        <f aca="false"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-0</v>
      </c>
      <c r="CE80" s="10" t="n">
        <f aca="false"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-0</v>
      </c>
      <c r="CF80" s="10" t="n">
        <f aca="false"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-0</v>
      </c>
      <c r="CG80" s="10" t="n">
        <f aca="false"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-0</v>
      </c>
      <c r="CH80" s="10" t="n">
        <f aca="false"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-0</v>
      </c>
      <c r="CI80" s="25"/>
    </row>
    <row r="81" customFormat="false" ht="15" hidden="false" customHeight="true" outlineLevel="0" collapsed="false">
      <c r="A81" s="9" t="s">
        <v>120</v>
      </c>
      <c r="B81" s="24"/>
      <c r="C81" s="10" t="n">
        <f aca="false">-Helpers!C20</f>
        <v>-0</v>
      </c>
      <c r="D81" s="10" t="n">
        <f aca="false">-Helpers!D20</f>
        <v>-0</v>
      </c>
      <c r="E81" s="10" t="n">
        <f aca="false">-Helpers!E20</f>
        <v>-0</v>
      </c>
      <c r="F81" s="10" t="n">
        <f aca="false">-Helpers!F20</f>
        <v>-0</v>
      </c>
      <c r="G81" s="10" t="n">
        <f aca="false">-Helpers!G20</f>
        <v>-0</v>
      </c>
      <c r="H81" s="10" t="n">
        <f aca="false">-Helpers!H20</f>
        <v>-0</v>
      </c>
      <c r="I81" s="10" t="n">
        <f aca="false">-Helpers!I20</f>
        <v>-0</v>
      </c>
      <c r="J81" s="10" t="n">
        <f aca="false">-Helpers!J20</f>
        <v>-0</v>
      </c>
      <c r="K81" s="10" t="n">
        <f aca="false">-Helpers!K20</f>
        <v>-0</v>
      </c>
      <c r="L81" s="10" t="n">
        <f aca="false">-Helpers!L20</f>
        <v>-0</v>
      </c>
      <c r="M81" s="10" t="n">
        <f aca="false">-Helpers!M20</f>
        <v>-0</v>
      </c>
      <c r="N81" s="10" t="n">
        <f aca="false">-Helpers!N20</f>
        <v>-0</v>
      </c>
      <c r="O81" s="10" t="n">
        <f aca="false">-Helpers!O20</f>
        <v>-0</v>
      </c>
      <c r="P81" s="10" t="n">
        <f aca="false">-Helpers!P20</f>
        <v>-0</v>
      </c>
      <c r="Q81" s="10" t="n">
        <f aca="false">-Helpers!Q20</f>
        <v>-0</v>
      </c>
      <c r="R81" s="10" t="n">
        <f aca="false">-Helpers!R20</f>
        <v>-0</v>
      </c>
      <c r="S81" s="10" t="n">
        <f aca="false">-Helpers!S20</f>
        <v>-0</v>
      </c>
      <c r="T81" s="10" t="n">
        <f aca="false">-Helpers!T20</f>
        <v>-0</v>
      </c>
      <c r="U81" s="10" t="n">
        <f aca="false">-Helpers!U20</f>
        <v>-0</v>
      </c>
      <c r="V81" s="10" t="n">
        <f aca="false">-Helpers!V20</f>
        <v>-0</v>
      </c>
      <c r="W81" s="10" t="n">
        <f aca="false">-Helpers!W20</f>
        <v>-0</v>
      </c>
      <c r="X81" s="10" t="n">
        <f aca="false">-Helpers!X20</f>
        <v>-0</v>
      </c>
      <c r="Y81" s="10" t="n">
        <f aca="false">-Helpers!Y20</f>
        <v>-0</v>
      </c>
      <c r="Z81" s="10" t="n">
        <f aca="false">-Helpers!Z20</f>
        <v>-0</v>
      </c>
      <c r="AA81" s="10" t="n">
        <f aca="false">-Helpers!AA20</f>
        <v>-0</v>
      </c>
      <c r="AB81" s="10" t="n">
        <f aca="false">-Helpers!AB20</f>
        <v>-0</v>
      </c>
      <c r="AC81" s="10" t="n">
        <f aca="false">-Helpers!AC20</f>
        <v>-0</v>
      </c>
      <c r="AD81" s="10" t="n">
        <f aca="false">-Helpers!AD20</f>
        <v>-0</v>
      </c>
      <c r="AE81" s="10" t="n">
        <f aca="false">-Helpers!AE20</f>
        <v>-0</v>
      </c>
      <c r="AF81" s="10" t="n">
        <f aca="false">-Helpers!AF20</f>
        <v>-0</v>
      </c>
      <c r="AG81" s="10" t="n">
        <f aca="false">-Helpers!AG20</f>
        <v>-0</v>
      </c>
      <c r="AH81" s="10" t="n">
        <f aca="false">-Helpers!AH20</f>
        <v>-0</v>
      </c>
      <c r="AI81" s="10" t="n">
        <f aca="false">-Helpers!AI20</f>
        <v>-0</v>
      </c>
      <c r="AJ81" s="10" t="n">
        <f aca="false">-Helpers!AJ20</f>
        <v>-0</v>
      </c>
      <c r="AK81" s="10" t="n">
        <f aca="false">-Helpers!AK20</f>
        <v>-0</v>
      </c>
      <c r="AL81" s="10" t="n">
        <f aca="false">-Helpers!AL20</f>
        <v>-0</v>
      </c>
      <c r="AM81" s="10" t="n">
        <f aca="false">-Helpers!AM20</f>
        <v>-0</v>
      </c>
      <c r="AN81" s="10" t="n">
        <f aca="false">-Helpers!AN20</f>
        <v>-0</v>
      </c>
      <c r="AO81" s="10" t="n">
        <f aca="false">-Helpers!AO20</f>
        <v>-0</v>
      </c>
      <c r="AP81" s="10" t="n">
        <f aca="false">-Helpers!AP20</f>
        <v>-0</v>
      </c>
      <c r="AQ81" s="10" t="n">
        <f aca="false">-Helpers!AQ20</f>
        <v>-0</v>
      </c>
      <c r="AR81" s="10" t="n">
        <f aca="false">-Helpers!AR20</f>
        <v>-81683</v>
      </c>
      <c r="AS81" s="10" t="n">
        <f aca="false">-Helpers!AS20</f>
        <v>-0</v>
      </c>
      <c r="AT81" s="10" t="n">
        <f aca="false">-Helpers!AT20</f>
        <v>-0</v>
      </c>
      <c r="AU81" s="10" t="n">
        <f aca="false">-Helpers!AU20</f>
        <v>-81682</v>
      </c>
      <c r="AV81" s="10" t="n">
        <f aca="false">-Helpers!AV20</f>
        <v>-0</v>
      </c>
      <c r="AW81" s="10" t="n">
        <f aca="false">-Helpers!AW20</f>
        <v>-0</v>
      </c>
      <c r="AX81" s="10" t="n">
        <f aca="false">-Helpers!AX20</f>
        <v>-81682</v>
      </c>
      <c r="AY81" s="10" t="n">
        <f aca="false">-Helpers!AY20</f>
        <v>-0</v>
      </c>
      <c r="AZ81" s="10" t="n">
        <f aca="false">-Helpers!AZ20</f>
        <v>-0</v>
      </c>
      <c r="BA81" s="10" t="n">
        <f aca="false">-Helpers!BA20</f>
        <v>-81682</v>
      </c>
      <c r="BB81" s="10" t="n">
        <f aca="false">-Helpers!BB20</f>
        <v>-0</v>
      </c>
      <c r="BC81" s="10" t="n">
        <f aca="false">-Helpers!BC20</f>
        <v>-0</v>
      </c>
      <c r="BD81" s="10" t="n">
        <f aca="false">-Helpers!BD20</f>
        <v>-59178</v>
      </c>
      <c r="BE81" s="10" t="n">
        <f aca="false">-Helpers!BE20</f>
        <v>-0</v>
      </c>
      <c r="BF81" s="10" t="n">
        <f aca="false">-Helpers!BF20</f>
        <v>-0</v>
      </c>
      <c r="BG81" s="10" t="n">
        <f aca="false">-Helpers!BG20</f>
        <v>-59176</v>
      </c>
      <c r="BH81" s="10" t="n">
        <f aca="false">-Helpers!BH20</f>
        <v>-0</v>
      </c>
      <c r="BI81" s="10" t="n">
        <f aca="false">-Helpers!BI20</f>
        <v>-0</v>
      </c>
      <c r="BJ81" s="10" t="n">
        <f aca="false">-Helpers!BJ20</f>
        <v>-59176</v>
      </c>
      <c r="BK81" s="10" t="n">
        <f aca="false">-Helpers!BK20</f>
        <v>-0</v>
      </c>
      <c r="BL81" s="10" t="n">
        <f aca="false">-Helpers!BL20</f>
        <v>-0</v>
      </c>
      <c r="BM81" s="10" t="n">
        <f aca="false">-Helpers!BM20</f>
        <v>-59176</v>
      </c>
      <c r="BN81" s="10" t="n">
        <f aca="false">-Helpers!BN20</f>
        <v>-0</v>
      </c>
      <c r="BO81" s="10" t="n">
        <f aca="false">-Helpers!BO20</f>
        <v>-0</v>
      </c>
      <c r="BP81" s="10" t="n">
        <f aca="false">-Helpers!BP20</f>
        <v>-16249.48</v>
      </c>
      <c r="BQ81" s="10" t="n">
        <f aca="false">-Helpers!BQ20</f>
        <v>-0</v>
      </c>
      <c r="BR81" s="10" t="n">
        <f aca="false">-Helpers!BR20</f>
        <v>-0</v>
      </c>
      <c r="BS81" s="10" t="n">
        <f aca="false">-Helpers!BS20</f>
        <v>-0</v>
      </c>
      <c r="BT81" s="10" t="n">
        <f aca="false">-Helpers!BT20</f>
        <v>-0</v>
      </c>
      <c r="BU81" s="10" t="n">
        <f aca="false">-Helpers!BU20</f>
        <v>-0</v>
      </c>
      <c r="BV81" s="10" t="n">
        <f aca="false">-Helpers!BV20</f>
        <v>-0</v>
      </c>
      <c r="BW81" s="10" t="n">
        <f aca="false">-Helpers!BW20</f>
        <v>-0</v>
      </c>
      <c r="BX81" s="10" t="n">
        <f aca="false">-Helpers!BX20</f>
        <v>-0</v>
      </c>
      <c r="BY81" s="10" t="n">
        <f aca="false">-Helpers!BY20</f>
        <v>-0</v>
      </c>
      <c r="BZ81" s="10" t="n">
        <f aca="false">-Helpers!BZ20</f>
        <v>-0</v>
      </c>
      <c r="CA81" s="10" t="n">
        <f aca="false">-Helpers!CA20</f>
        <v>-0</v>
      </c>
      <c r="CB81" s="10" t="n">
        <f aca="false">-Helpers!CB20</f>
        <v>-0</v>
      </c>
      <c r="CC81" s="10" t="n">
        <f aca="false">-Helpers!CC20</f>
        <v>-0</v>
      </c>
      <c r="CD81" s="10" t="n">
        <f aca="false">-Helpers!CD20</f>
        <v>-0</v>
      </c>
      <c r="CE81" s="10" t="n">
        <f aca="false">-Helpers!CE20</f>
        <v>-0</v>
      </c>
      <c r="CF81" s="10" t="n">
        <f aca="false">-Helpers!CF20</f>
        <v>-0</v>
      </c>
      <c r="CG81" s="10" t="n">
        <f aca="false">-Helpers!CG20</f>
        <v>-0</v>
      </c>
      <c r="CH81" s="10" t="n">
        <f aca="false">-Helpers!CH20</f>
        <v>-0</v>
      </c>
      <c r="CI81" s="25"/>
    </row>
    <row r="82" customFormat="false" ht="15" hidden="false" customHeight="true" outlineLevel="0" collapsed="false">
      <c r="A82" s="9" t="s">
        <v>121</v>
      </c>
      <c r="B82" s="24"/>
      <c r="C82" s="10" t="n">
        <f aca="false">-Helpers!C23+C128</f>
        <v>-0</v>
      </c>
      <c r="D82" s="10" t="n">
        <f aca="false">-Helpers!D23+D128</f>
        <v>-0</v>
      </c>
      <c r="E82" s="10" t="n">
        <f aca="false">-Helpers!E23+E128</f>
        <v>-0</v>
      </c>
      <c r="F82" s="10" t="n">
        <f aca="false">-Helpers!F23+F128</f>
        <v>-0</v>
      </c>
      <c r="G82" s="10" t="n">
        <f aca="false">-Helpers!G23+G128</f>
        <v>-0</v>
      </c>
      <c r="H82" s="10" t="n">
        <f aca="false">-Helpers!H23+H128</f>
        <v>-0</v>
      </c>
      <c r="I82" s="10" t="n">
        <f aca="false">-Helpers!I23+I128</f>
        <v>-0</v>
      </c>
      <c r="J82" s="10" t="n">
        <f aca="false">-Helpers!J23+J128</f>
        <v>-0</v>
      </c>
      <c r="K82" s="10" t="n">
        <f aca="false">-Helpers!K23+K128</f>
        <v>-0</v>
      </c>
      <c r="L82" s="10" t="n">
        <f aca="false">-Helpers!L23+L128</f>
        <v>-0</v>
      </c>
      <c r="M82" s="10" t="n">
        <f aca="false">-Helpers!M23+M128</f>
        <v>-0</v>
      </c>
      <c r="N82" s="10" t="n">
        <f aca="false">-Helpers!N23+N128</f>
        <v>-0</v>
      </c>
      <c r="O82" s="10" t="n">
        <f aca="false">-Helpers!O23+O128</f>
        <v>-0</v>
      </c>
      <c r="P82" s="10" t="n">
        <f aca="false">-Helpers!P23+P128</f>
        <v>-0</v>
      </c>
      <c r="Q82" s="10" t="n">
        <f aca="false">-Helpers!Q23+Q128</f>
        <v>-0</v>
      </c>
      <c r="R82" s="10" t="n">
        <f aca="false">-Helpers!R23+R128</f>
        <v>-0</v>
      </c>
      <c r="S82" s="10" t="n">
        <f aca="false">-Helpers!S23+S128</f>
        <v>-0</v>
      </c>
      <c r="T82" s="10" t="n">
        <f aca="false">-Helpers!T23+T128</f>
        <v>-0</v>
      </c>
      <c r="U82" s="10" t="n">
        <f aca="false">-Helpers!U23+U128</f>
        <v>-0</v>
      </c>
      <c r="V82" s="10" t="n">
        <f aca="false">-Helpers!V23+V128</f>
        <v>-0</v>
      </c>
      <c r="W82" s="10" t="n">
        <f aca="false">-Helpers!W23+W128</f>
        <v>-0</v>
      </c>
      <c r="X82" s="10" t="n">
        <f aca="false">-Helpers!X23+X128</f>
        <v>-0</v>
      </c>
      <c r="Y82" s="10" t="n">
        <f aca="false">-Helpers!Y23+Y128</f>
        <v>-0</v>
      </c>
      <c r="Z82" s="10" t="n">
        <f aca="false">-Helpers!Z23+Z128</f>
        <v>-0</v>
      </c>
      <c r="AA82" s="10" t="n">
        <f aca="false">-Helpers!AA23+AA128</f>
        <v>-0</v>
      </c>
      <c r="AB82" s="10" t="n">
        <f aca="false">-Helpers!AB23+AB128</f>
        <v>-0</v>
      </c>
      <c r="AC82" s="10" t="n">
        <f aca="false">-Helpers!AC23+AC128</f>
        <v>-0</v>
      </c>
      <c r="AD82" s="10" t="n">
        <f aca="false">-Helpers!AD23+AD128</f>
        <v>-0</v>
      </c>
      <c r="AE82" s="10" t="n">
        <f aca="false">-Helpers!AE23+AE128</f>
        <v>-0</v>
      </c>
      <c r="AF82" s="10" t="n">
        <f aca="false">-Helpers!AF23+AF128</f>
        <v>-0</v>
      </c>
      <c r="AG82" s="10" t="n">
        <f aca="false">-Helpers!AG23+AG128</f>
        <v>-0</v>
      </c>
      <c r="AH82" s="10" t="n">
        <f aca="false">-Helpers!AH23+AH128</f>
        <v>-0</v>
      </c>
      <c r="AI82" s="10" t="n">
        <f aca="false">-Helpers!AI23+AI128</f>
        <v>-0</v>
      </c>
      <c r="AJ82" s="10" t="n">
        <f aca="false">-Helpers!AJ23+AJ128</f>
        <v>-0</v>
      </c>
      <c r="AK82" s="10" t="n">
        <f aca="false">-Helpers!AK23+AK128</f>
        <v>-0</v>
      </c>
      <c r="AL82" s="10" t="n">
        <f aca="false">-Helpers!AL23+AL128</f>
        <v>-0</v>
      </c>
      <c r="AM82" s="10" t="n">
        <f aca="false">-Helpers!AM23+AM128</f>
        <v>-0</v>
      </c>
      <c r="AN82" s="10" t="n">
        <f aca="false">-Helpers!AN23+AN128</f>
        <v>-0</v>
      </c>
      <c r="AO82" s="10" t="n">
        <f aca="false">-Helpers!AO23+AO128</f>
        <v>-0</v>
      </c>
      <c r="AP82" s="10" t="n">
        <f aca="false">-Helpers!AP23+AP128</f>
        <v>-0</v>
      </c>
      <c r="AQ82" s="10" t="n">
        <f aca="false">-Helpers!AQ23+AQ128</f>
        <v>-0</v>
      </c>
      <c r="AR82" s="10" t="n">
        <f aca="false">-Helpers!AR23+AR128</f>
        <v>-0</v>
      </c>
      <c r="AS82" s="10" t="n">
        <f aca="false">-Helpers!AS23+AS128</f>
        <v>-0</v>
      </c>
      <c r="AT82" s="10" t="n">
        <f aca="false">-Helpers!AT23+AT128</f>
        <v>-0</v>
      </c>
      <c r="AU82" s="10" t="n">
        <f aca="false">-Helpers!AU23+AU128</f>
        <v>-0</v>
      </c>
      <c r="AV82" s="10" t="n">
        <f aca="false">-Helpers!AV23+AV128</f>
        <v>-0</v>
      </c>
      <c r="AW82" s="10" t="n">
        <f aca="false">-Helpers!AW23+AW128</f>
        <v>-0</v>
      </c>
      <c r="AX82" s="10" t="n">
        <f aca="false">-Helpers!AX23+AX128</f>
        <v>-0</v>
      </c>
      <c r="AY82" s="10" t="n">
        <f aca="false">-Helpers!AY23+AY128</f>
        <v>-0</v>
      </c>
      <c r="AZ82" s="10" t="n">
        <f aca="false">-Helpers!AZ23+AZ128</f>
        <v>-0</v>
      </c>
      <c r="BA82" s="10" t="n">
        <f aca="false">-Helpers!BA23+BA128</f>
        <v>-851839</v>
      </c>
      <c r="BB82" s="10" t="n">
        <f aca="false">-Helpers!BB23+BB128</f>
        <v>-0</v>
      </c>
      <c r="BC82" s="10" t="n">
        <f aca="false">-Helpers!BC23+BC128</f>
        <v>-0</v>
      </c>
      <c r="BD82" s="10" t="n">
        <f aca="false">-Helpers!BD23+BD128</f>
        <v>-71700</v>
      </c>
      <c r="BE82" s="10" t="n">
        <f aca="false">-Helpers!BE23+BE128</f>
        <v>-0</v>
      </c>
      <c r="BF82" s="10" t="n">
        <f aca="false">-Helpers!BF23+BF128</f>
        <v>-0</v>
      </c>
      <c r="BG82" s="10" t="n">
        <f aca="false">-Helpers!BG23+BG128</f>
        <v>-71700</v>
      </c>
      <c r="BH82" s="10" t="n">
        <f aca="false">-Helpers!BH23+BH128</f>
        <v>-0</v>
      </c>
      <c r="BI82" s="10" t="n">
        <f aca="false">-Helpers!BI23+BI128</f>
        <v>-0</v>
      </c>
      <c r="BJ82" s="10" t="n">
        <f aca="false">-Helpers!BJ23+BJ128</f>
        <v>-71700</v>
      </c>
      <c r="BK82" s="10" t="n">
        <f aca="false">-Helpers!BK23+BK128</f>
        <v>-0</v>
      </c>
      <c r="BL82" s="10" t="n">
        <f aca="false">-Helpers!BL23+BL128</f>
        <v>-0</v>
      </c>
      <c r="BM82" s="10" t="n">
        <f aca="false">-Helpers!BM23+BM128</f>
        <v>-71700</v>
      </c>
      <c r="BN82" s="10" t="n">
        <f aca="false">-Helpers!BN23+BN128</f>
        <v>-0</v>
      </c>
      <c r="BO82" s="10" t="n">
        <f aca="false">-Helpers!BO23+BO128</f>
        <v>-0</v>
      </c>
      <c r="BP82" s="10" t="n">
        <f aca="false">-Helpers!BP23+BP128</f>
        <v>-74643</v>
      </c>
      <c r="BQ82" s="10" t="n">
        <f aca="false">-Helpers!BQ23+BQ128</f>
        <v>-0</v>
      </c>
      <c r="BR82" s="10" t="n">
        <f aca="false">-Helpers!BR23+BR128</f>
        <v>-0</v>
      </c>
      <c r="BS82" s="10" t="n">
        <f aca="false">-Helpers!BS23+BS128</f>
        <v>-74640</v>
      </c>
      <c r="BT82" s="10" t="n">
        <f aca="false">-Helpers!BT23+BT128</f>
        <v>-0</v>
      </c>
      <c r="BU82" s="10" t="n">
        <f aca="false">-Helpers!BU23+BU128</f>
        <v>-0</v>
      </c>
      <c r="BV82" s="10" t="n">
        <f aca="false">-Helpers!BV23+BV128</f>
        <v>-74640</v>
      </c>
      <c r="BW82" s="10" t="n">
        <f aca="false">-Helpers!BW23+BW128</f>
        <v>-0</v>
      </c>
      <c r="BX82" s="10" t="n">
        <f aca="false">-Helpers!BX23+BX128</f>
        <v>-0</v>
      </c>
      <c r="BY82" s="10" t="n">
        <f aca="false">-Helpers!BY23+BY128</f>
        <v>-74640</v>
      </c>
      <c r="BZ82" s="10" t="n">
        <f aca="false">-Helpers!BZ23+BZ128</f>
        <v>-0</v>
      </c>
      <c r="CA82" s="10" t="n">
        <f aca="false">-Helpers!CA23+CA128</f>
        <v>-0</v>
      </c>
      <c r="CB82" s="10" t="n">
        <f aca="false">-Helpers!CB23+CB128</f>
        <v>-81363</v>
      </c>
      <c r="CC82" s="10" t="n">
        <f aca="false">-Helpers!CC23+CC128</f>
        <v>-0</v>
      </c>
      <c r="CD82" s="10" t="n">
        <f aca="false">-Helpers!CD23+CD128</f>
        <v>-0</v>
      </c>
      <c r="CE82" s="10" t="n">
        <f aca="false">-Helpers!CE23+CE128</f>
        <v>-81362</v>
      </c>
      <c r="CF82" s="10" t="n">
        <f aca="false">-Helpers!CF23+CF128</f>
        <v>-0</v>
      </c>
      <c r="CG82" s="10" t="n">
        <f aca="false">-Helpers!CG23+CG128</f>
        <v>-0</v>
      </c>
      <c r="CH82" s="10" t="n">
        <f aca="false">-Helpers!CH23+CH128</f>
        <v>-74753.9733935208</v>
      </c>
      <c r="CI82" s="25"/>
    </row>
    <row r="83" customFormat="false" ht="15" hidden="false" customHeight="true" outlineLevel="0" collapsed="false">
      <c r="A83" s="9" t="s">
        <v>122</v>
      </c>
      <c r="B83" s="24"/>
      <c r="C83" s="10" t="n">
        <f aca="false">-Helpers!C26+C123</f>
        <v>-0</v>
      </c>
      <c r="D83" s="10" t="n">
        <f aca="false">-Helpers!D26+D123</f>
        <v>-0</v>
      </c>
      <c r="E83" s="10" t="n">
        <f aca="false">-Helpers!E26+E123</f>
        <v>-0</v>
      </c>
      <c r="F83" s="10" t="n">
        <f aca="false">-Helpers!F26+F123</f>
        <v>-0</v>
      </c>
      <c r="G83" s="10" t="n">
        <f aca="false">-Helpers!G26+G123</f>
        <v>-0</v>
      </c>
      <c r="H83" s="10" t="n">
        <f aca="false">-Helpers!H26+H123</f>
        <v>-0</v>
      </c>
      <c r="I83" s="10" t="n">
        <f aca="false">-Helpers!I26+I123</f>
        <v>-0</v>
      </c>
      <c r="J83" s="10" t="n">
        <f aca="false">-Helpers!J26+J123</f>
        <v>-0</v>
      </c>
      <c r="K83" s="10" t="n">
        <f aca="false">-Helpers!K26+K123</f>
        <v>-0</v>
      </c>
      <c r="L83" s="10" t="n">
        <f aca="false">-Helpers!L26+L123</f>
        <v>-0</v>
      </c>
      <c r="M83" s="10" t="n">
        <f aca="false">-Helpers!M26+M123</f>
        <v>-0</v>
      </c>
      <c r="N83" s="10" t="n">
        <f aca="false">-Helpers!N26+N123</f>
        <v>-0</v>
      </c>
      <c r="O83" s="10" t="n">
        <f aca="false">-Helpers!O26+O123</f>
        <v>-0</v>
      </c>
      <c r="P83" s="10" t="n">
        <f aca="false">-Helpers!P26+P123</f>
        <v>-0</v>
      </c>
      <c r="Q83" s="10" t="n">
        <f aca="false">-Helpers!Q26+Q123</f>
        <v>-0</v>
      </c>
      <c r="R83" s="10" t="n">
        <f aca="false">-Helpers!R26+R123</f>
        <v>-0</v>
      </c>
      <c r="S83" s="10" t="n">
        <f aca="false">-Helpers!S26+S123</f>
        <v>-0</v>
      </c>
      <c r="T83" s="10" t="n">
        <f aca="false">-Helpers!T26+T123</f>
        <v>-0</v>
      </c>
      <c r="U83" s="10" t="n">
        <f aca="false">-Helpers!U26+U123</f>
        <v>-0</v>
      </c>
      <c r="V83" s="10" t="n">
        <f aca="false">-Helpers!V26+V123</f>
        <v>-0</v>
      </c>
      <c r="W83" s="10" t="n">
        <f aca="false">-Helpers!W26+W123</f>
        <v>-0</v>
      </c>
      <c r="X83" s="10" t="n">
        <f aca="false">-Helpers!X26+X123</f>
        <v>-0</v>
      </c>
      <c r="Y83" s="10" t="n">
        <f aca="false">-Helpers!Y26+Y123</f>
        <v>-0</v>
      </c>
      <c r="Z83" s="10" t="n">
        <f aca="false">-Helpers!Z26+Z123</f>
        <v>-0</v>
      </c>
      <c r="AA83" s="10" t="n">
        <f aca="false">-Helpers!AA26+AA123</f>
        <v>-0</v>
      </c>
      <c r="AB83" s="10" t="n">
        <f aca="false">-Helpers!AB26+AB123</f>
        <v>-0</v>
      </c>
      <c r="AC83" s="10" t="n">
        <f aca="false">-Helpers!AC26+AC123</f>
        <v>-0</v>
      </c>
      <c r="AD83" s="10" t="n">
        <f aca="false">-Helpers!AD26+AD123</f>
        <v>-0</v>
      </c>
      <c r="AE83" s="10" t="n">
        <f aca="false">-Helpers!AE26+AE123</f>
        <v>-0</v>
      </c>
      <c r="AF83" s="10" t="n">
        <f aca="false">-Helpers!AF26+AF123</f>
        <v>-0</v>
      </c>
      <c r="AG83" s="10" t="n">
        <f aca="false">-Helpers!AG26+AG123</f>
        <v>-0</v>
      </c>
      <c r="AH83" s="10" t="n">
        <f aca="false">-Helpers!AH26+AH123</f>
        <v>-0</v>
      </c>
      <c r="AI83" s="10" t="n">
        <f aca="false">-Helpers!AI26+AI123</f>
        <v>-0</v>
      </c>
      <c r="AJ83" s="10" t="n">
        <f aca="false">-Helpers!AJ26+AJ123</f>
        <v>-0</v>
      </c>
      <c r="AK83" s="10" t="n">
        <f aca="false">-Helpers!AK26+AK123</f>
        <v>-0</v>
      </c>
      <c r="AL83" s="10" t="n">
        <f aca="false">-Helpers!AL26+AL123</f>
        <v>-0</v>
      </c>
      <c r="AM83" s="10" t="n">
        <f aca="false">-Helpers!AM26+AM123</f>
        <v>-0</v>
      </c>
      <c r="AN83" s="10" t="n">
        <f aca="false">-Helpers!AN26+AN123</f>
        <v>-0</v>
      </c>
      <c r="AO83" s="10" t="n">
        <f aca="false">-Helpers!AO26+AO123</f>
        <v>-0</v>
      </c>
      <c r="AP83" s="10" t="n">
        <f aca="false">-Helpers!AP26+AP123</f>
        <v>-0</v>
      </c>
      <c r="AQ83" s="10" t="n">
        <f aca="false">-Helpers!AQ26+AQ123</f>
        <v>-0</v>
      </c>
      <c r="AR83" s="10" t="n">
        <f aca="false">-Helpers!AR26+AR123</f>
        <v>-0</v>
      </c>
      <c r="AS83" s="10" t="n">
        <f aca="false">-Helpers!AS26+AS123</f>
        <v>-0</v>
      </c>
      <c r="AT83" s="10" t="n">
        <f aca="false">-Helpers!AT26+AT123</f>
        <v>-0</v>
      </c>
      <c r="AU83" s="10" t="n">
        <f aca="false">-Helpers!AU26+AU123</f>
        <v>-0</v>
      </c>
      <c r="AV83" s="10" t="n">
        <f aca="false">-Helpers!AV26+AV123</f>
        <v>-0</v>
      </c>
      <c r="AW83" s="10" t="n">
        <f aca="false">-Helpers!AW26+AW123</f>
        <v>-0</v>
      </c>
      <c r="AX83" s="10" t="n">
        <f aca="false">-Helpers!AX26+AX123</f>
        <v>-0</v>
      </c>
      <c r="AY83" s="10" t="n">
        <f aca="false">-Helpers!AY26+AY123</f>
        <v>-0</v>
      </c>
      <c r="AZ83" s="10" t="n">
        <f aca="false">-Helpers!AZ26+AZ123</f>
        <v>-0</v>
      </c>
      <c r="BA83" s="10" t="n">
        <f aca="false">-Helpers!BA26+BA123</f>
        <v>-0</v>
      </c>
      <c r="BB83" s="10" t="n">
        <f aca="false">-Helpers!BB26+BB123</f>
        <v>-0</v>
      </c>
      <c r="BC83" s="10" t="n">
        <f aca="false">-Helpers!BC26+BC123</f>
        <v>-0</v>
      </c>
      <c r="BD83" s="10" t="n">
        <f aca="false">-Helpers!BD26+BD123</f>
        <v>-0</v>
      </c>
      <c r="BE83" s="10" t="n">
        <f aca="false">-Helpers!BE26+BE123</f>
        <v>-0</v>
      </c>
      <c r="BF83" s="10" t="n">
        <f aca="false">-Helpers!BF26+BF123</f>
        <v>-0</v>
      </c>
      <c r="BG83" s="10" t="n">
        <f aca="false">-Helpers!BG26+BG123</f>
        <v>-0</v>
      </c>
      <c r="BH83" s="10" t="n">
        <f aca="false">-Helpers!BH26+BH123</f>
        <v>-0</v>
      </c>
      <c r="BI83" s="10" t="n">
        <f aca="false">-Helpers!BI26+BI123</f>
        <v>-0</v>
      </c>
      <c r="BJ83" s="10" t="n">
        <f aca="false">-Helpers!BJ26+BJ123</f>
        <v>-0</v>
      </c>
      <c r="BK83" s="10" t="n">
        <f aca="false">-Helpers!BK26+BK123</f>
        <v>-0</v>
      </c>
      <c r="BL83" s="10" t="n">
        <f aca="false">-Helpers!BL26+BL123</f>
        <v>-0</v>
      </c>
      <c r="BM83" s="10" t="n">
        <f aca="false">-Helpers!BM26+BM123</f>
        <v>-0</v>
      </c>
      <c r="BN83" s="10" t="n">
        <f aca="false">-Helpers!BN26+BN123</f>
        <v>-0</v>
      </c>
      <c r="BO83" s="10" t="n">
        <f aca="false">-Helpers!BO26+BO123</f>
        <v>-0</v>
      </c>
      <c r="BP83" s="10" t="n">
        <f aca="false">-Helpers!BP26+BP123</f>
        <v>-0</v>
      </c>
      <c r="BQ83" s="10" t="n">
        <f aca="false">-Helpers!BQ26+BQ123</f>
        <v>-0</v>
      </c>
      <c r="BR83" s="10" t="n">
        <f aca="false">-Helpers!BR26+BR123</f>
        <v>-0</v>
      </c>
      <c r="BS83" s="10" t="n">
        <f aca="false">-Helpers!BS26+BS123</f>
        <v>-0</v>
      </c>
      <c r="BT83" s="10" t="n">
        <f aca="false">-Helpers!BT26+BT123</f>
        <v>-0</v>
      </c>
      <c r="BU83" s="10" t="n">
        <f aca="false">-Helpers!BU26+BU123</f>
        <v>-0</v>
      </c>
      <c r="BV83" s="10" t="n">
        <f aca="false">-Helpers!BV26+BV123</f>
        <v>-0</v>
      </c>
      <c r="BW83" s="10" t="n">
        <f aca="false">-Helpers!BW26+BW123</f>
        <v>-0</v>
      </c>
      <c r="BX83" s="10" t="n">
        <f aca="false">-Helpers!BX26+BX123</f>
        <v>-0</v>
      </c>
      <c r="BY83" s="10" t="n">
        <f aca="false">-Helpers!BY26+BY123</f>
        <v>-73156</v>
      </c>
      <c r="BZ83" s="10" t="n">
        <f aca="false">-Helpers!BZ26+BZ123</f>
        <v>-0</v>
      </c>
      <c r="CA83" s="10" t="n">
        <f aca="false">-Helpers!CA26+CA123</f>
        <v>-0</v>
      </c>
      <c r="CB83" s="10" t="n">
        <f aca="false">-Helpers!CB26+CB123</f>
        <v>-73155</v>
      </c>
      <c r="CC83" s="10" t="n">
        <f aca="false">-Helpers!CC26+CC123</f>
        <v>-0</v>
      </c>
      <c r="CD83" s="10" t="n">
        <f aca="false">-Helpers!CD26+CD123</f>
        <v>-0</v>
      </c>
      <c r="CE83" s="10" t="n">
        <f aca="false">-Helpers!CE26+CE123</f>
        <v>-73155</v>
      </c>
      <c r="CF83" s="10" t="n">
        <f aca="false">-Helpers!CF26+CF123</f>
        <v>-0</v>
      </c>
      <c r="CG83" s="10" t="n">
        <f aca="false">-Helpers!CG26+CG123</f>
        <v>-0</v>
      </c>
      <c r="CH83" s="10" t="n">
        <f aca="false">-Helpers!CH26+CH123</f>
        <v>-73155</v>
      </c>
      <c r="CI83" s="25"/>
    </row>
    <row r="84" customFormat="false" ht="15" hidden="false" customHeight="true" outlineLevel="0" collapsed="false">
      <c r="A84" s="11" t="s">
        <v>123</v>
      </c>
      <c r="B84" s="30"/>
      <c r="C84" s="12" t="n">
        <f aca="false">C65+C66+C67+C68+C69+SUM(C70:C83)</f>
        <v>-119564.583333333</v>
      </c>
      <c r="D84" s="12" t="n">
        <f aca="false">D65+D66+D67+D68+D69+SUM(D70:D83)</f>
        <v>-119564.583333333</v>
      </c>
      <c r="E84" s="12" t="n">
        <f aca="false">E65+E66+E67+E68+E69+SUM(E70:E83)</f>
        <v>-119564.583333333</v>
      </c>
      <c r="F84" s="12" t="n">
        <f aca="false">F65+F66+F67+F68+F69+SUM(F70:F83)</f>
        <v>-142564.583333333</v>
      </c>
      <c r="G84" s="12" t="n">
        <f aca="false">G65+G66+G67+G68+G69+SUM(G70:G83)</f>
        <v>-119564.583333333</v>
      </c>
      <c r="H84" s="12" t="n">
        <f aca="false">H65+H66+H67+H68+H69+SUM(H70:H83)</f>
        <v>-119564.583333333</v>
      </c>
      <c r="I84" s="12" t="n">
        <f aca="false">I65+I66+I67+I68+I69+SUM(I70:I83)</f>
        <v>-119564.583333333</v>
      </c>
      <c r="J84" s="12" t="n">
        <f aca="false">J65+J66+J67+J68+J69+SUM(J70:J83)</f>
        <v>-119564.583333333</v>
      </c>
      <c r="K84" s="12" t="n">
        <f aca="false">K65+K66+K67+K68+K69+SUM(K70:K83)</f>
        <v>-140564.583333333</v>
      </c>
      <c r="L84" s="12" t="n">
        <f aca="false">L65+L66+L67+L68+L69+SUM(L70:L83)</f>
        <v>-119564.583333333</v>
      </c>
      <c r="M84" s="12" t="n">
        <f aca="false">M65+M66+M67+M68+M69+SUM(M70:M83)</f>
        <v>-119564.583333333</v>
      </c>
      <c r="N84" s="12" t="n">
        <f aca="false">N65+N66+N67+N68+N69+SUM(N70:N83)</f>
        <v>-119564.583333333</v>
      </c>
      <c r="O84" s="12" t="n">
        <f aca="false">O65+O66+O67+O68+O69+SUM(O70:O83)</f>
        <v>-121955.875</v>
      </c>
      <c r="P84" s="12" t="n">
        <f aca="false">P65+P66+P67+P68+P69+SUM(P70:P83)</f>
        <v>-121955.875</v>
      </c>
      <c r="Q84" s="12" t="n">
        <f aca="false">Q65+Q66+Q67+Q68+Q69+SUM(Q70:Q83)</f>
        <v>-121955.875</v>
      </c>
      <c r="R84" s="12" t="n">
        <f aca="false">R65+R66+R67+R68+R69+SUM(R70:R83)</f>
        <v>-145415.875</v>
      </c>
      <c r="S84" s="12" t="n">
        <f aca="false">S65+S66+S67+S68+S69+SUM(S70:S83)</f>
        <v>-121955.875</v>
      </c>
      <c r="T84" s="12" t="n">
        <f aca="false">T65+T66+T67+T68+T69+SUM(T70:T83)</f>
        <v>-121955.875</v>
      </c>
      <c r="U84" s="12" t="n">
        <f aca="false">U65+U66+U67+U68+U69+SUM(U70:U83)</f>
        <v>-121955.875</v>
      </c>
      <c r="V84" s="12" t="n">
        <f aca="false">V65+V66+V67+V68+V69+SUM(V70:V83)</f>
        <v>-121955.875</v>
      </c>
      <c r="W84" s="12" t="n">
        <f aca="false">W65+W66+W67+W68+W69+SUM(W70:W83)</f>
        <v>-143375.875</v>
      </c>
      <c r="X84" s="12" t="n">
        <f aca="false">X65+X66+X67+X68+X69+SUM(X70:X83)</f>
        <v>-121955.875</v>
      </c>
      <c r="Y84" s="12" t="n">
        <f aca="false">Y65+Y66+Y67+Y68+Y69+SUM(Y70:Y83)</f>
        <v>-121955.875</v>
      </c>
      <c r="Z84" s="12" t="n">
        <f aca="false">Z65+Z66+Z67+Z68+Z69+SUM(Z70:Z83)</f>
        <v>-121955.875</v>
      </c>
      <c r="AA84" s="12" t="n">
        <f aca="false">AA65+AA66+AA67+AA68+AA69+SUM(AA70:AA83)</f>
        <v>-124394.9925</v>
      </c>
      <c r="AB84" s="12" t="n">
        <f aca="false">AB65+AB66+AB67+AB68+AB69+SUM(AB70:AB83)</f>
        <v>-124394.9925</v>
      </c>
      <c r="AC84" s="12" t="n">
        <f aca="false">AC65+AC66+AC67+AC68+AC69+SUM(AC70:AC83)</f>
        <v>-124394.9925</v>
      </c>
      <c r="AD84" s="12" t="n">
        <f aca="false">AD65+AD66+AD67+AD68+AD69+SUM(AD70:AD83)</f>
        <v>-148324.1925</v>
      </c>
      <c r="AE84" s="12" t="n">
        <f aca="false">AE65+AE66+AE67+AE68+AE69+SUM(AE70:AE83)</f>
        <v>-124394.9925</v>
      </c>
      <c r="AF84" s="12" t="n">
        <f aca="false">AF65+AF66+AF67+AF68+AF69+SUM(AF70:AF83)</f>
        <v>-124394.9925</v>
      </c>
      <c r="AG84" s="12" t="n">
        <f aca="false">AG65+AG66+AG67+AG68+AG69+SUM(AG70:AG83)</f>
        <v>-124394.9925</v>
      </c>
      <c r="AH84" s="12" t="n">
        <f aca="false">AH65+AH66+AH67+AH68+AH69+SUM(AH70:AH83)</f>
        <v>-124394.9925</v>
      </c>
      <c r="AI84" s="12" t="n">
        <f aca="false">AI65+AI66+AI67+AI68+AI69+SUM(AI70:AI83)</f>
        <v>-146243.3925</v>
      </c>
      <c r="AJ84" s="12" t="n">
        <f aca="false">AJ65+AJ66+AJ67+AJ68+AJ69+SUM(AJ70:AJ83)</f>
        <v>-124394.9925</v>
      </c>
      <c r="AK84" s="12" t="n">
        <f aca="false">AK65+AK66+AK67+AK68+AK69+SUM(AK70:AK83)</f>
        <v>-124394.9925</v>
      </c>
      <c r="AL84" s="12" t="n">
        <f aca="false">AL65+AL66+AL67+AL68+AL69+SUM(AL70:AL83)</f>
        <v>-124394.9925</v>
      </c>
      <c r="AM84" s="12" t="n">
        <f aca="false">AM65+AM66+AM67+AM68+AM69+SUM(AM70:AM83)</f>
        <v>-126882.89235</v>
      </c>
      <c r="AN84" s="12" t="n">
        <f aca="false">AN65+AN66+AN67+AN68+AN69+SUM(AN70:AN83)</f>
        <v>-126882.89235</v>
      </c>
      <c r="AO84" s="12" t="n">
        <f aca="false">AO65+AO66+AO67+AO68+AO69+SUM(AO70:AO83)</f>
        <v>-126882.89235</v>
      </c>
      <c r="AP84" s="12" t="n">
        <f aca="false">AP65+AP66+AP67+AP68+AP69+SUM(AP70:AP83)</f>
        <v>-151290.67635</v>
      </c>
      <c r="AQ84" s="12" t="n">
        <f aca="false">AQ65+AQ66+AQ67+AQ68+AQ69+SUM(AQ70:AQ83)</f>
        <v>-126882.89235</v>
      </c>
      <c r="AR84" s="12" t="n">
        <f aca="false">AR65+AR66+AR67+AR68+AR69+SUM(AR70:AR83)</f>
        <v>-208565.89235</v>
      </c>
      <c r="AS84" s="12" t="n">
        <f aca="false">AS65+AS66+AS67+AS68+AS69+SUM(AS70:AS83)</f>
        <v>-126882.89235</v>
      </c>
      <c r="AT84" s="12" t="n">
        <f aca="false">AT65+AT66+AT67+AT68+AT69+SUM(AT70:AT83)</f>
        <v>-126882.89235</v>
      </c>
      <c r="AU84" s="12" t="n">
        <f aca="false">AU65+AU66+AU67+AU68+AU69+SUM(AU70:AU83)</f>
        <v>-230850.26035</v>
      </c>
      <c r="AV84" s="12" t="n">
        <f aca="false">AV65+AV66+AV67+AV68+AV69+SUM(AV70:AV83)</f>
        <v>-126882.89235</v>
      </c>
      <c r="AW84" s="12" t="n">
        <f aca="false">AW65+AW66+AW67+AW68+AW69+SUM(AW70:AW83)</f>
        <v>-126882.89235</v>
      </c>
      <c r="AX84" s="12" t="n">
        <f aca="false">AX65+AX66+AX67+AX68+AX69+SUM(AX70:AX83)</f>
        <v>-208564.89235</v>
      </c>
      <c r="AY84" s="12" t="n">
        <f aca="false">AY65+AY66+AY67+AY68+AY69+SUM(AY70:AY83)</f>
        <v>-129420.550197</v>
      </c>
      <c r="AZ84" s="12" t="n">
        <f aca="false">AZ65+AZ66+AZ67+AZ68+AZ69+SUM(AZ70:AZ83)</f>
        <v>-129420.550197</v>
      </c>
      <c r="BA84" s="12" t="n">
        <f aca="false">BA65+BA66+BA67+BA68+BA69+SUM(BA70:BA83)</f>
        <v>-1062941.550197</v>
      </c>
      <c r="BB84" s="12" t="n">
        <f aca="false">BB65+BB66+BB67+BB68+BB69+SUM(BB70:BB83)</f>
        <v>-154316.489877</v>
      </c>
      <c r="BC84" s="12" t="n">
        <f aca="false">BC65+BC66+BC67+BC68+BC69+SUM(BC70:BC83)</f>
        <v>-129420.550197</v>
      </c>
      <c r="BD84" s="12" t="n">
        <f aca="false">BD65+BD66+BD67+BD68+BD69+SUM(BD70:BD83)</f>
        <v>-260298.550197</v>
      </c>
      <c r="BE84" s="12" t="n">
        <f aca="false">BE65+BE66+BE67+BE68+BE69+SUM(BE70:BE83)</f>
        <v>-129420.550197</v>
      </c>
      <c r="BF84" s="12" t="n">
        <f aca="false">BF65+BF66+BF67+BF68+BF69+SUM(BF70:BF83)</f>
        <v>-129420.550197</v>
      </c>
      <c r="BG84" s="12" t="n">
        <f aca="false">BG65+BG66+BG67+BG68+BG69+SUM(BG70:BG83)</f>
        <v>-283027.625557</v>
      </c>
      <c r="BH84" s="12" t="n">
        <f aca="false">BH65+BH66+BH67+BH68+BH69+SUM(BH70:BH83)</f>
        <v>-129420.550197</v>
      </c>
      <c r="BI84" s="12" t="n">
        <f aca="false">BI65+BI66+BI67+BI68+BI69+SUM(BI70:BI83)</f>
        <v>-129420.550197</v>
      </c>
      <c r="BJ84" s="12" t="n">
        <f aca="false">BJ65+BJ66+BJ67+BJ68+BJ69+SUM(BJ70:BJ83)</f>
        <v>-260296.550197</v>
      </c>
      <c r="BK84" s="12" t="n">
        <f aca="false">BK65+BK66+BK67+BK68+BK69+SUM(BK70:BK83)</f>
        <v>-132008.96120094</v>
      </c>
      <c r="BL84" s="12" t="n">
        <f aca="false">BL65+BL66+BL67+BL68+BL69+SUM(BL70:BL83)</f>
        <v>-132008.96120094</v>
      </c>
      <c r="BM84" s="12" t="n">
        <f aca="false">BM65+BM66+BM67+BM68+BM69+SUM(BM70:BM83)</f>
        <v>-262884.96120094</v>
      </c>
      <c r="BN84" s="12" t="n">
        <f aca="false">BN65+BN66+BN67+BN68+BN69+SUM(BN70:BN83)</f>
        <v>-157402.81967454</v>
      </c>
      <c r="BO84" s="12" t="n">
        <f aca="false">BO65+BO66+BO67+BO68+BO69+SUM(BO70:BO83)</f>
        <v>-132008.96120094</v>
      </c>
      <c r="BP84" s="12" t="n">
        <f aca="false">BP65+BP66+BP67+BP68+BP69+SUM(BP70:BP83)</f>
        <v>-222901.44120094</v>
      </c>
      <c r="BQ84" s="12" t="n">
        <f aca="false">BQ65+BQ66+BQ67+BQ68+BQ69+SUM(BQ70:BQ83)</f>
        <v>-132008.96120094</v>
      </c>
      <c r="BR84" s="12" t="n">
        <f aca="false">BR65+BR66+BR67+BR68+BR69+SUM(BR70:BR83)</f>
        <v>-132008.96120094</v>
      </c>
      <c r="BS84" s="12" t="n">
        <f aca="false">BS65+BS66+BS67+BS68+BS69+SUM(BS70:BS83)</f>
        <v>-229834.65806814</v>
      </c>
      <c r="BT84" s="12" t="n">
        <f aca="false">BT65+BT66+BT67+BT68+BT69+SUM(BT70:BT83)</f>
        <v>-132008.96120094</v>
      </c>
      <c r="BU84" s="12" t="n">
        <f aca="false">BU65+BU66+BU67+BU68+BU69+SUM(BU70:BU83)</f>
        <v>-132008.96120094</v>
      </c>
      <c r="BV84" s="12" t="n">
        <f aca="false">BV65+BV66+BV67+BV68+BV69+SUM(BV70:BV83)</f>
        <v>-206648.96120094</v>
      </c>
      <c r="BW84" s="12" t="n">
        <f aca="false">BW65+BW66+BW67+BW68+BW69+SUM(BW70:BW83)</f>
        <v>-134649.140424959</v>
      </c>
      <c r="BX84" s="12" t="n">
        <f aca="false">BX65+BX66+BX67+BX68+BX69+SUM(BX70:BX83)</f>
        <v>-134649.140424959</v>
      </c>
      <c r="BY84" s="12" t="n">
        <f aca="false">BY65+BY66+BY67+BY68+BY69+SUM(BY70:BY83)</f>
        <v>-282445.140424959</v>
      </c>
      <c r="BZ84" s="12" t="n">
        <f aca="false">BZ65+BZ66+BZ67+BZ68+BZ69+SUM(BZ70:BZ83)</f>
        <v>-160550.876068031</v>
      </c>
      <c r="CA84" s="12" t="n">
        <f aca="false">CA65+CA66+CA67+CA68+CA69+SUM(CA70:CA83)</f>
        <v>-134649.140424959</v>
      </c>
      <c r="CB84" s="12" t="n">
        <f aca="false">CB65+CB66+CB67+CB68+CB69+SUM(CB70:CB83)</f>
        <v>-289167.140424959</v>
      </c>
      <c r="CC84" s="12" t="n">
        <f aca="false">CC65+CC66+CC67+CC68+CC69+SUM(CC70:CC83)</f>
        <v>-134649.140424959</v>
      </c>
      <c r="CD84" s="12" t="n">
        <f aca="false">CD65+CD66+CD67+CD68+CD69+SUM(CD70:CD83)</f>
        <v>-134649.140424959</v>
      </c>
      <c r="CE84" s="12" t="n">
        <f aca="false">CE65+CE66+CE67+CE68+CE69+SUM(CE70:CE83)</f>
        <v>-312815.551229503</v>
      </c>
      <c r="CF84" s="12" t="n">
        <f aca="false">CF65+CF66+CF67+CF68+CF69+SUM(CF70:CF83)</f>
        <v>-134649.140424959</v>
      </c>
      <c r="CG84" s="12" t="n">
        <f aca="false">CG65+CG66+CG67+CG68+CG69+SUM(CG70:CG83)</f>
        <v>-134649.140424959</v>
      </c>
      <c r="CH84" s="12" t="n">
        <f aca="false">CH65+CH66+CH67+CH68+CH69+SUM(CH70:CH83)</f>
        <v>-282558.11381848</v>
      </c>
      <c r="CI84" s="25"/>
    </row>
    <row r="85" customFormat="false" ht="15" hidden="false" customHeight="true" outlineLevel="0" collapsed="false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5"/>
    </row>
    <row r="86" customFormat="false" ht="15" hidden="false" customHeight="true" outlineLevel="0" collapsed="false">
      <c r="A86" s="15" t="s">
        <v>25</v>
      </c>
      <c r="B86" s="31"/>
      <c r="C86" s="16" t="n">
        <f aca="false">C63+C84</f>
        <v>-75950.0033333333</v>
      </c>
      <c r="D86" s="16" t="n">
        <f aca="false">D63+D84</f>
        <v>-75950.0033333333</v>
      </c>
      <c r="E86" s="16" t="n">
        <f aca="false">E63+E84</f>
        <v>-75950.0033333333</v>
      </c>
      <c r="F86" s="16" t="n">
        <f aca="false">F63+F84</f>
        <v>-98950.0033333333</v>
      </c>
      <c r="G86" s="16" t="n">
        <f aca="false">G63+G84</f>
        <v>-75950.0033333333</v>
      </c>
      <c r="H86" s="16" t="n">
        <f aca="false">H63+H84</f>
        <v>-76783.3333333333</v>
      </c>
      <c r="I86" s="16" t="n">
        <f aca="false">I63+I84</f>
        <v>-76783.3333333333</v>
      </c>
      <c r="J86" s="16" t="n">
        <f aca="false">J63+J84</f>
        <v>-86158.3333333333</v>
      </c>
      <c r="K86" s="16" t="n">
        <f aca="false">K63+K84</f>
        <v>-107158.333333333</v>
      </c>
      <c r="L86" s="16" t="n">
        <f aca="false">L63+L84</f>
        <v>-74026.5029333333</v>
      </c>
      <c r="M86" s="16" t="n">
        <f aca="false">M63+M84</f>
        <v>-74026.5029333333</v>
      </c>
      <c r="N86" s="16" t="n">
        <f aca="false">N63+N84</f>
        <v>-74026.5029333333</v>
      </c>
      <c r="O86" s="16" t="n">
        <f aca="false">O63+O84</f>
        <v>-76417.7946</v>
      </c>
      <c r="P86" s="16" t="n">
        <f aca="false">P63+P84</f>
        <v>-76417.7946</v>
      </c>
      <c r="Q86" s="16" t="n">
        <f aca="false">Q63+Q84</f>
        <v>-76417.7946</v>
      </c>
      <c r="R86" s="16" t="n">
        <f aca="false">R63+R84</f>
        <v>-119712.1822</v>
      </c>
      <c r="S86" s="16" t="n">
        <f aca="false">S63+S84</f>
        <v>-79679.9198</v>
      </c>
      <c r="T86" s="16" t="n">
        <f aca="false">T63+T84</f>
        <v>-63107.6574</v>
      </c>
      <c r="U86" s="16" t="n">
        <f aca="false">U63+U84</f>
        <v>-46535.4014</v>
      </c>
      <c r="V86" s="16" t="n">
        <f aca="false">V63+V84</f>
        <v>-29963.1326</v>
      </c>
      <c r="W86" s="16" t="n">
        <f aca="false">W63+W84</f>
        <v>22564.1234</v>
      </c>
      <c r="X86" s="16" t="n">
        <f aca="false">X63+X84</f>
        <v>3181.37939999999</v>
      </c>
      <c r="Y86" s="16" t="n">
        <f aca="false">Y63+Y84</f>
        <v>19753.6418</v>
      </c>
      <c r="Z86" s="16" t="n">
        <f aca="false">Z63+Z84</f>
        <v>93700.9106</v>
      </c>
      <c r="AA86" s="16" t="n">
        <f aca="false">AA63+AA84</f>
        <v>50459.0491</v>
      </c>
      <c r="AB86" s="16" t="n">
        <f aca="false">AB63+AB84</f>
        <v>67031.3179</v>
      </c>
      <c r="AC86" s="16" t="n">
        <f aca="false">AC63+AC84</f>
        <v>169810.7979</v>
      </c>
      <c r="AD86" s="16" t="n">
        <f aca="false">AD63+AD84</f>
        <v>31342.6939</v>
      </c>
      <c r="AE86" s="16" t="n">
        <f aca="false">AE63+AE84</f>
        <v>55772.4507</v>
      </c>
      <c r="AF86" s="16" t="n">
        <f aca="false">AF63+AF84</f>
        <v>56272.9947</v>
      </c>
      <c r="AG86" s="16" t="n">
        <f aca="false">AG63+AG84</f>
        <v>47273.5451</v>
      </c>
      <c r="AH86" s="16" t="n">
        <f aca="false">AH63+AH84</f>
        <v>47774.0891</v>
      </c>
      <c r="AI86" s="16" t="n">
        <f aca="false">AI63+AI84</f>
        <v>42998.5019</v>
      </c>
      <c r="AJ86" s="16" t="n">
        <f aca="false">AJ63+AJ84</f>
        <v>48775.1963</v>
      </c>
      <c r="AK86" s="16" t="n">
        <f aca="false">AK63+AK84</f>
        <v>32703.4843</v>
      </c>
      <c r="AL86" s="16" t="n">
        <f aca="false">AL63+AL84</f>
        <v>16631.7723</v>
      </c>
      <c r="AM86" s="16" t="n">
        <f aca="false">AM63+AM84</f>
        <v>-1927.84595</v>
      </c>
      <c r="AN86" s="16" t="n">
        <f aca="false">AN63+AN84</f>
        <v>-17999.55155</v>
      </c>
      <c r="AO86" s="16" t="n">
        <f aca="false">AO63+AO84</f>
        <v>-34071.26355</v>
      </c>
      <c r="AP86" s="16" t="n">
        <f aca="false">AP63+AP84</f>
        <v>-74550.76595</v>
      </c>
      <c r="AQ86" s="16" t="n">
        <f aca="false">AQ63+AQ84</f>
        <v>-66214.68755</v>
      </c>
      <c r="AR86" s="16" t="n">
        <f aca="false">AR63+AR84</f>
        <v>-82286.39955</v>
      </c>
      <c r="AS86" s="16" t="n">
        <f aca="false">AS63+AS84</f>
        <v>-30582.82835</v>
      </c>
      <c r="AT86" s="16" t="n">
        <f aca="false">AT63+AT84</f>
        <v>-47155.08435</v>
      </c>
      <c r="AU86" s="16" t="n">
        <f aca="false">AU63+AU84</f>
        <v>-102084.42035</v>
      </c>
      <c r="AV86" s="16" t="n">
        <f aca="false">AV63+AV84</f>
        <v>-80299.60275</v>
      </c>
      <c r="AW86" s="16" t="n">
        <f aca="false">AW63+AW84</f>
        <v>-80800.15955</v>
      </c>
      <c r="AX86" s="16" t="n">
        <f aca="false">AX63+AX84</f>
        <v>-81300.70355</v>
      </c>
      <c r="AY86" s="16" t="n">
        <f aca="false">AY63+AY84</f>
        <v>-84338.911797</v>
      </c>
      <c r="AZ86" s="16" t="n">
        <f aca="false">AZ63+AZ84</f>
        <v>-84839.462197</v>
      </c>
      <c r="BA86" s="16" t="n">
        <f aca="false">BA63+BA84</f>
        <v>-85340.0125969999</v>
      </c>
      <c r="BB86" s="16" t="n">
        <f aca="false">BB63+BB84</f>
        <v>-110736.502677</v>
      </c>
      <c r="BC86" s="16" t="n">
        <f aca="false">BC63+BC84</f>
        <v>-86341.113397</v>
      </c>
      <c r="BD86" s="16" t="n">
        <f aca="false">BD63+BD84</f>
        <v>-86841.663797</v>
      </c>
      <c r="BE86" s="16" t="n">
        <f aca="false">BE63+BE84</f>
        <v>-87342.214197</v>
      </c>
      <c r="BF86" s="16" t="n">
        <f aca="false">BF63+BF84</f>
        <v>-87842.764597</v>
      </c>
      <c r="BG86" s="16" t="n">
        <f aca="false">BG63+BG84</f>
        <v>-111074.383957</v>
      </c>
      <c r="BH86" s="16" t="n">
        <f aca="false">BH63+BH84</f>
        <v>-59643.065397</v>
      </c>
      <c r="BI86" s="16" t="n">
        <f aca="false">BI63+BI84</f>
        <v>-60143.615797</v>
      </c>
      <c r="BJ86" s="16" t="n">
        <f aca="false">BJ63+BJ84</f>
        <v>7131.12340300001</v>
      </c>
      <c r="BK86" s="16" t="n">
        <f aca="false">BK63+BK84</f>
        <v>-132008.96120094</v>
      </c>
      <c r="BL86" s="16" t="n">
        <f aca="false">BL63+BL84</f>
        <v>-132008.96120094</v>
      </c>
      <c r="BM86" s="16" t="n">
        <f aca="false">BM63+BM84</f>
        <v>-132008.96120094</v>
      </c>
      <c r="BN86" s="16" t="n">
        <f aca="false">BN63+BN84</f>
        <v>-157402.81967454</v>
      </c>
      <c r="BO86" s="16" t="n">
        <f aca="false">BO63+BO84</f>
        <v>-132008.96120094</v>
      </c>
      <c r="BP86" s="16" t="n">
        <f aca="false">BP63+BP84</f>
        <v>-80495.44120094</v>
      </c>
      <c r="BQ86" s="16" t="n">
        <f aca="false">BQ63+BQ84</f>
        <v>-132008.96120094</v>
      </c>
      <c r="BR86" s="16" t="n">
        <f aca="false">BR63+BR84</f>
        <v>-132008.96120094</v>
      </c>
      <c r="BS86" s="16" t="n">
        <f aca="false">BS63+BS84</f>
        <v>-87432.65806814</v>
      </c>
      <c r="BT86" s="16" t="n">
        <f aca="false">BT63+BT84</f>
        <v>-132008.96120094</v>
      </c>
      <c r="BU86" s="16" t="n">
        <f aca="false">BU63+BU84</f>
        <v>-132008.96120094</v>
      </c>
      <c r="BV86" s="16" t="n">
        <f aca="false">BV63+BV84</f>
        <v>-64246.96120094</v>
      </c>
      <c r="BW86" s="16" t="n">
        <f aca="false">BW63+BW84</f>
        <v>-134649.140424959</v>
      </c>
      <c r="BX86" s="16" t="n">
        <f aca="false">BX63+BX84</f>
        <v>-134649.140424959</v>
      </c>
      <c r="BY86" s="16" t="n">
        <f aca="false">BY63+BY84</f>
        <v>-66887.1404249588</v>
      </c>
      <c r="BZ86" s="16" t="n">
        <f aca="false">BZ63+BZ84</f>
        <v>-160550.876068031</v>
      </c>
      <c r="CA86" s="16" t="n">
        <f aca="false">CA63+CA84</f>
        <v>-134649.140424959</v>
      </c>
      <c r="CB86" s="16" t="n">
        <f aca="false">CB63+CB84</f>
        <v>-58150.1404249588</v>
      </c>
      <c r="CC86" s="16" t="n">
        <f aca="false">CC63+CC84</f>
        <v>-134649.140424959</v>
      </c>
      <c r="CD86" s="16" t="n">
        <f aca="false">CD63+CD84</f>
        <v>-134649.140424959</v>
      </c>
      <c r="CE86" s="16" t="n">
        <f aca="false">CE63+CE84</f>
        <v>-81799.5512295028</v>
      </c>
      <c r="CF86" s="16" t="n">
        <f aca="false">CF63+CF84</f>
        <v>-134649.140424959</v>
      </c>
      <c r="CG86" s="16" t="n">
        <f aca="false">CG63+CG84</f>
        <v>-134649.140424959</v>
      </c>
      <c r="CH86" s="16" t="n">
        <f aca="false">CH63+CH84</f>
        <v>-51542.1138184796</v>
      </c>
      <c r="CI86" s="25"/>
    </row>
    <row r="87" customFormat="false" ht="15" hidden="false" customHeight="tru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5"/>
    </row>
    <row r="88" customFormat="false" ht="15" hidden="false" customHeight="true" outlineLevel="0" collapsed="false">
      <c r="A88" s="28" t="s">
        <v>124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5"/>
    </row>
    <row r="89" customFormat="false" ht="15" hidden="false" customHeight="true" outlineLevel="0" collapsed="false">
      <c r="A89" s="18" t="s">
        <v>10</v>
      </c>
      <c r="B89" s="24"/>
      <c r="C89" s="10" t="n">
        <f aca="false">C12</f>
        <v>407525.044258373</v>
      </c>
      <c r="D89" s="10" t="n">
        <f aca="false">D12</f>
        <v>407525.044258373</v>
      </c>
      <c r="E89" s="10" t="n">
        <f aca="false">E12</f>
        <v>407525.044258373</v>
      </c>
      <c r="F89" s="10" t="n">
        <f aca="false">F12</f>
        <v>1214811.03698565</v>
      </c>
      <c r="G89" s="10" t="n">
        <f aca="false">G12</f>
        <v>570284.316985646</v>
      </c>
      <c r="H89" s="10" t="n">
        <f aca="false">H12</f>
        <v>570284.316985646</v>
      </c>
      <c r="I89" s="10" t="n">
        <f aca="false">I12</f>
        <v>1153856.48987241</v>
      </c>
      <c r="J89" s="10" t="n">
        <f aca="false">J12</f>
        <v>1131426.74081938</v>
      </c>
      <c r="K89" s="10" t="n">
        <f aca="false">K12</f>
        <v>751838.665819378</v>
      </c>
      <c r="L89" s="10" t="n">
        <f aca="false">L12</f>
        <v>751838.665819378</v>
      </c>
      <c r="M89" s="10" t="n">
        <f aca="false">M12</f>
        <v>751838.665819378</v>
      </c>
      <c r="N89" s="10" t="n">
        <f aca="false">N12</f>
        <v>751838.665819378</v>
      </c>
      <c r="O89" s="10" t="n">
        <f aca="false">O12</f>
        <v>1602305.25369817</v>
      </c>
      <c r="P89" s="10" t="n">
        <f aca="false">P12</f>
        <v>923303.703698166</v>
      </c>
      <c r="Q89" s="10" t="n">
        <f aca="false">Q12</f>
        <v>923303.703698166</v>
      </c>
      <c r="R89" s="10" t="n">
        <f aca="false">R12</f>
        <v>732654.31733453</v>
      </c>
      <c r="S89" s="10" t="n">
        <f aca="false">S12</f>
        <v>606718.81733453</v>
      </c>
      <c r="T89" s="10" t="n">
        <f aca="false">T12</f>
        <v>606718.81733453</v>
      </c>
      <c r="U89" s="10" t="n">
        <f aca="false">U12</f>
        <v>606718.81733453</v>
      </c>
      <c r="V89" s="10" t="n">
        <f aca="false">V12</f>
        <v>576415.659439793</v>
      </c>
      <c r="W89" s="10" t="n">
        <f aca="false">W12</f>
        <v>576415.659439793</v>
      </c>
      <c r="X89" s="10" t="n">
        <f aca="false">X12</f>
        <v>576415.659439793</v>
      </c>
      <c r="Y89" s="10" t="n">
        <f aca="false">Y12</f>
        <v>576415.659439793</v>
      </c>
      <c r="Z89" s="10" t="n">
        <f aca="false">Z12</f>
        <v>576415.659439793</v>
      </c>
      <c r="AA89" s="10" t="n">
        <f aca="false">AA12</f>
        <v>576415.659439793</v>
      </c>
      <c r="AB89" s="10" t="n">
        <f aca="false">AB12</f>
        <v>494921.807765152</v>
      </c>
      <c r="AC89" s="10" t="n">
        <f aca="false">AC12</f>
        <v>1271887.62109848</v>
      </c>
      <c r="AD89" s="10" t="n">
        <f aca="false">AD12</f>
        <v>651568.141098485</v>
      </c>
      <c r="AE89" s="10" t="n">
        <f aca="false">AE12</f>
        <v>651568.141098485</v>
      </c>
      <c r="AF89" s="10" t="n">
        <f aca="false">AF12</f>
        <v>651568.141098485</v>
      </c>
      <c r="AG89" s="10" t="n">
        <f aca="false">AG12</f>
        <v>651568.141098485</v>
      </c>
      <c r="AH89" s="10" t="n">
        <f aca="false">AH12</f>
        <v>550889.140151515</v>
      </c>
      <c r="AI89" s="10" t="n">
        <f aca="false">AI12</f>
        <v>550889.140151515</v>
      </c>
      <c r="AJ89" s="10" t="n">
        <f aca="false">AJ12</f>
        <v>388129.867424242</v>
      </c>
      <c r="AK89" s="10" t="n">
        <f aca="false">AK12</f>
        <v>388129.867424242</v>
      </c>
      <c r="AL89" s="10" t="n">
        <f aca="false">AL12</f>
        <v>388129.867424242</v>
      </c>
      <c r="AM89" s="10" t="n">
        <f aca="false">AM12</f>
        <v>328111.371212121</v>
      </c>
      <c r="AN89" s="10" t="n">
        <f aca="false">AN12</f>
        <v>328111.371212121</v>
      </c>
      <c r="AO89" s="10" t="n">
        <f aca="false">AO12</f>
        <v>328111.371212121</v>
      </c>
      <c r="AP89" s="10" t="n">
        <f aca="false">AP12</f>
        <v>328111.371212121</v>
      </c>
      <c r="AQ89" s="10" t="n">
        <f aca="false">AQ12</f>
        <v>328111.371212121</v>
      </c>
      <c r="AR89" s="10" t="n">
        <f aca="false">AR12</f>
        <v>328111.371212121</v>
      </c>
      <c r="AS89" s="10" t="n">
        <f aca="false">AS12</f>
        <v>156646.333333333</v>
      </c>
      <c r="AT89" s="10" t="n">
        <f aca="false">AT12</f>
        <v>156646.333333333</v>
      </c>
      <c r="AU89" s="10" t="n">
        <f aca="false">AU12</f>
        <v>156646.333333333</v>
      </c>
      <c r="AV89" s="10" t="n">
        <f aca="false">AV12</f>
        <v>156646.333333333</v>
      </c>
      <c r="AW89" s="10" t="n">
        <f aca="false">AW12</f>
        <v>156646.333333333</v>
      </c>
      <c r="AX89" s="10" t="n">
        <f aca="false">AX12</f>
        <v>156646.333333333</v>
      </c>
      <c r="AY89" s="10" t="n">
        <f aca="false">AY12</f>
        <v>156646.333333333</v>
      </c>
      <c r="AZ89" s="10" t="n">
        <f aca="false">AZ12</f>
        <v>156646.333333333</v>
      </c>
      <c r="BA89" s="10" t="n">
        <f aca="false">BA12</f>
        <v>156646.333333333</v>
      </c>
      <c r="BB89" s="10" t="n">
        <f aca="false">BB12</f>
        <v>156646.333333333</v>
      </c>
      <c r="BC89" s="10" t="n">
        <f aca="false">BC12</f>
        <v>156646.333333333</v>
      </c>
      <c r="BD89" s="10" t="n">
        <f aca="false">BD12</f>
        <v>156646.333333333</v>
      </c>
      <c r="BE89" s="10" t="n">
        <f aca="false">BE12</f>
        <v>156646.333333333</v>
      </c>
      <c r="BF89" s="10" t="n">
        <f aca="false">BF12</f>
        <v>156646.333333333</v>
      </c>
      <c r="BG89" s="10" t="n">
        <f aca="false">BG12</f>
        <v>0</v>
      </c>
      <c r="BH89" s="10" t="n">
        <f aca="false">BH12</f>
        <v>0</v>
      </c>
      <c r="BI89" s="10" t="n">
        <f aca="false">BI12</f>
        <v>0</v>
      </c>
      <c r="BJ89" s="10" t="n">
        <f aca="false">BJ12</f>
        <v>0</v>
      </c>
      <c r="BK89" s="10" t="n">
        <f aca="false">BK12</f>
        <v>0</v>
      </c>
      <c r="BL89" s="10" t="n">
        <f aca="false">BL12</f>
        <v>0</v>
      </c>
      <c r="BM89" s="10" t="n">
        <f aca="false">BM12</f>
        <v>0</v>
      </c>
      <c r="BN89" s="10" t="n">
        <f aca="false">BN12</f>
        <v>0</v>
      </c>
      <c r="BO89" s="10" t="n">
        <f aca="false">BO12</f>
        <v>0</v>
      </c>
      <c r="BP89" s="10" t="n">
        <f aca="false">BP12</f>
        <v>0</v>
      </c>
      <c r="BQ89" s="10" t="n">
        <f aca="false">BQ12</f>
        <v>0</v>
      </c>
      <c r="BR89" s="10" t="n">
        <f aca="false">BR12</f>
        <v>0</v>
      </c>
      <c r="BS89" s="10" t="n">
        <f aca="false">BS12</f>
        <v>0</v>
      </c>
      <c r="BT89" s="10" t="n">
        <f aca="false">BT12</f>
        <v>0</v>
      </c>
      <c r="BU89" s="10" t="n">
        <f aca="false">BU12</f>
        <v>0</v>
      </c>
      <c r="BV89" s="10" t="n">
        <f aca="false">BV12</f>
        <v>0</v>
      </c>
      <c r="BW89" s="10" t="n">
        <f aca="false">BW12</f>
        <v>0</v>
      </c>
      <c r="BX89" s="10" t="n">
        <f aca="false">BX12</f>
        <v>0</v>
      </c>
      <c r="BY89" s="10" t="n">
        <f aca="false">BY12</f>
        <v>0</v>
      </c>
      <c r="BZ89" s="10" t="n">
        <f aca="false">BZ12</f>
        <v>0</v>
      </c>
      <c r="CA89" s="10" t="n">
        <f aca="false">CA12</f>
        <v>0</v>
      </c>
      <c r="CB89" s="10" t="n">
        <f aca="false">CB12</f>
        <v>0</v>
      </c>
      <c r="CC89" s="10" t="n">
        <f aca="false">CC12</f>
        <v>0</v>
      </c>
      <c r="CD89" s="10" t="n">
        <f aca="false">CD12</f>
        <v>0</v>
      </c>
      <c r="CE89" s="10" t="n">
        <f aca="false">CE12</f>
        <v>0</v>
      </c>
      <c r="CF89" s="10" t="n">
        <f aca="false">CF12</f>
        <v>0</v>
      </c>
      <c r="CG89" s="10" t="n">
        <f aca="false">CG12</f>
        <v>0</v>
      </c>
      <c r="CH89" s="10" t="n">
        <f aca="false">CH12</f>
        <v>0</v>
      </c>
      <c r="CI89" s="25"/>
    </row>
    <row r="90" customFormat="false" ht="15" hidden="false" customHeight="true" outlineLevel="0" collapsed="false">
      <c r="A90" s="18" t="s">
        <v>23</v>
      </c>
      <c r="B90" s="24"/>
      <c r="C90" s="10" t="n">
        <f aca="false">C63</f>
        <v>43614.58</v>
      </c>
      <c r="D90" s="10" t="n">
        <f aca="false">D63</f>
        <v>43614.58</v>
      </c>
      <c r="E90" s="10" t="n">
        <f aca="false">E63</f>
        <v>43614.58</v>
      </c>
      <c r="F90" s="10" t="n">
        <f aca="false">F63</f>
        <v>43614.58</v>
      </c>
      <c r="G90" s="10" t="n">
        <f aca="false">G63</f>
        <v>43614.58</v>
      </c>
      <c r="H90" s="10" t="n">
        <f aca="false">H63</f>
        <v>42781.25</v>
      </c>
      <c r="I90" s="10" t="n">
        <f aca="false">I63</f>
        <v>42781.25</v>
      </c>
      <c r="J90" s="10" t="n">
        <f aca="false">J63</f>
        <v>33406.25</v>
      </c>
      <c r="K90" s="10" t="n">
        <f aca="false">K63</f>
        <v>33406.25</v>
      </c>
      <c r="L90" s="10" t="n">
        <f aca="false">L63</f>
        <v>45538.0804</v>
      </c>
      <c r="M90" s="10" t="n">
        <f aca="false">M63</f>
        <v>45538.0804</v>
      </c>
      <c r="N90" s="10" t="n">
        <f aca="false">N63</f>
        <v>45538.0804</v>
      </c>
      <c r="O90" s="10" t="n">
        <f aca="false">O63</f>
        <v>45538.0804</v>
      </c>
      <c r="P90" s="10" t="n">
        <f aca="false">P63</f>
        <v>45538.0804</v>
      </c>
      <c r="Q90" s="10" t="n">
        <f aca="false">Q63</f>
        <v>45538.0804</v>
      </c>
      <c r="R90" s="10" t="n">
        <f aca="false">R63</f>
        <v>25703.6928</v>
      </c>
      <c r="S90" s="10" t="n">
        <f aca="false">S63</f>
        <v>42275.9552</v>
      </c>
      <c r="T90" s="10" t="n">
        <f aca="false">T63</f>
        <v>58848.2176</v>
      </c>
      <c r="U90" s="10" t="n">
        <f aca="false">U63</f>
        <v>75420.4736</v>
      </c>
      <c r="V90" s="10" t="n">
        <f aca="false">V63</f>
        <v>91992.7424</v>
      </c>
      <c r="W90" s="10" t="n">
        <f aca="false">W63</f>
        <v>165939.9984</v>
      </c>
      <c r="X90" s="10" t="n">
        <f aca="false">X63</f>
        <v>125137.2544</v>
      </c>
      <c r="Y90" s="10" t="n">
        <f aca="false">Y63</f>
        <v>141709.5168</v>
      </c>
      <c r="Z90" s="10" t="n">
        <f aca="false">Z63</f>
        <v>215656.7856</v>
      </c>
      <c r="AA90" s="10" t="n">
        <f aca="false">AA63</f>
        <v>174854.0416</v>
      </c>
      <c r="AB90" s="10" t="n">
        <f aca="false">AB63</f>
        <v>191426.3104</v>
      </c>
      <c r="AC90" s="10" t="n">
        <f aca="false">AC63</f>
        <v>294205.7904</v>
      </c>
      <c r="AD90" s="10" t="n">
        <f aca="false">AD63</f>
        <v>179666.8864</v>
      </c>
      <c r="AE90" s="10" t="n">
        <f aca="false">AE63</f>
        <v>180167.4432</v>
      </c>
      <c r="AF90" s="10" t="n">
        <f aca="false">AF63</f>
        <v>180667.9872</v>
      </c>
      <c r="AG90" s="10" t="n">
        <f aca="false">AG63</f>
        <v>171668.5376</v>
      </c>
      <c r="AH90" s="10" t="n">
        <f aca="false">AH63</f>
        <v>172169.0816</v>
      </c>
      <c r="AI90" s="10" t="n">
        <f aca="false">AI63</f>
        <v>189241.8944</v>
      </c>
      <c r="AJ90" s="10" t="n">
        <f aca="false">AJ63</f>
        <v>173170.1888</v>
      </c>
      <c r="AK90" s="10" t="n">
        <f aca="false">AK63</f>
        <v>157098.4768</v>
      </c>
      <c r="AL90" s="10" t="n">
        <f aca="false">AL63</f>
        <v>141026.7648</v>
      </c>
      <c r="AM90" s="10" t="n">
        <f aca="false">AM63</f>
        <v>124955.0464</v>
      </c>
      <c r="AN90" s="10" t="n">
        <f aca="false">AN63</f>
        <v>108883.3408</v>
      </c>
      <c r="AO90" s="10" t="n">
        <f aca="false">AO63</f>
        <v>92811.6288</v>
      </c>
      <c r="AP90" s="10" t="n">
        <f aca="false">AP63</f>
        <v>76739.9104</v>
      </c>
      <c r="AQ90" s="10" t="n">
        <f aca="false">AQ63</f>
        <v>60668.2048</v>
      </c>
      <c r="AR90" s="10" t="n">
        <f aca="false">AR63</f>
        <v>126279.4928</v>
      </c>
      <c r="AS90" s="10" t="n">
        <f aca="false">AS63</f>
        <v>96300.064</v>
      </c>
      <c r="AT90" s="10" t="n">
        <f aca="false">AT63</f>
        <v>79727.808</v>
      </c>
      <c r="AU90" s="10" t="n">
        <f aca="false">AU63</f>
        <v>128765.84</v>
      </c>
      <c r="AV90" s="10" t="n">
        <f aca="false">AV63</f>
        <v>46583.2896</v>
      </c>
      <c r="AW90" s="10" t="n">
        <f aca="false">AW63</f>
        <v>46082.7328</v>
      </c>
      <c r="AX90" s="10" t="n">
        <f aca="false">AX63</f>
        <v>127264.1888</v>
      </c>
      <c r="AY90" s="10" t="n">
        <f aca="false">AY63</f>
        <v>45081.6384</v>
      </c>
      <c r="AZ90" s="10" t="n">
        <f aca="false">AZ63</f>
        <v>44581.088</v>
      </c>
      <c r="BA90" s="10" t="n">
        <f aca="false">BA63</f>
        <v>977601.5376</v>
      </c>
      <c r="BB90" s="10" t="n">
        <f aca="false">BB63</f>
        <v>43579.9872</v>
      </c>
      <c r="BC90" s="10" t="n">
        <f aca="false">BC63</f>
        <v>43079.4368</v>
      </c>
      <c r="BD90" s="10" t="n">
        <f aca="false">BD63</f>
        <v>173456.8864</v>
      </c>
      <c r="BE90" s="10" t="n">
        <f aca="false">BE63</f>
        <v>42078.336</v>
      </c>
      <c r="BF90" s="10" t="n">
        <f aca="false">BF63</f>
        <v>41577.7856</v>
      </c>
      <c r="BG90" s="10" t="n">
        <f aca="false">BG63</f>
        <v>171953.2416</v>
      </c>
      <c r="BH90" s="10" t="n">
        <f aca="false">BH63</f>
        <v>69777.4848</v>
      </c>
      <c r="BI90" s="10" t="n">
        <f aca="false">BI63</f>
        <v>69276.9344</v>
      </c>
      <c r="BJ90" s="10" t="n">
        <f aca="false">BJ63</f>
        <v>267427.6736</v>
      </c>
      <c r="BK90" s="10" t="n">
        <f aca="false">BK63</f>
        <v>0</v>
      </c>
      <c r="BL90" s="10" t="n">
        <f aca="false">BL63</f>
        <v>0</v>
      </c>
      <c r="BM90" s="10" t="n">
        <f aca="false">BM63</f>
        <v>130876</v>
      </c>
      <c r="BN90" s="10" t="n">
        <f aca="false">BN63</f>
        <v>0</v>
      </c>
      <c r="BO90" s="10" t="n">
        <f aca="false">BO63</f>
        <v>0</v>
      </c>
      <c r="BP90" s="10" t="n">
        <f aca="false">BP63</f>
        <v>142406</v>
      </c>
      <c r="BQ90" s="10" t="n">
        <f aca="false">BQ63</f>
        <v>0</v>
      </c>
      <c r="BR90" s="10" t="n">
        <f aca="false">BR63</f>
        <v>0</v>
      </c>
      <c r="BS90" s="10" t="n">
        <f aca="false">BS63</f>
        <v>142402</v>
      </c>
      <c r="BT90" s="10" t="n">
        <f aca="false">BT63</f>
        <v>0</v>
      </c>
      <c r="BU90" s="10" t="n">
        <f aca="false">BU63</f>
        <v>0</v>
      </c>
      <c r="BV90" s="10" t="n">
        <f aca="false">BV63</f>
        <v>142402</v>
      </c>
      <c r="BW90" s="10" t="n">
        <f aca="false">BW63</f>
        <v>0</v>
      </c>
      <c r="BX90" s="10" t="n">
        <f aca="false">BX63</f>
        <v>0</v>
      </c>
      <c r="BY90" s="10" t="n">
        <f aca="false">BY63</f>
        <v>215558</v>
      </c>
      <c r="BZ90" s="10" t="n">
        <f aca="false">BZ63</f>
        <v>0</v>
      </c>
      <c r="CA90" s="10" t="n">
        <f aca="false">CA63</f>
        <v>0</v>
      </c>
      <c r="CB90" s="10" t="n">
        <f aca="false">CB63</f>
        <v>231017</v>
      </c>
      <c r="CC90" s="10" t="n">
        <f aca="false">CC63</f>
        <v>0</v>
      </c>
      <c r="CD90" s="10" t="n">
        <f aca="false">CD63</f>
        <v>0</v>
      </c>
      <c r="CE90" s="10" t="n">
        <f aca="false">CE63</f>
        <v>231016</v>
      </c>
      <c r="CF90" s="10" t="n">
        <f aca="false">CF63</f>
        <v>0</v>
      </c>
      <c r="CG90" s="10" t="n">
        <f aca="false">CG63</f>
        <v>0</v>
      </c>
      <c r="CH90" s="10" t="n">
        <f aca="false">CH63</f>
        <v>231016</v>
      </c>
      <c r="CI90" s="25"/>
    </row>
    <row r="91" customFormat="false" ht="15" hidden="false" customHeight="true" outlineLevel="0" collapsed="false">
      <c r="A91" s="11" t="s">
        <v>125</v>
      </c>
      <c r="B91" s="30"/>
      <c r="C91" s="12" t="n">
        <f aca="false">C89+C90</f>
        <v>451139.624258373</v>
      </c>
      <c r="D91" s="12" t="n">
        <f aca="false">D89+D90</f>
        <v>451139.624258373</v>
      </c>
      <c r="E91" s="12" t="n">
        <f aca="false">E89+E90</f>
        <v>451139.624258373</v>
      </c>
      <c r="F91" s="12" t="n">
        <f aca="false">F89+F90</f>
        <v>1258425.61698565</v>
      </c>
      <c r="G91" s="12" t="n">
        <f aca="false">G89+G90</f>
        <v>613898.896985646</v>
      </c>
      <c r="H91" s="12" t="n">
        <f aca="false">H89+H90</f>
        <v>613065.566985646</v>
      </c>
      <c r="I91" s="12" t="n">
        <f aca="false">I89+I90</f>
        <v>1196637.73987241</v>
      </c>
      <c r="J91" s="12" t="n">
        <f aca="false">J89+J90</f>
        <v>1164832.99081938</v>
      </c>
      <c r="K91" s="12" t="n">
        <f aca="false">K89+K90</f>
        <v>785244.915819378</v>
      </c>
      <c r="L91" s="12" t="n">
        <f aca="false">L89+L90</f>
        <v>797376.746219378</v>
      </c>
      <c r="M91" s="12" t="n">
        <f aca="false">M89+M90</f>
        <v>797376.746219378</v>
      </c>
      <c r="N91" s="12" t="n">
        <f aca="false">N89+N90</f>
        <v>797376.746219378</v>
      </c>
      <c r="O91" s="12" t="n">
        <f aca="false">O89+O90</f>
        <v>1647843.33409817</v>
      </c>
      <c r="P91" s="12" t="n">
        <f aca="false">P89+P90</f>
        <v>968841.784098166</v>
      </c>
      <c r="Q91" s="12" t="n">
        <f aca="false">Q89+Q90</f>
        <v>968841.784098166</v>
      </c>
      <c r="R91" s="12" t="n">
        <f aca="false">R89+R90</f>
        <v>758358.010134529</v>
      </c>
      <c r="S91" s="12" t="n">
        <f aca="false">S89+S90</f>
        <v>648994.772534529</v>
      </c>
      <c r="T91" s="12" t="n">
        <f aca="false">T89+T90</f>
        <v>665567.03493453</v>
      </c>
      <c r="U91" s="12" t="n">
        <f aca="false">U89+U90</f>
        <v>682139.29093453</v>
      </c>
      <c r="V91" s="12" t="n">
        <f aca="false">V89+V90</f>
        <v>668408.401839793</v>
      </c>
      <c r="W91" s="12" t="n">
        <f aca="false">W89+W90</f>
        <v>742355.657839793</v>
      </c>
      <c r="X91" s="12" t="n">
        <f aca="false">X89+X90</f>
        <v>701552.913839793</v>
      </c>
      <c r="Y91" s="12" t="n">
        <f aca="false">Y89+Y90</f>
        <v>718125.176239793</v>
      </c>
      <c r="Z91" s="12" t="n">
        <f aca="false">Z89+Z90</f>
        <v>792072.445039793</v>
      </c>
      <c r="AA91" s="12" t="n">
        <f aca="false">AA89+AA90</f>
        <v>751269.701039793</v>
      </c>
      <c r="AB91" s="12" t="n">
        <f aca="false">AB89+AB90</f>
        <v>686348.118165151</v>
      </c>
      <c r="AC91" s="12" t="n">
        <f aca="false">AC89+AC90</f>
        <v>1566093.41149849</v>
      </c>
      <c r="AD91" s="12" t="n">
        <f aca="false">AD89+AD90</f>
        <v>831235.027498485</v>
      </c>
      <c r="AE91" s="12" t="n">
        <f aca="false">AE89+AE90</f>
        <v>831735.584298485</v>
      </c>
      <c r="AF91" s="12" t="n">
        <f aca="false">AF89+AF90</f>
        <v>832236.128298485</v>
      </c>
      <c r="AG91" s="12" t="n">
        <f aca="false">AG89+AG90</f>
        <v>823236.678698485</v>
      </c>
      <c r="AH91" s="12" t="n">
        <f aca="false">AH89+AH90</f>
        <v>723058.221751515</v>
      </c>
      <c r="AI91" s="12" t="n">
        <f aca="false">AI89+AI90</f>
        <v>740131.034551515</v>
      </c>
      <c r="AJ91" s="12" t="n">
        <f aca="false">AJ89+AJ90</f>
        <v>561300.056224242</v>
      </c>
      <c r="AK91" s="12" t="n">
        <f aca="false">AK89+AK90</f>
        <v>545228.344224243</v>
      </c>
      <c r="AL91" s="12" t="n">
        <f aca="false">AL89+AL90</f>
        <v>529156.632224242</v>
      </c>
      <c r="AM91" s="12" t="n">
        <f aca="false">AM89+AM90</f>
        <v>453066.417612121</v>
      </c>
      <c r="AN91" s="12" t="n">
        <f aca="false">AN89+AN90</f>
        <v>436994.712012121</v>
      </c>
      <c r="AO91" s="12" t="n">
        <f aca="false">AO89+AO90</f>
        <v>420923.000012121</v>
      </c>
      <c r="AP91" s="12" t="n">
        <f aca="false">AP89+AP90</f>
        <v>404851.281612121</v>
      </c>
      <c r="AQ91" s="12" t="n">
        <f aca="false">AQ89+AQ90</f>
        <v>388779.576012121</v>
      </c>
      <c r="AR91" s="12" t="n">
        <f aca="false">AR89+AR90</f>
        <v>454390.864012121</v>
      </c>
      <c r="AS91" s="12" t="n">
        <f aca="false">AS89+AS90</f>
        <v>252946.397333333</v>
      </c>
      <c r="AT91" s="12" t="n">
        <f aca="false">AT89+AT90</f>
        <v>236374.141333333</v>
      </c>
      <c r="AU91" s="12" t="n">
        <f aca="false">AU89+AU90</f>
        <v>285412.173333333</v>
      </c>
      <c r="AV91" s="12" t="n">
        <f aca="false">AV89+AV90</f>
        <v>203229.622933333</v>
      </c>
      <c r="AW91" s="12" t="n">
        <f aca="false">AW89+AW90</f>
        <v>202729.066133333</v>
      </c>
      <c r="AX91" s="12" t="n">
        <f aca="false">AX89+AX90</f>
        <v>283910.522133333</v>
      </c>
      <c r="AY91" s="12" t="n">
        <f aca="false">AY89+AY90</f>
        <v>201727.971733333</v>
      </c>
      <c r="AZ91" s="12" t="n">
        <f aca="false">AZ89+AZ90</f>
        <v>201227.421333333</v>
      </c>
      <c r="BA91" s="12" t="n">
        <f aca="false">BA89+BA90</f>
        <v>1134247.87093333</v>
      </c>
      <c r="BB91" s="12" t="n">
        <f aca="false">BB89+BB90</f>
        <v>200226.320533333</v>
      </c>
      <c r="BC91" s="12" t="n">
        <f aca="false">BC89+BC90</f>
        <v>199725.770133333</v>
      </c>
      <c r="BD91" s="12" t="n">
        <f aca="false">BD89+BD90</f>
        <v>330103.219733333</v>
      </c>
      <c r="BE91" s="12" t="n">
        <f aca="false">BE89+BE90</f>
        <v>198724.669333333</v>
      </c>
      <c r="BF91" s="12" t="n">
        <f aca="false">BF89+BF90</f>
        <v>198224.118933333</v>
      </c>
      <c r="BG91" s="12" t="n">
        <f aca="false">BG89+BG90</f>
        <v>171953.2416</v>
      </c>
      <c r="BH91" s="12" t="n">
        <f aca="false">BH89+BH90</f>
        <v>69777.4848</v>
      </c>
      <c r="BI91" s="12" t="n">
        <f aca="false">BI89+BI90</f>
        <v>69276.9344</v>
      </c>
      <c r="BJ91" s="12" t="n">
        <f aca="false">BJ89+BJ90</f>
        <v>267427.6736</v>
      </c>
      <c r="BK91" s="12" t="n">
        <f aca="false">BK89+BK90</f>
        <v>0</v>
      </c>
      <c r="BL91" s="12" t="n">
        <f aca="false">BL89+BL90</f>
        <v>0</v>
      </c>
      <c r="BM91" s="12" t="n">
        <f aca="false">BM89+BM90</f>
        <v>130876</v>
      </c>
      <c r="BN91" s="12" t="n">
        <f aca="false">BN89+BN90</f>
        <v>0</v>
      </c>
      <c r="BO91" s="12" t="n">
        <f aca="false">BO89+BO90</f>
        <v>0</v>
      </c>
      <c r="BP91" s="12" t="n">
        <f aca="false">BP89+BP90</f>
        <v>142406</v>
      </c>
      <c r="BQ91" s="12" t="n">
        <f aca="false">BQ89+BQ90</f>
        <v>0</v>
      </c>
      <c r="BR91" s="12" t="n">
        <f aca="false">BR89+BR90</f>
        <v>0</v>
      </c>
      <c r="BS91" s="12" t="n">
        <f aca="false">BS89+BS90</f>
        <v>142402</v>
      </c>
      <c r="BT91" s="12" t="n">
        <f aca="false">BT89+BT90</f>
        <v>0</v>
      </c>
      <c r="BU91" s="12" t="n">
        <f aca="false">BU89+BU90</f>
        <v>0</v>
      </c>
      <c r="BV91" s="12" t="n">
        <f aca="false">BV89+BV90</f>
        <v>142402</v>
      </c>
      <c r="BW91" s="12" t="n">
        <f aca="false">BW89+BW90</f>
        <v>0</v>
      </c>
      <c r="BX91" s="12" t="n">
        <f aca="false">BX89+BX90</f>
        <v>0</v>
      </c>
      <c r="BY91" s="12" t="n">
        <f aca="false">BY89+BY90</f>
        <v>215558</v>
      </c>
      <c r="BZ91" s="12" t="n">
        <f aca="false">BZ89+BZ90</f>
        <v>0</v>
      </c>
      <c r="CA91" s="12" t="n">
        <f aca="false">CA89+CA90</f>
        <v>0</v>
      </c>
      <c r="CB91" s="12" t="n">
        <f aca="false">CB89+CB90</f>
        <v>231017</v>
      </c>
      <c r="CC91" s="12" t="n">
        <f aca="false">CC89+CC90</f>
        <v>0</v>
      </c>
      <c r="CD91" s="12" t="n">
        <f aca="false">CD89+CD90</f>
        <v>0</v>
      </c>
      <c r="CE91" s="12" t="n">
        <f aca="false">CE89+CE90</f>
        <v>231016</v>
      </c>
      <c r="CF91" s="12" t="n">
        <f aca="false">CF89+CF90</f>
        <v>0</v>
      </c>
      <c r="CG91" s="12" t="n">
        <f aca="false">CG89+CG90</f>
        <v>0</v>
      </c>
      <c r="CH91" s="12" t="n">
        <f aca="false">CH89+CH90</f>
        <v>231016</v>
      </c>
      <c r="CI91" s="25"/>
    </row>
    <row r="92" customFormat="false" ht="15" hidden="false" customHeight="true" outlineLevel="0" collapsed="false">
      <c r="A92" s="18" t="s">
        <v>16</v>
      </c>
      <c r="B92" s="24"/>
      <c r="C92" s="10" t="n">
        <f aca="false">C38</f>
        <v>-333677.618333333</v>
      </c>
      <c r="D92" s="10" t="n">
        <f aca="false">D38</f>
        <v>-380258.868333333</v>
      </c>
      <c r="E92" s="10" t="n">
        <f aca="false">E38</f>
        <v>-418808.868333333</v>
      </c>
      <c r="F92" s="10" t="n">
        <f aca="false">F38</f>
        <v>-736775.383533333</v>
      </c>
      <c r="G92" s="10" t="n">
        <f aca="false">G38</f>
        <v>-418808.868333333</v>
      </c>
      <c r="H92" s="10" t="n">
        <f aca="false">H38</f>
        <v>-418808.868333333</v>
      </c>
      <c r="I92" s="10" t="n">
        <f aca="false">I38</f>
        <v>-636891.715333333</v>
      </c>
      <c r="J92" s="10" t="n">
        <f aca="false">J38</f>
        <v>-576158.065333333</v>
      </c>
      <c r="K92" s="10" t="n">
        <f aca="false">K38</f>
        <v>-418808.868333333</v>
      </c>
      <c r="L92" s="10" t="n">
        <f aca="false">L38</f>
        <v>-418808.868333333</v>
      </c>
      <c r="M92" s="10" t="n">
        <f aca="false">M38</f>
        <v>-418808.868333333</v>
      </c>
      <c r="N92" s="10" t="n">
        <f aca="false">N38</f>
        <v>-418808.868333333</v>
      </c>
      <c r="O92" s="10" t="n">
        <f aca="false">O38</f>
        <v>-1898355.0707</v>
      </c>
      <c r="P92" s="10" t="n">
        <f aca="false">P38</f>
        <v>-427185.0457</v>
      </c>
      <c r="Q92" s="10" t="n">
        <f aca="false">Q38</f>
        <v>-427185.0457</v>
      </c>
      <c r="R92" s="10" t="n">
        <f aca="false">R38</f>
        <v>-427185.0457</v>
      </c>
      <c r="S92" s="10" t="n">
        <f aca="false">S38</f>
        <v>-427185.0457</v>
      </c>
      <c r="T92" s="10" t="n">
        <f aca="false">T38</f>
        <v>-427185.0457</v>
      </c>
      <c r="U92" s="10" t="n">
        <f aca="false">U38</f>
        <v>-427185.0457</v>
      </c>
      <c r="V92" s="10" t="n">
        <f aca="false">V38</f>
        <v>-427185.0457</v>
      </c>
      <c r="W92" s="10" t="n">
        <f aca="false">W38</f>
        <v>-427185.0457</v>
      </c>
      <c r="X92" s="10" t="n">
        <f aca="false">X38</f>
        <v>-427185.0457</v>
      </c>
      <c r="Y92" s="10" t="n">
        <f aca="false">Y38</f>
        <v>-427185.0457</v>
      </c>
      <c r="Z92" s="10" t="n">
        <f aca="false">Z38</f>
        <v>-427185.0457</v>
      </c>
      <c r="AA92" s="10" t="n">
        <f aca="false">AA38</f>
        <v>-435728.746614</v>
      </c>
      <c r="AB92" s="10" t="n">
        <f aca="false">AB38</f>
        <v>-435728.746614</v>
      </c>
      <c r="AC92" s="10" t="n">
        <f aca="false">AC38</f>
        <v>-1779754.286614</v>
      </c>
      <c r="AD92" s="10" t="n">
        <f aca="false">AD38</f>
        <v>-435728.746614</v>
      </c>
      <c r="AE92" s="10" t="n">
        <f aca="false">AE38</f>
        <v>-435728.746614</v>
      </c>
      <c r="AF92" s="10" t="n">
        <f aca="false">AF38</f>
        <v>-435728.746614</v>
      </c>
      <c r="AG92" s="10" t="n">
        <f aca="false">AG38</f>
        <v>-435728.746614</v>
      </c>
      <c r="AH92" s="10" t="n">
        <f aca="false">AH38</f>
        <v>-435728.746614</v>
      </c>
      <c r="AI92" s="10" t="n">
        <f aca="false">AI38</f>
        <v>-435728.746614</v>
      </c>
      <c r="AJ92" s="10" t="n">
        <f aca="false">AJ38</f>
        <v>-435728.746614</v>
      </c>
      <c r="AK92" s="10" t="n">
        <f aca="false">AK38</f>
        <v>-435728.746614</v>
      </c>
      <c r="AL92" s="10" t="n">
        <f aca="false">AL38</f>
        <v>-435728.746614</v>
      </c>
      <c r="AM92" s="10" t="n">
        <f aca="false">AM38</f>
        <v>-444443.32154628</v>
      </c>
      <c r="AN92" s="10" t="n">
        <f aca="false">AN38</f>
        <v>-444443.32154628</v>
      </c>
      <c r="AO92" s="10" t="n">
        <f aca="false">AO38</f>
        <v>-444443.32154628</v>
      </c>
      <c r="AP92" s="10" t="n">
        <f aca="false">AP38</f>
        <v>-444443.32154628</v>
      </c>
      <c r="AQ92" s="10" t="n">
        <f aca="false">AQ38</f>
        <v>-444443.32154628</v>
      </c>
      <c r="AR92" s="10" t="n">
        <f aca="false">AR38</f>
        <v>-444443.32154628</v>
      </c>
      <c r="AS92" s="10" t="n">
        <f aca="false">AS38</f>
        <v>-444443.32154628</v>
      </c>
      <c r="AT92" s="10" t="n">
        <f aca="false">AT38</f>
        <v>-444443.32154628</v>
      </c>
      <c r="AU92" s="10" t="n">
        <f aca="false">AU38</f>
        <v>-444443.32154628</v>
      </c>
      <c r="AV92" s="10" t="n">
        <f aca="false">AV38</f>
        <v>-444443.32154628</v>
      </c>
      <c r="AW92" s="10" t="n">
        <f aca="false">AW38</f>
        <v>-444443.32154628</v>
      </c>
      <c r="AX92" s="10" t="n">
        <f aca="false">AX38</f>
        <v>-444443.32154628</v>
      </c>
      <c r="AY92" s="10" t="n">
        <f aca="false">AY38</f>
        <v>-453332.187977206</v>
      </c>
      <c r="AZ92" s="10" t="n">
        <f aca="false">AZ38</f>
        <v>-453332.187977206</v>
      </c>
      <c r="BA92" s="10" t="n">
        <f aca="false">BA38</f>
        <v>-453332.187977206</v>
      </c>
      <c r="BB92" s="10" t="n">
        <f aca="false">BB38</f>
        <v>-453332.187977206</v>
      </c>
      <c r="BC92" s="10" t="n">
        <f aca="false">BC38</f>
        <v>-453332.187977206</v>
      </c>
      <c r="BD92" s="10" t="n">
        <f aca="false">BD38</f>
        <v>-453332.187977206</v>
      </c>
      <c r="BE92" s="10" t="n">
        <f aca="false">BE38</f>
        <v>-453332.187977206</v>
      </c>
      <c r="BF92" s="10" t="n">
        <f aca="false">BF38</f>
        <v>-453332.187977206</v>
      </c>
      <c r="BG92" s="10" t="n">
        <f aca="false">BG38</f>
        <v>-453332.187977206</v>
      </c>
      <c r="BH92" s="10" t="n">
        <f aca="false">BH38</f>
        <v>-453332.187977206</v>
      </c>
      <c r="BI92" s="10" t="n">
        <f aca="false">BI38</f>
        <v>-453332.187977206</v>
      </c>
      <c r="BJ92" s="10" t="n">
        <f aca="false">BJ38</f>
        <v>-453332.187977206</v>
      </c>
      <c r="BK92" s="10" t="n">
        <f aca="false">BK38</f>
        <v>-462398.83173675</v>
      </c>
      <c r="BL92" s="10" t="n">
        <f aca="false">BL38</f>
        <v>-462398.83173675</v>
      </c>
      <c r="BM92" s="10" t="n">
        <f aca="false">BM38</f>
        <v>-462398.83173675</v>
      </c>
      <c r="BN92" s="10" t="n">
        <f aca="false">BN38</f>
        <v>-462398.83173675</v>
      </c>
      <c r="BO92" s="10" t="n">
        <f aca="false">BO38</f>
        <v>-462398.83173675</v>
      </c>
      <c r="BP92" s="10" t="n">
        <f aca="false">BP38</f>
        <v>-462398.83173675</v>
      </c>
      <c r="BQ92" s="10" t="n">
        <f aca="false">BQ38</f>
        <v>-462398.83173675</v>
      </c>
      <c r="BR92" s="10" t="n">
        <f aca="false">BR38</f>
        <v>-462398.83173675</v>
      </c>
      <c r="BS92" s="10" t="n">
        <f aca="false">BS38</f>
        <v>-462398.83173675</v>
      </c>
      <c r="BT92" s="10" t="n">
        <f aca="false">BT38</f>
        <v>-462398.83173675</v>
      </c>
      <c r="BU92" s="10" t="n">
        <f aca="false">BU38</f>
        <v>-462398.83173675</v>
      </c>
      <c r="BV92" s="10" t="n">
        <f aca="false">BV38</f>
        <v>-462398.83173675</v>
      </c>
      <c r="BW92" s="10" t="n">
        <f aca="false">BW38</f>
        <v>-471646.808371485</v>
      </c>
      <c r="BX92" s="10" t="n">
        <f aca="false">BX38</f>
        <v>-471646.808371485</v>
      </c>
      <c r="BY92" s="10" t="n">
        <f aca="false">BY38</f>
        <v>-471646.808371485</v>
      </c>
      <c r="BZ92" s="10" t="n">
        <f aca="false">BZ38</f>
        <v>-471646.808371485</v>
      </c>
      <c r="CA92" s="10" t="n">
        <f aca="false">CA38</f>
        <v>-471646.808371485</v>
      </c>
      <c r="CB92" s="10" t="n">
        <f aca="false">CB38</f>
        <v>-471646.808371485</v>
      </c>
      <c r="CC92" s="10" t="n">
        <f aca="false">CC38</f>
        <v>-471646.808371485</v>
      </c>
      <c r="CD92" s="10" t="n">
        <f aca="false">CD38</f>
        <v>-471646.808371485</v>
      </c>
      <c r="CE92" s="10" t="n">
        <f aca="false">CE38</f>
        <v>-471646.808371485</v>
      </c>
      <c r="CF92" s="10" t="n">
        <f aca="false">CF38</f>
        <v>-471646.808371485</v>
      </c>
      <c r="CG92" s="10" t="n">
        <f aca="false">CG38</f>
        <v>-471646.808371485</v>
      </c>
      <c r="CH92" s="10" t="n">
        <f aca="false">CH38</f>
        <v>-471646.808371485</v>
      </c>
      <c r="CI92" s="25"/>
    </row>
    <row r="93" customFormat="false" ht="15" hidden="false" customHeight="true" outlineLevel="0" collapsed="false">
      <c r="A93" s="18" t="s">
        <v>24</v>
      </c>
      <c r="B93" s="24"/>
      <c r="C93" s="10" t="n">
        <f aca="false">C84</f>
        <v>-119564.583333333</v>
      </c>
      <c r="D93" s="10" t="n">
        <f aca="false">D84</f>
        <v>-119564.583333333</v>
      </c>
      <c r="E93" s="10" t="n">
        <f aca="false">E84</f>
        <v>-119564.583333333</v>
      </c>
      <c r="F93" s="10" t="n">
        <f aca="false">F84</f>
        <v>-142564.583333333</v>
      </c>
      <c r="G93" s="10" t="n">
        <f aca="false">G84</f>
        <v>-119564.583333333</v>
      </c>
      <c r="H93" s="10" t="n">
        <f aca="false">H84</f>
        <v>-119564.583333333</v>
      </c>
      <c r="I93" s="10" t="n">
        <f aca="false">I84</f>
        <v>-119564.583333333</v>
      </c>
      <c r="J93" s="10" t="n">
        <f aca="false">J84</f>
        <v>-119564.583333333</v>
      </c>
      <c r="K93" s="10" t="n">
        <f aca="false">K84</f>
        <v>-140564.583333333</v>
      </c>
      <c r="L93" s="10" t="n">
        <f aca="false">L84</f>
        <v>-119564.583333333</v>
      </c>
      <c r="M93" s="10" t="n">
        <f aca="false">M84</f>
        <v>-119564.583333333</v>
      </c>
      <c r="N93" s="10" t="n">
        <f aca="false">N84</f>
        <v>-119564.583333333</v>
      </c>
      <c r="O93" s="10" t="n">
        <f aca="false">O84</f>
        <v>-121955.875</v>
      </c>
      <c r="P93" s="10" t="n">
        <f aca="false">P84</f>
        <v>-121955.875</v>
      </c>
      <c r="Q93" s="10" t="n">
        <f aca="false">Q84</f>
        <v>-121955.875</v>
      </c>
      <c r="R93" s="10" t="n">
        <f aca="false">R84</f>
        <v>-145415.875</v>
      </c>
      <c r="S93" s="10" t="n">
        <f aca="false">S84</f>
        <v>-121955.875</v>
      </c>
      <c r="T93" s="10" t="n">
        <f aca="false">T84</f>
        <v>-121955.875</v>
      </c>
      <c r="U93" s="10" t="n">
        <f aca="false">U84</f>
        <v>-121955.875</v>
      </c>
      <c r="V93" s="10" t="n">
        <f aca="false">V84</f>
        <v>-121955.875</v>
      </c>
      <c r="W93" s="10" t="n">
        <f aca="false">W84</f>
        <v>-143375.875</v>
      </c>
      <c r="X93" s="10" t="n">
        <f aca="false">X84</f>
        <v>-121955.875</v>
      </c>
      <c r="Y93" s="10" t="n">
        <f aca="false">Y84</f>
        <v>-121955.875</v>
      </c>
      <c r="Z93" s="10" t="n">
        <f aca="false">Z84</f>
        <v>-121955.875</v>
      </c>
      <c r="AA93" s="10" t="n">
        <f aca="false">AA84</f>
        <v>-124394.9925</v>
      </c>
      <c r="AB93" s="10" t="n">
        <f aca="false">AB84</f>
        <v>-124394.9925</v>
      </c>
      <c r="AC93" s="10" t="n">
        <f aca="false">AC84</f>
        <v>-124394.9925</v>
      </c>
      <c r="AD93" s="10" t="n">
        <f aca="false">AD84</f>
        <v>-148324.1925</v>
      </c>
      <c r="AE93" s="10" t="n">
        <f aca="false">AE84</f>
        <v>-124394.9925</v>
      </c>
      <c r="AF93" s="10" t="n">
        <f aca="false">AF84</f>
        <v>-124394.9925</v>
      </c>
      <c r="AG93" s="10" t="n">
        <f aca="false">AG84</f>
        <v>-124394.9925</v>
      </c>
      <c r="AH93" s="10" t="n">
        <f aca="false">AH84</f>
        <v>-124394.9925</v>
      </c>
      <c r="AI93" s="10" t="n">
        <f aca="false">AI84</f>
        <v>-146243.3925</v>
      </c>
      <c r="AJ93" s="10" t="n">
        <f aca="false">AJ84</f>
        <v>-124394.9925</v>
      </c>
      <c r="AK93" s="10" t="n">
        <f aca="false">AK84</f>
        <v>-124394.9925</v>
      </c>
      <c r="AL93" s="10" t="n">
        <f aca="false">AL84</f>
        <v>-124394.9925</v>
      </c>
      <c r="AM93" s="10" t="n">
        <f aca="false">AM84</f>
        <v>-126882.89235</v>
      </c>
      <c r="AN93" s="10" t="n">
        <f aca="false">AN84</f>
        <v>-126882.89235</v>
      </c>
      <c r="AO93" s="10" t="n">
        <f aca="false">AO84</f>
        <v>-126882.89235</v>
      </c>
      <c r="AP93" s="10" t="n">
        <f aca="false">AP84</f>
        <v>-151290.67635</v>
      </c>
      <c r="AQ93" s="10" t="n">
        <f aca="false">AQ84</f>
        <v>-126882.89235</v>
      </c>
      <c r="AR93" s="10" t="n">
        <f aca="false">AR84</f>
        <v>-208565.89235</v>
      </c>
      <c r="AS93" s="10" t="n">
        <f aca="false">AS84</f>
        <v>-126882.89235</v>
      </c>
      <c r="AT93" s="10" t="n">
        <f aca="false">AT84</f>
        <v>-126882.89235</v>
      </c>
      <c r="AU93" s="10" t="n">
        <f aca="false">AU84</f>
        <v>-230850.26035</v>
      </c>
      <c r="AV93" s="10" t="n">
        <f aca="false">AV84</f>
        <v>-126882.89235</v>
      </c>
      <c r="AW93" s="10" t="n">
        <f aca="false">AW84</f>
        <v>-126882.89235</v>
      </c>
      <c r="AX93" s="10" t="n">
        <f aca="false">AX84</f>
        <v>-208564.89235</v>
      </c>
      <c r="AY93" s="10" t="n">
        <f aca="false">AY84</f>
        <v>-129420.550197</v>
      </c>
      <c r="AZ93" s="10" t="n">
        <f aca="false">AZ84</f>
        <v>-129420.550197</v>
      </c>
      <c r="BA93" s="10" t="n">
        <f aca="false">BA84</f>
        <v>-1062941.550197</v>
      </c>
      <c r="BB93" s="10" t="n">
        <f aca="false">BB84</f>
        <v>-154316.489877</v>
      </c>
      <c r="BC93" s="10" t="n">
        <f aca="false">BC84</f>
        <v>-129420.550197</v>
      </c>
      <c r="BD93" s="10" t="n">
        <f aca="false">BD84</f>
        <v>-260298.550197</v>
      </c>
      <c r="BE93" s="10" t="n">
        <f aca="false">BE84</f>
        <v>-129420.550197</v>
      </c>
      <c r="BF93" s="10" t="n">
        <f aca="false">BF84</f>
        <v>-129420.550197</v>
      </c>
      <c r="BG93" s="10" t="n">
        <f aca="false">BG84</f>
        <v>-283027.625557</v>
      </c>
      <c r="BH93" s="10" t="n">
        <f aca="false">BH84</f>
        <v>-129420.550197</v>
      </c>
      <c r="BI93" s="10" t="n">
        <f aca="false">BI84</f>
        <v>-129420.550197</v>
      </c>
      <c r="BJ93" s="10" t="n">
        <f aca="false">BJ84</f>
        <v>-260296.550197</v>
      </c>
      <c r="BK93" s="10" t="n">
        <f aca="false">BK84</f>
        <v>-132008.96120094</v>
      </c>
      <c r="BL93" s="10" t="n">
        <f aca="false">BL84</f>
        <v>-132008.96120094</v>
      </c>
      <c r="BM93" s="10" t="n">
        <f aca="false">BM84</f>
        <v>-262884.96120094</v>
      </c>
      <c r="BN93" s="10" t="n">
        <f aca="false">BN84</f>
        <v>-157402.81967454</v>
      </c>
      <c r="BO93" s="10" t="n">
        <f aca="false">BO84</f>
        <v>-132008.96120094</v>
      </c>
      <c r="BP93" s="10" t="n">
        <f aca="false">BP84</f>
        <v>-222901.44120094</v>
      </c>
      <c r="BQ93" s="10" t="n">
        <f aca="false">BQ84</f>
        <v>-132008.96120094</v>
      </c>
      <c r="BR93" s="10" t="n">
        <f aca="false">BR84</f>
        <v>-132008.96120094</v>
      </c>
      <c r="BS93" s="10" t="n">
        <f aca="false">BS84</f>
        <v>-229834.65806814</v>
      </c>
      <c r="BT93" s="10" t="n">
        <f aca="false">BT84</f>
        <v>-132008.96120094</v>
      </c>
      <c r="BU93" s="10" t="n">
        <f aca="false">BU84</f>
        <v>-132008.96120094</v>
      </c>
      <c r="BV93" s="10" t="n">
        <f aca="false">BV84</f>
        <v>-206648.96120094</v>
      </c>
      <c r="BW93" s="10" t="n">
        <f aca="false">BW84</f>
        <v>-134649.140424959</v>
      </c>
      <c r="BX93" s="10" t="n">
        <f aca="false">BX84</f>
        <v>-134649.140424959</v>
      </c>
      <c r="BY93" s="10" t="n">
        <f aca="false">BY84</f>
        <v>-282445.140424959</v>
      </c>
      <c r="BZ93" s="10" t="n">
        <f aca="false">BZ84</f>
        <v>-160550.876068031</v>
      </c>
      <c r="CA93" s="10" t="n">
        <f aca="false">CA84</f>
        <v>-134649.140424959</v>
      </c>
      <c r="CB93" s="10" t="n">
        <f aca="false">CB84</f>
        <v>-289167.140424959</v>
      </c>
      <c r="CC93" s="10" t="n">
        <f aca="false">CC84</f>
        <v>-134649.140424959</v>
      </c>
      <c r="CD93" s="10" t="n">
        <f aca="false">CD84</f>
        <v>-134649.140424959</v>
      </c>
      <c r="CE93" s="10" t="n">
        <f aca="false">CE84</f>
        <v>-312815.551229503</v>
      </c>
      <c r="CF93" s="10" t="n">
        <f aca="false">CF84</f>
        <v>-134649.140424959</v>
      </c>
      <c r="CG93" s="10" t="n">
        <f aca="false">CG84</f>
        <v>-134649.140424959</v>
      </c>
      <c r="CH93" s="10" t="n">
        <f aca="false">CH84</f>
        <v>-282558.11381848</v>
      </c>
      <c r="CI93" s="25"/>
    </row>
    <row r="94" customFormat="false" ht="15" hidden="false" customHeight="true" outlineLevel="0" collapsed="false">
      <c r="A94" s="11" t="s">
        <v>126</v>
      </c>
      <c r="B94" s="30"/>
      <c r="C94" s="12" t="n">
        <f aca="false">C92+C93</f>
        <v>-453242.201666667</v>
      </c>
      <c r="D94" s="12" t="n">
        <f aca="false">D92+D93</f>
        <v>-499823.451666667</v>
      </c>
      <c r="E94" s="12" t="n">
        <f aca="false">E92+E93</f>
        <v>-538373.451666667</v>
      </c>
      <c r="F94" s="12" t="n">
        <f aca="false">F92+F93</f>
        <v>-879339.966866667</v>
      </c>
      <c r="G94" s="12" t="n">
        <f aca="false">G92+G93</f>
        <v>-538373.451666667</v>
      </c>
      <c r="H94" s="12" t="n">
        <f aca="false">H92+H93</f>
        <v>-538373.451666667</v>
      </c>
      <c r="I94" s="12" t="n">
        <f aca="false">I92+I93</f>
        <v>-756456.298666667</v>
      </c>
      <c r="J94" s="12" t="n">
        <f aca="false">J92+J93</f>
        <v>-695722.648666667</v>
      </c>
      <c r="K94" s="12" t="n">
        <f aca="false">K92+K93</f>
        <v>-559373.451666667</v>
      </c>
      <c r="L94" s="12" t="n">
        <f aca="false">L92+L93</f>
        <v>-538373.451666667</v>
      </c>
      <c r="M94" s="12" t="n">
        <f aca="false">M92+M93</f>
        <v>-538373.451666667</v>
      </c>
      <c r="N94" s="12" t="n">
        <f aca="false">N92+N93</f>
        <v>-538373.451666667</v>
      </c>
      <c r="O94" s="12" t="n">
        <f aca="false">O92+O93</f>
        <v>-2020310.9457</v>
      </c>
      <c r="P94" s="12" t="n">
        <f aca="false">P92+P93</f>
        <v>-549140.9207</v>
      </c>
      <c r="Q94" s="12" t="n">
        <f aca="false">Q92+Q93</f>
        <v>-549140.9207</v>
      </c>
      <c r="R94" s="12" t="n">
        <f aca="false">R92+R93</f>
        <v>-572600.9207</v>
      </c>
      <c r="S94" s="12" t="n">
        <f aca="false">S92+S93</f>
        <v>-549140.9207</v>
      </c>
      <c r="T94" s="12" t="n">
        <f aca="false">T92+T93</f>
        <v>-549140.9207</v>
      </c>
      <c r="U94" s="12" t="n">
        <f aca="false">U92+U93</f>
        <v>-549140.9207</v>
      </c>
      <c r="V94" s="12" t="n">
        <f aca="false">V92+V93</f>
        <v>-549140.9207</v>
      </c>
      <c r="W94" s="12" t="n">
        <f aca="false">W92+W93</f>
        <v>-570560.9207</v>
      </c>
      <c r="X94" s="12" t="n">
        <f aca="false">X92+X93</f>
        <v>-549140.9207</v>
      </c>
      <c r="Y94" s="12" t="n">
        <f aca="false">Y92+Y93</f>
        <v>-549140.9207</v>
      </c>
      <c r="Z94" s="12" t="n">
        <f aca="false">Z92+Z93</f>
        <v>-549140.9207</v>
      </c>
      <c r="AA94" s="12" t="n">
        <f aca="false">AA92+AA93</f>
        <v>-560123.739114</v>
      </c>
      <c r="AB94" s="12" t="n">
        <f aca="false">AB92+AB93</f>
        <v>-560123.739114</v>
      </c>
      <c r="AC94" s="12" t="n">
        <f aca="false">AC92+AC93</f>
        <v>-1904149.279114</v>
      </c>
      <c r="AD94" s="12" t="n">
        <f aca="false">AD92+AD93</f>
        <v>-584052.939114</v>
      </c>
      <c r="AE94" s="12" t="n">
        <f aca="false">AE92+AE93</f>
        <v>-560123.739114</v>
      </c>
      <c r="AF94" s="12" t="n">
        <f aca="false">AF92+AF93</f>
        <v>-560123.739114</v>
      </c>
      <c r="AG94" s="12" t="n">
        <f aca="false">AG92+AG93</f>
        <v>-560123.739114</v>
      </c>
      <c r="AH94" s="12" t="n">
        <f aca="false">AH92+AH93</f>
        <v>-560123.739114</v>
      </c>
      <c r="AI94" s="12" t="n">
        <f aca="false">AI92+AI93</f>
        <v>-581972.139114</v>
      </c>
      <c r="AJ94" s="12" t="n">
        <f aca="false">AJ92+AJ93</f>
        <v>-560123.739114</v>
      </c>
      <c r="AK94" s="12" t="n">
        <f aca="false">AK92+AK93</f>
        <v>-560123.739114</v>
      </c>
      <c r="AL94" s="12" t="n">
        <f aca="false">AL92+AL93</f>
        <v>-560123.739114</v>
      </c>
      <c r="AM94" s="12" t="n">
        <f aca="false">AM92+AM93</f>
        <v>-571326.21389628</v>
      </c>
      <c r="AN94" s="12" t="n">
        <f aca="false">AN92+AN93</f>
        <v>-571326.21389628</v>
      </c>
      <c r="AO94" s="12" t="n">
        <f aca="false">AO92+AO93</f>
        <v>-571326.21389628</v>
      </c>
      <c r="AP94" s="12" t="n">
        <f aca="false">AP92+AP93</f>
        <v>-595733.99789628</v>
      </c>
      <c r="AQ94" s="12" t="n">
        <f aca="false">AQ92+AQ93</f>
        <v>-571326.21389628</v>
      </c>
      <c r="AR94" s="12" t="n">
        <f aca="false">AR92+AR93</f>
        <v>-653009.21389628</v>
      </c>
      <c r="AS94" s="12" t="n">
        <f aca="false">AS92+AS93</f>
        <v>-571326.21389628</v>
      </c>
      <c r="AT94" s="12" t="n">
        <f aca="false">AT92+AT93</f>
        <v>-571326.21389628</v>
      </c>
      <c r="AU94" s="12" t="n">
        <f aca="false">AU92+AU93</f>
        <v>-675293.58189628</v>
      </c>
      <c r="AV94" s="12" t="n">
        <f aca="false">AV92+AV93</f>
        <v>-571326.21389628</v>
      </c>
      <c r="AW94" s="12" t="n">
        <f aca="false">AW92+AW93</f>
        <v>-571326.21389628</v>
      </c>
      <c r="AX94" s="12" t="n">
        <f aca="false">AX92+AX93</f>
        <v>-653008.21389628</v>
      </c>
      <c r="AY94" s="12" t="n">
        <f aca="false">AY92+AY93</f>
        <v>-582752.738174206</v>
      </c>
      <c r="AZ94" s="12" t="n">
        <f aca="false">AZ92+AZ93</f>
        <v>-582752.738174206</v>
      </c>
      <c r="BA94" s="12" t="n">
        <f aca="false">BA92+BA93</f>
        <v>-1516273.73817421</v>
      </c>
      <c r="BB94" s="12" t="n">
        <f aca="false">BB92+BB93</f>
        <v>-607648.677854206</v>
      </c>
      <c r="BC94" s="12" t="n">
        <f aca="false">BC92+BC93</f>
        <v>-582752.738174206</v>
      </c>
      <c r="BD94" s="12" t="n">
        <f aca="false">BD92+BD93</f>
        <v>-713630.738174206</v>
      </c>
      <c r="BE94" s="12" t="n">
        <f aca="false">BE92+BE93</f>
        <v>-582752.738174206</v>
      </c>
      <c r="BF94" s="12" t="n">
        <f aca="false">BF92+BF93</f>
        <v>-582752.738174206</v>
      </c>
      <c r="BG94" s="12" t="n">
        <f aca="false">BG92+BG93</f>
        <v>-736359.813534206</v>
      </c>
      <c r="BH94" s="12" t="n">
        <f aca="false">BH92+BH93</f>
        <v>-582752.738174206</v>
      </c>
      <c r="BI94" s="12" t="n">
        <f aca="false">BI92+BI93</f>
        <v>-582752.738174206</v>
      </c>
      <c r="BJ94" s="12" t="n">
        <f aca="false">BJ92+BJ93</f>
        <v>-713628.738174206</v>
      </c>
      <c r="BK94" s="12" t="n">
        <f aca="false">BK92+BK93</f>
        <v>-594407.79293769</v>
      </c>
      <c r="BL94" s="12" t="n">
        <f aca="false">BL92+BL93</f>
        <v>-594407.79293769</v>
      </c>
      <c r="BM94" s="12" t="n">
        <f aca="false">BM92+BM93</f>
        <v>-725283.79293769</v>
      </c>
      <c r="BN94" s="12" t="n">
        <f aca="false">BN92+BN93</f>
        <v>-619801.65141129</v>
      </c>
      <c r="BO94" s="12" t="n">
        <f aca="false">BO92+BO93</f>
        <v>-594407.79293769</v>
      </c>
      <c r="BP94" s="12" t="n">
        <f aca="false">BP92+BP93</f>
        <v>-685300.27293769</v>
      </c>
      <c r="BQ94" s="12" t="n">
        <f aca="false">BQ92+BQ93</f>
        <v>-594407.79293769</v>
      </c>
      <c r="BR94" s="12" t="n">
        <f aca="false">BR92+BR93</f>
        <v>-594407.79293769</v>
      </c>
      <c r="BS94" s="12" t="n">
        <f aca="false">BS92+BS93</f>
        <v>-692233.48980489</v>
      </c>
      <c r="BT94" s="12" t="n">
        <f aca="false">BT92+BT93</f>
        <v>-594407.79293769</v>
      </c>
      <c r="BU94" s="12" t="n">
        <f aca="false">BU92+BU93</f>
        <v>-594407.79293769</v>
      </c>
      <c r="BV94" s="12" t="n">
        <f aca="false">BV92+BV93</f>
        <v>-669047.79293769</v>
      </c>
      <c r="BW94" s="12" t="n">
        <f aca="false">BW92+BW93</f>
        <v>-606295.948796444</v>
      </c>
      <c r="BX94" s="12" t="n">
        <f aca="false">BX92+BX93</f>
        <v>-606295.948796444</v>
      </c>
      <c r="BY94" s="12" t="n">
        <f aca="false">BY92+BY93</f>
        <v>-754091.948796444</v>
      </c>
      <c r="BZ94" s="12" t="n">
        <f aca="false">BZ92+BZ93</f>
        <v>-632197.684439516</v>
      </c>
      <c r="CA94" s="12" t="n">
        <f aca="false">CA92+CA93</f>
        <v>-606295.948796444</v>
      </c>
      <c r="CB94" s="12" t="n">
        <f aca="false">CB92+CB93</f>
        <v>-760813.948796444</v>
      </c>
      <c r="CC94" s="12" t="n">
        <f aca="false">CC92+CC93</f>
        <v>-606295.948796444</v>
      </c>
      <c r="CD94" s="12" t="n">
        <f aca="false">CD92+CD93</f>
        <v>-606295.948796444</v>
      </c>
      <c r="CE94" s="12" t="n">
        <f aca="false">CE92+CE93</f>
        <v>-784462.359600988</v>
      </c>
      <c r="CF94" s="12" t="n">
        <f aca="false">CF92+CF93</f>
        <v>-606295.948796444</v>
      </c>
      <c r="CG94" s="12" t="n">
        <f aca="false">CG92+CG93</f>
        <v>-606295.948796444</v>
      </c>
      <c r="CH94" s="12" t="n">
        <f aca="false">CH92+CH93</f>
        <v>-754204.922189964</v>
      </c>
      <c r="CI94" s="25"/>
    </row>
    <row r="95" customFormat="false" ht="15" hidden="false" customHeight="true" outlineLevel="0" collapsed="false">
      <c r="A95" s="15" t="s">
        <v>26</v>
      </c>
      <c r="B95" s="31"/>
      <c r="C95" s="16" t="n">
        <f aca="false">C91+C94</f>
        <v>-2102.57740829344</v>
      </c>
      <c r="D95" s="16" t="n">
        <f aca="false">D91+D94</f>
        <v>-48683.8274082934</v>
      </c>
      <c r="E95" s="16" t="n">
        <f aca="false">E91+E94</f>
        <v>-87233.8274082934</v>
      </c>
      <c r="F95" s="16" t="n">
        <f aca="false">F91+F94</f>
        <v>379085.650118979</v>
      </c>
      <c r="G95" s="16" t="n">
        <f aca="false">G91+G94</f>
        <v>75525.4453189792</v>
      </c>
      <c r="H95" s="16" t="n">
        <f aca="false">H91+H94</f>
        <v>74692.1153189793</v>
      </c>
      <c r="I95" s="16" t="n">
        <f aca="false">I91+I94</f>
        <v>440181.441205741</v>
      </c>
      <c r="J95" s="16" t="n">
        <f aca="false">J91+J94</f>
        <v>469110.342152711</v>
      </c>
      <c r="K95" s="16" t="n">
        <f aca="false">K91+K94</f>
        <v>225871.464152711</v>
      </c>
      <c r="L95" s="16" t="n">
        <f aca="false">L91+L94</f>
        <v>259003.294552711</v>
      </c>
      <c r="M95" s="16" t="n">
        <f aca="false">M91+M94</f>
        <v>259003.294552711</v>
      </c>
      <c r="N95" s="16" t="n">
        <f aca="false">N91+N94</f>
        <v>259003.294552711</v>
      </c>
      <c r="O95" s="16" t="n">
        <f aca="false">O91+O94</f>
        <v>-372467.611601834</v>
      </c>
      <c r="P95" s="16" t="n">
        <f aca="false">P91+P94</f>
        <v>419700.863398166</v>
      </c>
      <c r="Q95" s="16" t="n">
        <f aca="false">Q91+Q94</f>
        <v>419700.863398166</v>
      </c>
      <c r="R95" s="16" t="n">
        <f aca="false">R91+R94</f>
        <v>185757.089434529</v>
      </c>
      <c r="S95" s="16" t="n">
        <f aca="false">S91+S94</f>
        <v>99853.8518345294</v>
      </c>
      <c r="T95" s="16" t="n">
        <f aca="false">T91+T94</f>
        <v>116426.114234529</v>
      </c>
      <c r="U95" s="16" t="n">
        <f aca="false">U91+U94</f>
        <v>132998.37023453</v>
      </c>
      <c r="V95" s="16" t="n">
        <f aca="false">V91+V94</f>
        <v>119267.481139793</v>
      </c>
      <c r="W95" s="16" t="n">
        <f aca="false">W91+W94</f>
        <v>171794.737139793</v>
      </c>
      <c r="X95" s="16" t="n">
        <f aca="false">X91+X94</f>
        <v>152411.993139793</v>
      </c>
      <c r="Y95" s="16" t="n">
        <f aca="false">Y91+Y94</f>
        <v>168984.255539793</v>
      </c>
      <c r="Z95" s="16" t="n">
        <f aca="false">Z91+Z94</f>
        <v>242931.524339793</v>
      </c>
      <c r="AA95" s="16" t="n">
        <f aca="false">AA91+AA94</f>
        <v>191145.961925793</v>
      </c>
      <c r="AB95" s="16" t="n">
        <f aca="false">AB91+AB94</f>
        <v>126224.379051151</v>
      </c>
      <c r="AC95" s="16" t="n">
        <f aca="false">AC91+AC94</f>
        <v>-338055.867615515</v>
      </c>
      <c r="AD95" s="16" t="n">
        <f aca="false">AD91+AD94</f>
        <v>247182.088384485</v>
      </c>
      <c r="AE95" s="16" t="n">
        <f aca="false">AE91+AE94</f>
        <v>271611.845184485</v>
      </c>
      <c r="AF95" s="16" t="n">
        <f aca="false">AF91+AF94</f>
        <v>272112.389184485</v>
      </c>
      <c r="AG95" s="16" t="n">
        <f aca="false">AG91+AG94</f>
        <v>263112.939584485</v>
      </c>
      <c r="AH95" s="16" t="n">
        <f aca="false">AH91+AH94</f>
        <v>162934.482637515</v>
      </c>
      <c r="AI95" s="16" t="n">
        <f aca="false">AI91+AI94</f>
        <v>158158.895437515</v>
      </c>
      <c r="AJ95" s="16" t="n">
        <f aca="false">AJ91+AJ94</f>
        <v>1176.31711024244</v>
      </c>
      <c r="AK95" s="16" t="n">
        <f aca="false">AK91+AK94</f>
        <v>-14895.3948897575</v>
      </c>
      <c r="AL95" s="16" t="n">
        <f aca="false">AL91+AL94</f>
        <v>-30967.1068897576</v>
      </c>
      <c r="AM95" s="16" t="n">
        <f aca="false">AM91+AM94</f>
        <v>-118259.796284159</v>
      </c>
      <c r="AN95" s="16" t="n">
        <f aca="false">AN91+AN94</f>
        <v>-134331.501884159</v>
      </c>
      <c r="AO95" s="16" t="n">
        <f aca="false">AO91+AO94</f>
        <v>-150403.213884159</v>
      </c>
      <c r="AP95" s="16" t="n">
        <f aca="false">AP91+AP94</f>
        <v>-190882.716284159</v>
      </c>
      <c r="AQ95" s="16" t="n">
        <f aca="false">AQ91+AQ94</f>
        <v>-182546.637884159</v>
      </c>
      <c r="AR95" s="16" t="n">
        <f aca="false">AR91+AR94</f>
        <v>-198618.349884159</v>
      </c>
      <c r="AS95" s="16" t="n">
        <f aca="false">AS91+AS94</f>
        <v>-318379.816562947</v>
      </c>
      <c r="AT95" s="16" t="n">
        <f aca="false">AT91+AT94</f>
        <v>-334952.072562947</v>
      </c>
      <c r="AU95" s="16" t="n">
        <f aca="false">AU91+AU94</f>
        <v>-389881.408562947</v>
      </c>
      <c r="AV95" s="16" t="n">
        <f aca="false">AV91+AV94</f>
        <v>-368096.590962947</v>
      </c>
      <c r="AW95" s="16" t="n">
        <f aca="false">AW91+AW94</f>
        <v>-368597.147762947</v>
      </c>
      <c r="AX95" s="16" t="n">
        <f aca="false">AX91+AX94</f>
        <v>-369097.691762947</v>
      </c>
      <c r="AY95" s="16" t="n">
        <f aca="false">AY91+AY94</f>
        <v>-381024.766440872</v>
      </c>
      <c r="AZ95" s="16" t="n">
        <f aca="false">AZ91+AZ94</f>
        <v>-381525.316840872</v>
      </c>
      <c r="BA95" s="16" t="n">
        <f aca="false">BA91+BA94</f>
        <v>-382025.867240872</v>
      </c>
      <c r="BB95" s="16" t="n">
        <f aca="false">BB91+BB94</f>
        <v>-407422.357320872</v>
      </c>
      <c r="BC95" s="16" t="n">
        <f aca="false">BC91+BC94</f>
        <v>-383026.968040872</v>
      </c>
      <c r="BD95" s="16" t="n">
        <f aca="false">BD91+BD94</f>
        <v>-383527.518440872</v>
      </c>
      <c r="BE95" s="16" t="n">
        <f aca="false">BE91+BE94</f>
        <v>-384028.068840872</v>
      </c>
      <c r="BF95" s="16" t="n">
        <f aca="false">BF91+BF94</f>
        <v>-384528.619240872</v>
      </c>
      <c r="BG95" s="16" t="n">
        <f aca="false">BG91+BG94</f>
        <v>-564406.571934206</v>
      </c>
      <c r="BH95" s="16" t="n">
        <f aca="false">BH91+BH94</f>
        <v>-512975.253374206</v>
      </c>
      <c r="BI95" s="16" t="n">
        <f aca="false">BI91+BI94</f>
        <v>-513475.803774206</v>
      </c>
      <c r="BJ95" s="16" t="n">
        <f aca="false">BJ91+BJ94</f>
        <v>-446201.064574206</v>
      </c>
      <c r="BK95" s="16" t="n">
        <f aca="false">BK91+BK94</f>
        <v>-594407.79293769</v>
      </c>
      <c r="BL95" s="16" t="n">
        <f aca="false">BL91+BL94</f>
        <v>-594407.79293769</v>
      </c>
      <c r="BM95" s="16" t="n">
        <f aca="false">BM91+BM94</f>
        <v>-594407.79293769</v>
      </c>
      <c r="BN95" s="16" t="n">
        <f aca="false">BN91+BN94</f>
        <v>-619801.65141129</v>
      </c>
      <c r="BO95" s="16" t="n">
        <f aca="false">BO91+BO94</f>
        <v>-594407.79293769</v>
      </c>
      <c r="BP95" s="16" t="n">
        <f aca="false">BP91+BP94</f>
        <v>-542894.27293769</v>
      </c>
      <c r="BQ95" s="16" t="n">
        <f aca="false">BQ91+BQ94</f>
        <v>-594407.79293769</v>
      </c>
      <c r="BR95" s="16" t="n">
        <f aca="false">BR91+BR94</f>
        <v>-594407.79293769</v>
      </c>
      <c r="BS95" s="16" t="n">
        <f aca="false">BS91+BS94</f>
        <v>-549831.48980489</v>
      </c>
      <c r="BT95" s="16" t="n">
        <f aca="false">BT91+BT94</f>
        <v>-594407.79293769</v>
      </c>
      <c r="BU95" s="16" t="n">
        <f aca="false">BU91+BU94</f>
        <v>-594407.79293769</v>
      </c>
      <c r="BV95" s="16" t="n">
        <f aca="false">BV91+BV94</f>
        <v>-526645.79293769</v>
      </c>
      <c r="BW95" s="16" t="n">
        <f aca="false">BW91+BW94</f>
        <v>-606295.948796444</v>
      </c>
      <c r="BX95" s="16" t="n">
        <f aca="false">BX91+BX94</f>
        <v>-606295.948796444</v>
      </c>
      <c r="BY95" s="16" t="n">
        <f aca="false">BY91+BY94</f>
        <v>-538533.948796444</v>
      </c>
      <c r="BZ95" s="16" t="n">
        <f aca="false">BZ91+BZ94</f>
        <v>-632197.684439516</v>
      </c>
      <c r="CA95" s="16" t="n">
        <f aca="false">CA91+CA94</f>
        <v>-606295.948796444</v>
      </c>
      <c r="CB95" s="16" t="n">
        <f aca="false">CB91+CB94</f>
        <v>-529796.948796444</v>
      </c>
      <c r="CC95" s="16" t="n">
        <f aca="false">CC91+CC94</f>
        <v>-606295.948796444</v>
      </c>
      <c r="CD95" s="16" t="n">
        <f aca="false">CD91+CD94</f>
        <v>-606295.948796444</v>
      </c>
      <c r="CE95" s="16" t="n">
        <f aca="false">CE91+CE94</f>
        <v>-553446.359600988</v>
      </c>
      <c r="CF95" s="16" t="n">
        <f aca="false">CF91+CF94</f>
        <v>-606295.948796444</v>
      </c>
      <c r="CG95" s="16" t="n">
        <f aca="false">CG91+CG94</f>
        <v>-606295.948796444</v>
      </c>
      <c r="CH95" s="16" t="n">
        <f aca="false">CH91+CH94</f>
        <v>-523188.922189964</v>
      </c>
      <c r="CI95" s="25"/>
    </row>
    <row r="96" customFormat="false" ht="15" hidden="false" customHeight="true" outlineLevel="0" collapsed="false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5"/>
    </row>
    <row r="97" customFormat="false" ht="15" hidden="false" customHeight="true" outlineLevel="0" collapsed="false">
      <c r="A97" s="28" t="s">
        <v>127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5"/>
    </row>
    <row r="98" customFormat="false" ht="15" hidden="false" customHeight="true" outlineLevel="0" collapsed="false">
      <c r="A98" s="9" t="s">
        <v>128</v>
      </c>
      <c r="B98" s="24"/>
      <c r="C98" s="10" t="n">
        <f aca="false">Assumptions!$B$33</f>
        <v>1615485</v>
      </c>
      <c r="D98" s="10" t="n">
        <f aca="false">C101</f>
        <v>1615485</v>
      </c>
      <c r="E98" s="10" t="n">
        <f aca="false">D101</f>
        <v>1615485</v>
      </c>
      <c r="F98" s="10" t="n">
        <f aca="false">E101</f>
        <v>1676065.6875</v>
      </c>
      <c r="G98" s="10" t="n">
        <f aca="false">F101</f>
        <v>1676065.6875</v>
      </c>
      <c r="H98" s="10" t="n">
        <f aca="false">G101</f>
        <v>1676065.6875</v>
      </c>
      <c r="I98" s="10" t="n">
        <f aca="false">H101</f>
        <v>1738918.15078125</v>
      </c>
      <c r="J98" s="10" t="n">
        <f aca="false">I101</f>
        <v>1608918.15078125</v>
      </c>
      <c r="K98" s="10" t="n">
        <f aca="false">J101</f>
        <v>1478918.15078125</v>
      </c>
      <c r="L98" s="10" t="n">
        <f aca="false">K101</f>
        <v>1404377.58143555</v>
      </c>
      <c r="M98" s="10" t="n">
        <f aca="false">L101</f>
        <v>1274377.58143555</v>
      </c>
      <c r="N98" s="10" t="n">
        <f aca="false">M101</f>
        <v>1144377.58143555</v>
      </c>
      <c r="O98" s="10" t="n">
        <f aca="false">N101</f>
        <v>1057291.74073938</v>
      </c>
      <c r="P98" s="10" t="n">
        <f aca="false">O101</f>
        <v>927291.74073938</v>
      </c>
      <c r="Q98" s="10" t="n">
        <f aca="false">P101</f>
        <v>797291.74073938</v>
      </c>
      <c r="R98" s="10" t="n">
        <f aca="false">Q101</f>
        <v>697190.181017107</v>
      </c>
      <c r="S98" s="10" t="n">
        <f aca="false">R101</f>
        <v>567190.181017107</v>
      </c>
      <c r="T98" s="10" t="n">
        <f aca="false">S101</f>
        <v>437190.181017107</v>
      </c>
      <c r="U98" s="10" t="n">
        <f aca="false">T101</f>
        <v>323584.812805248</v>
      </c>
      <c r="V98" s="10" t="n">
        <f aca="false">U101</f>
        <v>193584.812805248</v>
      </c>
      <c r="W98" s="10" t="n">
        <f aca="false">V101</f>
        <v>63584.8128052483</v>
      </c>
      <c r="X98" s="10" t="n">
        <f aca="false">W101</f>
        <v>0</v>
      </c>
      <c r="Y98" s="10" t="n">
        <f aca="false">X101</f>
        <v>0</v>
      </c>
      <c r="Z98" s="10" t="n">
        <f aca="false">Y101</f>
        <v>0</v>
      </c>
      <c r="AA98" s="10" t="n">
        <f aca="false">Z101</f>
        <v>0</v>
      </c>
      <c r="AB98" s="10" t="n">
        <f aca="false">AA101</f>
        <v>0</v>
      </c>
      <c r="AC98" s="10" t="n">
        <f aca="false">AB101</f>
        <v>0</v>
      </c>
      <c r="AD98" s="10" t="n">
        <f aca="false">AC101</f>
        <v>0</v>
      </c>
      <c r="AE98" s="10" t="n">
        <f aca="false">AD101</f>
        <v>0</v>
      </c>
      <c r="AF98" s="10" t="n">
        <f aca="false">AE101</f>
        <v>0</v>
      </c>
      <c r="AG98" s="10" t="n">
        <f aca="false">AF101</f>
        <v>0</v>
      </c>
      <c r="AH98" s="10" t="n">
        <f aca="false">AG101</f>
        <v>0</v>
      </c>
      <c r="AI98" s="10" t="n">
        <f aca="false">AH101</f>
        <v>0</v>
      </c>
      <c r="AJ98" s="10" t="n">
        <f aca="false">AI101</f>
        <v>0</v>
      </c>
      <c r="AK98" s="10" t="n">
        <f aca="false">AJ101</f>
        <v>0</v>
      </c>
      <c r="AL98" s="10" t="n">
        <f aca="false">AK101</f>
        <v>0</v>
      </c>
      <c r="AM98" s="10" t="n">
        <f aca="false">AL101</f>
        <v>0</v>
      </c>
      <c r="AN98" s="10" t="n">
        <f aca="false">AM101</f>
        <v>0</v>
      </c>
      <c r="AO98" s="10" t="n">
        <f aca="false">AN101</f>
        <v>0</v>
      </c>
      <c r="AP98" s="10" t="n">
        <f aca="false">AO101</f>
        <v>0</v>
      </c>
      <c r="AQ98" s="10" t="n">
        <f aca="false">AP101</f>
        <v>0</v>
      </c>
      <c r="AR98" s="10" t="n">
        <f aca="false">AQ101</f>
        <v>0</v>
      </c>
      <c r="AS98" s="10" t="n">
        <f aca="false">AR101</f>
        <v>0</v>
      </c>
      <c r="AT98" s="10" t="n">
        <f aca="false">AS101</f>
        <v>0</v>
      </c>
      <c r="AU98" s="10" t="n">
        <f aca="false">AT101</f>
        <v>0</v>
      </c>
      <c r="AV98" s="10" t="n">
        <f aca="false">AU101</f>
        <v>0</v>
      </c>
      <c r="AW98" s="10" t="n">
        <f aca="false">AV101</f>
        <v>0</v>
      </c>
      <c r="AX98" s="10" t="n">
        <f aca="false">AW101</f>
        <v>0</v>
      </c>
      <c r="AY98" s="10" t="n">
        <f aca="false">AX101</f>
        <v>0</v>
      </c>
      <c r="AZ98" s="10" t="n">
        <f aca="false">AY101</f>
        <v>0</v>
      </c>
      <c r="BA98" s="10" t="n">
        <f aca="false">AZ101</f>
        <v>0</v>
      </c>
      <c r="BB98" s="10" t="n">
        <f aca="false">BA101</f>
        <v>0</v>
      </c>
      <c r="BC98" s="10" t="n">
        <f aca="false">BB101</f>
        <v>0</v>
      </c>
      <c r="BD98" s="10" t="n">
        <f aca="false">BC101</f>
        <v>0</v>
      </c>
      <c r="BE98" s="10" t="n">
        <f aca="false">BD101</f>
        <v>0</v>
      </c>
      <c r="BF98" s="10" t="n">
        <f aca="false">BE101</f>
        <v>0</v>
      </c>
      <c r="BG98" s="10" t="n">
        <f aca="false">BF101</f>
        <v>0</v>
      </c>
      <c r="BH98" s="10" t="n">
        <f aca="false">BG101</f>
        <v>0</v>
      </c>
      <c r="BI98" s="10" t="n">
        <f aca="false">BH101</f>
        <v>0</v>
      </c>
      <c r="BJ98" s="10" t="n">
        <f aca="false">BI101</f>
        <v>0</v>
      </c>
      <c r="BK98" s="10" t="n">
        <f aca="false">BJ101</f>
        <v>0</v>
      </c>
      <c r="BL98" s="10" t="n">
        <f aca="false">BK101</f>
        <v>0</v>
      </c>
      <c r="BM98" s="10" t="n">
        <f aca="false">BL101</f>
        <v>0</v>
      </c>
      <c r="BN98" s="10" t="n">
        <f aca="false">BM101</f>
        <v>0</v>
      </c>
      <c r="BO98" s="10" t="n">
        <f aca="false">BN101</f>
        <v>0</v>
      </c>
      <c r="BP98" s="10" t="n">
        <f aca="false">BO101</f>
        <v>0</v>
      </c>
      <c r="BQ98" s="10" t="n">
        <f aca="false">BP101</f>
        <v>0</v>
      </c>
      <c r="BR98" s="10" t="n">
        <f aca="false">BQ101</f>
        <v>0</v>
      </c>
      <c r="BS98" s="10" t="n">
        <f aca="false">BR101</f>
        <v>0</v>
      </c>
      <c r="BT98" s="10" t="n">
        <f aca="false">BS101</f>
        <v>0</v>
      </c>
      <c r="BU98" s="10" t="n">
        <f aca="false">BT101</f>
        <v>0</v>
      </c>
      <c r="BV98" s="10" t="n">
        <f aca="false">BU101</f>
        <v>0</v>
      </c>
      <c r="BW98" s="10" t="n">
        <f aca="false">BV101</f>
        <v>0</v>
      </c>
      <c r="BX98" s="10" t="n">
        <f aca="false">BW101</f>
        <v>0</v>
      </c>
      <c r="BY98" s="10" t="n">
        <f aca="false">BX101</f>
        <v>0</v>
      </c>
      <c r="BZ98" s="10" t="n">
        <f aca="false">BY101</f>
        <v>0</v>
      </c>
      <c r="CA98" s="10" t="n">
        <f aca="false">BZ101</f>
        <v>0</v>
      </c>
      <c r="CB98" s="10" t="n">
        <f aca="false">CA101</f>
        <v>0</v>
      </c>
      <c r="CC98" s="10" t="n">
        <f aca="false">CB101</f>
        <v>0</v>
      </c>
      <c r="CD98" s="10" t="n">
        <f aca="false">CC101</f>
        <v>0</v>
      </c>
      <c r="CE98" s="10" t="n">
        <f aca="false">CD101</f>
        <v>0</v>
      </c>
      <c r="CF98" s="10" t="n">
        <f aca="false">CE101</f>
        <v>0</v>
      </c>
      <c r="CG98" s="10" t="n">
        <f aca="false">CF101</f>
        <v>0</v>
      </c>
      <c r="CH98" s="10" t="n">
        <f aca="false">CG101</f>
        <v>0</v>
      </c>
      <c r="CI98" s="25"/>
    </row>
    <row r="99" customFormat="false" ht="15" hidden="false" customHeight="true" outlineLevel="0" collapsed="false">
      <c r="A99" s="9" t="s">
        <v>129</v>
      </c>
      <c r="B99" s="24"/>
      <c r="C99" s="10" t="n">
        <f aca="false">IF(AND(MOD(1,3)=0,C98&gt;0),C98*Assumptions!$B$35,0)</f>
        <v>0</v>
      </c>
      <c r="D99" s="10" t="n">
        <f aca="false">IF(AND(MOD(2,3)=0,D98&gt;0),D98*Assumptions!$B$35,0)</f>
        <v>0</v>
      </c>
      <c r="E99" s="10" t="n">
        <f aca="false">IF(AND(MOD(3,3)=0,E98&gt;0),E98*Assumptions!$B$35,0)</f>
        <v>60580.6875</v>
      </c>
      <c r="F99" s="10" t="n">
        <f aca="false">IF(AND(MOD(4,3)=0,F98&gt;0),F98*Assumptions!$B$35,0)</f>
        <v>0</v>
      </c>
      <c r="G99" s="10" t="n">
        <f aca="false">IF(AND(MOD(5,3)=0,G98&gt;0),G98*Assumptions!$B$35,0)</f>
        <v>0</v>
      </c>
      <c r="H99" s="10" t="n">
        <f aca="false">IF(AND(MOD(6,3)=0,H98&gt;0),H98*Assumptions!$B$35,0)</f>
        <v>62852.46328125</v>
      </c>
      <c r="I99" s="10" t="n">
        <f aca="false">IF(AND(MOD(7,3)=0,I98&gt;0),I98*Assumptions!$B$35,0)</f>
        <v>0</v>
      </c>
      <c r="J99" s="10" t="n">
        <f aca="false">IF(AND(MOD(8,3)=0,J98&gt;0),J98*Assumptions!$B$35,0)</f>
        <v>0</v>
      </c>
      <c r="K99" s="10" t="n">
        <f aca="false">IF(AND(MOD(9,3)=0,K98&gt;0),K98*Assumptions!$B$35,0)</f>
        <v>55459.4306542969</v>
      </c>
      <c r="L99" s="10" t="n">
        <f aca="false">IF(AND(MOD(10,3)=0,L98&gt;0),L98*Assumptions!$B$35,0)</f>
        <v>0</v>
      </c>
      <c r="M99" s="10" t="n">
        <f aca="false">IF(AND(MOD(11,3)=0,M98&gt;0),M98*Assumptions!$B$35,0)</f>
        <v>0</v>
      </c>
      <c r="N99" s="10" t="n">
        <f aca="false">IF(AND(MOD(12,3)=0,N98&gt;0),N98*Assumptions!$B$35,0)</f>
        <v>42914.159303833</v>
      </c>
      <c r="O99" s="10" t="n">
        <f aca="false">IF(AND(MOD(13,3)=0,O98&gt;0),O98*Assumptions!$B$35,0)</f>
        <v>0</v>
      </c>
      <c r="P99" s="10" t="n">
        <f aca="false">IF(AND(MOD(14,3)=0,P98&gt;0),P98*Assumptions!$B$35,0)</f>
        <v>0</v>
      </c>
      <c r="Q99" s="10" t="n">
        <f aca="false">IF(AND(MOD(15,3)=0,Q98&gt;0),Q98*Assumptions!$B$35,0)</f>
        <v>29898.4402777268</v>
      </c>
      <c r="R99" s="10" t="n">
        <f aca="false">IF(AND(MOD(16,3)=0,R98&gt;0),R98*Assumptions!$B$35,0)</f>
        <v>0</v>
      </c>
      <c r="S99" s="10" t="n">
        <f aca="false">IF(AND(MOD(17,3)=0,S98&gt;0),S98*Assumptions!$B$35,0)</f>
        <v>0</v>
      </c>
      <c r="T99" s="10" t="n">
        <f aca="false">IF(AND(MOD(18,3)=0,T98&gt;0),T98*Assumptions!$B$35,0)</f>
        <v>16394.6317881415</v>
      </c>
      <c r="U99" s="10" t="n">
        <f aca="false">IF(AND(MOD(19,3)=0,U98&gt;0),U98*Assumptions!$B$35,0)</f>
        <v>0</v>
      </c>
      <c r="V99" s="10" t="n">
        <f aca="false">IF(AND(MOD(20,3)=0,V98&gt;0),V98*Assumptions!$B$35,0)</f>
        <v>0</v>
      </c>
      <c r="W99" s="10" t="n">
        <f aca="false">IF(AND(MOD(21,3)=0,W98&gt;0),W98*Assumptions!$B$35,0)</f>
        <v>2384.43048019681</v>
      </c>
      <c r="X99" s="10" t="n">
        <f aca="false">IF(AND(MOD(22,3)=0,X98&gt;0),X98*Assumptions!$B$35,0)</f>
        <v>0</v>
      </c>
      <c r="Y99" s="10" t="n">
        <f aca="false">IF(AND(MOD(23,3)=0,Y98&gt;0),Y98*Assumptions!$B$35,0)</f>
        <v>0</v>
      </c>
      <c r="Z99" s="10" t="n">
        <f aca="false">IF(AND(MOD(24,3)=0,Z98&gt;0),Z98*Assumptions!$B$35,0)</f>
        <v>0</v>
      </c>
      <c r="AA99" s="10" t="n">
        <f aca="false">IF(AND(MOD(25,3)=0,AA98&gt;0),AA98*Assumptions!$B$35,0)</f>
        <v>0</v>
      </c>
      <c r="AB99" s="10" t="n">
        <f aca="false">IF(AND(MOD(26,3)=0,AB98&gt;0),AB98*Assumptions!$B$35,0)</f>
        <v>0</v>
      </c>
      <c r="AC99" s="10" t="n">
        <f aca="false">IF(AND(MOD(27,3)=0,AC98&gt;0),AC98*Assumptions!$B$35,0)</f>
        <v>0</v>
      </c>
      <c r="AD99" s="10" t="n">
        <f aca="false">IF(AND(MOD(28,3)=0,AD98&gt;0),AD98*Assumptions!$B$35,0)</f>
        <v>0</v>
      </c>
      <c r="AE99" s="10" t="n">
        <f aca="false">IF(AND(MOD(29,3)=0,AE98&gt;0),AE98*Assumptions!$B$35,0)</f>
        <v>0</v>
      </c>
      <c r="AF99" s="10" t="n">
        <f aca="false">IF(AND(MOD(30,3)=0,AF98&gt;0),AF98*Assumptions!$B$35,0)</f>
        <v>0</v>
      </c>
      <c r="AG99" s="10" t="n">
        <f aca="false">IF(AND(MOD(31,3)=0,AG98&gt;0),AG98*Assumptions!$B$35,0)</f>
        <v>0</v>
      </c>
      <c r="AH99" s="10" t="n">
        <f aca="false">IF(AND(MOD(32,3)=0,AH98&gt;0),AH98*Assumptions!$B$35,0)</f>
        <v>0</v>
      </c>
      <c r="AI99" s="10" t="n">
        <f aca="false">IF(AND(MOD(33,3)=0,AI98&gt;0),AI98*Assumptions!$B$35,0)</f>
        <v>0</v>
      </c>
      <c r="AJ99" s="10" t="n">
        <f aca="false">IF(AND(MOD(34,3)=0,AJ98&gt;0),AJ98*Assumptions!$B$35,0)</f>
        <v>0</v>
      </c>
      <c r="AK99" s="10" t="n">
        <f aca="false">IF(AND(MOD(35,3)=0,AK98&gt;0),AK98*Assumptions!$B$35,0)</f>
        <v>0</v>
      </c>
      <c r="AL99" s="10" t="n">
        <f aca="false">IF(AND(MOD(36,3)=0,AL98&gt;0),AL98*Assumptions!$B$35,0)</f>
        <v>0</v>
      </c>
      <c r="AM99" s="10" t="n">
        <f aca="false">IF(AND(MOD(37,3)=0,AM98&gt;0),AM98*Assumptions!$B$35,0)</f>
        <v>0</v>
      </c>
      <c r="AN99" s="10" t="n">
        <f aca="false">IF(AND(MOD(38,3)=0,AN98&gt;0),AN98*Assumptions!$B$35,0)</f>
        <v>0</v>
      </c>
      <c r="AO99" s="10" t="n">
        <f aca="false">IF(AND(MOD(39,3)=0,AO98&gt;0),AO98*Assumptions!$B$35,0)</f>
        <v>0</v>
      </c>
      <c r="AP99" s="10" t="n">
        <f aca="false">IF(AND(MOD(40,3)=0,AP98&gt;0),AP98*Assumptions!$B$35,0)</f>
        <v>0</v>
      </c>
      <c r="AQ99" s="10" t="n">
        <f aca="false">IF(AND(MOD(41,3)=0,AQ98&gt;0),AQ98*Assumptions!$B$35,0)</f>
        <v>0</v>
      </c>
      <c r="AR99" s="10" t="n">
        <f aca="false">IF(AND(MOD(42,3)=0,AR98&gt;0),AR98*Assumptions!$B$35,0)</f>
        <v>0</v>
      </c>
      <c r="AS99" s="10" t="n">
        <f aca="false">IF(AND(MOD(43,3)=0,AS98&gt;0),AS98*Assumptions!$B$35,0)</f>
        <v>0</v>
      </c>
      <c r="AT99" s="10" t="n">
        <f aca="false">IF(AND(MOD(44,3)=0,AT98&gt;0),AT98*Assumptions!$B$35,0)</f>
        <v>0</v>
      </c>
      <c r="AU99" s="10" t="n">
        <f aca="false">IF(AND(MOD(45,3)=0,AU98&gt;0),AU98*Assumptions!$B$35,0)</f>
        <v>0</v>
      </c>
      <c r="AV99" s="10" t="n">
        <f aca="false">IF(AND(MOD(46,3)=0,AV98&gt;0),AV98*Assumptions!$B$35,0)</f>
        <v>0</v>
      </c>
      <c r="AW99" s="10" t="n">
        <f aca="false">IF(AND(MOD(47,3)=0,AW98&gt;0),AW98*Assumptions!$B$35,0)</f>
        <v>0</v>
      </c>
      <c r="AX99" s="10" t="n">
        <f aca="false">IF(AND(MOD(48,3)=0,AX98&gt;0),AX98*Assumptions!$B$35,0)</f>
        <v>0</v>
      </c>
      <c r="AY99" s="10" t="n">
        <f aca="false">IF(AND(MOD(49,3)=0,AY98&gt;0),AY98*Assumptions!$B$35,0)</f>
        <v>0</v>
      </c>
      <c r="AZ99" s="10" t="n">
        <f aca="false">IF(AND(MOD(50,3)=0,AZ98&gt;0),AZ98*Assumptions!$B$35,0)</f>
        <v>0</v>
      </c>
      <c r="BA99" s="10" t="n">
        <f aca="false">IF(AND(MOD(51,3)=0,BA98&gt;0),BA98*Assumptions!$B$35,0)</f>
        <v>0</v>
      </c>
      <c r="BB99" s="10" t="n">
        <f aca="false">IF(AND(MOD(52,3)=0,BB98&gt;0),BB98*Assumptions!$B$35,0)</f>
        <v>0</v>
      </c>
      <c r="BC99" s="10" t="n">
        <f aca="false">IF(AND(MOD(53,3)=0,BC98&gt;0),BC98*Assumptions!$B$35,0)</f>
        <v>0</v>
      </c>
      <c r="BD99" s="10" t="n">
        <f aca="false">IF(AND(MOD(54,3)=0,BD98&gt;0),BD98*Assumptions!$B$35,0)</f>
        <v>0</v>
      </c>
      <c r="BE99" s="10" t="n">
        <f aca="false">IF(AND(MOD(55,3)=0,BE98&gt;0),BE98*Assumptions!$B$35,0)</f>
        <v>0</v>
      </c>
      <c r="BF99" s="10" t="n">
        <f aca="false">IF(AND(MOD(56,3)=0,BF98&gt;0),BF98*Assumptions!$B$35,0)</f>
        <v>0</v>
      </c>
      <c r="BG99" s="10" t="n">
        <f aca="false">IF(AND(MOD(57,3)=0,BG98&gt;0),BG98*Assumptions!$B$35,0)</f>
        <v>0</v>
      </c>
      <c r="BH99" s="10" t="n">
        <f aca="false">IF(AND(MOD(58,3)=0,BH98&gt;0),BH98*Assumptions!$B$35,0)</f>
        <v>0</v>
      </c>
      <c r="BI99" s="10" t="n">
        <f aca="false">IF(AND(MOD(59,3)=0,BI98&gt;0),BI98*Assumptions!$B$35,0)</f>
        <v>0</v>
      </c>
      <c r="BJ99" s="10" t="n">
        <f aca="false">IF(AND(MOD(60,3)=0,BJ98&gt;0),BJ98*Assumptions!$B$35,0)</f>
        <v>0</v>
      </c>
      <c r="BK99" s="10" t="n">
        <f aca="false">IF(AND(MOD(61,3)=0,BK98&gt;0),BK98*Assumptions!$B$35,0)</f>
        <v>0</v>
      </c>
      <c r="BL99" s="10" t="n">
        <f aca="false">IF(AND(MOD(62,3)=0,BL98&gt;0),BL98*Assumptions!$B$35,0)</f>
        <v>0</v>
      </c>
      <c r="BM99" s="10" t="n">
        <f aca="false">IF(AND(MOD(63,3)=0,BM98&gt;0),BM98*Assumptions!$B$35,0)</f>
        <v>0</v>
      </c>
      <c r="BN99" s="10" t="n">
        <f aca="false">IF(AND(MOD(64,3)=0,BN98&gt;0),BN98*Assumptions!$B$35,0)</f>
        <v>0</v>
      </c>
      <c r="BO99" s="10" t="n">
        <f aca="false">IF(AND(MOD(65,3)=0,BO98&gt;0),BO98*Assumptions!$B$35,0)</f>
        <v>0</v>
      </c>
      <c r="BP99" s="10" t="n">
        <f aca="false">IF(AND(MOD(66,3)=0,BP98&gt;0),BP98*Assumptions!$B$35,0)</f>
        <v>0</v>
      </c>
      <c r="BQ99" s="10" t="n">
        <f aca="false">IF(AND(MOD(67,3)=0,BQ98&gt;0),BQ98*Assumptions!$B$35,0)</f>
        <v>0</v>
      </c>
      <c r="BR99" s="10" t="n">
        <f aca="false">IF(AND(MOD(68,3)=0,BR98&gt;0),BR98*Assumptions!$B$35,0)</f>
        <v>0</v>
      </c>
      <c r="BS99" s="10" t="n">
        <f aca="false">IF(AND(MOD(69,3)=0,BS98&gt;0),BS98*Assumptions!$B$35,0)</f>
        <v>0</v>
      </c>
      <c r="BT99" s="10" t="n">
        <f aca="false">IF(AND(MOD(70,3)=0,BT98&gt;0),BT98*Assumptions!$B$35,0)</f>
        <v>0</v>
      </c>
      <c r="BU99" s="10" t="n">
        <f aca="false">IF(AND(MOD(71,3)=0,BU98&gt;0),BU98*Assumptions!$B$35,0)</f>
        <v>0</v>
      </c>
      <c r="BV99" s="10" t="n">
        <f aca="false">IF(AND(MOD(72,3)=0,BV98&gt;0),BV98*Assumptions!$B$35,0)</f>
        <v>0</v>
      </c>
      <c r="BW99" s="10" t="n">
        <f aca="false">IF(AND(MOD(73,3)=0,BW98&gt;0),BW98*Assumptions!$B$35,0)</f>
        <v>0</v>
      </c>
      <c r="BX99" s="10" t="n">
        <f aca="false">IF(AND(MOD(74,3)=0,BX98&gt;0),BX98*Assumptions!$B$35,0)</f>
        <v>0</v>
      </c>
      <c r="BY99" s="10" t="n">
        <f aca="false">IF(AND(MOD(75,3)=0,BY98&gt;0),BY98*Assumptions!$B$35,0)</f>
        <v>0</v>
      </c>
      <c r="BZ99" s="10" t="n">
        <f aca="false">IF(AND(MOD(76,3)=0,BZ98&gt;0),BZ98*Assumptions!$B$35,0)</f>
        <v>0</v>
      </c>
      <c r="CA99" s="10" t="n">
        <f aca="false">IF(AND(MOD(77,3)=0,CA98&gt;0),CA98*Assumptions!$B$35,0)</f>
        <v>0</v>
      </c>
      <c r="CB99" s="10" t="n">
        <f aca="false">IF(AND(MOD(78,3)=0,CB98&gt;0),CB98*Assumptions!$B$35,0)</f>
        <v>0</v>
      </c>
      <c r="CC99" s="10" t="n">
        <f aca="false">IF(AND(MOD(79,3)=0,CC98&gt;0),CC98*Assumptions!$B$35,0)</f>
        <v>0</v>
      </c>
      <c r="CD99" s="10" t="n">
        <f aca="false">IF(AND(MOD(80,3)=0,CD98&gt;0),CD98*Assumptions!$B$35,0)</f>
        <v>0</v>
      </c>
      <c r="CE99" s="10" t="n">
        <f aca="false">IF(AND(MOD(81,3)=0,CE98&gt;0),CE98*Assumptions!$B$35,0)</f>
        <v>0</v>
      </c>
      <c r="CF99" s="10" t="n">
        <f aca="false">IF(AND(MOD(82,3)=0,CF98&gt;0),CF98*Assumptions!$B$35,0)</f>
        <v>0</v>
      </c>
      <c r="CG99" s="10" t="n">
        <f aca="false">IF(AND(MOD(83,3)=0,CG98&gt;0),CG98*Assumptions!$B$35,0)</f>
        <v>0</v>
      </c>
      <c r="CH99" s="10" t="n">
        <f aca="false">IF(AND(MOD(84,3)=0,CH98&gt;0),CH98*Assumptions!$B$35,0)</f>
        <v>0</v>
      </c>
      <c r="CI99" s="25"/>
    </row>
    <row r="100" customFormat="false" ht="15" hidden="false" customHeight="true" outlineLevel="0" collapsed="false">
      <c r="A100" s="9" t="s">
        <v>130</v>
      </c>
      <c r="B100" s="24"/>
      <c r="C100" s="10" t="n">
        <f aca="false">IF(AND(1&gt;=Assumptions!$B$37,C98+C99&gt;0),-MIN(Assumptions!$B$36,C98+C99),0)</f>
        <v>0</v>
      </c>
      <c r="D100" s="10" t="n">
        <f aca="false">IF(AND(2&gt;=Assumptions!$B$37,D98+D99&gt;0),-MIN(Assumptions!$B$36,D98+D99),0)</f>
        <v>0</v>
      </c>
      <c r="E100" s="10" t="n">
        <f aca="false">IF(AND(3&gt;=Assumptions!$B$37,E98+E99&gt;0),-MIN(Assumptions!$B$36,E98+E99),0)</f>
        <v>0</v>
      </c>
      <c r="F100" s="10" t="n">
        <f aca="false">IF(AND(4&gt;=Assumptions!$B$37,F98+F99&gt;0),-MIN(Assumptions!$B$36,F98+F99),0)</f>
        <v>0</v>
      </c>
      <c r="G100" s="10" t="n">
        <f aca="false">IF(AND(5&gt;=Assumptions!$B$37,G98+G99&gt;0),-MIN(Assumptions!$B$36,G98+G99),0)</f>
        <v>0</v>
      </c>
      <c r="H100" s="10" t="n">
        <f aca="false">IF(AND(6&gt;=Assumptions!$B$37,H98+H99&gt;0),-MIN(Assumptions!$B$36,H98+H99),0)</f>
        <v>0</v>
      </c>
      <c r="I100" s="10" t="n">
        <f aca="false">IF(AND(7&gt;=Assumptions!$B$37,I98+I99&gt;0),-MIN(Assumptions!$B$36,I98+I99),0)</f>
        <v>-130000</v>
      </c>
      <c r="J100" s="10" t="n">
        <f aca="false">IF(AND(8&gt;=Assumptions!$B$37,J98+J99&gt;0),-MIN(Assumptions!$B$36,J98+J99),0)</f>
        <v>-130000</v>
      </c>
      <c r="K100" s="10" t="n">
        <f aca="false">IF(AND(9&gt;=Assumptions!$B$37,K98+K99&gt;0),-MIN(Assumptions!$B$36,K98+K99),0)</f>
        <v>-130000</v>
      </c>
      <c r="L100" s="10" t="n">
        <f aca="false">IF(AND(10&gt;=Assumptions!$B$37,L98+L99&gt;0),-MIN(Assumptions!$B$36,L98+L99),0)</f>
        <v>-130000</v>
      </c>
      <c r="M100" s="10" t="n">
        <f aca="false">IF(AND(11&gt;=Assumptions!$B$37,M98+M99&gt;0),-MIN(Assumptions!$B$36,M98+M99),0)</f>
        <v>-130000</v>
      </c>
      <c r="N100" s="10" t="n">
        <f aca="false">IF(AND(12&gt;=Assumptions!$B$37,N98+N99&gt;0),-MIN(Assumptions!$B$36,N98+N99),0)</f>
        <v>-130000</v>
      </c>
      <c r="O100" s="10" t="n">
        <f aca="false">IF(AND(13&gt;=Assumptions!$B$37,O98+O99&gt;0),-MIN(Assumptions!$B$36,O98+O99),0)</f>
        <v>-130000</v>
      </c>
      <c r="P100" s="10" t="n">
        <f aca="false">IF(AND(14&gt;=Assumptions!$B$37,P98+P99&gt;0),-MIN(Assumptions!$B$36,P98+P99),0)</f>
        <v>-130000</v>
      </c>
      <c r="Q100" s="10" t="n">
        <f aca="false">IF(AND(15&gt;=Assumptions!$B$37,Q98+Q99&gt;0),-MIN(Assumptions!$B$36,Q98+Q99),0)</f>
        <v>-130000</v>
      </c>
      <c r="R100" s="10" t="n">
        <f aca="false">IF(AND(16&gt;=Assumptions!$B$37,R98+R99&gt;0),-MIN(Assumptions!$B$36,R98+R99),0)</f>
        <v>-130000</v>
      </c>
      <c r="S100" s="10" t="n">
        <f aca="false">IF(AND(17&gt;=Assumptions!$B$37,S98+S99&gt;0),-MIN(Assumptions!$B$36,S98+S99),0)</f>
        <v>-130000</v>
      </c>
      <c r="T100" s="10" t="n">
        <f aca="false">IF(AND(18&gt;=Assumptions!$B$37,T98+T99&gt;0),-MIN(Assumptions!$B$36,T98+T99),0)</f>
        <v>-130000</v>
      </c>
      <c r="U100" s="10" t="n">
        <f aca="false">IF(AND(19&gt;=Assumptions!$B$37,U98+U99&gt;0),-MIN(Assumptions!$B$36,U98+U99),0)</f>
        <v>-130000</v>
      </c>
      <c r="V100" s="10" t="n">
        <f aca="false">IF(AND(20&gt;=Assumptions!$B$37,V98+V99&gt;0),-MIN(Assumptions!$B$36,V98+V99),0)</f>
        <v>-130000</v>
      </c>
      <c r="W100" s="10" t="n">
        <f aca="false">IF(AND(21&gt;=Assumptions!$B$37,W98+W99&gt;0),-MIN(Assumptions!$B$36,W98+W99),0)</f>
        <v>-65969.2432854451</v>
      </c>
      <c r="X100" s="10" t="n">
        <f aca="false">IF(AND(22&gt;=Assumptions!$B$37,X98+X99&gt;0),-MIN(Assumptions!$B$36,X98+X99),0)</f>
        <v>0</v>
      </c>
      <c r="Y100" s="10" t="n">
        <f aca="false">IF(AND(23&gt;=Assumptions!$B$37,Y98+Y99&gt;0),-MIN(Assumptions!$B$36,Y98+Y99),0)</f>
        <v>0</v>
      </c>
      <c r="Z100" s="10" t="n">
        <f aca="false">IF(AND(24&gt;=Assumptions!$B$37,Z98+Z99&gt;0),-MIN(Assumptions!$B$36,Z98+Z99),0)</f>
        <v>0</v>
      </c>
      <c r="AA100" s="10" t="n">
        <f aca="false">IF(AND(25&gt;=Assumptions!$B$37,AA98+AA99&gt;0),-MIN(Assumptions!$B$36,AA98+AA99),0)</f>
        <v>0</v>
      </c>
      <c r="AB100" s="10" t="n">
        <f aca="false">IF(AND(26&gt;=Assumptions!$B$37,AB98+AB99&gt;0),-MIN(Assumptions!$B$36,AB98+AB99),0)</f>
        <v>0</v>
      </c>
      <c r="AC100" s="10" t="n">
        <f aca="false">IF(AND(27&gt;=Assumptions!$B$37,AC98+AC99&gt;0),-MIN(Assumptions!$B$36,AC98+AC99),0)</f>
        <v>0</v>
      </c>
      <c r="AD100" s="10" t="n">
        <f aca="false">IF(AND(28&gt;=Assumptions!$B$37,AD98+AD99&gt;0),-MIN(Assumptions!$B$36,AD98+AD99),0)</f>
        <v>0</v>
      </c>
      <c r="AE100" s="10" t="n">
        <f aca="false">IF(AND(29&gt;=Assumptions!$B$37,AE98+AE99&gt;0),-MIN(Assumptions!$B$36,AE98+AE99),0)</f>
        <v>0</v>
      </c>
      <c r="AF100" s="10" t="n">
        <f aca="false">IF(AND(30&gt;=Assumptions!$B$37,AF98+AF99&gt;0),-MIN(Assumptions!$B$36,AF98+AF99),0)</f>
        <v>0</v>
      </c>
      <c r="AG100" s="10" t="n">
        <f aca="false">IF(AND(31&gt;=Assumptions!$B$37,AG98+AG99&gt;0),-MIN(Assumptions!$B$36,AG98+AG99),0)</f>
        <v>0</v>
      </c>
      <c r="AH100" s="10" t="n">
        <f aca="false">IF(AND(32&gt;=Assumptions!$B$37,AH98+AH99&gt;0),-MIN(Assumptions!$B$36,AH98+AH99),0)</f>
        <v>0</v>
      </c>
      <c r="AI100" s="10" t="n">
        <f aca="false">IF(AND(33&gt;=Assumptions!$B$37,AI98+AI99&gt;0),-MIN(Assumptions!$B$36,AI98+AI99),0)</f>
        <v>0</v>
      </c>
      <c r="AJ100" s="10" t="n">
        <f aca="false">IF(AND(34&gt;=Assumptions!$B$37,AJ98+AJ99&gt;0),-MIN(Assumptions!$B$36,AJ98+AJ99),0)</f>
        <v>0</v>
      </c>
      <c r="AK100" s="10" t="n">
        <f aca="false">IF(AND(35&gt;=Assumptions!$B$37,AK98+AK99&gt;0),-MIN(Assumptions!$B$36,AK98+AK99),0)</f>
        <v>0</v>
      </c>
      <c r="AL100" s="10" t="n">
        <f aca="false">IF(AND(36&gt;=Assumptions!$B$37,AL98+AL99&gt;0),-MIN(Assumptions!$B$36,AL98+AL99),0)</f>
        <v>0</v>
      </c>
      <c r="AM100" s="10" t="n">
        <f aca="false">IF(AND(37&gt;=Assumptions!$B$37,AM98+AM99&gt;0),-MIN(Assumptions!$B$36,AM98+AM99),0)</f>
        <v>0</v>
      </c>
      <c r="AN100" s="10" t="n">
        <f aca="false">IF(AND(38&gt;=Assumptions!$B$37,AN98+AN99&gt;0),-MIN(Assumptions!$B$36,AN98+AN99),0)</f>
        <v>0</v>
      </c>
      <c r="AO100" s="10" t="n">
        <f aca="false">IF(AND(39&gt;=Assumptions!$B$37,AO98+AO99&gt;0),-MIN(Assumptions!$B$36,AO98+AO99),0)</f>
        <v>0</v>
      </c>
      <c r="AP100" s="10" t="n">
        <f aca="false">IF(AND(40&gt;=Assumptions!$B$37,AP98+AP99&gt;0),-MIN(Assumptions!$B$36,AP98+AP99),0)</f>
        <v>0</v>
      </c>
      <c r="AQ100" s="10" t="n">
        <f aca="false">IF(AND(41&gt;=Assumptions!$B$37,AQ98+AQ99&gt;0),-MIN(Assumptions!$B$36,AQ98+AQ99),0)</f>
        <v>0</v>
      </c>
      <c r="AR100" s="10" t="n">
        <f aca="false">IF(AND(42&gt;=Assumptions!$B$37,AR98+AR99&gt;0),-MIN(Assumptions!$B$36,AR98+AR99),0)</f>
        <v>0</v>
      </c>
      <c r="AS100" s="10" t="n">
        <f aca="false">IF(AND(43&gt;=Assumptions!$B$37,AS98+AS99&gt;0),-MIN(Assumptions!$B$36,AS98+AS99),0)</f>
        <v>0</v>
      </c>
      <c r="AT100" s="10" t="n">
        <f aca="false">IF(AND(44&gt;=Assumptions!$B$37,AT98+AT99&gt;0),-MIN(Assumptions!$B$36,AT98+AT99),0)</f>
        <v>0</v>
      </c>
      <c r="AU100" s="10" t="n">
        <f aca="false">IF(AND(45&gt;=Assumptions!$B$37,AU98+AU99&gt;0),-MIN(Assumptions!$B$36,AU98+AU99),0)</f>
        <v>0</v>
      </c>
      <c r="AV100" s="10" t="n">
        <f aca="false">IF(AND(46&gt;=Assumptions!$B$37,AV98+AV99&gt;0),-MIN(Assumptions!$B$36,AV98+AV99),0)</f>
        <v>0</v>
      </c>
      <c r="AW100" s="10" t="n">
        <f aca="false">IF(AND(47&gt;=Assumptions!$B$37,AW98+AW99&gt;0),-MIN(Assumptions!$B$36,AW98+AW99),0)</f>
        <v>0</v>
      </c>
      <c r="AX100" s="10" t="n">
        <f aca="false">IF(AND(48&gt;=Assumptions!$B$37,AX98+AX99&gt;0),-MIN(Assumptions!$B$36,AX98+AX99),0)</f>
        <v>0</v>
      </c>
      <c r="AY100" s="10" t="n">
        <f aca="false">IF(AND(49&gt;=Assumptions!$B$37,AY98+AY99&gt;0),-MIN(Assumptions!$B$36,AY98+AY99),0)</f>
        <v>0</v>
      </c>
      <c r="AZ100" s="10" t="n">
        <f aca="false">IF(AND(50&gt;=Assumptions!$B$37,AZ98+AZ99&gt;0),-MIN(Assumptions!$B$36,AZ98+AZ99),0)</f>
        <v>0</v>
      </c>
      <c r="BA100" s="10" t="n">
        <f aca="false">IF(AND(51&gt;=Assumptions!$B$37,BA98+BA99&gt;0),-MIN(Assumptions!$B$36,BA98+BA99),0)</f>
        <v>0</v>
      </c>
      <c r="BB100" s="10" t="n">
        <f aca="false">IF(AND(52&gt;=Assumptions!$B$37,BB98+BB99&gt;0),-MIN(Assumptions!$B$36,BB98+BB99),0)</f>
        <v>0</v>
      </c>
      <c r="BC100" s="10" t="n">
        <f aca="false">IF(AND(53&gt;=Assumptions!$B$37,BC98+BC99&gt;0),-MIN(Assumptions!$B$36,BC98+BC99),0)</f>
        <v>0</v>
      </c>
      <c r="BD100" s="10" t="n">
        <f aca="false">IF(AND(54&gt;=Assumptions!$B$37,BD98+BD99&gt;0),-MIN(Assumptions!$B$36,BD98+BD99),0)</f>
        <v>0</v>
      </c>
      <c r="BE100" s="10" t="n">
        <f aca="false">IF(AND(55&gt;=Assumptions!$B$37,BE98+BE99&gt;0),-MIN(Assumptions!$B$36,BE98+BE99),0)</f>
        <v>0</v>
      </c>
      <c r="BF100" s="10" t="n">
        <f aca="false">IF(AND(56&gt;=Assumptions!$B$37,BF98+BF99&gt;0),-MIN(Assumptions!$B$36,BF98+BF99),0)</f>
        <v>0</v>
      </c>
      <c r="BG100" s="10" t="n">
        <f aca="false">IF(AND(57&gt;=Assumptions!$B$37,BG98+BG99&gt;0),-MIN(Assumptions!$B$36,BG98+BG99),0)</f>
        <v>0</v>
      </c>
      <c r="BH100" s="10" t="n">
        <f aca="false">IF(AND(58&gt;=Assumptions!$B$37,BH98+BH99&gt;0),-MIN(Assumptions!$B$36,BH98+BH99),0)</f>
        <v>0</v>
      </c>
      <c r="BI100" s="10" t="n">
        <f aca="false">IF(AND(59&gt;=Assumptions!$B$37,BI98+BI99&gt;0),-MIN(Assumptions!$B$36,BI98+BI99),0)</f>
        <v>0</v>
      </c>
      <c r="BJ100" s="10" t="n">
        <f aca="false">IF(AND(60&gt;=Assumptions!$B$37,BJ98+BJ99&gt;0),-MIN(Assumptions!$B$36,BJ98+BJ99),0)</f>
        <v>0</v>
      </c>
      <c r="BK100" s="10" t="n">
        <f aca="false">IF(AND(61&gt;=Assumptions!$B$37,BK98+BK99&gt;0),-MIN(Assumptions!$B$36,BK98+BK99),0)</f>
        <v>0</v>
      </c>
      <c r="BL100" s="10" t="n">
        <f aca="false">IF(AND(62&gt;=Assumptions!$B$37,BL98+BL99&gt;0),-MIN(Assumptions!$B$36,BL98+BL99),0)</f>
        <v>0</v>
      </c>
      <c r="BM100" s="10" t="n">
        <f aca="false">IF(AND(63&gt;=Assumptions!$B$37,BM98+BM99&gt;0),-MIN(Assumptions!$B$36,BM98+BM99),0)</f>
        <v>0</v>
      </c>
      <c r="BN100" s="10" t="n">
        <f aca="false">IF(AND(64&gt;=Assumptions!$B$37,BN98+BN99&gt;0),-MIN(Assumptions!$B$36,BN98+BN99),0)</f>
        <v>0</v>
      </c>
      <c r="BO100" s="10" t="n">
        <f aca="false">IF(AND(65&gt;=Assumptions!$B$37,BO98+BO99&gt;0),-MIN(Assumptions!$B$36,BO98+BO99),0)</f>
        <v>0</v>
      </c>
      <c r="BP100" s="10" t="n">
        <f aca="false">IF(AND(66&gt;=Assumptions!$B$37,BP98+BP99&gt;0),-MIN(Assumptions!$B$36,BP98+BP99),0)</f>
        <v>0</v>
      </c>
      <c r="BQ100" s="10" t="n">
        <f aca="false">IF(AND(67&gt;=Assumptions!$B$37,BQ98+BQ99&gt;0),-MIN(Assumptions!$B$36,BQ98+BQ99),0)</f>
        <v>0</v>
      </c>
      <c r="BR100" s="10" t="n">
        <f aca="false">IF(AND(68&gt;=Assumptions!$B$37,BR98+BR99&gt;0),-MIN(Assumptions!$B$36,BR98+BR99),0)</f>
        <v>0</v>
      </c>
      <c r="BS100" s="10" t="n">
        <f aca="false">IF(AND(69&gt;=Assumptions!$B$37,BS98+BS99&gt;0),-MIN(Assumptions!$B$36,BS98+BS99),0)</f>
        <v>0</v>
      </c>
      <c r="BT100" s="10" t="n">
        <f aca="false">IF(AND(70&gt;=Assumptions!$B$37,BT98+BT99&gt;0),-MIN(Assumptions!$B$36,BT98+BT99),0)</f>
        <v>0</v>
      </c>
      <c r="BU100" s="10" t="n">
        <f aca="false">IF(AND(71&gt;=Assumptions!$B$37,BU98+BU99&gt;0),-MIN(Assumptions!$B$36,BU98+BU99),0)</f>
        <v>0</v>
      </c>
      <c r="BV100" s="10" t="n">
        <f aca="false">IF(AND(72&gt;=Assumptions!$B$37,BV98+BV99&gt;0),-MIN(Assumptions!$B$36,BV98+BV99),0)</f>
        <v>0</v>
      </c>
      <c r="BW100" s="10" t="n">
        <f aca="false">IF(AND(73&gt;=Assumptions!$B$37,BW98+BW99&gt;0),-MIN(Assumptions!$B$36,BW98+BW99),0)</f>
        <v>0</v>
      </c>
      <c r="BX100" s="10" t="n">
        <f aca="false">IF(AND(74&gt;=Assumptions!$B$37,BX98+BX99&gt;0),-MIN(Assumptions!$B$36,BX98+BX99),0)</f>
        <v>0</v>
      </c>
      <c r="BY100" s="10" t="n">
        <f aca="false">IF(AND(75&gt;=Assumptions!$B$37,BY98+BY99&gt;0),-MIN(Assumptions!$B$36,BY98+BY99),0)</f>
        <v>0</v>
      </c>
      <c r="BZ100" s="10" t="n">
        <f aca="false">IF(AND(76&gt;=Assumptions!$B$37,BZ98+BZ99&gt;0),-MIN(Assumptions!$B$36,BZ98+BZ99),0)</f>
        <v>0</v>
      </c>
      <c r="CA100" s="10" t="n">
        <f aca="false">IF(AND(77&gt;=Assumptions!$B$37,CA98+CA99&gt;0),-MIN(Assumptions!$B$36,CA98+CA99),0)</f>
        <v>0</v>
      </c>
      <c r="CB100" s="10" t="n">
        <f aca="false">IF(AND(78&gt;=Assumptions!$B$37,CB98+CB99&gt;0),-MIN(Assumptions!$B$36,CB98+CB99),0)</f>
        <v>0</v>
      </c>
      <c r="CC100" s="10" t="n">
        <f aca="false">IF(AND(79&gt;=Assumptions!$B$37,CC98+CC99&gt;0),-MIN(Assumptions!$B$36,CC98+CC99),0)</f>
        <v>0</v>
      </c>
      <c r="CD100" s="10" t="n">
        <f aca="false">IF(AND(80&gt;=Assumptions!$B$37,CD98+CD99&gt;0),-MIN(Assumptions!$B$36,CD98+CD99),0)</f>
        <v>0</v>
      </c>
      <c r="CE100" s="10" t="n">
        <f aca="false">IF(AND(81&gt;=Assumptions!$B$37,CE98+CE99&gt;0),-MIN(Assumptions!$B$36,CE98+CE99),0)</f>
        <v>0</v>
      </c>
      <c r="CF100" s="10" t="n">
        <f aca="false">IF(AND(82&gt;=Assumptions!$B$37,CF98+CF99&gt;0),-MIN(Assumptions!$B$36,CF98+CF99),0)</f>
        <v>0</v>
      </c>
      <c r="CG100" s="10" t="n">
        <f aca="false">IF(AND(83&gt;=Assumptions!$B$37,CG98+CG99&gt;0),-MIN(Assumptions!$B$36,CG98+CG99),0)</f>
        <v>0</v>
      </c>
      <c r="CH100" s="10" t="n">
        <f aca="false">IF(AND(84&gt;=Assumptions!$B$37,CH98+CH99&gt;0),-MIN(Assumptions!$B$36,CH98+CH99),0)</f>
        <v>0</v>
      </c>
      <c r="CI100" s="25"/>
    </row>
    <row r="101" customFormat="false" ht="15" hidden="false" customHeight="true" outlineLevel="0" collapsed="false">
      <c r="A101" s="35" t="s">
        <v>131</v>
      </c>
      <c r="B101" s="30"/>
      <c r="C101" s="34" t="n">
        <f aca="false">MAX(0,C98+C99+C100)</f>
        <v>1615485</v>
      </c>
      <c r="D101" s="34" t="n">
        <f aca="false">MAX(0,D98+D99+D100)</f>
        <v>1615485</v>
      </c>
      <c r="E101" s="34" t="n">
        <f aca="false">MAX(0,E98+E99+E100)</f>
        <v>1676065.6875</v>
      </c>
      <c r="F101" s="34" t="n">
        <f aca="false">MAX(0,F98+F99+F100)</f>
        <v>1676065.6875</v>
      </c>
      <c r="G101" s="34" t="n">
        <f aca="false">MAX(0,G98+G99+G100)</f>
        <v>1676065.6875</v>
      </c>
      <c r="H101" s="34" t="n">
        <f aca="false">MAX(0,H98+H99+H100)</f>
        <v>1738918.15078125</v>
      </c>
      <c r="I101" s="34" t="n">
        <f aca="false">MAX(0,I98+I99+I100)</f>
        <v>1608918.15078125</v>
      </c>
      <c r="J101" s="34" t="n">
        <f aca="false">MAX(0,J98+J99+J100)</f>
        <v>1478918.15078125</v>
      </c>
      <c r="K101" s="34" t="n">
        <f aca="false">MAX(0,K98+K99+K100)</f>
        <v>1404377.58143555</v>
      </c>
      <c r="L101" s="34" t="n">
        <f aca="false">MAX(0,L98+L99+L100)</f>
        <v>1274377.58143555</v>
      </c>
      <c r="M101" s="34" t="n">
        <f aca="false">MAX(0,M98+M99+M100)</f>
        <v>1144377.58143555</v>
      </c>
      <c r="N101" s="34" t="n">
        <f aca="false">MAX(0,N98+N99+N100)</f>
        <v>1057291.74073938</v>
      </c>
      <c r="O101" s="34" t="n">
        <f aca="false">MAX(0,O98+O99+O100)</f>
        <v>927291.74073938</v>
      </c>
      <c r="P101" s="34" t="n">
        <f aca="false">MAX(0,P98+P99+P100)</f>
        <v>797291.74073938</v>
      </c>
      <c r="Q101" s="34" t="n">
        <f aca="false">MAX(0,Q98+Q99+Q100)</f>
        <v>697190.181017107</v>
      </c>
      <c r="R101" s="34" t="n">
        <f aca="false">MAX(0,R98+R99+R100)</f>
        <v>567190.181017107</v>
      </c>
      <c r="S101" s="34" t="n">
        <f aca="false">MAX(0,S98+S99+S100)</f>
        <v>437190.181017107</v>
      </c>
      <c r="T101" s="34" t="n">
        <f aca="false">MAX(0,T98+T99+T100)</f>
        <v>323584.812805248</v>
      </c>
      <c r="U101" s="34" t="n">
        <f aca="false">MAX(0,U98+U99+U100)</f>
        <v>193584.812805248</v>
      </c>
      <c r="V101" s="34" t="n">
        <f aca="false">MAX(0,V98+V99+V100)</f>
        <v>63584.8128052483</v>
      </c>
      <c r="W101" s="34" t="n">
        <f aca="false">MAX(0,W98+W99+W100)</f>
        <v>0</v>
      </c>
      <c r="X101" s="34" t="n">
        <f aca="false">MAX(0,X98+X99+X100)</f>
        <v>0</v>
      </c>
      <c r="Y101" s="34" t="n">
        <f aca="false">MAX(0,Y98+Y99+Y100)</f>
        <v>0</v>
      </c>
      <c r="Z101" s="34" t="n">
        <f aca="false">MAX(0,Z98+Z99+Z100)</f>
        <v>0</v>
      </c>
      <c r="AA101" s="34" t="n">
        <f aca="false">MAX(0,AA98+AA99+AA100)</f>
        <v>0</v>
      </c>
      <c r="AB101" s="34" t="n">
        <f aca="false">MAX(0,AB98+AB99+AB100)</f>
        <v>0</v>
      </c>
      <c r="AC101" s="34" t="n">
        <f aca="false">MAX(0,AC98+AC99+AC100)</f>
        <v>0</v>
      </c>
      <c r="AD101" s="34" t="n">
        <f aca="false">MAX(0,AD98+AD99+AD100)</f>
        <v>0</v>
      </c>
      <c r="AE101" s="34" t="n">
        <f aca="false">MAX(0,AE98+AE99+AE100)</f>
        <v>0</v>
      </c>
      <c r="AF101" s="34" t="n">
        <f aca="false">MAX(0,AF98+AF99+AF100)</f>
        <v>0</v>
      </c>
      <c r="AG101" s="34" t="n">
        <f aca="false">MAX(0,AG98+AG99+AG100)</f>
        <v>0</v>
      </c>
      <c r="AH101" s="34" t="n">
        <f aca="false">MAX(0,AH98+AH99+AH100)</f>
        <v>0</v>
      </c>
      <c r="AI101" s="34" t="n">
        <f aca="false">MAX(0,AI98+AI99+AI100)</f>
        <v>0</v>
      </c>
      <c r="AJ101" s="34" t="n">
        <f aca="false">MAX(0,AJ98+AJ99+AJ100)</f>
        <v>0</v>
      </c>
      <c r="AK101" s="34" t="n">
        <f aca="false">MAX(0,AK98+AK99+AK100)</f>
        <v>0</v>
      </c>
      <c r="AL101" s="34" t="n">
        <f aca="false">MAX(0,AL98+AL99+AL100)</f>
        <v>0</v>
      </c>
      <c r="AM101" s="34" t="n">
        <f aca="false">MAX(0,AM98+AM99+AM100)</f>
        <v>0</v>
      </c>
      <c r="AN101" s="34" t="n">
        <f aca="false">MAX(0,AN98+AN99+AN100)</f>
        <v>0</v>
      </c>
      <c r="AO101" s="34" t="n">
        <f aca="false">MAX(0,AO98+AO99+AO100)</f>
        <v>0</v>
      </c>
      <c r="AP101" s="34" t="n">
        <f aca="false">MAX(0,AP98+AP99+AP100)</f>
        <v>0</v>
      </c>
      <c r="AQ101" s="34" t="n">
        <f aca="false">MAX(0,AQ98+AQ99+AQ100)</f>
        <v>0</v>
      </c>
      <c r="AR101" s="34" t="n">
        <f aca="false">MAX(0,AR98+AR99+AR100)</f>
        <v>0</v>
      </c>
      <c r="AS101" s="34" t="n">
        <f aca="false">MAX(0,AS98+AS99+AS100)</f>
        <v>0</v>
      </c>
      <c r="AT101" s="34" t="n">
        <f aca="false">MAX(0,AT98+AT99+AT100)</f>
        <v>0</v>
      </c>
      <c r="AU101" s="34" t="n">
        <f aca="false">MAX(0,AU98+AU99+AU100)</f>
        <v>0</v>
      </c>
      <c r="AV101" s="34" t="n">
        <f aca="false">MAX(0,AV98+AV99+AV100)</f>
        <v>0</v>
      </c>
      <c r="AW101" s="34" t="n">
        <f aca="false">MAX(0,AW98+AW99+AW100)</f>
        <v>0</v>
      </c>
      <c r="AX101" s="34" t="n">
        <f aca="false">MAX(0,AX98+AX99+AX100)</f>
        <v>0</v>
      </c>
      <c r="AY101" s="34" t="n">
        <f aca="false">MAX(0,AY98+AY99+AY100)</f>
        <v>0</v>
      </c>
      <c r="AZ101" s="34" t="n">
        <f aca="false">MAX(0,AZ98+AZ99+AZ100)</f>
        <v>0</v>
      </c>
      <c r="BA101" s="34" t="n">
        <f aca="false">MAX(0,BA98+BA99+BA100)</f>
        <v>0</v>
      </c>
      <c r="BB101" s="34" t="n">
        <f aca="false">MAX(0,BB98+BB99+BB100)</f>
        <v>0</v>
      </c>
      <c r="BC101" s="34" t="n">
        <f aca="false">MAX(0,BC98+BC99+BC100)</f>
        <v>0</v>
      </c>
      <c r="BD101" s="34" t="n">
        <f aca="false">MAX(0,BD98+BD99+BD100)</f>
        <v>0</v>
      </c>
      <c r="BE101" s="34" t="n">
        <f aca="false">MAX(0,BE98+BE99+BE100)</f>
        <v>0</v>
      </c>
      <c r="BF101" s="34" t="n">
        <f aca="false">MAX(0,BF98+BF99+BF100)</f>
        <v>0</v>
      </c>
      <c r="BG101" s="34" t="n">
        <f aca="false">MAX(0,BG98+BG99+BG100)</f>
        <v>0</v>
      </c>
      <c r="BH101" s="34" t="n">
        <f aca="false">MAX(0,BH98+BH99+BH100)</f>
        <v>0</v>
      </c>
      <c r="BI101" s="34" t="n">
        <f aca="false">MAX(0,BI98+BI99+BI100)</f>
        <v>0</v>
      </c>
      <c r="BJ101" s="34" t="n">
        <f aca="false">MAX(0,BJ98+BJ99+BJ100)</f>
        <v>0</v>
      </c>
      <c r="BK101" s="34" t="n">
        <f aca="false">MAX(0,BK98+BK99+BK100)</f>
        <v>0</v>
      </c>
      <c r="BL101" s="34" t="n">
        <f aca="false">MAX(0,BL98+BL99+BL100)</f>
        <v>0</v>
      </c>
      <c r="BM101" s="34" t="n">
        <f aca="false">MAX(0,BM98+BM99+BM100)</f>
        <v>0</v>
      </c>
      <c r="BN101" s="34" t="n">
        <f aca="false">MAX(0,BN98+BN99+BN100)</f>
        <v>0</v>
      </c>
      <c r="BO101" s="34" t="n">
        <f aca="false">MAX(0,BO98+BO99+BO100)</f>
        <v>0</v>
      </c>
      <c r="BP101" s="34" t="n">
        <f aca="false">MAX(0,BP98+BP99+BP100)</f>
        <v>0</v>
      </c>
      <c r="BQ101" s="34" t="n">
        <f aca="false">MAX(0,BQ98+BQ99+BQ100)</f>
        <v>0</v>
      </c>
      <c r="BR101" s="34" t="n">
        <f aca="false">MAX(0,BR98+BR99+BR100)</f>
        <v>0</v>
      </c>
      <c r="BS101" s="34" t="n">
        <f aca="false">MAX(0,BS98+BS99+BS100)</f>
        <v>0</v>
      </c>
      <c r="BT101" s="34" t="n">
        <f aca="false">MAX(0,BT98+BT99+BT100)</f>
        <v>0</v>
      </c>
      <c r="BU101" s="34" t="n">
        <f aca="false">MAX(0,BU98+BU99+BU100)</f>
        <v>0</v>
      </c>
      <c r="BV101" s="34" t="n">
        <f aca="false">MAX(0,BV98+BV99+BV100)</f>
        <v>0</v>
      </c>
      <c r="BW101" s="34" t="n">
        <f aca="false">MAX(0,BW98+BW99+BW100)</f>
        <v>0</v>
      </c>
      <c r="BX101" s="34" t="n">
        <f aca="false">MAX(0,BX98+BX99+BX100)</f>
        <v>0</v>
      </c>
      <c r="BY101" s="34" t="n">
        <f aca="false">MAX(0,BY98+BY99+BY100)</f>
        <v>0</v>
      </c>
      <c r="BZ101" s="34" t="n">
        <f aca="false">MAX(0,BZ98+BZ99+BZ100)</f>
        <v>0</v>
      </c>
      <c r="CA101" s="34" t="n">
        <f aca="false">MAX(0,CA98+CA99+CA100)</f>
        <v>0</v>
      </c>
      <c r="CB101" s="34" t="n">
        <f aca="false">MAX(0,CB98+CB99+CB100)</f>
        <v>0</v>
      </c>
      <c r="CC101" s="34" t="n">
        <f aca="false">MAX(0,CC98+CC99+CC100)</f>
        <v>0</v>
      </c>
      <c r="CD101" s="34" t="n">
        <f aca="false">MAX(0,CD98+CD99+CD100)</f>
        <v>0</v>
      </c>
      <c r="CE101" s="34" t="n">
        <f aca="false">MAX(0,CE98+CE99+CE100)</f>
        <v>0</v>
      </c>
      <c r="CF101" s="34" t="n">
        <f aca="false">MAX(0,CF98+CF99+CF100)</f>
        <v>0</v>
      </c>
      <c r="CG101" s="34" t="n">
        <f aca="false">MAX(0,CG98+CG99+CG100)</f>
        <v>0</v>
      </c>
      <c r="CH101" s="34" t="n">
        <f aca="false">MAX(0,CH98+CH99+CH100)</f>
        <v>0</v>
      </c>
      <c r="CI101" s="25"/>
    </row>
    <row r="102" customFormat="false" ht="15" hidden="false" customHeight="true" outlineLevel="0" collapsed="false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5"/>
    </row>
    <row r="103" customFormat="false" ht="7.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5"/>
    </row>
    <row r="104" customFormat="false" ht="15" hidden="false" customHeight="true" outlineLevel="0" collapsed="false">
      <c r="A104" s="28" t="s">
        <v>132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5"/>
    </row>
    <row r="105" customFormat="false" ht="15" hidden="false" customHeight="true" outlineLevel="0" collapsed="false">
      <c r="A105" s="9" t="s">
        <v>128</v>
      </c>
      <c r="B105" s="24"/>
      <c r="C105" s="10" t="n">
        <f aca="false">Assumptions!$B$41</f>
        <v>1000000</v>
      </c>
      <c r="D105" s="10" t="n">
        <f aca="false">C107</f>
        <v>1000000</v>
      </c>
      <c r="E105" s="10" t="n">
        <f aca="false">D107</f>
        <v>1000000</v>
      </c>
      <c r="F105" s="10" t="n">
        <f aca="false">E107</f>
        <v>1000000</v>
      </c>
      <c r="G105" s="10" t="n">
        <f aca="false">F107</f>
        <v>1000000</v>
      </c>
      <c r="H105" s="10" t="n">
        <f aca="false">G107</f>
        <v>1000000</v>
      </c>
      <c r="I105" s="10" t="n">
        <f aca="false">H107</f>
        <v>1000000</v>
      </c>
      <c r="J105" s="10" t="n">
        <f aca="false">I107</f>
        <v>1000000</v>
      </c>
      <c r="K105" s="10" t="n">
        <f aca="false">J107</f>
        <v>1000000</v>
      </c>
      <c r="L105" s="10" t="n">
        <f aca="false">K107</f>
        <v>1000000</v>
      </c>
      <c r="M105" s="10" t="n">
        <f aca="false">L107</f>
        <v>1000000</v>
      </c>
      <c r="N105" s="10" t="n">
        <f aca="false">M107</f>
        <v>750000</v>
      </c>
      <c r="O105" s="10" t="n">
        <f aca="false">N107</f>
        <v>750000</v>
      </c>
      <c r="P105" s="10" t="n">
        <f aca="false">O107</f>
        <v>750000</v>
      </c>
      <c r="Q105" s="10" t="n">
        <f aca="false">P107</f>
        <v>750000</v>
      </c>
      <c r="R105" s="10" t="n">
        <f aca="false">Q107</f>
        <v>750000</v>
      </c>
      <c r="S105" s="10" t="n">
        <f aca="false">R107</f>
        <v>750000</v>
      </c>
      <c r="T105" s="10" t="n">
        <f aca="false">S107</f>
        <v>750000</v>
      </c>
      <c r="U105" s="10" t="n">
        <f aca="false">T107</f>
        <v>750000</v>
      </c>
      <c r="V105" s="10" t="n">
        <f aca="false">U107</f>
        <v>750000</v>
      </c>
      <c r="W105" s="10" t="n">
        <f aca="false">V107</f>
        <v>750000</v>
      </c>
      <c r="X105" s="10" t="n">
        <f aca="false">W107</f>
        <v>750000</v>
      </c>
      <c r="Y105" s="10" t="n">
        <f aca="false">X107</f>
        <v>750000</v>
      </c>
      <c r="Z105" s="10" t="n">
        <f aca="false">Y107</f>
        <v>500000</v>
      </c>
      <c r="AA105" s="10" t="n">
        <f aca="false">Z107</f>
        <v>500000</v>
      </c>
      <c r="AB105" s="10" t="n">
        <f aca="false">AA107</f>
        <v>500000</v>
      </c>
      <c r="AC105" s="10" t="n">
        <f aca="false">AB107</f>
        <v>500000</v>
      </c>
      <c r="AD105" s="10" t="n">
        <f aca="false">AC107</f>
        <v>500000</v>
      </c>
      <c r="AE105" s="10" t="n">
        <f aca="false">AD107</f>
        <v>500000</v>
      </c>
      <c r="AF105" s="10" t="n">
        <f aca="false">AE107</f>
        <v>500000</v>
      </c>
      <c r="AG105" s="10" t="n">
        <f aca="false">AF107</f>
        <v>500000</v>
      </c>
      <c r="AH105" s="10" t="n">
        <f aca="false">AG107</f>
        <v>500000</v>
      </c>
      <c r="AI105" s="10" t="n">
        <f aca="false">AH107</f>
        <v>500000</v>
      </c>
      <c r="AJ105" s="10" t="n">
        <f aca="false">AI107</f>
        <v>500000</v>
      </c>
      <c r="AK105" s="10" t="n">
        <f aca="false">AJ107</f>
        <v>500000</v>
      </c>
      <c r="AL105" s="10" t="n">
        <f aca="false">AK107</f>
        <v>250000</v>
      </c>
      <c r="AM105" s="10" t="n">
        <f aca="false">AL107</f>
        <v>250000</v>
      </c>
      <c r="AN105" s="10" t="n">
        <f aca="false">AM107</f>
        <v>250000</v>
      </c>
      <c r="AO105" s="10" t="n">
        <f aca="false">AN107</f>
        <v>250000</v>
      </c>
      <c r="AP105" s="10" t="n">
        <f aca="false">AO107</f>
        <v>250000</v>
      </c>
      <c r="AQ105" s="10" t="n">
        <f aca="false">AP107</f>
        <v>250000</v>
      </c>
      <c r="AR105" s="10" t="n">
        <f aca="false">AQ107</f>
        <v>250000</v>
      </c>
      <c r="AS105" s="10" t="n">
        <f aca="false">AR107</f>
        <v>250000</v>
      </c>
      <c r="AT105" s="10" t="n">
        <f aca="false">AS107</f>
        <v>250000</v>
      </c>
      <c r="AU105" s="10" t="n">
        <f aca="false">AT107</f>
        <v>250000</v>
      </c>
      <c r="AV105" s="10" t="n">
        <f aca="false">AU107</f>
        <v>250000</v>
      </c>
      <c r="AW105" s="10" t="n">
        <f aca="false">AV107</f>
        <v>250000</v>
      </c>
      <c r="AX105" s="10" t="n">
        <f aca="false">AW107</f>
        <v>250000</v>
      </c>
      <c r="AY105" s="10" t="n">
        <f aca="false">AX107</f>
        <v>250000</v>
      </c>
      <c r="AZ105" s="10" t="n">
        <f aca="false">AY107</f>
        <v>250000</v>
      </c>
      <c r="BA105" s="10" t="n">
        <f aca="false">AZ107</f>
        <v>250000</v>
      </c>
      <c r="BB105" s="10" t="n">
        <f aca="false">BA107</f>
        <v>250000</v>
      </c>
      <c r="BC105" s="10" t="n">
        <f aca="false">BB107</f>
        <v>250000</v>
      </c>
      <c r="BD105" s="10" t="n">
        <f aca="false">BC107</f>
        <v>250000</v>
      </c>
      <c r="BE105" s="10" t="n">
        <f aca="false">BD107</f>
        <v>250000</v>
      </c>
      <c r="BF105" s="10" t="n">
        <f aca="false">BE107</f>
        <v>250000</v>
      </c>
      <c r="BG105" s="10" t="n">
        <f aca="false">BF107</f>
        <v>250000</v>
      </c>
      <c r="BH105" s="10" t="n">
        <f aca="false">BG107</f>
        <v>250000</v>
      </c>
      <c r="BI105" s="10" t="n">
        <f aca="false">BH107</f>
        <v>250000</v>
      </c>
      <c r="BJ105" s="10" t="n">
        <f aca="false">BI107</f>
        <v>250000</v>
      </c>
      <c r="BK105" s="10" t="n">
        <f aca="false">BJ107</f>
        <v>250000</v>
      </c>
      <c r="BL105" s="10" t="n">
        <f aca="false">BK107</f>
        <v>250000</v>
      </c>
      <c r="BM105" s="10" t="n">
        <f aca="false">BL107</f>
        <v>250000</v>
      </c>
      <c r="BN105" s="10" t="n">
        <f aca="false">BM107</f>
        <v>250000</v>
      </c>
      <c r="BO105" s="10" t="n">
        <f aca="false">BN107</f>
        <v>250000</v>
      </c>
      <c r="BP105" s="10" t="n">
        <f aca="false">BO107</f>
        <v>250000</v>
      </c>
      <c r="BQ105" s="10" t="n">
        <f aca="false">BP107</f>
        <v>250000</v>
      </c>
      <c r="BR105" s="10" t="n">
        <f aca="false">BQ107</f>
        <v>250000</v>
      </c>
      <c r="BS105" s="10" t="n">
        <f aca="false">BR107</f>
        <v>250000</v>
      </c>
      <c r="BT105" s="10" t="n">
        <f aca="false">BS107</f>
        <v>250000</v>
      </c>
      <c r="BU105" s="10" t="n">
        <f aca="false">BT107</f>
        <v>250000</v>
      </c>
      <c r="BV105" s="10" t="n">
        <f aca="false">BU107</f>
        <v>250000</v>
      </c>
      <c r="BW105" s="10" t="n">
        <f aca="false">BV107</f>
        <v>250000</v>
      </c>
      <c r="BX105" s="10" t="n">
        <f aca="false">BW107</f>
        <v>250000</v>
      </c>
      <c r="BY105" s="10" t="n">
        <f aca="false">BX107</f>
        <v>250000</v>
      </c>
      <c r="BZ105" s="10" t="n">
        <f aca="false">BY107</f>
        <v>250000</v>
      </c>
      <c r="CA105" s="10" t="n">
        <f aca="false">BZ107</f>
        <v>250000</v>
      </c>
      <c r="CB105" s="10" t="n">
        <f aca="false">CA107</f>
        <v>250000</v>
      </c>
      <c r="CC105" s="10" t="n">
        <f aca="false">CB107</f>
        <v>250000</v>
      </c>
      <c r="CD105" s="10" t="n">
        <f aca="false">CC107</f>
        <v>250000</v>
      </c>
      <c r="CE105" s="10" t="n">
        <f aca="false">CD107</f>
        <v>250000</v>
      </c>
      <c r="CF105" s="10" t="n">
        <f aca="false">CE107</f>
        <v>250000</v>
      </c>
      <c r="CG105" s="10" t="n">
        <f aca="false">CF107</f>
        <v>250000</v>
      </c>
      <c r="CH105" s="10" t="n">
        <f aca="false">CG107</f>
        <v>250000</v>
      </c>
      <c r="CI105" s="25"/>
    </row>
    <row r="106" customFormat="false" ht="15" hidden="false" customHeight="true" outlineLevel="0" collapsed="false">
      <c r="A106" s="9" t="s">
        <v>133</v>
      </c>
      <c r="B106" s="24"/>
      <c r="C106" s="10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f aca="false">IF(AND(M105&gt;0,SUM(C95:K95)&gt;=Assumptions!$B$43),-MIN(Assumptions!$B$42,M105),0)</f>
        <v>-250000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f aca="false">IF(AND(Y105&gt;0,SUM(L95:W95)&gt;=Assumptions!$B$43),-MIN(Assumptions!$B$42,Y105),0)</f>
        <v>-250000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f aca="false">IF(AND(AK105&gt;0,SUM(X95:AI95)&gt;=Assumptions!$B$43),-MIN(Assumptions!$B$42,AK105),0)</f>
        <v>-250000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f aca="false">IF(AND(AW105&gt;0,SUM(AJ95:AU95)&gt;=Assumptions!$B$43),-MIN(Assumptions!$B$42,AW105),0)</f>
        <v>0</v>
      </c>
      <c r="AX106" s="10" t="n">
        <v>0</v>
      </c>
      <c r="AY106" s="10" t="n">
        <v>0</v>
      </c>
      <c r="AZ106" s="10" t="n">
        <v>0</v>
      </c>
      <c r="BA106" s="10" t="n">
        <v>0</v>
      </c>
      <c r="BB106" s="10" t="n">
        <v>0</v>
      </c>
      <c r="BC106" s="10" t="n">
        <v>0</v>
      </c>
      <c r="BD106" s="10" t="n">
        <v>0</v>
      </c>
      <c r="BE106" s="10" t="n">
        <v>0</v>
      </c>
      <c r="BF106" s="10" t="n">
        <v>0</v>
      </c>
      <c r="BG106" s="10" t="n">
        <v>0</v>
      </c>
      <c r="BH106" s="10" t="n">
        <v>0</v>
      </c>
      <c r="BI106" s="10" t="n">
        <f aca="false">IF(AND(BI105&gt;0,SUM(AV95:BG95)&gt;=Assumptions!$B$43),-MIN(Assumptions!$B$42,BI105),0)</f>
        <v>0</v>
      </c>
      <c r="BJ106" s="10" t="n">
        <v>0</v>
      </c>
      <c r="BK106" s="10" t="n">
        <v>0</v>
      </c>
      <c r="BL106" s="10" t="n">
        <v>0</v>
      </c>
      <c r="BM106" s="10" t="n">
        <v>0</v>
      </c>
      <c r="BN106" s="10" t="n">
        <v>0</v>
      </c>
      <c r="BO106" s="10" t="n">
        <v>0</v>
      </c>
      <c r="BP106" s="10" t="n">
        <v>0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f aca="false">IF(AND(BU105&gt;0,SUM(BH95:BS95)&gt;=Assumptions!$B$43),-MIN(Assumptions!$B$42,BU105),0)</f>
        <v>0</v>
      </c>
      <c r="BV106" s="10" t="n">
        <v>0</v>
      </c>
      <c r="BW106" s="10" t="n">
        <v>0</v>
      </c>
      <c r="BX106" s="10" t="n">
        <v>0</v>
      </c>
      <c r="BY106" s="10" t="n">
        <v>0</v>
      </c>
      <c r="BZ106" s="10" t="n">
        <v>0</v>
      </c>
      <c r="CA106" s="10" t="n">
        <v>0</v>
      </c>
      <c r="CB106" s="10" t="n">
        <v>0</v>
      </c>
      <c r="CC106" s="10" t="n">
        <v>0</v>
      </c>
      <c r="CD106" s="10" t="n">
        <v>0</v>
      </c>
      <c r="CE106" s="10" t="n">
        <v>0</v>
      </c>
      <c r="CF106" s="10" t="n">
        <v>0</v>
      </c>
      <c r="CG106" s="10" t="n">
        <f aca="false">IF(AND(CG105&gt;0,SUM(BT95:CE95)&gt;=Assumptions!$B$43),-MIN(Assumptions!$B$42,CG105),0)</f>
        <v>0</v>
      </c>
      <c r="CH106" s="10" t="n">
        <v>0</v>
      </c>
      <c r="CI106" s="25"/>
    </row>
    <row r="107" customFormat="false" ht="15" hidden="false" customHeight="true" outlineLevel="0" collapsed="false">
      <c r="A107" s="35" t="s">
        <v>131</v>
      </c>
      <c r="B107" s="30"/>
      <c r="C107" s="34" t="n">
        <f aca="false">MAX(0,C105+C106)</f>
        <v>1000000</v>
      </c>
      <c r="D107" s="34" t="n">
        <f aca="false">MAX(0,D105+D106)</f>
        <v>1000000</v>
      </c>
      <c r="E107" s="34" t="n">
        <f aca="false">MAX(0,E105+E106)</f>
        <v>1000000</v>
      </c>
      <c r="F107" s="34" t="n">
        <f aca="false">MAX(0,F105+F106)</f>
        <v>1000000</v>
      </c>
      <c r="G107" s="34" t="n">
        <f aca="false">MAX(0,G105+G106)</f>
        <v>1000000</v>
      </c>
      <c r="H107" s="34" t="n">
        <f aca="false">MAX(0,H105+H106)</f>
        <v>1000000</v>
      </c>
      <c r="I107" s="34" t="n">
        <f aca="false">MAX(0,I105+I106)</f>
        <v>1000000</v>
      </c>
      <c r="J107" s="34" t="n">
        <f aca="false">MAX(0,J105+J106)</f>
        <v>1000000</v>
      </c>
      <c r="K107" s="34" t="n">
        <f aca="false">MAX(0,K105+K106)</f>
        <v>1000000</v>
      </c>
      <c r="L107" s="34" t="n">
        <f aca="false">MAX(0,L105+L106)</f>
        <v>1000000</v>
      </c>
      <c r="M107" s="34" t="n">
        <f aca="false">MAX(0,M105+M106)</f>
        <v>750000</v>
      </c>
      <c r="N107" s="34" t="n">
        <f aca="false">MAX(0,N105+N106)</f>
        <v>750000</v>
      </c>
      <c r="O107" s="34" t="n">
        <f aca="false">MAX(0,O105+O106)</f>
        <v>750000</v>
      </c>
      <c r="P107" s="34" t="n">
        <f aca="false">MAX(0,P105+P106)</f>
        <v>750000</v>
      </c>
      <c r="Q107" s="34" t="n">
        <f aca="false">MAX(0,Q105+Q106)</f>
        <v>750000</v>
      </c>
      <c r="R107" s="34" t="n">
        <f aca="false">MAX(0,R105+R106)</f>
        <v>750000</v>
      </c>
      <c r="S107" s="34" t="n">
        <f aca="false">MAX(0,S105+S106)</f>
        <v>750000</v>
      </c>
      <c r="T107" s="34" t="n">
        <f aca="false">MAX(0,T105+T106)</f>
        <v>750000</v>
      </c>
      <c r="U107" s="34" t="n">
        <f aca="false">MAX(0,U105+U106)</f>
        <v>750000</v>
      </c>
      <c r="V107" s="34" t="n">
        <f aca="false">MAX(0,V105+V106)</f>
        <v>750000</v>
      </c>
      <c r="W107" s="34" t="n">
        <f aca="false">MAX(0,W105+W106)</f>
        <v>750000</v>
      </c>
      <c r="X107" s="34" t="n">
        <f aca="false">MAX(0,X105+X106)</f>
        <v>750000</v>
      </c>
      <c r="Y107" s="34" t="n">
        <f aca="false">MAX(0,Y105+Y106)</f>
        <v>500000</v>
      </c>
      <c r="Z107" s="34" t="n">
        <f aca="false">MAX(0,Z105+Z106)</f>
        <v>500000</v>
      </c>
      <c r="AA107" s="34" t="n">
        <f aca="false">MAX(0,AA105+AA106)</f>
        <v>500000</v>
      </c>
      <c r="AB107" s="34" t="n">
        <f aca="false">MAX(0,AB105+AB106)</f>
        <v>500000</v>
      </c>
      <c r="AC107" s="34" t="n">
        <f aca="false">MAX(0,AC105+AC106)</f>
        <v>500000</v>
      </c>
      <c r="AD107" s="34" t="n">
        <f aca="false">MAX(0,AD105+AD106)</f>
        <v>500000</v>
      </c>
      <c r="AE107" s="34" t="n">
        <f aca="false">MAX(0,AE105+AE106)</f>
        <v>500000</v>
      </c>
      <c r="AF107" s="34" t="n">
        <f aca="false">MAX(0,AF105+AF106)</f>
        <v>500000</v>
      </c>
      <c r="AG107" s="34" t="n">
        <f aca="false">MAX(0,AG105+AG106)</f>
        <v>500000</v>
      </c>
      <c r="AH107" s="34" t="n">
        <f aca="false">MAX(0,AH105+AH106)</f>
        <v>500000</v>
      </c>
      <c r="AI107" s="34" t="n">
        <f aca="false">MAX(0,AI105+AI106)</f>
        <v>500000</v>
      </c>
      <c r="AJ107" s="34" t="n">
        <f aca="false">MAX(0,AJ105+AJ106)</f>
        <v>500000</v>
      </c>
      <c r="AK107" s="34" t="n">
        <f aca="false">MAX(0,AK105+AK106)</f>
        <v>250000</v>
      </c>
      <c r="AL107" s="34" t="n">
        <f aca="false">MAX(0,AL105+AL106)</f>
        <v>250000</v>
      </c>
      <c r="AM107" s="34" t="n">
        <f aca="false">MAX(0,AM105+AM106)</f>
        <v>250000</v>
      </c>
      <c r="AN107" s="34" t="n">
        <f aca="false">MAX(0,AN105+AN106)</f>
        <v>250000</v>
      </c>
      <c r="AO107" s="34" t="n">
        <f aca="false">MAX(0,AO105+AO106)</f>
        <v>250000</v>
      </c>
      <c r="AP107" s="34" t="n">
        <f aca="false">MAX(0,AP105+AP106)</f>
        <v>250000</v>
      </c>
      <c r="AQ107" s="34" t="n">
        <f aca="false">MAX(0,AQ105+AQ106)</f>
        <v>250000</v>
      </c>
      <c r="AR107" s="34" t="n">
        <f aca="false">MAX(0,AR105+AR106)</f>
        <v>250000</v>
      </c>
      <c r="AS107" s="34" t="n">
        <f aca="false">MAX(0,AS105+AS106)</f>
        <v>250000</v>
      </c>
      <c r="AT107" s="34" t="n">
        <f aca="false">MAX(0,AT105+AT106)</f>
        <v>250000</v>
      </c>
      <c r="AU107" s="34" t="n">
        <f aca="false">MAX(0,AU105+AU106)</f>
        <v>250000</v>
      </c>
      <c r="AV107" s="34" t="n">
        <f aca="false">MAX(0,AV105+AV106)</f>
        <v>250000</v>
      </c>
      <c r="AW107" s="34" t="n">
        <f aca="false">MAX(0,AW105+AW106)</f>
        <v>250000</v>
      </c>
      <c r="AX107" s="34" t="n">
        <f aca="false">MAX(0,AX105+AX106)</f>
        <v>250000</v>
      </c>
      <c r="AY107" s="34" t="n">
        <f aca="false">MAX(0,AY105+AY106)</f>
        <v>250000</v>
      </c>
      <c r="AZ107" s="34" t="n">
        <f aca="false">MAX(0,AZ105+AZ106)</f>
        <v>250000</v>
      </c>
      <c r="BA107" s="34" t="n">
        <f aca="false">MAX(0,BA105+BA106)</f>
        <v>250000</v>
      </c>
      <c r="BB107" s="34" t="n">
        <f aca="false">MAX(0,BB105+BB106)</f>
        <v>250000</v>
      </c>
      <c r="BC107" s="34" t="n">
        <f aca="false">MAX(0,BC105+BC106)</f>
        <v>250000</v>
      </c>
      <c r="BD107" s="34" t="n">
        <f aca="false">MAX(0,BD105+BD106)</f>
        <v>250000</v>
      </c>
      <c r="BE107" s="34" t="n">
        <f aca="false">MAX(0,BE105+BE106)</f>
        <v>250000</v>
      </c>
      <c r="BF107" s="34" t="n">
        <f aca="false">MAX(0,BF105+BF106)</f>
        <v>250000</v>
      </c>
      <c r="BG107" s="34" t="n">
        <f aca="false">MAX(0,BG105+BG106)</f>
        <v>250000</v>
      </c>
      <c r="BH107" s="34" t="n">
        <f aca="false">MAX(0,BH105+BH106)</f>
        <v>250000</v>
      </c>
      <c r="BI107" s="34" t="n">
        <f aca="false">MAX(0,BI105+BI106)</f>
        <v>250000</v>
      </c>
      <c r="BJ107" s="34" t="n">
        <f aca="false">MAX(0,BJ105+BJ106)</f>
        <v>250000</v>
      </c>
      <c r="BK107" s="34" t="n">
        <f aca="false">MAX(0,BK105+BK106)</f>
        <v>250000</v>
      </c>
      <c r="BL107" s="34" t="n">
        <f aca="false">MAX(0,BL105+BL106)</f>
        <v>250000</v>
      </c>
      <c r="BM107" s="34" t="n">
        <f aca="false">MAX(0,BM105+BM106)</f>
        <v>250000</v>
      </c>
      <c r="BN107" s="34" t="n">
        <f aca="false">MAX(0,BN105+BN106)</f>
        <v>250000</v>
      </c>
      <c r="BO107" s="34" t="n">
        <f aca="false">MAX(0,BO105+BO106)</f>
        <v>250000</v>
      </c>
      <c r="BP107" s="34" t="n">
        <f aca="false">MAX(0,BP105+BP106)</f>
        <v>250000</v>
      </c>
      <c r="BQ107" s="34" t="n">
        <f aca="false">MAX(0,BQ105+BQ106)</f>
        <v>250000</v>
      </c>
      <c r="BR107" s="34" t="n">
        <f aca="false">MAX(0,BR105+BR106)</f>
        <v>250000</v>
      </c>
      <c r="BS107" s="34" t="n">
        <f aca="false">MAX(0,BS105+BS106)</f>
        <v>250000</v>
      </c>
      <c r="BT107" s="34" t="n">
        <f aca="false">MAX(0,BT105+BT106)</f>
        <v>250000</v>
      </c>
      <c r="BU107" s="34" t="n">
        <f aca="false">MAX(0,BU105+BU106)</f>
        <v>250000</v>
      </c>
      <c r="BV107" s="34" t="n">
        <f aca="false">MAX(0,BV105+BV106)</f>
        <v>250000</v>
      </c>
      <c r="BW107" s="34" t="n">
        <f aca="false">MAX(0,BW105+BW106)</f>
        <v>250000</v>
      </c>
      <c r="BX107" s="34" t="n">
        <f aca="false">MAX(0,BX105+BX106)</f>
        <v>250000</v>
      </c>
      <c r="BY107" s="34" t="n">
        <f aca="false">MAX(0,BY105+BY106)</f>
        <v>250000</v>
      </c>
      <c r="BZ107" s="34" t="n">
        <f aca="false">MAX(0,BZ105+BZ106)</f>
        <v>250000</v>
      </c>
      <c r="CA107" s="34" t="n">
        <f aca="false">MAX(0,CA105+CA106)</f>
        <v>250000</v>
      </c>
      <c r="CB107" s="34" t="n">
        <f aca="false">MAX(0,CB105+CB106)</f>
        <v>250000</v>
      </c>
      <c r="CC107" s="34" t="n">
        <f aca="false">MAX(0,CC105+CC106)</f>
        <v>250000</v>
      </c>
      <c r="CD107" s="34" t="n">
        <f aca="false">MAX(0,CD105+CD106)</f>
        <v>250000</v>
      </c>
      <c r="CE107" s="34" t="n">
        <f aca="false">MAX(0,CE105+CE106)</f>
        <v>250000</v>
      </c>
      <c r="CF107" s="34" t="n">
        <f aca="false">MAX(0,CF105+CF106)</f>
        <v>250000</v>
      </c>
      <c r="CG107" s="34" t="n">
        <f aca="false">MAX(0,CG105+CG106)</f>
        <v>250000</v>
      </c>
      <c r="CH107" s="34" t="n">
        <f aca="false">MAX(0,CH105+CH106)</f>
        <v>250000</v>
      </c>
      <c r="CI107" s="25"/>
    </row>
    <row r="108" customFormat="false" ht="16.5" hidden="false" customHeight="true" outlineLevel="0" collapsed="false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7"/>
    </row>
    <row r="109" customFormat="false" ht="15" hidden="false" customHeight="true" outlineLevel="0" collapsed="false">
      <c r="A109" s="4" t="s">
        <v>134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25"/>
    </row>
    <row r="110" customFormat="false" ht="15" hidden="false" customHeight="true" outlineLevel="0" collapsed="false">
      <c r="A110" s="9" t="s">
        <v>135</v>
      </c>
      <c r="B110" s="9"/>
      <c r="C110" s="38" t="n">
        <f aca="false">IF(AND(Projects!$G$11="Yes",Projects!$C$11&lt;=1),Assumptions!$B$60,0)</f>
        <v>0</v>
      </c>
      <c r="D110" s="38" t="n">
        <f aca="false">IF(AND(Projects!$G$11="Yes",2=Projects!$C$11),Assumptions!$B$60,C114)</f>
        <v>0</v>
      </c>
      <c r="E110" s="38" t="n">
        <f aca="false">IF(AND(Projects!$G$11="Yes",3=Projects!$C$11),Assumptions!$B$60,D114)</f>
        <v>0</v>
      </c>
      <c r="F110" s="38" t="n">
        <f aca="false">IF(AND(Projects!$G$11="Yes",4=Projects!$C$11),Assumptions!$B$60,E114)</f>
        <v>0</v>
      </c>
      <c r="G110" s="38" t="n">
        <f aca="false">IF(AND(Projects!$G$11="Yes",5=Projects!$C$11),Assumptions!$B$60,F114)</f>
        <v>0</v>
      </c>
      <c r="H110" s="38" t="n">
        <f aca="false">IF(AND(Projects!$G$11="Yes",6=Projects!$C$11),Assumptions!$B$60,G114)</f>
        <v>0</v>
      </c>
      <c r="I110" s="38" t="n">
        <f aca="false">IF(AND(Projects!$G$11="Yes",7=Projects!$C$11),Assumptions!$B$60,H114)</f>
        <v>0</v>
      </c>
      <c r="J110" s="38" t="n">
        <f aca="false">IF(AND(Projects!$G$11="Yes",8=Projects!$C$11),Assumptions!$B$60,I114)</f>
        <v>0</v>
      </c>
      <c r="K110" s="38" t="n">
        <f aca="false">IF(AND(Projects!$G$11="Yes",9=Projects!$C$11),Assumptions!$B$60,J114)</f>
        <v>0</v>
      </c>
      <c r="L110" s="38" t="n">
        <f aca="false">IF(AND(Projects!$G$11="Yes",10=Projects!$C$11),Assumptions!$B$60,K114)</f>
        <v>0</v>
      </c>
      <c r="M110" s="38" t="n">
        <f aca="false">IF(AND(Projects!$G$11="Yes",11=Projects!$C$11),Assumptions!$B$60,L114)</f>
        <v>0</v>
      </c>
      <c r="N110" s="38" t="n">
        <f aca="false">IF(AND(Projects!$G$11="Yes",12=Projects!$C$11),Assumptions!$B$60,M114)</f>
        <v>0</v>
      </c>
      <c r="O110" s="38" t="n">
        <f aca="false">IF(AND(Projects!$G$11="Yes",13=Projects!$C$11),Assumptions!$B$60,N114)</f>
        <v>0</v>
      </c>
      <c r="P110" s="38" t="n">
        <f aca="false">IF(AND(Projects!$G$11="Yes",14=Projects!$C$11),Assumptions!$B$60,O114)</f>
        <v>0</v>
      </c>
      <c r="Q110" s="38" t="n">
        <f aca="false">IF(AND(Projects!$G$11="Yes",15=Projects!$C$11),Assumptions!$B$60,P114)</f>
        <v>0</v>
      </c>
      <c r="R110" s="38" t="n">
        <f aca="false">IF(AND(Projects!$G$11="Yes",16=Projects!$C$11),Assumptions!$B$60,Q114)</f>
        <v>0</v>
      </c>
      <c r="S110" s="38" t="n">
        <f aca="false">IF(AND(Projects!$G$11="Yes",17=Projects!$C$11),Assumptions!$B$60,R114)</f>
        <v>0</v>
      </c>
      <c r="T110" s="38" t="n">
        <f aca="false">IF(AND(Projects!$G$11="Yes",18=Projects!$C$11),Assumptions!$B$60,S114)</f>
        <v>0</v>
      </c>
      <c r="U110" s="38" t="n">
        <f aca="false">IF(AND(Projects!$G$11="Yes",19=Projects!$C$11),Assumptions!$B$60,T114)</f>
        <v>0</v>
      </c>
      <c r="V110" s="38" t="n">
        <f aca="false">IF(AND(Projects!$G$11="Yes",20=Projects!$C$11),Assumptions!$B$60,U114)</f>
        <v>0</v>
      </c>
      <c r="W110" s="38" t="n">
        <f aca="false">IF(AND(Projects!$G$11="Yes",21=Projects!$C$11),Assumptions!$B$60,V114)</f>
        <v>0</v>
      </c>
      <c r="X110" s="38" t="n">
        <f aca="false">IF(AND(Projects!$G$11="Yes",22=Projects!$C$11),Assumptions!$B$60,W114)</f>
        <v>0</v>
      </c>
      <c r="Y110" s="38" t="n">
        <f aca="false">IF(AND(Projects!$G$11="Yes",23=Projects!$C$11),Assumptions!$B$60,X114)</f>
        <v>0</v>
      </c>
      <c r="Z110" s="38" t="n">
        <f aca="false">IF(AND(Projects!$G$11="Yes",24=Projects!$C$11),Assumptions!$B$60,Y114)</f>
        <v>0</v>
      </c>
      <c r="AA110" s="38" t="n">
        <f aca="false">IF(AND(Projects!$G$11="Yes",25=Projects!$C$11),Assumptions!$B$60,Z114)</f>
        <v>0</v>
      </c>
      <c r="AB110" s="38" t="n">
        <f aca="false">IF(AND(Projects!$G$11="Yes",26=Projects!$C$11),Assumptions!$B$60,AA114)</f>
        <v>0</v>
      </c>
      <c r="AC110" s="38" t="n">
        <f aca="false">IF(AND(Projects!$G$11="Yes",27=Projects!$C$11),Assumptions!$B$60,AB114)</f>
        <v>0</v>
      </c>
      <c r="AD110" s="38" t="n">
        <f aca="false">IF(AND(Projects!$G$11="Yes",28=Projects!$C$11),Assumptions!$B$60,AC114)</f>
        <v>0</v>
      </c>
      <c r="AE110" s="38" t="n">
        <f aca="false">IF(AND(Projects!$G$11="Yes",29=Projects!$C$11),Assumptions!$B$60,AD114)</f>
        <v>0</v>
      </c>
      <c r="AF110" s="38" t="n">
        <f aca="false">IF(AND(Projects!$G$11="Yes",30=Projects!$C$11),Assumptions!$B$60,AE114)</f>
        <v>0</v>
      </c>
      <c r="AG110" s="38" t="n">
        <f aca="false">IF(AND(Projects!$G$11="Yes",31=Projects!$C$11),Assumptions!$B$60,AF114)</f>
        <v>0</v>
      </c>
      <c r="AH110" s="38" t="n">
        <f aca="false">IF(AND(Projects!$G$11="Yes",32=Projects!$C$11),Assumptions!$B$60,AG114)</f>
        <v>0</v>
      </c>
      <c r="AI110" s="38" t="n">
        <f aca="false">IF(AND(Projects!$G$11="Yes",33=Projects!$C$11),Assumptions!$B$60,AH114)</f>
        <v>0</v>
      </c>
      <c r="AJ110" s="38" t="n">
        <f aca="false">IF(AND(Projects!$G$11="Yes",34=Projects!$C$11),Assumptions!$B$60,AI114)</f>
        <v>0</v>
      </c>
      <c r="AK110" s="38" t="n">
        <f aca="false">IF(AND(Projects!$G$11="Yes",35=Projects!$C$11),Assumptions!$B$60,AJ114)</f>
        <v>0</v>
      </c>
      <c r="AL110" s="38" t="n">
        <f aca="false">IF(AND(Projects!$G$11="Yes",36=Projects!$C$11),Assumptions!$B$60,AK114)</f>
        <v>0</v>
      </c>
      <c r="AM110" s="38" t="n">
        <f aca="false">IF(AND(Projects!$G$11="Yes",37=Projects!$C$11),Assumptions!$B$60,AL114)</f>
        <v>0</v>
      </c>
      <c r="AN110" s="38" t="n">
        <f aca="false">IF(AND(Projects!$G$11="Yes",38=Projects!$C$11),Assumptions!$B$60,AM114)</f>
        <v>0</v>
      </c>
      <c r="AO110" s="38" t="n">
        <f aca="false">IF(AND(Projects!$G$11="Yes",39=Projects!$C$11),Assumptions!$B$60,AN114)</f>
        <v>0</v>
      </c>
      <c r="AP110" s="38" t="n">
        <f aca="false">IF(AND(Projects!$G$11="Yes",40=Projects!$C$11),Assumptions!$B$60,AO114)</f>
        <v>0</v>
      </c>
      <c r="AQ110" s="38" t="n">
        <f aca="false">IF(AND(Projects!$G$11="Yes",41=Projects!$C$11),Assumptions!$B$60,AP114)</f>
        <v>0</v>
      </c>
      <c r="AR110" s="38" t="n">
        <f aca="false">IF(AND(Projects!$G$11="Yes",42=Projects!$C$11),Assumptions!$B$60,AQ114)</f>
        <v>0</v>
      </c>
      <c r="AS110" s="38" t="n">
        <f aca="false">IF(AND(Projects!$G$11="Yes",43=Projects!$C$11),Assumptions!$B$60,AR114)</f>
        <v>0</v>
      </c>
      <c r="AT110" s="38" t="n">
        <f aca="false">IF(AND(Projects!$G$11="Yes",44=Projects!$C$11),Assumptions!$B$60,AS114)</f>
        <v>0</v>
      </c>
      <c r="AU110" s="38" t="n">
        <f aca="false">IF(AND(Projects!$G$11="Yes",45=Projects!$C$11),Assumptions!$B$60,AT114)</f>
        <v>0</v>
      </c>
      <c r="AV110" s="38" t="n">
        <f aca="false">IF(AND(Projects!$G$11="Yes",46=Projects!$C$11),Assumptions!$B$60,AU114)</f>
        <v>0</v>
      </c>
      <c r="AW110" s="38" t="n">
        <f aca="false">IF(AND(Projects!$G$11="Yes",47=Projects!$C$11),Assumptions!$B$60,AV114)</f>
        <v>0</v>
      </c>
      <c r="AX110" s="38" t="n">
        <f aca="false">IF(AND(Projects!$G$11="Yes",48=Projects!$C$11),Assumptions!$B$60,AW114)</f>
        <v>0</v>
      </c>
      <c r="AY110" s="38" t="n">
        <f aca="false">IF(AND(Projects!$G$11="Yes",49=Projects!$C$11),Assumptions!$B$60,AX114)</f>
        <v>0</v>
      </c>
      <c r="AZ110" s="38" t="n">
        <f aca="false">IF(AND(Projects!$G$11="Yes",50=Projects!$C$11),Assumptions!$B$60,AY114)</f>
        <v>0</v>
      </c>
      <c r="BA110" s="38" t="n">
        <f aca="false">IF(AND(Projects!$G$11="Yes",51=Projects!$C$11),Assumptions!$B$60,AZ114)</f>
        <v>0</v>
      </c>
      <c r="BB110" s="38" t="n">
        <f aca="false">IF(AND(Projects!$G$11="Yes",52=Projects!$C$11),Assumptions!$B$60,BA114)</f>
        <v>0</v>
      </c>
      <c r="BC110" s="38" t="n">
        <f aca="false">IF(AND(Projects!$G$11="Yes",53=Projects!$C$11),Assumptions!$B$60,BB114)</f>
        <v>0</v>
      </c>
      <c r="BD110" s="38" t="n">
        <f aca="false">IF(AND(Projects!$G$11="Yes",54=Projects!$C$11),Assumptions!$B$60,BC114)</f>
        <v>0</v>
      </c>
      <c r="BE110" s="38" t="n">
        <f aca="false">IF(AND(Projects!$G$11="Yes",55=Projects!$C$11),Assumptions!$B$60,BD114)</f>
        <v>0</v>
      </c>
      <c r="BF110" s="38" t="n">
        <f aca="false">IF(AND(Projects!$G$11="Yes",56=Projects!$C$11),Assumptions!$B$60,BE114)</f>
        <v>0</v>
      </c>
      <c r="BG110" s="38" t="n">
        <f aca="false">IF(AND(Projects!$G$11="Yes",57=Projects!$C$11),Assumptions!$B$60,BF114)</f>
        <v>0</v>
      </c>
      <c r="BH110" s="38" t="n">
        <f aca="false">IF(AND(Projects!$G$11="Yes",58=Projects!$C$11),Assumptions!$B$60,BG114)</f>
        <v>0</v>
      </c>
      <c r="BI110" s="38" t="n">
        <f aca="false">IF(AND(Projects!$G$11="Yes",59=Projects!$C$11),Assumptions!$B$60,BH114)</f>
        <v>0</v>
      </c>
      <c r="BJ110" s="38" t="n">
        <f aca="false">IF(AND(Projects!$G$11="Yes",60=Projects!$C$11),Assumptions!$B$60,BI114)</f>
        <v>0</v>
      </c>
      <c r="BK110" s="38" t="n">
        <f aca="false">IF(AND(Projects!$G$11="Yes",61=Projects!$C$11),Assumptions!$B$60,BJ114)</f>
        <v>0</v>
      </c>
      <c r="BL110" s="38" t="n">
        <f aca="false">IF(AND(Projects!$G$11="Yes",62=Projects!$C$11),Assumptions!$B$60,BK114)</f>
        <v>0</v>
      </c>
      <c r="BM110" s="38" t="n">
        <f aca="false">IF(AND(Projects!$G$11="Yes",63=Projects!$C$11),Assumptions!$B$60,BL114)</f>
        <v>0</v>
      </c>
      <c r="BN110" s="38" t="n">
        <f aca="false">IF(AND(Projects!$G$11="Yes",64=Projects!$C$11),Assumptions!$B$60,BM114)</f>
        <v>0</v>
      </c>
      <c r="BO110" s="38" t="n">
        <f aca="false">IF(AND(Projects!$G$11="Yes",65=Projects!$C$11),Assumptions!$B$60,BN114)</f>
        <v>0</v>
      </c>
      <c r="BP110" s="38" t="n">
        <f aca="false">IF(AND(Projects!$G$11="Yes",66=Projects!$C$11),Assumptions!$B$60,BO114)</f>
        <v>0</v>
      </c>
      <c r="BQ110" s="38" t="n">
        <f aca="false">IF(AND(Projects!$G$11="Yes",67=Projects!$C$11),Assumptions!$B$60,BP114)</f>
        <v>0</v>
      </c>
      <c r="BR110" s="38" t="n">
        <f aca="false">IF(AND(Projects!$G$11="Yes",68=Projects!$C$11),Assumptions!$B$60,BQ114)</f>
        <v>0</v>
      </c>
      <c r="BS110" s="38" t="n">
        <f aca="false">IF(AND(Projects!$G$11="Yes",69=Projects!$C$11),Assumptions!$B$60,BR114)</f>
        <v>0</v>
      </c>
      <c r="BT110" s="38" t="n">
        <f aca="false">IF(AND(Projects!$G$11="Yes",70=Projects!$C$11),Assumptions!$B$60,BS114)</f>
        <v>0</v>
      </c>
      <c r="BU110" s="38" t="n">
        <f aca="false">IF(AND(Projects!$G$11="Yes",71=Projects!$C$11),Assumptions!$B$60,BT114)</f>
        <v>0</v>
      </c>
      <c r="BV110" s="38" t="n">
        <f aca="false">IF(AND(Projects!$G$11="Yes",72=Projects!$C$11),Assumptions!$B$60,BU114)</f>
        <v>0</v>
      </c>
      <c r="BW110" s="38" t="n">
        <f aca="false">IF(AND(Projects!$G$11="Yes",73=Projects!$C$11),Assumptions!$B$60,BV114)</f>
        <v>0</v>
      </c>
      <c r="BX110" s="38" t="n">
        <f aca="false">IF(AND(Projects!$G$11="Yes",74=Projects!$C$11),Assumptions!$B$60,BW114)</f>
        <v>0</v>
      </c>
      <c r="BY110" s="38" t="n">
        <f aca="false">IF(AND(Projects!$G$11="Yes",75=Projects!$C$11),Assumptions!$B$60,BX114)</f>
        <v>0</v>
      </c>
      <c r="BZ110" s="38" t="n">
        <f aca="false">IF(AND(Projects!$G$11="Yes",76=Projects!$C$11),Assumptions!$B$60,BY114)</f>
        <v>0</v>
      </c>
      <c r="CA110" s="38" t="n">
        <f aca="false">IF(AND(Projects!$G$11="Yes",77=Projects!$C$11),Assumptions!$B$60,BZ114)</f>
        <v>0</v>
      </c>
      <c r="CB110" s="38" t="n">
        <f aca="false">IF(AND(Projects!$G$11="Yes",78=Projects!$C$11),Assumptions!$B$60,CA114)</f>
        <v>0</v>
      </c>
      <c r="CC110" s="38" t="n">
        <f aca="false">IF(AND(Projects!$G$11="Yes",79=Projects!$C$11),Assumptions!$B$60,CB114)</f>
        <v>0</v>
      </c>
      <c r="CD110" s="38" t="n">
        <f aca="false">IF(AND(Projects!$G$11="Yes",80=Projects!$C$11),Assumptions!$B$60,CC114)</f>
        <v>0</v>
      </c>
      <c r="CE110" s="38" t="n">
        <f aca="false">IF(AND(Projects!$G$11="Yes",81=Projects!$C$11),Assumptions!$B$60,CD114)</f>
        <v>0</v>
      </c>
      <c r="CF110" s="38" t="n">
        <f aca="false">IF(AND(Projects!$G$11="Yes",82=Projects!$C$11),Assumptions!$B$60,CE114)</f>
        <v>0</v>
      </c>
      <c r="CG110" s="38" t="n">
        <f aca="false">IF(AND(Projects!$G$11="Yes",83=Projects!$C$11),Assumptions!$B$60,CF114)</f>
        <v>0</v>
      </c>
      <c r="CH110" s="38" t="n">
        <f aca="false">IF(AND(Projects!$G$11="Yes",84=Projects!$C$11),Assumptions!$B$60,CG114)</f>
        <v>0</v>
      </c>
      <c r="CI110" s="25"/>
    </row>
    <row r="111" customFormat="false" ht="15" hidden="false" customHeight="true" outlineLevel="0" collapsed="false">
      <c r="A111" s="9" t="s">
        <v>136</v>
      </c>
      <c r="B111" s="9"/>
      <c r="C111" s="38" t="n">
        <f aca="false">IF(AND(MOD(1,3)=0,C110&gt;0),C110*Assumptions!$B$59,0)</f>
        <v>0</v>
      </c>
      <c r="D111" s="38" t="n">
        <f aca="false">IF(AND(MOD(2,3)=0,D110&gt;0),D110*Assumptions!$B$59,0)</f>
        <v>0</v>
      </c>
      <c r="E111" s="38" t="n">
        <f aca="false">IF(AND(MOD(3,3)=0,E110&gt;0),E110*Assumptions!$B$59,0)</f>
        <v>0</v>
      </c>
      <c r="F111" s="38" t="n">
        <f aca="false">IF(AND(MOD(4,3)=0,F110&gt;0),F110*Assumptions!$B$59,0)</f>
        <v>0</v>
      </c>
      <c r="G111" s="38" t="n">
        <f aca="false">IF(AND(MOD(5,3)=0,G110&gt;0),G110*Assumptions!$B$59,0)</f>
        <v>0</v>
      </c>
      <c r="H111" s="38" t="n">
        <f aca="false">IF(AND(MOD(6,3)=0,H110&gt;0),H110*Assumptions!$B$59,0)</f>
        <v>0</v>
      </c>
      <c r="I111" s="38" t="n">
        <f aca="false">IF(AND(MOD(7,3)=0,I110&gt;0),I110*Assumptions!$B$59,0)</f>
        <v>0</v>
      </c>
      <c r="J111" s="38" t="n">
        <f aca="false">IF(AND(MOD(8,3)=0,J110&gt;0),J110*Assumptions!$B$59,0)</f>
        <v>0</v>
      </c>
      <c r="K111" s="38" t="n">
        <f aca="false">IF(AND(MOD(9,3)=0,K110&gt;0),K110*Assumptions!$B$59,0)</f>
        <v>0</v>
      </c>
      <c r="L111" s="38" t="n">
        <f aca="false">IF(AND(MOD(10,3)=0,L110&gt;0),L110*Assumptions!$B$59,0)</f>
        <v>0</v>
      </c>
      <c r="M111" s="38" t="n">
        <f aca="false">IF(AND(MOD(11,3)=0,M110&gt;0),M110*Assumptions!$B$59,0)</f>
        <v>0</v>
      </c>
      <c r="N111" s="38" t="n">
        <f aca="false">IF(AND(MOD(12,3)=0,N110&gt;0),N110*Assumptions!$B$59,0)</f>
        <v>0</v>
      </c>
      <c r="O111" s="38" t="n">
        <f aca="false">IF(AND(MOD(13,3)=0,O110&gt;0),O110*Assumptions!$B$59,0)</f>
        <v>0</v>
      </c>
      <c r="P111" s="38" t="n">
        <f aca="false">IF(AND(MOD(14,3)=0,P110&gt;0),P110*Assumptions!$B$59,0)</f>
        <v>0</v>
      </c>
      <c r="Q111" s="38" t="n">
        <f aca="false">IF(AND(MOD(15,3)=0,Q110&gt;0),Q110*Assumptions!$B$59,0)</f>
        <v>0</v>
      </c>
      <c r="R111" s="38" t="n">
        <f aca="false">IF(AND(MOD(16,3)=0,R110&gt;0),R110*Assumptions!$B$59,0)</f>
        <v>0</v>
      </c>
      <c r="S111" s="38" t="n">
        <f aca="false">IF(AND(MOD(17,3)=0,S110&gt;0),S110*Assumptions!$B$59,0)</f>
        <v>0</v>
      </c>
      <c r="T111" s="38" t="n">
        <f aca="false">IF(AND(MOD(18,3)=0,T110&gt;0),T110*Assumptions!$B$59,0)</f>
        <v>0</v>
      </c>
      <c r="U111" s="38" t="n">
        <f aca="false">IF(AND(MOD(19,3)=0,U110&gt;0),U110*Assumptions!$B$59,0)</f>
        <v>0</v>
      </c>
      <c r="V111" s="38" t="n">
        <f aca="false">IF(AND(MOD(20,3)=0,V110&gt;0),V110*Assumptions!$B$59,0)</f>
        <v>0</v>
      </c>
      <c r="W111" s="38" t="n">
        <f aca="false">IF(AND(MOD(21,3)=0,W110&gt;0),W110*Assumptions!$B$59,0)</f>
        <v>0</v>
      </c>
      <c r="X111" s="38" t="n">
        <f aca="false">IF(AND(MOD(22,3)=0,X110&gt;0),X110*Assumptions!$B$59,0)</f>
        <v>0</v>
      </c>
      <c r="Y111" s="38" t="n">
        <f aca="false">IF(AND(MOD(23,3)=0,Y110&gt;0),Y110*Assumptions!$B$59,0)</f>
        <v>0</v>
      </c>
      <c r="Z111" s="38" t="n">
        <f aca="false">IF(AND(MOD(24,3)=0,Z110&gt;0),Z110*Assumptions!$B$59,0)</f>
        <v>0</v>
      </c>
      <c r="AA111" s="38" t="n">
        <f aca="false">IF(AND(MOD(25,3)=0,AA110&gt;0),AA110*Assumptions!$B$59,0)</f>
        <v>0</v>
      </c>
      <c r="AB111" s="38" t="n">
        <f aca="false">IF(AND(MOD(26,3)=0,AB110&gt;0),AB110*Assumptions!$B$59,0)</f>
        <v>0</v>
      </c>
      <c r="AC111" s="38" t="n">
        <f aca="false">IF(AND(MOD(27,3)=0,AC110&gt;0),AC110*Assumptions!$B$59,0)</f>
        <v>0</v>
      </c>
      <c r="AD111" s="38" t="n">
        <f aca="false">IF(AND(MOD(28,3)=0,AD110&gt;0),AD110*Assumptions!$B$59,0)</f>
        <v>0</v>
      </c>
      <c r="AE111" s="38" t="n">
        <f aca="false">IF(AND(MOD(29,3)=0,AE110&gt;0),AE110*Assumptions!$B$59,0)</f>
        <v>0</v>
      </c>
      <c r="AF111" s="38" t="n">
        <f aca="false">IF(AND(MOD(30,3)=0,AF110&gt;0),AF110*Assumptions!$B$59,0)</f>
        <v>0</v>
      </c>
      <c r="AG111" s="38" t="n">
        <f aca="false">IF(AND(MOD(31,3)=0,AG110&gt;0),AG110*Assumptions!$B$59,0)</f>
        <v>0</v>
      </c>
      <c r="AH111" s="38" t="n">
        <f aca="false">IF(AND(MOD(32,3)=0,AH110&gt;0),AH110*Assumptions!$B$59,0)</f>
        <v>0</v>
      </c>
      <c r="AI111" s="38" t="n">
        <f aca="false">IF(AND(MOD(33,3)=0,AI110&gt;0),AI110*Assumptions!$B$59,0)</f>
        <v>0</v>
      </c>
      <c r="AJ111" s="38" t="n">
        <f aca="false">IF(AND(MOD(34,3)=0,AJ110&gt;0),AJ110*Assumptions!$B$59,0)</f>
        <v>0</v>
      </c>
      <c r="AK111" s="38" t="n">
        <f aca="false">IF(AND(MOD(35,3)=0,AK110&gt;0),AK110*Assumptions!$B$59,0)</f>
        <v>0</v>
      </c>
      <c r="AL111" s="38" t="n">
        <f aca="false">IF(AND(MOD(36,3)=0,AL110&gt;0),AL110*Assumptions!$B$59,0)</f>
        <v>0</v>
      </c>
      <c r="AM111" s="38" t="n">
        <f aca="false">IF(AND(MOD(37,3)=0,AM110&gt;0),AM110*Assumptions!$B$59,0)</f>
        <v>0</v>
      </c>
      <c r="AN111" s="38" t="n">
        <f aca="false">IF(AND(MOD(38,3)=0,AN110&gt;0),AN110*Assumptions!$B$59,0)</f>
        <v>0</v>
      </c>
      <c r="AO111" s="38" t="n">
        <f aca="false">IF(AND(MOD(39,3)=0,AO110&gt;0),AO110*Assumptions!$B$59,0)</f>
        <v>0</v>
      </c>
      <c r="AP111" s="38" t="n">
        <f aca="false">IF(AND(MOD(40,3)=0,AP110&gt;0),AP110*Assumptions!$B$59,0)</f>
        <v>0</v>
      </c>
      <c r="AQ111" s="38" t="n">
        <f aca="false">IF(AND(MOD(41,3)=0,AQ110&gt;0),AQ110*Assumptions!$B$59,0)</f>
        <v>0</v>
      </c>
      <c r="AR111" s="38" t="n">
        <f aca="false">IF(AND(MOD(42,3)=0,AR110&gt;0),AR110*Assumptions!$B$59,0)</f>
        <v>0</v>
      </c>
      <c r="AS111" s="38" t="n">
        <f aca="false">IF(AND(MOD(43,3)=0,AS110&gt;0),AS110*Assumptions!$B$59,0)</f>
        <v>0</v>
      </c>
      <c r="AT111" s="38" t="n">
        <f aca="false">IF(AND(MOD(44,3)=0,AT110&gt;0),AT110*Assumptions!$B$59,0)</f>
        <v>0</v>
      </c>
      <c r="AU111" s="38" t="n">
        <f aca="false">IF(AND(MOD(45,3)=0,AU110&gt;0),AU110*Assumptions!$B$59,0)</f>
        <v>0</v>
      </c>
      <c r="AV111" s="38" t="n">
        <f aca="false">IF(AND(MOD(46,3)=0,AV110&gt;0),AV110*Assumptions!$B$59,0)</f>
        <v>0</v>
      </c>
      <c r="AW111" s="38" t="n">
        <f aca="false">IF(AND(MOD(47,3)=0,AW110&gt;0),AW110*Assumptions!$B$59,0)</f>
        <v>0</v>
      </c>
      <c r="AX111" s="38" t="n">
        <f aca="false">IF(AND(MOD(48,3)=0,AX110&gt;0),AX110*Assumptions!$B$59,0)</f>
        <v>0</v>
      </c>
      <c r="AY111" s="38" t="n">
        <f aca="false">IF(AND(MOD(49,3)=0,AY110&gt;0),AY110*Assumptions!$B$59,0)</f>
        <v>0</v>
      </c>
      <c r="AZ111" s="38" t="n">
        <f aca="false">IF(AND(MOD(50,3)=0,AZ110&gt;0),AZ110*Assumptions!$B$59,0)</f>
        <v>0</v>
      </c>
      <c r="BA111" s="38" t="n">
        <f aca="false">IF(AND(MOD(51,3)=0,BA110&gt;0),BA110*Assumptions!$B$59,0)</f>
        <v>0</v>
      </c>
      <c r="BB111" s="38" t="n">
        <f aca="false">IF(AND(MOD(52,3)=0,BB110&gt;0),BB110*Assumptions!$B$59,0)</f>
        <v>0</v>
      </c>
      <c r="BC111" s="38" t="n">
        <f aca="false">IF(AND(MOD(53,3)=0,BC110&gt;0),BC110*Assumptions!$B$59,0)</f>
        <v>0</v>
      </c>
      <c r="BD111" s="38" t="n">
        <f aca="false">IF(AND(MOD(54,3)=0,BD110&gt;0),BD110*Assumptions!$B$59,0)</f>
        <v>0</v>
      </c>
      <c r="BE111" s="38" t="n">
        <f aca="false">IF(AND(MOD(55,3)=0,BE110&gt;0),BE110*Assumptions!$B$59,0)</f>
        <v>0</v>
      </c>
      <c r="BF111" s="38" t="n">
        <f aca="false">IF(AND(MOD(56,3)=0,BF110&gt;0),BF110*Assumptions!$B$59,0)</f>
        <v>0</v>
      </c>
      <c r="BG111" s="38" t="n">
        <f aca="false">IF(AND(MOD(57,3)=0,BG110&gt;0),BG110*Assumptions!$B$59,0)</f>
        <v>0</v>
      </c>
      <c r="BH111" s="38" t="n">
        <f aca="false">IF(AND(MOD(58,3)=0,BH110&gt;0),BH110*Assumptions!$B$59,0)</f>
        <v>0</v>
      </c>
      <c r="BI111" s="38" t="n">
        <f aca="false">IF(AND(MOD(59,3)=0,BI110&gt;0),BI110*Assumptions!$B$59,0)</f>
        <v>0</v>
      </c>
      <c r="BJ111" s="38" t="n">
        <f aca="false">IF(AND(MOD(60,3)=0,BJ110&gt;0),BJ110*Assumptions!$B$59,0)</f>
        <v>0</v>
      </c>
      <c r="BK111" s="38" t="n">
        <f aca="false">IF(AND(MOD(61,3)=0,BK110&gt;0),BK110*Assumptions!$B$59,0)</f>
        <v>0</v>
      </c>
      <c r="BL111" s="38" t="n">
        <f aca="false">IF(AND(MOD(62,3)=0,BL110&gt;0),BL110*Assumptions!$B$59,0)</f>
        <v>0</v>
      </c>
      <c r="BM111" s="38" t="n">
        <f aca="false">IF(AND(MOD(63,3)=0,BM110&gt;0),BM110*Assumptions!$B$59,0)</f>
        <v>0</v>
      </c>
      <c r="BN111" s="38" t="n">
        <f aca="false">IF(AND(MOD(64,3)=0,BN110&gt;0),BN110*Assumptions!$B$59,0)</f>
        <v>0</v>
      </c>
      <c r="BO111" s="38" t="n">
        <f aca="false">IF(AND(MOD(65,3)=0,BO110&gt;0),BO110*Assumptions!$B$59,0)</f>
        <v>0</v>
      </c>
      <c r="BP111" s="38" t="n">
        <f aca="false">IF(AND(MOD(66,3)=0,BP110&gt;0),BP110*Assumptions!$B$59,0)</f>
        <v>0</v>
      </c>
      <c r="BQ111" s="38" t="n">
        <f aca="false">IF(AND(MOD(67,3)=0,BQ110&gt;0),BQ110*Assumptions!$B$59,0)</f>
        <v>0</v>
      </c>
      <c r="BR111" s="38" t="n">
        <f aca="false">IF(AND(MOD(68,3)=0,BR110&gt;0),BR110*Assumptions!$B$59,0)</f>
        <v>0</v>
      </c>
      <c r="BS111" s="38" t="n">
        <f aca="false">IF(AND(MOD(69,3)=0,BS110&gt;0),BS110*Assumptions!$B$59,0)</f>
        <v>0</v>
      </c>
      <c r="BT111" s="38" t="n">
        <f aca="false">IF(AND(MOD(70,3)=0,BT110&gt;0),BT110*Assumptions!$B$59,0)</f>
        <v>0</v>
      </c>
      <c r="BU111" s="38" t="n">
        <f aca="false">IF(AND(MOD(71,3)=0,BU110&gt;0),BU110*Assumptions!$B$59,0)</f>
        <v>0</v>
      </c>
      <c r="BV111" s="38" t="n">
        <f aca="false">IF(AND(MOD(72,3)=0,BV110&gt;0),BV110*Assumptions!$B$59,0)</f>
        <v>0</v>
      </c>
      <c r="BW111" s="38" t="n">
        <f aca="false">IF(AND(MOD(73,3)=0,BW110&gt;0),BW110*Assumptions!$B$59,0)</f>
        <v>0</v>
      </c>
      <c r="BX111" s="38" t="n">
        <f aca="false">IF(AND(MOD(74,3)=0,BX110&gt;0),BX110*Assumptions!$B$59,0)</f>
        <v>0</v>
      </c>
      <c r="BY111" s="38" t="n">
        <f aca="false">IF(AND(MOD(75,3)=0,BY110&gt;0),BY110*Assumptions!$B$59,0)</f>
        <v>0</v>
      </c>
      <c r="BZ111" s="38" t="n">
        <f aca="false">IF(AND(MOD(76,3)=0,BZ110&gt;0),BZ110*Assumptions!$B$59,0)</f>
        <v>0</v>
      </c>
      <c r="CA111" s="38" t="n">
        <f aca="false">IF(AND(MOD(77,3)=0,CA110&gt;0),CA110*Assumptions!$B$59,0)</f>
        <v>0</v>
      </c>
      <c r="CB111" s="38" t="n">
        <f aca="false">IF(AND(MOD(78,3)=0,CB110&gt;0),CB110*Assumptions!$B$59,0)</f>
        <v>0</v>
      </c>
      <c r="CC111" s="38" t="n">
        <f aca="false">IF(AND(MOD(79,3)=0,CC110&gt;0),CC110*Assumptions!$B$59,0)</f>
        <v>0</v>
      </c>
      <c r="CD111" s="38" t="n">
        <f aca="false">IF(AND(MOD(80,3)=0,CD110&gt;0),CD110*Assumptions!$B$59,0)</f>
        <v>0</v>
      </c>
      <c r="CE111" s="38" t="n">
        <f aca="false">IF(AND(MOD(81,3)=0,CE110&gt;0),CE110*Assumptions!$B$59,0)</f>
        <v>0</v>
      </c>
      <c r="CF111" s="38" t="n">
        <f aca="false">IF(AND(MOD(82,3)=0,CF110&gt;0),CF110*Assumptions!$B$59,0)</f>
        <v>0</v>
      </c>
      <c r="CG111" s="38" t="n">
        <f aca="false">IF(AND(MOD(83,3)=0,CG110&gt;0),CG110*Assumptions!$B$59,0)</f>
        <v>0</v>
      </c>
      <c r="CH111" s="38" t="n">
        <f aca="false">IF(AND(MOD(84,3)=0,CH110&gt;0),CH110*Assumptions!$B$59,0)</f>
        <v>0</v>
      </c>
      <c r="CI111" s="25"/>
    </row>
    <row r="112" customFormat="false" ht="15" hidden="false" customHeight="true" outlineLevel="0" collapsed="false">
      <c r="A112" s="9" t="s">
        <v>137</v>
      </c>
      <c r="B112" s="9"/>
      <c r="C112" s="38" t="n">
        <v>0</v>
      </c>
      <c r="D112" s="38" t="n">
        <v>0</v>
      </c>
      <c r="E112" s="38" t="n">
        <v>0</v>
      </c>
      <c r="F112" s="38" t="n">
        <v>0</v>
      </c>
      <c r="G112" s="38" t="n">
        <v>0</v>
      </c>
      <c r="H112" s="38" t="n">
        <v>0</v>
      </c>
      <c r="I112" s="38" t="n">
        <v>0</v>
      </c>
      <c r="J112" s="38" t="n">
        <v>0</v>
      </c>
      <c r="K112" s="38" t="n">
        <v>0</v>
      </c>
      <c r="L112" s="38" t="n">
        <v>0</v>
      </c>
      <c r="M112" s="38" t="n">
        <v>0</v>
      </c>
      <c r="N112" s="38" t="n">
        <v>0</v>
      </c>
      <c r="O112" s="38" t="n">
        <v>0</v>
      </c>
      <c r="P112" s="38" t="n">
        <v>0</v>
      </c>
      <c r="Q112" s="38" t="n">
        <v>0</v>
      </c>
      <c r="R112" s="38" t="n">
        <v>0</v>
      </c>
      <c r="S112" s="38" t="n">
        <v>0</v>
      </c>
      <c r="T112" s="38" t="n">
        <v>0</v>
      </c>
      <c r="U112" s="38" t="n">
        <v>0</v>
      </c>
      <c r="V112" s="38" t="n">
        <v>0</v>
      </c>
      <c r="W112" s="38" t="n">
        <v>0</v>
      </c>
      <c r="X112" s="38" t="n">
        <v>0</v>
      </c>
      <c r="Y112" s="38" t="n">
        <v>0</v>
      </c>
      <c r="Z112" s="38" t="n">
        <v>0</v>
      </c>
      <c r="AA112" s="38" t="n">
        <v>0</v>
      </c>
      <c r="AB112" s="38" t="n">
        <v>0</v>
      </c>
      <c r="AC112" s="38" t="n">
        <v>0</v>
      </c>
      <c r="AD112" s="38" t="n">
        <v>0</v>
      </c>
      <c r="AE112" s="38" t="n">
        <v>0</v>
      </c>
      <c r="AF112" s="38" t="n">
        <v>0</v>
      </c>
      <c r="AG112" s="38" t="n">
        <v>0</v>
      </c>
      <c r="AH112" s="38" t="n">
        <v>0</v>
      </c>
      <c r="AI112" s="38" t="n">
        <v>0</v>
      </c>
      <c r="AJ112" s="38" t="n">
        <v>0</v>
      </c>
      <c r="AK112" s="38" t="n">
        <v>0</v>
      </c>
      <c r="AL112" s="38" t="n">
        <v>0</v>
      </c>
      <c r="AM112" s="38" t="n">
        <v>0</v>
      </c>
      <c r="AN112" s="38" t="n">
        <v>0</v>
      </c>
      <c r="AO112" s="38" t="n">
        <v>0</v>
      </c>
      <c r="AP112" s="38" t="n">
        <v>0</v>
      </c>
      <c r="AQ112" s="38" t="n">
        <v>0</v>
      </c>
      <c r="AR112" s="38" t="n">
        <v>0</v>
      </c>
      <c r="AS112" s="38" t="n">
        <v>0</v>
      </c>
      <c r="AT112" s="38" t="n">
        <v>0</v>
      </c>
      <c r="AU112" s="38" t="n">
        <v>0</v>
      </c>
      <c r="AV112" s="38" t="n">
        <v>0</v>
      </c>
      <c r="AW112" s="38" t="n">
        <v>0</v>
      </c>
      <c r="AX112" s="38" t="n">
        <v>0</v>
      </c>
      <c r="AY112" s="38" t="n">
        <v>0</v>
      </c>
      <c r="AZ112" s="38" t="n">
        <v>0</v>
      </c>
      <c r="BA112" s="38" t="n">
        <v>0</v>
      </c>
      <c r="BB112" s="38" t="n">
        <v>0</v>
      </c>
      <c r="BC112" s="38" t="n">
        <v>0</v>
      </c>
      <c r="BD112" s="38" t="n">
        <v>0</v>
      </c>
      <c r="BE112" s="38" t="n">
        <v>0</v>
      </c>
      <c r="BF112" s="38" t="n">
        <v>0</v>
      </c>
      <c r="BG112" s="38" t="n">
        <v>0</v>
      </c>
      <c r="BH112" s="38" t="n">
        <v>0</v>
      </c>
      <c r="BI112" s="38" t="n">
        <v>0</v>
      </c>
      <c r="BJ112" s="38" t="n">
        <v>0</v>
      </c>
      <c r="BK112" s="38" t="n">
        <v>0</v>
      </c>
      <c r="BL112" s="38" t="n">
        <v>0</v>
      </c>
      <c r="BM112" s="38" t="n">
        <v>0</v>
      </c>
      <c r="BN112" s="38" t="n">
        <v>0</v>
      </c>
      <c r="BO112" s="38" t="n">
        <v>0</v>
      </c>
      <c r="BP112" s="38" t="n">
        <v>0</v>
      </c>
      <c r="BQ112" s="38" t="n">
        <v>0</v>
      </c>
      <c r="BR112" s="38" t="n">
        <v>0</v>
      </c>
      <c r="BS112" s="38" t="n">
        <v>0</v>
      </c>
      <c r="BT112" s="38" t="n">
        <v>0</v>
      </c>
      <c r="BU112" s="38" t="n">
        <v>0</v>
      </c>
      <c r="BV112" s="38" t="n">
        <v>0</v>
      </c>
      <c r="BW112" s="38" t="n">
        <v>0</v>
      </c>
      <c r="BX112" s="38" t="n">
        <v>0</v>
      </c>
      <c r="BY112" s="38" t="n">
        <v>0</v>
      </c>
      <c r="BZ112" s="38" t="n">
        <v>0</v>
      </c>
      <c r="CA112" s="38" t="n">
        <v>0</v>
      </c>
      <c r="CB112" s="38" t="n">
        <v>0</v>
      </c>
      <c r="CC112" s="38" t="n">
        <v>0</v>
      </c>
      <c r="CD112" s="38" t="n">
        <v>0</v>
      </c>
      <c r="CE112" s="38" t="n">
        <v>0</v>
      </c>
      <c r="CF112" s="38" t="n">
        <v>0</v>
      </c>
      <c r="CG112" s="38" t="n">
        <v>0</v>
      </c>
      <c r="CH112" s="38" t="n">
        <v>0</v>
      </c>
      <c r="CI112" s="25"/>
    </row>
    <row r="113" customFormat="false" ht="15" hidden="false" customHeight="true" outlineLevel="0" collapsed="false">
      <c r="A113" s="39" t="s">
        <v>138</v>
      </c>
      <c r="B113" s="39"/>
      <c r="C113" s="40" t="n">
        <v>0</v>
      </c>
      <c r="D113" s="40" t="n">
        <v>0</v>
      </c>
      <c r="E113" s="40" t="n">
        <v>0</v>
      </c>
      <c r="F113" s="40" t="n">
        <v>0</v>
      </c>
      <c r="G113" s="40" t="n">
        <v>0</v>
      </c>
      <c r="H113" s="40" t="n">
        <v>0</v>
      </c>
      <c r="I113" s="40" t="n">
        <v>0</v>
      </c>
      <c r="J113" s="40" t="n">
        <v>0</v>
      </c>
      <c r="K113" s="40" t="n">
        <v>0</v>
      </c>
      <c r="L113" s="40" t="n">
        <v>0</v>
      </c>
      <c r="M113" s="40" t="n">
        <v>0</v>
      </c>
      <c r="N113" s="40" t="n">
        <v>0</v>
      </c>
      <c r="O113" s="40" t="n">
        <v>0</v>
      </c>
      <c r="P113" s="40" t="n">
        <v>0</v>
      </c>
      <c r="Q113" s="40" t="n">
        <v>0</v>
      </c>
      <c r="R113" s="40" t="n">
        <v>0</v>
      </c>
      <c r="S113" s="40" t="n">
        <v>0</v>
      </c>
      <c r="T113" s="40" t="n">
        <v>0</v>
      </c>
      <c r="U113" s="40" t="n">
        <v>0</v>
      </c>
      <c r="V113" s="40" t="n">
        <v>0</v>
      </c>
      <c r="W113" s="40" t="n">
        <v>0</v>
      </c>
      <c r="X113" s="40" t="n">
        <v>0</v>
      </c>
      <c r="Y113" s="40" t="n">
        <v>0</v>
      </c>
      <c r="Z113" s="40" t="n">
        <v>0</v>
      </c>
      <c r="AA113" s="40" t="n">
        <v>0</v>
      </c>
      <c r="AB113" s="40" t="n">
        <v>0</v>
      </c>
      <c r="AC113" s="40" t="n">
        <v>0</v>
      </c>
      <c r="AD113" s="40" t="n">
        <v>0</v>
      </c>
      <c r="AE113" s="40" t="n">
        <v>0</v>
      </c>
      <c r="AF113" s="40" t="n">
        <v>0</v>
      </c>
      <c r="AG113" s="40" t="n">
        <v>0</v>
      </c>
      <c r="AH113" s="40" t="n">
        <v>0</v>
      </c>
      <c r="AI113" s="40" t="n">
        <v>0</v>
      </c>
      <c r="AJ113" s="40" t="n">
        <v>0</v>
      </c>
      <c r="AK113" s="40" t="n">
        <v>0</v>
      </c>
      <c r="AL113" s="40" t="n">
        <v>0</v>
      </c>
      <c r="AM113" s="40" t="n">
        <v>0</v>
      </c>
      <c r="AN113" s="40" t="n">
        <v>0</v>
      </c>
      <c r="AO113" s="40" t="n">
        <v>0</v>
      </c>
      <c r="AP113" s="40" t="n">
        <v>0</v>
      </c>
      <c r="AQ113" s="40" t="n">
        <v>0</v>
      </c>
      <c r="AR113" s="40" t="n">
        <v>0</v>
      </c>
      <c r="AS113" s="40" t="n">
        <v>0</v>
      </c>
      <c r="AT113" s="40" t="n">
        <v>0</v>
      </c>
      <c r="AU113" s="40" t="n">
        <v>0</v>
      </c>
      <c r="AV113" s="40" t="n">
        <v>0</v>
      </c>
      <c r="AW113" s="40" t="n">
        <v>0</v>
      </c>
      <c r="AX113" s="40" t="n">
        <v>0</v>
      </c>
      <c r="AY113" s="40" t="n">
        <v>0</v>
      </c>
      <c r="AZ113" s="40" t="n">
        <v>0</v>
      </c>
      <c r="BA113" s="40" t="n">
        <v>0</v>
      </c>
      <c r="BB113" s="40" t="n">
        <v>0</v>
      </c>
      <c r="BC113" s="40" t="n">
        <v>0</v>
      </c>
      <c r="BD113" s="40" t="n">
        <v>0</v>
      </c>
      <c r="BE113" s="40" t="n">
        <v>0</v>
      </c>
      <c r="BF113" s="40" t="n">
        <v>0</v>
      </c>
      <c r="BG113" s="40" t="n">
        <v>0</v>
      </c>
      <c r="BH113" s="40" t="n">
        <v>0</v>
      </c>
      <c r="BI113" s="40" t="n">
        <v>0</v>
      </c>
      <c r="BJ113" s="40" t="n">
        <v>0</v>
      </c>
      <c r="BK113" s="40" t="n">
        <v>0</v>
      </c>
      <c r="BL113" s="40" t="n">
        <v>0</v>
      </c>
      <c r="BM113" s="40" t="n">
        <v>0</v>
      </c>
      <c r="BN113" s="40" t="n">
        <v>0</v>
      </c>
      <c r="BO113" s="40" t="n">
        <v>0</v>
      </c>
      <c r="BP113" s="40" t="n">
        <v>0</v>
      </c>
      <c r="BQ113" s="40" t="n">
        <v>0</v>
      </c>
      <c r="BR113" s="40" t="n">
        <v>0</v>
      </c>
      <c r="BS113" s="40" t="n">
        <v>0</v>
      </c>
      <c r="BT113" s="40" t="n">
        <v>0</v>
      </c>
      <c r="BU113" s="40" t="n">
        <v>0</v>
      </c>
      <c r="BV113" s="40" t="n">
        <v>0</v>
      </c>
      <c r="BW113" s="40" t="n">
        <v>0</v>
      </c>
      <c r="BX113" s="40" t="n">
        <v>0</v>
      </c>
      <c r="BY113" s="40" t="n">
        <v>0</v>
      </c>
      <c r="BZ113" s="40" t="n">
        <v>0</v>
      </c>
      <c r="CA113" s="40" t="n">
        <v>0</v>
      </c>
      <c r="CB113" s="40" t="n">
        <v>0</v>
      </c>
      <c r="CC113" s="40" t="n">
        <v>0</v>
      </c>
      <c r="CD113" s="40" t="n">
        <v>0</v>
      </c>
      <c r="CE113" s="40" t="n">
        <v>0</v>
      </c>
      <c r="CF113" s="40" t="n">
        <v>0</v>
      </c>
      <c r="CG113" s="40" t="n">
        <v>0</v>
      </c>
      <c r="CH113" s="40" t="n">
        <v>0</v>
      </c>
      <c r="CI113" s="25"/>
    </row>
    <row r="114" customFormat="false" ht="15" hidden="false" customHeight="true" outlineLevel="0" collapsed="false">
      <c r="A114" s="41" t="s">
        <v>139</v>
      </c>
      <c r="B114" s="42"/>
      <c r="C114" s="43" t="n">
        <f aca="false">MAX(0,C110+C111+C112+C113)</f>
        <v>0</v>
      </c>
      <c r="D114" s="43" t="n">
        <f aca="false">MAX(0,D110+D111+D112+D113)</f>
        <v>0</v>
      </c>
      <c r="E114" s="43" t="n">
        <f aca="false">MAX(0,E110+E111+E112+E113)</f>
        <v>0</v>
      </c>
      <c r="F114" s="43" t="n">
        <f aca="false">MAX(0,F110+F111+F112+F113)</f>
        <v>0</v>
      </c>
      <c r="G114" s="43" t="n">
        <f aca="false">MAX(0,G110+G111+G112+G113)</f>
        <v>0</v>
      </c>
      <c r="H114" s="43" t="n">
        <f aca="false">MAX(0,H110+H111+H112+H113)</f>
        <v>0</v>
      </c>
      <c r="I114" s="43" t="n">
        <f aca="false">MAX(0,I110+I111+I112+I113)</f>
        <v>0</v>
      </c>
      <c r="J114" s="43" t="n">
        <f aca="false">MAX(0,J110+J111+J112+J113)</f>
        <v>0</v>
      </c>
      <c r="K114" s="43" t="n">
        <f aca="false">MAX(0,K110+K111+K112+K113)</f>
        <v>0</v>
      </c>
      <c r="L114" s="43" t="n">
        <f aca="false">MAX(0,L110+L111+L112+L113)</f>
        <v>0</v>
      </c>
      <c r="M114" s="43" t="n">
        <f aca="false">MAX(0,M110+M111+M112+M113)</f>
        <v>0</v>
      </c>
      <c r="N114" s="43" t="n">
        <f aca="false">MAX(0,N110+N111+N112+N113)</f>
        <v>0</v>
      </c>
      <c r="O114" s="43" t="n">
        <f aca="false">MAX(0,O110+O111+O112+O113)</f>
        <v>0</v>
      </c>
      <c r="P114" s="43" t="n">
        <f aca="false">MAX(0,P110+P111+P112+P113)</f>
        <v>0</v>
      </c>
      <c r="Q114" s="43" t="n">
        <f aca="false">MAX(0,Q110+Q111+Q112+Q113)</f>
        <v>0</v>
      </c>
      <c r="R114" s="43" t="n">
        <f aca="false">MAX(0,R110+R111+R112+R113)</f>
        <v>0</v>
      </c>
      <c r="S114" s="43" t="n">
        <f aca="false">MAX(0,S110+S111+S112+S113)</f>
        <v>0</v>
      </c>
      <c r="T114" s="43" t="n">
        <f aca="false">MAX(0,T110+T111+T112+T113)</f>
        <v>0</v>
      </c>
      <c r="U114" s="43" t="n">
        <f aca="false">MAX(0,U110+U111+U112+U113)</f>
        <v>0</v>
      </c>
      <c r="V114" s="43" t="n">
        <f aca="false">MAX(0,V110+V111+V112+V113)</f>
        <v>0</v>
      </c>
      <c r="W114" s="43" t="n">
        <f aca="false">MAX(0,W110+W111+W112+W113)</f>
        <v>0</v>
      </c>
      <c r="X114" s="43" t="n">
        <f aca="false">MAX(0,X110+X111+X112+X113)</f>
        <v>0</v>
      </c>
      <c r="Y114" s="43" t="n">
        <f aca="false">MAX(0,Y110+Y111+Y112+Y113)</f>
        <v>0</v>
      </c>
      <c r="Z114" s="43" t="n">
        <f aca="false">MAX(0,Z110+Z111+Z112+Z113)</f>
        <v>0</v>
      </c>
      <c r="AA114" s="43" t="n">
        <f aca="false">MAX(0,AA110+AA111+AA112+AA113)</f>
        <v>0</v>
      </c>
      <c r="AB114" s="43" t="n">
        <f aca="false">MAX(0,AB110+AB111+AB112+AB113)</f>
        <v>0</v>
      </c>
      <c r="AC114" s="43" t="n">
        <f aca="false">MAX(0,AC110+AC111+AC112+AC113)</f>
        <v>0</v>
      </c>
      <c r="AD114" s="43" t="n">
        <f aca="false">MAX(0,AD110+AD111+AD112+AD113)</f>
        <v>0</v>
      </c>
      <c r="AE114" s="43" t="n">
        <f aca="false">MAX(0,AE110+AE111+AE112+AE113)</f>
        <v>0</v>
      </c>
      <c r="AF114" s="43" t="n">
        <f aca="false">MAX(0,AF110+AF111+AF112+AF113)</f>
        <v>0</v>
      </c>
      <c r="AG114" s="43" t="n">
        <f aca="false">MAX(0,AG110+AG111+AG112+AG113)</f>
        <v>0</v>
      </c>
      <c r="AH114" s="43" t="n">
        <f aca="false">MAX(0,AH110+AH111+AH112+AH113)</f>
        <v>0</v>
      </c>
      <c r="AI114" s="43" t="n">
        <f aca="false">MAX(0,AI110+AI111+AI112+AI113)</f>
        <v>0</v>
      </c>
      <c r="AJ114" s="43" t="n">
        <f aca="false">MAX(0,AJ110+AJ111+AJ112+AJ113)</f>
        <v>0</v>
      </c>
      <c r="AK114" s="43" t="n">
        <f aca="false">MAX(0,AK110+AK111+AK112+AK113)</f>
        <v>0</v>
      </c>
      <c r="AL114" s="43" t="n">
        <f aca="false">MAX(0,AL110+AL111+AL112+AL113)</f>
        <v>0</v>
      </c>
      <c r="AM114" s="43" t="n">
        <f aca="false">MAX(0,AM110+AM111+AM112+AM113)</f>
        <v>0</v>
      </c>
      <c r="AN114" s="43" t="n">
        <f aca="false">MAX(0,AN110+AN111+AN112+AN113)</f>
        <v>0</v>
      </c>
      <c r="AO114" s="43" t="n">
        <f aca="false">MAX(0,AO110+AO111+AO112+AO113)</f>
        <v>0</v>
      </c>
      <c r="AP114" s="43" t="n">
        <f aca="false">MAX(0,AP110+AP111+AP112+AP113)</f>
        <v>0</v>
      </c>
      <c r="AQ114" s="43" t="n">
        <f aca="false">MAX(0,AQ110+AQ111+AQ112+AQ113)</f>
        <v>0</v>
      </c>
      <c r="AR114" s="43" t="n">
        <f aca="false">MAX(0,AR110+AR111+AR112+AR113)</f>
        <v>0</v>
      </c>
      <c r="AS114" s="43" t="n">
        <f aca="false">MAX(0,AS110+AS111+AS112+AS113)</f>
        <v>0</v>
      </c>
      <c r="AT114" s="43" t="n">
        <f aca="false">MAX(0,AT110+AT111+AT112+AT113)</f>
        <v>0</v>
      </c>
      <c r="AU114" s="43" t="n">
        <f aca="false">MAX(0,AU110+AU111+AU112+AU113)</f>
        <v>0</v>
      </c>
      <c r="AV114" s="43" t="n">
        <f aca="false">MAX(0,AV110+AV111+AV112+AV113)</f>
        <v>0</v>
      </c>
      <c r="AW114" s="43" t="n">
        <f aca="false">MAX(0,AW110+AW111+AW112+AW113)</f>
        <v>0</v>
      </c>
      <c r="AX114" s="43" t="n">
        <f aca="false">MAX(0,AX110+AX111+AX112+AX113)</f>
        <v>0</v>
      </c>
      <c r="AY114" s="43" t="n">
        <f aca="false">MAX(0,AY110+AY111+AY112+AY113)</f>
        <v>0</v>
      </c>
      <c r="AZ114" s="43" t="n">
        <f aca="false">MAX(0,AZ110+AZ111+AZ112+AZ113)</f>
        <v>0</v>
      </c>
      <c r="BA114" s="43" t="n">
        <f aca="false">MAX(0,BA110+BA111+BA112+BA113)</f>
        <v>0</v>
      </c>
      <c r="BB114" s="43" t="n">
        <f aca="false">MAX(0,BB110+BB111+BB112+BB113)</f>
        <v>0</v>
      </c>
      <c r="BC114" s="43" t="n">
        <f aca="false">MAX(0,BC110+BC111+BC112+BC113)</f>
        <v>0</v>
      </c>
      <c r="BD114" s="43" t="n">
        <f aca="false">MAX(0,BD110+BD111+BD112+BD113)</f>
        <v>0</v>
      </c>
      <c r="BE114" s="43" t="n">
        <f aca="false">MAX(0,BE110+BE111+BE112+BE113)</f>
        <v>0</v>
      </c>
      <c r="BF114" s="43" t="n">
        <f aca="false">MAX(0,BF110+BF111+BF112+BF113)</f>
        <v>0</v>
      </c>
      <c r="BG114" s="43" t="n">
        <f aca="false">MAX(0,BG110+BG111+BG112+BG113)</f>
        <v>0</v>
      </c>
      <c r="BH114" s="43" t="n">
        <f aca="false">MAX(0,BH110+BH111+BH112+BH113)</f>
        <v>0</v>
      </c>
      <c r="BI114" s="43" t="n">
        <f aca="false">MAX(0,BI110+BI111+BI112+BI113)</f>
        <v>0</v>
      </c>
      <c r="BJ114" s="43" t="n">
        <f aca="false">MAX(0,BJ110+BJ111+BJ112+BJ113)</f>
        <v>0</v>
      </c>
      <c r="BK114" s="43" t="n">
        <f aca="false">MAX(0,BK110+BK111+BK112+BK113)</f>
        <v>0</v>
      </c>
      <c r="BL114" s="43" t="n">
        <f aca="false">MAX(0,BL110+BL111+BL112+BL113)</f>
        <v>0</v>
      </c>
      <c r="BM114" s="43" t="n">
        <f aca="false">MAX(0,BM110+BM111+BM112+BM113)</f>
        <v>0</v>
      </c>
      <c r="BN114" s="43" t="n">
        <f aca="false">MAX(0,BN110+BN111+BN112+BN113)</f>
        <v>0</v>
      </c>
      <c r="BO114" s="43" t="n">
        <f aca="false">MAX(0,BO110+BO111+BO112+BO113)</f>
        <v>0</v>
      </c>
      <c r="BP114" s="43" t="n">
        <f aca="false">MAX(0,BP110+BP111+BP112+BP113)</f>
        <v>0</v>
      </c>
      <c r="BQ114" s="43" t="n">
        <f aca="false">MAX(0,BQ110+BQ111+BQ112+BQ113)</f>
        <v>0</v>
      </c>
      <c r="BR114" s="43" t="n">
        <f aca="false">MAX(0,BR110+BR111+BR112+BR113)</f>
        <v>0</v>
      </c>
      <c r="BS114" s="43" t="n">
        <f aca="false">MAX(0,BS110+BS111+BS112+BS113)</f>
        <v>0</v>
      </c>
      <c r="BT114" s="43" t="n">
        <f aca="false">MAX(0,BT110+BT111+BT112+BT113)</f>
        <v>0</v>
      </c>
      <c r="BU114" s="43" t="n">
        <f aca="false">MAX(0,BU110+BU111+BU112+BU113)</f>
        <v>0</v>
      </c>
      <c r="BV114" s="43" t="n">
        <f aca="false">MAX(0,BV110+BV111+BV112+BV113)</f>
        <v>0</v>
      </c>
      <c r="BW114" s="43" t="n">
        <f aca="false">MAX(0,BW110+BW111+BW112+BW113)</f>
        <v>0</v>
      </c>
      <c r="BX114" s="43" t="n">
        <f aca="false">MAX(0,BX110+BX111+BX112+BX113)</f>
        <v>0</v>
      </c>
      <c r="BY114" s="43" t="n">
        <f aca="false">MAX(0,BY110+BY111+BY112+BY113)</f>
        <v>0</v>
      </c>
      <c r="BZ114" s="43" t="n">
        <f aca="false">MAX(0,BZ110+BZ111+BZ112+BZ113)</f>
        <v>0</v>
      </c>
      <c r="CA114" s="43" t="n">
        <f aca="false">MAX(0,CA110+CA111+CA112+CA113)</f>
        <v>0</v>
      </c>
      <c r="CB114" s="43" t="n">
        <f aca="false">MAX(0,CB110+CB111+CB112+CB113)</f>
        <v>0</v>
      </c>
      <c r="CC114" s="43" t="n">
        <f aca="false">MAX(0,CC110+CC111+CC112+CC113)</f>
        <v>0</v>
      </c>
      <c r="CD114" s="43" t="n">
        <f aca="false">MAX(0,CD110+CD111+CD112+CD113)</f>
        <v>0</v>
      </c>
      <c r="CE114" s="43" t="n">
        <f aca="false">MAX(0,CE110+CE111+CE112+CE113)</f>
        <v>0</v>
      </c>
      <c r="CF114" s="43" t="n">
        <f aca="false">MAX(0,CF110+CF111+CF112+CF113)</f>
        <v>0</v>
      </c>
      <c r="CG114" s="43" t="n">
        <f aca="false">MAX(0,CG110+CG111+CG112+CG113)</f>
        <v>0</v>
      </c>
      <c r="CH114" s="43" t="n">
        <f aca="false">MAX(0,CH110+CH111+CH112+CH113)</f>
        <v>0</v>
      </c>
      <c r="CI114" s="25"/>
    </row>
    <row r="115" customFormat="false" ht="15" hidden="false" customHeight="true" outlineLevel="0" collapsed="false">
      <c r="A115" s="9" t="s">
        <v>140</v>
      </c>
      <c r="B115" s="9"/>
      <c r="C115" s="38" t="n">
        <f aca="false">IF(AND(Projects!$G$12="Yes",Projects!$C$12&lt;=1),Assumptions!$B$61,0)</f>
        <v>0</v>
      </c>
      <c r="D115" s="38" t="n">
        <f aca="false">IF(AND(Projects!$G$12="Yes",2=Projects!$C$12),Assumptions!$B$61,C119)</f>
        <v>0</v>
      </c>
      <c r="E115" s="38" t="n">
        <f aca="false">IF(AND(Projects!$G$12="Yes",3=Projects!$C$12),Assumptions!$B$61,D119)</f>
        <v>0</v>
      </c>
      <c r="F115" s="38" t="n">
        <f aca="false">IF(AND(Projects!$G$12="Yes",4=Projects!$C$12),Assumptions!$B$61,E119)</f>
        <v>0</v>
      </c>
      <c r="G115" s="38" t="n">
        <f aca="false">IF(AND(Projects!$G$12="Yes",5=Projects!$C$12),Assumptions!$B$61,F119)</f>
        <v>0</v>
      </c>
      <c r="H115" s="38" t="n">
        <f aca="false">IF(AND(Projects!$G$12="Yes",6=Projects!$C$12),Assumptions!$B$61,G119)</f>
        <v>0</v>
      </c>
      <c r="I115" s="38" t="n">
        <f aca="false">IF(AND(Projects!$G$12="Yes",7=Projects!$C$12),Assumptions!$B$61,H119)</f>
        <v>0</v>
      </c>
      <c r="J115" s="38" t="n">
        <f aca="false">IF(AND(Projects!$G$12="Yes",8=Projects!$C$12),Assumptions!$B$61,I119)</f>
        <v>0</v>
      </c>
      <c r="K115" s="38" t="n">
        <f aca="false">IF(AND(Projects!$G$12="Yes",9=Projects!$C$12),Assumptions!$B$61,J119)</f>
        <v>0</v>
      </c>
      <c r="L115" s="38" t="n">
        <f aca="false">IF(AND(Projects!$G$12="Yes",10=Projects!$C$12),Assumptions!$B$61,K119)</f>
        <v>0</v>
      </c>
      <c r="M115" s="38" t="n">
        <f aca="false">IF(AND(Projects!$G$12="Yes",11=Projects!$C$12),Assumptions!$B$61,L119)</f>
        <v>0</v>
      </c>
      <c r="N115" s="38" t="n">
        <f aca="false">IF(AND(Projects!$G$12="Yes",12=Projects!$C$12),Assumptions!$B$61,M119)</f>
        <v>0</v>
      </c>
      <c r="O115" s="38" t="n">
        <f aca="false">IF(AND(Projects!$G$12="Yes",13=Projects!$C$12),Assumptions!$B$61,N119)</f>
        <v>0</v>
      </c>
      <c r="P115" s="38" t="n">
        <f aca="false">IF(AND(Projects!$G$12="Yes",14=Projects!$C$12),Assumptions!$B$61,O119)</f>
        <v>0</v>
      </c>
      <c r="Q115" s="38" t="n">
        <f aca="false">IF(AND(Projects!$G$12="Yes",15=Projects!$C$12),Assumptions!$B$61,P119)</f>
        <v>0</v>
      </c>
      <c r="R115" s="38" t="n">
        <f aca="false">IF(AND(Projects!$G$12="Yes",16=Projects!$C$12),Assumptions!$B$61,Q119)</f>
        <v>0</v>
      </c>
      <c r="S115" s="38" t="n">
        <f aca="false">IF(AND(Projects!$G$12="Yes",17=Projects!$C$12),Assumptions!$B$61,R119)</f>
        <v>0</v>
      </c>
      <c r="T115" s="38" t="n">
        <f aca="false">IF(AND(Projects!$G$12="Yes",18=Projects!$C$12),Assumptions!$B$61,S119)</f>
        <v>0</v>
      </c>
      <c r="U115" s="38" t="n">
        <f aca="false">IF(AND(Projects!$G$12="Yes",19=Projects!$C$12),Assumptions!$B$61,T119)</f>
        <v>0</v>
      </c>
      <c r="V115" s="38" t="n">
        <f aca="false">IF(AND(Projects!$G$12="Yes",20=Projects!$C$12),Assumptions!$B$61,U119)</f>
        <v>0</v>
      </c>
      <c r="W115" s="38" t="n">
        <f aca="false">IF(AND(Projects!$G$12="Yes",21=Projects!$C$12),Assumptions!$B$61,V119)</f>
        <v>0</v>
      </c>
      <c r="X115" s="38" t="n">
        <f aca="false">IF(AND(Projects!$G$12="Yes",22=Projects!$C$12),Assumptions!$B$61,W119)</f>
        <v>0</v>
      </c>
      <c r="Y115" s="38" t="n">
        <f aca="false">IF(AND(Projects!$G$12="Yes",23=Projects!$C$12),Assumptions!$B$61,X119)</f>
        <v>0</v>
      </c>
      <c r="Z115" s="38" t="n">
        <f aca="false">IF(AND(Projects!$G$12="Yes",24=Projects!$C$12),Assumptions!$B$61,Y119)</f>
        <v>0</v>
      </c>
      <c r="AA115" s="38" t="n">
        <f aca="false">IF(AND(Projects!$G$12="Yes",25=Projects!$C$12),Assumptions!$B$61,Z119)</f>
        <v>0</v>
      </c>
      <c r="AB115" s="38" t="n">
        <f aca="false">IF(AND(Projects!$G$12="Yes",26=Projects!$C$12),Assumptions!$B$61,AA119)</f>
        <v>0</v>
      </c>
      <c r="AC115" s="38" t="n">
        <f aca="false">IF(AND(Projects!$G$12="Yes",27=Projects!$C$12),Assumptions!$B$61,AB119)</f>
        <v>0</v>
      </c>
      <c r="AD115" s="38" t="n">
        <f aca="false">IF(AND(Projects!$G$12="Yes",28=Projects!$C$12),Assumptions!$B$61,AC119)</f>
        <v>0</v>
      </c>
      <c r="AE115" s="38" t="n">
        <f aca="false">IF(AND(Projects!$G$12="Yes",29=Projects!$C$12),Assumptions!$B$61,AD119)</f>
        <v>0</v>
      </c>
      <c r="AF115" s="38" t="n">
        <f aca="false">IF(AND(Projects!$G$12="Yes",30=Projects!$C$12),Assumptions!$B$61,AE119)</f>
        <v>0</v>
      </c>
      <c r="AG115" s="38" t="n">
        <f aca="false">IF(AND(Projects!$G$12="Yes",31=Projects!$C$12),Assumptions!$B$61,AF119)</f>
        <v>0</v>
      </c>
      <c r="AH115" s="38" t="n">
        <f aca="false">IF(AND(Projects!$G$12="Yes",32=Projects!$C$12),Assumptions!$B$61,AG119)</f>
        <v>0</v>
      </c>
      <c r="AI115" s="38" t="n">
        <f aca="false">IF(AND(Projects!$G$12="Yes",33=Projects!$C$12),Assumptions!$B$61,AH119)</f>
        <v>0</v>
      </c>
      <c r="AJ115" s="38" t="n">
        <f aca="false">IF(AND(Projects!$G$12="Yes",34=Projects!$C$12),Assumptions!$B$61,AI119)</f>
        <v>0</v>
      </c>
      <c r="AK115" s="38" t="n">
        <f aca="false">IF(AND(Projects!$G$12="Yes",35=Projects!$C$12),Assumptions!$B$61,AJ119)</f>
        <v>0</v>
      </c>
      <c r="AL115" s="38" t="n">
        <f aca="false">IF(AND(Projects!$G$12="Yes",36=Projects!$C$12),Assumptions!$B$61,AK119)</f>
        <v>0</v>
      </c>
      <c r="AM115" s="38" t="n">
        <f aca="false">IF(AND(Projects!$G$12="Yes",37=Projects!$C$12),Assumptions!$B$61,AL119)</f>
        <v>0</v>
      </c>
      <c r="AN115" s="38" t="n">
        <f aca="false">IF(AND(Projects!$G$12="Yes",38=Projects!$C$12),Assumptions!$B$61,AM119)</f>
        <v>0</v>
      </c>
      <c r="AO115" s="38" t="n">
        <f aca="false">IF(AND(Projects!$G$12="Yes",39=Projects!$C$12),Assumptions!$B$61,AN119)</f>
        <v>0</v>
      </c>
      <c r="AP115" s="38" t="n">
        <f aca="false">IF(AND(Projects!$G$12="Yes",40=Projects!$C$12),Assumptions!$B$61,AO119)</f>
        <v>0</v>
      </c>
      <c r="AQ115" s="38" t="n">
        <f aca="false">IF(AND(Projects!$G$12="Yes",41=Projects!$C$12),Assumptions!$B$61,AP119)</f>
        <v>0</v>
      </c>
      <c r="AR115" s="38" t="n">
        <f aca="false">IF(AND(Projects!$G$12="Yes",42=Projects!$C$12),Assumptions!$B$61,AQ119)</f>
        <v>0</v>
      </c>
      <c r="AS115" s="38" t="n">
        <f aca="false">IF(AND(Projects!$G$12="Yes",43=Projects!$C$12),Assumptions!$B$61,AR119)</f>
        <v>0</v>
      </c>
      <c r="AT115" s="38" t="n">
        <f aca="false">IF(AND(Projects!$G$12="Yes",44=Projects!$C$12),Assumptions!$B$61,AS119)</f>
        <v>0</v>
      </c>
      <c r="AU115" s="38" t="n">
        <f aca="false">IF(AND(Projects!$G$12="Yes",45=Projects!$C$12),Assumptions!$B$61,AT119)</f>
        <v>0</v>
      </c>
      <c r="AV115" s="38" t="n">
        <f aca="false">IF(AND(Projects!$G$12="Yes",46=Projects!$C$12),Assumptions!$B$61,AU119)</f>
        <v>0</v>
      </c>
      <c r="AW115" s="38" t="n">
        <f aca="false">IF(AND(Projects!$G$12="Yes",47=Projects!$C$12),Assumptions!$B$61,AV119)</f>
        <v>0</v>
      </c>
      <c r="AX115" s="38" t="n">
        <f aca="false">IF(AND(Projects!$G$12="Yes",48=Projects!$C$12),Assumptions!$B$61,AW119)</f>
        <v>0</v>
      </c>
      <c r="AY115" s="38" t="n">
        <f aca="false">IF(AND(Projects!$G$12="Yes",49=Projects!$C$12),Assumptions!$B$61,AX119)</f>
        <v>0</v>
      </c>
      <c r="AZ115" s="38" t="n">
        <f aca="false">IF(AND(Projects!$G$12="Yes",50=Projects!$C$12),Assumptions!$B$61,AY119)</f>
        <v>0</v>
      </c>
      <c r="BA115" s="38" t="n">
        <f aca="false">IF(AND(Projects!$G$12="Yes",51=Projects!$C$12),Assumptions!$B$61,AZ119)</f>
        <v>0</v>
      </c>
      <c r="BB115" s="38" t="n">
        <f aca="false">IF(AND(Projects!$G$12="Yes",52=Projects!$C$12),Assumptions!$B$61,BA119)</f>
        <v>0</v>
      </c>
      <c r="BC115" s="38" t="n">
        <f aca="false">IF(AND(Projects!$G$12="Yes",53=Projects!$C$12),Assumptions!$B$61,BB119)</f>
        <v>0</v>
      </c>
      <c r="BD115" s="38" t="n">
        <f aca="false">IF(AND(Projects!$G$12="Yes",54=Projects!$C$12),Assumptions!$B$61,BC119)</f>
        <v>0</v>
      </c>
      <c r="BE115" s="38" t="n">
        <f aca="false">IF(AND(Projects!$G$12="Yes",55=Projects!$C$12),Assumptions!$B$61,BD119)</f>
        <v>0</v>
      </c>
      <c r="BF115" s="38" t="n">
        <f aca="false">IF(AND(Projects!$G$12="Yes",56=Projects!$C$12),Assumptions!$B$61,BE119)</f>
        <v>0</v>
      </c>
      <c r="BG115" s="38" t="n">
        <f aca="false">IF(AND(Projects!$G$12="Yes",57=Projects!$C$12),Assumptions!$B$61,BF119)</f>
        <v>0</v>
      </c>
      <c r="BH115" s="38" t="n">
        <f aca="false">IF(AND(Projects!$G$12="Yes",58=Projects!$C$12),Assumptions!$B$61,BG119)</f>
        <v>0</v>
      </c>
      <c r="BI115" s="38" t="n">
        <f aca="false">IF(AND(Projects!$G$12="Yes",59=Projects!$C$12),Assumptions!$B$61,BH119)</f>
        <v>0</v>
      </c>
      <c r="BJ115" s="38" t="n">
        <f aca="false">IF(AND(Projects!$G$12="Yes",60=Projects!$C$12),Assumptions!$B$61,BI119)</f>
        <v>0</v>
      </c>
      <c r="BK115" s="38" t="n">
        <f aca="false">IF(AND(Projects!$G$12="Yes",61=Projects!$C$12),Assumptions!$B$61,BJ119)</f>
        <v>0</v>
      </c>
      <c r="BL115" s="38" t="n">
        <f aca="false">IF(AND(Projects!$G$12="Yes",62=Projects!$C$12),Assumptions!$B$61,BK119)</f>
        <v>0</v>
      </c>
      <c r="BM115" s="38" t="n">
        <f aca="false">IF(AND(Projects!$G$12="Yes",63=Projects!$C$12),Assumptions!$B$61,BL119)</f>
        <v>0</v>
      </c>
      <c r="BN115" s="38" t="n">
        <f aca="false">IF(AND(Projects!$G$12="Yes",64=Projects!$C$12),Assumptions!$B$61,BM119)</f>
        <v>0</v>
      </c>
      <c r="BO115" s="38" t="n">
        <f aca="false">IF(AND(Projects!$G$12="Yes",65=Projects!$C$12),Assumptions!$B$61,BN119)</f>
        <v>0</v>
      </c>
      <c r="BP115" s="38" t="n">
        <f aca="false">IF(AND(Projects!$G$12="Yes",66=Projects!$C$12),Assumptions!$B$61,BO119)</f>
        <v>0</v>
      </c>
      <c r="BQ115" s="38" t="n">
        <f aca="false">IF(AND(Projects!$G$12="Yes",67=Projects!$C$12),Assumptions!$B$61,BP119)</f>
        <v>0</v>
      </c>
      <c r="BR115" s="38" t="n">
        <f aca="false">IF(AND(Projects!$G$12="Yes",68=Projects!$C$12),Assumptions!$B$61,BQ119)</f>
        <v>0</v>
      </c>
      <c r="BS115" s="38" t="n">
        <f aca="false">IF(AND(Projects!$G$12="Yes",69=Projects!$C$12),Assumptions!$B$61,BR119)</f>
        <v>0</v>
      </c>
      <c r="BT115" s="38" t="n">
        <f aca="false">IF(AND(Projects!$G$12="Yes",70=Projects!$C$12),Assumptions!$B$61,BS119)</f>
        <v>0</v>
      </c>
      <c r="BU115" s="38" t="n">
        <f aca="false">IF(AND(Projects!$G$12="Yes",71=Projects!$C$12),Assumptions!$B$61,BT119)</f>
        <v>0</v>
      </c>
      <c r="BV115" s="38" t="n">
        <f aca="false">IF(AND(Projects!$G$12="Yes",72=Projects!$C$12),Assumptions!$B$61,BU119)</f>
        <v>0</v>
      </c>
      <c r="BW115" s="38" t="n">
        <f aca="false">IF(AND(Projects!$G$12="Yes",73=Projects!$C$12),Assumptions!$B$61,BV119)</f>
        <v>0</v>
      </c>
      <c r="BX115" s="38" t="n">
        <f aca="false">IF(AND(Projects!$G$12="Yes",74=Projects!$C$12),Assumptions!$B$61,BW119)</f>
        <v>0</v>
      </c>
      <c r="BY115" s="38" t="n">
        <f aca="false">IF(AND(Projects!$G$12="Yes",75=Projects!$C$12),Assumptions!$B$61,BX119)</f>
        <v>0</v>
      </c>
      <c r="BZ115" s="38" t="n">
        <f aca="false">IF(AND(Projects!$G$12="Yes",76=Projects!$C$12),Assumptions!$B$61,BY119)</f>
        <v>0</v>
      </c>
      <c r="CA115" s="38" t="n">
        <f aca="false">IF(AND(Projects!$G$12="Yes",77=Projects!$C$12),Assumptions!$B$61,BZ119)</f>
        <v>0</v>
      </c>
      <c r="CB115" s="38" t="n">
        <f aca="false">IF(AND(Projects!$G$12="Yes",78=Projects!$C$12),Assumptions!$B$61,CA119)</f>
        <v>0</v>
      </c>
      <c r="CC115" s="38" t="n">
        <f aca="false">IF(AND(Projects!$G$12="Yes",79=Projects!$C$12),Assumptions!$B$61,CB119)</f>
        <v>0</v>
      </c>
      <c r="CD115" s="38" t="n">
        <f aca="false">IF(AND(Projects!$G$12="Yes",80=Projects!$C$12),Assumptions!$B$61,CC119)</f>
        <v>0</v>
      </c>
      <c r="CE115" s="38" t="n">
        <f aca="false">IF(AND(Projects!$G$12="Yes",81=Projects!$C$12),Assumptions!$B$61,CD119)</f>
        <v>0</v>
      </c>
      <c r="CF115" s="38" t="n">
        <f aca="false">IF(AND(Projects!$G$12="Yes",82=Projects!$C$12),Assumptions!$B$61,CE119)</f>
        <v>0</v>
      </c>
      <c r="CG115" s="38" t="n">
        <f aca="false">IF(AND(Projects!$G$12="Yes",83=Projects!$C$12),Assumptions!$B$61,CF119)</f>
        <v>0</v>
      </c>
      <c r="CH115" s="38" t="n">
        <f aca="false">IF(AND(Projects!$G$12="Yes",84=Projects!$C$12),Assumptions!$B$61,CG119)</f>
        <v>0</v>
      </c>
      <c r="CI115" s="25"/>
    </row>
    <row r="116" customFormat="false" ht="15" hidden="false" customHeight="true" outlineLevel="0" collapsed="false">
      <c r="A116" s="9" t="s">
        <v>141</v>
      </c>
      <c r="B116" s="9"/>
      <c r="C116" s="38" t="n">
        <f aca="false">IF(AND(MOD(1,3)=0,C115&gt;0),C115*Assumptions!$B$59,0)</f>
        <v>0</v>
      </c>
      <c r="D116" s="38" t="n">
        <f aca="false">IF(AND(MOD(2,3)=0,D115&gt;0),D115*Assumptions!$B$59,0)</f>
        <v>0</v>
      </c>
      <c r="E116" s="38" t="n">
        <f aca="false">IF(AND(MOD(3,3)=0,E115&gt;0),E115*Assumptions!$B$59,0)</f>
        <v>0</v>
      </c>
      <c r="F116" s="38" t="n">
        <f aca="false">IF(AND(MOD(4,3)=0,F115&gt;0),F115*Assumptions!$B$59,0)</f>
        <v>0</v>
      </c>
      <c r="G116" s="38" t="n">
        <f aca="false">IF(AND(MOD(5,3)=0,G115&gt;0),G115*Assumptions!$B$59,0)</f>
        <v>0</v>
      </c>
      <c r="H116" s="38" t="n">
        <f aca="false">IF(AND(MOD(6,3)=0,H115&gt;0),H115*Assumptions!$B$59,0)</f>
        <v>0</v>
      </c>
      <c r="I116" s="38" t="n">
        <f aca="false">IF(AND(MOD(7,3)=0,I115&gt;0),I115*Assumptions!$B$59,0)</f>
        <v>0</v>
      </c>
      <c r="J116" s="38" t="n">
        <f aca="false">IF(AND(MOD(8,3)=0,J115&gt;0),J115*Assumptions!$B$59,0)</f>
        <v>0</v>
      </c>
      <c r="K116" s="38" t="n">
        <f aca="false">IF(AND(MOD(9,3)=0,K115&gt;0),K115*Assumptions!$B$59,0)</f>
        <v>0</v>
      </c>
      <c r="L116" s="38" t="n">
        <f aca="false">IF(AND(MOD(10,3)=0,L115&gt;0),L115*Assumptions!$B$59,0)</f>
        <v>0</v>
      </c>
      <c r="M116" s="38" t="n">
        <f aca="false">IF(AND(MOD(11,3)=0,M115&gt;0),M115*Assumptions!$B$59,0)</f>
        <v>0</v>
      </c>
      <c r="N116" s="38" t="n">
        <f aca="false">IF(AND(MOD(12,3)=0,N115&gt;0),N115*Assumptions!$B$59,0)</f>
        <v>0</v>
      </c>
      <c r="O116" s="38" t="n">
        <f aca="false">IF(AND(MOD(13,3)=0,O115&gt;0),O115*Assumptions!$B$59,0)</f>
        <v>0</v>
      </c>
      <c r="P116" s="38" t="n">
        <f aca="false">IF(AND(MOD(14,3)=0,P115&gt;0),P115*Assumptions!$B$59,0)</f>
        <v>0</v>
      </c>
      <c r="Q116" s="38" t="n">
        <f aca="false">IF(AND(MOD(15,3)=0,Q115&gt;0),Q115*Assumptions!$B$59,0)</f>
        <v>0</v>
      </c>
      <c r="R116" s="38" t="n">
        <f aca="false">IF(AND(MOD(16,3)=0,R115&gt;0),R115*Assumptions!$B$59,0)</f>
        <v>0</v>
      </c>
      <c r="S116" s="38" t="n">
        <f aca="false">IF(AND(MOD(17,3)=0,S115&gt;0),S115*Assumptions!$B$59,0)</f>
        <v>0</v>
      </c>
      <c r="T116" s="38" t="n">
        <f aca="false">IF(AND(MOD(18,3)=0,T115&gt;0),T115*Assumptions!$B$59,0)</f>
        <v>0</v>
      </c>
      <c r="U116" s="38" t="n">
        <f aca="false">IF(AND(MOD(19,3)=0,U115&gt;0),U115*Assumptions!$B$59,0)</f>
        <v>0</v>
      </c>
      <c r="V116" s="38" t="n">
        <f aca="false">IF(AND(MOD(20,3)=0,V115&gt;0),V115*Assumptions!$B$59,0)</f>
        <v>0</v>
      </c>
      <c r="W116" s="38" t="n">
        <f aca="false">IF(AND(MOD(21,3)=0,W115&gt;0),W115*Assumptions!$B$59,0)</f>
        <v>0</v>
      </c>
      <c r="X116" s="38" t="n">
        <f aca="false">IF(AND(MOD(22,3)=0,X115&gt;0),X115*Assumptions!$B$59,0)</f>
        <v>0</v>
      </c>
      <c r="Y116" s="38" t="n">
        <f aca="false">IF(AND(MOD(23,3)=0,Y115&gt;0),Y115*Assumptions!$B$59,0)</f>
        <v>0</v>
      </c>
      <c r="Z116" s="38" t="n">
        <f aca="false">IF(AND(MOD(24,3)=0,Z115&gt;0),Z115*Assumptions!$B$59,0)</f>
        <v>0</v>
      </c>
      <c r="AA116" s="38" t="n">
        <f aca="false">IF(AND(MOD(25,3)=0,AA115&gt;0),AA115*Assumptions!$B$59,0)</f>
        <v>0</v>
      </c>
      <c r="AB116" s="38" t="n">
        <f aca="false">IF(AND(MOD(26,3)=0,AB115&gt;0),AB115*Assumptions!$B$59,0)</f>
        <v>0</v>
      </c>
      <c r="AC116" s="38" t="n">
        <f aca="false">IF(AND(MOD(27,3)=0,AC115&gt;0),AC115*Assumptions!$B$59,0)</f>
        <v>0</v>
      </c>
      <c r="AD116" s="38" t="n">
        <f aca="false">IF(AND(MOD(28,3)=0,AD115&gt;0),AD115*Assumptions!$B$59,0)</f>
        <v>0</v>
      </c>
      <c r="AE116" s="38" t="n">
        <f aca="false">IF(AND(MOD(29,3)=0,AE115&gt;0),AE115*Assumptions!$B$59,0)</f>
        <v>0</v>
      </c>
      <c r="AF116" s="38" t="n">
        <f aca="false">IF(AND(MOD(30,3)=0,AF115&gt;0),AF115*Assumptions!$B$59,0)</f>
        <v>0</v>
      </c>
      <c r="AG116" s="38" t="n">
        <f aca="false">IF(AND(MOD(31,3)=0,AG115&gt;0),AG115*Assumptions!$B$59,0)</f>
        <v>0</v>
      </c>
      <c r="AH116" s="38" t="n">
        <f aca="false">IF(AND(MOD(32,3)=0,AH115&gt;0),AH115*Assumptions!$B$59,0)</f>
        <v>0</v>
      </c>
      <c r="AI116" s="38" t="n">
        <f aca="false">IF(AND(MOD(33,3)=0,AI115&gt;0),AI115*Assumptions!$B$59,0)</f>
        <v>0</v>
      </c>
      <c r="AJ116" s="38" t="n">
        <f aca="false">IF(AND(MOD(34,3)=0,AJ115&gt;0),AJ115*Assumptions!$B$59,0)</f>
        <v>0</v>
      </c>
      <c r="AK116" s="38" t="n">
        <f aca="false">IF(AND(MOD(35,3)=0,AK115&gt;0),AK115*Assumptions!$B$59,0)</f>
        <v>0</v>
      </c>
      <c r="AL116" s="38" t="n">
        <f aca="false">IF(AND(MOD(36,3)=0,AL115&gt;0),AL115*Assumptions!$B$59,0)</f>
        <v>0</v>
      </c>
      <c r="AM116" s="38" t="n">
        <f aca="false">IF(AND(MOD(37,3)=0,AM115&gt;0),AM115*Assumptions!$B$59,0)</f>
        <v>0</v>
      </c>
      <c r="AN116" s="38" t="n">
        <f aca="false">IF(AND(MOD(38,3)=0,AN115&gt;0),AN115*Assumptions!$B$59,0)</f>
        <v>0</v>
      </c>
      <c r="AO116" s="38" t="n">
        <f aca="false">IF(AND(MOD(39,3)=0,AO115&gt;0),AO115*Assumptions!$B$59,0)</f>
        <v>0</v>
      </c>
      <c r="AP116" s="38" t="n">
        <f aca="false">IF(AND(MOD(40,3)=0,AP115&gt;0),AP115*Assumptions!$B$59,0)</f>
        <v>0</v>
      </c>
      <c r="AQ116" s="38" t="n">
        <f aca="false">IF(AND(MOD(41,3)=0,AQ115&gt;0),AQ115*Assumptions!$B$59,0)</f>
        <v>0</v>
      </c>
      <c r="AR116" s="38" t="n">
        <f aca="false">IF(AND(MOD(42,3)=0,AR115&gt;0),AR115*Assumptions!$B$59,0)</f>
        <v>0</v>
      </c>
      <c r="AS116" s="38" t="n">
        <f aca="false">IF(AND(MOD(43,3)=0,AS115&gt;0),AS115*Assumptions!$B$59,0)</f>
        <v>0</v>
      </c>
      <c r="AT116" s="38" t="n">
        <f aca="false">IF(AND(MOD(44,3)=0,AT115&gt;0),AT115*Assumptions!$B$59,0)</f>
        <v>0</v>
      </c>
      <c r="AU116" s="38" t="n">
        <f aca="false">IF(AND(MOD(45,3)=0,AU115&gt;0),AU115*Assumptions!$B$59,0)</f>
        <v>0</v>
      </c>
      <c r="AV116" s="38" t="n">
        <f aca="false">IF(AND(MOD(46,3)=0,AV115&gt;0),AV115*Assumptions!$B$59,0)</f>
        <v>0</v>
      </c>
      <c r="AW116" s="38" t="n">
        <f aca="false">IF(AND(MOD(47,3)=0,AW115&gt;0),AW115*Assumptions!$B$59,0)</f>
        <v>0</v>
      </c>
      <c r="AX116" s="38" t="n">
        <f aca="false">IF(AND(MOD(48,3)=0,AX115&gt;0),AX115*Assumptions!$B$59,0)</f>
        <v>0</v>
      </c>
      <c r="AY116" s="38" t="n">
        <f aca="false">IF(AND(MOD(49,3)=0,AY115&gt;0),AY115*Assumptions!$B$59,0)</f>
        <v>0</v>
      </c>
      <c r="AZ116" s="38" t="n">
        <f aca="false">IF(AND(MOD(50,3)=0,AZ115&gt;0),AZ115*Assumptions!$B$59,0)</f>
        <v>0</v>
      </c>
      <c r="BA116" s="38" t="n">
        <f aca="false">IF(AND(MOD(51,3)=0,BA115&gt;0),BA115*Assumptions!$B$59,0)</f>
        <v>0</v>
      </c>
      <c r="BB116" s="38" t="n">
        <f aca="false">IF(AND(MOD(52,3)=0,BB115&gt;0),BB115*Assumptions!$B$59,0)</f>
        <v>0</v>
      </c>
      <c r="BC116" s="38" t="n">
        <f aca="false">IF(AND(MOD(53,3)=0,BC115&gt;0),BC115*Assumptions!$B$59,0)</f>
        <v>0</v>
      </c>
      <c r="BD116" s="38" t="n">
        <f aca="false">IF(AND(MOD(54,3)=0,BD115&gt;0),BD115*Assumptions!$B$59,0)</f>
        <v>0</v>
      </c>
      <c r="BE116" s="38" t="n">
        <f aca="false">IF(AND(MOD(55,3)=0,BE115&gt;0),BE115*Assumptions!$B$59,0)</f>
        <v>0</v>
      </c>
      <c r="BF116" s="38" t="n">
        <f aca="false">IF(AND(MOD(56,3)=0,BF115&gt;0),BF115*Assumptions!$B$59,0)</f>
        <v>0</v>
      </c>
      <c r="BG116" s="38" t="n">
        <f aca="false">IF(AND(MOD(57,3)=0,BG115&gt;0),BG115*Assumptions!$B$59,0)</f>
        <v>0</v>
      </c>
      <c r="BH116" s="38" t="n">
        <f aca="false">IF(AND(MOD(58,3)=0,BH115&gt;0),BH115*Assumptions!$B$59,0)</f>
        <v>0</v>
      </c>
      <c r="BI116" s="38" t="n">
        <f aca="false">IF(AND(MOD(59,3)=0,BI115&gt;0),BI115*Assumptions!$B$59,0)</f>
        <v>0</v>
      </c>
      <c r="BJ116" s="38" t="n">
        <f aca="false">IF(AND(MOD(60,3)=0,BJ115&gt;0),BJ115*Assumptions!$B$59,0)</f>
        <v>0</v>
      </c>
      <c r="BK116" s="38" t="n">
        <f aca="false">IF(AND(MOD(61,3)=0,BK115&gt;0),BK115*Assumptions!$B$59,0)</f>
        <v>0</v>
      </c>
      <c r="BL116" s="38" t="n">
        <f aca="false">IF(AND(MOD(62,3)=0,BL115&gt;0),BL115*Assumptions!$B$59,0)</f>
        <v>0</v>
      </c>
      <c r="BM116" s="38" t="n">
        <f aca="false">IF(AND(MOD(63,3)=0,BM115&gt;0),BM115*Assumptions!$B$59,0)</f>
        <v>0</v>
      </c>
      <c r="BN116" s="38" t="n">
        <f aca="false">IF(AND(MOD(64,3)=0,BN115&gt;0),BN115*Assumptions!$B$59,0)</f>
        <v>0</v>
      </c>
      <c r="BO116" s="38" t="n">
        <f aca="false">IF(AND(MOD(65,3)=0,BO115&gt;0),BO115*Assumptions!$B$59,0)</f>
        <v>0</v>
      </c>
      <c r="BP116" s="38" t="n">
        <f aca="false">IF(AND(MOD(66,3)=0,BP115&gt;0),BP115*Assumptions!$B$59,0)</f>
        <v>0</v>
      </c>
      <c r="BQ116" s="38" t="n">
        <f aca="false">IF(AND(MOD(67,3)=0,BQ115&gt;0),BQ115*Assumptions!$B$59,0)</f>
        <v>0</v>
      </c>
      <c r="BR116" s="38" t="n">
        <f aca="false">IF(AND(MOD(68,3)=0,BR115&gt;0),BR115*Assumptions!$B$59,0)</f>
        <v>0</v>
      </c>
      <c r="BS116" s="38" t="n">
        <f aca="false">IF(AND(MOD(69,3)=0,BS115&gt;0),BS115*Assumptions!$B$59,0)</f>
        <v>0</v>
      </c>
      <c r="BT116" s="38" t="n">
        <f aca="false">IF(AND(MOD(70,3)=0,BT115&gt;0),BT115*Assumptions!$B$59,0)</f>
        <v>0</v>
      </c>
      <c r="BU116" s="38" t="n">
        <f aca="false">IF(AND(MOD(71,3)=0,BU115&gt;0),BU115*Assumptions!$B$59,0)</f>
        <v>0</v>
      </c>
      <c r="BV116" s="38" t="n">
        <f aca="false">IF(AND(MOD(72,3)=0,BV115&gt;0),BV115*Assumptions!$B$59,0)</f>
        <v>0</v>
      </c>
      <c r="BW116" s="38" t="n">
        <f aca="false">IF(AND(MOD(73,3)=0,BW115&gt;0),BW115*Assumptions!$B$59,0)</f>
        <v>0</v>
      </c>
      <c r="BX116" s="38" t="n">
        <f aca="false">IF(AND(MOD(74,3)=0,BX115&gt;0),BX115*Assumptions!$B$59,0)</f>
        <v>0</v>
      </c>
      <c r="BY116" s="38" t="n">
        <f aca="false">IF(AND(MOD(75,3)=0,BY115&gt;0),BY115*Assumptions!$B$59,0)</f>
        <v>0</v>
      </c>
      <c r="BZ116" s="38" t="n">
        <f aca="false">IF(AND(MOD(76,3)=0,BZ115&gt;0),BZ115*Assumptions!$B$59,0)</f>
        <v>0</v>
      </c>
      <c r="CA116" s="38" t="n">
        <f aca="false">IF(AND(MOD(77,3)=0,CA115&gt;0),CA115*Assumptions!$B$59,0)</f>
        <v>0</v>
      </c>
      <c r="CB116" s="38" t="n">
        <f aca="false">IF(AND(MOD(78,3)=0,CB115&gt;0),CB115*Assumptions!$B$59,0)</f>
        <v>0</v>
      </c>
      <c r="CC116" s="38" t="n">
        <f aca="false">IF(AND(MOD(79,3)=0,CC115&gt;0),CC115*Assumptions!$B$59,0)</f>
        <v>0</v>
      </c>
      <c r="CD116" s="38" t="n">
        <f aca="false">IF(AND(MOD(80,3)=0,CD115&gt;0),CD115*Assumptions!$B$59,0)</f>
        <v>0</v>
      </c>
      <c r="CE116" s="38" t="n">
        <f aca="false">IF(AND(MOD(81,3)=0,CE115&gt;0),CE115*Assumptions!$B$59,0)</f>
        <v>0</v>
      </c>
      <c r="CF116" s="38" t="n">
        <f aca="false">IF(AND(MOD(82,3)=0,CF115&gt;0),CF115*Assumptions!$B$59,0)</f>
        <v>0</v>
      </c>
      <c r="CG116" s="38" t="n">
        <f aca="false">IF(AND(MOD(83,3)=0,CG115&gt;0),CG115*Assumptions!$B$59,0)</f>
        <v>0</v>
      </c>
      <c r="CH116" s="38" t="n">
        <f aca="false">IF(AND(MOD(84,3)=0,CH115&gt;0),CH115*Assumptions!$B$59,0)</f>
        <v>0</v>
      </c>
      <c r="CI116" s="25"/>
    </row>
    <row r="117" customFormat="false" ht="15" hidden="false" customHeight="true" outlineLevel="0" collapsed="false">
      <c r="A117" s="9" t="s">
        <v>142</v>
      </c>
      <c r="B117" s="9"/>
      <c r="C117" s="38" t="n">
        <v>0</v>
      </c>
      <c r="D117" s="38" t="n">
        <v>0</v>
      </c>
      <c r="E117" s="38" t="n">
        <v>0</v>
      </c>
      <c r="F117" s="38" t="n">
        <v>0</v>
      </c>
      <c r="G117" s="38" t="n">
        <v>0</v>
      </c>
      <c r="H117" s="38" t="n">
        <v>0</v>
      </c>
      <c r="I117" s="38" t="n">
        <v>0</v>
      </c>
      <c r="J117" s="38" t="n">
        <v>0</v>
      </c>
      <c r="K117" s="38" t="n">
        <v>0</v>
      </c>
      <c r="L117" s="38" t="n">
        <v>0</v>
      </c>
      <c r="M117" s="38" t="n">
        <v>0</v>
      </c>
      <c r="N117" s="38" t="n">
        <v>0</v>
      </c>
      <c r="O117" s="38" t="n">
        <v>0</v>
      </c>
      <c r="P117" s="38" t="n">
        <v>0</v>
      </c>
      <c r="Q117" s="38" t="n">
        <v>0</v>
      </c>
      <c r="R117" s="38" t="n">
        <v>0</v>
      </c>
      <c r="S117" s="38" t="n">
        <v>0</v>
      </c>
      <c r="T117" s="38" t="n">
        <v>0</v>
      </c>
      <c r="U117" s="38" t="n">
        <v>0</v>
      </c>
      <c r="V117" s="38" t="n">
        <v>0</v>
      </c>
      <c r="W117" s="38" t="n">
        <v>0</v>
      </c>
      <c r="X117" s="38" t="n">
        <v>0</v>
      </c>
      <c r="Y117" s="38" t="n">
        <v>0</v>
      </c>
      <c r="Z117" s="38" t="n">
        <v>0</v>
      </c>
      <c r="AA117" s="38" t="n">
        <v>0</v>
      </c>
      <c r="AB117" s="38" t="n">
        <v>0</v>
      </c>
      <c r="AC117" s="38" t="n">
        <v>0</v>
      </c>
      <c r="AD117" s="38" t="n">
        <v>0</v>
      </c>
      <c r="AE117" s="38" t="n">
        <v>0</v>
      </c>
      <c r="AF117" s="38" t="n">
        <v>0</v>
      </c>
      <c r="AG117" s="38" t="n">
        <v>0</v>
      </c>
      <c r="AH117" s="38" t="n">
        <v>0</v>
      </c>
      <c r="AI117" s="38" t="n">
        <v>0</v>
      </c>
      <c r="AJ117" s="38" t="n">
        <v>0</v>
      </c>
      <c r="AK117" s="38" t="n">
        <v>0</v>
      </c>
      <c r="AL117" s="38" t="n">
        <v>0</v>
      </c>
      <c r="AM117" s="38" t="n">
        <v>0</v>
      </c>
      <c r="AN117" s="38" t="n">
        <v>0</v>
      </c>
      <c r="AO117" s="38" t="n">
        <v>0</v>
      </c>
      <c r="AP117" s="38" t="n">
        <v>0</v>
      </c>
      <c r="AQ117" s="38" t="n">
        <v>0</v>
      </c>
      <c r="AR117" s="38" t="n">
        <v>0</v>
      </c>
      <c r="AS117" s="38" t="n">
        <v>0</v>
      </c>
      <c r="AT117" s="38" t="n">
        <v>0</v>
      </c>
      <c r="AU117" s="38" t="n">
        <v>0</v>
      </c>
      <c r="AV117" s="38" t="n">
        <v>0</v>
      </c>
      <c r="AW117" s="38" t="n">
        <v>0</v>
      </c>
      <c r="AX117" s="38" t="n">
        <v>0</v>
      </c>
      <c r="AY117" s="38" t="n">
        <v>0</v>
      </c>
      <c r="AZ117" s="38" t="n">
        <v>0</v>
      </c>
      <c r="BA117" s="38" t="n">
        <v>0</v>
      </c>
      <c r="BB117" s="38" t="n">
        <v>0</v>
      </c>
      <c r="BC117" s="38" t="n">
        <v>0</v>
      </c>
      <c r="BD117" s="38" t="n">
        <v>0</v>
      </c>
      <c r="BE117" s="38" t="n">
        <v>0</v>
      </c>
      <c r="BF117" s="38" t="n">
        <v>0</v>
      </c>
      <c r="BG117" s="38" t="n">
        <v>0</v>
      </c>
      <c r="BH117" s="38" t="n">
        <v>0</v>
      </c>
      <c r="BI117" s="38" t="n">
        <v>0</v>
      </c>
      <c r="BJ117" s="38" t="n">
        <v>0</v>
      </c>
      <c r="BK117" s="38" t="n">
        <v>0</v>
      </c>
      <c r="BL117" s="38" t="n">
        <v>0</v>
      </c>
      <c r="BM117" s="38" t="n">
        <v>0</v>
      </c>
      <c r="BN117" s="38" t="n">
        <v>0</v>
      </c>
      <c r="BO117" s="38" t="n">
        <v>0</v>
      </c>
      <c r="BP117" s="38" t="n">
        <v>0</v>
      </c>
      <c r="BQ117" s="38" t="n">
        <v>0</v>
      </c>
      <c r="BR117" s="38" t="n">
        <v>0</v>
      </c>
      <c r="BS117" s="38" t="n">
        <v>0</v>
      </c>
      <c r="BT117" s="38" t="n">
        <v>0</v>
      </c>
      <c r="BU117" s="38" t="n">
        <v>0</v>
      </c>
      <c r="BV117" s="38" t="n">
        <v>0</v>
      </c>
      <c r="BW117" s="38" t="n">
        <v>0</v>
      </c>
      <c r="BX117" s="38" t="n">
        <v>0</v>
      </c>
      <c r="BY117" s="38" t="n">
        <v>0</v>
      </c>
      <c r="BZ117" s="38" t="n">
        <v>0</v>
      </c>
      <c r="CA117" s="38" t="n">
        <v>0</v>
      </c>
      <c r="CB117" s="38" t="n">
        <v>0</v>
      </c>
      <c r="CC117" s="38" t="n">
        <v>0</v>
      </c>
      <c r="CD117" s="38" t="n">
        <v>0</v>
      </c>
      <c r="CE117" s="38" t="n">
        <v>0</v>
      </c>
      <c r="CF117" s="38" t="n">
        <v>0</v>
      </c>
      <c r="CG117" s="38" t="n">
        <v>0</v>
      </c>
      <c r="CH117" s="38" t="n">
        <v>0</v>
      </c>
      <c r="CI117" s="25"/>
    </row>
    <row r="118" customFormat="false" ht="15" hidden="false" customHeight="true" outlineLevel="0" collapsed="false">
      <c r="A118" s="39" t="s">
        <v>143</v>
      </c>
      <c r="B118" s="39"/>
      <c r="C118" s="40" t="n">
        <v>0</v>
      </c>
      <c r="D118" s="40" t="n">
        <v>0</v>
      </c>
      <c r="E118" s="40" t="n">
        <v>0</v>
      </c>
      <c r="F118" s="40" t="n">
        <v>0</v>
      </c>
      <c r="G118" s="40" t="n">
        <v>0</v>
      </c>
      <c r="H118" s="40" t="n">
        <v>0</v>
      </c>
      <c r="I118" s="40" t="n">
        <v>0</v>
      </c>
      <c r="J118" s="40" t="n">
        <v>0</v>
      </c>
      <c r="K118" s="40" t="n">
        <v>0</v>
      </c>
      <c r="L118" s="40" t="n">
        <v>0</v>
      </c>
      <c r="M118" s="40" t="n">
        <v>0</v>
      </c>
      <c r="N118" s="40" t="n">
        <v>0</v>
      </c>
      <c r="O118" s="40" t="n">
        <v>0</v>
      </c>
      <c r="P118" s="40" t="n">
        <v>0</v>
      </c>
      <c r="Q118" s="40" t="n">
        <v>0</v>
      </c>
      <c r="R118" s="40" t="n">
        <v>0</v>
      </c>
      <c r="S118" s="40" t="n">
        <v>0</v>
      </c>
      <c r="T118" s="40" t="n">
        <v>0</v>
      </c>
      <c r="U118" s="40" t="n">
        <v>0</v>
      </c>
      <c r="V118" s="40" t="n">
        <v>0</v>
      </c>
      <c r="W118" s="40" t="n">
        <v>0</v>
      </c>
      <c r="X118" s="40" t="n">
        <v>0</v>
      </c>
      <c r="Y118" s="40" t="n">
        <v>0</v>
      </c>
      <c r="Z118" s="40" t="n">
        <v>0</v>
      </c>
      <c r="AA118" s="40" t="n">
        <v>0</v>
      </c>
      <c r="AB118" s="40" t="n">
        <v>0</v>
      </c>
      <c r="AC118" s="40" t="n">
        <v>0</v>
      </c>
      <c r="AD118" s="40" t="n">
        <v>0</v>
      </c>
      <c r="AE118" s="40" t="n">
        <v>0</v>
      </c>
      <c r="AF118" s="40" t="n">
        <v>0</v>
      </c>
      <c r="AG118" s="40" t="n">
        <v>0</v>
      </c>
      <c r="AH118" s="40" t="n">
        <v>0</v>
      </c>
      <c r="AI118" s="40" t="n">
        <v>0</v>
      </c>
      <c r="AJ118" s="40" t="n">
        <v>0</v>
      </c>
      <c r="AK118" s="40" t="n">
        <v>0</v>
      </c>
      <c r="AL118" s="40" t="n">
        <v>0</v>
      </c>
      <c r="AM118" s="40" t="n">
        <v>0</v>
      </c>
      <c r="AN118" s="40" t="n">
        <v>0</v>
      </c>
      <c r="AO118" s="40" t="n">
        <v>0</v>
      </c>
      <c r="AP118" s="40" t="n">
        <v>0</v>
      </c>
      <c r="AQ118" s="40" t="n">
        <v>0</v>
      </c>
      <c r="AR118" s="40" t="n">
        <v>0</v>
      </c>
      <c r="AS118" s="40" t="n">
        <v>0</v>
      </c>
      <c r="AT118" s="40" t="n">
        <v>0</v>
      </c>
      <c r="AU118" s="40" t="n">
        <v>0</v>
      </c>
      <c r="AV118" s="40" t="n">
        <v>0</v>
      </c>
      <c r="AW118" s="40" t="n">
        <v>0</v>
      </c>
      <c r="AX118" s="40" t="n">
        <v>0</v>
      </c>
      <c r="AY118" s="40" t="n">
        <v>0</v>
      </c>
      <c r="AZ118" s="40" t="n">
        <v>0</v>
      </c>
      <c r="BA118" s="40" t="n">
        <v>0</v>
      </c>
      <c r="BB118" s="40" t="n">
        <v>0</v>
      </c>
      <c r="BC118" s="40" t="n">
        <v>0</v>
      </c>
      <c r="BD118" s="40" t="n">
        <v>0</v>
      </c>
      <c r="BE118" s="40" t="n">
        <v>0</v>
      </c>
      <c r="BF118" s="40" t="n">
        <v>0</v>
      </c>
      <c r="BG118" s="40" t="n">
        <v>0</v>
      </c>
      <c r="BH118" s="40" t="n">
        <v>0</v>
      </c>
      <c r="BI118" s="40" t="n">
        <v>0</v>
      </c>
      <c r="BJ118" s="40" t="n">
        <v>0</v>
      </c>
      <c r="BK118" s="40" t="n">
        <v>0</v>
      </c>
      <c r="BL118" s="40" t="n">
        <v>0</v>
      </c>
      <c r="BM118" s="40" t="n">
        <v>0</v>
      </c>
      <c r="BN118" s="40" t="n">
        <v>0</v>
      </c>
      <c r="BO118" s="40" t="n">
        <v>0</v>
      </c>
      <c r="BP118" s="40" t="n">
        <v>0</v>
      </c>
      <c r="BQ118" s="40" t="n">
        <v>0</v>
      </c>
      <c r="BR118" s="40" t="n">
        <v>0</v>
      </c>
      <c r="BS118" s="40" t="n">
        <v>0</v>
      </c>
      <c r="BT118" s="40" t="n">
        <v>0</v>
      </c>
      <c r="BU118" s="40" t="n">
        <v>0</v>
      </c>
      <c r="BV118" s="40" t="n">
        <v>0</v>
      </c>
      <c r="BW118" s="40" t="n">
        <v>0</v>
      </c>
      <c r="BX118" s="40" t="n">
        <v>0</v>
      </c>
      <c r="BY118" s="40" t="n">
        <v>0</v>
      </c>
      <c r="BZ118" s="40" t="n">
        <v>0</v>
      </c>
      <c r="CA118" s="40" t="n">
        <v>0</v>
      </c>
      <c r="CB118" s="40" t="n">
        <v>0</v>
      </c>
      <c r="CC118" s="40" t="n">
        <v>0</v>
      </c>
      <c r="CD118" s="40" t="n">
        <v>0</v>
      </c>
      <c r="CE118" s="40" t="n">
        <v>0</v>
      </c>
      <c r="CF118" s="40" t="n">
        <v>0</v>
      </c>
      <c r="CG118" s="40" t="n">
        <v>0</v>
      </c>
      <c r="CH118" s="40" t="n">
        <v>0</v>
      </c>
      <c r="CI118" s="25"/>
    </row>
    <row r="119" customFormat="false" ht="15" hidden="false" customHeight="true" outlineLevel="0" collapsed="false">
      <c r="A119" s="41" t="s">
        <v>144</v>
      </c>
      <c r="B119" s="42"/>
      <c r="C119" s="43" t="n">
        <f aca="false">MAX(0,C115+C116+C117+C118)</f>
        <v>0</v>
      </c>
      <c r="D119" s="43" t="n">
        <f aca="false">MAX(0,D115+D116+D117+D118)</f>
        <v>0</v>
      </c>
      <c r="E119" s="43" t="n">
        <f aca="false">MAX(0,E115+E116+E117+E118)</f>
        <v>0</v>
      </c>
      <c r="F119" s="43" t="n">
        <f aca="false">MAX(0,F115+F116+F117+F118)</f>
        <v>0</v>
      </c>
      <c r="G119" s="43" t="n">
        <f aca="false">MAX(0,G115+G116+G117+G118)</f>
        <v>0</v>
      </c>
      <c r="H119" s="43" t="n">
        <f aca="false">MAX(0,H115+H116+H117+H118)</f>
        <v>0</v>
      </c>
      <c r="I119" s="43" t="n">
        <f aca="false">MAX(0,I115+I116+I117+I118)</f>
        <v>0</v>
      </c>
      <c r="J119" s="43" t="n">
        <f aca="false">MAX(0,J115+J116+J117+J118)</f>
        <v>0</v>
      </c>
      <c r="K119" s="43" t="n">
        <f aca="false">MAX(0,K115+K116+K117+K118)</f>
        <v>0</v>
      </c>
      <c r="L119" s="43" t="n">
        <f aca="false">MAX(0,L115+L116+L117+L118)</f>
        <v>0</v>
      </c>
      <c r="M119" s="43" t="n">
        <f aca="false">MAX(0,M115+M116+M117+M118)</f>
        <v>0</v>
      </c>
      <c r="N119" s="43" t="n">
        <f aca="false">MAX(0,N115+N116+N117+N118)</f>
        <v>0</v>
      </c>
      <c r="O119" s="43" t="n">
        <f aca="false">MAX(0,O115+O116+O117+O118)</f>
        <v>0</v>
      </c>
      <c r="P119" s="43" t="n">
        <f aca="false">MAX(0,P115+P116+P117+P118)</f>
        <v>0</v>
      </c>
      <c r="Q119" s="43" t="n">
        <f aca="false">MAX(0,Q115+Q116+Q117+Q118)</f>
        <v>0</v>
      </c>
      <c r="R119" s="43" t="n">
        <f aca="false">MAX(0,R115+R116+R117+R118)</f>
        <v>0</v>
      </c>
      <c r="S119" s="43" t="n">
        <f aca="false">MAX(0,S115+S116+S117+S118)</f>
        <v>0</v>
      </c>
      <c r="T119" s="43" t="n">
        <f aca="false">MAX(0,T115+T116+T117+T118)</f>
        <v>0</v>
      </c>
      <c r="U119" s="43" t="n">
        <f aca="false">MAX(0,U115+U116+U117+U118)</f>
        <v>0</v>
      </c>
      <c r="V119" s="43" t="n">
        <f aca="false">MAX(0,V115+V116+V117+V118)</f>
        <v>0</v>
      </c>
      <c r="W119" s="43" t="n">
        <f aca="false">MAX(0,W115+W116+W117+W118)</f>
        <v>0</v>
      </c>
      <c r="X119" s="43" t="n">
        <f aca="false">MAX(0,X115+X116+X117+X118)</f>
        <v>0</v>
      </c>
      <c r="Y119" s="43" t="n">
        <f aca="false">MAX(0,Y115+Y116+Y117+Y118)</f>
        <v>0</v>
      </c>
      <c r="Z119" s="43" t="n">
        <f aca="false">MAX(0,Z115+Z116+Z117+Z118)</f>
        <v>0</v>
      </c>
      <c r="AA119" s="43" t="n">
        <f aca="false">MAX(0,AA115+AA116+AA117+AA118)</f>
        <v>0</v>
      </c>
      <c r="AB119" s="43" t="n">
        <f aca="false">MAX(0,AB115+AB116+AB117+AB118)</f>
        <v>0</v>
      </c>
      <c r="AC119" s="43" t="n">
        <f aca="false">MAX(0,AC115+AC116+AC117+AC118)</f>
        <v>0</v>
      </c>
      <c r="AD119" s="43" t="n">
        <f aca="false">MAX(0,AD115+AD116+AD117+AD118)</f>
        <v>0</v>
      </c>
      <c r="AE119" s="43" t="n">
        <f aca="false">MAX(0,AE115+AE116+AE117+AE118)</f>
        <v>0</v>
      </c>
      <c r="AF119" s="43" t="n">
        <f aca="false">MAX(0,AF115+AF116+AF117+AF118)</f>
        <v>0</v>
      </c>
      <c r="AG119" s="43" t="n">
        <f aca="false">MAX(0,AG115+AG116+AG117+AG118)</f>
        <v>0</v>
      </c>
      <c r="AH119" s="43" t="n">
        <f aca="false">MAX(0,AH115+AH116+AH117+AH118)</f>
        <v>0</v>
      </c>
      <c r="AI119" s="43" t="n">
        <f aca="false">MAX(0,AI115+AI116+AI117+AI118)</f>
        <v>0</v>
      </c>
      <c r="AJ119" s="43" t="n">
        <f aca="false">MAX(0,AJ115+AJ116+AJ117+AJ118)</f>
        <v>0</v>
      </c>
      <c r="AK119" s="43" t="n">
        <f aca="false">MAX(0,AK115+AK116+AK117+AK118)</f>
        <v>0</v>
      </c>
      <c r="AL119" s="43" t="n">
        <f aca="false">MAX(0,AL115+AL116+AL117+AL118)</f>
        <v>0</v>
      </c>
      <c r="AM119" s="43" t="n">
        <f aca="false">MAX(0,AM115+AM116+AM117+AM118)</f>
        <v>0</v>
      </c>
      <c r="AN119" s="43" t="n">
        <f aca="false">MAX(0,AN115+AN116+AN117+AN118)</f>
        <v>0</v>
      </c>
      <c r="AO119" s="43" t="n">
        <f aca="false">MAX(0,AO115+AO116+AO117+AO118)</f>
        <v>0</v>
      </c>
      <c r="AP119" s="43" t="n">
        <f aca="false">MAX(0,AP115+AP116+AP117+AP118)</f>
        <v>0</v>
      </c>
      <c r="AQ119" s="43" t="n">
        <f aca="false">MAX(0,AQ115+AQ116+AQ117+AQ118)</f>
        <v>0</v>
      </c>
      <c r="AR119" s="43" t="n">
        <f aca="false">MAX(0,AR115+AR116+AR117+AR118)</f>
        <v>0</v>
      </c>
      <c r="AS119" s="43" t="n">
        <f aca="false">MAX(0,AS115+AS116+AS117+AS118)</f>
        <v>0</v>
      </c>
      <c r="AT119" s="43" t="n">
        <f aca="false">MAX(0,AT115+AT116+AT117+AT118)</f>
        <v>0</v>
      </c>
      <c r="AU119" s="43" t="n">
        <f aca="false">MAX(0,AU115+AU116+AU117+AU118)</f>
        <v>0</v>
      </c>
      <c r="AV119" s="43" t="n">
        <f aca="false">MAX(0,AV115+AV116+AV117+AV118)</f>
        <v>0</v>
      </c>
      <c r="AW119" s="43" t="n">
        <f aca="false">MAX(0,AW115+AW116+AW117+AW118)</f>
        <v>0</v>
      </c>
      <c r="AX119" s="43" t="n">
        <f aca="false">MAX(0,AX115+AX116+AX117+AX118)</f>
        <v>0</v>
      </c>
      <c r="AY119" s="43" t="n">
        <f aca="false">MAX(0,AY115+AY116+AY117+AY118)</f>
        <v>0</v>
      </c>
      <c r="AZ119" s="43" t="n">
        <f aca="false">MAX(0,AZ115+AZ116+AZ117+AZ118)</f>
        <v>0</v>
      </c>
      <c r="BA119" s="43" t="n">
        <f aca="false">MAX(0,BA115+BA116+BA117+BA118)</f>
        <v>0</v>
      </c>
      <c r="BB119" s="43" t="n">
        <f aca="false">MAX(0,BB115+BB116+BB117+BB118)</f>
        <v>0</v>
      </c>
      <c r="BC119" s="43" t="n">
        <f aca="false">MAX(0,BC115+BC116+BC117+BC118)</f>
        <v>0</v>
      </c>
      <c r="BD119" s="43" t="n">
        <f aca="false">MAX(0,BD115+BD116+BD117+BD118)</f>
        <v>0</v>
      </c>
      <c r="BE119" s="43" t="n">
        <f aca="false">MAX(0,BE115+BE116+BE117+BE118)</f>
        <v>0</v>
      </c>
      <c r="BF119" s="43" t="n">
        <f aca="false">MAX(0,BF115+BF116+BF117+BF118)</f>
        <v>0</v>
      </c>
      <c r="BG119" s="43" t="n">
        <f aca="false">MAX(0,BG115+BG116+BG117+BG118)</f>
        <v>0</v>
      </c>
      <c r="BH119" s="43" t="n">
        <f aca="false">MAX(0,BH115+BH116+BH117+BH118)</f>
        <v>0</v>
      </c>
      <c r="BI119" s="43" t="n">
        <f aca="false">MAX(0,BI115+BI116+BI117+BI118)</f>
        <v>0</v>
      </c>
      <c r="BJ119" s="43" t="n">
        <f aca="false">MAX(0,BJ115+BJ116+BJ117+BJ118)</f>
        <v>0</v>
      </c>
      <c r="BK119" s="43" t="n">
        <f aca="false">MAX(0,BK115+BK116+BK117+BK118)</f>
        <v>0</v>
      </c>
      <c r="BL119" s="43" t="n">
        <f aca="false">MAX(0,BL115+BL116+BL117+BL118)</f>
        <v>0</v>
      </c>
      <c r="BM119" s="43" t="n">
        <f aca="false">MAX(0,BM115+BM116+BM117+BM118)</f>
        <v>0</v>
      </c>
      <c r="BN119" s="43" t="n">
        <f aca="false">MAX(0,BN115+BN116+BN117+BN118)</f>
        <v>0</v>
      </c>
      <c r="BO119" s="43" t="n">
        <f aca="false">MAX(0,BO115+BO116+BO117+BO118)</f>
        <v>0</v>
      </c>
      <c r="BP119" s="43" t="n">
        <f aca="false">MAX(0,BP115+BP116+BP117+BP118)</f>
        <v>0</v>
      </c>
      <c r="BQ119" s="43" t="n">
        <f aca="false">MAX(0,BQ115+BQ116+BQ117+BQ118)</f>
        <v>0</v>
      </c>
      <c r="BR119" s="43" t="n">
        <f aca="false">MAX(0,BR115+BR116+BR117+BR118)</f>
        <v>0</v>
      </c>
      <c r="BS119" s="43" t="n">
        <f aca="false">MAX(0,BS115+BS116+BS117+BS118)</f>
        <v>0</v>
      </c>
      <c r="BT119" s="43" t="n">
        <f aca="false">MAX(0,BT115+BT116+BT117+BT118)</f>
        <v>0</v>
      </c>
      <c r="BU119" s="43" t="n">
        <f aca="false">MAX(0,BU115+BU116+BU117+BU118)</f>
        <v>0</v>
      </c>
      <c r="BV119" s="43" t="n">
        <f aca="false">MAX(0,BV115+BV116+BV117+BV118)</f>
        <v>0</v>
      </c>
      <c r="BW119" s="43" t="n">
        <f aca="false">MAX(0,BW115+BW116+BW117+BW118)</f>
        <v>0</v>
      </c>
      <c r="BX119" s="43" t="n">
        <f aca="false">MAX(0,BX115+BX116+BX117+BX118)</f>
        <v>0</v>
      </c>
      <c r="BY119" s="43" t="n">
        <f aca="false">MAX(0,BY115+BY116+BY117+BY118)</f>
        <v>0</v>
      </c>
      <c r="BZ119" s="43" t="n">
        <f aca="false">MAX(0,BZ115+BZ116+BZ117+BZ118)</f>
        <v>0</v>
      </c>
      <c r="CA119" s="43" t="n">
        <f aca="false">MAX(0,CA115+CA116+CA117+CA118)</f>
        <v>0</v>
      </c>
      <c r="CB119" s="43" t="n">
        <f aca="false">MAX(0,CB115+CB116+CB117+CB118)</f>
        <v>0</v>
      </c>
      <c r="CC119" s="43" t="n">
        <f aca="false">MAX(0,CC115+CC116+CC117+CC118)</f>
        <v>0</v>
      </c>
      <c r="CD119" s="43" t="n">
        <f aca="false">MAX(0,CD115+CD116+CD117+CD118)</f>
        <v>0</v>
      </c>
      <c r="CE119" s="43" t="n">
        <f aca="false">MAX(0,CE115+CE116+CE117+CE118)</f>
        <v>0</v>
      </c>
      <c r="CF119" s="43" t="n">
        <f aca="false">MAX(0,CF115+CF116+CF117+CF118)</f>
        <v>0</v>
      </c>
      <c r="CG119" s="43" t="n">
        <f aca="false">MAX(0,CG115+CG116+CG117+CG118)</f>
        <v>0</v>
      </c>
      <c r="CH119" s="43" t="n">
        <f aca="false">MAX(0,CH115+CH116+CH117+CH118)</f>
        <v>0</v>
      </c>
      <c r="CI119" s="25"/>
    </row>
    <row r="120" customFormat="false" ht="15" hidden="false" customHeight="true" outlineLevel="0" collapsed="false">
      <c r="A120" s="44" t="s">
        <v>145</v>
      </c>
      <c r="B120" s="44"/>
      <c r="C120" s="45" t="n">
        <f aca="false">IF(Projects!$G$14="Yes",Assumptions!$B$75,0)</f>
        <v>264927.15</v>
      </c>
      <c r="D120" s="45" t="n">
        <f aca="false">C124</f>
        <v>264927.15</v>
      </c>
      <c r="E120" s="45" t="n">
        <f aca="false">IF(Projects!$G$14="Yes",D124+176618.1,D124)</f>
        <v>441545.25</v>
      </c>
      <c r="F120" s="45" t="n">
        <f aca="false">E124</f>
        <v>458103.196875</v>
      </c>
      <c r="G120" s="45" t="n">
        <f aca="false">F124</f>
        <v>458103.196875</v>
      </c>
      <c r="H120" s="45" t="n">
        <f aca="false">IF(Projects!$G$14="Yes",G124+176618.1,G124)</f>
        <v>634721.296875</v>
      </c>
      <c r="I120" s="45" t="n">
        <f aca="false">H124</f>
        <v>658523.345507813</v>
      </c>
      <c r="J120" s="45" t="n">
        <f aca="false">I124</f>
        <v>658523.345507813</v>
      </c>
      <c r="K120" s="45" t="n">
        <f aca="false">J124</f>
        <v>658523.345507813</v>
      </c>
      <c r="L120" s="45" t="n">
        <f aca="false">IF(Projects!$G$14="Yes",K124+88309.05,K124)</f>
        <v>771527.020964355</v>
      </c>
      <c r="M120" s="45" t="n">
        <f aca="false">L124</f>
        <v>771527.020964355</v>
      </c>
      <c r="N120" s="45" t="n">
        <f aca="false">M124</f>
        <v>771527.020964355</v>
      </c>
      <c r="O120" s="45" t="n">
        <f aca="false">N124</f>
        <v>800459.284250519</v>
      </c>
      <c r="P120" s="45" t="n">
        <f aca="false">O124</f>
        <v>800459.284250519</v>
      </c>
      <c r="Q120" s="45" t="n">
        <f aca="false">IF(Projects!$G$14="Yes",P124+88309.05,P124)</f>
        <v>888768.334250519</v>
      </c>
      <c r="R120" s="45" t="n">
        <f aca="false">Q124</f>
        <v>922097.146784913</v>
      </c>
      <c r="S120" s="45" t="n">
        <f aca="false">R124</f>
        <v>922097.146784913</v>
      </c>
      <c r="T120" s="45" t="n">
        <f aca="false">S124</f>
        <v>922097.146784913</v>
      </c>
      <c r="U120" s="45" t="n">
        <f aca="false">T124</f>
        <v>956675.789789348</v>
      </c>
      <c r="V120" s="45" t="n">
        <f aca="false">U124</f>
        <v>956675.789789348</v>
      </c>
      <c r="W120" s="45" t="n">
        <f aca="false">IF(Projects!$G$14="Yes",V124+88309.05,V124)</f>
        <v>1044984.83978935</v>
      </c>
      <c r="X120" s="45" t="n">
        <f aca="false">W124</f>
        <v>1084171.77128145</v>
      </c>
      <c r="Y120" s="45" t="n">
        <f aca="false">X124</f>
        <v>1084171.77128145</v>
      </c>
      <c r="Z120" s="45" t="n">
        <f aca="false">Y124</f>
        <v>1084171.77128145</v>
      </c>
      <c r="AA120" s="45" t="n">
        <f aca="false">Z124</f>
        <v>1124828.2127045</v>
      </c>
      <c r="AB120" s="45" t="n">
        <f aca="false">AA124</f>
        <v>1124828.2127045</v>
      </c>
      <c r="AC120" s="45" t="n">
        <f aca="false">IF(Projects!$G$14="Yes",AB124+Assumptions!$B$76,AB124)</f>
        <v>2007918.7127045</v>
      </c>
      <c r="AD120" s="45" t="n">
        <f aca="false">AC124</f>
        <v>283215.664430921</v>
      </c>
      <c r="AE120" s="45" t="n">
        <f aca="false">AD124</f>
        <v>283215.664430921</v>
      </c>
      <c r="AF120" s="45" t="n">
        <f aca="false">AE124</f>
        <v>283215.664430921</v>
      </c>
      <c r="AG120" s="45" t="n">
        <f aca="false">AF124</f>
        <v>293836.251847081</v>
      </c>
      <c r="AH120" s="45" t="n">
        <f aca="false">AG124</f>
        <v>293836.251847081</v>
      </c>
      <c r="AI120" s="45" t="n">
        <f aca="false">AH124</f>
        <v>293836.251847081</v>
      </c>
      <c r="AJ120" s="45" t="n">
        <f aca="false">AI124</f>
        <v>304855.111291347</v>
      </c>
      <c r="AK120" s="45" t="n">
        <f aca="false">AJ124</f>
        <v>304855.111291347</v>
      </c>
      <c r="AL120" s="45" t="n">
        <f aca="false">AK124</f>
        <v>304855.111291347</v>
      </c>
      <c r="AM120" s="45" t="n">
        <f aca="false">AL124</f>
        <v>316287.177964772</v>
      </c>
      <c r="AN120" s="45" t="n">
        <f aca="false">AM124</f>
        <v>316287.177964772</v>
      </c>
      <c r="AO120" s="45" t="n">
        <f aca="false">AN124</f>
        <v>316287.177964772</v>
      </c>
      <c r="AP120" s="45" t="n">
        <f aca="false">AO124</f>
        <v>328147.947138451</v>
      </c>
      <c r="AQ120" s="45" t="n">
        <f aca="false">AP124</f>
        <v>328147.947138451</v>
      </c>
      <c r="AR120" s="45" t="n">
        <f aca="false">AQ124</f>
        <v>328147.947138451</v>
      </c>
      <c r="AS120" s="45" t="n">
        <f aca="false">AR124</f>
        <v>340453.495156143</v>
      </c>
      <c r="AT120" s="45" t="n">
        <f aca="false">AS124</f>
        <v>340453.495156143</v>
      </c>
      <c r="AU120" s="45" t="n">
        <f aca="false">AT124</f>
        <v>340453.495156143</v>
      </c>
      <c r="AV120" s="45" t="n">
        <f aca="false">AU124</f>
        <v>353220.501224498</v>
      </c>
      <c r="AW120" s="45" t="n">
        <f aca="false">AV124</f>
        <v>353220.501224498</v>
      </c>
      <c r="AX120" s="45" t="n">
        <f aca="false">AW124</f>
        <v>353220.501224498</v>
      </c>
      <c r="AY120" s="45" t="n">
        <f aca="false">AX124</f>
        <v>366466.270020417</v>
      </c>
      <c r="AZ120" s="45" t="n">
        <f aca="false">AY124</f>
        <v>366466.270020417</v>
      </c>
      <c r="BA120" s="45" t="n">
        <f aca="false">AZ124</f>
        <v>366466.270020417</v>
      </c>
      <c r="BB120" s="45" t="n">
        <f aca="false">BA124</f>
        <v>380208.755146183</v>
      </c>
      <c r="BC120" s="45" t="n">
        <f aca="false">BB124</f>
        <v>380208.755146183</v>
      </c>
      <c r="BD120" s="45" t="n">
        <f aca="false">BC124</f>
        <v>380208.755146183</v>
      </c>
      <c r="BE120" s="45" t="n">
        <f aca="false">BD124</f>
        <v>394466.583464164</v>
      </c>
      <c r="BF120" s="45" t="n">
        <f aca="false">BE124</f>
        <v>394466.583464164</v>
      </c>
      <c r="BG120" s="45" t="n">
        <f aca="false">BF124</f>
        <v>394466.583464164</v>
      </c>
      <c r="BH120" s="45" t="n">
        <f aca="false">BG124</f>
        <v>409259.080344071</v>
      </c>
      <c r="BI120" s="45" t="n">
        <f aca="false">BH124</f>
        <v>409259.080344071</v>
      </c>
      <c r="BJ120" s="45" t="n">
        <f aca="false">BI124</f>
        <v>409259.080344071</v>
      </c>
      <c r="BK120" s="45" t="n">
        <f aca="false">BJ124</f>
        <v>424606.295856973</v>
      </c>
      <c r="BL120" s="45" t="n">
        <f aca="false">BK124</f>
        <v>424606.295856973</v>
      </c>
      <c r="BM120" s="45" t="n">
        <f aca="false">BL124</f>
        <v>424606.295856973</v>
      </c>
      <c r="BN120" s="45" t="n">
        <f aca="false">BM124</f>
        <v>440529.03195161</v>
      </c>
      <c r="BO120" s="45" t="n">
        <f aca="false">BN124</f>
        <v>440529.03195161</v>
      </c>
      <c r="BP120" s="45" t="n">
        <f aca="false">BO124</f>
        <v>440529.03195161</v>
      </c>
      <c r="BQ120" s="45" t="n">
        <f aca="false">BP124</f>
        <v>457048.870649795</v>
      </c>
      <c r="BR120" s="45" t="n">
        <f aca="false">BQ124</f>
        <v>457048.870649795</v>
      </c>
      <c r="BS120" s="45" t="n">
        <f aca="false">BR124</f>
        <v>457048.870649795</v>
      </c>
      <c r="BT120" s="45" t="n">
        <f aca="false">BS124</f>
        <v>474188.203299162</v>
      </c>
      <c r="BU120" s="45" t="n">
        <f aca="false">BT124</f>
        <v>474188.203299162</v>
      </c>
      <c r="BV120" s="45" t="n">
        <f aca="false">BU124</f>
        <v>474188.203299162</v>
      </c>
      <c r="BW120" s="45" t="n">
        <f aca="false">BV124</f>
        <v>491970.260922881</v>
      </c>
      <c r="BX120" s="45" t="n">
        <f aca="false">BW124</f>
        <v>491970.260922881</v>
      </c>
      <c r="BY120" s="45" t="n">
        <f aca="false">BX124</f>
        <v>491970.260922881</v>
      </c>
      <c r="BZ120" s="45" t="n">
        <f aca="false">BY124</f>
        <v>510419.145707489</v>
      </c>
      <c r="CA120" s="45" t="n">
        <f aca="false">BZ124</f>
        <v>510419.145707489</v>
      </c>
      <c r="CB120" s="45" t="n">
        <f aca="false">CA124</f>
        <v>510419.145707489</v>
      </c>
      <c r="CC120" s="45" t="n">
        <f aca="false">CB124</f>
        <v>529559.86367152</v>
      </c>
      <c r="CD120" s="45" t="n">
        <f aca="false">CC124</f>
        <v>529559.86367152</v>
      </c>
      <c r="CE120" s="45" t="n">
        <f aca="false">CD124</f>
        <v>529559.86367152</v>
      </c>
      <c r="CF120" s="45" t="n">
        <f aca="false">CE124</f>
        <v>549418.358559202</v>
      </c>
      <c r="CG120" s="45" t="n">
        <f aca="false">CF124</f>
        <v>549418.358559202</v>
      </c>
      <c r="CH120" s="45" t="n">
        <f aca="false">CG124</f>
        <v>549418.358559202</v>
      </c>
      <c r="CI120" s="25"/>
    </row>
    <row r="121" customFormat="false" ht="15" hidden="false" customHeight="true" outlineLevel="0" collapsed="false">
      <c r="A121" s="44" t="s">
        <v>146</v>
      </c>
      <c r="B121" s="44"/>
      <c r="C121" s="45" t="n">
        <f aca="false">IF(AND(MOD(1,3)=0,C120&gt;0),C120*Assumptions!$B$59,0)</f>
        <v>0</v>
      </c>
      <c r="D121" s="45" t="n">
        <f aca="false">IF(AND(MOD(2,3)=0,D120&gt;0),D120*Assumptions!$B$59,0)</f>
        <v>0</v>
      </c>
      <c r="E121" s="45" t="n">
        <f aca="false">IF(AND(MOD(3,3)=0,E120&gt;0),E120*Assumptions!$B$59,0)</f>
        <v>16557.946875</v>
      </c>
      <c r="F121" s="45" t="n">
        <f aca="false">IF(AND(MOD(4,3)=0,F120&gt;0),F120*Assumptions!$B$59,0)</f>
        <v>0</v>
      </c>
      <c r="G121" s="45" t="n">
        <f aca="false">IF(AND(MOD(5,3)=0,G120&gt;0),G120*Assumptions!$B$59,0)</f>
        <v>0</v>
      </c>
      <c r="H121" s="45" t="n">
        <f aca="false">IF(AND(MOD(6,3)=0,H120&gt;0),H120*Assumptions!$B$59,0)</f>
        <v>23802.0486328125</v>
      </c>
      <c r="I121" s="45" t="n">
        <f aca="false">IF(AND(MOD(7,3)=0,I120&gt;0),I120*Assumptions!$B$59,0)</f>
        <v>0</v>
      </c>
      <c r="J121" s="45" t="n">
        <f aca="false">IF(AND(MOD(8,3)=0,J120&gt;0),J120*Assumptions!$B$59,0)</f>
        <v>0</v>
      </c>
      <c r="K121" s="45" t="n">
        <f aca="false">IF(AND(MOD(9,3)=0,K120&gt;0),K120*Assumptions!$B$59,0)</f>
        <v>24694.625456543</v>
      </c>
      <c r="L121" s="45" t="n">
        <f aca="false">IF(AND(MOD(10,3)=0,L120&gt;0),L120*Assumptions!$B$59,0)</f>
        <v>0</v>
      </c>
      <c r="M121" s="45" t="n">
        <f aca="false">IF(AND(MOD(11,3)=0,M120&gt;0),M120*Assumptions!$B$59,0)</f>
        <v>0</v>
      </c>
      <c r="N121" s="45" t="n">
        <f aca="false">IF(AND(MOD(12,3)=0,N120&gt;0),N120*Assumptions!$B$59,0)</f>
        <v>28932.2632861633</v>
      </c>
      <c r="O121" s="45" t="n">
        <f aca="false">IF(AND(MOD(13,3)=0,O120&gt;0),O120*Assumptions!$B$59,0)</f>
        <v>0</v>
      </c>
      <c r="P121" s="45" t="n">
        <f aca="false">IF(AND(MOD(14,3)=0,P120&gt;0),P120*Assumptions!$B$59,0)</f>
        <v>0</v>
      </c>
      <c r="Q121" s="45" t="n">
        <f aca="false">IF(AND(MOD(15,3)=0,Q120&gt;0),Q120*Assumptions!$B$59,0)</f>
        <v>33328.8125343945</v>
      </c>
      <c r="R121" s="45" t="n">
        <f aca="false">IF(AND(MOD(16,3)=0,R120&gt;0),R120*Assumptions!$B$59,0)</f>
        <v>0</v>
      </c>
      <c r="S121" s="45" t="n">
        <f aca="false">IF(AND(MOD(17,3)=0,S120&gt;0),S120*Assumptions!$B$59,0)</f>
        <v>0</v>
      </c>
      <c r="T121" s="45" t="n">
        <f aca="false">IF(AND(MOD(18,3)=0,T120&gt;0),T120*Assumptions!$B$59,0)</f>
        <v>34578.6430044343</v>
      </c>
      <c r="U121" s="45" t="n">
        <f aca="false">IF(AND(MOD(19,3)=0,U120&gt;0),U120*Assumptions!$B$59,0)</f>
        <v>0</v>
      </c>
      <c r="V121" s="45" t="n">
        <f aca="false">IF(AND(MOD(20,3)=0,V120&gt;0),V120*Assumptions!$B$59,0)</f>
        <v>0</v>
      </c>
      <c r="W121" s="45" t="n">
        <f aca="false">IF(AND(MOD(21,3)=0,W120&gt;0),W120*Assumptions!$B$59,0)</f>
        <v>39186.9314921005</v>
      </c>
      <c r="X121" s="45" t="n">
        <f aca="false">IF(AND(MOD(22,3)=0,X120&gt;0),X120*Assumptions!$B$59,0)</f>
        <v>0</v>
      </c>
      <c r="Y121" s="45" t="n">
        <f aca="false">IF(AND(MOD(23,3)=0,Y120&gt;0),Y120*Assumptions!$B$59,0)</f>
        <v>0</v>
      </c>
      <c r="Z121" s="45" t="n">
        <f aca="false">IF(AND(MOD(24,3)=0,Z120&gt;0),Z120*Assumptions!$B$59,0)</f>
        <v>40656.4414230543</v>
      </c>
      <c r="AA121" s="45" t="n">
        <f aca="false">IF(AND(MOD(25,3)=0,AA120&gt;0),AA120*Assumptions!$B$59,0)</f>
        <v>0</v>
      </c>
      <c r="AB121" s="45" t="n">
        <f aca="false">IF(AND(MOD(26,3)=0,AB120&gt;0),AB120*Assumptions!$B$59,0)</f>
        <v>0</v>
      </c>
      <c r="AC121" s="45" t="n">
        <f aca="false">IF(AND(MOD(27,3)=0,AC120&gt;0),AC120*Assumptions!$B$59,0)</f>
        <v>75296.9517264189</v>
      </c>
      <c r="AD121" s="45" t="n">
        <f aca="false">IF(AND(MOD(28,3)=0,AD120&gt;0),AD120*Assumptions!$B$59,0)</f>
        <v>0</v>
      </c>
      <c r="AE121" s="45" t="n">
        <f aca="false">IF(AND(MOD(29,3)=0,AE120&gt;0),AE120*Assumptions!$B$59,0)</f>
        <v>0</v>
      </c>
      <c r="AF121" s="45" t="n">
        <f aca="false">IF(AND(MOD(30,3)=0,AF120&gt;0),AF120*Assumptions!$B$59,0)</f>
        <v>10620.5874161596</v>
      </c>
      <c r="AG121" s="45" t="n">
        <f aca="false">IF(AND(MOD(31,3)=0,AG120&gt;0),AG120*Assumptions!$B$59,0)</f>
        <v>0</v>
      </c>
      <c r="AH121" s="45" t="n">
        <f aca="false">IF(AND(MOD(32,3)=0,AH120&gt;0),AH120*Assumptions!$B$59,0)</f>
        <v>0</v>
      </c>
      <c r="AI121" s="45" t="n">
        <f aca="false">IF(AND(MOD(33,3)=0,AI120&gt;0),AI120*Assumptions!$B$59,0)</f>
        <v>11018.8594442655</v>
      </c>
      <c r="AJ121" s="45" t="n">
        <f aca="false">IF(AND(MOD(34,3)=0,AJ120&gt;0),AJ120*Assumptions!$B$59,0)</f>
        <v>0</v>
      </c>
      <c r="AK121" s="45" t="n">
        <f aca="false">IF(AND(MOD(35,3)=0,AK120&gt;0),AK120*Assumptions!$B$59,0)</f>
        <v>0</v>
      </c>
      <c r="AL121" s="45" t="n">
        <f aca="false">IF(AND(MOD(36,3)=0,AL120&gt;0),AL120*Assumptions!$B$59,0)</f>
        <v>11432.0666734255</v>
      </c>
      <c r="AM121" s="45" t="n">
        <f aca="false">IF(AND(MOD(37,3)=0,AM120&gt;0),AM120*Assumptions!$B$59,0)</f>
        <v>0</v>
      </c>
      <c r="AN121" s="45" t="n">
        <f aca="false">IF(AND(MOD(38,3)=0,AN120&gt;0),AN120*Assumptions!$B$59,0)</f>
        <v>0</v>
      </c>
      <c r="AO121" s="45" t="n">
        <f aca="false">IF(AND(MOD(39,3)=0,AO120&gt;0),AO120*Assumptions!$B$59,0)</f>
        <v>11860.769173679</v>
      </c>
      <c r="AP121" s="45" t="n">
        <f aca="false">IF(AND(MOD(40,3)=0,AP120&gt;0),AP120*Assumptions!$B$59,0)</f>
        <v>0</v>
      </c>
      <c r="AQ121" s="45" t="n">
        <f aca="false">IF(AND(MOD(41,3)=0,AQ120&gt;0),AQ120*Assumptions!$B$59,0)</f>
        <v>0</v>
      </c>
      <c r="AR121" s="45" t="n">
        <f aca="false">IF(AND(MOD(42,3)=0,AR120&gt;0),AR120*Assumptions!$B$59,0)</f>
        <v>12305.5480176919</v>
      </c>
      <c r="AS121" s="45" t="n">
        <f aca="false">IF(AND(MOD(43,3)=0,AS120&gt;0),AS120*Assumptions!$B$59,0)</f>
        <v>0</v>
      </c>
      <c r="AT121" s="45" t="n">
        <f aca="false">IF(AND(MOD(44,3)=0,AT120&gt;0),AT120*Assumptions!$B$59,0)</f>
        <v>0</v>
      </c>
      <c r="AU121" s="45" t="n">
        <f aca="false">IF(AND(MOD(45,3)=0,AU120&gt;0),AU120*Assumptions!$B$59,0)</f>
        <v>12767.0060683554</v>
      </c>
      <c r="AV121" s="45" t="n">
        <f aca="false">IF(AND(MOD(46,3)=0,AV120&gt;0),AV120*Assumptions!$B$59,0)</f>
        <v>0</v>
      </c>
      <c r="AW121" s="45" t="n">
        <f aca="false">IF(AND(MOD(47,3)=0,AW120&gt;0),AW120*Assumptions!$B$59,0)</f>
        <v>0</v>
      </c>
      <c r="AX121" s="45" t="n">
        <f aca="false">IF(AND(MOD(48,3)=0,AX120&gt;0),AX120*Assumptions!$B$59,0)</f>
        <v>13245.7687959187</v>
      </c>
      <c r="AY121" s="45" t="n">
        <f aca="false">IF(AND(MOD(49,3)=0,AY120&gt;0),AY120*Assumptions!$B$59,0)</f>
        <v>0</v>
      </c>
      <c r="AZ121" s="45" t="n">
        <f aca="false">IF(AND(MOD(50,3)=0,AZ120&gt;0),AZ120*Assumptions!$B$59,0)</f>
        <v>0</v>
      </c>
      <c r="BA121" s="45" t="n">
        <f aca="false">IF(AND(MOD(51,3)=0,BA120&gt;0),BA120*Assumptions!$B$59,0)</f>
        <v>13742.4851257656</v>
      </c>
      <c r="BB121" s="45" t="n">
        <f aca="false">IF(AND(MOD(52,3)=0,BB120&gt;0),BB120*Assumptions!$B$59,0)</f>
        <v>0</v>
      </c>
      <c r="BC121" s="45" t="n">
        <f aca="false">IF(AND(MOD(53,3)=0,BC120&gt;0),BC120*Assumptions!$B$59,0)</f>
        <v>0</v>
      </c>
      <c r="BD121" s="45" t="n">
        <f aca="false">IF(AND(MOD(54,3)=0,BD120&gt;0),BD120*Assumptions!$B$59,0)</f>
        <v>14257.8283179818</v>
      </c>
      <c r="BE121" s="45" t="n">
        <f aca="false">IF(AND(MOD(55,3)=0,BE120&gt;0),BE120*Assumptions!$B$59,0)</f>
        <v>0</v>
      </c>
      <c r="BF121" s="45" t="n">
        <f aca="false">IF(AND(MOD(56,3)=0,BF120&gt;0),BF120*Assumptions!$B$59,0)</f>
        <v>0</v>
      </c>
      <c r="BG121" s="45" t="n">
        <f aca="false">IF(AND(MOD(57,3)=0,BG120&gt;0),BG120*Assumptions!$B$59,0)</f>
        <v>14792.4968799062</v>
      </c>
      <c r="BH121" s="45" t="n">
        <f aca="false">IF(AND(MOD(58,3)=0,BH120&gt;0),BH120*Assumptions!$B$59,0)</f>
        <v>0</v>
      </c>
      <c r="BI121" s="45" t="n">
        <f aca="false">IF(AND(MOD(59,3)=0,BI120&gt;0),BI120*Assumptions!$B$59,0)</f>
        <v>0</v>
      </c>
      <c r="BJ121" s="45" t="n">
        <f aca="false">IF(AND(MOD(60,3)=0,BJ120&gt;0),BJ120*Assumptions!$B$59,0)</f>
        <v>15347.2155129026</v>
      </c>
      <c r="BK121" s="45" t="n">
        <f aca="false">IF(AND(MOD(61,3)=0,BK120&gt;0),BK120*Assumptions!$B$59,0)</f>
        <v>0</v>
      </c>
      <c r="BL121" s="45" t="n">
        <f aca="false">IF(AND(MOD(62,3)=0,BL120&gt;0),BL120*Assumptions!$B$59,0)</f>
        <v>0</v>
      </c>
      <c r="BM121" s="45" t="n">
        <f aca="false">IF(AND(MOD(63,3)=0,BM120&gt;0),BM120*Assumptions!$B$59,0)</f>
        <v>15922.7360946365</v>
      </c>
      <c r="BN121" s="45" t="n">
        <f aca="false">IF(AND(MOD(64,3)=0,BN120&gt;0),BN120*Assumptions!$B$59,0)</f>
        <v>0</v>
      </c>
      <c r="BO121" s="45" t="n">
        <f aca="false">IF(AND(MOD(65,3)=0,BO120&gt;0),BO120*Assumptions!$B$59,0)</f>
        <v>0</v>
      </c>
      <c r="BP121" s="45" t="n">
        <f aca="false">IF(AND(MOD(66,3)=0,BP120&gt;0),BP120*Assumptions!$B$59,0)</f>
        <v>16519.8386981854</v>
      </c>
      <c r="BQ121" s="45" t="n">
        <f aca="false">IF(AND(MOD(67,3)=0,BQ120&gt;0),BQ120*Assumptions!$B$59,0)</f>
        <v>0</v>
      </c>
      <c r="BR121" s="45" t="n">
        <f aca="false">IF(AND(MOD(68,3)=0,BR120&gt;0),BR120*Assumptions!$B$59,0)</f>
        <v>0</v>
      </c>
      <c r="BS121" s="45" t="n">
        <f aca="false">IF(AND(MOD(69,3)=0,BS120&gt;0),BS120*Assumptions!$B$59,0)</f>
        <v>17139.3326493673</v>
      </c>
      <c r="BT121" s="45" t="n">
        <f aca="false">IF(AND(MOD(70,3)=0,BT120&gt;0),BT120*Assumptions!$B$59,0)</f>
        <v>0</v>
      </c>
      <c r="BU121" s="45" t="n">
        <f aca="false">IF(AND(MOD(71,3)=0,BU120&gt;0),BU120*Assumptions!$B$59,0)</f>
        <v>0</v>
      </c>
      <c r="BV121" s="45" t="n">
        <f aca="false">IF(AND(MOD(72,3)=0,BV120&gt;0),BV120*Assumptions!$B$59,0)</f>
        <v>17782.0576237186</v>
      </c>
      <c r="BW121" s="45" t="n">
        <f aca="false">IF(AND(MOD(73,3)=0,BW120&gt;0),BW120*Assumptions!$B$59,0)</f>
        <v>0</v>
      </c>
      <c r="BX121" s="45" t="n">
        <f aca="false">IF(AND(MOD(74,3)=0,BX120&gt;0),BX120*Assumptions!$B$59,0)</f>
        <v>0</v>
      </c>
      <c r="BY121" s="45" t="n">
        <f aca="false">IF(AND(MOD(75,3)=0,BY120&gt;0),BY120*Assumptions!$B$59,0)</f>
        <v>18448.884784608</v>
      </c>
      <c r="BZ121" s="45" t="n">
        <f aca="false">IF(AND(MOD(76,3)=0,BZ120&gt;0),BZ120*Assumptions!$B$59,0)</f>
        <v>0</v>
      </c>
      <c r="CA121" s="45" t="n">
        <f aca="false">IF(AND(MOD(77,3)=0,CA120&gt;0),CA120*Assumptions!$B$59,0)</f>
        <v>0</v>
      </c>
      <c r="CB121" s="45" t="n">
        <f aca="false">IF(AND(MOD(78,3)=0,CB120&gt;0),CB120*Assumptions!$B$59,0)</f>
        <v>19140.7179640308</v>
      </c>
      <c r="CC121" s="45" t="n">
        <f aca="false">IF(AND(MOD(79,3)=0,CC120&gt;0),CC120*Assumptions!$B$59,0)</f>
        <v>0</v>
      </c>
      <c r="CD121" s="45" t="n">
        <f aca="false">IF(AND(MOD(80,3)=0,CD120&gt;0),CD120*Assumptions!$B$59,0)</f>
        <v>0</v>
      </c>
      <c r="CE121" s="45" t="n">
        <f aca="false">IF(AND(MOD(81,3)=0,CE120&gt;0),CE120*Assumptions!$B$59,0)</f>
        <v>19858.494887682</v>
      </c>
      <c r="CF121" s="45" t="n">
        <f aca="false">IF(AND(MOD(82,3)=0,CF120&gt;0),CF120*Assumptions!$B$59,0)</f>
        <v>0</v>
      </c>
      <c r="CG121" s="45" t="n">
        <f aca="false">IF(AND(MOD(83,3)=0,CG120&gt;0),CG120*Assumptions!$B$59,0)</f>
        <v>0</v>
      </c>
      <c r="CH121" s="45" t="n">
        <f aca="false">IF(AND(MOD(84,3)=0,CH120&gt;0),CH120*Assumptions!$B$59,0)</f>
        <v>20603.1884459701</v>
      </c>
      <c r="CI121" s="25"/>
    </row>
    <row r="122" customFormat="false" ht="15" hidden="false" customHeight="true" outlineLevel="0" collapsed="false">
      <c r="A122" s="44" t="s">
        <v>147</v>
      </c>
      <c r="B122" s="44"/>
      <c r="C122" s="45" t="n">
        <v>0</v>
      </c>
      <c r="D122" s="45" t="n">
        <v>0</v>
      </c>
      <c r="E122" s="45" t="n">
        <v>0</v>
      </c>
      <c r="F122" s="45" t="n">
        <v>0</v>
      </c>
      <c r="G122" s="45" t="n">
        <v>0</v>
      </c>
      <c r="H122" s="45" t="n">
        <v>0</v>
      </c>
      <c r="I122" s="45" t="n">
        <v>0</v>
      </c>
      <c r="J122" s="45" t="n">
        <v>0</v>
      </c>
      <c r="K122" s="45" t="n">
        <v>0</v>
      </c>
      <c r="L122" s="45" t="n">
        <v>0</v>
      </c>
      <c r="M122" s="45" t="n">
        <v>0</v>
      </c>
      <c r="N122" s="45" t="n">
        <v>0</v>
      </c>
      <c r="O122" s="45" t="n">
        <v>0</v>
      </c>
      <c r="P122" s="45" t="n">
        <v>0</v>
      </c>
      <c r="Q122" s="45" t="n">
        <v>0</v>
      </c>
      <c r="R122" s="45" t="n">
        <v>0</v>
      </c>
      <c r="S122" s="45" t="n">
        <v>0</v>
      </c>
      <c r="T122" s="45" t="n">
        <v>0</v>
      </c>
      <c r="U122" s="45" t="n">
        <v>0</v>
      </c>
      <c r="V122" s="45" t="n">
        <v>0</v>
      </c>
      <c r="W122" s="45" t="n">
        <v>0</v>
      </c>
      <c r="X122" s="45" t="n">
        <v>0</v>
      </c>
      <c r="Y122" s="45" t="n">
        <v>0</v>
      </c>
      <c r="Z122" s="45" t="n">
        <v>0</v>
      </c>
      <c r="AA122" s="45" t="n">
        <v>0</v>
      </c>
      <c r="AB122" s="45" t="n">
        <v>0</v>
      </c>
      <c r="AC122" s="45" t="n">
        <f aca="false">IF(Projects!$G$14="Yes",Assumptions!$B$77,0)</f>
        <v>-1800000</v>
      </c>
      <c r="AD122" s="45" t="n">
        <v>0</v>
      </c>
      <c r="AE122" s="45" t="n">
        <v>0</v>
      </c>
      <c r="AF122" s="45" t="n">
        <v>0</v>
      </c>
      <c r="AG122" s="45" t="n">
        <v>0</v>
      </c>
      <c r="AH122" s="45" t="n">
        <v>0</v>
      </c>
      <c r="AI122" s="45" t="n">
        <v>0</v>
      </c>
      <c r="AJ122" s="45" t="n">
        <v>0</v>
      </c>
      <c r="AK122" s="45" t="n">
        <v>0</v>
      </c>
      <c r="AL122" s="45" t="n">
        <v>0</v>
      </c>
      <c r="AM122" s="45" t="n">
        <v>0</v>
      </c>
      <c r="AN122" s="45" t="n">
        <v>0</v>
      </c>
      <c r="AO122" s="45" t="n">
        <v>0</v>
      </c>
      <c r="AP122" s="45" t="n">
        <v>0</v>
      </c>
      <c r="AQ122" s="45" t="n">
        <v>0</v>
      </c>
      <c r="AR122" s="45" t="n">
        <v>0</v>
      </c>
      <c r="AS122" s="45" t="n">
        <v>0</v>
      </c>
      <c r="AT122" s="45" t="n">
        <v>0</v>
      </c>
      <c r="AU122" s="45" t="n">
        <v>0</v>
      </c>
      <c r="AV122" s="45" t="n">
        <v>0</v>
      </c>
      <c r="AW122" s="45" t="n">
        <v>0</v>
      </c>
      <c r="AX122" s="45" t="n">
        <v>0</v>
      </c>
      <c r="AY122" s="45" t="n">
        <v>0</v>
      </c>
      <c r="AZ122" s="45" t="n">
        <v>0</v>
      </c>
      <c r="BA122" s="45" t="n">
        <v>0</v>
      </c>
      <c r="BB122" s="45" t="n">
        <v>0</v>
      </c>
      <c r="BC122" s="45" t="n">
        <v>0</v>
      </c>
      <c r="BD122" s="45" t="n">
        <v>0</v>
      </c>
      <c r="BE122" s="45" t="n">
        <v>0</v>
      </c>
      <c r="BF122" s="45" t="n">
        <v>0</v>
      </c>
      <c r="BG122" s="45" t="n">
        <v>0</v>
      </c>
      <c r="BH122" s="45" t="n">
        <v>0</v>
      </c>
      <c r="BI122" s="45" t="n">
        <v>0</v>
      </c>
      <c r="BJ122" s="45" t="n">
        <v>0</v>
      </c>
      <c r="BK122" s="45" t="n">
        <v>0</v>
      </c>
      <c r="BL122" s="45" t="n">
        <v>0</v>
      </c>
      <c r="BM122" s="45" t="n">
        <v>0</v>
      </c>
      <c r="BN122" s="45" t="n">
        <v>0</v>
      </c>
      <c r="BO122" s="45" t="n">
        <v>0</v>
      </c>
      <c r="BP122" s="45" t="n">
        <v>0</v>
      </c>
      <c r="BQ122" s="45" t="n">
        <v>0</v>
      </c>
      <c r="BR122" s="45" t="n">
        <v>0</v>
      </c>
      <c r="BS122" s="45" t="n">
        <v>0</v>
      </c>
      <c r="BT122" s="45" t="n">
        <v>0</v>
      </c>
      <c r="BU122" s="45" t="n">
        <v>0</v>
      </c>
      <c r="BV122" s="45" t="n">
        <v>0</v>
      </c>
      <c r="BW122" s="45" t="n">
        <v>0</v>
      </c>
      <c r="BX122" s="45" t="n">
        <v>0</v>
      </c>
      <c r="BY122" s="45" t="n">
        <v>0</v>
      </c>
      <c r="BZ122" s="45" t="n">
        <v>0</v>
      </c>
      <c r="CA122" s="45" t="n">
        <v>0</v>
      </c>
      <c r="CB122" s="45" t="n">
        <v>0</v>
      </c>
      <c r="CC122" s="45" t="n">
        <v>0</v>
      </c>
      <c r="CD122" s="45" t="n">
        <v>0</v>
      </c>
      <c r="CE122" s="45" t="n">
        <v>0</v>
      </c>
      <c r="CF122" s="45" t="n">
        <v>0</v>
      </c>
      <c r="CG122" s="45" t="n">
        <v>0</v>
      </c>
      <c r="CH122" s="45" t="n">
        <v>0</v>
      </c>
      <c r="CI122" s="25"/>
    </row>
    <row r="123" customFormat="false" ht="15" hidden="false" customHeight="true" outlineLevel="0" collapsed="false">
      <c r="A123" s="46" t="s">
        <v>148</v>
      </c>
      <c r="B123" s="46"/>
      <c r="C123" s="47" t="n">
        <f aca="false">-MIN(C120+C121+C122,MAX(0,C61-Helpers!C26))</f>
        <v>-0</v>
      </c>
      <c r="D123" s="47" t="n">
        <f aca="false">-MIN(D120+D121+D122,MAX(0,D61-Helpers!D26))</f>
        <v>-0</v>
      </c>
      <c r="E123" s="47" t="n">
        <f aca="false">-MIN(E120+E121+E122,MAX(0,E61-Helpers!E26))</f>
        <v>-0</v>
      </c>
      <c r="F123" s="47" t="n">
        <f aca="false">-MIN(F120+F121+F122,MAX(0,F61-Helpers!F26))</f>
        <v>-0</v>
      </c>
      <c r="G123" s="47" t="n">
        <f aca="false">-MIN(G120+G121+G122,MAX(0,G61-Helpers!G26))</f>
        <v>-0</v>
      </c>
      <c r="H123" s="47" t="n">
        <f aca="false">-MIN(H120+H121+H122,MAX(0,H61-Helpers!H26))</f>
        <v>-0</v>
      </c>
      <c r="I123" s="47" t="n">
        <f aca="false">-MIN(I120+I121+I122,MAX(0,I61-Helpers!I26))</f>
        <v>-0</v>
      </c>
      <c r="J123" s="47" t="n">
        <f aca="false">-MIN(J120+J121+J122,MAX(0,J61-Helpers!J26))</f>
        <v>-0</v>
      </c>
      <c r="K123" s="47" t="n">
        <f aca="false">-MIN(K120+K121+K122,MAX(0,K61-Helpers!K26))</f>
        <v>-0</v>
      </c>
      <c r="L123" s="47" t="n">
        <f aca="false">-MIN(L120+L121+L122,MAX(0,L61-Helpers!L26))</f>
        <v>-0</v>
      </c>
      <c r="M123" s="47" t="n">
        <f aca="false">-MIN(M120+M121+M122,MAX(0,M61-Helpers!M26))</f>
        <v>-0</v>
      </c>
      <c r="N123" s="47" t="n">
        <f aca="false">-MIN(N120+N121+N122,MAX(0,N61-Helpers!N26))</f>
        <v>-0</v>
      </c>
      <c r="O123" s="47" t="n">
        <f aca="false">-MIN(O120+O121+O122,MAX(0,O61-Helpers!O26))</f>
        <v>-0</v>
      </c>
      <c r="P123" s="47" t="n">
        <f aca="false">-MIN(P120+P121+P122,MAX(0,P61-Helpers!P26))</f>
        <v>-0</v>
      </c>
      <c r="Q123" s="47" t="n">
        <f aca="false">-MIN(Q120+Q121+Q122,MAX(0,Q61-Helpers!Q26))</f>
        <v>-0</v>
      </c>
      <c r="R123" s="47" t="n">
        <f aca="false">-MIN(R120+R121+R122,MAX(0,R61-Helpers!R26))</f>
        <v>-0</v>
      </c>
      <c r="S123" s="47" t="n">
        <f aca="false">-MIN(S120+S121+S122,MAX(0,S61-Helpers!S26))</f>
        <v>-0</v>
      </c>
      <c r="T123" s="47" t="n">
        <f aca="false">-MIN(T120+T121+T122,MAX(0,T61-Helpers!T26))</f>
        <v>-0</v>
      </c>
      <c r="U123" s="47" t="n">
        <f aca="false">-MIN(U120+U121+U122,MAX(0,U61-Helpers!U26))</f>
        <v>-0</v>
      </c>
      <c r="V123" s="47" t="n">
        <f aca="false">-MIN(V120+V121+V122,MAX(0,V61-Helpers!V26))</f>
        <v>-0</v>
      </c>
      <c r="W123" s="47" t="n">
        <f aca="false">-MIN(W120+W121+W122,MAX(0,W61-Helpers!W26))</f>
        <v>-0</v>
      </c>
      <c r="X123" s="47" t="n">
        <f aca="false">-MIN(X120+X121+X122,MAX(0,X61-Helpers!X26))</f>
        <v>-0</v>
      </c>
      <c r="Y123" s="47" t="n">
        <f aca="false">-MIN(Y120+Y121+Y122,MAX(0,Y61-Helpers!Y26))</f>
        <v>-0</v>
      </c>
      <c r="Z123" s="47" t="n">
        <f aca="false">-MIN(Z120+Z121+Z122,MAX(0,Z61-Helpers!Z26))</f>
        <v>-0</v>
      </c>
      <c r="AA123" s="47" t="n">
        <f aca="false">-MIN(AA120+AA121+AA122,MAX(0,AA61-Helpers!AA26))</f>
        <v>-0</v>
      </c>
      <c r="AB123" s="47" t="n">
        <f aca="false">-MIN(AB120+AB121+AB122,MAX(0,AB61-Helpers!AB26))</f>
        <v>-0</v>
      </c>
      <c r="AC123" s="47" t="n">
        <f aca="false">-MIN(AC120+AC121+AC122,MAX(0,AC61-Helpers!AC26))</f>
        <v>-0</v>
      </c>
      <c r="AD123" s="47" t="n">
        <f aca="false">-MIN(AD120+AD121+AD122,MAX(0,AD61-Helpers!AD26))</f>
        <v>-0</v>
      </c>
      <c r="AE123" s="47" t="n">
        <f aca="false">-MIN(AE120+AE121+AE122,MAX(0,AE61-Helpers!AE26))</f>
        <v>-0</v>
      </c>
      <c r="AF123" s="47" t="n">
        <f aca="false">-MIN(AF120+AF121+AF122,MAX(0,AF61-Helpers!AF26))</f>
        <v>-0</v>
      </c>
      <c r="AG123" s="47" t="n">
        <f aca="false">-MIN(AG120+AG121+AG122,MAX(0,AG61-Helpers!AG26))</f>
        <v>-0</v>
      </c>
      <c r="AH123" s="47" t="n">
        <f aca="false">-MIN(AH120+AH121+AH122,MAX(0,AH61-Helpers!AH26))</f>
        <v>-0</v>
      </c>
      <c r="AI123" s="47" t="n">
        <f aca="false">-MIN(AI120+AI121+AI122,MAX(0,AI61-Helpers!AI26))</f>
        <v>-0</v>
      </c>
      <c r="AJ123" s="47" t="n">
        <f aca="false">-MIN(AJ120+AJ121+AJ122,MAX(0,AJ61-Helpers!AJ26))</f>
        <v>-0</v>
      </c>
      <c r="AK123" s="47" t="n">
        <f aca="false">-MIN(AK120+AK121+AK122,MAX(0,AK61-Helpers!AK26))</f>
        <v>-0</v>
      </c>
      <c r="AL123" s="47" t="n">
        <f aca="false">-MIN(AL120+AL121+AL122,MAX(0,AL61-Helpers!AL26))</f>
        <v>-0</v>
      </c>
      <c r="AM123" s="47" t="n">
        <f aca="false">-MIN(AM120+AM121+AM122,MAX(0,AM61-Helpers!AM26))</f>
        <v>-0</v>
      </c>
      <c r="AN123" s="47" t="n">
        <f aca="false">-MIN(AN120+AN121+AN122,MAX(0,AN61-Helpers!AN26))</f>
        <v>-0</v>
      </c>
      <c r="AO123" s="47" t="n">
        <f aca="false">-MIN(AO120+AO121+AO122,MAX(0,AO61-Helpers!AO26))</f>
        <v>-0</v>
      </c>
      <c r="AP123" s="47" t="n">
        <f aca="false">-MIN(AP120+AP121+AP122,MAX(0,AP61-Helpers!AP26))</f>
        <v>-0</v>
      </c>
      <c r="AQ123" s="47" t="n">
        <f aca="false">-MIN(AQ120+AQ121+AQ122,MAX(0,AQ61-Helpers!AQ26))</f>
        <v>-0</v>
      </c>
      <c r="AR123" s="47" t="n">
        <f aca="false">-MIN(AR120+AR121+AR122,MAX(0,AR61-Helpers!AR26))</f>
        <v>-0</v>
      </c>
      <c r="AS123" s="47" t="n">
        <f aca="false">-MIN(AS120+AS121+AS122,MAX(0,AS61-Helpers!AS26))</f>
        <v>-0</v>
      </c>
      <c r="AT123" s="47" t="n">
        <f aca="false">-MIN(AT120+AT121+AT122,MAX(0,AT61-Helpers!AT26))</f>
        <v>-0</v>
      </c>
      <c r="AU123" s="47" t="n">
        <f aca="false">-MIN(AU120+AU121+AU122,MAX(0,AU61-Helpers!AU26))</f>
        <v>-0</v>
      </c>
      <c r="AV123" s="47" t="n">
        <f aca="false">-MIN(AV120+AV121+AV122,MAX(0,AV61-Helpers!AV26))</f>
        <v>-0</v>
      </c>
      <c r="AW123" s="47" t="n">
        <f aca="false">-MIN(AW120+AW121+AW122,MAX(0,AW61-Helpers!AW26))</f>
        <v>-0</v>
      </c>
      <c r="AX123" s="47" t="n">
        <f aca="false">-MIN(AX120+AX121+AX122,MAX(0,AX61-Helpers!AX26))</f>
        <v>-0</v>
      </c>
      <c r="AY123" s="47" t="n">
        <f aca="false">-MIN(AY120+AY121+AY122,MAX(0,AY61-Helpers!AY26))</f>
        <v>-0</v>
      </c>
      <c r="AZ123" s="47" t="n">
        <f aca="false">-MIN(AZ120+AZ121+AZ122,MAX(0,AZ61-Helpers!AZ26))</f>
        <v>-0</v>
      </c>
      <c r="BA123" s="47" t="n">
        <f aca="false">-MIN(BA120+BA121+BA122,MAX(0,BA61-Helpers!BA26))</f>
        <v>-0</v>
      </c>
      <c r="BB123" s="47" t="n">
        <f aca="false">-MIN(BB120+BB121+BB122,MAX(0,BB61-Helpers!BB26))</f>
        <v>-0</v>
      </c>
      <c r="BC123" s="47" t="n">
        <f aca="false">-MIN(BC120+BC121+BC122,MAX(0,BC61-Helpers!BC26))</f>
        <v>-0</v>
      </c>
      <c r="BD123" s="47" t="n">
        <f aca="false">-MIN(BD120+BD121+BD122,MAX(0,BD61-Helpers!BD26))</f>
        <v>-0</v>
      </c>
      <c r="BE123" s="47" t="n">
        <f aca="false">-MIN(BE120+BE121+BE122,MAX(0,BE61-Helpers!BE26))</f>
        <v>-0</v>
      </c>
      <c r="BF123" s="47" t="n">
        <f aca="false">-MIN(BF120+BF121+BF122,MAX(0,BF61-Helpers!BF26))</f>
        <v>-0</v>
      </c>
      <c r="BG123" s="47" t="n">
        <f aca="false">-MIN(BG120+BG121+BG122,MAX(0,BG61-Helpers!BG26))</f>
        <v>-0</v>
      </c>
      <c r="BH123" s="47" t="n">
        <f aca="false">-MIN(BH120+BH121+BH122,MAX(0,BH61-Helpers!BH26))</f>
        <v>-0</v>
      </c>
      <c r="BI123" s="47" t="n">
        <f aca="false">-MIN(BI120+BI121+BI122,MAX(0,BI61-Helpers!BI26))</f>
        <v>-0</v>
      </c>
      <c r="BJ123" s="47" t="n">
        <f aca="false">-MIN(BJ120+BJ121+BJ122,MAX(0,BJ61-Helpers!BJ26))</f>
        <v>-0</v>
      </c>
      <c r="BK123" s="47" t="n">
        <f aca="false">-MIN(BK120+BK121+BK122,MAX(0,BK61-Helpers!BK26))</f>
        <v>-0</v>
      </c>
      <c r="BL123" s="47" t="n">
        <f aca="false">-MIN(BL120+BL121+BL122,MAX(0,BL61-Helpers!BL26))</f>
        <v>-0</v>
      </c>
      <c r="BM123" s="47" t="n">
        <f aca="false">-MIN(BM120+BM121+BM122,MAX(0,BM61-Helpers!BM26))</f>
        <v>-0</v>
      </c>
      <c r="BN123" s="47" t="n">
        <f aca="false">-MIN(BN120+BN121+BN122,MAX(0,BN61-Helpers!BN26))</f>
        <v>-0</v>
      </c>
      <c r="BO123" s="47" t="n">
        <f aca="false">-MIN(BO120+BO121+BO122,MAX(0,BO61-Helpers!BO26))</f>
        <v>-0</v>
      </c>
      <c r="BP123" s="47" t="n">
        <f aca="false">-MIN(BP120+BP121+BP122,MAX(0,BP61-Helpers!BP26))</f>
        <v>-0</v>
      </c>
      <c r="BQ123" s="47" t="n">
        <f aca="false">-MIN(BQ120+BQ121+BQ122,MAX(0,BQ61-Helpers!BQ26))</f>
        <v>-0</v>
      </c>
      <c r="BR123" s="47" t="n">
        <f aca="false">-MIN(BR120+BR121+BR122,MAX(0,BR61-Helpers!BR26))</f>
        <v>-0</v>
      </c>
      <c r="BS123" s="47" t="n">
        <f aca="false">-MIN(BS120+BS121+BS122,MAX(0,BS61-Helpers!BS26))</f>
        <v>-0</v>
      </c>
      <c r="BT123" s="47" t="n">
        <f aca="false">-MIN(BT120+BT121+BT122,MAX(0,BT61-Helpers!BT26))</f>
        <v>-0</v>
      </c>
      <c r="BU123" s="47" t="n">
        <f aca="false">-MIN(BU120+BU121+BU122,MAX(0,BU61-Helpers!BU26))</f>
        <v>-0</v>
      </c>
      <c r="BV123" s="47" t="n">
        <f aca="false">-MIN(BV120+BV121+BV122,MAX(0,BV61-Helpers!BV26))</f>
        <v>-0</v>
      </c>
      <c r="BW123" s="47" t="n">
        <f aca="false">-MIN(BW120+BW121+BW122,MAX(0,BW61-Helpers!BW26))</f>
        <v>-0</v>
      </c>
      <c r="BX123" s="47" t="n">
        <f aca="false">-MIN(BX120+BX121+BX122,MAX(0,BX61-Helpers!BX26))</f>
        <v>-0</v>
      </c>
      <c r="BY123" s="47" t="n">
        <f aca="false">-MIN(BY120+BY121+BY122,MAX(0,BY61-Helpers!BY26))</f>
        <v>-0</v>
      </c>
      <c r="BZ123" s="47" t="n">
        <f aca="false">-MIN(BZ120+BZ121+BZ122,MAX(0,BZ61-Helpers!BZ26))</f>
        <v>-0</v>
      </c>
      <c r="CA123" s="47" t="n">
        <f aca="false">-MIN(CA120+CA121+CA122,MAX(0,CA61-Helpers!CA26))</f>
        <v>-0</v>
      </c>
      <c r="CB123" s="47" t="n">
        <f aca="false">-MIN(CB120+CB121+CB122,MAX(0,CB61-Helpers!CB26))</f>
        <v>-0</v>
      </c>
      <c r="CC123" s="47" t="n">
        <f aca="false">-MIN(CC120+CC121+CC122,MAX(0,CC61-Helpers!CC26))</f>
        <v>-0</v>
      </c>
      <c r="CD123" s="47" t="n">
        <f aca="false">-MIN(CD120+CD121+CD122,MAX(0,CD61-Helpers!CD26))</f>
        <v>-0</v>
      </c>
      <c r="CE123" s="47" t="n">
        <f aca="false">-MIN(CE120+CE121+CE122,MAX(0,CE61-Helpers!CE26))</f>
        <v>-0</v>
      </c>
      <c r="CF123" s="47" t="n">
        <f aca="false">-MIN(CF120+CF121+CF122,MAX(0,CF61-Helpers!CF26))</f>
        <v>-0</v>
      </c>
      <c r="CG123" s="47" t="n">
        <f aca="false">-MIN(CG120+CG121+CG122,MAX(0,CG61-Helpers!CG26))</f>
        <v>-0</v>
      </c>
      <c r="CH123" s="47" t="n">
        <f aca="false">-MIN(CH120+CH121+CH122,MAX(0,CH61-Helpers!CH26))</f>
        <v>-0</v>
      </c>
      <c r="CI123" s="25"/>
    </row>
    <row r="124" customFormat="false" ht="15" hidden="false" customHeight="true" outlineLevel="0" collapsed="false">
      <c r="A124" s="41" t="s">
        <v>149</v>
      </c>
      <c r="B124" s="42"/>
      <c r="C124" s="43" t="n">
        <f aca="false">MAX(0,C120+C121+C122+C123)</f>
        <v>264927.15</v>
      </c>
      <c r="D124" s="43" t="n">
        <f aca="false">MAX(0,D120+D121+D122+D123)</f>
        <v>264927.15</v>
      </c>
      <c r="E124" s="43" t="n">
        <f aca="false">MAX(0,E120+E121+E122+E123)</f>
        <v>458103.196875</v>
      </c>
      <c r="F124" s="43" t="n">
        <f aca="false">MAX(0,F120+F121+F122+F123)</f>
        <v>458103.196875</v>
      </c>
      <c r="G124" s="43" t="n">
        <f aca="false">MAX(0,G120+G121+G122+G123)</f>
        <v>458103.196875</v>
      </c>
      <c r="H124" s="43" t="n">
        <f aca="false">MAX(0,H120+H121+H122+H123)</f>
        <v>658523.345507813</v>
      </c>
      <c r="I124" s="43" t="n">
        <f aca="false">MAX(0,I120+I121+I122+I123)</f>
        <v>658523.345507813</v>
      </c>
      <c r="J124" s="43" t="n">
        <f aca="false">MAX(0,J120+J121+J122+J123)</f>
        <v>658523.345507813</v>
      </c>
      <c r="K124" s="43" t="n">
        <f aca="false">MAX(0,K120+K121+K122+K123)</f>
        <v>683217.970964355</v>
      </c>
      <c r="L124" s="43" t="n">
        <f aca="false">MAX(0,L120+L121+L122+L123)</f>
        <v>771527.020964355</v>
      </c>
      <c r="M124" s="43" t="n">
        <f aca="false">MAX(0,M120+M121+M122+M123)</f>
        <v>771527.020964355</v>
      </c>
      <c r="N124" s="43" t="n">
        <f aca="false">MAX(0,N120+N121+N122+N123)</f>
        <v>800459.284250519</v>
      </c>
      <c r="O124" s="43" t="n">
        <f aca="false">MAX(0,O120+O121+O122+O123)</f>
        <v>800459.284250519</v>
      </c>
      <c r="P124" s="43" t="n">
        <f aca="false">MAX(0,P120+P121+P122+P123)</f>
        <v>800459.284250519</v>
      </c>
      <c r="Q124" s="43" t="n">
        <f aca="false">MAX(0,Q120+Q121+Q122+Q123)</f>
        <v>922097.146784913</v>
      </c>
      <c r="R124" s="43" t="n">
        <f aca="false">MAX(0,R120+R121+R122+R123)</f>
        <v>922097.146784913</v>
      </c>
      <c r="S124" s="43" t="n">
        <f aca="false">MAX(0,S120+S121+S122+S123)</f>
        <v>922097.146784913</v>
      </c>
      <c r="T124" s="43" t="n">
        <f aca="false">MAX(0,T120+T121+T122+T123)</f>
        <v>956675.789789348</v>
      </c>
      <c r="U124" s="43" t="n">
        <f aca="false">MAX(0,U120+U121+U122+U123)</f>
        <v>956675.789789348</v>
      </c>
      <c r="V124" s="43" t="n">
        <f aca="false">MAX(0,V120+V121+V122+V123)</f>
        <v>956675.789789348</v>
      </c>
      <c r="W124" s="43" t="n">
        <f aca="false">MAX(0,W120+W121+W122+W123)</f>
        <v>1084171.77128145</v>
      </c>
      <c r="X124" s="43" t="n">
        <f aca="false">MAX(0,X120+X121+X122+X123)</f>
        <v>1084171.77128145</v>
      </c>
      <c r="Y124" s="43" t="n">
        <f aca="false">MAX(0,Y120+Y121+Y122+Y123)</f>
        <v>1084171.77128145</v>
      </c>
      <c r="Z124" s="43" t="n">
        <f aca="false">MAX(0,Z120+Z121+Z122+Z123)</f>
        <v>1124828.2127045</v>
      </c>
      <c r="AA124" s="43" t="n">
        <f aca="false">MAX(0,AA120+AA121+AA122+AA123)</f>
        <v>1124828.2127045</v>
      </c>
      <c r="AB124" s="43" t="n">
        <f aca="false">MAX(0,AB120+AB121+AB122+AB123)</f>
        <v>1124828.2127045</v>
      </c>
      <c r="AC124" s="43" t="n">
        <f aca="false">MAX(0,AC120+AC121+AC122+AC123)</f>
        <v>283215.664430921</v>
      </c>
      <c r="AD124" s="43" t="n">
        <f aca="false">MAX(0,AD120+AD121+AD122+AD123)</f>
        <v>283215.664430921</v>
      </c>
      <c r="AE124" s="43" t="n">
        <f aca="false">MAX(0,AE120+AE121+AE122+AE123)</f>
        <v>283215.664430921</v>
      </c>
      <c r="AF124" s="43" t="n">
        <f aca="false">MAX(0,AF120+AF121+AF122+AF123)</f>
        <v>293836.251847081</v>
      </c>
      <c r="AG124" s="43" t="n">
        <f aca="false">MAX(0,AG120+AG121+AG122+AG123)</f>
        <v>293836.251847081</v>
      </c>
      <c r="AH124" s="43" t="n">
        <f aca="false">MAX(0,AH120+AH121+AH122+AH123)</f>
        <v>293836.251847081</v>
      </c>
      <c r="AI124" s="43" t="n">
        <f aca="false">MAX(0,AI120+AI121+AI122+AI123)</f>
        <v>304855.111291347</v>
      </c>
      <c r="AJ124" s="43" t="n">
        <f aca="false">MAX(0,AJ120+AJ121+AJ122+AJ123)</f>
        <v>304855.111291347</v>
      </c>
      <c r="AK124" s="43" t="n">
        <f aca="false">MAX(0,AK120+AK121+AK122+AK123)</f>
        <v>304855.111291347</v>
      </c>
      <c r="AL124" s="43" t="n">
        <f aca="false">MAX(0,AL120+AL121+AL122+AL123)</f>
        <v>316287.177964772</v>
      </c>
      <c r="AM124" s="43" t="n">
        <f aca="false">MAX(0,AM120+AM121+AM122+AM123)</f>
        <v>316287.177964772</v>
      </c>
      <c r="AN124" s="43" t="n">
        <f aca="false">MAX(0,AN120+AN121+AN122+AN123)</f>
        <v>316287.177964772</v>
      </c>
      <c r="AO124" s="43" t="n">
        <f aca="false">MAX(0,AO120+AO121+AO122+AO123)</f>
        <v>328147.947138451</v>
      </c>
      <c r="AP124" s="43" t="n">
        <f aca="false">MAX(0,AP120+AP121+AP122+AP123)</f>
        <v>328147.947138451</v>
      </c>
      <c r="AQ124" s="43" t="n">
        <f aca="false">MAX(0,AQ120+AQ121+AQ122+AQ123)</f>
        <v>328147.947138451</v>
      </c>
      <c r="AR124" s="43" t="n">
        <f aca="false">MAX(0,AR120+AR121+AR122+AR123)</f>
        <v>340453.495156143</v>
      </c>
      <c r="AS124" s="43" t="n">
        <f aca="false">MAX(0,AS120+AS121+AS122+AS123)</f>
        <v>340453.495156143</v>
      </c>
      <c r="AT124" s="43" t="n">
        <f aca="false">MAX(0,AT120+AT121+AT122+AT123)</f>
        <v>340453.495156143</v>
      </c>
      <c r="AU124" s="43" t="n">
        <f aca="false">MAX(0,AU120+AU121+AU122+AU123)</f>
        <v>353220.501224498</v>
      </c>
      <c r="AV124" s="43" t="n">
        <f aca="false">MAX(0,AV120+AV121+AV122+AV123)</f>
        <v>353220.501224498</v>
      </c>
      <c r="AW124" s="43" t="n">
        <f aca="false">MAX(0,AW120+AW121+AW122+AW123)</f>
        <v>353220.501224498</v>
      </c>
      <c r="AX124" s="43" t="n">
        <f aca="false">MAX(0,AX120+AX121+AX122+AX123)</f>
        <v>366466.270020417</v>
      </c>
      <c r="AY124" s="43" t="n">
        <f aca="false">MAX(0,AY120+AY121+AY122+AY123)</f>
        <v>366466.270020417</v>
      </c>
      <c r="AZ124" s="43" t="n">
        <f aca="false">MAX(0,AZ120+AZ121+AZ122+AZ123)</f>
        <v>366466.270020417</v>
      </c>
      <c r="BA124" s="43" t="n">
        <f aca="false">MAX(0,BA120+BA121+BA122+BA123)</f>
        <v>380208.755146183</v>
      </c>
      <c r="BB124" s="43" t="n">
        <f aca="false">MAX(0,BB120+BB121+BB122+BB123)</f>
        <v>380208.755146183</v>
      </c>
      <c r="BC124" s="43" t="n">
        <f aca="false">MAX(0,BC120+BC121+BC122+BC123)</f>
        <v>380208.755146183</v>
      </c>
      <c r="BD124" s="43" t="n">
        <f aca="false">MAX(0,BD120+BD121+BD122+BD123)</f>
        <v>394466.583464164</v>
      </c>
      <c r="BE124" s="43" t="n">
        <f aca="false">MAX(0,BE120+BE121+BE122+BE123)</f>
        <v>394466.583464164</v>
      </c>
      <c r="BF124" s="43" t="n">
        <f aca="false">MAX(0,BF120+BF121+BF122+BF123)</f>
        <v>394466.583464164</v>
      </c>
      <c r="BG124" s="43" t="n">
        <f aca="false">MAX(0,BG120+BG121+BG122+BG123)</f>
        <v>409259.080344071</v>
      </c>
      <c r="BH124" s="43" t="n">
        <f aca="false">MAX(0,BH120+BH121+BH122+BH123)</f>
        <v>409259.080344071</v>
      </c>
      <c r="BI124" s="43" t="n">
        <f aca="false">MAX(0,BI120+BI121+BI122+BI123)</f>
        <v>409259.080344071</v>
      </c>
      <c r="BJ124" s="43" t="n">
        <f aca="false">MAX(0,BJ120+BJ121+BJ122+BJ123)</f>
        <v>424606.295856973</v>
      </c>
      <c r="BK124" s="43" t="n">
        <f aca="false">MAX(0,BK120+BK121+BK122+BK123)</f>
        <v>424606.295856973</v>
      </c>
      <c r="BL124" s="43" t="n">
        <f aca="false">MAX(0,BL120+BL121+BL122+BL123)</f>
        <v>424606.295856973</v>
      </c>
      <c r="BM124" s="43" t="n">
        <f aca="false">MAX(0,BM120+BM121+BM122+BM123)</f>
        <v>440529.03195161</v>
      </c>
      <c r="BN124" s="43" t="n">
        <f aca="false">MAX(0,BN120+BN121+BN122+BN123)</f>
        <v>440529.03195161</v>
      </c>
      <c r="BO124" s="43" t="n">
        <f aca="false">MAX(0,BO120+BO121+BO122+BO123)</f>
        <v>440529.03195161</v>
      </c>
      <c r="BP124" s="43" t="n">
        <f aca="false">MAX(0,BP120+BP121+BP122+BP123)</f>
        <v>457048.870649795</v>
      </c>
      <c r="BQ124" s="43" t="n">
        <f aca="false">MAX(0,BQ120+BQ121+BQ122+BQ123)</f>
        <v>457048.870649795</v>
      </c>
      <c r="BR124" s="43" t="n">
        <f aca="false">MAX(0,BR120+BR121+BR122+BR123)</f>
        <v>457048.870649795</v>
      </c>
      <c r="BS124" s="43" t="n">
        <f aca="false">MAX(0,BS120+BS121+BS122+BS123)</f>
        <v>474188.203299162</v>
      </c>
      <c r="BT124" s="43" t="n">
        <f aca="false">MAX(0,BT120+BT121+BT122+BT123)</f>
        <v>474188.203299162</v>
      </c>
      <c r="BU124" s="43" t="n">
        <f aca="false">MAX(0,BU120+BU121+BU122+BU123)</f>
        <v>474188.203299162</v>
      </c>
      <c r="BV124" s="43" t="n">
        <f aca="false">MAX(0,BV120+BV121+BV122+BV123)</f>
        <v>491970.260922881</v>
      </c>
      <c r="BW124" s="43" t="n">
        <f aca="false">MAX(0,BW120+BW121+BW122+BW123)</f>
        <v>491970.260922881</v>
      </c>
      <c r="BX124" s="43" t="n">
        <f aca="false">MAX(0,BX120+BX121+BX122+BX123)</f>
        <v>491970.260922881</v>
      </c>
      <c r="BY124" s="43" t="n">
        <f aca="false">MAX(0,BY120+BY121+BY122+BY123)</f>
        <v>510419.145707489</v>
      </c>
      <c r="BZ124" s="43" t="n">
        <f aca="false">MAX(0,BZ120+BZ121+BZ122+BZ123)</f>
        <v>510419.145707489</v>
      </c>
      <c r="CA124" s="43" t="n">
        <f aca="false">MAX(0,CA120+CA121+CA122+CA123)</f>
        <v>510419.145707489</v>
      </c>
      <c r="CB124" s="43" t="n">
        <f aca="false">MAX(0,CB120+CB121+CB122+CB123)</f>
        <v>529559.86367152</v>
      </c>
      <c r="CC124" s="43" t="n">
        <f aca="false">MAX(0,CC120+CC121+CC122+CC123)</f>
        <v>529559.86367152</v>
      </c>
      <c r="CD124" s="43" t="n">
        <f aca="false">MAX(0,CD120+CD121+CD122+CD123)</f>
        <v>529559.86367152</v>
      </c>
      <c r="CE124" s="43" t="n">
        <f aca="false">MAX(0,CE120+CE121+CE122+CE123)</f>
        <v>549418.358559202</v>
      </c>
      <c r="CF124" s="43" t="n">
        <f aca="false">MAX(0,CF120+CF121+CF122+CF123)</f>
        <v>549418.358559202</v>
      </c>
      <c r="CG124" s="43" t="n">
        <f aca="false">MAX(0,CG120+CG121+CG122+CG123)</f>
        <v>549418.358559202</v>
      </c>
      <c r="CH124" s="43" t="n">
        <f aca="false">MAX(0,CH120+CH121+CH122+CH123)</f>
        <v>570021.547005172</v>
      </c>
      <c r="CI124" s="25"/>
    </row>
    <row r="125" customFormat="false" ht="15" hidden="false" customHeight="true" outlineLevel="0" collapsed="false">
      <c r="A125" s="44" t="s">
        <v>150</v>
      </c>
      <c r="B125" s="44"/>
      <c r="C125" s="45" t="n">
        <f aca="false">IF(Projects!$G$13="Yes",Assumptions!$B$71,0)</f>
        <v>1134000</v>
      </c>
      <c r="D125" s="45" t="n">
        <f aca="false">C129+IF(AND(Projects!$G$13="Yes",2&lt;=Assumptions!$B$73),Assumptions!$B$72,0)</f>
        <v>1184000</v>
      </c>
      <c r="E125" s="45" t="n">
        <f aca="false">D129+IF(AND(Projects!$G$13="Yes",3&lt;=Assumptions!$B$73),Assumptions!$B$72,0)</f>
        <v>1234000</v>
      </c>
      <c r="F125" s="45" t="n">
        <f aca="false">E129+IF(AND(Projects!$G$13="Yes",4&lt;=Assumptions!$B$73),Assumptions!$B$72,0)</f>
        <v>1330275</v>
      </c>
      <c r="G125" s="45" t="n">
        <f aca="false">F129+IF(AND(Projects!$G$13="Yes",5&lt;=Assumptions!$B$73),Assumptions!$B$72,0)</f>
        <v>1380275</v>
      </c>
      <c r="H125" s="45" t="n">
        <f aca="false">G129+IF(AND(Projects!$G$13="Yes",6&lt;=Assumptions!$B$73),Assumptions!$B$72,0)</f>
        <v>1430275</v>
      </c>
      <c r="I125" s="45" t="n">
        <f aca="false">H129+IF(AND(Projects!$G$13="Yes",7&lt;=Assumptions!$B$73),Assumptions!$B$72,0)</f>
        <v>1533910.3125</v>
      </c>
      <c r="J125" s="45" t="n">
        <f aca="false">I129+IF(AND(Projects!$G$13="Yes",8&lt;=Assumptions!$B$73),Assumptions!$B$72,0)</f>
        <v>1583910.3125</v>
      </c>
      <c r="K125" s="45" t="n">
        <f aca="false">J129+IF(AND(Projects!$G$13="Yes",9&lt;=Assumptions!$B$73),Assumptions!$B$72,0)</f>
        <v>1633910.3125</v>
      </c>
      <c r="L125" s="45" t="n">
        <f aca="false">K129+IF(AND(Projects!$G$13="Yes",10&lt;=Assumptions!$B$73),Assumptions!$B$72,0)</f>
        <v>1745181.94921875</v>
      </c>
      <c r="M125" s="45" t="n">
        <f aca="false">L129+IF(AND(Projects!$G$13="Yes",11&lt;=Assumptions!$B$73),Assumptions!$B$72,0)</f>
        <v>1795181.94921875</v>
      </c>
      <c r="N125" s="45" t="n">
        <f aca="false">M129+IF(AND(Projects!$G$13="Yes",12&lt;=Assumptions!$B$73),Assumptions!$B$72,0)</f>
        <v>1845181.94921875</v>
      </c>
      <c r="O125" s="45" t="n">
        <f aca="false">N129+IF(AND(Projects!$G$13="Yes",13&lt;=Assumptions!$B$73),Assumptions!$B$72,0)</f>
        <v>1964376.27231445</v>
      </c>
      <c r="P125" s="45" t="n">
        <f aca="false">O129+IF(AND(Projects!$G$13="Yes",14&lt;=Assumptions!$B$73),Assumptions!$B$72,0)</f>
        <v>564376.272314453</v>
      </c>
      <c r="Q125" s="45" t="n">
        <f aca="false">P129+IF(AND(Projects!$G$13="Yes",15&lt;=Assumptions!$B$73),Assumptions!$B$72,0)</f>
        <v>564376.272314453</v>
      </c>
      <c r="R125" s="45" t="n">
        <f aca="false">Q129+IF(AND(Projects!$G$13="Yes",16&lt;=Assumptions!$B$73),Assumptions!$B$72,0)</f>
        <v>585540.382526245</v>
      </c>
      <c r="S125" s="45" t="n">
        <f aca="false">R129+IF(AND(Projects!$G$13="Yes",17&lt;=Assumptions!$B$73),Assumptions!$B$72,0)</f>
        <v>585540.382526245</v>
      </c>
      <c r="T125" s="45" t="n">
        <f aca="false">S129+IF(AND(Projects!$G$13="Yes",18&lt;=Assumptions!$B$73),Assumptions!$B$72,0)</f>
        <v>585540.382526245</v>
      </c>
      <c r="U125" s="45" t="n">
        <f aca="false">T129+IF(AND(Projects!$G$13="Yes",19&lt;=Assumptions!$B$73),Assumptions!$B$72,0)</f>
        <v>607498.146870979</v>
      </c>
      <c r="V125" s="45" t="n">
        <f aca="false">U129+IF(AND(Projects!$G$13="Yes",20&lt;=Assumptions!$B$73),Assumptions!$B$72,0)</f>
        <v>607498.146870979</v>
      </c>
      <c r="W125" s="45" t="n">
        <f aca="false">V129+IF(AND(Projects!$G$13="Yes",21&lt;=Assumptions!$B$73),Assumptions!$B$72,0)</f>
        <v>607498.146870979</v>
      </c>
      <c r="X125" s="45" t="n">
        <f aca="false">W129+IF(AND(Projects!$G$13="Yes",22&lt;=Assumptions!$B$73),Assumptions!$B$72,0)</f>
        <v>630279.327378641</v>
      </c>
      <c r="Y125" s="45" t="n">
        <f aca="false">X129+IF(AND(Projects!$G$13="Yes",23&lt;=Assumptions!$B$73),Assumptions!$B$72,0)</f>
        <v>630279.327378641</v>
      </c>
      <c r="Z125" s="45" t="n">
        <f aca="false">Y129+IF(AND(Projects!$G$13="Yes",24&lt;=Assumptions!$B$73),Assumptions!$B$72,0)</f>
        <v>630279.327378641</v>
      </c>
      <c r="AA125" s="45" t="n">
        <f aca="false">Z129+IF(AND(Projects!$G$13="Yes",25&lt;=Assumptions!$B$73),Assumptions!$B$72,0)</f>
        <v>653914.80215534</v>
      </c>
      <c r="AB125" s="45" t="n">
        <f aca="false">AA129+IF(AND(Projects!$G$13="Yes",26&lt;=Assumptions!$B$73),Assumptions!$B$72,0)</f>
        <v>653914.80215534</v>
      </c>
      <c r="AC125" s="45" t="n">
        <f aca="false">AB129+IF(AND(Projects!$G$13="Yes",27&lt;=Assumptions!$B$73),Assumptions!$B$72,0)</f>
        <v>653914.80215534</v>
      </c>
      <c r="AD125" s="45" t="n">
        <f aca="false">AC129+IF(AND(Projects!$G$13="Yes",28&lt;=Assumptions!$B$73),Assumptions!$B$72,0)</f>
        <v>678436.607236165</v>
      </c>
      <c r="AE125" s="45" t="n">
        <f aca="false">AD129+IF(AND(Projects!$G$13="Yes",29&lt;=Assumptions!$B$73),Assumptions!$B$72,0)</f>
        <v>678436.607236165</v>
      </c>
      <c r="AF125" s="45" t="n">
        <f aca="false">AE129+IF(AND(Projects!$G$13="Yes",30&lt;=Assumptions!$B$73),Assumptions!$B$72,0)</f>
        <v>678436.607236165</v>
      </c>
      <c r="AG125" s="45" t="n">
        <f aca="false">AF129+IF(AND(Projects!$G$13="Yes",31&lt;=Assumptions!$B$73),Assumptions!$B$72,0)</f>
        <v>703877.980007521</v>
      </c>
      <c r="AH125" s="45" t="n">
        <f aca="false">AG129+IF(AND(Projects!$G$13="Yes",32&lt;=Assumptions!$B$73),Assumptions!$B$72,0)</f>
        <v>703877.980007521</v>
      </c>
      <c r="AI125" s="45" t="n">
        <f aca="false">AH129+IF(AND(Projects!$G$13="Yes",33&lt;=Assumptions!$B$73),Assumptions!$B$72,0)</f>
        <v>703877.980007521</v>
      </c>
      <c r="AJ125" s="45" t="n">
        <f aca="false">AI129+IF(AND(Projects!$G$13="Yes",34&lt;=Assumptions!$B$73),Assumptions!$B$72,0)</f>
        <v>730273.404257803</v>
      </c>
      <c r="AK125" s="45" t="n">
        <f aca="false">AJ129+IF(AND(Projects!$G$13="Yes",35&lt;=Assumptions!$B$73),Assumptions!$B$72,0)</f>
        <v>730273.404257803</v>
      </c>
      <c r="AL125" s="45" t="n">
        <f aca="false">AK129+IF(AND(Projects!$G$13="Yes",36&lt;=Assumptions!$B$73),Assumptions!$B$72,0)</f>
        <v>730273.404257803</v>
      </c>
      <c r="AM125" s="45" t="n">
        <f aca="false">AL129+IF(AND(Projects!$G$13="Yes",37&lt;=Assumptions!$B$73),Assumptions!$B$72,0)</f>
        <v>757658.656917471</v>
      </c>
      <c r="AN125" s="45" t="n">
        <f aca="false">AM129+IF(AND(Projects!$G$13="Yes",38&lt;=Assumptions!$B$73),Assumptions!$B$72,0)</f>
        <v>757658.656917471</v>
      </c>
      <c r="AO125" s="45" t="n">
        <f aca="false">AN129+IF(AND(Projects!$G$13="Yes",39&lt;=Assumptions!$B$73),Assumptions!$B$72,0)</f>
        <v>757658.656917471</v>
      </c>
      <c r="AP125" s="45" t="n">
        <f aca="false">AO129+IF(AND(Projects!$G$13="Yes",40&lt;=Assumptions!$B$73),Assumptions!$B$72,0)</f>
        <v>786070.856551876</v>
      </c>
      <c r="AQ125" s="45" t="n">
        <f aca="false">AP129+IF(AND(Projects!$G$13="Yes",41&lt;=Assumptions!$B$73),Assumptions!$B$72,0)</f>
        <v>786070.856551876</v>
      </c>
      <c r="AR125" s="45" t="n">
        <f aca="false">AQ129+IF(AND(Projects!$G$13="Yes",42&lt;=Assumptions!$B$73),Assumptions!$B$72,0)</f>
        <v>786070.856551876</v>
      </c>
      <c r="AS125" s="45" t="n">
        <f aca="false">AR129+IF(AND(Projects!$G$13="Yes",43&lt;=Assumptions!$B$73),Assumptions!$B$72,0)</f>
        <v>815548.513672571</v>
      </c>
      <c r="AT125" s="45" t="n">
        <f aca="false">AS129+IF(AND(Projects!$G$13="Yes",44&lt;=Assumptions!$B$73),Assumptions!$B$72,0)</f>
        <v>815548.513672571</v>
      </c>
      <c r="AU125" s="45" t="n">
        <f aca="false">AT129+IF(AND(Projects!$G$13="Yes",45&lt;=Assumptions!$B$73),Assumptions!$B$72,0)</f>
        <v>815548.513672571</v>
      </c>
      <c r="AV125" s="45" t="n">
        <f aca="false">AU129+IF(AND(Projects!$G$13="Yes",46&lt;=Assumptions!$B$73),Assumptions!$B$72,0)</f>
        <v>846131.582935293</v>
      </c>
      <c r="AW125" s="45" t="n">
        <f aca="false">AV129+IF(AND(Projects!$G$13="Yes",47&lt;=Assumptions!$B$73),Assumptions!$B$72,0)</f>
        <v>846131.582935293</v>
      </c>
      <c r="AX125" s="45" t="n">
        <f aca="false">AW129+IF(AND(Projects!$G$13="Yes",48&lt;=Assumptions!$B$73),Assumptions!$B$72,0)</f>
        <v>846131.582935293</v>
      </c>
      <c r="AY125" s="45" t="n">
        <f aca="false">AX129+IF(AND(Projects!$G$13="Yes",49&lt;=Assumptions!$B$73),Assumptions!$B$72,0)</f>
        <v>877861.517295366</v>
      </c>
      <c r="AZ125" s="45" t="n">
        <f aca="false">AY129+IF(AND(Projects!$G$13="Yes",50&lt;=Assumptions!$B$73),Assumptions!$B$72,0)</f>
        <v>877861.517295366</v>
      </c>
      <c r="BA125" s="45" t="n">
        <f aca="false">AZ129+IF(AND(Projects!$G$13="Yes",51&lt;=Assumptions!$B$73),Assumptions!$B$72,0)</f>
        <v>877861.517295366</v>
      </c>
      <c r="BB125" s="45" t="n">
        <f aca="false">BA129+IF(AND(Projects!$G$13="Yes",52&lt;=Assumptions!$B$73),Assumptions!$B$72,0)</f>
        <v>661610.024193943</v>
      </c>
      <c r="BC125" s="45" t="n">
        <f aca="false">BB129+IF(AND(Projects!$G$13="Yes",53&lt;=Assumptions!$B$73),Assumptions!$B$72,0)</f>
        <v>661610.024193943</v>
      </c>
      <c r="BD125" s="45" t="n">
        <f aca="false">BC129+IF(AND(Projects!$G$13="Yes",54&lt;=Assumptions!$B$73),Assumptions!$B$72,0)</f>
        <v>661610.024193943</v>
      </c>
      <c r="BE125" s="45" t="n">
        <f aca="false">BD129+IF(AND(Projects!$G$13="Yes",55&lt;=Assumptions!$B$73),Assumptions!$B$72,0)</f>
        <v>614720.400101215</v>
      </c>
      <c r="BF125" s="45" t="n">
        <f aca="false">BE129+IF(AND(Projects!$G$13="Yes",56&lt;=Assumptions!$B$73),Assumptions!$B$72,0)</f>
        <v>614720.400101215</v>
      </c>
      <c r="BG125" s="45" t="n">
        <f aca="false">BF129+IF(AND(Projects!$G$13="Yes",57&lt;=Assumptions!$B$73),Assumptions!$B$72,0)</f>
        <v>614720.400101215</v>
      </c>
      <c r="BH125" s="45" t="n">
        <f aca="false">BG129+IF(AND(Projects!$G$13="Yes",58&lt;=Assumptions!$B$73),Assumptions!$B$72,0)</f>
        <v>566072.415105011</v>
      </c>
      <c r="BI125" s="45" t="n">
        <f aca="false">BH129+IF(AND(Projects!$G$13="Yes",59&lt;=Assumptions!$B$73),Assumptions!$B$72,0)</f>
        <v>566072.415105011</v>
      </c>
      <c r="BJ125" s="45" t="n">
        <f aca="false">BI129+IF(AND(Projects!$G$13="Yes",60&lt;=Assumptions!$B$73),Assumptions!$B$72,0)</f>
        <v>566072.415105011</v>
      </c>
      <c r="BK125" s="45" t="n">
        <f aca="false">BJ129+IF(AND(Projects!$G$13="Yes",61&lt;=Assumptions!$B$73),Assumptions!$B$72,0)</f>
        <v>515600.130671449</v>
      </c>
      <c r="BL125" s="45" t="n">
        <f aca="false">BK129+IF(AND(Projects!$G$13="Yes",62&lt;=Assumptions!$B$73),Assumptions!$B$72,0)</f>
        <v>515600.130671449</v>
      </c>
      <c r="BM125" s="45" t="n">
        <f aca="false">BL129+IF(AND(Projects!$G$13="Yes",63&lt;=Assumptions!$B$73),Assumptions!$B$72,0)</f>
        <v>515600.130671449</v>
      </c>
      <c r="BN125" s="45" t="n">
        <f aca="false">BM129+IF(AND(Projects!$G$13="Yes",64&lt;=Assumptions!$B$73),Assumptions!$B$72,0)</f>
        <v>463235.135571628</v>
      </c>
      <c r="BO125" s="45" t="n">
        <f aca="false">BN129+IF(AND(Projects!$G$13="Yes",65&lt;=Assumptions!$B$73),Assumptions!$B$72,0)</f>
        <v>463235.135571628</v>
      </c>
      <c r="BP125" s="45" t="n">
        <f aca="false">BO129+IF(AND(Projects!$G$13="Yes",66&lt;=Assumptions!$B$73),Assumptions!$B$72,0)</f>
        <v>463235.135571628</v>
      </c>
      <c r="BQ125" s="45" t="n">
        <f aca="false">BP129+IF(AND(Projects!$G$13="Yes",67&lt;=Assumptions!$B$73),Assumptions!$B$72,0)</f>
        <v>405963.453155564</v>
      </c>
      <c r="BR125" s="45" t="n">
        <f aca="false">BQ129+IF(AND(Projects!$G$13="Yes",68&lt;=Assumptions!$B$73),Assumptions!$B$72,0)</f>
        <v>405963.453155564</v>
      </c>
      <c r="BS125" s="45" t="n">
        <f aca="false">BR129+IF(AND(Projects!$G$13="Yes",69&lt;=Assumptions!$B$73),Assumptions!$B$72,0)</f>
        <v>405963.453155564</v>
      </c>
      <c r="BT125" s="45" t="n">
        <f aca="false">BS129+IF(AND(Projects!$G$13="Yes",70&lt;=Assumptions!$B$73),Assumptions!$B$72,0)</f>
        <v>346547.082648898</v>
      </c>
      <c r="BU125" s="45" t="n">
        <f aca="false">BT129+IF(AND(Projects!$G$13="Yes",71&lt;=Assumptions!$B$73),Assumptions!$B$72,0)</f>
        <v>346547.082648898</v>
      </c>
      <c r="BV125" s="45" t="n">
        <f aca="false">BU129+IF(AND(Projects!$G$13="Yes",72&lt;=Assumptions!$B$73),Assumptions!$B$72,0)</f>
        <v>346547.082648898</v>
      </c>
      <c r="BW125" s="45" t="n">
        <f aca="false">BV129+IF(AND(Projects!$G$13="Yes",73&lt;=Assumptions!$B$73),Assumptions!$B$72,0)</f>
        <v>284902.598248232</v>
      </c>
      <c r="BX125" s="45" t="n">
        <f aca="false">BW129+IF(AND(Projects!$G$13="Yes",74&lt;=Assumptions!$B$73),Assumptions!$B$72,0)</f>
        <v>284902.598248232</v>
      </c>
      <c r="BY125" s="45" t="n">
        <f aca="false">BX129+IF(AND(Projects!$G$13="Yes",75&lt;=Assumptions!$B$73),Assumptions!$B$72,0)</f>
        <v>284902.598248232</v>
      </c>
      <c r="BZ125" s="45" t="n">
        <f aca="false">BY129+IF(AND(Projects!$G$13="Yes",76&lt;=Assumptions!$B$73),Assumptions!$B$72,0)</f>
        <v>220946.44568254</v>
      </c>
      <c r="CA125" s="45" t="n">
        <f aca="false">BZ129+IF(AND(Projects!$G$13="Yes",77&lt;=Assumptions!$B$73),Assumptions!$B$72,0)</f>
        <v>220946.44568254</v>
      </c>
      <c r="CB125" s="45" t="n">
        <f aca="false">CA129+IF(AND(Projects!$G$13="Yes",78&lt;=Assumptions!$B$73),Assumptions!$B$72,0)</f>
        <v>220946.44568254</v>
      </c>
      <c r="CC125" s="45" t="n">
        <f aca="false">CB129+IF(AND(Projects!$G$13="Yes",79&lt;=Assumptions!$B$73),Assumptions!$B$72,0)</f>
        <v>147868.937395636</v>
      </c>
      <c r="CD125" s="45" t="n">
        <f aca="false">CC129+IF(AND(Projects!$G$13="Yes",80&lt;=Assumptions!$B$73),Assumptions!$B$72,0)</f>
        <v>147868.937395636</v>
      </c>
      <c r="CE125" s="45" t="n">
        <f aca="false">CD129+IF(AND(Projects!$G$13="Yes",81&lt;=Assumptions!$B$73),Assumptions!$B$72,0)</f>
        <v>147868.937395636</v>
      </c>
      <c r="CF125" s="45" t="n">
        <f aca="false">CE129+IF(AND(Projects!$G$13="Yes",82&lt;=Assumptions!$B$73),Assumptions!$B$72,0)</f>
        <v>72052.0225479718</v>
      </c>
      <c r="CG125" s="45" t="n">
        <f aca="false">CF129+IF(AND(Projects!$G$13="Yes",83&lt;=Assumptions!$B$73),Assumptions!$B$72,0)</f>
        <v>72052.0225479718</v>
      </c>
      <c r="CH125" s="45" t="n">
        <f aca="false">CG129+IF(AND(Projects!$G$13="Yes",84&lt;=Assumptions!$B$73),Assumptions!$B$72,0)</f>
        <v>72052.0225479718</v>
      </c>
      <c r="CI125" s="25"/>
    </row>
    <row r="126" customFormat="false" ht="15" hidden="false" customHeight="true" outlineLevel="0" collapsed="false">
      <c r="A126" s="44" t="s">
        <v>151</v>
      </c>
      <c r="B126" s="44"/>
      <c r="C126" s="45" t="n">
        <f aca="false">IF(AND(MOD(1,3)=0,C125&gt;0),C125*Assumptions!$B$59,0)</f>
        <v>0</v>
      </c>
      <c r="D126" s="45" t="n">
        <f aca="false">IF(AND(MOD(2,3)=0,D125&gt;0),D125*Assumptions!$B$59,0)</f>
        <v>0</v>
      </c>
      <c r="E126" s="45" t="n">
        <f aca="false">IF(AND(MOD(3,3)=0,E125&gt;0),E125*Assumptions!$B$59,0)</f>
        <v>46275</v>
      </c>
      <c r="F126" s="45" t="n">
        <f aca="false">IF(AND(MOD(4,3)=0,F125&gt;0),F125*Assumptions!$B$59,0)</f>
        <v>0</v>
      </c>
      <c r="G126" s="45" t="n">
        <f aca="false">IF(AND(MOD(5,3)=0,G125&gt;0),G125*Assumptions!$B$59,0)</f>
        <v>0</v>
      </c>
      <c r="H126" s="45" t="n">
        <f aca="false">IF(AND(MOD(6,3)=0,H125&gt;0),H125*Assumptions!$B$59,0)</f>
        <v>53635.3125</v>
      </c>
      <c r="I126" s="45" t="n">
        <f aca="false">IF(AND(MOD(7,3)=0,I125&gt;0),I125*Assumptions!$B$59,0)</f>
        <v>0</v>
      </c>
      <c r="J126" s="45" t="n">
        <f aca="false">IF(AND(MOD(8,3)=0,J125&gt;0),J125*Assumptions!$B$59,0)</f>
        <v>0</v>
      </c>
      <c r="K126" s="45" t="n">
        <f aca="false">IF(AND(MOD(9,3)=0,K125&gt;0),K125*Assumptions!$B$59,0)</f>
        <v>61271.63671875</v>
      </c>
      <c r="L126" s="45" t="n">
        <f aca="false">IF(AND(MOD(10,3)=0,L125&gt;0),L125*Assumptions!$B$59,0)</f>
        <v>0</v>
      </c>
      <c r="M126" s="45" t="n">
        <f aca="false">IF(AND(MOD(11,3)=0,M125&gt;0),M125*Assumptions!$B$59,0)</f>
        <v>0</v>
      </c>
      <c r="N126" s="45" t="n">
        <f aca="false">IF(AND(MOD(12,3)=0,N125&gt;0),N125*Assumptions!$B$59,0)</f>
        <v>69194.3230957031</v>
      </c>
      <c r="O126" s="45" t="n">
        <f aca="false">IF(AND(MOD(13,3)=0,O125&gt;0),O125*Assumptions!$B$59,0)</f>
        <v>0</v>
      </c>
      <c r="P126" s="45" t="n">
        <f aca="false">IF(AND(MOD(14,3)=0,P125&gt;0),P125*Assumptions!$B$59,0)</f>
        <v>0</v>
      </c>
      <c r="Q126" s="45" t="n">
        <f aca="false">IF(AND(MOD(15,3)=0,Q125&gt;0),Q125*Assumptions!$B$59,0)</f>
        <v>21164.110211792</v>
      </c>
      <c r="R126" s="45" t="n">
        <f aca="false">IF(AND(MOD(16,3)=0,R125&gt;0),R125*Assumptions!$B$59,0)</f>
        <v>0</v>
      </c>
      <c r="S126" s="45" t="n">
        <f aca="false">IF(AND(MOD(17,3)=0,S125&gt;0),S125*Assumptions!$B$59,0)</f>
        <v>0</v>
      </c>
      <c r="T126" s="45" t="n">
        <f aca="false">IF(AND(MOD(18,3)=0,T125&gt;0),T125*Assumptions!$B$59,0)</f>
        <v>21957.7643447342</v>
      </c>
      <c r="U126" s="45" t="n">
        <f aca="false">IF(AND(MOD(19,3)=0,U125&gt;0),U125*Assumptions!$B$59,0)</f>
        <v>0</v>
      </c>
      <c r="V126" s="45" t="n">
        <f aca="false">IF(AND(MOD(20,3)=0,V125&gt;0),V125*Assumptions!$B$59,0)</f>
        <v>0</v>
      </c>
      <c r="W126" s="45" t="n">
        <f aca="false">IF(AND(MOD(21,3)=0,W125&gt;0),W125*Assumptions!$B$59,0)</f>
        <v>22781.1805076617</v>
      </c>
      <c r="X126" s="45" t="n">
        <f aca="false">IF(AND(MOD(22,3)=0,X125&gt;0),X125*Assumptions!$B$59,0)</f>
        <v>0</v>
      </c>
      <c r="Y126" s="45" t="n">
        <f aca="false">IF(AND(MOD(23,3)=0,Y125&gt;0),Y125*Assumptions!$B$59,0)</f>
        <v>0</v>
      </c>
      <c r="Z126" s="45" t="n">
        <f aca="false">IF(AND(MOD(24,3)=0,Z125&gt;0),Z125*Assumptions!$B$59,0)</f>
        <v>23635.474776699</v>
      </c>
      <c r="AA126" s="45" t="n">
        <f aca="false">IF(AND(MOD(25,3)=0,AA125&gt;0),AA125*Assumptions!$B$59,0)</f>
        <v>0</v>
      </c>
      <c r="AB126" s="45" t="n">
        <f aca="false">IF(AND(MOD(26,3)=0,AB125&gt;0),AB125*Assumptions!$B$59,0)</f>
        <v>0</v>
      </c>
      <c r="AC126" s="45" t="n">
        <f aca="false">IF(AND(MOD(27,3)=0,AC125&gt;0),AC125*Assumptions!$B$59,0)</f>
        <v>24521.8050808252</v>
      </c>
      <c r="AD126" s="45" t="n">
        <f aca="false">IF(AND(MOD(28,3)=0,AD125&gt;0),AD125*Assumptions!$B$59,0)</f>
        <v>0</v>
      </c>
      <c r="AE126" s="45" t="n">
        <f aca="false">IF(AND(MOD(29,3)=0,AE125&gt;0),AE125*Assumptions!$B$59,0)</f>
        <v>0</v>
      </c>
      <c r="AF126" s="45" t="n">
        <f aca="false">IF(AND(MOD(30,3)=0,AF125&gt;0),AF125*Assumptions!$B$59,0)</f>
        <v>25441.3727713562</v>
      </c>
      <c r="AG126" s="45" t="n">
        <f aca="false">IF(AND(MOD(31,3)=0,AG125&gt;0),AG125*Assumptions!$B$59,0)</f>
        <v>0</v>
      </c>
      <c r="AH126" s="45" t="n">
        <f aca="false">IF(AND(MOD(32,3)=0,AH125&gt;0),AH125*Assumptions!$B$59,0)</f>
        <v>0</v>
      </c>
      <c r="AI126" s="45" t="n">
        <f aca="false">IF(AND(MOD(33,3)=0,AI125&gt;0),AI125*Assumptions!$B$59,0)</f>
        <v>26395.424250282</v>
      </c>
      <c r="AJ126" s="45" t="n">
        <f aca="false">IF(AND(MOD(34,3)=0,AJ125&gt;0),AJ125*Assumptions!$B$59,0)</f>
        <v>0</v>
      </c>
      <c r="AK126" s="45" t="n">
        <f aca="false">IF(AND(MOD(35,3)=0,AK125&gt;0),AK125*Assumptions!$B$59,0)</f>
        <v>0</v>
      </c>
      <c r="AL126" s="45" t="n">
        <f aca="false">IF(AND(MOD(36,3)=0,AL125&gt;0),AL125*Assumptions!$B$59,0)</f>
        <v>27385.2526596676</v>
      </c>
      <c r="AM126" s="45" t="n">
        <f aca="false">IF(AND(MOD(37,3)=0,AM125&gt;0),AM125*Assumptions!$B$59,0)</f>
        <v>0</v>
      </c>
      <c r="AN126" s="45" t="n">
        <f aca="false">IF(AND(MOD(38,3)=0,AN125&gt;0),AN125*Assumptions!$B$59,0)</f>
        <v>0</v>
      </c>
      <c r="AO126" s="45" t="n">
        <f aca="false">IF(AND(MOD(39,3)=0,AO125&gt;0),AO125*Assumptions!$B$59,0)</f>
        <v>28412.1996344052</v>
      </c>
      <c r="AP126" s="45" t="n">
        <f aca="false">IF(AND(MOD(40,3)=0,AP125&gt;0),AP125*Assumptions!$B$59,0)</f>
        <v>0</v>
      </c>
      <c r="AQ126" s="45" t="n">
        <f aca="false">IF(AND(MOD(41,3)=0,AQ125&gt;0),AQ125*Assumptions!$B$59,0)</f>
        <v>0</v>
      </c>
      <c r="AR126" s="45" t="n">
        <f aca="false">IF(AND(MOD(42,3)=0,AR125&gt;0),AR125*Assumptions!$B$59,0)</f>
        <v>29477.6571206954</v>
      </c>
      <c r="AS126" s="45" t="n">
        <f aca="false">IF(AND(MOD(43,3)=0,AS125&gt;0),AS125*Assumptions!$B$59,0)</f>
        <v>0</v>
      </c>
      <c r="AT126" s="45" t="n">
        <f aca="false">IF(AND(MOD(44,3)=0,AT125&gt;0),AT125*Assumptions!$B$59,0)</f>
        <v>0</v>
      </c>
      <c r="AU126" s="45" t="n">
        <f aca="false">IF(AND(MOD(45,3)=0,AU125&gt;0),AU125*Assumptions!$B$59,0)</f>
        <v>30583.0692627214</v>
      </c>
      <c r="AV126" s="45" t="n">
        <f aca="false">IF(AND(MOD(46,3)=0,AV125&gt;0),AV125*Assumptions!$B$59,0)</f>
        <v>0</v>
      </c>
      <c r="AW126" s="45" t="n">
        <f aca="false">IF(AND(MOD(47,3)=0,AW125&gt;0),AW125*Assumptions!$B$59,0)</f>
        <v>0</v>
      </c>
      <c r="AX126" s="45" t="n">
        <f aca="false">IF(AND(MOD(48,3)=0,AX125&gt;0),AX125*Assumptions!$B$59,0)</f>
        <v>31729.9343600735</v>
      </c>
      <c r="AY126" s="45" t="n">
        <f aca="false">IF(AND(MOD(49,3)=0,AY125&gt;0),AY125*Assumptions!$B$59,0)</f>
        <v>0</v>
      </c>
      <c r="AZ126" s="45" t="n">
        <f aca="false">IF(AND(MOD(50,3)=0,AZ125&gt;0),AZ125*Assumptions!$B$59,0)</f>
        <v>0</v>
      </c>
      <c r="BA126" s="45" t="n">
        <f aca="false">IF(AND(MOD(51,3)=0,BA125&gt;0),BA125*Assumptions!$B$59,0)</f>
        <v>32919.8068985762</v>
      </c>
      <c r="BB126" s="45" t="n">
        <f aca="false">IF(AND(MOD(52,3)=0,BB125&gt;0),BB125*Assumptions!$B$59,0)</f>
        <v>0</v>
      </c>
      <c r="BC126" s="45" t="n">
        <f aca="false">IF(AND(MOD(53,3)=0,BC125&gt;0),BC125*Assumptions!$B$59,0)</f>
        <v>0</v>
      </c>
      <c r="BD126" s="45" t="n">
        <f aca="false">IF(AND(MOD(54,3)=0,BD125&gt;0),BD125*Assumptions!$B$59,0)</f>
        <v>24810.3759072728</v>
      </c>
      <c r="BE126" s="45" t="n">
        <f aca="false">IF(AND(MOD(55,3)=0,BE125&gt;0),BE125*Assumptions!$B$59,0)</f>
        <v>0</v>
      </c>
      <c r="BF126" s="45" t="n">
        <f aca="false">IF(AND(MOD(56,3)=0,BF125&gt;0),BF125*Assumptions!$B$59,0)</f>
        <v>0</v>
      </c>
      <c r="BG126" s="45" t="n">
        <f aca="false">IF(AND(MOD(57,3)=0,BG125&gt;0),BG125*Assumptions!$B$59,0)</f>
        <v>23052.0150037956</v>
      </c>
      <c r="BH126" s="45" t="n">
        <f aca="false">IF(AND(MOD(58,3)=0,BH125&gt;0),BH125*Assumptions!$B$59,0)</f>
        <v>0</v>
      </c>
      <c r="BI126" s="45" t="n">
        <f aca="false">IF(AND(MOD(59,3)=0,BI125&gt;0),BI125*Assumptions!$B$59,0)</f>
        <v>0</v>
      </c>
      <c r="BJ126" s="45" t="n">
        <f aca="false">IF(AND(MOD(60,3)=0,BJ125&gt;0),BJ125*Assumptions!$B$59,0)</f>
        <v>21227.7155664379</v>
      </c>
      <c r="BK126" s="45" t="n">
        <f aca="false">IF(AND(MOD(61,3)=0,BK125&gt;0),BK125*Assumptions!$B$59,0)</f>
        <v>0</v>
      </c>
      <c r="BL126" s="45" t="n">
        <f aca="false">IF(AND(MOD(62,3)=0,BL125&gt;0),BL125*Assumptions!$B$59,0)</f>
        <v>0</v>
      </c>
      <c r="BM126" s="45" t="n">
        <f aca="false">IF(AND(MOD(63,3)=0,BM125&gt;0),BM125*Assumptions!$B$59,0)</f>
        <v>19335.0049001793</v>
      </c>
      <c r="BN126" s="45" t="n">
        <f aca="false">IF(AND(MOD(64,3)=0,BN125&gt;0),BN125*Assumptions!$B$59,0)</f>
        <v>0</v>
      </c>
      <c r="BO126" s="45" t="n">
        <f aca="false">IF(AND(MOD(65,3)=0,BO125&gt;0),BO125*Assumptions!$B$59,0)</f>
        <v>0</v>
      </c>
      <c r="BP126" s="45" t="n">
        <f aca="false">IF(AND(MOD(66,3)=0,BP125&gt;0),BP125*Assumptions!$B$59,0)</f>
        <v>17371.3175839361</v>
      </c>
      <c r="BQ126" s="45" t="n">
        <f aca="false">IF(AND(MOD(67,3)=0,BQ125&gt;0),BQ125*Assumptions!$B$59,0)</f>
        <v>0</v>
      </c>
      <c r="BR126" s="45" t="n">
        <f aca="false">IF(AND(MOD(68,3)=0,BR125&gt;0),BR125*Assumptions!$B$59,0)</f>
        <v>0</v>
      </c>
      <c r="BS126" s="45" t="n">
        <f aca="false">IF(AND(MOD(69,3)=0,BS125&gt;0),BS125*Assumptions!$B$59,0)</f>
        <v>15223.6294933337</v>
      </c>
      <c r="BT126" s="45" t="n">
        <f aca="false">IF(AND(MOD(70,3)=0,BT125&gt;0),BT125*Assumptions!$B$59,0)</f>
        <v>0</v>
      </c>
      <c r="BU126" s="45" t="n">
        <f aca="false">IF(AND(MOD(71,3)=0,BU125&gt;0),BU125*Assumptions!$B$59,0)</f>
        <v>0</v>
      </c>
      <c r="BV126" s="45" t="n">
        <f aca="false">IF(AND(MOD(72,3)=0,BV125&gt;0),BV125*Assumptions!$B$59,0)</f>
        <v>12995.5155993337</v>
      </c>
      <c r="BW126" s="45" t="n">
        <f aca="false">IF(AND(MOD(73,3)=0,BW125&gt;0),BW125*Assumptions!$B$59,0)</f>
        <v>0</v>
      </c>
      <c r="BX126" s="45" t="n">
        <f aca="false">IF(AND(MOD(74,3)=0,BX125&gt;0),BX125*Assumptions!$B$59,0)</f>
        <v>0</v>
      </c>
      <c r="BY126" s="45" t="n">
        <f aca="false">IF(AND(MOD(75,3)=0,BY125&gt;0),BY125*Assumptions!$B$59,0)</f>
        <v>10683.8474343087</v>
      </c>
      <c r="BZ126" s="45" t="n">
        <f aca="false">IF(AND(MOD(76,3)=0,BZ125&gt;0),BZ125*Assumptions!$B$59,0)</f>
        <v>0</v>
      </c>
      <c r="CA126" s="45" t="n">
        <f aca="false">IF(AND(MOD(77,3)=0,CA125&gt;0),CA125*Assumptions!$B$59,0)</f>
        <v>0</v>
      </c>
      <c r="CB126" s="45" t="n">
        <f aca="false">IF(AND(MOD(78,3)=0,CB125&gt;0),CB125*Assumptions!$B$59,0)</f>
        <v>8285.49171309526</v>
      </c>
      <c r="CC126" s="45" t="n">
        <f aca="false">IF(AND(MOD(79,3)=0,CC125&gt;0),CC125*Assumptions!$B$59,0)</f>
        <v>0</v>
      </c>
      <c r="CD126" s="45" t="n">
        <f aca="false">IF(AND(MOD(80,3)=0,CD125&gt;0),CD125*Assumptions!$B$59,0)</f>
        <v>0</v>
      </c>
      <c r="CE126" s="45" t="n">
        <f aca="false">IF(AND(MOD(81,3)=0,CE125&gt;0),CE125*Assumptions!$B$59,0)</f>
        <v>5545.08515233633</v>
      </c>
      <c r="CF126" s="45" t="n">
        <f aca="false">IF(AND(MOD(82,3)=0,CF125&gt;0),CF125*Assumptions!$B$59,0)</f>
        <v>0</v>
      </c>
      <c r="CG126" s="45" t="n">
        <f aca="false">IF(AND(MOD(83,3)=0,CG125&gt;0),CG125*Assumptions!$B$59,0)</f>
        <v>0</v>
      </c>
      <c r="CH126" s="45" t="n">
        <f aca="false">IF(AND(MOD(84,3)=0,CH125&gt;0),CH125*Assumptions!$B$59,0)</f>
        <v>2701.95084554894</v>
      </c>
      <c r="CI126" s="25"/>
    </row>
    <row r="127" customFormat="false" ht="15" hidden="false" customHeight="true" outlineLevel="0" collapsed="false">
      <c r="A127" s="44" t="s">
        <v>152</v>
      </c>
      <c r="B127" s="44"/>
      <c r="C127" s="45" t="n">
        <v>0</v>
      </c>
      <c r="D127" s="45" t="n">
        <v>0</v>
      </c>
      <c r="E127" s="45" t="n">
        <v>0</v>
      </c>
      <c r="F127" s="45" t="n">
        <v>0</v>
      </c>
      <c r="G127" s="45" t="n">
        <v>0</v>
      </c>
      <c r="H127" s="45" t="n">
        <v>0</v>
      </c>
      <c r="I127" s="45" t="n">
        <v>0</v>
      </c>
      <c r="J127" s="45" t="n">
        <v>0</v>
      </c>
      <c r="K127" s="45" t="n">
        <v>0</v>
      </c>
      <c r="L127" s="45" t="n">
        <v>0</v>
      </c>
      <c r="M127" s="45" t="n">
        <v>0</v>
      </c>
      <c r="N127" s="45" t="n">
        <v>0</v>
      </c>
      <c r="O127" s="45" t="n">
        <f aca="false">IF(Projects!$G$13="Yes",Assumptions!$B$74,0)</f>
        <v>-1450000</v>
      </c>
      <c r="P127" s="45" t="n">
        <v>0</v>
      </c>
      <c r="Q127" s="45" t="n">
        <v>0</v>
      </c>
      <c r="R127" s="45" t="n">
        <v>0</v>
      </c>
      <c r="S127" s="45" t="n">
        <v>0</v>
      </c>
      <c r="T127" s="45" t="n">
        <v>0</v>
      </c>
      <c r="U127" s="45" t="n">
        <v>0</v>
      </c>
      <c r="V127" s="45" t="n">
        <v>0</v>
      </c>
      <c r="W127" s="45" t="n">
        <v>0</v>
      </c>
      <c r="X127" s="45" t="n">
        <v>0</v>
      </c>
      <c r="Y127" s="45" t="n">
        <v>0</v>
      </c>
      <c r="Z127" s="45" t="n">
        <v>0</v>
      </c>
      <c r="AA127" s="45" t="n">
        <v>0</v>
      </c>
      <c r="AB127" s="45" t="n">
        <v>0</v>
      </c>
      <c r="AC127" s="45" t="n">
        <v>0</v>
      </c>
      <c r="AD127" s="45" t="n">
        <v>0</v>
      </c>
      <c r="AE127" s="45" t="n">
        <v>0</v>
      </c>
      <c r="AF127" s="45" t="n">
        <v>0</v>
      </c>
      <c r="AG127" s="45" t="n">
        <v>0</v>
      </c>
      <c r="AH127" s="45" t="n">
        <v>0</v>
      </c>
      <c r="AI127" s="45" t="n">
        <v>0</v>
      </c>
      <c r="AJ127" s="45" t="n">
        <v>0</v>
      </c>
      <c r="AK127" s="45" t="n">
        <v>0</v>
      </c>
      <c r="AL127" s="45" t="n">
        <v>0</v>
      </c>
      <c r="AM127" s="45" t="n">
        <v>0</v>
      </c>
      <c r="AN127" s="45" t="n">
        <v>0</v>
      </c>
      <c r="AO127" s="45" t="n">
        <v>0</v>
      </c>
      <c r="AP127" s="45" t="n">
        <v>0</v>
      </c>
      <c r="AQ127" s="45" t="n">
        <v>0</v>
      </c>
      <c r="AR127" s="45" t="n">
        <v>0</v>
      </c>
      <c r="AS127" s="45" t="n">
        <v>0</v>
      </c>
      <c r="AT127" s="45" t="n">
        <v>0</v>
      </c>
      <c r="AU127" s="45" t="n">
        <v>0</v>
      </c>
      <c r="AV127" s="45" t="n">
        <v>0</v>
      </c>
      <c r="AW127" s="45" t="n">
        <v>0</v>
      </c>
      <c r="AX127" s="45" t="n">
        <v>0</v>
      </c>
      <c r="AY127" s="45" t="n">
        <v>0</v>
      </c>
      <c r="AZ127" s="45" t="n">
        <v>0</v>
      </c>
      <c r="BA127" s="45" t="n">
        <v>0</v>
      </c>
      <c r="BB127" s="45" t="n">
        <v>0</v>
      </c>
      <c r="BC127" s="45" t="n">
        <v>0</v>
      </c>
      <c r="BD127" s="45" t="n">
        <v>0</v>
      </c>
      <c r="BE127" s="45" t="n">
        <v>0</v>
      </c>
      <c r="BF127" s="45" t="n">
        <v>0</v>
      </c>
      <c r="BG127" s="45" t="n">
        <v>0</v>
      </c>
      <c r="BH127" s="45" t="n">
        <v>0</v>
      </c>
      <c r="BI127" s="45" t="n">
        <v>0</v>
      </c>
      <c r="BJ127" s="45" t="n">
        <v>0</v>
      </c>
      <c r="BK127" s="45" t="n">
        <v>0</v>
      </c>
      <c r="BL127" s="45" t="n">
        <v>0</v>
      </c>
      <c r="BM127" s="45" t="n">
        <v>0</v>
      </c>
      <c r="BN127" s="45" t="n">
        <v>0</v>
      </c>
      <c r="BO127" s="45" t="n">
        <v>0</v>
      </c>
      <c r="BP127" s="45" t="n">
        <v>0</v>
      </c>
      <c r="BQ127" s="45" t="n">
        <v>0</v>
      </c>
      <c r="BR127" s="45" t="n">
        <v>0</v>
      </c>
      <c r="BS127" s="45" t="n">
        <v>0</v>
      </c>
      <c r="BT127" s="45" t="n">
        <v>0</v>
      </c>
      <c r="BU127" s="45" t="n">
        <v>0</v>
      </c>
      <c r="BV127" s="45" t="n">
        <v>0</v>
      </c>
      <c r="BW127" s="45" t="n">
        <v>0</v>
      </c>
      <c r="BX127" s="45" t="n">
        <v>0</v>
      </c>
      <c r="BY127" s="45" t="n">
        <v>0</v>
      </c>
      <c r="BZ127" s="45" t="n">
        <v>0</v>
      </c>
      <c r="CA127" s="45" t="n">
        <v>0</v>
      </c>
      <c r="CB127" s="45" t="n">
        <v>0</v>
      </c>
      <c r="CC127" s="45" t="n">
        <v>0</v>
      </c>
      <c r="CD127" s="45" t="n">
        <v>0</v>
      </c>
      <c r="CE127" s="45" t="n">
        <v>0</v>
      </c>
      <c r="CF127" s="45" t="n">
        <v>0</v>
      </c>
      <c r="CG127" s="45" t="n">
        <v>0</v>
      </c>
      <c r="CH127" s="45" t="n">
        <v>0</v>
      </c>
      <c r="CI127" s="25"/>
    </row>
    <row r="128" customFormat="false" ht="15" hidden="false" customHeight="true" outlineLevel="0" collapsed="false">
      <c r="A128" s="46" t="s">
        <v>153</v>
      </c>
      <c r="B128" s="46"/>
      <c r="C128" s="47" t="n">
        <f aca="false">-MIN(C125+C126+C127,MAX(0,C60-Helpers!C23))</f>
        <v>-0</v>
      </c>
      <c r="D128" s="47" t="n">
        <f aca="false">-MIN(D125+D126+D127,MAX(0,D60-Helpers!D23))</f>
        <v>-0</v>
      </c>
      <c r="E128" s="47" t="n">
        <f aca="false">-MIN(E125+E126+E127,MAX(0,E60-Helpers!E23))</f>
        <v>-0</v>
      </c>
      <c r="F128" s="47" t="n">
        <f aca="false">-MIN(F125+F126+F127,MAX(0,F60-Helpers!F23))</f>
        <v>-0</v>
      </c>
      <c r="G128" s="47" t="n">
        <f aca="false">-MIN(G125+G126+G127,MAX(0,G60-Helpers!G23))</f>
        <v>-0</v>
      </c>
      <c r="H128" s="47" t="n">
        <f aca="false">-MIN(H125+H126+H127,MAX(0,H60-Helpers!H23))</f>
        <v>-0</v>
      </c>
      <c r="I128" s="47" t="n">
        <f aca="false">-MIN(I125+I126+I127,MAX(0,I60-Helpers!I23))</f>
        <v>-0</v>
      </c>
      <c r="J128" s="47" t="n">
        <f aca="false">-MIN(J125+J126+J127,MAX(0,J60-Helpers!J23))</f>
        <v>-0</v>
      </c>
      <c r="K128" s="47" t="n">
        <f aca="false">-MIN(K125+K126+K127,MAX(0,K60-Helpers!K23))</f>
        <v>-0</v>
      </c>
      <c r="L128" s="47" t="n">
        <f aca="false">-MIN(L125+L126+L127,MAX(0,L60-Helpers!L23))</f>
        <v>-0</v>
      </c>
      <c r="M128" s="47" t="n">
        <f aca="false">-MIN(M125+M126+M127,MAX(0,M60-Helpers!M23))</f>
        <v>-0</v>
      </c>
      <c r="N128" s="47" t="n">
        <f aca="false">-MIN(N125+N126+N127,MAX(0,N60-Helpers!N23))</f>
        <v>-0</v>
      </c>
      <c r="O128" s="47" t="n">
        <f aca="false">-MIN(O125+O126+O127,MAX(0,O60-Helpers!O23))</f>
        <v>-0</v>
      </c>
      <c r="P128" s="47" t="n">
        <f aca="false">-MIN(P125+P126+P127,MAX(0,P60-Helpers!P23))</f>
        <v>-0</v>
      </c>
      <c r="Q128" s="47" t="n">
        <f aca="false">-MIN(Q125+Q126+Q127,MAX(0,Q60-Helpers!Q23))</f>
        <v>-0</v>
      </c>
      <c r="R128" s="47" t="n">
        <f aca="false">-MIN(R125+R126+R127,MAX(0,R60-Helpers!R23))</f>
        <v>-0</v>
      </c>
      <c r="S128" s="47" t="n">
        <f aca="false">-MIN(S125+S126+S127,MAX(0,S60-Helpers!S23))</f>
        <v>-0</v>
      </c>
      <c r="T128" s="47" t="n">
        <f aca="false">-MIN(T125+T126+T127,MAX(0,T60-Helpers!T23))</f>
        <v>-0</v>
      </c>
      <c r="U128" s="47" t="n">
        <f aca="false">-MIN(U125+U126+U127,MAX(0,U60-Helpers!U23))</f>
        <v>-0</v>
      </c>
      <c r="V128" s="47" t="n">
        <f aca="false">-MIN(V125+V126+V127,MAX(0,V60-Helpers!V23))</f>
        <v>-0</v>
      </c>
      <c r="W128" s="47" t="n">
        <f aca="false">-MIN(W125+W126+W127,MAX(0,W60-Helpers!W23))</f>
        <v>-0</v>
      </c>
      <c r="X128" s="47" t="n">
        <f aca="false">-MIN(X125+X126+X127,MAX(0,X60-Helpers!X23))</f>
        <v>-0</v>
      </c>
      <c r="Y128" s="47" t="n">
        <f aca="false">-MIN(Y125+Y126+Y127,MAX(0,Y60-Helpers!Y23))</f>
        <v>-0</v>
      </c>
      <c r="Z128" s="47" t="n">
        <f aca="false">-MIN(Z125+Z126+Z127,MAX(0,Z60-Helpers!Z23))</f>
        <v>-0</v>
      </c>
      <c r="AA128" s="47" t="n">
        <f aca="false">-MIN(AA125+AA126+AA127,MAX(0,AA60-Helpers!AA23))</f>
        <v>-0</v>
      </c>
      <c r="AB128" s="47" t="n">
        <f aca="false">-MIN(AB125+AB126+AB127,MAX(0,AB60-Helpers!AB23))</f>
        <v>-0</v>
      </c>
      <c r="AC128" s="47" t="n">
        <f aca="false">-MIN(AC125+AC126+AC127,MAX(0,AC60-Helpers!AC23))</f>
        <v>-0</v>
      </c>
      <c r="AD128" s="47" t="n">
        <f aca="false">-MIN(AD125+AD126+AD127,MAX(0,AD60-Helpers!AD23))</f>
        <v>-0</v>
      </c>
      <c r="AE128" s="47" t="n">
        <f aca="false">-MIN(AE125+AE126+AE127,MAX(0,AE60-Helpers!AE23))</f>
        <v>-0</v>
      </c>
      <c r="AF128" s="47" t="n">
        <f aca="false">-MIN(AF125+AF126+AF127,MAX(0,AF60-Helpers!AF23))</f>
        <v>-0</v>
      </c>
      <c r="AG128" s="47" t="n">
        <f aca="false">-MIN(AG125+AG126+AG127,MAX(0,AG60-Helpers!AG23))</f>
        <v>-0</v>
      </c>
      <c r="AH128" s="47" t="n">
        <f aca="false">-MIN(AH125+AH126+AH127,MAX(0,AH60-Helpers!AH23))</f>
        <v>-0</v>
      </c>
      <c r="AI128" s="47" t="n">
        <f aca="false">-MIN(AI125+AI126+AI127,MAX(0,AI60-Helpers!AI23))</f>
        <v>-0</v>
      </c>
      <c r="AJ128" s="47" t="n">
        <f aca="false">-MIN(AJ125+AJ126+AJ127,MAX(0,AJ60-Helpers!AJ23))</f>
        <v>-0</v>
      </c>
      <c r="AK128" s="47" t="n">
        <f aca="false">-MIN(AK125+AK126+AK127,MAX(0,AK60-Helpers!AK23))</f>
        <v>-0</v>
      </c>
      <c r="AL128" s="47" t="n">
        <f aca="false">-MIN(AL125+AL126+AL127,MAX(0,AL60-Helpers!AL23))</f>
        <v>-0</v>
      </c>
      <c r="AM128" s="47" t="n">
        <f aca="false">-MIN(AM125+AM126+AM127,MAX(0,AM60-Helpers!AM23))</f>
        <v>-0</v>
      </c>
      <c r="AN128" s="47" t="n">
        <f aca="false">-MIN(AN125+AN126+AN127,MAX(0,AN60-Helpers!AN23))</f>
        <v>-0</v>
      </c>
      <c r="AO128" s="47" t="n">
        <f aca="false">-MIN(AO125+AO126+AO127,MAX(0,AO60-Helpers!AO23))</f>
        <v>-0</v>
      </c>
      <c r="AP128" s="47" t="n">
        <f aca="false">-MIN(AP125+AP126+AP127,MAX(0,AP60-Helpers!AP23))</f>
        <v>-0</v>
      </c>
      <c r="AQ128" s="47" t="n">
        <f aca="false">-MIN(AQ125+AQ126+AQ127,MAX(0,AQ60-Helpers!AQ23))</f>
        <v>-0</v>
      </c>
      <c r="AR128" s="47" t="n">
        <f aca="false">-MIN(AR125+AR126+AR127,MAX(0,AR60-Helpers!AR23))</f>
        <v>-0</v>
      </c>
      <c r="AS128" s="47" t="n">
        <f aca="false">-MIN(AS125+AS126+AS127,MAX(0,AS60-Helpers!AS23))</f>
        <v>-0</v>
      </c>
      <c r="AT128" s="47" t="n">
        <f aca="false">-MIN(AT125+AT126+AT127,MAX(0,AT60-Helpers!AT23))</f>
        <v>-0</v>
      </c>
      <c r="AU128" s="47" t="n">
        <f aca="false">-MIN(AU125+AU126+AU127,MAX(0,AU60-Helpers!AU23))</f>
        <v>-0</v>
      </c>
      <c r="AV128" s="47" t="n">
        <f aca="false">-MIN(AV125+AV126+AV127,MAX(0,AV60-Helpers!AV23))</f>
        <v>-0</v>
      </c>
      <c r="AW128" s="47" t="n">
        <f aca="false">-MIN(AW125+AW126+AW127,MAX(0,AW60-Helpers!AW23))</f>
        <v>-0</v>
      </c>
      <c r="AX128" s="47" t="n">
        <f aca="false">-MIN(AX125+AX126+AX127,MAX(0,AX60-Helpers!AX23))</f>
        <v>-0</v>
      </c>
      <c r="AY128" s="47" t="n">
        <f aca="false">-MIN(AY125+AY126+AY127,MAX(0,AY60-Helpers!AY23))</f>
        <v>-0</v>
      </c>
      <c r="AZ128" s="47" t="n">
        <f aca="false">-MIN(AZ125+AZ126+AZ127,MAX(0,AZ60-Helpers!AZ23))</f>
        <v>-0</v>
      </c>
      <c r="BA128" s="47" t="n">
        <f aca="false">-MIN(BA125+BA126+BA127,MAX(0,BA60-Helpers!BA23))</f>
        <v>-249171.3</v>
      </c>
      <c r="BB128" s="47" t="n">
        <f aca="false">-MIN(BB125+BB126+BB127,MAX(0,BB60-Helpers!BB23))</f>
        <v>-0</v>
      </c>
      <c r="BC128" s="47" t="n">
        <f aca="false">-MIN(BC125+BC126+BC127,MAX(0,BC60-Helpers!BC23))</f>
        <v>-0</v>
      </c>
      <c r="BD128" s="47" t="n">
        <f aca="false">-MIN(BD125+BD126+BD127,MAX(0,BD60-Helpers!BD23))</f>
        <v>-71700</v>
      </c>
      <c r="BE128" s="47" t="n">
        <f aca="false">-MIN(BE125+BE126+BE127,MAX(0,BE60-Helpers!BE23))</f>
        <v>-0</v>
      </c>
      <c r="BF128" s="47" t="n">
        <f aca="false">-MIN(BF125+BF126+BF127,MAX(0,BF60-Helpers!BF23))</f>
        <v>-0</v>
      </c>
      <c r="BG128" s="47" t="n">
        <f aca="false">-MIN(BG125+BG126+BG127,MAX(0,BG60-Helpers!BG23))</f>
        <v>-71700</v>
      </c>
      <c r="BH128" s="47" t="n">
        <f aca="false">-MIN(BH125+BH126+BH127,MAX(0,BH60-Helpers!BH23))</f>
        <v>-0</v>
      </c>
      <c r="BI128" s="47" t="n">
        <f aca="false">-MIN(BI125+BI126+BI127,MAX(0,BI60-Helpers!BI23))</f>
        <v>-0</v>
      </c>
      <c r="BJ128" s="47" t="n">
        <f aca="false">-MIN(BJ125+BJ126+BJ127,MAX(0,BJ60-Helpers!BJ23))</f>
        <v>-71700</v>
      </c>
      <c r="BK128" s="47" t="n">
        <f aca="false">-MIN(BK125+BK126+BK127,MAX(0,BK60-Helpers!BK23))</f>
        <v>-0</v>
      </c>
      <c r="BL128" s="47" t="n">
        <f aca="false">-MIN(BL125+BL126+BL127,MAX(0,BL60-Helpers!BL23))</f>
        <v>-0</v>
      </c>
      <c r="BM128" s="47" t="n">
        <f aca="false">-MIN(BM125+BM126+BM127,MAX(0,BM60-Helpers!BM23))</f>
        <v>-71700</v>
      </c>
      <c r="BN128" s="47" t="n">
        <f aca="false">-MIN(BN125+BN126+BN127,MAX(0,BN60-Helpers!BN23))</f>
        <v>-0</v>
      </c>
      <c r="BO128" s="47" t="n">
        <f aca="false">-MIN(BO125+BO126+BO127,MAX(0,BO60-Helpers!BO23))</f>
        <v>-0</v>
      </c>
      <c r="BP128" s="47" t="n">
        <f aca="false">-MIN(BP125+BP126+BP127,MAX(0,BP60-Helpers!BP23))</f>
        <v>-74643</v>
      </c>
      <c r="BQ128" s="47" t="n">
        <f aca="false">-MIN(BQ125+BQ126+BQ127,MAX(0,BQ60-Helpers!BQ23))</f>
        <v>-0</v>
      </c>
      <c r="BR128" s="47" t="n">
        <f aca="false">-MIN(BR125+BR126+BR127,MAX(0,BR60-Helpers!BR23))</f>
        <v>-0</v>
      </c>
      <c r="BS128" s="47" t="n">
        <f aca="false">-MIN(BS125+BS126+BS127,MAX(0,BS60-Helpers!BS23))</f>
        <v>-74640</v>
      </c>
      <c r="BT128" s="47" t="n">
        <f aca="false">-MIN(BT125+BT126+BT127,MAX(0,BT60-Helpers!BT23))</f>
        <v>-0</v>
      </c>
      <c r="BU128" s="47" t="n">
        <f aca="false">-MIN(BU125+BU126+BU127,MAX(0,BU60-Helpers!BU23))</f>
        <v>-0</v>
      </c>
      <c r="BV128" s="47" t="n">
        <f aca="false">-MIN(BV125+BV126+BV127,MAX(0,BV60-Helpers!BV23))</f>
        <v>-74640</v>
      </c>
      <c r="BW128" s="47" t="n">
        <f aca="false">-MIN(BW125+BW126+BW127,MAX(0,BW60-Helpers!BW23))</f>
        <v>-0</v>
      </c>
      <c r="BX128" s="47" t="n">
        <f aca="false">-MIN(BX125+BX126+BX127,MAX(0,BX60-Helpers!BX23))</f>
        <v>-0</v>
      </c>
      <c r="BY128" s="47" t="n">
        <f aca="false">-MIN(BY125+BY126+BY127,MAX(0,BY60-Helpers!BY23))</f>
        <v>-74640</v>
      </c>
      <c r="BZ128" s="47" t="n">
        <f aca="false">-MIN(BZ125+BZ126+BZ127,MAX(0,BZ60-Helpers!BZ23))</f>
        <v>-0</v>
      </c>
      <c r="CA128" s="47" t="n">
        <f aca="false">-MIN(CA125+CA126+CA127,MAX(0,CA60-Helpers!CA23))</f>
        <v>-0</v>
      </c>
      <c r="CB128" s="47" t="n">
        <f aca="false">-MIN(CB125+CB126+CB127,MAX(0,CB60-Helpers!CB23))</f>
        <v>-81363</v>
      </c>
      <c r="CC128" s="47" t="n">
        <f aca="false">-MIN(CC125+CC126+CC127,MAX(0,CC60-Helpers!CC23))</f>
        <v>-0</v>
      </c>
      <c r="CD128" s="47" t="n">
        <f aca="false">-MIN(CD125+CD126+CD127,MAX(0,CD60-Helpers!CD23))</f>
        <v>-0</v>
      </c>
      <c r="CE128" s="47" t="n">
        <f aca="false">-MIN(CE125+CE126+CE127,MAX(0,CE60-Helpers!CE23))</f>
        <v>-81362</v>
      </c>
      <c r="CF128" s="47" t="n">
        <f aca="false">-MIN(CF125+CF126+CF127,MAX(0,CF60-Helpers!CF23))</f>
        <v>-0</v>
      </c>
      <c r="CG128" s="47" t="n">
        <f aca="false">-MIN(CG125+CG126+CG127,MAX(0,CG60-Helpers!CG23))</f>
        <v>-0</v>
      </c>
      <c r="CH128" s="47" t="n">
        <f aca="false">-MIN(CH125+CH126+CH127,MAX(0,CH60-Helpers!CH23))</f>
        <v>-74753.9733935208</v>
      </c>
      <c r="CI128" s="25"/>
    </row>
    <row r="129" customFormat="false" ht="13.5" hidden="false" customHeight="true" outlineLevel="0" collapsed="false">
      <c r="A129" s="48" t="s">
        <v>154</v>
      </c>
      <c r="B129" s="49"/>
      <c r="C129" s="50" t="n">
        <f aca="false">MAX(0,C125+C126+C127+C128)</f>
        <v>1134000</v>
      </c>
      <c r="D129" s="50" t="n">
        <f aca="false">MAX(0,D125+D126+D127+D128)</f>
        <v>1184000</v>
      </c>
      <c r="E129" s="50" t="n">
        <f aca="false">MAX(0,E125+E126+E127+E128)</f>
        <v>1280275</v>
      </c>
      <c r="F129" s="50" t="n">
        <f aca="false">MAX(0,F125+F126+F127+F128)</f>
        <v>1330275</v>
      </c>
      <c r="G129" s="50" t="n">
        <f aca="false">MAX(0,G125+G126+G127+G128)</f>
        <v>1380275</v>
      </c>
      <c r="H129" s="50" t="n">
        <f aca="false">MAX(0,H125+H126+H127+H128)</f>
        <v>1483910.3125</v>
      </c>
      <c r="I129" s="50" t="n">
        <f aca="false">MAX(0,I125+I126+I127+I128)</f>
        <v>1533910.3125</v>
      </c>
      <c r="J129" s="50" t="n">
        <f aca="false">MAX(0,J125+J126+J127+J128)</f>
        <v>1583910.3125</v>
      </c>
      <c r="K129" s="50" t="n">
        <f aca="false">MAX(0,K125+K126+K127+K128)</f>
        <v>1695181.94921875</v>
      </c>
      <c r="L129" s="50" t="n">
        <f aca="false">MAX(0,L125+L126+L127+L128)</f>
        <v>1745181.94921875</v>
      </c>
      <c r="M129" s="50" t="n">
        <f aca="false">MAX(0,M125+M126+M127+M128)</f>
        <v>1795181.94921875</v>
      </c>
      <c r="N129" s="50" t="n">
        <f aca="false">MAX(0,N125+N126+N127+N128)</f>
        <v>1914376.27231445</v>
      </c>
      <c r="O129" s="50" t="n">
        <f aca="false">MAX(0,O125+O126+O127+O128)</f>
        <v>514376.272314453</v>
      </c>
      <c r="P129" s="50" t="n">
        <f aca="false">MAX(0,P125+P126+P127+P128)</f>
        <v>564376.272314453</v>
      </c>
      <c r="Q129" s="50" t="n">
        <f aca="false">MAX(0,Q125+Q126+Q127+Q128)</f>
        <v>585540.382526245</v>
      </c>
      <c r="R129" s="50" t="n">
        <f aca="false">MAX(0,R125+R126+R127+R128)</f>
        <v>585540.382526245</v>
      </c>
      <c r="S129" s="50" t="n">
        <f aca="false">MAX(0,S125+S126+S127+S128)</f>
        <v>585540.382526245</v>
      </c>
      <c r="T129" s="50" t="n">
        <f aca="false">MAX(0,T125+T126+T127+T128)</f>
        <v>607498.146870979</v>
      </c>
      <c r="U129" s="50" t="n">
        <f aca="false">MAX(0,U125+U126+U127+U128)</f>
        <v>607498.146870979</v>
      </c>
      <c r="V129" s="50" t="n">
        <f aca="false">MAX(0,V125+V126+V127+V128)</f>
        <v>607498.146870979</v>
      </c>
      <c r="W129" s="50" t="n">
        <f aca="false">MAX(0,W125+W126+W127+W128)</f>
        <v>630279.327378641</v>
      </c>
      <c r="X129" s="50" t="n">
        <f aca="false">MAX(0,X125+X126+X127+X128)</f>
        <v>630279.327378641</v>
      </c>
      <c r="Y129" s="50" t="n">
        <f aca="false">MAX(0,Y125+Y126+Y127+Y128)</f>
        <v>630279.327378641</v>
      </c>
      <c r="Z129" s="50" t="n">
        <f aca="false">MAX(0,Z125+Z126+Z127+Z128)</f>
        <v>653914.80215534</v>
      </c>
      <c r="AA129" s="50" t="n">
        <f aca="false">MAX(0,AA125+AA126+AA127+AA128)</f>
        <v>653914.80215534</v>
      </c>
      <c r="AB129" s="50" t="n">
        <f aca="false">MAX(0,AB125+AB126+AB127+AB128)</f>
        <v>653914.80215534</v>
      </c>
      <c r="AC129" s="50" t="n">
        <f aca="false">MAX(0,AC125+AC126+AC127+AC128)</f>
        <v>678436.607236165</v>
      </c>
      <c r="AD129" s="50" t="n">
        <f aca="false">MAX(0,AD125+AD126+AD127+AD128)</f>
        <v>678436.607236165</v>
      </c>
      <c r="AE129" s="50" t="n">
        <f aca="false">MAX(0,AE125+AE126+AE127+AE128)</f>
        <v>678436.607236165</v>
      </c>
      <c r="AF129" s="50" t="n">
        <f aca="false">MAX(0,AF125+AF126+AF127+AF128)</f>
        <v>703877.980007521</v>
      </c>
      <c r="AG129" s="50" t="n">
        <f aca="false">MAX(0,AG125+AG126+AG127+AG128)</f>
        <v>703877.980007521</v>
      </c>
      <c r="AH129" s="50" t="n">
        <f aca="false">MAX(0,AH125+AH126+AH127+AH128)</f>
        <v>703877.980007521</v>
      </c>
      <c r="AI129" s="50" t="n">
        <f aca="false">MAX(0,AI125+AI126+AI127+AI128)</f>
        <v>730273.404257803</v>
      </c>
      <c r="AJ129" s="50" t="n">
        <f aca="false">MAX(0,AJ125+AJ126+AJ127+AJ128)</f>
        <v>730273.404257803</v>
      </c>
      <c r="AK129" s="50" t="n">
        <f aca="false">MAX(0,AK125+AK126+AK127+AK128)</f>
        <v>730273.404257803</v>
      </c>
      <c r="AL129" s="50" t="n">
        <f aca="false">MAX(0,AL125+AL126+AL127+AL128)</f>
        <v>757658.656917471</v>
      </c>
      <c r="AM129" s="50" t="n">
        <f aca="false">MAX(0,AM125+AM126+AM127+AM128)</f>
        <v>757658.656917471</v>
      </c>
      <c r="AN129" s="50" t="n">
        <f aca="false">MAX(0,AN125+AN126+AN127+AN128)</f>
        <v>757658.656917471</v>
      </c>
      <c r="AO129" s="50" t="n">
        <f aca="false">MAX(0,AO125+AO126+AO127+AO128)</f>
        <v>786070.856551876</v>
      </c>
      <c r="AP129" s="50" t="n">
        <f aca="false">MAX(0,AP125+AP126+AP127+AP128)</f>
        <v>786070.856551876</v>
      </c>
      <c r="AQ129" s="50" t="n">
        <f aca="false">MAX(0,AQ125+AQ126+AQ127+AQ128)</f>
        <v>786070.856551876</v>
      </c>
      <c r="AR129" s="50" t="n">
        <f aca="false">MAX(0,AR125+AR126+AR127+AR128)</f>
        <v>815548.513672571</v>
      </c>
      <c r="AS129" s="50" t="n">
        <f aca="false">MAX(0,AS125+AS126+AS127+AS128)</f>
        <v>815548.513672571</v>
      </c>
      <c r="AT129" s="50" t="n">
        <f aca="false">MAX(0,AT125+AT126+AT127+AT128)</f>
        <v>815548.513672571</v>
      </c>
      <c r="AU129" s="50" t="n">
        <f aca="false">MAX(0,AU125+AU126+AU127+AU128)</f>
        <v>846131.582935293</v>
      </c>
      <c r="AV129" s="50" t="n">
        <f aca="false">MAX(0,AV125+AV126+AV127+AV128)</f>
        <v>846131.582935293</v>
      </c>
      <c r="AW129" s="50" t="n">
        <f aca="false">MAX(0,AW125+AW126+AW127+AW128)</f>
        <v>846131.582935293</v>
      </c>
      <c r="AX129" s="50" t="n">
        <f aca="false">MAX(0,AX125+AX126+AX127+AX128)</f>
        <v>877861.517295366</v>
      </c>
      <c r="AY129" s="50" t="n">
        <f aca="false">MAX(0,AY125+AY126+AY127+AY128)</f>
        <v>877861.517295366</v>
      </c>
      <c r="AZ129" s="50" t="n">
        <f aca="false">MAX(0,AZ125+AZ126+AZ127+AZ128)</f>
        <v>877861.517295366</v>
      </c>
      <c r="BA129" s="50" t="n">
        <f aca="false">MAX(0,BA125+BA126+BA127+BA128)</f>
        <v>661610.024193943</v>
      </c>
      <c r="BB129" s="50" t="n">
        <f aca="false">MAX(0,BB125+BB126+BB127+BB128)</f>
        <v>661610.024193943</v>
      </c>
      <c r="BC129" s="50" t="n">
        <f aca="false">MAX(0,BC125+BC126+BC127+BC128)</f>
        <v>661610.024193943</v>
      </c>
      <c r="BD129" s="50" t="n">
        <f aca="false">MAX(0,BD125+BD126+BD127+BD128)</f>
        <v>614720.400101215</v>
      </c>
      <c r="BE129" s="50" t="n">
        <f aca="false">MAX(0,BE125+BE126+BE127+BE128)</f>
        <v>614720.400101215</v>
      </c>
      <c r="BF129" s="50" t="n">
        <f aca="false">MAX(0,BF125+BF126+BF127+BF128)</f>
        <v>614720.400101215</v>
      </c>
      <c r="BG129" s="50" t="n">
        <f aca="false">MAX(0,BG125+BG126+BG127+BG128)</f>
        <v>566072.415105011</v>
      </c>
      <c r="BH129" s="50" t="n">
        <f aca="false">MAX(0,BH125+BH126+BH127+BH128)</f>
        <v>566072.415105011</v>
      </c>
      <c r="BI129" s="50" t="n">
        <f aca="false">MAX(0,BI125+BI126+BI127+BI128)</f>
        <v>566072.415105011</v>
      </c>
      <c r="BJ129" s="50" t="n">
        <f aca="false">MAX(0,BJ125+BJ126+BJ127+BJ128)</f>
        <v>515600.130671449</v>
      </c>
      <c r="BK129" s="50" t="n">
        <f aca="false">MAX(0,BK125+BK126+BK127+BK128)</f>
        <v>515600.130671449</v>
      </c>
      <c r="BL129" s="50" t="n">
        <f aca="false">MAX(0,BL125+BL126+BL127+BL128)</f>
        <v>515600.130671449</v>
      </c>
      <c r="BM129" s="50" t="n">
        <f aca="false">MAX(0,BM125+BM126+BM127+BM128)</f>
        <v>463235.135571628</v>
      </c>
      <c r="BN129" s="50" t="n">
        <f aca="false">MAX(0,BN125+BN126+BN127+BN128)</f>
        <v>463235.135571628</v>
      </c>
      <c r="BO129" s="50" t="n">
        <f aca="false">MAX(0,BO125+BO126+BO127+BO128)</f>
        <v>463235.135571628</v>
      </c>
      <c r="BP129" s="50" t="n">
        <f aca="false">MAX(0,BP125+BP126+BP127+BP128)</f>
        <v>405963.453155564</v>
      </c>
      <c r="BQ129" s="50" t="n">
        <f aca="false">MAX(0,BQ125+BQ126+BQ127+BQ128)</f>
        <v>405963.453155564</v>
      </c>
      <c r="BR129" s="50" t="n">
        <f aca="false">MAX(0,BR125+BR126+BR127+BR128)</f>
        <v>405963.453155564</v>
      </c>
      <c r="BS129" s="50" t="n">
        <f aca="false">MAX(0,BS125+BS126+BS127+BS128)</f>
        <v>346547.082648898</v>
      </c>
      <c r="BT129" s="50" t="n">
        <f aca="false">MAX(0,BT125+BT126+BT127+BT128)</f>
        <v>346547.082648898</v>
      </c>
      <c r="BU129" s="50" t="n">
        <f aca="false">MAX(0,BU125+BU126+BU127+BU128)</f>
        <v>346547.082648898</v>
      </c>
      <c r="BV129" s="50" t="n">
        <f aca="false">MAX(0,BV125+BV126+BV127+BV128)</f>
        <v>284902.598248232</v>
      </c>
      <c r="BW129" s="50" t="n">
        <f aca="false">MAX(0,BW125+BW126+BW127+BW128)</f>
        <v>284902.598248232</v>
      </c>
      <c r="BX129" s="50" t="n">
        <f aca="false">MAX(0,BX125+BX126+BX127+BX128)</f>
        <v>284902.598248232</v>
      </c>
      <c r="BY129" s="50" t="n">
        <f aca="false">MAX(0,BY125+BY126+BY127+BY128)</f>
        <v>220946.44568254</v>
      </c>
      <c r="BZ129" s="50" t="n">
        <f aca="false">MAX(0,BZ125+BZ126+BZ127+BZ128)</f>
        <v>220946.44568254</v>
      </c>
      <c r="CA129" s="50" t="n">
        <f aca="false">MAX(0,CA125+CA126+CA127+CA128)</f>
        <v>220946.44568254</v>
      </c>
      <c r="CB129" s="50" t="n">
        <f aca="false">MAX(0,CB125+CB126+CB127+CB128)</f>
        <v>147868.937395636</v>
      </c>
      <c r="CC129" s="50" t="n">
        <f aca="false">MAX(0,CC125+CC126+CC127+CC128)</f>
        <v>147868.937395636</v>
      </c>
      <c r="CD129" s="50" t="n">
        <f aca="false">MAX(0,CD125+CD126+CD127+CD128)</f>
        <v>147868.937395636</v>
      </c>
      <c r="CE129" s="50" t="n">
        <f aca="false">MAX(0,CE125+CE126+CE127+CE128)</f>
        <v>72052.0225479718</v>
      </c>
      <c r="CF129" s="50" t="n">
        <f aca="false">MAX(0,CF125+CF126+CF127+CF128)</f>
        <v>72052.0225479718</v>
      </c>
      <c r="CG129" s="50" t="n">
        <f aca="false">MAX(0,CG125+CG126+CG127+CG128)</f>
        <v>72052.0225479718</v>
      </c>
      <c r="CH129" s="50" t="n">
        <f aca="false">MAX(0,CH125+CH126+CH127+CH128)</f>
        <v>0</v>
      </c>
      <c r="CI129" s="25"/>
    </row>
    <row r="130" customFormat="false" ht="16.5" hidden="false" customHeight="true" outlineLevel="0" collapsed="false">
      <c r="A130" s="51"/>
      <c r="B130" s="36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37"/>
    </row>
    <row r="131" customFormat="false" ht="15" hidden="false" customHeight="true" outlineLevel="0" collapsed="false">
      <c r="A131" s="53" t="s">
        <v>155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  <c r="CG131" s="53"/>
      <c r="CH131" s="53"/>
      <c r="CI131" s="25"/>
    </row>
    <row r="132" customFormat="false" ht="15" hidden="false" customHeight="true" outlineLevel="0" collapsed="false">
      <c r="A132" s="9" t="s">
        <v>156</v>
      </c>
      <c r="B132" s="24"/>
      <c r="C132" s="10" t="n">
        <f aca="false">Helpers!C8</f>
        <v>10946461.5429654</v>
      </c>
      <c r="D132" s="10" t="n">
        <f aca="false">Helpers!D8</f>
        <v>10133653.2147754</v>
      </c>
      <c r="E132" s="10" t="n">
        <f aca="false">Helpers!E8</f>
        <v>9246899.83942384</v>
      </c>
      <c r="F132" s="10" t="n">
        <f aca="false">Helpers!F8</f>
        <v>8303243.59952528</v>
      </c>
      <c r="G132" s="10" t="n">
        <f aca="false">Helpers!G8</f>
        <v>7323700.45585194</v>
      </c>
      <c r="H132" s="10" t="n">
        <f aca="false">Helpers!H8</f>
        <v>6331894.58782936</v>
      </c>
      <c r="I132" s="10" t="n">
        <f aca="false">Helpers!I8</f>
        <v>5352351.44415602</v>
      </c>
      <c r="J132" s="10" t="n">
        <f aca="false">Helpers!J8</f>
        <v>4408695.20425746</v>
      </c>
      <c r="K132" s="10" t="n">
        <f aca="false">Helpers!K8</f>
        <v>3521941.82890593</v>
      </c>
      <c r="L132" s="10" t="n">
        <f aca="false">Helpers!L8</f>
        <v>2709133.50071593</v>
      </c>
      <c r="M132" s="10" t="n">
        <f aca="false">Helpers!M8</f>
        <v>1982410.0436813</v>
      </c>
      <c r="N132" s="10" t="n">
        <f aca="false">Helpers!N8</f>
        <v>1348626.56651396</v>
      </c>
      <c r="O132" s="10" t="n">
        <f aca="false">Helpers!O8</f>
        <v>809476.362999339</v>
      </c>
      <c r="P132" s="10" t="n">
        <f aca="false">Helpers!P8</f>
        <v>362105.413773295</v>
      </c>
      <c r="Q132" s="10" t="n">
        <f aca="false">Helpers!Q8</f>
        <v>0</v>
      </c>
      <c r="R132" s="10" t="n">
        <f aca="false">Helpers!R8</f>
        <v>0</v>
      </c>
      <c r="S132" s="10" t="n">
        <f aca="false">Helpers!S8</f>
        <v>0</v>
      </c>
      <c r="T132" s="10" t="n">
        <f aca="false">Helpers!T8</f>
        <v>0</v>
      </c>
      <c r="U132" s="10" t="n">
        <f aca="false">Helpers!U8</f>
        <v>0</v>
      </c>
      <c r="V132" s="10" t="n">
        <f aca="false">Helpers!V8</f>
        <v>0</v>
      </c>
      <c r="W132" s="10" t="n">
        <f aca="false">Helpers!W8</f>
        <v>0</v>
      </c>
      <c r="X132" s="10" t="n">
        <f aca="false">Helpers!X8</f>
        <v>0</v>
      </c>
      <c r="Y132" s="10" t="n">
        <f aca="false">Helpers!Y8</f>
        <v>0</v>
      </c>
      <c r="Z132" s="10" t="n">
        <f aca="false">Helpers!Z8</f>
        <v>0</v>
      </c>
      <c r="AA132" s="10" t="n">
        <f aca="false">Helpers!AA8</f>
        <v>0</v>
      </c>
      <c r="AB132" s="10" t="n">
        <f aca="false">Helpers!AB8</f>
        <v>0</v>
      </c>
      <c r="AC132" s="10" t="n">
        <f aca="false">Helpers!AC8</f>
        <v>0</v>
      </c>
      <c r="AD132" s="10" t="n">
        <f aca="false">Helpers!AD8</f>
        <v>0</v>
      </c>
      <c r="AE132" s="10" t="n">
        <f aca="false">Helpers!AE8</f>
        <v>0</v>
      </c>
      <c r="AF132" s="10" t="n">
        <f aca="false">Helpers!AF8</f>
        <v>0</v>
      </c>
      <c r="AG132" s="10" t="n">
        <f aca="false">Helpers!AG8</f>
        <v>0</v>
      </c>
      <c r="AH132" s="10" t="n">
        <f aca="false">Helpers!AH8</f>
        <v>0</v>
      </c>
      <c r="AI132" s="10" t="n">
        <f aca="false">Helpers!AI8</f>
        <v>0</v>
      </c>
      <c r="AJ132" s="10" t="n">
        <f aca="false">Helpers!AJ8</f>
        <v>0</v>
      </c>
      <c r="AK132" s="10" t="n">
        <f aca="false">Helpers!AK8</f>
        <v>0</v>
      </c>
      <c r="AL132" s="10" t="n">
        <f aca="false">Helpers!AL8</f>
        <v>0</v>
      </c>
      <c r="AM132" s="10" t="n">
        <f aca="false">Helpers!AM8</f>
        <v>0</v>
      </c>
      <c r="AN132" s="10" t="n">
        <f aca="false">Helpers!AN8</f>
        <v>0</v>
      </c>
      <c r="AO132" s="10" t="n">
        <f aca="false">Helpers!AO8</f>
        <v>0</v>
      </c>
      <c r="AP132" s="10" t="n">
        <f aca="false">Helpers!AP8</f>
        <v>0</v>
      </c>
      <c r="AQ132" s="10" t="n">
        <f aca="false">Helpers!AQ8</f>
        <v>0</v>
      </c>
      <c r="AR132" s="10" t="n">
        <f aca="false">Helpers!AR8</f>
        <v>0</v>
      </c>
      <c r="AS132" s="10" t="n">
        <f aca="false">Helpers!AS8</f>
        <v>0</v>
      </c>
      <c r="AT132" s="10" t="n">
        <f aca="false">Helpers!AT8</f>
        <v>0</v>
      </c>
      <c r="AU132" s="10" t="n">
        <f aca="false">Helpers!AU8</f>
        <v>0</v>
      </c>
      <c r="AV132" s="10" t="n">
        <f aca="false">Helpers!AV8</f>
        <v>0</v>
      </c>
      <c r="AW132" s="10" t="n">
        <f aca="false">Helpers!AW8</f>
        <v>0</v>
      </c>
      <c r="AX132" s="10" t="n">
        <f aca="false">Helpers!AX8</f>
        <v>0</v>
      </c>
      <c r="AY132" s="10" t="n">
        <f aca="false">Helpers!AY8</f>
        <v>0</v>
      </c>
      <c r="AZ132" s="10" t="n">
        <f aca="false">Helpers!AZ8</f>
        <v>0</v>
      </c>
      <c r="BA132" s="10" t="n">
        <f aca="false">Helpers!BA8</f>
        <v>0</v>
      </c>
      <c r="BB132" s="10" t="n">
        <f aca="false">Helpers!BB8</f>
        <v>0</v>
      </c>
      <c r="BC132" s="10" t="n">
        <f aca="false">Helpers!BC8</f>
        <v>0</v>
      </c>
      <c r="BD132" s="10" t="n">
        <f aca="false">Helpers!BD8</f>
        <v>0</v>
      </c>
      <c r="BE132" s="10" t="n">
        <f aca="false">Helpers!BE8</f>
        <v>0</v>
      </c>
      <c r="BF132" s="10" t="n">
        <f aca="false">Helpers!BF8</f>
        <v>0</v>
      </c>
      <c r="BG132" s="10" t="n">
        <f aca="false">Helpers!BG8</f>
        <v>0</v>
      </c>
      <c r="BH132" s="10" t="n">
        <f aca="false">Helpers!BH8</f>
        <v>0</v>
      </c>
      <c r="BI132" s="10" t="n">
        <f aca="false">Helpers!BI8</f>
        <v>0</v>
      </c>
      <c r="BJ132" s="10" t="n">
        <f aca="false">Helpers!BJ8</f>
        <v>0</v>
      </c>
      <c r="BK132" s="10" t="n">
        <f aca="false">Helpers!BK8</f>
        <v>0</v>
      </c>
      <c r="BL132" s="10" t="n">
        <f aca="false">Helpers!BL8</f>
        <v>0</v>
      </c>
      <c r="BM132" s="10" t="n">
        <f aca="false">Helpers!BM8</f>
        <v>0</v>
      </c>
      <c r="BN132" s="10" t="n">
        <f aca="false">Helpers!BN8</f>
        <v>0</v>
      </c>
      <c r="BO132" s="10" t="n">
        <f aca="false">Helpers!BO8</f>
        <v>0</v>
      </c>
      <c r="BP132" s="10" t="n">
        <f aca="false">Helpers!BP8</f>
        <v>0</v>
      </c>
      <c r="BQ132" s="10" t="n">
        <f aca="false">Helpers!BQ8</f>
        <v>0</v>
      </c>
      <c r="BR132" s="10" t="n">
        <f aca="false">Helpers!BR8</f>
        <v>0</v>
      </c>
      <c r="BS132" s="10" t="n">
        <f aca="false">Helpers!BS8</f>
        <v>0</v>
      </c>
      <c r="BT132" s="10" t="n">
        <f aca="false">Helpers!BT8</f>
        <v>0</v>
      </c>
      <c r="BU132" s="10" t="n">
        <f aca="false">Helpers!BU8</f>
        <v>0</v>
      </c>
      <c r="BV132" s="10" t="n">
        <f aca="false">Helpers!BV8</f>
        <v>0</v>
      </c>
      <c r="BW132" s="10" t="n">
        <f aca="false">Helpers!BW8</f>
        <v>0</v>
      </c>
      <c r="BX132" s="10" t="n">
        <f aca="false">Helpers!BX8</f>
        <v>0</v>
      </c>
      <c r="BY132" s="10" t="n">
        <f aca="false">Helpers!BY8</f>
        <v>0</v>
      </c>
      <c r="BZ132" s="10" t="n">
        <f aca="false">Helpers!BZ8</f>
        <v>0</v>
      </c>
      <c r="CA132" s="10" t="n">
        <f aca="false">Helpers!CA8</f>
        <v>0</v>
      </c>
      <c r="CB132" s="10" t="n">
        <f aca="false">Helpers!CB8</f>
        <v>0</v>
      </c>
      <c r="CC132" s="10" t="n">
        <f aca="false">Helpers!CC8</f>
        <v>0</v>
      </c>
      <c r="CD132" s="10" t="n">
        <f aca="false">Helpers!CD8</f>
        <v>0</v>
      </c>
      <c r="CE132" s="10" t="n">
        <f aca="false">Helpers!CE8</f>
        <v>0</v>
      </c>
      <c r="CF132" s="10" t="n">
        <f aca="false">Helpers!CF8</f>
        <v>0</v>
      </c>
      <c r="CG132" s="10" t="n">
        <f aca="false">Helpers!CG8</f>
        <v>0</v>
      </c>
      <c r="CH132" s="10" t="n">
        <f aca="false">Helpers!CH8</f>
        <v>0</v>
      </c>
      <c r="CI132" s="25"/>
      <c r="CJ132" s="54"/>
      <c r="CK132" s="54"/>
    </row>
    <row r="133" customFormat="false" ht="15" hidden="false" customHeight="true" outlineLevel="0" collapsed="false">
      <c r="A133" s="9" t="s">
        <v>157</v>
      </c>
      <c r="B133" s="24"/>
      <c r="C133" s="10" t="n">
        <f aca="false">Helpers!C9</f>
        <v>12652545.5176246</v>
      </c>
      <c r="D133" s="10" t="n">
        <f aca="false">Helpers!D9</f>
        <v>11713055.2239655</v>
      </c>
      <c r="E133" s="10" t="n">
        <f aca="false">Helpers!E9</f>
        <v>10688095.0210265</v>
      </c>
      <c r="F133" s="10" t="n">
        <f aca="false">Helpers!F9</f>
        <v>9597363.23692953</v>
      </c>
      <c r="G133" s="10" t="n">
        <f aca="false">Helpers!G9</f>
        <v>8465151.3195754</v>
      </c>
      <c r="H133" s="10" t="n">
        <f aca="false">Helpers!H9</f>
        <v>7318765.44496671</v>
      </c>
      <c r="I133" s="10" t="n">
        <f aca="false">Helpers!I9</f>
        <v>6186553.52761257</v>
      </c>
      <c r="J133" s="10" t="n">
        <f aca="false">Helpers!J9</f>
        <v>5095821.74351565</v>
      </c>
      <c r="K133" s="10" t="n">
        <f aca="false">Helpers!K9</f>
        <v>4070861.54057658</v>
      </c>
      <c r="L133" s="10" t="n">
        <f aca="false">Helpers!L9</f>
        <v>3131371.24691751</v>
      </c>
      <c r="M133" s="10" t="n">
        <f aca="false">Helpers!M9</f>
        <v>2291382.76454211</v>
      </c>
      <c r="N133" s="10" t="n">
        <f aca="false">Helpers!N9</f>
        <v>1558819.61966618</v>
      </c>
      <c r="O133" s="10" t="n">
        <f aca="false">Helpers!O9</f>
        <v>935639.017968525</v>
      </c>
      <c r="P133" s="10" t="n">
        <f aca="false">Helpers!P9</f>
        <v>418542.120845361</v>
      </c>
      <c r="Q133" s="10" t="n">
        <f aca="false">Helpers!Q9</f>
        <v>0</v>
      </c>
      <c r="R133" s="10" t="n">
        <f aca="false">Helpers!R9</f>
        <v>0</v>
      </c>
      <c r="S133" s="10" t="n">
        <f aca="false">Helpers!S9</f>
        <v>0</v>
      </c>
      <c r="T133" s="10" t="n">
        <f aca="false">Helpers!T9</f>
        <v>0</v>
      </c>
      <c r="U133" s="10" t="n">
        <f aca="false">Helpers!U9</f>
        <v>0</v>
      </c>
      <c r="V133" s="10" t="n">
        <f aca="false">Helpers!V9</f>
        <v>0</v>
      </c>
      <c r="W133" s="10" t="n">
        <f aca="false">Helpers!W9</f>
        <v>0</v>
      </c>
      <c r="X133" s="10" t="n">
        <f aca="false">Helpers!X9</f>
        <v>0</v>
      </c>
      <c r="Y133" s="10" t="n">
        <f aca="false">Helpers!Y9</f>
        <v>0</v>
      </c>
      <c r="Z133" s="10" t="n">
        <f aca="false">Helpers!Z9</f>
        <v>0</v>
      </c>
      <c r="AA133" s="10" t="n">
        <f aca="false">Helpers!AA9</f>
        <v>0</v>
      </c>
      <c r="AB133" s="10" t="n">
        <f aca="false">Helpers!AB9</f>
        <v>0</v>
      </c>
      <c r="AC133" s="10" t="n">
        <f aca="false">Helpers!AC9</f>
        <v>0</v>
      </c>
      <c r="AD133" s="10" t="n">
        <f aca="false">Helpers!AD9</f>
        <v>0</v>
      </c>
      <c r="AE133" s="10" t="n">
        <f aca="false">Helpers!AE9</f>
        <v>0</v>
      </c>
      <c r="AF133" s="10" t="n">
        <f aca="false">Helpers!AF9</f>
        <v>0</v>
      </c>
      <c r="AG133" s="10" t="n">
        <f aca="false">Helpers!AG9</f>
        <v>0</v>
      </c>
      <c r="AH133" s="10" t="n">
        <f aca="false">Helpers!AH9</f>
        <v>0</v>
      </c>
      <c r="AI133" s="10" t="n">
        <f aca="false">Helpers!AI9</f>
        <v>0</v>
      </c>
      <c r="AJ133" s="10" t="n">
        <f aca="false">Helpers!AJ9</f>
        <v>0</v>
      </c>
      <c r="AK133" s="10" t="n">
        <f aca="false">Helpers!AK9</f>
        <v>0</v>
      </c>
      <c r="AL133" s="10" t="n">
        <f aca="false">Helpers!AL9</f>
        <v>0</v>
      </c>
      <c r="AM133" s="10" t="n">
        <f aca="false">Helpers!AM9</f>
        <v>0</v>
      </c>
      <c r="AN133" s="10" t="n">
        <f aca="false">Helpers!AN9</f>
        <v>0</v>
      </c>
      <c r="AO133" s="10" t="n">
        <f aca="false">Helpers!AO9</f>
        <v>0</v>
      </c>
      <c r="AP133" s="10" t="n">
        <f aca="false">Helpers!AP9</f>
        <v>0</v>
      </c>
      <c r="AQ133" s="10" t="n">
        <f aca="false">Helpers!AQ9</f>
        <v>0</v>
      </c>
      <c r="AR133" s="10" t="n">
        <f aca="false">Helpers!AR9</f>
        <v>0</v>
      </c>
      <c r="AS133" s="10" t="n">
        <f aca="false">Helpers!AS9</f>
        <v>0</v>
      </c>
      <c r="AT133" s="10" t="n">
        <f aca="false">Helpers!AT9</f>
        <v>0</v>
      </c>
      <c r="AU133" s="10" t="n">
        <f aca="false">Helpers!AU9</f>
        <v>0</v>
      </c>
      <c r="AV133" s="10" t="n">
        <f aca="false">Helpers!AV9</f>
        <v>0</v>
      </c>
      <c r="AW133" s="10" t="n">
        <f aca="false">Helpers!AW9</f>
        <v>0</v>
      </c>
      <c r="AX133" s="10" t="n">
        <f aca="false">Helpers!AX9</f>
        <v>0</v>
      </c>
      <c r="AY133" s="10" t="n">
        <f aca="false">Helpers!AY9</f>
        <v>0</v>
      </c>
      <c r="AZ133" s="10" t="n">
        <f aca="false">Helpers!AZ9</f>
        <v>0</v>
      </c>
      <c r="BA133" s="10" t="n">
        <f aca="false">Helpers!BA9</f>
        <v>0</v>
      </c>
      <c r="BB133" s="10" t="n">
        <f aca="false">Helpers!BB9</f>
        <v>0</v>
      </c>
      <c r="BC133" s="10" t="n">
        <f aca="false">Helpers!BC9</f>
        <v>0</v>
      </c>
      <c r="BD133" s="10" t="n">
        <f aca="false">Helpers!BD9</f>
        <v>0</v>
      </c>
      <c r="BE133" s="10" t="n">
        <f aca="false">Helpers!BE9</f>
        <v>0</v>
      </c>
      <c r="BF133" s="10" t="n">
        <f aca="false">Helpers!BF9</f>
        <v>0</v>
      </c>
      <c r="BG133" s="10" t="n">
        <f aca="false">Helpers!BG9</f>
        <v>0</v>
      </c>
      <c r="BH133" s="10" t="n">
        <f aca="false">Helpers!BH9</f>
        <v>0</v>
      </c>
      <c r="BI133" s="10" t="n">
        <f aca="false">Helpers!BI9</f>
        <v>0</v>
      </c>
      <c r="BJ133" s="10" t="n">
        <f aca="false">Helpers!BJ9</f>
        <v>0</v>
      </c>
      <c r="BK133" s="10" t="n">
        <f aca="false">Helpers!BK9</f>
        <v>0</v>
      </c>
      <c r="BL133" s="10" t="n">
        <f aca="false">Helpers!BL9</f>
        <v>0</v>
      </c>
      <c r="BM133" s="10" t="n">
        <f aca="false">Helpers!BM9</f>
        <v>0</v>
      </c>
      <c r="BN133" s="10" t="n">
        <f aca="false">Helpers!BN9</f>
        <v>0</v>
      </c>
      <c r="BO133" s="10" t="n">
        <f aca="false">Helpers!BO9</f>
        <v>0</v>
      </c>
      <c r="BP133" s="10" t="n">
        <f aca="false">Helpers!BP9</f>
        <v>0</v>
      </c>
      <c r="BQ133" s="10" t="n">
        <f aca="false">Helpers!BQ9</f>
        <v>0</v>
      </c>
      <c r="BR133" s="10" t="n">
        <f aca="false">Helpers!BR9</f>
        <v>0</v>
      </c>
      <c r="BS133" s="10" t="n">
        <f aca="false">Helpers!BS9</f>
        <v>0</v>
      </c>
      <c r="BT133" s="10" t="n">
        <f aca="false">Helpers!BT9</f>
        <v>0</v>
      </c>
      <c r="BU133" s="10" t="n">
        <f aca="false">Helpers!BU9</f>
        <v>0</v>
      </c>
      <c r="BV133" s="10" t="n">
        <f aca="false">Helpers!BV9</f>
        <v>0</v>
      </c>
      <c r="BW133" s="10" t="n">
        <f aca="false">Helpers!BW9</f>
        <v>0</v>
      </c>
      <c r="BX133" s="10" t="n">
        <f aca="false">Helpers!BX9</f>
        <v>0</v>
      </c>
      <c r="BY133" s="10" t="n">
        <f aca="false">Helpers!BY9</f>
        <v>0</v>
      </c>
      <c r="BZ133" s="10" t="n">
        <f aca="false">Helpers!BZ9</f>
        <v>0</v>
      </c>
      <c r="CA133" s="10" t="n">
        <f aca="false">Helpers!CA9</f>
        <v>0</v>
      </c>
      <c r="CB133" s="10" t="n">
        <f aca="false">Helpers!CB9</f>
        <v>0</v>
      </c>
      <c r="CC133" s="10" t="n">
        <f aca="false">Helpers!CC9</f>
        <v>0</v>
      </c>
      <c r="CD133" s="10" t="n">
        <f aca="false">Helpers!CD9</f>
        <v>0</v>
      </c>
      <c r="CE133" s="10" t="n">
        <f aca="false">Helpers!CE9</f>
        <v>0</v>
      </c>
      <c r="CF133" s="10" t="n">
        <f aca="false">Helpers!CF9</f>
        <v>0</v>
      </c>
      <c r="CG133" s="10" t="n">
        <f aca="false">Helpers!CG9</f>
        <v>0</v>
      </c>
      <c r="CH133" s="10" t="n">
        <f aca="false">Helpers!CH9</f>
        <v>0</v>
      </c>
      <c r="CI133" s="25"/>
      <c r="CJ133" s="55"/>
      <c r="CK133" s="55"/>
    </row>
    <row r="134" customFormat="false" ht="15" hidden="false" customHeight="true" outlineLevel="0" collapsed="false">
      <c r="A134" s="9" t="s">
        <v>49</v>
      </c>
      <c r="B134" s="24"/>
      <c r="C134" s="10" t="n">
        <f aca="false">Helpers!C10</f>
        <v>0</v>
      </c>
      <c r="D134" s="10" t="n">
        <f aca="false">Helpers!D10</f>
        <v>0</v>
      </c>
      <c r="E134" s="10" t="n">
        <f aca="false">Helpers!E10</f>
        <v>0</v>
      </c>
      <c r="F134" s="10" t="n">
        <f aca="false">Helpers!F10</f>
        <v>42087723.721344</v>
      </c>
      <c r="G134" s="10" t="n">
        <f aca="false">Helpers!G10</f>
        <v>41042043.570816</v>
      </c>
      <c r="H134" s="10" t="n">
        <f aca="false">Helpers!H10</f>
        <v>39819806.067456</v>
      </c>
      <c r="I134" s="10" t="n">
        <f aca="false">Helpers!I10</f>
        <v>38413233.922176</v>
      </c>
      <c r="J134" s="10" t="n">
        <f aca="false">Helpers!J10</f>
        <v>36819663.0912</v>
      </c>
      <c r="K134" s="10" t="n">
        <f aca="false">Helpers!K10</f>
        <v>35042144.334336</v>
      </c>
      <c r="L134" s="10" t="n">
        <f aca="false">Helpers!L10</f>
        <v>33090173.678592</v>
      </c>
      <c r="M134" s="10" t="n">
        <f aca="false">Helpers!M10</f>
        <v>30979821.32352</v>
      </c>
      <c r="N134" s="10" t="n">
        <f aca="false">Helpers!N10</f>
        <v>28733516.798976</v>
      </c>
      <c r="O134" s="10" t="n">
        <f aca="false">Helpers!O10</f>
        <v>26379576.312192</v>
      </c>
      <c r="P134" s="10" t="n">
        <f aca="false">Helpers!P10</f>
        <v>23950999.631232</v>
      </c>
      <c r="Q134" s="10" t="n">
        <f aca="false">Helpers!Q10</f>
        <v>21484224</v>
      </c>
      <c r="R134" s="10" t="n">
        <f aca="false">Helpers!R10</f>
        <v>19017448.368768</v>
      </c>
      <c r="S134" s="10" t="n">
        <f aca="false">Helpers!S10</f>
        <v>16588871.687808</v>
      </c>
      <c r="T134" s="10" t="n">
        <f aca="false">Helpers!T10</f>
        <v>14234931.201024</v>
      </c>
      <c r="U134" s="10" t="n">
        <f aca="false">Helpers!U10</f>
        <v>11988626.67648</v>
      </c>
      <c r="V134" s="10" t="n">
        <f aca="false">Helpers!V10</f>
        <v>9878274.321408</v>
      </c>
      <c r="W134" s="10" t="n">
        <f aca="false">Helpers!W10</f>
        <v>7926303.665664</v>
      </c>
      <c r="X134" s="10" t="n">
        <f aca="false">Helpers!X10</f>
        <v>6148784.9088</v>
      </c>
      <c r="Y134" s="10" t="n">
        <f aca="false">Helpers!Y10</f>
        <v>4555214.077824</v>
      </c>
      <c r="Z134" s="10" t="n">
        <f aca="false">Helpers!Z10</f>
        <v>3148641.932544</v>
      </c>
      <c r="AA134" s="10" t="n">
        <f aca="false">Helpers!AA10</f>
        <v>1926404.429184</v>
      </c>
      <c r="AB134" s="10" t="n">
        <f aca="false">Helpers!AB10</f>
        <v>880724.278656</v>
      </c>
      <c r="AC134" s="10" t="n">
        <f aca="false">Helpers!AC10</f>
        <v>0</v>
      </c>
      <c r="AD134" s="10" t="n">
        <f aca="false">Helpers!AD10</f>
        <v>0</v>
      </c>
      <c r="AE134" s="10" t="n">
        <f aca="false">Helpers!AE10</f>
        <v>0</v>
      </c>
      <c r="AF134" s="10" t="n">
        <f aca="false">Helpers!AF10</f>
        <v>0</v>
      </c>
      <c r="AG134" s="10" t="n">
        <f aca="false">Helpers!AG10</f>
        <v>0</v>
      </c>
      <c r="AH134" s="10" t="n">
        <f aca="false">Helpers!AH10</f>
        <v>0</v>
      </c>
      <c r="AI134" s="10" t="n">
        <f aca="false">Helpers!AI10</f>
        <v>0</v>
      </c>
      <c r="AJ134" s="10" t="n">
        <f aca="false">Helpers!AJ10</f>
        <v>0</v>
      </c>
      <c r="AK134" s="10" t="n">
        <f aca="false">Helpers!AK10</f>
        <v>0</v>
      </c>
      <c r="AL134" s="10" t="n">
        <f aca="false">Helpers!AL10</f>
        <v>0</v>
      </c>
      <c r="AM134" s="10" t="n">
        <f aca="false">Helpers!AM10</f>
        <v>0</v>
      </c>
      <c r="AN134" s="10" t="n">
        <f aca="false">Helpers!AN10</f>
        <v>0</v>
      </c>
      <c r="AO134" s="10" t="n">
        <f aca="false">Helpers!AO10</f>
        <v>0</v>
      </c>
      <c r="AP134" s="10" t="n">
        <f aca="false">Helpers!AP10</f>
        <v>0</v>
      </c>
      <c r="AQ134" s="10" t="n">
        <f aca="false">Helpers!AQ10</f>
        <v>0</v>
      </c>
      <c r="AR134" s="10" t="n">
        <f aca="false">Helpers!AR10</f>
        <v>0</v>
      </c>
      <c r="AS134" s="10" t="n">
        <f aca="false">Helpers!AS10</f>
        <v>0</v>
      </c>
      <c r="AT134" s="10" t="n">
        <f aca="false">Helpers!AT10</f>
        <v>0</v>
      </c>
      <c r="AU134" s="10" t="n">
        <f aca="false">Helpers!AU10</f>
        <v>0</v>
      </c>
      <c r="AV134" s="10" t="n">
        <f aca="false">Helpers!AV10</f>
        <v>0</v>
      </c>
      <c r="AW134" s="10" t="n">
        <f aca="false">Helpers!AW10</f>
        <v>0</v>
      </c>
      <c r="AX134" s="10" t="n">
        <f aca="false">Helpers!AX10</f>
        <v>0</v>
      </c>
      <c r="AY134" s="10" t="n">
        <f aca="false">Helpers!AY10</f>
        <v>0</v>
      </c>
      <c r="AZ134" s="10" t="n">
        <f aca="false">Helpers!AZ10</f>
        <v>0</v>
      </c>
      <c r="BA134" s="10" t="n">
        <f aca="false">Helpers!BA10</f>
        <v>0</v>
      </c>
      <c r="BB134" s="10" t="n">
        <f aca="false">Helpers!BB10</f>
        <v>0</v>
      </c>
      <c r="BC134" s="10" t="n">
        <f aca="false">Helpers!BC10</f>
        <v>0</v>
      </c>
      <c r="BD134" s="10" t="n">
        <f aca="false">Helpers!BD10</f>
        <v>0</v>
      </c>
      <c r="BE134" s="10" t="n">
        <f aca="false">Helpers!BE10</f>
        <v>0</v>
      </c>
      <c r="BF134" s="10" t="n">
        <f aca="false">Helpers!BF10</f>
        <v>0</v>
      </c>
      <c r="BG134" s="10" t="n">
        <f aca="false">Helpers!BG10</f>
        <v>0</v>
      </c>
      <c r="BH134" s="10" t="n">
        <f aca="false">Helpers!BH10</f>
        <v>0</v>
      </c>
      <c r="BI134" s="10" t="n">
        <f aca="false">Helpers!BI10</f>
        <v>0</v>
      </c>
      <c r="BJ134" s="10" t="n">
        <f aca="false">Helpers!BJ10</f>
        <v>0</v>
      </c>
      <c r="BK134" s="10" t="n">
        <f aca="false">Helpers!BK10</f>
        <v>0</v>
      </c>
      <c r="BL134" s="10" t="n">
        <f aca="false">Helpers!BL10</f>
        <v>0</v>
      </c>
      <c r="BM134" s="10" t="n">
        <f aca="false">Helpers!BM10</f>
        <v>0</v>
      </c>
      <c r="BN134" s="10" t="n">
        <f aca="false">Helpers!BN10</f>
        <v>0</v>
      </c>
      <c r="BO134" s="10" t="n">
        <f aca="false">Helpers!BO10</f>
        <v>0</v>
      </c>
      <c r="BP134" s="10" t="n">
        <f aca="false">Helpers!BP10</f>
        <v>0</v>
      </c>
      <c r="BQ134" s="10" t="n">
        <f aca="false">Helpers!BQ10</f>
        <v>0</v>
      </c>
      <c r="BR134" s="10" t="n">
        <f aca="false">Helpers!BR10</f>
        <v>0</v>
      </c>
      <c r="BS134" s="10" t="n">
        <f aca="false">Helpers!BS10</f>
        <v>0</v>
      </c>
      <c r="BT134" s="10" t="n">
        <f aca="false">Helpers!BT10</f>
        <v>0</v>
      </c>
      <c r="BU134" s="10" t="n">
        <f aca="false">Helpers!BU10</f>
        <v>0</v>
      </c>
      <c r="BV134" s="10" t="n">
        <f aca="false">Helpers!BV10</f>
        <v>0</v>
      </c>
      <c r="BW134" s="10" t="n">
        <f aca="false">Helpers!BW10</f>
        <v>0</v>
      </c>
      <c r="BX134" s="10" t="n">
        <f aca="false">Helpers!BX10</f>
        <v>0</v>
      </c>
      <c r="BY134" s="10" t="n">
        <f aca="false">Helpers!BY10</f>
        <v>0</v>
      </c>
      <c r="BZ134" s="10" t="n">
        <f aca="false">Helpers!BZ10</f>
        <v>0</v>
      </c>
      <c r="CA134" s="10" t="n">
        <f aca="false">Helpers!CA10</f>
        <v>0</v>
      </c>
      <c r="CB134" s="10" t="n">
        <f aca="false">Helpers!CB10</f>
        <v>0</v>
      </c>
      <c r="CC134" s="10" t="n">
        <f aca="false">Helpers!CC10</f>
        <v>0</v>
      </c>
      <c r="CD134" s="10" t="n">
        <f aca="false">Helpers!CD10</f>
        <v>0</v>
      </c>
      <c r="CE134" s="10" t="n">
        <f aca="false">Helpers!CE10</f>
        <v>0</v>
      </c>
      <c r="CF134" s="10" t="n">
        <f aca="false">Helpers!CF10</f>
        <v>0</v>
      </c>
      <c r="CG134" s="10" t="n">
        <f aca="false">Helpers!CG10</f>
        <v>0</v>
      </c>
      <c r="CH134" s="10" t="n">
        <f aca="false">Helpers!CH10</f>
        <v>0</v>
      </c>
      <c r="CI134" s="25"/>
      <c r="CJ134" s="56"/>
      <c r="CK134" s="56"/>
    </row>
    <row r="135" customFormat="false" ht="15" hidden="false" customHeight="true" outlineLevel="0" collapsed="false">
      <c r="A135" s="9" t="s">
        <v>158</v>
      </c>
      <c r="B135" s="24"/>
      <c r="C135" s="10" t="n">
        <f aca="false">Helpers!C11</f>
        <v>0</v>
      </c>
      <c r="D135" s="10" t="n">
        <f aca="false">Helpers!D11</f>
        <v>0</v>
      </c>
      <c r="E135" s="10" t="n">
        <f aca="false">Helpers!E11</f>
        <v>0</v>
      </c>
      <c r="F135" s="10" t="n">
        <f aca="false">Helpers!F11</f>
        <v>0</v>
      </c>
      <c r="G135" s="10" t="n">
        <f aca="false">Helpers!G11</f>
        <v>0</v>
      </c>
      <c r="H135" s="10" t="n">
        <f aca="false">Helpers!H11</f>
        <v>0</v>
      </c>
      <c r="I135" s="10" t="n">
        <f aca="false">Helpers!I11</f>
        <v>13264457.403876</v>
      </c>
      <c r="J135" s="10" t="n">
        <f aca="false">Helpers!J11</f>
        <v>12818063.487384</v>
      </c>
      <c r="K135" s="10" t="n">
        <f aca="false">Helpers!K11</f>
        <v>12280090.75728</v>
      </c>
      <c r="L135" s="10" t="n">
        <f aca="false">Helpers!L11</f>
        <v>11647691.427216</v>
      </c>
      <c r="M135" s="10" t="n">
        <f aca="false">Helpers!M11</f>
        <v>10922555.09292</v>
      </c>
      <c r="N135" s="10" t="n">
        <f aca="false">Helpers!N11</f>
        <v>10111521.891936</v>
      </c>
      <c r="O135" s="10" t="n">
        <f aca="false">Helpers!O11</f>
        <v>9226705.135572</v>
      </c>
      <c r="P135" s="10" t="n">
        <f aca="false">Helpers!P11</f>
        <v>8285109.787284</v>
      </c>
      <c r="Q135" s="10" t="n">
        <f aca="false">Helpers!Q11</f>
        <v>7307705.91018</v>
      </c>
      <c r="R135" s="10" t="n">
        <f aca="false">Helpers!R11</f>
        <v>6318066.08982</v>
      </c>
      <c r="S135" s="10" t="n">
        <f aca="false">Helpers!S11</f>
        <v>5340662.212716</v>
      </c>
      <c r="T135" s="10" t="n">
        <f aca="false">Helpers!T11</f>
        <v>4399066.864428</v>
      </c>
      <c r="U135" s="10" t="n">
        <f aca="false">Helpers!U11</f>
        <v>3514250.108064</v>
      </c>
      <c r="V135" s="10" t="n">
        <f aca="false">Helpers!V11</f>
        <v>2703216.90708</v>
      </c>
      <c r="W135" s="10" t="n">
        <f aca="false">Helpers!W11</f>
        <v>1978080.572784</v>
      </c>
      <c r="X135" s="10" t="n">
        <f aca="false">Helpers!X11</f>
        <v>1345681.24272</v>
      </c>
      <c r="Y135" s="10" t="n">
        <f aca="false">Helpers!Y11</f>
        <v>807708.512615999</v>
      </c>
      <c r="Z135" s="10" t="n">
        <f aca="false">Helpers!Z11</f>
        <v>361314.596124</v>
      </c>
      <c r="AA135" s="10" t="n">
        <f aca="false">Helpers!AA11</f>
        <v>0</v>
      </c>
      <c r="AB135" s="10" t="n">
        <f aca="false">Helpers!AB11</f>
        <v>0</v>
      </c>
      <c r="AC135" s="10" t="n">
        <f aca="false">Helpers!AC11</f>
        <v>0</v>
      </c>
      <c r="AD135" s="10" t="n">
        <f aca="false">Helpers!AD11</f>
        <v>0</v>
      </c>
      <c r="AE135" s="10" t="n">
        <f aca="false">Helpers!AE11</f>
        <v>0</v>
      </c>
      <c r="AF135" s="10" t="n">
        <f aca="false">Helpers!AF11</f>
        <v>0</v>
      </c>
      <c r="AG135" s="10" t="n">
        <f aca="false">Helpers!AG11</f>
        <v>0</v>
      </c>
      <c r="AH135" s="10" t="n">
        <f aca="false">Helpers!AH11</f>
        <v>0</v>
      </c>
      <c r="AI135" s="10" t="n">
        <f aca="false">Helpers!AI11</f>
        <v>0</v>
      </c>
      <c r="AJ135" s="10" t="n">
        <f aca="false">Helpers!AJ11</f>
        <v>0</v>
      </c>
      <c r="AK135" s="10" t="n">
        <f aca="false">Helpers!AK11</f>
        <v>0</v>
      </c>
      <c r="AL135" s="10" t="n">
        <f aca="false">Helpers!AL11</f>
        <v>0</v>
      </c>
      <c r="AM135" s="10" t="n">
        <f aca="false">Helpers!AM11</f>
        <v>0</v>
      </c>
      <c r="AN135" s="10" t="n">
        <f aca="false">Helpers!AN11</f>
        <v>0</v>
      </c>
      <c r="AO135" s="10" t="n">
        <f aca="false">Helpers!AO11</f>
        <v>0</v>
      </c>
      <c r="AP135" s="10" t="n">
        <f aca="false">Helpers!AP11</f>
        <v>0</v>
      </c>
      <c r="AQ135" s="10" t="n">
        <f aca="false">Helpers!AQ11</f>
        <v>0</v>
      </c>
      <c r="AR135" s="10" t="n">
        <f aca="false">Helpers!AR11</f>
        <v>0</v>
      </c>
      <c r="AS135" s="10" t="n">
        <f aca="false">Helpers!AS11</f>
        <v>0</v>
      </c>
      <c r="AT135" s="10" t="n">
        <f aca="false">Helpers!AT11</f>
        <v>0</v>
      </c>
      <c r="AU135" s="10" t="n">
        <f aca="false">Helpers!AU11</f>
        <v>0</v>
      </c>
      <c r="AV135" s="10" t="n">
        <f aca="false">Helpers!AV11</f>
        <v>0</v>
      </c>
      <c r="AW135" s="10" t="n">
        <f aca="false">Helpers!AW11</f>
        <v>0</v>
      </c>
      <c r="AX135" s="10" t="n">
        <f aca="false">Helpers!AX11</f>
        <v>0</v>
      </c>
      <c r="AY135" s="10" t="n">
        <f aca="false">Helpers!AY11</f>
        <v>0</v>
      </c>
      <c r="AZ135" s="10" t="n">
        <f aca="false">Helpers!AZ11</f>
        <v>0</v>
      </c>
      <c r="BA135" s="10" t="n">
        <f aca="false">Helpers!BA11</f>
        <v>0</v>
      </c>
      <c r="BB135" s="10" t="n">
        <f aca="false">Helpers!BB11</f>
        <v>0</v>
      </c>
      <c r="BC135" s="10" t="n">
        <f aca="false">Helpers!BC11</f>
        <v>0</v>
      </c>
      <c r="BD135" s="10" t="n">
        <f aca="false">Helpers!BD11</f>
        <v>0</v>
      </c>
      <c r="BE135" s="10" t="n">
        <f aca="false">Helpers!BE11</f>
        <v>0</v>
      </c>
      <c r="BF135" s="10" t="n">
        <f aca="false">Helpers!BF11</f>
        <v>0</v>
      </c>
      <c r="BG135" s="10" t="n">
        <f aca="false">Helpers!BG11</f>
        <v>0</v>
      </c>
      <c r="BH135" s="10" t="n">
        <f aca="false">Helpers!BH11</f>
        <v>0</v>
      </c>
      <c r="BI135" s="10" t="n">
        <f aca="false">Helpers!BI11</f>
        <v>0</v>
      </c>
      <c r="BJ135" s="10" t="n">
        <f aca="false">Helpers!BJ11</f>
        <v>0</v>
      </c>
      <c r="BK135" s="10" t="n">
        <f aca="false">Helpers!BK11</f>
        <v>0</v>
      </c>
      <c r="BL135" s="10" t="n">
        <f aca="false">Helpers!BL11</f>
        <v>0</v>
      </c>
      <c r="BM135" s="10" t="n">
        <f aca="false">Helpers!BM11</f>
        <v>0</v>
      </c>
      <c r="BN135" s="10" t="n">
        <f aca="false">Helpers!BN11</f>
        <v>0</v>
      </c>
      <c r="BO135" s="10" t="n">
        <f aca="false">Helpers!BO11</f>
        <v>0</v>
      </c>
      <c r="BP135" s="10" t="n">
        <f aca="false">Helpers!BP11</f>
        <v>0</v>
      </c>
      <c r="BQ135" s="10" t="n">
        <f aca="false">Helpers!BQ11</f>
        <v>0</v>
      </c>
      <c r="BR135" s="10" t="n">
        <f aca="false">Helpers!BR11</f>
        <v>0</v>
      </c>
      <c r="BS135" s="10" t="n">
        <f aca="false">Helpers!BS11</f>
        <v>0</v>
      </c>
      <c r="BT135" s="10" t="n">
        <f aca="false">Helpers!BT11</f>
        <v>0</v>
      </c>
      <c r="BU135" s="10" t="n">
        <f aca="false">Helpers!BU11</f>
        <v>0</v>
      </c>
      <c r="BV135" s="10" t="n">
        <f aca="false">Helpers!BV11</f>
        <v>0</v>
      </c>
      <c r="BW135" s="10" t="n">
        <f aca="false">Helpers!BW11</f>
        <v>0</v>
      </c>
      <c r="BX135" s="10" t="n">
        <f aca="false">Helpers!BX11</f>
        <v>0</v>
      </c>
      <c r="BY135" s="10" t="n">
        <f aca="false">Helpers!BY11</f>
        <v>0</v>
      </c>
      <c r="BZ135" s="10" t="n">
        <f aca="false">Helpers!BZ11</f>
        <v>0</v>
      </c>
      <c r="CA135" s="10" t="n">
        <f aca="false">Helpers!CA11</f>
        <v>0</v>
      </c>
      <c r="CB135" s="10" t="n">
        <f aca="false">Helpers!CB11</f>
        <v>0</v>
      </c>
      <c r="CC135" s="10" t="n">
        <f aca="false">Helpers!CC11</f>
        <v>0</v>
      </c>
      <c r="CD135" s="10" t="n">
        <f aca="false">Helpers!CD11</f>
        <v>0</v>
      </c>
      <c r="CE135" s="10" t="n">
        <f aca="false">Helpers!CE11</f>
        <v>0</v>
      </c>
      <c r="CF135" s="10" t="n">
        <f aca="false">Helpers!CF11</f>
        <v>0</v>
      </c>
      <c r="CG135" s="10" t="n">
        <f aca="false">Helpers!CG11</f>
        <v>0</v>
      </c>
      <c r="CH135" s="10" t="n">
        <f aca="false">Helpers!CH11</f>
        <v>0</v>
      </c>
      <c r="CI135" s="25"/>
      <c r="CJ135" s="56"/>
      <c r="CK135" s="56"/>
    </row>
    <row r="136" customFormat="false" ht="15" hidden="false" customHeight="true" outlineLevel="0" collapsed="false">
      <c r="A136" s="9" t="s">
        <v>159</v>
      </c>
      <c r="B136" s="24"/>
      <c r="C136" s="10" t="n">
        <f aca="false">Helpers!C12</f>
        <v>0</v>
      </c>
      <c r="D136" s="10" t="n">
        <f aca="false">Helpers!D12</f>
        <v>0</v>
      </c>
      <c r="E136" s="10" t="n">
        <f aca="false">Helpers!E12</f>
        <v>0</v>
      </c>
      <c r="F136" s="10" t="n">
        <f aca="false">Helpers!F12</f>
        <v>0</v>
      </c>
      <c r="G136" s="10" t="n">
        <f aca="false">Helpers!G12</f>
        <v>0</v>
      </c>
      <c r="H136" s="10" t="n">
        <f aca="false">Helpers!H12</f>
        <v>0</v>
      </c>
      <c r="I136" s="10" t="n">
        <f aca="false">Helpers!I12</f>
        <v>15589764.538817</v>
      </c>
      <c r="J136" s="10" t="n">
        <f aca="false">Helpers!J12</f>
        <v>15296348.995423</v>
      </c>
      <c r="K136" s="10" t="n">
        <f aca="false">Helpers!K12</f>
        <v>14962227.947602</v>
      </c>
      <c r="L136" s="10" t="n">
        <f aca="false">Helpers!L12</f>
        <v>14585547.544043</v>
      </c>
      <c r="M136" s="10" t="n">
        <f aca="false">Helpers!M12</f>
        <v>14165103.573638</v>
      </c>
      <c r="N136" s="10" t="n">
        <f aca="false">Helpers!N12</f>
        <v>13700484.069429</v>
      </c>
      <c r="O136" s="10" t="n">
        <f aca="false">Helpers!O12</f>
        <v>13192148.533023</v>
      </c>
      <c r="P136" s="10" t="n">
        <f aca="false">Helpers!P12</f>
        <v>12641507.159007</v>
      </c>
      <c r="Q136" s="10" t="n">
        <f aca="false">Helpers!Q12</f>
        <v>12050984.21448</v>
      </c>
      <c r="R136" s="10" t="n">
        <f aca="false">Helpers!R12</f>
        <v>11423970.504404</v>
      </c>
      <c r="S136" s="10" t="n">
        <f aca="false">Helpers!S12</f>
        <v>10764839.216487</v>
      </c>
      <c r="T136" s="10" t="n">
        <f aca="false">Helpers!T12</f>
        <v>10078835.007002</v>
      </c>
      <c r="U136" s="10" t="n">
        <f aca="false">Helpers!U12</f>
        <v>9371947.241723</v>
      </c>
      <c r="V136" s="10" t="n">
        <f aca="false">Helpers!V12</f>
        <v>8650799.081744</v>
      </c>
      <c r="W136" s="10" t="n">
        <f aca="false">Helpers!W12</f>
        <v>7922409.810234</v>
      </c>
      <c r="X136" s="10" t="n">
        <f aca="false">Helpers!X12</f>
        <v>7194020.538724</v>
      </c>
      <c r="Y136" s="10" t="n">
        <f aca="false">Helpers!Y12</f>
        <v>6472872.378745</v>
      </c>
      <c r="Z136" s="10" t="n">
        <f aca="false">Helpers!Z12</f>
        <v>5765984.613466</v>
      </c>
      <c r="AA136" s="10" t="n">
        <f aca="false">Helpers!AA12</f>
        <v>5079980.403981</v>
      </c>
      <c r="AB136" s="10" t="n">
        <f aca="false">Helpers!AB12</f>
        <v>4420849.116064</v>
      </c>
      <c r="AC136" s="10" t="n">
        <f aca="false">Helpers!AC12</f>
        <v>3793835.405988</v>
      </c>
      <c r="AD136" s="10" t="n">
        <f aca="false">Helpers!AD12</f>
        <v>3203312.461461</v>
      </c>
      <c r="AE136" s="10" t="n">
        <f aca="false">Helpers!AE12</f>
        <v>2652671.087445</v>
      </c>
      <c r="AF136" s="10" t="n">
        <f aca="false">Helpers!AF12</f>
        <v>2144335.551039</v>
      </c>
      <c r="AG136" s="10" t="n">
        <f aca="false">Helpers!AG12</f>
        <v>1679716.04683</v>
      </c>
      <c r="AH136" s="10" t="n">
        <f aca="false">Helpers!AH12</f>
        <v>1259272.076425</v>
      </c>
      <c r="AI136" s="10" t="n">
        <f aca="false">Helpers!AI12</f>
        <v>882591.672866</v>
      </c>
      <c r="AJ136" s="10" t="n">
        <f aca="false">Helpers!AJ12</f>
        <v>548470.625045001</v>
      </c>
      <c r="AK136" s="10" t="n">
        <f aca="false">Helpers!AK12</f>
        <v>255055.081651</v>
      </c>
      <c r="AL136" s="10" t="n">
        <f aca="false">Helpers!AL12</f>
        <v>-63.3795319983043</v>
      </c>
      <c r="AM136" s="10" t="n">
        <f aca="false">Helpers!AM12</f>
        <v>0</v>
      </c>
      <c r="AN136" s="10" t="n">
        <f aca="false">Helpers!AN12</f>
        <v>0</v>
      </c>
      <c r="AO136" s="10" t="n">
        <f aca="false">Helpers!AO12</f>
        <v>0</v>
      </c>
      <c r="AP136" s="10" t="n">
        <f aca="false">Helpers!AP12</f>
        <v>0</v>
      </c>
      <c r="AQ136" s="10" t="n">
        <f aca="false">Helpers!AQ12</f>
        <v>0</v>
      </c>
      <c r="AR136" s="10" t="n">
        <f aca="false">Helpers!AR12</f>
        <v>0</v>
      </c>
      <c r="AS136" s="10" t="n">
        <f aca="false">Helpers!AS12</f>
        <v>0</v>
      </c>
      <c r="AT136" s="10" t="n">
        <f aca="false">Helpers!AT12</f>
        <v>0</v>
      </c>
      <c r="AU136" s="10" t="n">
        <f aca="false">Helpers!AU12</f>
        <v>0</v>
      </c>
      <c r="AV136" s="10" t="n">
        <f aca="false">Helpers!AV12</f>
        <v>0</v>
      </c>
      <c r="AW136" s="10" t="n">
        <f aca="false">Helpers!AW12</f>
        <v>0</v>
      </c>
      <c r="AX136" s="10" t="n">
        <f aca="false">Helpers!AX12</f>
        <v>0</v>
      </c>
      <c r="AY136" s="10" t="n">
        <f aca="false">Helpers!AY12</f>
        <v>0</v>
      </c>
      <c r="AZ136" s="10" t="n">
        <f aca="false">Helpers!AZ12</f>
        <v>0</v>
      </c>
      <c r="BA136" s="10" t="n">
        <f aca="false">Helpers!BA12</f>
        <v>0</v>
      </c>
      <c r="BB136" s="10" t="n">
        <f aca="false">Helpers!BB12</f>
        <v>0</v>
      </c>
      <c r="BC136" s="10" t="n">
        <f aca="false">Helpers!BC12</f>
        <v>0</v>
      </c>
      <c r="BD136" s="10" t="n">
        <f aca="false">Helpers!BD12</f>
        <v>0</v>
      </c>
      <c r="BE136" s="10" t="n">
        <f aca="false">Helpers!BE12</f>
        <v>0</v>
      </c>
      <c r="BF136" s="10" t="n">
        <f aca="false">Helpers!BF12</f>
        <v>0</v>
      </c>
      <c r="BG136" s="10" t="n">
        <f aca="false">Helpers!BG12</f>
        <v>0</v>
      </c>
      <c r="BH136" s="10" t="n">
        <f aca="false">Helpers!BH12</f>
        <v>0</v>
      </c>
      <c r="BI136" s="10" t="n">
        <f aca="false">Helpers!BI12</f>
        <v>0</v>
      </c>
      <c r="BJ136" s="10" t="n">
        <f aca="false">Helpers!BJ12</f>
        <v>0</v>
      </c>
      <c r="BK136" s="10" t="n">
        <f aca="false">Helpers!BK12</f>
        <v>0</v>
      </c>
      <c r="BL136" s="10" t="n">
        <f aca="false">Helpers!BL12</f>
        <v>0</v>
      </c>
      <c r="BM136" s="10" t="n">
        <f aca="false">Helpers!BM12</f>
        <v>0</v>
      </c>
      <c r="BN136" s="10" t="n">
        <f aca="false">Helpers!BN12</f>
        <v>0</v>
      </c>
      <c r="BO136" s="10" t="n">
        <f aca="false">Helpers!BO12</f>
        <v>0</v>
      </c>
      <c r="BP136" s="10" t="n">
        <f aca="false">Helpers!BP12</f>
        <v>0</v>
      </c>
      <c r="BQ136" s="10" t="n">
        <f aca="false">Helpers!BQ12</f>
        <v>0</v>
      </c>
      <c r="BR136" s="10" t="n">
        <f aca="false">Helpers!BR12</f>
        <v>0</v>
      </c>
      <c r="BS136" s="10" t="n">
        <f aca="false">Helpers!BS12</f>
        <v>0</v>
      </c>
      <c r="BT136" s="10" t="n">
        <f aca="false">Helpers!BT12</f>
        <v>0</v>
      </c>
      <c r="BU136" s="10" t="n">
        <f aca="false">Helpers!BU12</f>
        <v>0</v>
      </c>
      <c r="BV136" s="10" t="n">
        <f aca="false">Helpers!BV12</f>
        <v>0</v>
      </c>
      <c r="BW136" s="10" t="n">
        <f aca="false">Helpers!BW12</f>
        <v>0</v>
      </c>
      <c r="BX136" s="10" t="n">
        <f aca="false">Helpers!BX12</f>
        <v>0</v>
      </c>
      <c r="BY136" s="10" t="n">
        <f aca="false">Helpers!BY12</f>
        <v>0</v>
      </c>
      <c r="BZ136" s="10" t="n">
        <f aca="false">Helpers!BZ12</f>
        <v>0</v>
      </c>
      <c r="CA136" s="10" t="n">
        <f aca="false">Helpers!CA12</f>
        <v>0</v>
      </c>
      <c r="CB136" s="10" t="n">
        <f aca="false">Helpers!CB12</f>
        <v>0</v>
      </c>
      <c r="CC136" s="10" t="n">
        <f aca="false">Helpers!CC12</f>
        <v>0</v>
      </c>
      <c r="CD136" s="10" t="n">
        <f aca="false">Helpers!CD12</f>
        <v>0</v>
      </c>
      <c r="CE136" s="10" t="n">
        <f aca="false">Helpers!CE12</f>
        <v>0</v>
      </c>
      <c r="CF136" s="10" t="n">
        <f aca="false">Helpers!CF12</f>
        <v>0</v>
      </c>
      <c r="CG136" s="10" t="n">
        <f aca="false">Helpers!CG12</f>
        <v>0</v>
      </c>
      <c r="CH136" s="10" t="n">
        <f aca="false">Helpers!CH12</f>
        <v>0</v>
      </c>
      <c r="CI136" s="25"/>
      <c r="CJ136" s="56"/>
      <c r="CK136" s="56"/>
    </row>
    <row r="137" customFormat="false" ht="15" hidden="false" customHeight="true" outlineLevel="0" collapsed="false">
      <c r="A137" s="9" t="s">
        <v>53</v>
      </c>
      <c r="B137" s="24"/>
      <c r="C137" s="10" t="n">
        <f aca="false">Helpers!C13</f>
        <v>0</v>
      </c>
      <c r="D137" s="10" t="n">
        <f aca="false">Helpers!D13</f>
        <v>0</v>
      </c>
      <c r="E137" s="10" t="n">
        <f aca="false">Helpers!E13</f>
        <v>0</v>
      </c>
      <c r="F137" s="10" t="n">
        <f aca="false">Helpers!F13</f>
        <v>0</v>
      </c>
      <c r="G137" s="10" t="n">
        <f aca="false">Helpers!G13</f>
        <v>0</v>
      </c>
      <c r="H137" s="10" t="n">
        <f aca="false">Helpers!H13</f>
        <v>0</v>
      </c>
      <c r="I137" s="10" t="n">
        <f aca="false">Helpers!I13</f>
        <v>0</v>
      </c>
      <c r="J137" s="10" t="n">
        <f aca="false">Helpers!J13</f>
        <v>20699563.289615</v>
      </c>
      <c r="K137" s="10" t="n">
        <f aca="false">Helpers!K13</f>
        <v>20002952.87841</v>
      </c>
      <c r="L137" s="10" t="n">
        <f aca="false">Helpers!L13</f>
        <v>19163431.1222</v>
      </c>
      <c r="M137" s="10" t="n">
        <f aca="false">Helpers!M13</f>
        <v>18176553.96934</v>
      </c>
      <c r="N137" s="10" t="n">
        <f aca="false">Helpers!N13</f>
        <v>17044958.08205</v>
      </c>
      <c r="O137" s="10" t="n">
        <f aca="false">Helpers!O13</f>
        <v>15779317.68964</v>
      </c>
      <c r="P137" s="10" t="n">
        <f aca="false">Helpers!P13</f>
        <v>14398535.959155</v>
      </c>
      <c r="Q137" s="10" t="n">
        <f aca="false">Helpers!Q13</f>
        <v>12929149.620035</v>
      </c>
      <c r="R137" s="10" t="n">
        <f aca="false">Helpers!R13</f>
        <v>11403883.052575</v>
      </c>
      <c r="S137" s="10" t="n">
        <f aca="false">Helpers!S13</f>
        <v>9859521.947425</v>
      </c>
      <c r="T137" s="10" t="n">
        <f aca="false">Helpers!T13</f>
        <v>8334255.379965</v>
      </c>
      <c r="U137" s="10" t="n">
        <f aca="false">Helpers!U13</f>
        <v>6864869.040845</v>
      </c>
      <c r="V137" s="10" t="n">
        <f aca="false">Helpers!V13</f>
        <v>5484087.31036</v>
      </c>
      <c r="W137" s="10" t="n">
        <f aca="false">Helpers!W13</f>
        <v>4218446.91795</v>
      </c>
      <c r="X137" s="10" t="n">
        <f aca="false">Helpers!X13</f>
        <v>3086851.03066</v>
      </c>
      <c r="Y137" s="10" t="n">
        <f aca="false">Helpers!Y13</f>
        <v>2099973.8778</v>
      </c>
      <c r="Z137" s="10" t="n">
        <f aca="false">Helpers!Z13</f>
        <v>1260452.12159</v>
      </c>
      <c r="AA137" s="10" t="n">
        <f aca="false">Helpers!AA13</f>
        <v>563841.710385</v>
      </c>
      <c r="AB137" s="10" t="n">
        <f aca="false">Helpers!AB13</f>
        <v>0</v>
      </c>
      <c r="AC137" s="10" t="n">
        <f aca="false">Helpers!AC13</f>
        <v>0</v>
      </c>
      <c r="AD137" s="10" t="n">
        <f aca="false">Helpers!AD13</f>
        <v>0</v>
      </c>
      <c r="AE137" s="10" t="n">
        <f aca="false">Helpers!AE13</f>
        <v>0</v>
      </c>
      <c r="AF137" s="10" t="n">
        <f aca="false">Helpers!AF13</f>
        <v>0</v>
      </c>
      <c r="AG137" s="10" t="n">
        <f aca="false">Helpers!AG13</f>
        <v>0</v>
      </c>
      <c r="AH137" s="10" t="n">
        <f aca="false">Helpers!AH13</f>
        <v>0</v>
      </c>
      <c r="AI137" s="10" t="n">
        <f aca="false">Helpers!AI13</f>
        <v>0</v>
      </c>
      <c r="AJ137" s="10" t="n">
        <f aca="false">Helpers!AJ13</f>
        <v>0</v>
      </c>
      <c r="AK137" s="10" t="n">
        <f aca="false">Helpers!AK13</f>
        <v>0</v>
      </c>
      <c r="AL137" s="10" t="n">
        <f aca="false">Helpers!AL13</f>
        <v>0</v>
      </c>
      <c r="AM137" s="10" t="n">
        <f aca="false">Helpers!AM13</f>
        <v>0</v>
      </c>
      <c r="AN137" s="10" t="n">
        <f aca="false">Helpers!AN13</f>
        <v>0</v>
      </c>
      <c r="AO137" s="10" t="n">
        <f aca="false">Helpers!AO13</f>
        <v>0</v>
      </c>
      <c r="AP137" s="10" t="n">
        <f aca="false">Helpers!AP13</f>
        <v>0</v>
      </c>
      <c r="AQ137" s="10" t="n">
        <f aca="false">Helpers!AQ13</f>
        <v>0</v>
      </c>
      <c r="AR137" s="10" t="n">
        <f aca="false">Helpers!AR13</f>
        <v>0</v>
      </c>
      <c r="AS137" s="10" t="n">
        <f aca="false">Helpers!AS13</f>
        <v>0</v>
      </c>
      <c r="AT137" s="10" t="n">
        <f aca="false">Helpers!AT13</f>
        <v>0</v>
      </c>
      <c r="AU137" s="10" t="n">
        <f aca="false">Helpers!AU13</f>
        <v>0</v>
      </c>
      <c r="AV137" s="10" t="n">
        <f aca="false">Helpers!AV13</f>
        <v>0</v>
      </c>
      <c r="AW137" s="10" t="n">
        <f aca="false">Helpers!AW13</f>
        <v>0</v>
      </c>
      <c r="AX137" s="10" t="n">
        <f aca="false">Helpers!AX13</f>
        <v>0</v>
      </c>
      <c r="AY137" s="10" t="n">
        <f aca="false">Helpers!AY13</f>
        <v>0</v>
      </c>
      <c r="AZ137" s="10" t="n">
        <f aca="false">Helpers!AZ13</f>
        <v>0</v>
      </c>
      <c r="BA137" s="10" t="n">
        <f aca="false">Helpers!BA13</f>
        <v>0</v>
      </c>
      <c r="BB137" s="10" t="n">
        <f aca="false">Helpers!BB13</f>
        <v>0</v>
      </c>
      <c r="BC137" s="10" t="n">
        <f aca="false">Helpers!BC13</f>
        <v>0</v>
      </c>
      <c r="BD137" s="10" t="n">
        <f aca="false">Helpers!BD13</f>
        <v>0</v>
      </c>
      <c r="BE137" s="10" t="n">
        <f aca="false">Helpers!BE13</f>
        <v>0</v>
      </c>
      <c r="BF137" s="10" t="n">
        <f aca="false">Helpers!BF13</f>
        <v>0</v>
      </c>
      <c r="BG137" s="10" t="n">
        <f aca="false">Helpers!BG13</f>
        <v>0</v>
      </c>
      <c r="BH137" s="10" t="n">
        <f aca="false">Helpers!BH13</f>
        <v>0</v>
      </c>
      <c r="BI137" s="10" t="n">
        <f aca="false">Helpers!BI13</f>
        <v>0</v>
      </c>
      <c r="BJ137" s="10" t="n">
        <f aca="false">Helpers!BJ13</f>
        <v>0</v>
      </c>
      <c r="BK137" s="10" t="n">
        <f aca="false">Helpers!BK13</f>
        <v>0</v>
      </c>
      <c r="BL137" s="10" t="n">
        <f aca="false">Helpers!BL13</f>
        <v>0</v>
      </c>
      <c r="BM137" s="10" t="n">
        <f aca="false">Helpers!BM13</f>
        <v>0</v>
      </c>
      <c r="BN137" s="10" t="n">
        <f aca="false">Helpers!BN13</f>
        <v>0</v>
      </c>
      <c r="BO137" s="10" t="n">
        <f aca="false">Helpers!BO13</f>
        <v>0</v>
      </c>
      <c r="BP137" s="10" t="n">
        <f aca="false">Helpers!BP13</f>
        <v>0</v>
      </c>
      <c r="BQ137" s="10" t="n">
        <f aca="false">Helpers!BQ13</f>
        <v>0</v>
      </c>
      <c r="BR137" s="10" t="n">
        <f aca="false">Helpers!BR13</f>
        <v>0</v>
      </c>
      <c r="BS137" s="10" t="n">
        <f aca="false">Helpers!BS13</f>
        <v>0</v>
      </c>
      <c r="BT137" s="10" t="n">
        <f aca="false">Helpers!BT13</f>
        <v>0</v>
      </c>
      <c r="BU137" s="10" t="n">
        <f aca="false">Helpers!BU13</f>
        <v>0</v>
      </c>
      <c r="BV137" s="10" t="n">
        <f aca="false">Helpers!BV13</f>
        <v>0</v>
      </c>
      <c r="BW137" s="10" t="n">
        <f aca="false">Helpers!BW13</f>
        <v>0</v>
      </c>
      <c r="BX137" s="10" t="n">
        <f aca="false">Helpers!BX13</f>
        <v>0</v>
      </c>
      <c r="BY137" s="10" t="n">
        <f aca="false">Helpers!BY13</f>
        <v>0</v>
      </c>
      <c r="BZ137" s="10" t="n">
        <f aca="false">Helpers!BZ13</f>
        <v>0</v>
      </c>
      <c r="CA137" s="10" t="n">
        <f aca="false">Helpers!CA13</f>
        <v>0</v>
      </c>
      <c r="CB137" s="10" t="n">
        <f aca="false">Helpers!CB13</f>
        <v>0</v>
      </c>
      <c r="CC137" s="10" t="n">
        <f aca="false">Helpers!CC13</f>
        <v>0</v>
      </c>
      <c r="CD137" s="10" t="n">
        <f aca="false">Helpers!CD13</f>
        <v>0</v>
      </c>
      <c r="CE137" s="10" t="n">
        <f aca="false">Helpers!CE13</f>
        <v>0</v>
      </c>
      <c r="CF137" s="10" t="n">
        <f aca="false">Helpers!CF13</f>
        <v>0</v>
      </c>
      <c r="CG137" s="10" t="n">
        <f aca="false">Helpers!CG13</f>
        <v>0</v>
      </c>
      <c r="CH137" s="10" t="n">
        <f aca="false">Helpers!CH13</f>
        <v>0</v>
      </c>
      <c r="CI137" s="25"/>
      <c r="CJ137" s="56"/>
      <c r="CK137" s="56"/>
    </row>
    <row r="138" customFormat="false" ht="15" hidden="false" customHeight="true" outlineLevel="0" collapsed="false">
      <c r="A138" s="9" t="s">
        <v>54</v>
      </c>
      <c r="B138" s="24"/>
      <c r="C138" s="10" t="n">
        <f aca="false">Helpers!C14</f>
        <v>0</v>
      </c>
      <c r="D138" s="10" t="n">
        <f aca="false">Helpers!D14</f>
        <v>0</v>
      </c>
      <c r="E138" s="10" t="n">
        <f aca="false">Helpers!E14</f>
        <v>0</v>
      </c>
      <c r="F138" s="10" t="n">
        <f aca="false">Helpers!F14</f>
        <v>0</v>
      </c>
      <c r="G138" s="10" t="n">
        <f aca="false">Helpers!G14</f>
        <v>0</v>
      </c>
      <c r="H138" s="10" t="n">
        <f aca="false">Helpers!H14</f>
        <v>0</v>
      </c>
      <c r="I138" s="10" t="n">
        <f aca="false">Helpers!I14</f>
        <v>0</v>
      </c>
      <c r="J138" s="10" t="n">
        <f aca="false">Helpers!J14</f>
        <v>0</v>
      </c>
      <c r="K138" s="10" t="n">
        <f aca="false">Helpers!K14</f>
        <v>0</v>
      </c>
      <c r="L138" s="10" t="n">
        <f aca="false">Helpers!L14</f>
        <v>0</v>
      </c>
      <c r="M138" s="10" t="n">
        <f aca="false">Helpers!M14</f>
        <v>0</v>
      </c>
      <c r="N138" s="10" t="n">
        <f aca="false">Helpers!N14</f>
        <v>0</v>
      </c>
      <c r="O138" s="10" t="n">
        <f aca="false">Helpers!O14</f>
        <v>44537929.73623</v>
      </c>
      <c r="P138" s="10" t="n">
        <f aca="false">Helpers!P14</f>
        <v>43699679.68937</v>
      </c>
      <c r="Q138" s="10" t="n">
        <f aca="false">Helpers!Q14</f>
        <v>42745139.31038</v>
      </c>
      <c r="R138" s="10" t="n">
        <f aca="false">Helpers!R14</f>
        <v>41669012.38717</v>
      </c>
      <c r="S138" s="10" t="n">
        <f aca="false">Helpers!S14</f>
        <v>40467858.64522</v>
      </c>
      <c r="T138" s="10" t="n">
        <f aca="false">Helpers!T14</f>
        <v>39140501.14851</v>
      </c>
      <c r="U138" s="10" t="n">
        <f aca="false">Helpers!U14</f>
        <v>37688252.63337</v>
      </c>
      <c r="V138" s="10" t="n">
        <f aca="false">Helpers!V14</f>
        <v>36115141.84233</v>
      </c>
      <c r="W138" s="10" t="n">
        <f aca="false">Helpers!W14</f>
        <v>34428094.5912</v>
      </c>
      <c r="X138" s="10" t="n">
        <f aca="false">Helpers!X14</f>
        <v>32636797.96876</v>
      </c>
      <c r="Y138" s="10" t="n">
        <f aca="false">Helpers!Y14</f>
        <v>30753745.60353</v>
      </c>
      <c r="Z138" s="10" t="n">
        <f aca="false">Helpers!Z14</f>
        <v>28793920.79638</v>
      </c>
      <c r="AA138" s="10" t="n">
        <f aca="false">Helpers!AA14</f>
        <v>26774434.38637</v>
      </c>
      <c r="AB138" s="10" t="n">
        <f aca="false">Helpers!AB14</f>
        <v>24714207.88336</v>
      </c>
      <c r="AC138" s="10" t="n">
        <f aca="false">Helpers!AC14</f>
        <v>22633294.46646</v>
      </c>
      <c r="AD138" s="10" t="n">
        <f aca="false">Helpers!AD14</f>
        <v>20552381.04956</v>
      </c>
      <c r="AE138" s="10" t="n">
        <f aca="false">Helpers!AE14</f>
        <v>18492154.54655</v>
      </c>
      <c r="AF138" s="10" t="n">
        <f aca="false">Helpers!AF14</f>
        <v>16472668.13654</v>
      </c>
      <c r="AG138" s="10" t="n">
        <f aca="false">Helpers!AG14</f>
        <v>14512843.32939</v>
      </c>
      <c r="AH138" s="10" t="n">
        <f aca="false">Helpers!AH14</f>
        <v>12629790.96416</v>
      </c>
      <c r="AI138" s="10" t="n">
        <f aca="false">Helpers!AI14</f>
        <v>10838494.34172</v>
      </c>
      <c r="AJ138" s="10" t="n">
        <f aca="false">Helpers!AJ14</f>
        <v>9151447.09059</v>
      </c>
      <c r="AK138" s="10" t="n">
        <f aca="false">Helpers!AK14</f>
        <v>7578336.29955</v>
      </c>
      <c r="AL138" s="10" t="n">
        <f aca="false">Helpers!AL14</f>
        <v>6126087.78441</v>
      </c>
      <c r="AM138" s="10" t="n">
        <f aca="false">Helpers!AM14</f>
        <v>4798730.2877</v>
      </c>
      <c r="AN138" s="10" t="n">
        <f aca="false">Helpers!AN14</f>
        <v>3597576.54575</v>
      </c>
      <c r="AO138" s="10" t="n">
        <f aca="false">Helpers!AO14</f>
        <v>2521449.62254</v>
      </c>
      <c r="AP138" s="10" t="n">
        <f aca="false">Helpers!AP14</f>
        <v>1566909.24355</v>
      </c>
      <c r="AQ138" s="10" t="n">
        <f aca="false">Helpers!AQ14</f>
        <v>728659.196690001</v>
      </c>
      <c r="AR138" s="10" t="n">
        <f aca="false">Helpers!AR14</f>
        <v>-181.067079995155</v>
      </c>
      <c r="AS138" s="10" t="n">
        <f aca="false">Helpers!AS14</f>
        <v>0</v>
      </c>
      <c r="AT138" s="10" t="n">
        <f aca="false">Helpers!AT14</f>
        <v>0</v>
      </c>
      <c r="AU138" s="10" t="n">
        <f aca="false">Helpers!AU14</f>
        <v>0</v>
      </c>
      <c r="AV138" s="10" t="n">
        <f aca="false">Helpers!AV14</f>
        <v>0</v>
      </c>
      <c r="AW138" s="10" t="n">
        <f aca="false">Helpers!AW14</f>
        <v>0</v>
      </c>
      <c r="AX138" s="10" t="n">
        <f aca="false">Helpers!AX14</f>
        <v>0</v>
      </c>
      <c r="AY138" s="10" t="n">
        <f aca="false">Helpers!AY14</f>
        <v>0</v>
      </c>
      <c r="AZ138" s="10" t="n">
        <f aca="false">Helpers!AZ14</f>
        <v>0</v>
      </c>
      <c r="BA138" s="10" t="n">
        <f aca="false">Helpers!BA14</f>
        <v>0</v>
      </c>
      <c r="BB138" s="10" t="n">
        <f aca="false">Helpers!BB14</f>
        <v>0</v>
      </c>
      <c r="BC138" s="10" t="n">
        <f aca="false">Helpers!BC14</f>
        <v>0</v>
      </c>
      <c r="BD138" s="10" t="n">
        <f aca="false">Helpers!BD14</f>
        <v>0</v>
      </c>
      <c r="BE138" s="10" t="n">
        <f aca="false">Helpers!BE14</f>
        <v>0</v>
      </c>
      <c r="BF138" s="10" t="n">
        <f aca="false">Helpers!BF14</f>
        <v>0</v>
      </c>
      <c r="BG138" s="10" t="n">
        <f aca="false">Helpers!BG14</f>
        <v>0</v>
      </c>
      <c r="BH138" s="10" t="n">
        <f aca="false">Helpers!BH14</f>
        <v>0</v>
      </c>
      <c r="BI138" s="10" t="n">
        <f aca="false">Helpers!BI14</f>
        <v>0</v>
      </c>
      <c r="BJ138" s="10" t="n">
        <f aca="false">Helpers!BJ14</f>
        <v>0</v>
      </c>
      <c r="BK138" s="10" t="n">
        <f aca="false">Helpers!BK14</f>
        <v>0</v>
      </c>
      <c r="BL138" s="10" t="n">
        <f aca="false">Helpers!BL14</f>
        <v>0</v>
      </c>
      <c r="BM138" s="10" t="n">
        <f aca="false">Helpers!BM14</f>
        <v>0</v>
      </c>
      <c r="BN138" s="10" t="n">
        <f aca="false">Helpers!BN14</f>
        <v>0</v>
      </c>
      <c r="BO138" s="10" t="n">
        <f aca="false">Helpers!BO14</f>
        <v>0</v>
      </c>
      <c r="BP138" s="10" t="n">
        <f aca="false">Helpers!BP14</f>
        <v>0</v>
      </c>
      <c r="BQ138" s="10" t="n">
        <f aca="false">Helpers!BQ14</f>
        <v>0</v>
      </c>
      <c r="BR138" s="10" t="n">
        <f aca="false">Helpers!BR14</f>
        <v>0</v>
      </c>
      <c r="BS138" s="10" t="n">
        <f aca="false">Helpers!BS14</f>
        <v>0</v>
      </c>
      <c r="BT138" s="10" t="n">
        <f aca="false">Helpers!BT14</f>
        <v>0</v>
      </c>
      <c r="BU138" s="10" t="n">
        <f aca="false">Helpers!BU14</f>
        <v>0</v>
      </c>
      <c r="BV138" s="10" t="n">
        <f aca="false">Helpers!BV14</f>
        <v>0</v>
      </c>
      <c r="BW138" s="10" t="n">
        <f aca="false">Helpers!BW14</f>
        <v>0</v>
      </c>
      <c r="BX138" s="10" t="n">
        <f aca="false">Helpers!BX14</f>
        <v>0</v>
      </c>
      <c r="BY138" s="10" t="n">
        <f aca="false">Helpers!BY14</f>
        <v>0</v>
      </c>
      <c r="BZ138" s="10" t="n">
        <f aca="false">Helpers!BZ14</f>
        <v>0</v>
      </c>
      <c r="CA138" s="10" t="n">
        <f aca="false">Helpers!CA14</f>
        <v>0</v>
      </c>
      <c r="CB138" s="10" t="n">
        <f aca="false">Helpers!CB14</f>
        <v>0</v>
      </c>
      <c r="CC138" s="10" t="n">
        <f aca="false">Helpers!CC14</f>
        <v>0</v>
      </c>
      <c r="CD138" s="10" t="n">
        <f aca="false">Helpers!CD14</f>
        <v>0</v>
      </c>
      <c r="CE138" s="10" t="n">
        <f aca="false">Helpers!CE14</f>
        <v>0</v>
      </c>
      <c r="CF138" s="10" t="n">
        <f aca="false">Helpers!CF14</f>
        <v>0</v>
      </c>
      <c r="CG138" s="10" t="n">
        <f aca="false">Helpers!CG14</f>
        <v>0</v>
      </c>
      <c r="CH138" s="10" t="n">
        <f aca="false">Helpers!CH14</f>
        <v>0</v>
      </c>
      <c r="CI138" s="25"/>
      <c r="CJ138" s="56"/>
      <c r="CK138" s="56"/>
    </row>
    <row r="139" customFormat="false" ht="15" hidden="false" customHeight="true" outlineLevel="0" collapsed="false">
      <c r="A139" s="9" t="s">
        <v>57</v>
      </c>
      <c r="B139" s="24"/>
      <c r="C139" s="10" t="n">
        <f aca="false">Helpers!C15</f>
        <v>0</v>
      </c>
      <c r="D139" s="10" t="n">
        <f aca="false">Helpers!D15</f>
        <v>0</v>
      </c>
      <c r="E139" s="10" t="n">
        <f aca="false">Helpers!E15</f>
        <v>0</v>
      </c>
      <c r="F139" s="10" t="n">
        <f aca="false">Helpers!F15</f>
        <v>0</v>
      </c>
      <c r="G139" s="10" t="n">
        <f aca="false">Helpers!G15</f>
        <v>0</v>
      </c>
      <c r="H139" s="10" t="n">
        <f aca="false">Helpers!H15</f>
        <v>0</v>
      </c>
      <c r="I139" s="10" t="n">
        <f aca="false">Helpers!I15</f>
        <v>0</v>
      </c>
      <c r="J139" s="10" t="n">
        <f aca="false">Helpers!J15</f>
        <v>0</v>
      </c>
      <c r="K139" s="10" t="n">
        <f aca="false">Helpers!K15</f>
        <v>0</v>
      </c>
      <c r="L139" s="10" t="n">
        <f aca="false">Helpers!L15</f>
        <v>0</v>
      </c>
      <c r="M139" s="10" t="n">
        <f aca="false">Helpers!M15</f>
        <v>0</v>
      </c>
      <c r="N139" s="10" t="n">
        <f aca="false">Helpers!N15</f>
        <v>0</v>
      </c>
      <c r="O139" s="10" t="n">
        <f aca="false">Helpers!O15</f>
        <v>0</v>
      </c>
      <c r="P139" s="10" t="n">
        <f aca="false">Helpers!P15</f>
        <v>0</v>
      </c>
      <c r="Q139" s="10" t="n">
        <f aca="false">Helpers!Q15</f>
        <v>0</v>
      </c>
      <c r="R139" s="10" t="n">
        <f aca="false">Helpers!R15</f>
        <v>0</v>
      </c>
      <c r="S139" s="10" t="n">
        <f aca="false">Helpers!S15</f>
        <v>0</v>
      </c>
      <c r="T139" s="10" t="n">
        <f aca="false">Helpers!T15</f>
        <v>0</v>
      </c>
      <c r="U139" s="10" t="n">
        <f aca="false">Helpers!U15</f>
        <v>0</v>
      </c>
      <c r="V139" s="10" t="n">
        <f aca="false">Helpers!V15</f>
        <v>0</v>
      </c>
      <c r="W139" s="10" t="n">
        <f aca="false">Helpers!W15</f>
        <v>0</v>
      </c>
      <c r="X139" s="10" t="n">
        <f aca="false">Helpers!X15</f>
        <v>0</v>
      </c>
      <c r="Y139" s="10" t="n">
        <f aca="false">Helpers!Y15</f>
        <v>0</v>
      </c>
      <c r="Z139" s="10" t="n">
        <f aca="false">Helpers!Z15</f>
        <v>0</v>
      </c>
      <c r="AA139" s="10" t="n">
        <f aca="false">Helpers!AA15</f>
        <v>0</v>
      </c>
      <c r="AB139" s="10" t="n">
        <f aca="false">Helpers!AB15</f>
        <v>0</v>
      </c>
      <c r="AC139" s="10" t="n">
        <f aca="false">Helpers!AC15</f>
        <v>40688781.070168</v>
      </c>
      <c r="AD139" s="10" t="n">
        <f aca="false">Helpers!AD15</f>
        <v>39922975.994792</v>
      </c>
      <c r="AE139" s="10" t="n">
        <f aca="false">Helpers!AE15</f>
        <v>39050930.869808</v>
      </c>
      <c r="AF139" s="10" t="n">
        <f aca="false">Helpers!AF15</f>
        <v>38067807.203272</v>
      </c>
      <c r="AG139" s="10" t="n">
        <f aca="false">Helpers!AG15</f>
        <v>36970462.043152</v>
      </c>
      <c r="AH139" s="10" t="n">
        <f aca="false">Helpers!AH15</f>
        <v>35757820.169016</v>
      </c>
      <c r="AI139" s="10" t="n">
        <f aca="false">Helpers!AI15</f>
        <v>34431080.865192</v>
      </c>
      <c r="AJ139" s="10" t="n">
        <f aca="false">Helpers!AJ15</f>
        <v>32993924.693928</v>
      </c>
      <c r="AK139" s="10" t="n">
        <f aca="false">Helpers!AK15</f>
        <v>31452678.91392</v>
      </c>
      <c r="AL139" s="10" t="n">
        <f aca="false">Helpers!AL15</f>
        <v>29816193.416416</v>
      </c>
      <c r="AM139" s="10" t="n">
        <f aca="false">Helpers!AM15</f>
        <v>28095882.079848</v>
      </c>
      <c r="AN139" s="10" t="n">
        <f aca="false">Helpers!AN15</f>
        <v>26305433.287408</v>
      </c>
      <c r="AO139" s="10" t="n">
        <f aca="false">Helpers!AO15</f>
        <v>24460479.089992</v>
      </c>
      <c r="AP139" s="10" t="n">
        <f aca="false">Helpers!AP15</f>
        <v>22578305.723776</v>
      </c>
      <c r="AQ139" s="10" t="n">
        <f aca="false">Helpers!AQ15</f>
        <v>20677233.290736</v>
      </c>
      <c r="AR139" s="10" t="n">
        <f aca="false">Helpers!AR15</f>
        <v>18776160.857696</v>
      </c>
      <c r="AS139" s="10" t="n">
        <f aca="false">Helpers!AS15</f>
        <v>16893987.49148</v>
      </c>
      <c r="AT139" s="10" t="n">
        <f aca="false">Helpers!AT15</f>
        <v>15049033.294064</v>
      </c>
      <c r="AU139" s="10" t="n">
        <f aca="false">Helpers!AU15</f>
        <v>13258584.501624</v>
      </c>
      <c r="AV139" s="10" t="n">
        <f aca="false">Helpers!AV15</f>
        <v>11538273.165056</v>
      </c>
      <c r="AW139" s="10" t="n">
        <f aca="false">Helpers!AW15</f>
        <v>9901787.667552</v>
      </c>
      <c r="AX139" s="10" t="n">
        <f aca="false">Helpers!AX15</f>
        <v>8360541.887544</v>
      </c>
      <c r="AY139" s="10" t="n">
        <f aca="false">Helpers!AY15</f>
        <v>6923385.71628</v>
      </c>
      <c r="AZ139" s="10" t="n">
        <f aca="false">Helpers!AZ15</f>
        <v>5596646.412456</v>
      </c>
      <c r="BA139" s="10" t="n">
        <f aca="false">Helpers!BA15</f>
        <v>4384004.53832</v>
      </c>
      <c r="BB139" s="10" t="n">
        <f aca="false">Helpers!BB15</f>
        <v>3286659.3782</v>
      </c>
      <c r="BC139" s="10" t="n">
        <f aca="false">Helpers!BC15</f>
        <v>2303535.711664</v>
      </c>
      <c r="BD139" s="10" t="n">
        <f aca="false">Helpers!BD15</f>
        <v>1431490.58668</v>
      </c>
      <c r="BE139" s="10" t="n">
        <f aca="false">Helpers!BE15</f>
        <v>665685.511304001</v>
      </c>
      <c r="BF139" s="10" t="n">
        <f aca="false">Helpers!BF15</f>
        <v>-165.418527995574</v>
      </c>
      <c r="BG139" s="10" t="n">
        <f aca="false">Helpers!BG15</f>
        <v>0</v>
      </c>
      <c r="BH139" s="10" t="n">
        <f aca="false">Helpers!BH15</f>
        <v>0</v>
      </c>
      <c r="BI139" s="10" t="n">
        <f aca="false">Helpers!BI15</f>
        <v>0</v>
      </c>
      <c r="BJ139" s="10" t="n">
        <f aca="false">Helpers!BJ15</f>
        <v>0</v>
      </c>
      <c r="BK139" s="10" t="n">
        <f aca="false">Helpers!BK15</f>
        <v>0</v>
      </c>
      <c r="BL139" s="10" t="n">
        <f aca="false">Helpers!BL15</f>
        <v>0</v>
      </c>
      <c r="BM139" s="10" t="n">
        <f aca="false">Helpers!BM15</f>
        <v>0</v>
      </c>
      <c r="BN139" s="10" t="n">
        <f aca="false">Helpers!BN15</f>
        <v>0</v>
      </c>
      <c r="BO139" s="10" t="n">
        <f aca="false">Helpers!BO15</f>
        <v>0</v>
      </c>
      <c r="BP139" s="10" t="n">
        <f aca="false">Helpers!BP15</f>
        <v>0</v>
      </c>
      <c r="BQ139" s="10" t="n">
        <f aca="false">Helpers!BQ15</f>
        <v>0</v>
      </c>
      <c r="BR139" s="10" t="n">
        <f aca="false">Helpers!BR15</f>
        <v>0</v>
      </c>
      <c r="BS139" s="10" t="n">
        <f aca="false">Helpers!BS15</f>
        <v>0</v>
      </c>
      <c r="BT139" s="10" t="n">
        <f aca="false">Helpers!BT15</f>
        <v>0</v>
      </c>
      <c r="BU139" s="10" t="n">
        <f aca="false">Helpers!BU15</f>
        <v>0</v>
      </c>
      <c r="BV139" s="10" t="n">
        <f aca="false">Helpers!BV15</f>
        <v>0</v>
      </c>
      <c r="BW139" s="10" t="n">
        <f aca="false">Helpers!BW15</f>
        <v>0</v>
      </c>
      <c r="BX139" s="10" t="n">
        <f aca="false">Helpers!BX15</f>
        <v>0</v>
      </c>
      <c r="BY139" s="10" t="n">
        <f aca="false">Helpers!BY15</f>
        <v>0</v>
      </c>
      <c r="BZ139" s="10" t="n">
        <f aca="false">Helpers!BZ15</f>
        <v>0</v>
      </c>
      <c r="CA139" s="10" t="n">
        <f aca="false">Helpers!CA15</f>
        <v>0</v>
      </c>
      <c r="CB139" s="10" t="n">
        <f aca="false">Helpers!CB15</f>
        <v>0</v>
      </c>
      <c r="CC139" s="10" t="n">
        <f aca="false">Helpers!CC15</f>
        <v>0</v>
      </c>
      <c r="CD139" s="10" t="n">
        <f aca="false">Helpers!CD15</f>
        <v>0</v>
      </c>
      <c r="CE139" s="10" t="n">
        <f aca="false">Helpers!CE15</f>
        <v>0</v>
      </c>
      <c r="CF139" s="10" t="n">
        <f aca="false">Helpers!CF15</f>
        <v>0</v>
      </c>
      <c r="CG139" s="10" t="n">
        <f aca="false">Helpers!CG15</f>
        <v>0</v>
      </c>
      <c r="CH139" s="10" t="n">
        <f aca="false">Helpers!CH15</f>
        <v>0</v>
      </c>
      <c r="CI139" s="25"/>
      <c r="CJ139" s="56"/>
      <c r="CK139" s="56"/>
    </row>
    <row r="140" customFormat="false" ht="15" hidden="false" customHeight="true" outlineLevel="0" collapsed="false">
      <c r="A140" s="11" t="s">
        <v>160</v>
      </c>
      <c r="B140" s="30"/>
      <c r="C140" s="12" t="n">
        <f aca="false">SUM(C132:C139)</f>
        <v>23599007.06059</v>
      </c>
      <c r="D140" s="12" t="n">
        <f aca="false">SUM(D132:D139)</f>
        <v>21846708.4387409</v>
      </c>
      <c r="E140" s="12" t="n">
        <f aca="false">SUM(E132:E139)</f>
        <v>19934994.8604503</v>
      </c>
      <c r="F140" s="12" t="n">
        <f aca="false">SUM(F132:F139)</f>
        <v>59988330.5577988</v>
      </c>
      <c r="G140" s="12" t="n">
        <f aca="false">SUM(G132:G139)</f>
        <v>56830895.3462433</v>
      </c>
      <c r="H140" s="12" t="n">
        <f aca="false">SUM(H132:H139)</f>
        <v>53470466.1002521</v>
      </c>
      <c r="I140" s="12" t="n">
        <f aca="false">SUM(I132:I139)</f>
        <v>78806360.8366376</v>
      </c>
      <c r="J140" s="12" t="n">
        <f aca="false">SUM(J132:J139)</f>
        <v>95138155.8113951</v>
      </c>
      <c r="K140" s="12" t="n">
        <f aca="false">SUM(K132:K139)</f>
        <v>89880219.2871105</v>
      </c>
      <c r="L140" s="12" t="n">
        <f aca="false">SUM(L132:L139)</f>
        <v>84327348.5196844</v>
      </c>
      <c r="M140" s="12" t="n">
        <f aca="false">SUM(M132:M139)</f>
        <v>78517826.7676414</v>
      </c>
      <c r="N140" s="12" t="n">
        <f aca="false">SUM(N132:N139)</f>
        <v>72497927.0285711</v>
      </c>
      <c r="O140" s="12" t="n">
        <f aca="false">SUM(O132:O139)</f>
        <v>110860792.787625</v>
      </c>
      <c r="P140" s="12" t="n">
        <f aca="false">SUM(P132:P139)</f>
        <v>103756479.760667</v>
      </c>
      <c r="Q140" s="12" t="n">
        <f aca="false">SUM(Q132:Q139)</f>
        <v>96517203.055075</v>
      </c>
      <c r="R140" s="12" t="n">
        <f aca="false">SUM(R132:R139)</f>
        <v>89832380.402737</v>
      </c>
      <c r="S140" s="12" t="n">
        <f aca="false">SUM(S132:S139)</f>
        <v>83021753.709656</v>
      </c>
      <c r="T140" s="12" t="n">
        <f aca="false">SUM(T132:T139)</f>
        <v>76187589.600929</v>
      </c>
      <c r="U140" s="12" t="n">
        <f aca="false">SUM(U132:U139)</f>
        <v>69427945.700482</v>
      </c>
      <c r="V140" s="12" t="n">
        <f aca="false">SUM(V132:V139)</f>
        <v>62831519.462922</v>
      </c>
      <c r="W140" s="12" t="n">
        <f aca="false">SUM(W132:W139)</f>
        <v>56473335.557832</v>
      </c>
      <c r="X140" s="12" t="n">
        <f aca="false">SUM(X132:X139)</f>
        <v>50412135.689664</v>
      </c>
      <c r="Y140" s="12" t="n">
        <f aca="false">SUM(Y132:Y139)</f>
        <v>44689514.450515</v>
      </c>
      <c r="Z140" s="12" t="n">
        <f aca="false">SUM(Z132:Z139)</f>
        <v>39330314.060104</v>
      </c>
      <c r="AA140" s="12" t="n">
        <f aca="false">SUM(AA132:AA139)</f>
        <v>34344660.92992</v>
      </c>
      <c r="AB140" s="12" t="n">
        <f aca="false">SUM(AB132:AB139)</f>
        <v>30015781.27808</v>
      </c>
      <c r="AC140" s="12" t="n">
        <f aca="false">SUM(AC132:AC139)</f>
        <v>67115910.942616</v>
      </c>
      <c r="AD140" s="12" t="n">
        <f aca="false">SUM(AD132:AD139)</f>
        <v>63678669.505813</v>
      </c>
      <c r="AE140" s="12" t="n">
        <f aca="false">SUM(AE132:AE139)</f>
        <v>60195756.503803</v>
      </c>
      <c r="AF140" s="12" t="n">
        <f aca="false">SUM(AF132:AF139)</f>
        <v>56684810.890851</v>
      </c>
      <c r="AG140" s="12" t="n">
        <f aca="false">SUM(AG132:AG139)</f>
        <v>53163021.419372</v>
      </c>
      <c r="AH140" s="12" t="n">
        <f aca="false">SUM(AH132:AH139)</f>
        <v>49646883.209601</v>
      </c>
      <c r="AI140" s="12" t="n">
        <f aca="false">SUM(AI132:AI139)</f>
        <v>46152166.879778</v>
      </c>
      <c r="AJ140" s="12" t="n">
        <f aca="false">SUM(AJ132:AJ139)</f>
        <v>42693842.409563</v>
      </c>
      <c r="AK140" s="12" t="n">
        <f aca="false">SUM(AK132:AK139)</f>
        <v>39286070.295121</v>
      </c>
      <c r="AL140" s="12" t="n">
        <f aca="false">SUM(AL132:AL139)</f>
        <v>35942217.821294</v>
      </c>
      <c r="AM140" s="12" t="n">
        <f aca="false">SUM(AM132:AM139)</f>
        <v>32894612.367548</v>
      </c>
      <c r="AN140" s="12" t="n">
        <f aca="false">SUM(AN132:AN139)</f>
        <v>29903009.833158</v>
      </c>
      <c r="AO140" s="12" t="n">
        <f aca="false">SUM(AO132:AO139)</f>
        <v>26981928.712532</v>
      </c>
      <c r="AP140" s="12" t="n">
        <f aca="false">SUM(AP132:AP139)</f>
        <v>24145214.967326</v>
      </c>
      <c r="AQ140" s="12" t="n">
        <f aca="false">SUM(AQ132:AQ139)</f>
        <v>21405892.487426</v>
      </c>
      <c r="AR140" s="12" t="n">
        <f aca="false">SUM(AR132:AR139)</f>
        <v>18775979.790616</v>
      </c>
      <c r="AS140" s="12" t="n">
        <f aca="false">SUM(AS132:AS139)</f>
        <v>16893987.49148</v>
      </c>
      <c r="AT140" s="12" t="n">
        <f aca="false">SUM(AT132:AT139)</f>
        <v>15049033.294064</v>
      </c>
      <c r="AU140" s="12" t="n">
        <f aca="false">SUM(AU132:AU139)</f>
        <v>13258584.501624</v>
      </c>
      <c r="AV140" s="12" t="n">
        <f aca="false">SUM(AV132:AV139)</f>
        <v>11538273.165056</v>
      </c>
      <c r="AW140" s="12" t="n">
        <f aca="false">SUM(AW132:AW139)</f>
        <v>9901787.667552</v>
      </c>
      <c r="AX140" s="12" t="n">
        <f aca="false">SUM(AX132:AX139)</f>
        <v>8360541.887544</v>
      </c>
      <c r="AY140" s="12" t="n">
        <f aca="false">SUM(AY132:AY139)</f>
        <v>6923385.71628</v>
      </c>
      <c r="AZ140" s="12" t="n">
        <f aca="false">SUM(AZ132:AZ139)</f>
        <v>5596646.412456</v>
      </c>
      <c r="BA140" s="12" t="n">
        <f aca="false">SUM(BA132:BA139)</f>
        <v>4384004.53832</v>
      </c>
      <c r="BB140" s="12" t="n">
        <f aca="false">SUM(BB132:BB139)</f>
        <v>3286659.3782</v>
      </c>
      <c r="BC140" s="12" t="n">
        <f aca="false">SUM(BC132:BC139)</f>
        <v>2303535.711664</v>
      </c>
      <c r="BD140" s="12" t="n">
        <f aca="false">SUM(BD132:BD139)</f>
        <v>1431490.58668</v>
      </c>
      <c r="BE140" s="12" t="n">
        <f aca="false">SUM(BE132:BE139)</f>
        <v>665685.511304001</v>
      </c>
      <c r="BF140" s="12" t="n">
        <f aca="false">SUM(BF132:BF139)</f>
        <v>-165.418527995574</v>
      </c>
      <c r="BG140" s="12" t="n">
        <f aca="false">SUM(BG132:BG139)</f>
        <v>0</v>
      </c>
      <c r="BH140" s="12" t="n">
        <f aca="false">SUM(BH132:BH139)</f>
        <v>0</v>
      </c>
      <c r="BI140" s="12" t="n">
        <f aca="false">SUM(BI132:BI139)</f>
        <v>0</v>
      </c>
      <c r="BJ140" s="12" t="n">
        <f aca="false">SUM(BJ132:BJ139)</f>
        <v>0</v>
      </c>
      <c r="BK140" s="12" t="n">
        <f aca="false">SUM(BK132:BK139)</f>
        <v>0</v>
      </c>
      <c r="BL140" s="12" t="n">
        <f aca="false">SUM(BL132:BL139)</f>
        <v>0</v>
      </c>
      <c r="BM140" s="12" t="n">
        <f aca="false">SUM(BM132:BM139)</f>
        <v>0</v>
      </c>
      <c r="BN140" s="12" t="n">
        <f aca="false">SUM(BN132:BN139)</f>
        <v>0</v>
      </c>
      <c r="BO140" s="12" t="n">
        <f aca="false">SUM(BO132:BO139)</f>
        <v>0</v>
      </c>
      <c r="BP140" s="12" t="n">
        <f aca="false">SUM(BP132:BP139)</f>
        <v>0</v>
      </c>
      <c r="BQ140" s="12" t="n">
        <f aca="false">SUM(BQ132:BQ139)</f>
        <v>0</v>
      </c>
      <c r="BR140" s="12" t="n">
        <f aca="false">SUM(BR132:BR139)</f>
        <v>0</v>
      </c>
      <c r="BS140" s="12" t="n">
        <f aca="false">SUM(BS132:BS139)</f>
        <v>0</v>
      </c>
      <c r="BT140" s="12" t="n">
        <f aca="false">SUM(BT132:BT139)</f>
        <v>0</v>
      </c>
      <c r="BU140" s="12" t="n">
        <f aca="false">SUM(BU132:BU139)</f>
        <v>0</v>
      </c>
      <c r="BV140" s="12" t="n">
        <f aca="false">SUM(BV132:BV139)</f>
        <v>0</v>
      </c>
      <c r="BW140" s="12" t="n">
        <f aca="false">SUM(BW132:BW139)</f>
        <v>0</v>
      </c>
      <c r="BX140" s="12" t="n">
        <f aca="false">SUM(BX132:BX139)</f>
        <v>0</v>
      </c>
      <c r="BY140" s="12" t="n">
        <f aca="false">SUM(BY132:BY139)</f>
        <v>0</v>
      </c>
      <c r="BZ140" s="12" t="n">
        <f aca="false">SUM(BZ132:BZ139)</f>
        <v>0</v>
      </c>
      <c r="CA140" s="12" t="n">
        <f aca="false">SUM(CA132:CA139)</f>
        <v>0</v>
      </c>
      <c r="CB140" s="12" t="n">
        <f aca="false">SUM(CB132:CB139)</f>
        <v>0</v>
      </c>
      <c r="CC140" s="12" t="n">
        <f aca="false">SUM(CC132:CC139)</f>
        <v>0</v>
      </c>
      <c r="CD140" s="12" t="n">
        <f aca="false">SUM(CD132:CD139)</f>
        <v>0</v>
      </c>
      <c r="CE140" s="12" t="n">
        <f aca="false">SUM(CE132:CE139)</f>
        <v>0</v>
      </c>
      <c r="CF140" s="12" t="n">
        <f aca="false">SUM(CF132:CF139)</f>
        <v>0</v>
      </c>
      <c r="CG140" s="12" t="n">
        <f aca="false">SUM(CG132:CG139)</f>
        <v>0</v>
      </c>
      <c r="CH140" s="12" t="n">
        <f aca="false">SUM(CH132:CH139)</f>
        <v>0</v>
      </c>
      <c r="CI140" s="25"/>
      <c r="CJ140" s="56"/>
      <c r="CK140" s="56"/>
    </row>
    <row r="141" customFormat="false" ht="15" hidden="false" customHeight="tru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5"/>
      <c r="CJ141" s="56"/>
      <c r="CK141" s="56"/>
    </row>
    <row r="142" customFormat="false" ht="15" hidden="false" customHeight="true" outlineLevel="0" collapsed="false">
      <c r="A142" s="28" t="s">
        <v>161</v>
      </c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5"/>
      <c r="CJ142" s="56"/>
      <c r="CK142" s="56"/>
    </row>
    <row r="143" customFormat="false" ht="8.25" hidden="false" customHeight="true" outlineLevel="0" collapsed="false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37"/>
      <c r="CJ143" s="58"/>
      <c r="CK143" s="58"/>
    </row>
    <row r="144" customFormat="false" ht="15" hidden="false" customHeight="true" outlineLevel="0" collapsed="false">
      <c r="A144" s="8" t="s">
        <v>162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25"/>
      <c r="CJ144" s="56"/>
      <c r="CK144" s="56"/>
    </row>
    <row r="145" customFormat="false" ht="15" hidden="false" customHeight="true" outlineLevel="0" collapsed="false">
      <c r="A145" s="9" t="s">
        <v>163</v>
      </c>
      <c r="B145" s="24"/>
      <c r="C145" s="10" t="n">
        <f aca="false">Assumptions!$B$29</f>
        <v>1651915.69</v>
      </c>
      <c r="D145" s="10" t="n">
        <f aca="false">C147</f>
        <v>1725763.11592504</v>
      </c>
      <c r="E145" s="10" t="n">
        <f aca="false">D147</f>
        <v>1753029.29185008</v>
      </c>
      <c r="F145" s="10" t="n">
        <f aca="false">E147</f>
        <v>1741745.46777512</v>
      </c>
      <c r="G145" s="10" t="n">
        <f aca="false">F147</f>
        <v>2219781.12122743</v>
      </c>
      <c r="H145" s="10" t="n">
        <f aca="false">G147</f>
        <v>2371256.56987974</v>
      </c>
      <c r="I145" s="10" t="n">
        <f aca="false">H147</f>
        <v>2522732.01853206</v>
      </c>
      <c r="J145" s="10" t="n">
        <f aca="false">I147</f>
        <v>3039696.79307113</v>
      </c>
      <c r="K145" s="10" t="n">
        <f aca="false">J147</f>
        <v>3594965.46855718</v>
      </c>
      <c r="L145" s="10" t="n">
        <f aca="false">K147</f>
        <v>3927995.26604322</v>
      </c>
      <c r="M145" s="10" t="n">
        <f aca="false">L147</f>
        <v>4261025.06352927</v>
      </c>
      <c r="N145" s="10" t="n">
        <f aca="false">M147</f>
        <v>4594054.86101531</v>
      </c>
      <c r="O145" s="10" t="n">
        <f aca="false">N147</f>
        <v>4927084.65850136</v>
      </c>
      <c r="P145" s="10" t="n">
        <f aca="false">O147</f>
        <v>4631034.84149952</v>
      </c>
      <c r="Q145" s="10" t="n">
        <f aca="false">P147</f>
        <v>5127153.49949769</v>
      </c>
      <c r="R145" s="10" t="n">
        <f aca="false">Q147</f>
        <v>5623272.15749585</v>
      </c>
      <c r="S145" s="10" t="n">
        <f aca="false">R147</f>
        <v>5928741.42913038</v>
      </c>
      <c r="T145" s="10" t="n">
        <f aca="false">S147</f>
        <v>6108275.20076491</v>
      </c>
      <c r="U145" s="10" t="n">
        <f aca="false">T147</f>
        <v>6287808.97239944</v>
      </c>
      <c r="V145" s="10" t="n">
        <f aca="false">U147</f>
        <v>6467342.74403397</v>
      </c>
      <c r="W145" s="10" t="n">
        <f aca="false">V147</f>
        <v>6616573.35777376</v>
      </c>
      <c r="X145" s="10" t="n">
        <f aca="false">W147</f>
        <v>6765803.97151355</v>
      </c>
      <c r="Y145" s="10" t="n">
        <f aca="false">X147</f>
        <v>6915034.58525335</v>
      </c>
      <c r="Z145" s="10" t="n">
        <f aca="false">Y147</f>
        <v>7064265.19899314</v>
      </c>
      <c r="AA145" s="10" t="n">
        <f aca="false">Z147</f>
        <v>7213495.81273293</v>
      </c>
      <c r="AB145" s="10" t="n">
        <f aca="false">AA147</f>
        <v>7354182.72555872</v>
      </c>
      <c r="AC145" s="10" t="n">
        <f aca="false">AB147</f>
        <v>7413375.78670988</v>
      </c>
      <c r="AD145" s="10" t="n">
        <f aca="false">AC147</f>
        <v>6905509.12119436</v>
      </c>
      <c r="AE145" s="10" t="n">
        <f aca="false">AD147</f>
        <v>7121348.51567885</v>
      </c>
      <c r="AF145" s="10" t="n">
        <f aca="false">AE147</f>
        <v>7337187.91016333</v>
      </c>
      <c r="AG145" s="10" t="n">
        <f aca="false">AF147</f>
        <v>7553027.30464781</v>
      </c>
      <c r="AH145" s="10" t="n">
        <f aca="false">AG147</f>
        <v>7768866.6991323</v>
      </c>
      <c r="AI145" s="10" t="n">
        <f aca="false">AH147</f>
        <v>7884027.09266981</v>
      </c>
      <c r="AJ145" s="10" t="n">
        <f aca="false">AI147</f>
        <v>7999187.48620733</v>
      </c>
      <c r="AK145" s="10" t="n">
        <f aca="false">AJ147</f>
        <v>7951588.60701757</v>
      </c>
      <c r="AL145" s="10" t="n">
        <f aca="false">AK147</f>
        <v>7903989.72782781</v>
      </c>
      <c r="AM145" s="10" t="n">
        <f aca="false">AL147</f>
        <v>7856390.84863806</v>
      </c>
      <c r="AN145" s="10" t="n">
        <f aca="false">AM147</f>
        <v>7740058.8983039</v>
      </c>
      <c r="AO145" s="10" t="n">
        <f aca="false">AN147</f>
        <v>7623726.94796974</v>
      </c>
      <c r="AP145" s="10" t="n">
        <f aca="false">AO147</f>
        <v>7507394.99763558</v>
      </c>
      <c r="AQ145" s="10" t="n">
        <f aca="false">AP147</f>
        <v>7391063.04730142</v>
      </c>
      <c r="AR145" s="10" t="n">
        <f aca="false">AQ147</f>
        <v>7274731.09696726</v>
      </c>
      <c r="AS145" s="10" t="n">
        <f aca="false">AR147</f>
        <v>7158399.1466331</v>
      </c>
      <c r="AT145" s="10" t="n">
        <f aca="false">AS147</f>
        <v>6870602.15842016</v>
      </c>
      <c r="AU145" s="10" t="n">
        <f aca="false">AT147</f>
        <v>6582805.17020721</v>
      </c>
      <c r="AV145" s="10" t="n">
        <f aca="false">AU147</f>
        <v>6295008.18199426</v>
      </c>
      <c r="AW145" s="10" t="n">
        <f aca="false">AV147</f>
        <v>6007211.19378132</v>
      </c>
      <c r="AX145" s="10" t="n">
        <f aca="false">AW147</f>
        <v>5719414.20556837</v>
      </c>
      <c r="AY145" s="10" t="n">
        <f aca="false">AX147</f>
        <v>5431617.21735542</v>
      </c>
      <c r="AZ145" s="10" t="n">
        <f aca="false">AY147</f>
        <v>5134931.36271155</v>
      </c>
      <c r="BA145" s="10" t="n">
        <f aca="false">AZ147</f>
        <v>4838245.50806768</v>
      </c>
      <c r="BB145" s="10" t="n">
        <f aca="false">BA147</f>
        <v>4541559.65342381</v>
      </c>
      <c r="BC145" s="10" t="n">
        <f aca="false">BB147</f>
        <v>4244873.79877994</v>
      </c>
      <c r="BD145" s="10" t="n">
        <f aca="false">BC147</f>
        <v>3948187.94413606</v>
      </c>
      <c r="BE145" s="10" t="n">
        <f aca="false">BD147</f>
        <v>3651502.08949219</v>
      </c>
      <c r="BF145" s="10" t="n">
        <f aca="false">BE147</f>
        <v>3354816.23484832</v>
      </c>
      <c r="BG145" s="10" t="n">
        <f aca="false">BF147</f>
        <v>3058130.38020445</v>
      </c>
      <c r="BH145" s="10" t="n">
        <f aca="false">BG147</f>
        <v>2604798.19222724</v>
      </c>
      <c r="BI145" s="10" t="n">
        <f aca="false">BH147</f>
        <v>2151466.00425004</v>
      </c>
      <c r="BJ145" s="10" t="n">
        <f aca="false">BI147</f>
        <v>1698133.81627283</v>
      </c>
      <c r="BK145" s="10" t="n">
        <f aca="false">BJ147</f>
        <v>1244801.62829562</v>
      </c>
      <c r="BL145" s="10" t="n">
        <f aca="false">BK147</f>
        <v>782402.796558875</v>
      </c>
      <c r="BM145" s="10" t="n">
        <f aca="false">BL147</f>
        <v>320003.964822125</v>
      </c>
      <c r="BN145" s="10" t="n">
        <f aca="false">BM147</f>
        <v>-142394.866914625</v>
      </c>
      <c r="BO145" s="10" t="n">
        <f aca="false">BN147</f>
        <v>-604793.698651374</v>
      </c>
      <c r="BP145" s="10" t="n">
        <f aca="false">BO147</f>
        <v>-1067192.53038812</v>
      </c>
      <c r="BQ145" s="10" t="n">
        <f aca="false">BP147</f>
        <v>-1529591.36212487</v>
      </c>
      <c r="BR145" s="10" t="n">
        <f aca="false">BQ147</f>
        <v>-1991990.19386162</v>
      </c>
      <c r="BS145" s="10" t="n">
        <f aca="false">BR147</f>
        <v>-2454389.02559837</v>
      </c>
      <c r="BT145" s="10" t="n">
        <f aca="false">BS147</f>
        <v>-2916787.85733512</v>
      </c>
      <c r="BU145" s="10" t="n">
        <f aca="false">BT147</f>
        <v>-3379186.68907187</v>
      </c>
      <c r="BV145" s="10" t="n">
        <f aca="false">BU147</f>
        <v>-3841585.52080862</v>
      </c>
      <c r="BW145" s="10" t="n">
        <f aca="false">BV147</f>
        <v>-4303984.35254537</v>
      </c>
      <c r="BX145" s="10" t="n">
        <f aca="false">BW147</f>
        <v>-4775631.16091686</v>
      </c>
      <c r="BY145" s="10" t="n">
        <f aca="false">BX147</f>
        <v>-5247277.96928834</v>
      </c>
      <c r="BZ145" s="10" t="n">
        <f aca="false">BY147</f>
        <v>-5718924.77765983</v>
      </c>
      <c r="CA145" s="10" t="n">
        <f aca="false">BZ147</f>
        <v>-6190571.58603131</v>
      </c>
      <c r="CB145" s="10" t="n">
        <f aca="false">CA147</f>
        <v>-6662218.3944028</v>
      </c>
      <c r="CC145" s="10" t="n">
        <f aca="false">CB147</f>
        <v>-7133865.20277428</v>
      </c>
      <c r="CD145" s="10" t="n">
        <f aca="false">CC147</f>
        <v>-7605512.01114576</v>
      </c>
      <c r="CE145" s="10" t="n">
        <f aca="false">CD147</f>
        <v>-8077158.81951725</v>
      </c>
      <c r="CF145" s="10" t="n">
        <f aca="false">CE147</f>
        <v>-8548805.62788873</v>
      </c>
      <c r="CG145" s="10" t="n">
        <f aca="false">CF147</f>
        <v>-9020452.43626022</v>
      </c>
      <c r="CH145" s="10" t="n">
        <f aca="false">CG147</f>
        <v>-9492099.2446317</v>
      </c>
      <c r="CI145" s="25"/>
      <c r="CJ145" s="56"/>
      <c r="CK145" s="56"/>
    </row>
    <row r="146" customFormat="false" ht="15" hidden="false" customHeight="true" outlineLevel="0" collapsed="false">
      <c r="A146" s="9" t="s">
        <v>164</v>
      </c>
      <c r="B146" s="24"/>
      <c r="C146" s="10" t="n">
        <f aca="false">C40</f>
        <v>73847.4259250399</v>
      </c>
      <c r="D146" s="10" t="n">
        <f aca="false">D40</f>
        <v>27266.1759250399</v>
      </c>
      <c r="E146" s="10" t="n">
        <f aca="false">E40</f>
        <v>-11283.8240749601</v>
      </c>
      <c r="F146" s="10" t="n">
        <f aca="false">F40</f>
        <v>478035.653452313</v>
      </c>
      <c r="G146" s="10" t="n">
        <f aca="false">G40</f>
        <v>151475.448652313</v>
      </c>
      <c r="H146" s="10" t="n">
        <f aca="false">H40</f>
        <v>151475.448652313</v>
      </c>
      <c r="I146" s="10" t="n">
        <f aca="false">I40</f>
        <v>516964.774539075</v>
      </c>
      <c r="J146" s="10" t="n">
        <f aca="false">J40</f>
        <v>555268.675486045</v>
      </c>
      <c r="K146" s="10" t="n">
        <f aca="false">K40</f>
        <v>333029.797486045</v>
      </c>
      <c r="L146" s="10" t="n">
        <f aca="false">L40</f>
        <v>333029.797486045</v>
      </c>
      <c r="M146" s="10" t="n">
        <f aca="false">M40</f>
        <v>333029.797486045</v>
      </c>
      <c r="N146" s="10" t="n">
        <f aca="false">N40</f>
        <v>333029.797486045</v>
      </c>
      <c r="O146" s="10" t="n">
        <f aca="false">O40</f>
        <v>-296049.817001834</v>
      </c>
      <c r="P146" s="10" t="n">
        <f aca="false">P40</f>
        <v>496118.657998166</v>
      </c>
      <c r="Q146" s="10" t="n">
        <f aca="false">Q40</f>
        <v>496118.657998166</v>
      </c>
      <c r="R146" s="10" t="n">
        <f aca="false">R40</f>
        <v>305469.271634529</v>
      </c>
      <c r="S146" s="10" t="n">
        <f aca="false">S40</f>
        <v>179533.771634529</v>
      </c>
      <c r="T146" s="10" t="n">
        <f aca="false">T40</f>
        <v>179533.771634529</v>
      </c>
      <c r="U146" s="10" t="n">
        <f aca="false">U40</f>
        <v>179533.771634529</v>
      </c>
      <c r="V146" s="10" t="n">
        <f aca="false">V40</f>
        <v>149230.613739793</v>
      </c>
      <c r="W146" s="10" t="n">
        <f aca="false">W40</f>
        <v>149230.613739793</v>
      </c>
      <c r="X146" s="10" t="n">
        <f aca="false">X40</f>
        <v>149230.613739793</v>
      </c>
      <c r="Y146" s="10" t="n">
        <f aca="false">Y40</f>
        <v>149230.613739793</v>
      </c>
      <c r="Z146" s="10" t="n">
        <f aca="false">Z40</f>
        <v>149230.613739793</v>
      </c>
      <c r="AA146" s="10" t="n">
        <f aca="false">AA40</f>
        <v>140686.912825793</v>
      </c>
      <c r="AB146" s="10" t="n">
        <f aca="false">AB40</f>
        <v>59193.0611511515</v>
      </c>
      <c r="AC146" s="10" t="n">
        <f aca="false">AC40</f>
        <v>-507866.665515515</v>
      </c>
      <c r="AD146" s="10" t="n">
        <f aca="false">AD40</f>
        <v>215839.394484485</v>
      </c>
      <c r="AE146" s="10" t="n">
        <f aca="false">AE40</f>
        <v>215839.394484485</v>
      </c>
      <c r="AF146" s="10" t="n">
        <f aca="false">AF40</f>
        <v>215839.394484485</v>
      </c>
      <c r="AG146" s="10" t="n">
        <f aca="false">AG40</f>
        <v>215839.394484485</v>
      </c>
      <c r="AH146" s="10" t="n">
        <f aca="false">AH40</f>
        <v>115160.393537515</v>
      </c>
      <c r="AI146" s="10" t="n">
        <f aca="false">AI40</f>
        <v>115160.393537515</v>
      </c>
      <c r="AJ146" s="10" t="n">
        <f aca="false">AJ40</f>
        <v>-47598.8791897575</v>
      </c>
      <c r="AK146" s="10" t="n">
        <f aca="false">AK40</f>
        <v>-47598.8791897575</v>
      </c>
      <c r="AL146" s="10" t="n">
        <f aca="false">AL40</f>
        <v>-47598.8791897575</v>
      </c>
      <c r="AM146" s="10" t="n">
        <f aca="false">AM40</f>
        <v>-116331.950334159</v>
      </c>
      <c r="AN146" s="10" t="n">
        <f aca="false">AN40</f>
        <v>-116331.950334159</v>
      </c>
      <c r="AO146" s="10" t="n">
        <f aca="false">AO40</f>
        <v>-116331.950334159</v>
      </c>
      <c r="AP146" s="10" t="n">
        <f aca="false">AP40</f>
        <v>-116331.950334159</v>
      </c>
      <c r="AQ146" s="10" t="n">
        <f aca="false">AQ40</f>
        <v>-116331.950334159</v>
      </c>
      <c r="AR146" s="10" t="n">
        <f aca="false">AR40</f>
        <v>-116331.950334159</v>
      </c>
      <c r="AS146" s="10" t="n">
        <f aca="false">AS40</f>
        <v>-287796.988212947</v>
      </c>
      <c r="AT146" s="10" t="n">
        <f aca="false">AT40</f>
        <v>-287796.988212947</v>
      </c>
      <c r="AU146" s="10" t="n">
        <f aca="false">AU40</f>
        <v>-287796.988212947</v>
      </c>
      <c r="AV146" s="10" t="n">
        <f aca="false">AV40</f>
        <v>-287796.988212947</v>
      </c>
      <c r="AW146" s="10" t="n">
        <f aca="false">AW40</f>
        <v>-287796.988212947</v>
      </c>
      <c r="AX146" s="10" t="n">
        <f aca="false">AX40</f>
        <v>-287796.988212947</v>
      </c>
      <c r="AY146" s="10" t="n">
        <f aca="false">AY40</f>
        <v>-296685.854643872</v>
      </c>
      <c r="AZ146" s="10" t="n">
        <f aca="false">AZ40</f>
        <v>-296685.854643872</v>
      </c>
      <c r="BA146" s="10" t="n">
        <f aca="false">BA40</f>
        <v>-296685.854643872</v>
      </c>
      <c r="BB146" s="10" t="n">
        <f aca="false">BB40</f>
        <v>-296685.854643872</v>
      </c>
      <c r="BC146" s="10" t="n">
        <f aca="false">BC40</f>
        <v>-296685.854643872</v>
      </c>
      <c r="BD146" s="10" t="n">
        <f aca="false">BD40</f>
        <v>-296685.854643872</v>
      </c>
      <c r="BE146" s="10" t="n">
        <f aca="false">BE40</f>
        <v>-296685.854643872</v>
      </c>
      <c r="BF146" s="10" t="n">
        <f aca="false">BF40</f>
        <v>-296685.854643872</v>
      </c>
      <c r="BG146" s="10" t="n">
        <f aca="false">BG40</f>
        <v>-453332.187977206</v>
      </c>
      <c r="BH146" s="10" t="n">
        <f aca="false">BH40</f>
        <v>-453332.187977206</v>
      </c>
      <c r="BI146" s="10" t="n">
        <f aca="false">BI40</f>
        <v>-453332.187977206</v>
      </c>
      <c r="BJ146" s="10" t="n">
        <f aca="false">BJ40</f>
        <v>-453332.187977206</v>
      </c>
      <c r="BK146" s="10" t="n">
        <f aca="false">BK40</f>
        <v>-462398.83173675</v>
      </c>
      <c r="BL146" s="10" t="n">
        <f aca="false">BL40</f>
        <v>-462398.83173675</v>
      </c>
      <c r="BM146" s="10" t="n">
        <f aca="false">BM40</f>
        <v>-462398.83173675</v>
      </c>
      <c r="BN146" s="10" t="n">
        <f aca="false">BN40</f>
        <v>-462398.83173675</v>
      </c>
      <c r="BO146" s="10" t="n">
        <f aca="false">BO40</f>
        <v>-462398.83173675</v>
      </c>
      <c r="BP146" s="10" t="n">
        <f aca="false">BP40</f>
        <v>-462398.83173675</v>
      </c>
      <c r="BQ146" s="10" t="n">
        <f aca="false">BQ40</f>
        <v>-462398.83173675</v>
      </c>
      <c r="BR146" s="10" t="n">
        <f aca="false">BR40</f>
        <v>-462398.83173675</v>
      </c>
      <c r="BS146" s="10" t="n">
        <f aca="false">BS40</f>
        <v>-462398.83173675</v>
      </c>
      <c r="BT146" s="10" t="n">
        <f aca="false">BT40</f>
        <v>-462398.83173675</v>
      </c>
      <c r="BU146" s="10" t="n">
        <f aca="false">BU40</f>
        <v>-462398.83173675</v>
      </c>
      <c r="BV146" s="10" t="n">
        <f aca="false">BV40</f>
        <v>-462398.83173675</v>
      </c>
      <c r="BW146" s="10" t="n">
        <f aca="false">BW40</f>
        <v>-471646.808371485</v>
      </c>
      <c r="BX146" s="10" t="n">
        <f aca="false">BX40</f>
        <v>-471646.808371485</v>
      </c>
      <c r="BY146" s="10" t="n">
        <f aca="false">BY40</f>
        <v>-471646.808371485</v>
      </c>
      <c r="BZ146" s="10" t="n">
        <f aca="false">BZ40</f>
        <v>-471646.808371485</v>
      </c>
      <c r="CA146" s="10" t="n">
        <f aca="false">CA40</f>
        <v>-471646.808371485</v>
      </c>
      <c r="CB146" s="10" t="n">
        <f aca="false">CB40</f>
        <v>-471646.808371485</v>
      </c>
      <c r="CC146" s="10" t="n">
        <f aca="false">CC40</f>
        <v>-471646.808371485</v>
      </c>
      <c r="CD146" s="10" t="n">
        <f aca="false">CD40</f>
        <v>-471646.808371485</v>
      </c>
      <c r="CE146" s="10" t="n">
        <f aca="false">CE40</f>
        <v>-471646.808371485</v>
      </c>
      <c r="CF146" s="10" t="n">
        <f aca="false">CF40</f>
        <v>-471646.808371485</v>
      </c>
      <c r="CG146" s="10" t="n">
        <f aca="false">CG40</f>
        <v>-471646.808371485</v>
      </c>
      <c r="CH146" s="10" t="n">
        <f aca="false">CH40</f>
        <v>-471646.808371485</v>
      </c>
      <c r="CI146" s="25"/>
      <c r="CJ146" s="56"/>
      <c r="CK146" s="56"/>
    </row>
    <row r="147" customFormat="false" ht="15" hidden="false" customHeight="true" outlineLevel="0" collapsed="false">
      <c r="A147" s="59" t="s">
        <v>41</v>
      </c>
      <c r="B147" s="60"/>
      <c r="C147" s="61" t="n">
        <f aca="false">C145+C146</f>
        <v>1725763.11592504</v>
      </c>
      <c r="D147" s="61" t="n">
        <f aca="false">D145+D146</f>
        <v>1753029.29185008</v>
      </c>
      <c r="E147" s="61" t="n">
        <f aca="false">E145+E146</f>
        <v>1741745.46777512</v>
      </c>
      <c r="F147" s="61" t="n">
        <f aca="false">F145+F146</f>
        <v>2219781.12122743</v>
      </c>
      <c r="G147" s="61" t="n">
        <f aca="false">G145+G146</f>
        <v>2371256.56987974</v>
      </c>
      <c r="H147" s="61" t="n">
        <f aca="false">H145+H146</f>
        <v>2522732.01853206</v>
      </c>
      <c r="I147" s="61" t="n">
        <f aca="false">I145+I146</f>
        <v>3039696.79307113</v>
      </c>
      <c r="J147" s="61" t="n">
        <f aca="false">J145+J146</f>
        <v>3594965.46855718</v>
      </c>
      <c r="K147" s="61" t="n">
        <f aca="false">K145+K146</f>
        <v>3927995.26604322</v>
      </c>
      <c r="L147" s="61" t="n">
        <f aca="false">L145+L146</f>
        <v>4261025.06352927</v>
      </c>
      <c r="M147" s="61" t="n">
        <f aca="false">M145+M146</f>
        <v>4594054.86101531</v>
      </c>
      <c r="N147" s="61" t="n">
        <f aca="false">N145+N146</f>
        <v>4927084.65850136</v>
      </c>
      <c r="O147" s="61" t="n">
        <f aca="false">O145+O146</f>
        <v>4631034.84149952</v>
      </c>
      <c r="P147" s="61" t="n">
        <f aca="false">P145+P146</f>
        <v>5127153.49949769</v>
      </c>
      <c r="Q147" s="61" t="n">
        <f aca="false">Q145+Q146</f>
        <v>5623272.15749585</v>
      </c>
      <c r="R147" s="61" t="n">
        <f aca="false">R145+R146</f>
        <v>5928741.42913038</v>
      </c>
      <c r="S147" s="61" t="n">
        <f aca="false">S145+S146</f>
        <v>6108275.20076491</v>
      </c>
      <c r="T147" s="61" t="n">
        <f aca="false">T145+T146</f>
        <v>6287808.97239944</v>
      </c>
      <c r="U147" s="61" t="n">
        <f aca="false">U145+U146</f>
        <v>6467342.74403397</v>
      </c>
      <c r="V147" s="61" t="n">
        <f aca="false">V145+V146</f>
        <v>6616573.35777376</v>
      </c>
      <c r="W147" s="61" t="n">
        <f aca="false">W145+W146</f>
        <v>6765803.97151355</v>
      </c>
      <c r="X147" s="61" t="n">
        <f aca="false">X145+X146</f>
        <v>6915034.58525335</v>
      </c>
      <c r="Y147" s="61" t="n">
        <f aca="false">Y145+Y146</f>
        <v>7064265.19899314</v>
      </c>
      <c r="Z147" s="61" t="n">
        <f aca="false">Z145+Z146</f>
        <v>7213495.81273293</v>
      </c>
      <c r="AA147" s="61" t="n">
        <f aca="false">AA145+AA146</f>
        <v>7354182.72555872</v>
      </c>
      <c r="AB147" s="61" t="n">
        <f aca="false">AB145+AB146</f>
        <v>7413375.78670988</v>
      </c>
      <c r="AC147" s="61" t="n">
        <f aca="false">AC145+AC146</f>
        <v>6905509.12119436</v>
      </c>
      <c r="AD147" s="61" t="n">
        <f aca="false">AD145+AD146</f>
        <v>7121348.51567885</v>
      </c>
      <c r="AE147" s="61" t="n">
        <f aca="false">AE145+AE146</f>
        <v>7337187.91016333</v>
      </c>
      <c r="AF147" s="61" t="n">
        <f aca="false">AF145+AF146</f>
        <v>7553027.30464781</v>
      </c>
      <c r="AG147" s="61" t="n">
        <f aca="false">AG145+AG146</f>
        <v>7768866.6991323</v>
      </c>
      <c r="AH147" s="61" t="n">
        <f aca="false">AH145+AH146</f>
        <v>7884027.09266981</v>
      </c>
      <c r="AI147" s="61" t="n">
        <f aca="false">AI145+AI146</f>
        <v>7999187.48620733</v>
      </c>
      <c r="AJ147" s="61" t="n">
        <f aca="false">AJ145+AJ146</f>
        <v>7951588.60701757</v>
      </c>
      <c r="AK147" s="61" t="n">
        <f aca="false">AK145+AK146</f>
        <v>7903989.72782781</v>
      </c>
      <c r="AL147" s="61" t="n">
        <f aca="false">AL145+AL146</f>
        <v>7856390.84863806</v>
      </c>
      <c r="AM147" s="61" t="n">
        <f aca="false">AM145+AM146</f>
        <v>7740058.8983039</v>
      </c>
      <c r="AN147" s="61" t="n">
        <f aca="false">AN145+AN146</f>
        <v>7623726.94796974</v>
      </c>
      <c r="AO147" s="61" t="n">
        <f aca="false">AO145+AO146</f>
        <v>7507394.99763558</v>
      </c>
      <c r="AP147" s="61" t="n">
        <f aca="false">AP145+AP146</f>
        <v>7391063.04730142</v>
      </c>
      <c r="AQ147" s="61" t="n">
        <f aca="false">AQ145+AQ146</f>
        <v>7274731.09696726</v>
      </c>
      <c r="AR147" s="61" t="n">
        <f aca="false">AR145+AR146</f>
        <v>7158399.1466331</v>
      </c>
      <c r="AS147" s="61" t="n">
        <f aca="false">AS145+AS146</f>
        <v>6870602.15842016</v>
      </c>
      <c r="AT147" s="61" t="n">
        <f aca="false">AT145+AT146</f>
        <v>6582805.17020721</v>
      </c>
      <c r="AU147" s="61" t="n">
        <f aca="false">AU145+AU146</f>
        <v>6295008.18199426</v>
      </c>
      <c r="AV147" s="61" t="n">
        <f aca="false">AV145+AV146</f>
        <v>6007211.19378132</v>
      </c>
      <c r="AW147" s="61" t="n">
        <f aca="false">AW145+AW146</f>
        <v>5719414.20556837</v>
      </c>
      <c r="AX147" s="61" t="n">
        <f aca="false">AX145+AX146</f>
        <v>5431617.21735542</v>
      </c>
      <c r="AY147" s="61" t="n">
        <f aca="false">AY145+AY146</f>
        <v>5134931.36271155</v>
      </c>
      <c r="AZ147" s="61" t="n">
        <f aca="false">AZ145+AZ146</f>
        <v>4838245.50806768</v>
      </c>
      <c r="BA147" s="61" t="n">
        <f aca="false">BA145+BA146</f>
        <v>4541559.65342381</v>
      </c>
      <c r="BB147" s="61" t="n">
        <f aca="false">BB145+BB146</f>
        <v>4244873.79877994</v>
      </c>
      <c r="BC147" s="61" t="n">
        <f aca="false">BC145+BC146</f>
        <v>3948187.94413606</v>
      </c>
      <c r="BD147" s="61" t="n">
        <f aca="false">BD145+BD146</f>
        <v>3651502.08949219</v>
      </c>
      <c r="BE147" s="61" t="n">
        <f aca="false">BE145+BE146</f>
        <v>3354816.23484832</v>
      </c>
      <c r="BF147" s="61" t="n">
        <f aca="false">BF145+BF146</f>
        <v>3058130.38020445</v>
      </c>
      <c r="BG147" s="61" t="n">
        <f aca="false">BG145+BG146</f>
        <v>2604798.19222724</v>
      </c>
      <c r="BH147" s="61" t="n">
        <f aca="false">BH145+BH146</f>
        <v>2151466.00425004</v>
      </c>
      <c r="BI147" s="61" t="n">
        <f aca="false">BI145+BI146</f>
        <v>1698133.81627283</v>
      </c>
      <c r="BJ147" s="61" t="n">
        <f aca="false">BJ145+BJ146</f>
        <v>1244801.62829562</v>
      </c>
      <c r="BK147" s="61" t="n">
        <f aca="false">BK145+BK146</f>
        <v>782402.796558875</v>
      </c>
      <c r="BL147" s="61" t="n">
        <f aca="false">BL145+BL146</f>
        <v>320003.964822125</v>
      </c>
      <c r="BM147" s="61" t="n">
        <f aca="false">BM145+BM146</f>
        <v>-142394.866914625</v>
      </c>
      <c r="BN147" s="61" t="n">
        <f aca="false">BN145+BN146</f>
        <v>-604793.698651374</v>
      </c>
      <c r="BO147" s="61" t="n">
        <f aca="false">BO145+BO146</f>
        <v>-1067192.53038812</v>
      </c>
      <c r="BP147" s="61" t="n">
        <f aca="false">BP145+BP146</f>
        <v>-1529591.36212487</v>
      </c>
      <c r="BQ147" s="61" t="n">
        <f aca="false">BQ145+BQ146</f>
        <v>-1991990.19386162</v>
      </c>
      <c r="BR147" s="61" t="n">
        <f aca="false">BR145+BR146</f>
        <v>-2454389.02559837</v>
      </c>
      <c r="BS147" s="61" t="n">
        <f aca="false">BS145+BS146</f>
        <v>-2916787.85733512</v>
      </c>
      <c r="BT147" s="61" t="n">
        <f aca="false">BT145+BT146</f>
        <v>-3379186.68907187</v>
      </c>
      <c r="BU147" s="61" t="n">
        <f aca="false">BU145+BU146</f>
        <v>-3841585.52080862</v>
      </c>
      <c r="BV147" s="61" t="n">
        <f aca="false">BV145+BV146</f>
        <v>-4303984.35254537</v>
      </c>
      <c r="BW147" s="61" t="n">
        <f aca="false">BW145+BW146</f>
        <v>-4775631.16091686</v>
      </c>
      <c r="BX147" s="61" t="n">
        <f aca="false">BX145+BX146</f>
        <v>-5247277.96928834</v>
      </c>
      <c r="BY147" s="61" t="n">
        <f aca="false">BY145+BY146</f>
        <v>-5718924.77765983</v>
      </c>
      <c r="BZ147" s="61" t="n">
        <f aca="false">BZ145+BZ146</f>
        <v>-6190571.58603131</v>
      </c>
      <c r="CA147" s="61" t="n">
        <f aca="false">CA145+CA146</f>
        <v>-6662218.3944028</v>
      </c>
      <c r="CB147" s="61" t="n">
        <f aca="false">CB145+CB146</f>
        <v>-7133865.20277428</v>
      </c>
      <c r="CC147" s="61" t="n">
        <f aca="false">CC145+CC146</f>
        <v>-7605512.01114576</v>
      </c>
      <c r="CD147" s="61" t="n">
        <f aca="false">CD145+CD146</f>
        <v>-8077158.81951725</v>
      </c>
      <c r="CE147" s="61" t="n">
        <f aca="false">CE145+CE146</f>
        <v>-8548805.62788873</v>
      </c>
      <c r="CF147" s="61" t="n">
        <f aca="false">CF145+CF146</f>
        <v>-9020452.43626022</v>
      </c>
      <c r="CG147" s="61" t="n">
        <f aca="false">CG145+CG146</f>
        <v>-9492099.2446317</v>
      </c>
      <c r="CH147" s="61" t="n">
        <f aca="false">CH145+CH146</f>
        <v>-9963746.05300318</v>
      </c>
      <c r="CI147" s="25"/>
      <c r="CJ147" s="56"/>
      <c r="CK147" s="56"/>
    </row>
    <row r="148" customFormat="false" ht="15" hidden="false" customHeight="tru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5"/>
      <c r="CJ148" s="56"/>
      <c r="CK148" s="56"/>
    </row>
    <row r="149" customFormat="false" ht="15" hidden="false" customHeight="true" outlineLevel="0" collapsed="false">
      <c r="A149" s="8" t="s">
        <v>165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25"/>
      <c r="CJ149" s="56"/>
      <c r="CK149" s="56"/>
    </row>
    <row r="150" customFormat="false" ht="15" hidden="false" customHeight="true" outlineLevel="0" collapsed="false">
      <c r="A150" s="9" t="s">
        <v>166</v>
      </c>
      <c r="B150" s="24"/>
      <c r="C150" s="10" t="n">
        <f aca="false">Assumptions!$B$30</f>
        <v>451631.16</v>
      </c>
      <c r="D150" s="10" t="n">
        <f aca="false">C155</f>
        <v>375681.156666667</v>
      </c>
      <c r="E150" s="10" t="n">
        <f aca="false">D155</f>
        <v>299731.153333333</v>
      </c>
      <c r="F150" s="10" t="n">
        <f aca="false">E155</f>
        <v>223781.15</v>
      </c>
      <c r="G150" s="10" t="n">
        <f aca="false">F155</f>
        <v>124831.146666667</v>
      </c>
      <c r="H150" s="10" t="n">
        <f aca="false">G155</f>
        <v>48881.1433333334</v>
      </c>
      <c r="I150" s="10" t="n">
        <f aca="false">H155</f>
        <v>-27902.19</v>
      </c>
      <c r="J150" s="10" t="n">
        <f aca="false">I155</f>
        <v>-234685.523333333</v>
      </c>
      <c r="K150" s="10" t="n">
        <f aca="false">J155</f>
        <v>-450843.856666667</v>
      </c>
      <c r="L150" s="10" t="n">
        <f aca="false">K155</f>
        <v>-688002.19</v>
      </c>
      <c r="M150" s="10" t="n">
        <f aca="false">L155</f>
        <v>-892028.692933333</v>
      </c>
      <c r="N150" s="10" t="n">
        <f aca="false">M155</f>
        <v>-1346055.19586667</v>
      </c>
      <c r="O150" s="10" t="n">
        <f aca="false">N155</f>
        <v>-1550081.6988</v>
      </c>
      <c r="P150" s="10" t="n">
        <f aca="false">O155</f>
        <v>-1756499.4934</v>
      </c>
      <c r="Q150" s="10" t="n">
        <f aca="false">P155</f>
        <v>-1962917.288</v>
      </c>
      <c r="R150" s="10" t="n">
        <f aca="false">Q155</f>
        <v>-2169335.0826</v>
      </c>
      <c r="S150" s="10" t="n">
        <f aca="false">R155</f>
        <v>-2419047.2648</v>
      </c>
      <c r="T150" s="10" t="n">
        <f aca="false">S155</f>
        <v>-2628727.1846</v>
      </c>
      <c r="U150" s="10" t="n">
        <f aca="false">T155</f>
        <v>-2821834.842</v>
      </c>
      <c r="V150" s="10" t="n">
        <f aca="false">U155</f>
        <v>-2998370.2434</v>
      </c>
      <c r="W150" s="10" t="n">
        <f aca="false">V155</f>
        <v>-3158333.376</v>
      </c>
      <c r="X150" s="10" t="n">
        <f aca="false">W155</f>
        <v>-3201738.49588545</v>
      </c>
      <c r="Y150" s="10" t="n">
        <f aca="false">X155</f>
        <v>-3198557.11648545</v>
      </c>
      <c r="Z150" s="10" t="n">
        <f aca="false">Y155</f>
        <v>-3428803.47468545</v>
      </c>
      <c r="AA150" s="10" t="n">
        <f aca="false">Z155</f>
        <v>-3335102.56408545</v>
      </c>
      <c r="AB150" s="10" t="n">
        <f aca="false">AA155</f>
        <v>-3284643.51498545</v>
      </c>
      <c r="AC150" s="10" t="n">
        <f aca="false">AB155</f>
        <v>-3217612.19708545</v>
      </c>
      <c r="AD150" s="10" t="n">
        <f aca="false">AC155</f>
        <v>-3047801.39918544</v>
      </c>
      <c r="AE150" s="10" t="n">
        <f aca="false">AD155</f>
        <v>-3016458.70528545</v>
      </c>
      <c r="AF150" s="10" t="n">
        <f aca="false">AE155</f>
        <v>-2960686.25458545</v>
      </c>
      <c r="AG150" s="10" t="n">
        <f aca="false">AF155</f>
        <v>-2904413.25988545</v>
      </c>
      <c r="AH150" s="10" t="n">
        <f aca="false">AG155</f>
        <v>-2857139.71478544</v>
      </c>
      <c r="AI150" s="10" t="n">
        <f aca="false">AH155</f>
        <v>-2809365.62568544</v>
      </c>
      <c r="AJ150" s="10" t="n">
        <f aca="false">AI155</f>
        <v>-2766367.12378544</v>
      </c>
      <c r="AK150" s="10" t="n">
        <f aca="false">AJ155</f>
        <v>-2717591.92748544</v>
      </c>
      <c r="AL150" s="10" t="n">
        <f aca="false">AK155</f>
        <v>-2934888.44318544</v>
      </c>
      <c r="AM150" s="10" t="n">
        <f aca="false">AL155</f>
        <v>-2918256.67088544</v>
      </c>
      <c r="AN150" s="10" t="n">
        <f aca="false">AM155</f>
        <v>-2920184.51683544</v>
      </c>
      <c r="AO150" s="10" t="n">
        <f aca="false">AN155</f>
        <v>-2938184.06838544</v>
      </c>
      <c r="AP150" s="10" t="n">
        <f aca="false">AO155</f>
        <v>-2972255.33193544</v>
      </c>
      <c r="AQ150" s="10" t="n">
        <f aca="false">AP155</f>
        <v>-3046806.09788544</v>
      </c>
      <c r="AR150" s="10" t="n">
        <f aca="false">AQ155</f>
        <v>-3113020.78543544</v>
      </c>
      <c r="AS150" s="10" t="n">
        <f aca="false">AR155</f>
        <v>-3195307.18498544</v>
      </c>
      <c r="AT150" s="10" t="n">
        <f aca="false">AS155</f>
        <v>-3225890.01333544</v>
      </c>
      <c r="AU150" s="10" t="n">
        <f aca="false">AT155</f>
        <v>-3273045.09768544</v>
      </c>
      <c r="AV150" s="10" t="n">
        <f aca="false">AU155</f>
        <v>-3375129.51803544</v>
      </c>
      <c r="AW150" s="10" t="n">
        <f aca="false">AV155</f>
        <v>-3455429.12078544</v>
      </c>
      <c r="AX150" s="10" t="n">
        <f aca="false">AW155</f>
        <v>-3536229.28033544</v>
      </c>
      <c r="AY150" s="10" t="n">
        <f aca="false">AX155</f>
        <v>-3617529.98388544</v>
      </c>
      <c r="AZ150" s="10" t="n">
        <f aca="false">AY155</f>
        <v>-3701868.89568245</v>
      </c>
      <c r="BA150" s="10" t="n">
        <f aca="false">AZ155</f>
        <v>-3786708.35787945</v>
      </c>
      <c r="BB150" s="10" t="n">
        <f aca="false">BA155</f>
        <v>-3872048.37047644</v>
      </c>
      <c r="BC150" s="10" t="n">
        <f aca="false">BB155</f>
        <v>-3982784.87315345</v>
      </c>
      <c r="BD150" s="10" t="n">
        <f aca="false">BC155</f>
        <v>-4069125.98655044</v>
      </c>
      <c r="BE150" s="10" t="n">
        <f aca="false">BD155</f>
        <v>-4155967.65034744</v>
      </c>
      <c r="BF150" s="10" t="n">
        <f aca="false">BE155</f>
        <v>-4243309.86454445</v>
      </c>
      <c r="BG150" s="10" t="n">
        <f aca="false">BF155</f>
        <v>-4331152.62914144</v>
      </c>
      <c r="BH150" s="10" t="n">
        <f aca="false">BG155</f>
        <v>-4442227.01309845</v>
      </c>
      <c r="BI150" s="10" t="n">
        <f aca="false">BH155</f>
        <v>-4501870.07849545</v>
      </c>
      <c r="BJ150" s="10" t="n">
        <f aca="false">BI155</f>
        <v>-4562013.69429245</v>
      </c>
      <c r="BK150" s="10" t="n">
        <f aca="false">BJ155</f>
        <v>-4554882.57088945</v>
      </c>
      <c r="BL150" s="10" t="n">
        <f aca="false">BK155</f>
        <v>-4686891.53209039</v>
      </c>
      <c r="BM150" s="10" t="n">
        <f aca="false">BL155</f>
        <v>-4818900.49329133</v>
      </c>
      <c r="BN150" s="10" t="n">
        <f aca="false">BM155</f>
        <v>-4950909.45449227</v>
      </c>
      <c r="BO150" s="10" t="n">
        <f aca="false">BN155</f>
        <v>-5108312.27416681</v>
      </c>
      <c r="BP150" s="10" t="n">
        <f aca="false">BO155</f>
        <v>-5240321.23536775</v>
      </c>
      <c r="BQ150" s="10" t="n">
        <f aca="false">BP155</f>
        <v>-5320816.67656869</v>
      </c>
      <c r="BR150" s="10" t="n">
        <f aca="false">BQ155</f>
        <v>-5452825.63776963</v>
      </c>
      <c r="BS150" s="10" t="n">
        <f aca="false">BR155</f>
        <v>-5584834.59897057</v>
      </c>
      <c r="BT150" s="10" t="n">
        <f aca="false">BS155</f>
        <v>-5672267.25703871</v>
      </c>
      <c r="BU150" s="10" t="n">
        <f aca="false">BT155</f>
        <v>-5804276.21823965</v>
      </c>
      <c r="BV150" s="10" t="n">
        <f aca="false">BU155</f>
        <v>-5936285.17944059</v>
      </c>
      <c r="BW150" s="10" t="n">
        <f aca="false">BV155</f>
        <v>-6000532.14064153</v>
      </c>
      <c r="BX150" s="10" t="n">
        <f aca="false">BW155</f>
        <v>-6135181.28106649</v>
      </c>
      <c r="BY150" s="10" t="n">
        <f aca="false">BX155</f>
        <v>-6269830.42149145</v>
      </c>
      <c r="BZ150" s="10" t="n">
        <f aca="false">BY155</f>
        <v>-6336717.5619164</v>
      </c>
      <c r="CA150" s="10" t="n">
        <f aca="false">BZ155</f>
        <v>-6497268.43798444</v>
      </c>
      <c r="CB150" s="10" t="n">
        <f aca="false">CA155</f>
        <v>-6631917.57840939</v>
      </c>
      <c r="CC150" s="10" t="n">
        <f aca="false">CB155</f>
        <v>-6690067.71883435</v>
      </c>
      <c r="CD150" s="10" t="n">
        <f aca="false">CC155</f>
        <v>-6824716.85925931</v>
      </c>
      <c r="CE150" s="10" t="n">
        <f aca="false">CD155</f>
        <v>-6959365.99968427</v>
      </c>
      <c r="CF150" s="10" t="n">
        <f aca="false">CE155</f>
        <v>-7041165.55091377</v>
      </c>
      <c r="CG150" s="10" t="n">
        <f aca="false">CF155</f>
        <v>-7175814.69133873</v>
      </c>
      <c r="CH150" s="10" t="n">
        <f aca="false">CG155</f>
        <v>-7310463.83176369</v>
      </c>
      <c r="CI150" s="25"/>
      <c r="CJ150" s="56"/>
      <c r="CK150" s="56"/>
    </row>
    <row r="151" customFormat="false" ht="15" hidden="false" customHeight="true" outlineLevel="0" collapsed="false">
      <c r="A151" s="9" t="s">
        <v>167</v>
      </c>
      <c r="B151" s="24"/>
      <c r="C151" s="10" t="n">
        <f aca="false">C86</f>
        <v>-75950.0033333333</v>
      </c>
      <c r="D151" s="10" t="n">
        <f aca="false">D86</f>
        <v>-75950.0033333333</v>
      </c>
      <c r="E151" s="10" t="n">
        <f aca="false">E86</f>
        <v>-75950.0033333333</v>
      </c>
      <c r="F151" s="10" t="n">
        <f aca="false">F86</f>
        <v>-98950.0033333333</v>
      </c>
      <c r="G151" s="10" t="n">
        <f aca="false">G86</f>
        <v>-75950.0033333333</v>
      </c>
      <c r="H151" s="10" t="n">
        <f aca="false">H86</f>
        <v>-76783.3333333333</v>
      </c>
      <c r="I151" s="10" t="n">
        <f aca="false">I86</f>
        <v>-76783.3333333333</v>
      </c>
      <c r="J151" s="10" t="n">
        <f aca="false">J86</f>
        <v>-86158.3333333333</v>
      </c>
      <c r="K151" s="10" t="n">
        <f aca="false">K86</f>
        <v>-107158.333333333</v>
      </c>
      <c r="L151" s="10" t="n">
        <f aca="false">L86</f>
        <v>-74026.5029333333</v>
      </c>
      <c r="M151" s="10" t="n">
        <f aca="false">M86</f>
        <v>-74026.5029333333</v>
      </c>
      <c r="N151" s="10" t="n">
        <f aca="false">N86</f>
        <v>-74026.5029333333</v>
      </c>
      <c r="O151" s="10" t="n">
        <f aca="false">O86</f>
        <v>-76417.7946</v>
      </c>
      <c r="P151" s="10" t="n">
        <f aca="false">P86</f>
        <v>-76417.7946</v>
      </c>
      <c r="Q151" s="10" t="n">
        <f aca="false">Q86</f>
        <v>-76417.7946</v>
      </c>
      <c r="R151" s="10" t="n">
        <f aca="false">R86</f>
        <v>-119712.1822</v>
      </c>
      <c r="S151" s="10" t="n">
        <f aca="false">S86</f>
        <v>-79679.9198</v>
      </c>
      <c r="T151" s="10" t="n">
        <f aca="false">T86</f>
        <v>-63107.6574</v>
      </c>
      <c r="U151" s="10" t="n">
        <f aca="false">U86</f>
        <v>-46535.4014</v>
      </c>
      <c r="V151" s="10" t="n">
        <f aca="false">V86</f>
        <v>-29963.1326</v>
      </c>
      <c r="W151" s="10" t="n">
        <f aca="false">W86</f>
        <v>22564.1234</v>
      </c>
      <c r="X151" s="10" t="n">
        <f aca="false">X86</f>
        <v>3181.37939999999</v>
      </c>
      <c r="Y151" s="10" t="n">
        <f aca="false">Y86</f>
        <v>19753.6418</v>
      </c>
      <c r="Z151" s="10" t="n">
        <f aca="false">Z86</f>
        <v>93700.9106</v>
      </c>
      <c r="AA151" s="10" t="n">
        <f aca="false">AA86</f>
        <v>50459.0491</v>
      </c>
      <c r="AB151" s="10" t="n">
        <f aca="false">AB86</f>
        <v>67031.3179</v>
      </c>
      <c r="AC151" s="10" t="n">
        <f aca="false">AC86</f>
        <v>169810.7979</v>
      </c>
      <c r="AD151" s="10" t="n">
        <f aca="false">AD86</f>
        <v>31342.6939</v>
      </c>
      <c r="AE151" s="10" t="n">
        <f aca="false">AE86</f>
        <v>55772.4507</v>
      </c>
      <c r="AF151" s="10" t="n">
        <f aca="false">AF86</f>
        <v>56272.9947</v>
      </c>
      <c r="AG151" s="10" t="n">
        <f aca="false">AG86</f>
        <v>47273.5451</v>
      </c>
      <c r="AH151" s="10" t="n">
        <f aca="false">AH86</f>
        <v>47774.0891</v>
      </c>
      <c r="AI151" s="10" t="n">
        <f aca="false">AI86</f>
        <v>42998.5019</v>
      </c>
      <c r="AJ151" s="10" t="n">
        <f aca="false">AJ86</f>
        <v>48775.1963</v>
      </c>
      <c r="AK151" s="10" t="n">
        <f aca="false">AK86</f>
        <v>32703.4843</v>
      </c>
      <c r="AL151" s="10" t="n">
        <f aca="false">AL86</f>
        <v>16631.7723</v>
      </c>
      <c r="AM151" s="10" t="n">
        <f aca="false">AM86</f>
        <v>-1927.84595</v>
      </c>
      <c r="AN151" s="10" t="n">
        <f aca="false">AN86</f>
        <v>-17999.55155</v>
      </c>
      <c r="AO151" s="10" t="n">
        <f aca="false">AO86</f>
        <v>-34071.26355</v>
      </c>
      <c r="AP151" s="10" t="n">
        <f aca="false">AP86</f>
        <v>-74550.76595</v>
      </c>
      <c r="AQ151" s="10" t="n">
        <f aca="false">AQ86</f>
        <v>-66214.68755</v>
      </c>
      <c r="AR151" s="10" t="n">
        <f aca="false">AR86</f>
        <v>-82286.39955</v>
      </c>
      <c r="AS151" s="10" t="n">
        <f aca="false">AS86</f>
        <v>-30582.82835</v>
      </c>
      <c r="AT151" s="10" t="n">
        <f aca="false">AT86</f>
        <v>-47155.08435</v>
      </c>
      <c r="AU151" s="10" t="n">
        <f aca="false">AU86</f>
        <v>-102084.42035</v>
      </c>
      <c r="AV151" s="10" t="n">
        <f aca="false">AV86</f>
        <v>-80299.60275</v>
      </c>
      <c r="AW151" s="10" t="n">
        <f aca="false">AW86</f>
        <v>-80800.15955</v>
      </c>
      <c r="AX151" s="10" t="n">
        <f aca="false">AX86</f>
        <v>-81300.70355</v>
      </c>
      <c r="AY151" s="10" t="n">
        <f aca="false">AY86</f>
        <v>-84338.911797</v>
      </c>
      <c r="AZ151" s="10" t="n">
        <f aca="false">AZ86</f>
        <v>-84839.462197</v>
      </c>
      <c r="BA151" s="10" t="n">
        <f aca="false">BA86</f>
        <v>-85340.0125969999</v>
      </c>
      <c r="BB151" s="10" t="n">
        <f aca="false">BB86</f>
        <v>-110736.502677</v>
      </c>
      <c r="BC151" s="10" t="n">
        <f aca="false">BC86</f>
        <v>-86341.113397</v>
      </c>
      <c r="BD151" s="10" t="n">
        <f aca="false">BD86</f>
        <v>-86841.663797</v>
      </c>
      <c r="BE151" s="10" t="n">
        <f aca="false">BE86</f>
        <v>-87342.214197</v>
      </c>
      <c r="BF151" s="10" t="n">
        <f aca="false">BF86</f>
        <v>-87842.764597</v>
      </c>
      <c r="BG151" s="10" t="n">
        <f aca="false">BG86</f>
        <v>-111074.383957</v>
      </c>
      <c r="BH151" s="10" t="n">
        <f aca="false">BH86</f>
        <v>-59643.065397</v>
      </c>
      <c r="BI151" s="10" t="n">
        <f aca="false">BI86</f>
        <v>-60143.615797</v>
      </c>
      <c r="BJ151" s="10" t="n">
        <f aca="false">BJ86</f>
        <v>7131.12340300001</v>
      </c>
      <c r="BK151" s="10" t="n">
        <f aca="false">BK86</f>
        <v>-132008.96120094</v>
      </c>
      <c r="BL151" s="10" t="n">
        <f aca="false">BL86</f>
        <v>-132008.96120094</v>
      </c>
      <c r="BM151" s="10" t="n">
        <f aca="false">BM86</f>
        <v>-132008.96120094</v>
      </c>
      <c r="BN151" s="10" t="n">
        <f aca="false">BN86</f>
        <v>-157402.81967454</v>
      </c>
      <c r="BO151" s="10" t="n">
        <f aca="false">BO86</f>
        <v>-132008.96120094</v>
      </c>
      <c r="BP151" s="10" t="n">
        <f aca="false">BP86</f>
        <v>-80495.44120094</v>
      </c>
      <c r="BQ151" s="10" t="n">
        <f aca="false">BQ86</f>
        <v>-132008.96120094</v>
      </c>
      <c r="BR151" s="10" t="n">
        <f aca="false">BR86</f>
        <v>-132008.96120094</v>
      </c>
      <c r="BS151" s="10" t="n">
        <f aca="false">BS86</f>
        <v>-87432.65806814</v>
      </c>
      <c r="BT151" s="10" t="n">
        <f aca="false">BT86</f>
        <v>-132008.96120094</v>
      </c>
      <c r="BU151" s="10" t="n">
        <f aca="false">BU86</f>
        <v>-132008.96120094</v>
      </c>
      <c r="BV151" s="10" t="n">
        <f aca="false">BV86</f>
        <v>-64246.96120094</v>
      </c>
      <c r="BW151" s="10" t="n">
        <f aca="false">BW86</f>
        <v>-134649.140424959</v>
      </c>
      <c r="BX151" s="10" t="n">
        <f aca="false">BX86</f>
        <v>-134649.140424959</v>
      </c>
      <c r="BY151" s="10" t="n">
        <f aca="false">BY86</f>
        <v>-66887.1404249588</v>
      </c>
      <c r="BZ151" s="10" t="n">
        <f aca="false">BZ86</f>
        <v>-160550.876068031</v>
      </c>
      <c r="CA151" s="10" t="n">
        <f aca="false">CA86</f>
        <v>-134649.140424959</v>
      </c>
      <c r="CB151" s="10" t="n">
        <f aca="false">CB86</f>
        <v>-58150.1404249588</v>
      </c>
      <c r="CC151" s="10" t="n">
        <f aca="false">CC86</f>
        <v>-134649.140424959</v>
      </c>
      <c r="CD151" s="10" t="n">
        <f aca="false">CD86</f>
        <v>-134649.140424959</v>
      </c>
      <c r="CE151" s="10" t="n">
        <f aca="false">CE86</f>
        <v>-81799.5512295028</v>
      </c>
      <c r="CF151" s="10" t="n">
        <f aca="false">CF86</f>
        <v>-134649.140424959</v>
      </c>
      <c r="CG151" s="10" t="n">
        <f aca="false">CG86</f>
        <v>-134649.140424959</v>
      </c>
      <c r="CH151" s="10" t="n">
        <f aca="false">CH86</f>
        <v>-51542.1138184796</v>
      </c>
      <c r="CI151" s="25"/>
      <c r="CJ151" s="56"/>
      <c r="CK151" s="56"/>
    </row>
    <row r="152" customFormat="false" ht="15" hidden="false" customHeight="true" outlineLevel="0" collapsed="false">
      <c r="A152" s="9" t="s">
        <v>168</v>
      </c>
      <c r="B152" s="24"/>
      <c r="C152" s="10" t="n">
        <f aca="false">C100</f>
        <v>0</v>
      </c>
      <c r="D152" s="10" t="n">
        <f aca="false">D100</f>
        <v>0</v>
      </c>
      <c r="E152" s="10" t="n">
        <f aca="false">E100</f>
        <v>0</v>
      </c>
      <c r="F152" s="10" t="n">
        <f aca="false">F100</f>
        <v>0</v>
      </c>
      <c r="G152" s="10" t="n">
        <f aca="false">G100</f>
        <v>0</v>
      </c>
      <c r="H152" s="10" t="n">
        <f aca="false">H100</f>
        <v>0</v>
      </c>
      <c r="I152" s="10" t="n">
        <f aca="false">I100</f>
        <v>-130000</v>
      </c>
      <c r="J152" s="10" t="n">
        <f aca="false">J100</f>
        <v>-130000</v>
      </c>
      <c r="K152" s="10" t="n">
        <f aca="false">K100</f>
        <v>-130000</v>
      </c>
      <c r="L152" s="10" t="n">
        <f aca="false">L100</f>
        <v>-130000</v>
      </c>
      <c r="M152" s="10" t="n">
        <f aca="false">M100</f>
        <v>-130000</v>
      </c>
      <c r="N152" s="10" t="n">
        <f aca="false">N100</f>
        <v>-130000</v>
      </c>
      <c r="O152" s="10" t="n">
        <f aca="false">O100</f>
        <v>-130000</v>
      </c>
      <c r="P152" s="10" t="n">
        <f aca="false">P100</f>
        <v>-130000</v>
      </c>
      <c r="Q152" s="10" t="n">
        <f aca="false">Q100</f>
        <v>-130000</v>
      </c>
      <c r="R152" s="10" t="n">
        <f aca="false">R100</f>
        <v>-130000</v>
      </c>
      <c r="S152" s="10" t="n">
        <f aca="false">S100</f>
        <v>-130000</v>
      </c>
      <c r="T152" s="10" t="n">
        <f aca="false">T100</f>
        <v>-130000</v>
      </c>
      <c r="U152" s="10" t="n">
        <f aca="false">U100</f>
        <v>-130000</v>
      </c>
      <c r="V152" s="10" t="n">
        <f aca="false">V100</f>
        <v>-130000</v>
      </c>
      <c r="W152" s="10" t="n">
        <f aca="false">W100</f>
        <v>-65969.2432854451</v>
      </c>
      <c r="X152" s="10" t="n">
        <f aca="false">X100</f>
        <v>0</v>
      </c>
      <c r="Y152" s="10" t="n">
        <f aca="false">Y100</f>
        <v>0</v>
      </c>
      <c r="Z152" s="10" t="n">
        <f aca="false">Z100</f>
        <v>0</v>
      </c>
      <c r="AA152" s="10" t="n">
        <f aca="false">AA100</f>
        <v>0</v>
      </c>
      <c r="AB152" s="10" t="n">
        <f aca="false">AB100</f>
        <v>0</v>
      </c>
      <c r="AC152" s="10" t="n">
        <f aca="false">AC100</f>
        <v>0</v>
      </c>
      <c r="AD152" s="10" t="n">
        <f aca="false">AD100</f>
        <v>0</v>
      </c>
      <c r="AE152" s="10" t="n">
        <f aca="false">AE100</f>
        <v>0</v>
      </c>
      <c r="AF152" s="10" t="n">
        <f aca="false">AF100</f>
        <v>0</v>
      </c>
      <c r="AG152" s="10" t="n">
        <f aca="false">AG100</f>
        <v>0</v>
      </c>
      <c r="AH152" s="10" t="n">
        <f aca="false">AH100</f>
        <v>0</v>
      </c>
      <c r="AI152" s="10" t="n">
        <f aca="false">AI100</f>
        <v>0</v>
      </c>
      <c r="AJ152" s="10" t="n">
        <f aca="false">AJ100</f>
        <v>0</v>
      </c>
      <c r="AK152" s="10" t="n">
        <f aca="false">AK100</f>
        <v>0</v>
      </c>
      <c r="AL152" s="10" t="n">
        <f aca="false">AL100</f>
        <v>0</v>
      </c>
      <c r="AM152" s="10" t="n">
        <f aca="false">AM100</f>
        <v>0</v>
      </c>
      <c r="AN152" s="10" t="n">
        <f aca="false">AN100</f>
        <v>0</v>
      </c>
      <c r="AO152" s="10" t="n">
        <f aca="false">AO100</f>
        <v>0</v>
      </c>
      <c r="AP152" s="10" t="n">
        <f aca="false">AP100</f>
        <v>0</v>
      </c>
      <c r="AQ152" s="10" t="n">
        <f aca="false">AQ100</f>
        <v>0</v>
      </c>
      <c r="AR152" s="10" t="n">
        <f aca="false">AR100</f>
        <v>0</v>
      </c>
      <c r="AS152" s="10" t="n">
        <f aca="false">AS100</f>
        <v>0</v>
      </c>
      <c r="AT152" s="10" t="n">
        <f aca="false">AT100</f>
        <v>0</v>
      </c>
      <c r="AU152" s="10" t="n">
        <f aca="false">AU100</f>
        <v>0</v>
      </c>
      <c r="AV152" s="10" t="n">
        <f aca="false">AV100</f>
        <v>0</v>
      </c>
      <c r="AW152" s="10" t="n">
        <f aca="false">AW100</f>
        <v>0</v>
      </c>
      <c r="AX152" s="10" t="n">
        <f aca="false">AX100</f>
        <v>0</v>
      </c>
      <c r="AY152" s="10" t="n">
        <f aca="false">AY100</f>
        <v>0</v>
      </c>
      <c r="AZ152" s="10" t="n">
        <f aca="false">AZ100</f>
        <v>0</v>
      </c>
      <c r="BA152" s="10" t="n">
        <f aca="false">BA100</f>
        <v>0</v>
      </c>
      <c r="BB152" s="10" t="n">
        <f aca="false">BB100</f>
        <v>0</v>
      </c>
      <c r="BC152" s="10" t="n">
        <f aca="false">BC100</f>
        <v>0</v>
      </c>
      <c r="BD152" s="10" t="n">
        <f aca="false">BD100</f>
        <v>0</v>
      </c>
      <c r="BE152" s="10" t="n">
        <f aca="false">BE100</f>
        <v>0</v>
      </c>
      <c r="BF152" s="10" t="n">
        <f aca="false">BF100</f>
        <v>0</v>
      </c>
      <c r="BG152" s="10" t="n">
        <f aca="false">BG100</f>
        <v>0</v>
      </c>
      <c r="BH152" s="10" t="n">
        <f aca="false">BH100</f>
        <v>0</v>
      </c>
      <c r="BI152" s="10" t="n">
        <f aca="false">BI100</f>
        <v>0</v>
      </c>
      <c r="BJ152" s="10" t="n">
        <f aca="false">BJ100</f>
        <v>0</v>
      </c>
      <c r="BK152" s="10" t="n">
        <f aca="false">BK100</f>
        <v>0</v>
      </c>
      <c r="BL152" s="10" t="n">
        <f aca="false">BL100</f>
        <v>0</v>
      </c>
      <c r="BM152" s="10" t="n">
        <f aca="false">BM100</f>
        <v>0</v>
      </c>
      <c r="BN152" s="10" t="n">
        <f aca="false">BN100</f>
        <v>0</v>
      </c>
      <c r="BO152" s="10" t="n">
        <f aca="false">BO100</f>
        <v>0</v>
      </c>
      <c r="BP152" s="10" t="n">
        <f aca="false">BP100</f>
        <v>0</v>
      </c>
      <c r="BQ152" s="10" t="n">
        <f aca="false">BQ100</f>
        <v>0</v>
      </c>
      <c r="BR152" s="10" t="n">
        <f aca="false">BR100</f>
        <v>0</v>
      </c>
      <c r="BS152" s="10" t="n">
        <f aca="false">BS100</f>
        <v>0</v>
      </c>
      <c r="BT152" s="10" t="n">
        <f aca="false">BT100</f>
        <v>0</v>
      </c>
      <c r="BU152" s="10" t="n">
        <f aca="false">BU100</f>
        <v>0</v>
      </c>
      <c r="BV152" s="10" t="n">
        <f aca="false">BV100</f>
        <v>0</v>
      </c>
      <c r="BW152" s="10" t="n">
        <f aca="false">BW100</f>
        <v>0</v>
      </c>
      <c r="BX152" s="10" t="n">
        <f aca="false">BX100</f>
        <v>0</v>
      </c>
      <c r="BY152" s="10" t="n">
        <f aca="false">BY100</f>
        <v>0</v>
      </c>
      <c r="BZ152" s="10" t="n">
        <f aca="false">BZ100</f>
        <v>0</v>
      </c>
      <c r="CA152" s="10" t="n">
        <f aca="false">CA100</f>
        <v>0</v>
      </c>
      <c r="CB152" s="10" t="n">
        <f aca="false">CB100</f>
        <v>0</v>
      </c>
      <c r="CC152" s="10" t="n">
        <f aca="false">CC100</f>
        <v>0</v>
      </c>
      <c r="CD152" s="10" t="n">
        <f aca="false">CD100</f>
        <v>0</v>
      </c>
      <c r="CE152" s="10" t="n">
        <f aca="false">CE100</f>
        <v>0</v>
      </c>
      <c r="CF152" s="10" t="n">
        <f aca="false">CF100</f>
        <v>0</v>
      </c>
      <c r="CG152" s="10" t="n">
        <f aca="false">CG100</f>
        <v>0</v>
      </c>
      <c r="CH152" s="10" t="n">
        <f aca="false">CH100</f>
        <v>0</v>
      </c>
      <c r="CI152" s="25"/>
      <c r="CJ152" s="56"/>
      <c r="CK152" s="56"/>
    </row>
    <row r="153" customFormat="false" ht="15" hidden="false" customHeight="true" outlineLevel="0" collapsed="false">
      <c r="A153" s="9" t="s">
        <v>169</v>
      </c>
      <c r="B153" s="24"/>
      <c r="C153" s="10" t="n">
        <f aca="false">C106</f>
        <v>0</v>
      </c>
      <c r="D153" s="10" t="n">
        <f aca="false">D106</f>
        <v>0</v>
      </c>
      <c r="E153" s="10" t="n">
        <f aca="false">E106</f>
        <v>0</v>
      </c>
      <c r="F153" s="10" t="n">
        <f aca="false">F106</f>
        <v>0</v>
      </c>
      <c r="G153" s="10" t="n">
        <f aca="false">G106</f>
        <v>0</v>
      </c>
      <c r="H153" s="10" t="n">
        <f aca="false">H106</f>
        <v>0</v>
      </c>
      <c r="I153" s="10" t="n">
        <f aca="false">I106</f>
        <v>0</v>
      </c>
      <c r="J153" s="10" t="n">
        <f aca="false">J106</f>
        <v>0</v>
      </c>
      <c r="K153" s="10" t="n">
        <f aca="false">K106</f>
        <v>0</v>
      </c>
      <c r="L153" s="10" t="n">
        <f aca="false">L106</f>
        <v>0</v>
      </c>
      <c r="M153" s="10" t="n">
        <f aca="false">M106</f>
        <v>-250000</v>
      </c>
      <c r="N153" s="10" t="n">
        <f aca="false">N106</f>
        <v>0</v>
      </c>
      <c r="O153" s="10" t="n">
        <f aca="false">O106</f>
        <v>0</v>
      </c>
      <c r="P153" s="10" t="n">
        <f aca="false">P106</f>
        <v>0</v>
      </c>
      <c r="Q153" s="10" t="n">
        <f aca="false">Q106</f>
        <v>0</v>
      </c>
      <c r="R153" s="10" t="n">
        <f aca="false">R106</f>
        <v>0</v>
      </c>
      <c r="S153" s="10" t="n">
        <f aca="false">S106</f>
        <v>0</v>
      </c>
      <c r="T153" s="10" t="n">
        <f aca="false">T106</f>
        <v>0</v>
      </c>
      <c r="U153" s="10" t="n">
        <f aca="false">U106</f>
        <v>0</v>
      </c>
      <c r="V153" s="10" t="n">
        <f aca="false">V106</f>
        <v>0</v>
      </c>
      <c r="W153" s="10" t="n">
        <f aca="false">W106</f>
        <v>0</v>
      </c>
      <c r="X153" s="10" t="n">
        <f aca="false">X106</f>
        <v>0</v>
      </c>
      <c r="Y153" s="10" t="n">
        <f aca="false">Y106</f>
        <v>-250000</v>
      </c>
      <c r="Z153" s="10" t="n">
        <f aca="false">Z106</f>
        <v>0</v>
      </c>
      <c r="AA153" s="10" t="n">
        <f aca="false">AA106</f>
        <v>0</v>
      </c>
      <c r="AB153" s="10" t="n">
        <f aca="false">AB106</f>
        <v>0</v>
      </c>
      <c r="AC153" s="10" t="n">
        <f aca="false">AC106</f>
        <v>0</v>
      </c>
      <c r="AD153" s="10" t="n">
        <f aca="false">AD106</f>
        <v>0</v>
      </c>
      <c r="AE153" s="10" t="n">
        <f aca="false">AE106</f>
        <v>0</v>
      </c>
      <c r="AF153" s="10" t="n">
        <f aca="false">AF106</f>
        <v>0</v>
      </c>
      <c r="AG153" s="10" t="n">
        <f aca="false">AG106</f>
        <v>0</v>
      </c>
      <c r="AH153" s="10" t="n">
        <f aca="false">AH106</f>
        <v>0</v>
      </c>
      <c r="AI153" s="10" t="n">
        <f aca="false">AI106</f>
        <v>0</v>
      </c>
      <c r="AJ153" s="10" t="n">
        <f aca="false">AJ106</f>
        <v>0</v>
      </c>
      <c r="AK153" s="10" t="n">
        <f aca="false">AK106</f>
        <v>-250000</v>
      </c>
      <c r="AL153" s="10" t="n">
        <f aca="false">AL106</f>
        <v>0</v>
      </c>
      <c r="AM153" s="10" t="n">
        <f aca="false">AM106</f>
        <v>0</v>
      </c>
      <c r="AN153" s="10" t="n">
        <f aca="false">AN106</f>
        <v>0</v>
      </c>
      <c r="AO153" s="10" t="n">
        <f aca="false">AO106</f>
        <v>0</v>
      </c>
      <c r="AP153" s="10" t="n">
        <f aca="false">AP106</f>
        <v>0</v>
      </c>
      <c r="AQ153" s="10" t="n">
        <f aca="false">AQ106</f>
        <v>0</v>
      </c>
      <c r="AR153" s="10" t="n">
        <f aca="false">AR106</f>
        <v>0</v>
      </c>
      <c r="AS153" s="10" t="n">
        <f aca="false">AS106</f>
        <v>0</v>
      </c>
      <c r="AT153" s="10" t="n">
        <f aca="false">AT106</f>
        <v>0</v>
      </c>
      <c r="AU153" s="10" t="n">
        <f aca="false">AU106</f>
        <v>0</v>
      </c>
      <c r="AV153" s="10" t="n">
        <f aca="false">AV106</f>
        <v>0</v>
      </c>
      <c r="AW153" s="10" t="n">
        <f aca="false">AW106</f>
        <v>0</v>
      </c>
      <c r="AX153" s="10" t="n">
        <f aca="false">AX106</f>
        <v>0</v>
      </c>
      <c r="AY153" s="10" t="n">
        <f aca="false">AY106</f>
        <v>0</v>
      </c>
      <c r="AZ153" s="10" t="n">
        <f aca="false">AZ106</f>
        <v>0</v>
      </c>
      <c r="BA153" s="10" t="n">
        <f aca="false">BA106</f>
        <v>0</v>
      </c>
      <c r="BB153" s="10" t="n">
        <f aca="false">BB106</f>
        <v>0</v>
      </c>
      <c r="BC153" s="10" t="n">
        <f aca="false">BC106</f>
        <v>0</v>
      </c>
      <c r="BD153" s="10" t="n">
        <f aca="false">BD106</f>
        <v>0</v>
      </c>
      <c r="BE153" s="10" t="n">
        <f aca="false">BE106</f>
        <v>0</v>
      </c>
      <c r="BF153" s="10" t="n">
        <f aca="false">BF106</f>
        <v>0</v>
      </c>
      <c r="BG153" s="10" t="n">
        <f aca="false">BG106</f>
        <v>0</v>
      </c>
      <c r="BH153" s="10" t="n">
        <f aca="false">BH106</f>
        <v>0</v>
      </c>
      <c r="BI153" s="10" t="n">
        <f aca="false">BI106</f>
        <v>0</v>
      </c>
      <c r="BJ153" s="10" t="n">
        <f aca="false">BJ106</f>
        <v>0</v>
      </c>
      <c r="BK153" s="10" t="n">
        <f aca="false">BK106</f>
        <v>0</v>
      </c>
      <c r="BL153" s="10" t="n">
        <f aca="false">BL106</f>
        <v>0</v>
      </c>
      <c r="BM153" s="10" t="n">
        <f aca="false">BM106</f>
        <v>0</v>
      </c>
      <c r="BN153" s="10" t="n">
        <f aca="false">BN106</f>
        <v>0</v>
      </c>
      <c r="BO153" s="10" t="n">
        <f aca="false">BO106</f>
        <v>0</v>
      </c>
      <c r="BP153" s="10" t="n">
        <f aca="false">BP106</f>
        <v>0</v>
      </c>
      <c r="BQ153" s="10" t="n">
        <f aca="false">BQ106</f>
        <v>0</v>
      </c>
      <c r="BR153" s="10" t="n">
        <f aca="false">BR106</f>
        <v>0</v>
      </c>
      <c r="BS153" s="10" t="n">
        <f aca="false">BS106</f>
        <v>0</v>
      </c>
      <c r="BT153" s="10" t="n">
        <f aca="false">BT106</f>
        <v>0</v>
      </c>
      <c r="BU153" s="10" t="n">
        <f aca="false">BU106</f>
        <v>0</v>
      </c>
      <c r="BV153" s="10" t="n">
        <f aca="false">BV106</f>
        <v>0</v>
      </c>
      <c r="BW153" s="10" t="n">
        <f aca="false">BW106</f>
        <v>0</v>
      </c>
      <c r="BX153" s="10" t="n">
        <f aca="false">BX106</f>
        <v>0</v>
      </c>
      <c r="BY153" s="10" t="n">
        <f aca="false">BY106</f>
        <v>0</v>
      </c>
      <c r="BZ153" s="10" t="n">
        <f aca="false">BZ106</f>
        <v>0</v>
      </c>
      <c r="CA153" s="10" t="n">
        <f aca="false">CA106</f>
        <v>0</v>
      </c>
      <c r="CB153" s="10" t="n">
        <f aca="false">CB106</f>
        <v>0</v>
      </c>
      <c r="CC153" s="10" t="n">
        <f aca="false">CC106</f>
        <v>0</v>
      </c>
      <c r="CD153" s="10" t="n">
        <f aca="false">CD106</f>
        <v>0</v>
      </c>
      <c r="CE153" s="10" t="n">
        <f aca="false">CE106</f>
        <v>0</v>
      </c>
      <c r="CF153" s="10" t="n">
        <f aca="false">CF106</f>
        <v>0</v>
      </c>
      <c r="CG153" s="10" t="n">
        <f aca="false">CG106</f>
        <v>0</v>
      </c>
      <c r="CH153" s="10" t="n">
        <f aca="false">CH106</f>
        <v>0</v>
      </c>
      <c r="CI153" s="25"/>
      <c r="CJ153" s="56"/>
      <c r="CK153" s="56"/>
    </row>
    <row r="154" customFormat="false" ht="15" hidden="false" customHeight="true" outlineLevel="0" collapsed="false">
      <c r="A154" s="9" t="s">
        <v>170</v>
      </c>
      <c r="B154" s="24"/>
      <c r="C154" s="10" t="n">
        <v>0</v>
      </c>
      <c r="D154" s="10" t="n">
        <v>0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n">
        <v>0</v>
      </c>
      <c r="AW154" s="10" t="n">
        <v>0</v>
      </c>
      <c r="AX154" s="10" t="n">
        <v>0</v>
      </c>
      <c r="AY154" s="10" t="n">
        <v>0</v>
      </c>
      <c r="AZ154" s="10" t="n">
        <v>0</v>
      </c>
      <c r="BA154" s="10" t="n">
        <v>0</v>
      </c>
      <c r="BB154" s="10" t="n">
        <v>0</v>
      </c>
      <c r="BC154" s="10" t="n">
        <v>0</v>
      </c>
      <c r="BD154" s="10" t="n">
        <v>0</v>
      </c>
      <c r="BE154" s="10" t="n">
        <v>0</v>
      </c>
      <c r="BF154" s="10" t="n">
        <v>0</v>
      </c>
      <c r="BG154" s="10" t="n">
        <v>0</v>
      </c>
      <c r="BH154" s="10" t="n">
        <v>0</v>
      </c>
      <c r="BI154" s="10" t="n">
        <v>0</v>
      </c>
      <c r="BJ154" s="10" t="n">
        <v>0</v>
      </c>
      <c r="BK154" s="10" t="n">
        <v>0</v>
      </c>
      <c r="BL154" s="10" t="n">
        <v>0</v>
      </c>
      <c r="BM154" s="10" t="n">
        <v>0</v>
      </c>
      <c r="BN154" s="10" t="n">
        <v>0</v>
      </c>
      <c r="BO154" s="10" t="n">
        <v>0</v>
      </c>
      <c r="BP154" s="10" t="n">
        <v>0</v>
      </c>
      <c r="BQ154" s="10" t="n">
        <v>0</v>
      </c>
      <c r="BR154" s="10" t="n">
        <v>0</v>
      </c>
      <c r="BS154" s="10" t="n">
        <v>0</v>
      </c>
      <c r="BT154" s="10" t="n">
        <v>0</v>
      </c>
      <c r="BU154" s="10" t="n">
        <v>0</v>
      </c>
      <c r="BV154" s="10" t="n">
        <v>0</v>
      </c>
      <c r="BW154" s="10" t="n">
        <v>0</v>
      </c>
      <c r="BX154" s="10" t="n">
        <v>0</v>
      </c>
      <c r="BY154" s="10" t="n">
        <v>0</v>
      </c>
      <c r="BZ154" s="10" t="n">
        <v>0</v>
      </c>
      <c r="CA154" s="10" t="n">
        <v>0</v>
      </c>
      <c r="CB154" s="10" t="n">
        <v>0</v>
      </c>
      <c r="CC154" s="10" t="n">
        <v>0</v>
      </c>
      <c r="CD154" s="10" t="n">
        <v>0</v>
      </c>
      <c r="CE154" s="10" t="n">
        <v>0</v>
      </c>
      <c r="CF154" s="10" t="n">
        <v>0</v>
      </c>
      <c r="CG154" s="10" t="n">
        <v>0</v>
      </c>
      <c r="CH154" s="10" t="n">
        <v>0</v>
      </c>
      <c r="CI154" s="25"/>
      <c r="CJ154" s="56"/>
      <c r="CK154" s="56"/>
    </row>
    <row r="155" customFormat="false" ht="15" hidden="false" customHeight="true" outlineLevel="0" collapsed="false">
      <c r="A155" s="59" t="s">
        <v>42</v>
      </c>
      <c r="B155" s="60"/>
      <c r="C155" s="61" t="n">
        <f aca="false">C150+C151+C152+C153+C154</f>
        <v>375681.156666667</v>
      </c>
      <c r="D155" s="61" t="n">
        <f aca="false">D150+D151+D152+D153+D154</f>
        <v>299731.153333333</v>
      </c>
      <c r="E155" s="61" t="n">
        <f aca="false">E150+E151+E152+E153+E154</f>
        <v>223781.15</v>
      </c>
      <c r="F155" s="61" t="n">
        <f aca="false">F150+F151+F152+F153+F154</f>
        <v>124831.146666667</v>
      </c>
      <c r="G155" s="61" t="n">
        <f aca="false">G150+G151+G152+G153+G154</f>
        <v>48881.1433333334</v>
      </c>
      <c r="H155" s="61" t="n">
        <f aca="false">H150+H151+H152+H153+H154</f>
        <v>-27902.19</v>
      </c>
      <c r="I155" s="61" t="n">
        <f aca="false">I150+I151+I152+I153+I154</f>
        <v>-234685.523333333</v>
      </c>
      <c r="J155" s="61" t="n">
        <f aca="false">J150+J151+J152+J153+J154</f>
        <v>-450843.856666667</v>
      </c>
      <c r="K155" s="61" t="n">
        <f aca="false">K150+K151+K152+K153+K154</f>
        <v>-688002.19</v>
      </c>
      <c r="L155" s="61" t="n">
        <f aca="false">L150+L151+L152+L153+L154</f>
        <v>-892028.692933333</v>
      </c>
      <c r="M155" s="61" t="n">
        <f aca="false">M150+M151+M152+M153+M154</f>
        <v>-1346055.19586667</v>
      </c>
      <c r="N155" s="61" t="n">
        <f aca="false">N150+N151+N152+N153+N154</f>
        <v>-1550081.6988</v>
      </c>
      <c r="O155" s="61" t="n">
        <f aca="false">O150+O151+O152+O153+O154</f>
        <v>-1756499.4934</v>
      </c>
      <c r="P155" s="61" t="n">
        <f aca="false">P150+P151+P152+P153+P154</f>
        <v>-1962917.288</v>
      </c>
      <c r="Q155" s="61" t="n">
        <f aca="false">Q150+Q151+Q152+Q153+Q154</f>
        <v>-2169335.0826</v>
      </c>
      <c r="R155" s="61" t="n">
        <f aca="false">R150+R151+R152+R153+R154</f>
        <v>-2419047.2648</v>
      </c>
      <c r="S155" s="61" t="n">
        <f aca="false">S150+S151+S152+S153+S154</f>
        <v>-2628727.1846</v>
      </c>
      <c r="T155" s="61" t="n">
        <f aca="false">T150+T151+T152+T153+T154</f>
        <v>-2821834.842</v>
      </c>
      <c r="U155" s="61" t="n">
        <f aca="false">U150+U151+U152+U153+U154</f>
        <v>-2998370.2434</v>
      </c>
      <c r="V155" s="61" t="n">
        <f aca="false">V150+V151+V152+V153+V154</f>
        <v>-3158333.376</v>
      </c>
      <c r="W155" s="61" t="n">
        <f aca="false">W150+W151+W152+W153+W154</f>
        <v>-3201738.49588545</v>
      </c>
      <c r="X155" s="61" t="n">
        <f aca="false">X150+X151+X152+X153+X154</f>
        <v>-3198557.11648545</v>
      </c>
      <c r="Y155" s="61" t="n">
        <f aca="false">Y150+Y151+Y152+Y153+Y154</f>
        <v>-3428803.47468545</v>
      </c>
      <c r="Z155" s="61" t="n">
        <f aca="false">Z150+Z151+Z152+Z153+Z154</f>
        <v>-3335102.56408545</v>
      </c>
      <c r="AA155" s="61" t="n">
        <f aca="false">AA150+AA151+AA152+AA153+AA154</f>
        <v>-3284643.51498545</v>
      </c>
      <c r="AB155" s="61" t="n">
        <f aca="false">AB150+AB151+AB152+AB153+AB154</f>
        <v>-3217612.19708545</v>
      </c>
      <c r="AC155" s="61" t="n">
        <f aca="false">AC150+AC151+AC152+AC153+AC154</f>
        <v>-3047801.39918544</v>
      </c>
      <c r="AD155" s="61" t="n">
        <f aca="false">AD150+AD151+AD152+AD153+AD154</f>
        <v>-3016458.70528545</v>
      </c>
      <c r="AE155" s="61" t="n">
        <f aca="false">AE150+AE151+AE152+AE153+AE154</f>
        <v>-2960686.25458545</v>
      </c>
      <c r="AF155" s="61" t="n">
        <f aca="false">AF150+AF151+AF152+AF153+AF154</f>
        <v>-2904413.25988545</v>
      </c>
      <c r="AG155" s="61" t="n">
        <f aca="false">AG150+AG151+AG152+AG153+AG154</f>
        <v>-2857139.71478544</v>
      </c>
      <c r="AH155" s="61" t="n">
        <f aca="false">AH150+AH151+AH152+AH153+AH154</f>
        <v>-2809365.62568544</v>
      </c>
      <c r="AI155" s="61" t="n">
        <f aca="false">AI150+AI151+AI152+AI153+AI154</f>
        <v>-2766367.12378544</v>
      </c>
      <c r="AJ155" s="61" t="n">
        <f aca="false">AJ150+AJ151+AJ152+AJ153+AJ154</f>
        <v>-2717591.92748544</v>
      </c>
      <c r="AK155" s="61" t="n">
        <f aca="false">AK150+AK151+AK152+AK153+AK154</f>
        <v>-2934888.44318544</v>
      </c>
      <c r="AL155" s="61" t="n">
        <f aca="false">AL150+AL151+AL152+AL153+AL154</f>
        <v>-2918256.67088544</v>
      </c>
      <c r="AM155" s="61" t="n">
        <f aca="false">AM150+AM151+AM152+AM153+AM154</f>
        <v>-2920184.51683544</v>
      </c>
      <c r="AN155" s="61" t="n">
        <f aca="false">AN150+AN151+AN152+AN153+AN154</f>
        <v>-2938184.06838544</v>
      </c>
      <c r="AO155" s="61" t="n">
        <f aca="false">AO150+AO151+AO152+AO153+AO154</f>
        <v>-2972255.33193544</v>
      </c>
      <c r="AP155" s="61" t="n">
        <f aca="false">AP150+AP151+AP152+AP153+AP154</f>
        <v>-3046806.09788544</v>
      </c>
      <c r="AQ155" s="61" t="n">
        <f aca="false">AQ150+AQ151+AQ152+AQ153+AQ154</f>
        <v>-3113020.78543544</v>
      </c>
      <c r="AR155" s="61" t="n">
        <f aca="false">AR150+AR151+AR152+AR153+AR154</f>
        <v>-3195307.18498544</v>
      </c>
      <c r="AS155" s="61" t="n">
        <f aca="false">AS150+AS151+AS152+AS153+AS154</f>
        <v>-3225890.01333544</v>
      </c>
      <c r="AT155" s="61" t="n">
        <f aca="false">AT150+AT151+AT152+AT153+AT154</f>
        <v>-3273045.09768544</v>
      </c>
      <c r="AU155" s="61" t="n">
        <f aca="false">AU150+AU151+AU152+AU153+AU154</f>
        <v>-3375129.51803544</v>
      </c>
      <c r="AV155" s="61" t="n">
        <f aca="false">AV150+AV151+AV152+AV153+AV154</f>
        <v>-3455429.12078544</v>
      </c>
      <c r="AW155" s="61" t="n">
        <f aca="false">AW150+AW151+AW152+AW153+AW154</f>
        <v>-3536229.28033544</v>
      </c>
      <c r="AX155" s="61" t="n">
        <f aca="false">AX150+AX151+AX152+AX153+AX154</f>
        <v>-3617529.98388544</v>
      </c>
      <c r="AY155" s="61" t="n">
        <f aca="false">AY150+AY151+AY152+AY153+AY154</f>
        <v>-3701868.89568245</v>
      </c>
      <c r="AZ155" s="61" t="n">
        <f aca="false">AZ150+AZ151+AZ152+AZ153+AZ154</f>
        <v>-3786708.35787945</v>
      </c>
      <c r="BA155" s="61" t="n">
        <f aca="false">BA150+BA151+BA152+BA153+BA154</f>
        <v>-3872048.37047644</v>
      </c>
      <c r="BB155" s="61" t="n">
        <f aca="false">BB150+BB151+BB152+BB153+BB154</f>
        <v>-3982784.87315345</v>
      </c>
      <c r="BC155" s="61" t="n">
        <f aca="false">BC150+BC151+BC152+BC153+BC154</f>
        <v>-4069125.98655044</v>
      </c>
      <c r="BD155" s="61" t="n">
        <f aca="false">BD150+BD151+BD152+BD153+BD154</f>
        <v>-4155967.65034744</v>
      </c>
      <c r="BE155" s="61" t="n">
        <f aca="false">BE150+BE151+BE152+BE153+BE154</f>
        <v>-4243309.86454445</v>
      </c>
      <c r="BF155" s="61" t="n">
        <f aca="false">BF150+BF151+BF152+BF153+BF154</f>
        <v>-4331152.62914144</v>
      </c>
      <c r="BG155" s="61" t="n">
        <f aca="false">BG150+BG151+BG152+BG153+BG154</f>
        <v>-4442227.01309845</v>
      </c>
      <c r="BH155" s="61" t="n">
        <f aca="false">BH150+BH151+BH152+BH153+BH154</f>
        <v>-4501870.07849545</v>
      </c>
      <c r="BI155" s="61" t="n">
        <f aca="false">BI150+BI151+BI152+BI153+BI154</f>
        <v>-4562013.69429245</v>
      </c>
      <c r="BJ155" s="61" t="n">
        <f aca="false">BJ150+BJ151+BJ152+BJ153+BJ154</f>
        <v>-4554882.57088945</v>
      </c>
      <c r="BK155" s="61" t="n">
        <f aca="false">BK150+BK151+BK152+BK153+BK154</f>
        <v>-4686891.53209039</v>
      </c>
      <c r="BL155" s="61" t="n">
        <f aca="false">BL150+BL151+BL152+BL153+BL154</f>
        <v>-4818900.49329133</v>
      </c>
      <c r="BM155" s="61" t="n">
        <f aca="false">BM150+BM151+BM152+BM153+BM154</f>
        <v>-4950909.45449227</v>
      </c>
      <c r="BN155" s="61" t="n">
        <f aca="false">BN150+BN151+BN152+BN153+BN154</f>
        <v>-5108312.27416681</v>
      </c>
      <c r="BO155" s="61" t="n">
        <f aca="false">BO150+BO151+BO152+BO153+BO154</f>
        <v>-5240321.23536775</v>
      </c>
      <c r="BP155" s="61" t="n">
        <f aca="false">BP150+BP151+BP152+BP153+BP154</f>
        <v>-5320816.67656869</v>
      </c>
      <c r="BQ155" s="61" t="n">
        <f aca="false">BQ150+BQ151+BQ152+BQ153+BQ154</f>
        <v>-5452825.63776963</v>
      </c>
      <c r="BR155" s="61" t="n">
        <f aca="false">BR150+BR151+BR152+BR153+BR154</f>
        <v>-5584834.59897057</v>
      </c>
      <c r="BS155" s="61" t="n">
        <f aca="false">BS150+BS151+BS152+BS153+BS154</f>
        <v>-5672267.25703871</v>
      </c>
      <c r="BT155" s="61" t="n">
        <f aca="false">BT150+BT151+BT152+BT153+BT154</f>
        <v>-5804276.21823965</v>
      </c>
      <c r="BU155" s="61" t="n">
        <f aca="false">BU150+BU151+BU152+BU153+BU154</f>
        <v>-5936285.17944059</v>
      </c>
      <c r="BV155" s="61" t="n">
        <f aca="false">BV150+BV151+BV152+BV153+BV154</f>
        <v>-6000532.14064153</v>
      </c>
      <c r="BW155" s="61" t="n">
        <f aca="false">BW150+BW151+BW152+BW153+BW154</f>
        <v>-6135181.28106649</v>
      </c>
      <c r="BX155" s="61" t="n">
        <f aca="false">BX150+BX151+BX152+BX153+BX154</f>
        <v>-6269830.42149145</v>
      </c>
      <c r="BY155" s="61" t="n">
        <f aca="false">BY150+BY151+BY152+BY153+BY154</f>
        <v>-6336717.5619164</v>
      </c>
      <c r="BZ155" s="61" t="n">
        <f aca="false">BZ150+BZ151+BZ152+BZ153+BZ154</f>
        <v>-6497268.43798444</v>
      </c>
      <c r="CA155" s="61" t="n">
        <f aca="false">CA150+CA151+CA152+CA153+CA154</f>
        <v>-6631917.57840939</v>
      </c>
      <c r="CB155" s="61" t="n">
        <f aca="false">CB150+CB151+CB152+CB153+CB154</f>
        <v>-6690067.71883435</v>
      </c>
      <c r="CC155" s="61" t="n">
        <f aca="false">CC150+CC151+CC152+CC153+CC154</f>
        <v>-6824716.85925931</v>
      </c>
      <c r="CD155" s="61" t="n">
        <f aca="false">CD150+CD151+CD152+CD153+CD154</f>
        <v>-6959365.99968427</v>
      </c>
      <c r="CE155" s="61" t="n">
        <f aca="false">CE150+CE151+CE152+CE153+CE154</f>
        <v>-7041165.55091377</v>
      </c>
      <c r="CF155" s="61" t="n">
        <f aca="false">CF150+CF151+CF152+CF153+CF154</f>
        <v>-7175814.69133873</v>
      </c>
      <c r="CG155" s="61" t="n">
        <f aca="false">CG150+CG151+CG152+CG153+CG154</f>
        <v>-7310463.83176369</v>
      </c>
      <c r="CH155" s="61" t="n">
        <f aca="false">CH150+CH151+CH152+CH153+CH154</f>
        <v>-7362005.94558217</v>
      </c>
      <c r="CI155" s="25"/>
      <c r="CJ155" s="56"/>
      <c r="CK155" s="56"/>
    </row>
    <row r="156" customFormat="false" ht="15" hidden="false" customHeight="tru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5"/>
      <c r="CJ156" s="56"/>
      <c r="CK156" s="56"/>
    </row>
    <row r="157" customFormat="false" ht="15" hidden="false" customHeight="true" outlineLevel="0" collapsed="false">
      <c r="A157" s="8" t="s">
        <v>171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25"/>
      <c r="CJ157" s="56"/>
      <c r="CK157" s="56"/>
    </row>
    <row r="158" customFormat="false" ht="15" hidden="false" customHeight="true" outlineLevel="0" collapsed="false">
      <c r="A158" s="9" t="s">
        <v>172</v>
      </c>
      <c r="B158" s="24"/>
      <c r="C158" s="10" t="n">
        <f aca="false">C145+C150</f>
        <v>2103546.85</v>
      </c>
      <c r="D158" s="10" t="n">
        <f aca="false">D145+D150</f>
        <v>2101444.27259171</v>
      </c>
      <c r="E158" s="10" t="n">
        <f aca="false">E145+E150</f>
        <v>2052760.44518341</v>
      </c>
      <c r="F158" s="10" t="n">
        <f aca="false">F145+F150</f>
        <v>1965526.61777512</v>
      </c>
      <c r="G158" s="10" t="n">
        <f aca="false">G145+G150</f>
        <v>2344612.2678941</v>
      </c>
      <c r="H158" s="10" t="n">
        <f aca="false">H145+H150</f>
        <v>2420137.71321308</v>
      </c>
      <c r="I158" s="10" t="n">
        <f aca="false">I145+I150</f>
        <v>2494829.82853206</v>
      </c>
      <c r="J158" s="10" t="n">
        <f aca="false">J145+J150</f>
        <v>2805011.2697378</v>
      </c>
      <c r="K158" s="10" t="n">
        <f aca="false">K145+K150</f>
        <v>3144121.61189051</v>
      </c>
      <c r="L158" s="10" t="n">
        <f aca="false">L145+L150</f>
        <v>3239993.07604322</v>
      </c>
      <c r="M158" s="10" t="n">
        <f aca="false">M145+M150</f>
        <v>3368996.37059593</v>
      </c>
      <c r="N158" s="10" t="n">
        <f aca="false">N145+N150</f>
        <v>3247999.66514864</v>
      </c>
      <c r="O158" s="10" t="n">
        <f aca="false">O145+O150</f>
        <v>3377002.95970135</v>
      </c>
      <c r="P158" s="10" t="n">
        <f aca="false">P145+P150</f>
        <v>2874535.34809952</v>
      </c>
      <c r="Q158" s="10" t="n">
        <f aca="false">Q145+Q150</f>
        <v>3164236.21149769</v>
      </c>
      <c r="R158" s="10" t="n">
        <f aca="false">R145+R150</f>
        <v>3453937.07489585</v>
      </c>
      <c r="S158" s="10" t="n">
        <f aca="false">S145+S150</f>
        <v>3509694.16433038</v>
      </c>
      <c r="T158" s="10" t="n">
        <f aca="false">T145+T150</f>
        <v>3479548.01616491</v>
      </c>
      <c r="U158" s="10" t="n">
        <f aca="false">U145+U150</f>
        <v>3465974.13039944</v>
      </c>
      <c r="V158" s="10" t="n">
        <f aca="false">V145+V150</f>
        <v>3468972.50063397</v>
      </c>
      <c r="W158" s="10" t="n">
        <f aca="false">W145+W150</f>
        <v>3458239.98177376</v>
      </c>
      <c r="X158" s="10" t="n">
        <f aca="false">X145+X150</f>
        <v>3564065.47562811</v>
      </c>
      <c r="Y158" s="10" t="n">
        <f aca="false">Y145+Y150</f>
        <v>3716477.4687679</v>
      </c>
      <c r="Z158" s="10" t="n">
        <f aca="false">Z145+Z150</f>
        <v>3635461.72430769</v>
      </c>
      <c r="AA158" s="10" t="n">
        <f aca="false">AA145+AA150</f>
        <v>3878393.24864749</v>
      </c>
      <c r="AB158" s="10" t="n">
        <f aca="false">AB145+AB150</f>
        <v>4069539.21057328</v>
      </c>
      <c r="AC158" s="10" t="n">
        <f aca="false">AC145+AC150</f>
        <v>4195763.58962443</v>
      </c>
      <c r="AD158" s="10" t="n">
        <f aca="false">AD145+AD150</f>
        <v>3857707.72200892</v>
      </c>
      <c r="AE158" s="10" t="n">
        <f aca="false">AE145+AE150</f>
        <v>4104889.8103934</v>
      </c>
      <c r="AF158" s="10" t="n">
        <f aca="false">AF145+AF150</f>
        <v>4376501.65557789</v>
      </c>
      <c r="AG158" s="10" t="n">
        <f aca="false">AG145+AG150</f>
        <v>4648614.04476237</v>
      </c>
      <c r="AH158" s="10" t="n">
        <f aca="false">AH145+AH150</f>
        <v>4911726.98434685</v>
      </c>
      <c r="AI158" s="10" t="n">
        <f aca="false">AI145+AI150</f>
        <v>5074661.46698437</v>
      </c>
      <c r="AJ158" s="10" t="n">
        <f aca="false">AJ145+AJ150</f>
        <v>5232820.36242188</v>
      </c>
      <c r="AK158" s="10" t="n">
        <f aca="false">AK145+AK150</f>
        <v>5233996.67953213</v>
      </c>
      <c r="AL158" s="10" t="n">
        <f aca="false">AL145+AL150</f>
        <v>4969101.28464237</v>
      </c>
      <c r="AM158" s="10" t="n">
        <f aca="false">AM145+AM150</f>
        <v>4938134.17775261</v>
      </c>
      <c r="AN158" s="10" t="n">
        <f aca="false">AN145+AN150</f>
        <v>4819874.38146845</v>
      </c>
      <c r="AO158" s="10" t="n">
        <f aca="false">AO145+AO150</f>
        <v>4685542.87958429</v>
      </c>
      <c r="AP158" s="10" t="n">
        <f aca="false">AP145+AP150</f>
        <v>4535139.66570014</v>
      </c>
      <c r="AQ158" s="10" t="n">
        <f aca="false">AQ145+AQ150</f>
        <v>4344256.94941598</v>
      </c>
      <c r="AR158" s="10" t="n">
        <f aca="false">AR145+AR150</f>
        <v>4161710.31153182</v>
      </c>
      <c r="AS158" s="10" t="n">
        <f aca="false">AS145+AS150</f>
        <v>3963091.96164766</v>
      </c>
      <c r="AT158" s="10" t="n">
        <f aca="false">AT145+AT150</f>
        <v>3644712.14508471</v>
      </c>
      <c r="AU158" s="10" t="n">
        <f aca="false">AU145+AU150</f>
        <v>3309760.07252177</v>
      </c>
      <c r="AV158" s="10" t="n">
        <f aca="false">AV145+AV150</f>
        <v>2919878.66395882</v>
      </c>
      <c r="AW158" s="10" t="n">
        <f aca="false">AW145+AW150</f>
        <v>2551782.07299587</v>
      </c>
      <c r="AX158" s="10" t="n">
        <f aca="false">AX145+AX150</f>
        <v>2183184.92523293</v>
      </c>
      <c r="AY158" s="10" t="n">
        <f aca="false">AY145+AY150</f>
        <v>1814087.23346998</v>
      </c>
      <c r="AZ158" s="10" t="n">
        <f aca="false">AZ145+AZ150</f>
        <v>1433062.46702911</v>
      </c>
      <c r="BA158" s="10" t="n">
        <f aca="false">BA145+BA150</f>
        <v>1051537.15018823</v>
      </c>
      <c r="BB158" s="10" t="n">
        <f aca="false">BB145+BB150</f>
        <v>669511.282947362</v>
      </c>
      <c r="BC158" s="10" t="n">
        <f aca="false">BC145+BC150</f>
        <v>262088.92562649</v>
      </c>
      <c r="BD158" s="10" t="n">
        <f aca="false">BD145+BD150</f>
        <v>-120938.042414382</v>
      </c>
      <c r="BE158" s="10" t="n">
        <f aca="false">BE145+BE150</f>
        <v>-504465.560855254</v>
      </c>
      <c r="BF158" s="10" t="n">
        <f aca="false">BF145+BF150</f>
        <v>-888493.629696126</v>
      </c>
      <c r="BG158" s="10" t="n">
        <f aca="false">BG145+BG150</f>
        <v>-1273022.248937</v>
      </c>
      <c r="BH158" s="10" t="n">
        <f aca="false">BH145+BH150</f>
        <v>-1837428.8208712</v>
      </c>
      <c r="BI158" s="10" t="n">
        <f aca="false">BI145+BI150</f>
        <v>-2350404.07424541</v>
      </c>
      <c r="BJ158" s="10" t="n">
        <f aca="false">BJ145+BJ150</f>
        <v>-2863879.87801961</v>
      </c>
      <c r="BK158" s="10" t="n">
        <f aca="false">BK145+BK150</f>
        <v>-3310080.94259382</v>
      </c>
      <c r="BL158" s="10" t="n">
        <f aca="false">BL145+BL150</f>
        <v>-3904488.73553151</v>
      </c>
      <c r="BM158" s="10" t="n">
        <f aca="false">BM145+BM150</f>
        <v>-4498896.5284692</v>
      </c>
      <c r="BN158" s="10" t="n">
        <f aca="false">BN145+BN150</f>
        <v>-5093304.32140689</v>
      </c>
      <c r="BO158" s="10" t="n">
        <f aca="false">BO145+BO150</f>
        <v>-5713105.97281818</v>
      </c>
      <c r="BP158" s="10" t="n">
        <f aca="false">BP145+BP150</f>
        <v>-6307513.76575587</v>
      </c>
      <c r="BQ158" s="10" t="n">
        <f aca="false">BQ145+BQ150</f>
        <v>-6850408.03869356</v>
      </c>
      <c r="BR158" s="10" t="n">
        <f aca="false">BR145+BR150</f>
        <v>-7444815.83163125</v>
      </c>
      <c r="BS158" s="10" t="n">
        <f aca="false">BS145+BS150</f>
        <v>-8039223.62456894</v>
      </c>
      <c r="BT158" s="10" t="n">
        <f aca="false">BT145+BT150</f>
        <v>-8589055.11437383</v>
      </c>
      <c r="BU158" s="10" t="n">
        <f aca="false">BU145+BU150</f>
        <v>-9183462.90731152</v>
      </c>
      <c r="BV158" s="10" t="n">
        <f aca="false">BV145+BV150</f>
        <v>-9777870.70024921</v>
      </c>
      <c r="BW158" s="10" t="n">
        <f aca="false">BW145+BW150</f>
        <v>-10304516.4931869</v>
      </c>
      <c r="BX158" s="10" t="n">
        <f aca="false">BX145+BX150</f>
        <v>-10910812.4419833</v>
      </c>
      <c r="BY158" s="10" t="n">
        <f aca="false">BY145+BY150</f>
        <v>-11517108.3907798</v>
      </c>
      <c r="BZ158" s="10" t="n">
        <f aca="false">BZ145+BZ150</f>
        <v>-12055642.3395762</v>
      </c>
      <c r="CA158" s="10" t="n">
        <f aca="false">CA145+CA150</f>
        <v>-12687840.0240157</v>
      </c>
      <c r="CB158" s="10" t="n">
        <f aca="false">CB145+CB150</f>
        <v>-13294135.9728122</v>
      </c>
      <c r="CC158" s="10" t="n">
        <f aca="false">CC145+CC150</f>
        <v>-13823932.9216086</v>
      </c>
      <c r="CD158" s="10" t="n">
        <f aca="false">CD145+CD150</f>
        <v>-14430228.8704051</v>
      </c>
      <c r="CE158" s="10" t="n">
        <f aca="false">CE145+CE150</f>
        <v>-15036524.8192015</v>
      </c>
      <c r="CF158" s="10" t="n">
        <f aca="false">CF145+CF150</f>
        <v>-15589971.1788025</v>
      </c>
      <c r="CG158" s="10" t="n">
        <f aca="false">CG145+CG150</f>
        <v>-16196267.1275989</v>
      </c>
      <c r="CH158" s="10" t="n">
        <f aca="false">CH145+CH150</f>
        <v>-16802563.0763954</v>
      </c>
      <c r="CI158" s="25"/>
      <c r="CJ158" s="56"/>
      <c r="CK158" s="56"/>
    </row>
    <row r="159" customFormat="false" ht="15" hidden="false" customHeight="true" outlineLevel="0" collapsed="false">
      <c r="A159" s="9" t="s">
        <v>43</v>
      </c>
      <c r="B159" s="24"/>
      <c r="C159" s="10" t="n">
        <v>0</v>
      </c>
      <c r="D159" s="10" t="n">
        <v>0</v>
      </c>
      <c r="E159" s="10" t="n">
        <v>0</v>
      </c>
      <c r="F159" s="10" t="n">
        <v>0</v>
      </c>
      <c r="G159" s="10" t="n">
        <v>0</v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f aca="false">IF((C95+D95+E95+F95+G95+H95+I95+J95+K95)&gt;0,-(C95+D95+E95+F95+G95+H95+I95+J95+K95)*0.3,0)</f>
        <v>-457933.867812966</v>
      </c>
      <c r="O159" s="10" t="n">
        <v>0</v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f aca="false">IF((L95+M95+N95+O95+P95+Q95+R95+S95+T95+U95+V95+W95)&gt;0,-(L95+M95+N95+O95+P95+Q95+R95+S95+T95+U95+V95+W95)*0.3,0)</f>
        <v>-621012.4928611</v>
      </c>
      <c r="AA159" s="10" t="n">
        <v>0</v>
      </c>
      <c r="AB159" s="10" t="n">
        <v>0</v>
      </c>
      <c r="AC159" s="10" t="n">
        <v>0</v>
      </c>
      <c r="AD159" s="10" t="n">
        <v>0</v>
      </c>
      <c r="AE159" s="10" t="n">
        <v>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f aca="false">IF((X95+Y95+Z95+AA95+AB95+AC95+AD95+AE95+AF95+AG95+AH95+AI95)&gt;0,-(X95+Y95+Z95+AA95+AB95+AC95+AD95+AE95+AF95+AG95+AH95+AI95)*0.3,0)</f>
        <v>-575626.466038133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  <c r="AT159" s="10" t="n">
        <v>0</v>
      </c>
      <c r="AU159" s="10" t="n">
        <v>0</v>
      </c>
      <c r="AV159" s="10" t="n">
        <v>0</v>
      </c>
      <c r="AW159" s="10" t="n">
        <v>0</v>
      </c>
      <c r="AX159" s="10" t="n">
        <f aca="false">IF((AJ95+AK95+AL95+AM95+AN95+AO95+AP95+AQ95+AR95+AS95+AT95+AU95)&gt;0,-(AJ95+AK95+AL95+AM95+AN95+AO95+AP95+AQ95+AR95+AS95+AT95+AU95)*0.3,0)</f>
        <v>0</v>
      </c>
      <c r="AY159" s="10" t="n">
        <v>0</v>
      </c>
      <c r="AZ159" s="10" t="n">
        <v>0</v>
      </c>
      <c r="BA159" s="10" t="n">
        <v>0</v>
      </c>
      <c r="BB159" s="10" t="n">
        <v>0</v>
      </c>
      <c r="BC159" s="10" t="n">
        <v>0</v>
      </c>
      <c r="BD159" s="10" t="n">
        <v>0</v>
      </c>
      <c r="BE159" s="10" t="n">
        <v>0</v>
      </c>
      <c r="BF159" s="10" t="n">
        <v>0</v>
      </c>
      <c r="BG159" s="10" t="n">
        <v>0</v>
      </c>
      <c r="BH159" s="10" t="n">
        <v>0</v>
      </c>
      <c r="BI159" s="10" t="n">
        <v>0</v>
      </c>
      <c r="BJ159" s="10" t="n">
        <f aca="false">IF((AV95+AW95+AX95+AY95+AZ95+BA95+BB95+BC95+BD95+BE95+BF95+BG95)&gt;0,-(AV95+AW95+AX95+AY95+AZ95+BA95+BB95+BC95+BD95+BE95+BF95+BG95)*0.3,0)</f>
        <v>0</v>
      </c>
      <c r="BK159" s="10" t="n">
        <v>0</v>
      </c>
      <c r="BL159" s="10" t="n">
        <v>0</v>
      </c>
      <c r="BM159" s="10" t="n">
        <v>0</v>
      </c>
      <c r="BN159" s="10" t="n">
        <v>0</v>
      </c>
      <c r="BO159" s="10" t="n">
        <v>0</v>
      </c>
      <c r="BP159" s="10" t="n">
        <v>0</v>
      </c>
      <c r="BQ159" s="10" t="n">
        <v>0</v>
      </c>
      <c r="BR159" s="10" t="n">
        <v>0</v>
      </c>
      <c r="BS159" s="10" t="n">
        <v>0</v>
      </c>
      <c r="BT159" s="10" t="n">
        <v>0</v>
      </c>
      <c r="BU159" s="10" t="n">
        <v>0</v>
      </c>
      <c r="BV159" s="10" t="n">
        <f aca="false">IF((BH95+BI95+BJ95+BK95+BL95+BM95+BN95+BO95+BP95+BQ95+BR95+BS95)&gt;0,-(BH95+BI95+BJ95+BK95+BL95+BM95+BN95+BO95+BP95+BQ95+BR95+BS95)*0.3,0)</f>
        <v>0</v>
      </c>
      <c r="BW159" s="10" t="n">
        <v>0</v>
      </c>
      <c r="BX159" s="10" t="n">
        <v>0</v>
      </c>
      <c r="BY159" s="10" t="n">
        <v>0</v>
      </c>
      <c r="BZ159" s="10" t="n">
        <v>0</v>
      </c>
      <c r="CA159" s="10" t="n">
        <v>0</v>
      </c>
      <c r="CB159" s="10" t="n">
        <v>0</v>
      </c>
      <c r="CC159" s="10" t="n">
        <v>0</v>
      </c>
      <c r="CD159" s="10" t="n">
        <v>0</v>
      </c>
      <c r="CE159" s="10" t="n">
        <v>0</v>
      </c>
      <c r="CF159" s="10" t="n">
        <v>0</v>
      </c>
      <c r="CG159" s="10" t="n">
        <v>0</v>
      </c>
      <c r="CH159" s="10" t="n">
        <f aca="false">IF((BT95+BU95+BV95+BW95+BX95+BY95+BZ95+CA95+CB95+CC95+CD95+CE95)&gt;0,-(BT95+BU95+BV95+BW95+BX95+BY95+BZ95+CA95+CB95+CC95+CD95+CE95)*0.3,0)</f>
        <v>0</v>
      </c>
      <c r="CI159" s="25"/>
      <c r="CJ159" s="56"/>
      <c r="CK159" s="56"/>
    </row>
    <row r="160" customFormat="false" ht="15" hidden="false" customHeight="true" outlineLevel="0" collapsed="false">
      <c r="A160" s="59" t="s">
        <v>44</v>
      </c>
      <c r="B160" s="60"/>
      <c r="C160" s="61" t="n">
        <f aca="false">C158+C146+C151+C152+C153+C154+C159</f>
        <v>2101444.27259171</v>
      </c>
      <c r="D160" s="61" t="n">
        <f aca="false">D158+D146+D151+D152+D153+D154+D159</f>
        <v>2052760.44518341</v>
      </c>
      <c r="E160" s="61" t="n">
        <f aca="false">E158+E146+E151+E152+E153+E154+E159</f>
        <v>1965526.61777512</v>
      </c>
      <c r="F160" s="61" t="n">
        <f aca="false">F158+F146+F151+F152+F153+F154+F159</f>
        <v>2344612.2678941</v>
      </c>
      <c r="G160" s="61" t="n">
        <f aca="false">G158+G146+G151+G152+G153+G154+G159</f>
        <v>2420137.71321308</v>
      </c>
      <c r="H160" s="61" t="n">
        <f aca="false">H158+H146+H151+H152+H153+H154+H159</f>
        <v>2494829.82853206</v>
      </c>
      <c r="I160" s="61" t="n">
        <f aca="false">I158+I146+I151+I152+I153+I154+I159</f>
        <v>2805011.2697378</v>
      </c>
      <c r="J160" s="61" t="n">
        <f aca="false">J158+J146+J151+J152+J153+J154+J159</f>
        <v>3144121.61189051</v>
      </c>
      <c r="K160" s="61" t="n">
        <f aca="false">K158+K146+K151+K152+K153+K154+K159</f>
        <v>3239993.07604322</v>
      </c>
      <c r="L160" s="61" t="n">
        <f aca="false">L158+L146+L151+L152+L153+L154+L159</f>
        <v>3368996.37059593</v>
      </c>
      <c r="M160" s="61" t="n">
        <f aca="false">M158+M146+M151+M152+M153+M154+M159</f>
        <v>3247999.66514864</v>
      </c>
      <c r="N160" s="61" t="n">
        <f aca="false">N158+N146+N151+N152+N153+N154+N159</f>
        <v>2919069.09188839</v>
      </c>
      <c r="O160" s="61" t="n">
        <f aca="false">O158+O146+O151+O152+O153+O154+O159</f>
        <v>2874535.34809952</v>
      </c>
      <c r="P160" s="61" t="n">
        <f aca="false">P158+P146+P151+P152+P153+P154+P159</f>
        <v>3164236.21149769</v>
      </c>
      <c r="Q160" s="61" t="n">
        <f aca="false">Q158+Q146+Q151+Q152+Q153+Q154+Q159</f>
        <v>3453937.07489585</v>
      </c>
      <c r="R160" s="61" t="n">
        <f aca="false">R158+R146+R151+R152+R153+R154+R159</f>
        <v>3509694.16433038</v>
      </c>
      <c r="S160" s="61" t="n">
        <f aca="false">S158+S146+S151+S152+S153+S154+S159</f>
        <v>3479548.01616491</v>
      </c>
      <c r="T160" s="61" t="n">
        <f aca="false">T158+T146+T151+T152+T153+T154+T159</f>
        <v>3465974.13039944</v>
      </c>
      <c r="U160" s="61" t="n">
        <f aca="false">U158+U146+U151+U152+U153+U154+U159</f>
        <v>3468972.50063397</v>
      </c>
      <c r="V160" s="61" t="n">
        <f aca="false">V158+V146+V151+V152+V153+V154+V159</f>
        <v>3458239.98177376</v>
      </c>
      <c r="W160" s="61" t="n">
        <f aca="false">W158+W146+W151+W152+W153+W154+W159</f>
        <v>3564065.47562811</v>
      </c>
      <c r="X160" s="61" t="n">
        <f aca="false">X158+X146+X151+X152+X153+X154+X159</f>
        <v>3716477.4687679</v>
      </c>
      <c r="Y160" s="61" t="n">
        <f aca="false">Y158+Y146+Y151+Y152+Y153+Y154+Y159</f>
        <v>3635461.72430769</v>
      </c>
      <c r="Z160" s="61" t="n">
        <f aca="false">Z158+Z146+Z151+Z152+Z153+Z154+Z159</f>
        <v>3257380.75578639</v>
      </c>
      <c r="AA160" s="61" t="n">
        <f aca="false">AA158+AA146+AA151+AA152+AA153+AA154+AA159</f>
        <v>4069539.21057328</v>
      </c>
      <c r="AB160" s="61" t="n">
        <f aca="false">AB158+AB146+AB151+AB152+AB153+AB154+AB159</f>
        <v>4195763.58962443</v>
      </c>
      <c r="AC160" s="61" t="n">
        <f aca="false">AC158+AC146+AC151+AC152+AC153+AC154+AC159</f>
        <v>3857707.72200892</v>
      </c>
      <c r="AD160" s="61" t="n">
        <f aca="false">AD158+AD146+AD151+AD152+AD153+AD154+AD159</f>
        <v>4104889.8103934</v>
      </c>
      <c r="AE160" s="61" t="n">
        <f aca="false">AE158+AE146+AE151+AE152+AE153+AE154+AE159</f>
        <v>4376501.65557789</v>
      </c>
      <c r="AF160" s="61" t="n">
        <f aca="false">AF158+AF146+AF151+AF152+AF153+AF154+AF159</f>
        <v>4648614.04476237</v>
      </c>
      <c r="AG160" s="61" t="n">
        <f aca="false">AG158+AG146+AG151+AG152+AG153+AG154+AG159</f>
        <v>4911726.98434685</v>
      </c>
      <c r="AH160" s="61" t="n">
        <f aca="false">AH158+AH146+AH151+AH152+AH153+AH154+AH159</f>
        <v>5074661.46698437</v>
      </c>
      <c r="AI160" s="61" t="n">
        <f aca="false">AI158+AI146+AI151+AI152+AI153+AI154+AI159</f>
        <v>5232820.36242188</v>
      </c>
      <c r="AJ160" s="61" t="n">
        <f aca="false">AJ158+AJ146+AJ151+AJ152+AJ153+AJ154+AJ159</f>
        <v>5233996.67953213</v>
      </c>
      <c r="AK160" s="61" t="n">
        <f aca="false">AK158+AK146+AK151+AK152+AK153+AK154+AK159</f>
        <v>4969101.28464237</v>
      </c>
      <c r="AL160" s="61" t="n">
        <f aca="false">AL158+AL146+AL151+AL152+AL153+AL154+AL159</f>
        <v>4362507.71171448</v>
      </c>
      <c r="AM160" s="61" t="n">
        <f aca="false">AM158+AM146+AM151+AM152+AM153+AM154+AM159</f>
        <v>4819874.38146845</v>
      </c>
      <c r="AN160" s="61" t="n">
        <f aca="false">AN158+AN146+AN151+AN152+AN153+AN154+AN159</f>
        <v>4685542.87958429</v>
      </c>
      <c r="AO160" s="61" t="n">
        <f aca="false">AO158+AO146+AO151+AO152+AO153+AO154+AO159</f>
        <v>4535139.66570014</v>
      </c>
      <c r="AP160" s="61" t="n">
        <f aca="false">AP158+AP146+AP151+AP152+AP153+AP154+AP159</f>
        <v>4344256.94941598</v>
      </c>
      <c r="AQ160" s="61" t="n">
        <f aca="false">AQ158+AQ146+AQ151+AQ152+AQ153+AQ154+AQ159</f>
        <v>4161710.31153182</v>
      </c>
      <c r="AR160" s="61" t="n">
        <f aca="false">AR158+AR146+AR151+AR152+AR153+AR154+AR159</f>
        <v>3963091.96164766</v>
      </c>
      <c r="AS160" s="61" t="n">
        <f aca="false">AS158+AS146+AS151+AS152+AS153+AS154+AS159</f>
        <v>3644712.14508471</v>
      </c>
      <c r="AT160" s="61" t="n">
        <f aca="false">AT158+AT146+AT151+AT152+AT153+AT154+AT159</f>
        <v>3309760.07252177</v>
      </c>
      <c r="AU160" s="61" t="n">
        <f aca="false">AU158+AU146+AU151+AU152+AU153+AU154+AU159</f>
        <v>2919878.66395882</v>
      </c>
      <c r="AV160" s="61" t="n">
        <f aca="false">AV158+AV146+AV151+AV152+AV153+AV154+AV159</f>
        <v>2551782.07299587</v>
      </c>
      <c r="AW160" s="61" t="n">
        <f aca="false">AW158+AW146+AW151+AW152+AW153+AW154+AW159</f>
        <v>2183184.92523293</v>
      </c>
      <c r="AX160" s="61" t="n">
        <f aca="false">AX158+AX146+AX151+AX152+AX153+AX154+AX159</f>
        <v>1814087.23346998</v>
      </c>
      <c r="AY160" s="61" t="n">
        <f aca="false">AY158+AY146+AY151+AY152+AY153+AY154+AY159</f>
        <v>1433062.46702911</v>
      </c>
      <c r="AZ160" s="61" t="n">
        <f aca="false">AZ158+AZ146+AZ151+AZ152+AZ153+AZ154+AZ159</f>
        <v>1051537.15018823</v>
      </c>
      <c r="BA160" s="61" t="n">
        <f aca="false">BA158+BA146+BA151+BA152+BA153+BA154+BA159</f>
        <v>669511.282947362</v>
      </c>
      <c r="BB160" s="61" t="n">
        <f aca="false">BB158+BB146+BB151+BB152+BB153+BB154+BB159</f>
        <v>262088.92562649</v>
      </c>
      <c r="BC160" s="61" t="n">
        <f aca="false">BC158+BC146+BC151+BC152+BC153+BC154+BC159</f>
        <v>-120938.042414382</v>
      </c>
      <c r="BD160" s="61" t="n">
        <f aca="false">BD158+BD146+BD151+BD152+BD153+BD154+BD159</f>
        <v>-504465.560855254</v>
      </c>
      <c r="BE160" s="61" t="n">
        <f aca="false">BE158+BE146+BE151+BE152+BE153+BE154+BE159</f>
        <v>-888493.629696126</v>
      </c>
      <c r="BF160" s="61" t="n">
        <f aca="false">BF158+BF146+BF151+BF152+BF153+BF154+BF159</f>
        <v>-1273022.248937</v>
      </c>
      <c r="BG160" s="61" t="n">
        <f aca="false">BG158+BG146+BG151+BG152+BG153+BG154+BG159</f>
        <v>-1837428.8208712</v>
      </c>
      <c r="BH160" s="61" t="n">
        <f aca="false">BH158+BH146+BH151+BH152+BH153+BH154+BH159</f>
        <v>-2350404.07424541</v>
      </c>
      <c r="BI160" s="61" t="n">
        <f aca="false">BI158+BI146+BI151+BI152+BI153+BI154+BI159</f>
        <v>-2863879.87801961</v>
      </c>
      <c r="BJ160" s="61" t="n">
        <f aca="false">BJ158+BJ146+BJ151+BJ152+BJ153+BJ154+BJ159</f>
        <v>-3310080.94259382</v>
      </c>
      <c r="BK160" s="61" t="n">
        <f aca="false">BK158+BK146+BK151+BK152+BK153+BK154+BK159</f>
        <v>-3904488.73553151</v>
      </c>
      <c r="BL160" s="61" t="n">
        <f aca="false">BL158+BL146+BL151+BL152+BL153+BL154+BL159</f>
        <v>-4498896.5284692</v>
      </c>
      <c r="BM160" s="61" t="n">
        <f aca="false">BM158+BM146+BM151+BM152+BM153+BM154+BM159</f>
        <v>-5093304.32140689</v>
      </c>
      <c r="BN160" s="61" t="n">
        <f aca="false">BN158+BN146+BN151+BN152+BN153+BN154+BN159</f>
        <v>-5713105.97281818</v>
      </c>
      <c r="BO160" s="61" t="n">
        <f aca="false">BO158+BO146+BO151+BO152+BO153+BO154+BO159</f>
        <v>-6307513.76575587</v>
      </c>
      <c r="BP160" s="61" t="n">
        <f aca="false">BP158+BP146+BP151+BP152+BP153+BP154+BP159</f>
        <v>-6850408.03869356</v>
      </c>
      <c r="BQ160" s="61" t="n">
        <f aca="false">BQ158+BQ146+BQ151+BQ152+BQ153+BQ154+BQ159</f>
        <v>-7444815.83163125</v>
      </c>
      <c r="BR160" s="61" t="n">
        <f aca="false">BR158+BR146+BR151+BR152+BR153+BR154+BR159</f>
        <v>-8039223.62456894</v>
      </c>
      <c r="BS160" s="61" t="n">
        <f aca="false">BS158+BS146+BS151+BS152+BS153+BS154+BS159</f>
        <v>-8589055.11437383</v>
      </c>
      <c r="BT160" s="61" t="n">
        <f aca="false">BT158+BT146+BT151+BT152+BT153+BT154+BT159</f>
        <v>-9183462.90731152</v>
      </c>
      <c r="BU160" s="61" t="n">
        <f aca="false">BU158+BU146+BU151+BU152+BU153+BU154+BU159</f>
        <v>-9777870.70024921</v>
      </c>
      <c r="BV160" s="61" t="n">
        <f aca="false">BV158+BV146+BV151+BV152+BV153+BV154+BV159</f>
        <v>-10304516.4931869</v>
      </c>
      <c r="BW160" s="61" t="n">
        <f aca="false">BW158+BW146+BW151+BW152+BW153+BW154+BW159</f>
        <v>-10910812.4419833</v>
      </c>
      <c r="BX160" s="61" t="n">
        <f aca="false">BX158+BX146+BX151+BX152+BX153+BX154+BX159</f>
        <v>-11517108.3907798</v>
      </c>
      <c r="BY160" s="61" t="n">
        <f aca="false">BY158+BY146+BY151+BY152+BY153+BY154+BY159</f>
        <v>-12055642.3395762</v>
      </c>
      <c r="BZ160" s="61" t="n">
        <f aca="false">BZ158+BZ146+BZ151+BZ152+BZ153+BZ154+BZ159</f>
        <v>-12687840.0240157</v>
      </c>
      <c r="CA160" s="61" t="n">
        <f aca="false">CA158+CA146+CA151+CA152+CA153+CA154+CA159</f>
        <v>-13294135.9728122</v>
      </c>
      <c r="CB160" s="61" t="n">
        <f aca="false">CB158+CB146+CB151+CB152+CB153+CB154+CB159</f>
        <v>-13823932.9216086</v>
      </c>
      <c r="CC160" s="61" t="n">
        <f aca="false">CC158+CC146+CC151+CC152+CC153+CC154+CC159</f>
        <v>-14430228.8704051</v>
      </c>
      <c r="CD160" s="61" t="n">
        <f aca="false">CD158+CD146+CD151+CD152+CD153+CD154+CD159</f>
        <v>-15036524.8192015</v>
      </c>
      <c r="CE160" s="61" t="n">
        <f aca="false">CE158+CE146+CE151+CE152+CE153+CE154+CE159</f>
        <v>-15589971.1788025</v>
      </c>
      <c r="CF160" s="61" t="n">
        <f aca="false">CF158+CF146+CF151+CF152+CF153+CF154+CF159</f>
        <v>-16196267.1275989</v>
      </c>
      <c r="CG160" s="61" t="n">
        <f aca="false">CG158+CG146+CG151+CG152+CG153+CG154+CG159</f>
        <v>-16802563.0763954</v>
      </c>
      <c r="CH160" s="61" t="n">
        <f aca="false">CH158+CH146+CH151+CH152+CH153+CH154+CH159</f>
        <v>-17325751.9985854</v>
      </c>
      <c r="CI160" s="25"/>
      <c r="CJ160" s="56"/>
      <c r="CK160" s="56"/>
    </row>
    <row r="161" customFormat="false" ht="15" hidden="false" customHeight="tru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5"/>
      <c r="CJ161" s="56"/>
      <c r="CK161" s="56"/>
    </row>
    <row r="162" customFormat="false" ht="15" hidden="false" customHeight="true" outlineLevel="0" collapsed="false">
      <c r="A162" s="62" t="s">
        <v>173</v>
      </c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5"/>
      <c r="CJ162" s="56"/>
      <c r="CK162" s="56"/>
    </row>
    <row r="163" customFormat="false" ht="15" hidden="false" customHeight="true" outlineLevel="0" collapsed="false">
      <c r="A163" s="63" t="s">
        <v>174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5"/>
      <c r="CJ163" s="56"/>
      <c r="CK163" s="56"/>
    </row>
    <row r="164" customFormat="false" ht="15" hidden="false" customHeight="true" outlineLevel="0" collapsed="false">
      <c r="A164" s="64" t="s">
        <v>175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5"/>
      <c r="CJ164" s="56"/>
      <c r="CK164" s="56"/>
    </row>
    <row r="165" customFormat="false" ht="15" hidden="false" customHeight="true" outlineLevel="0" collapsed="false">
      <c r="A165" s="64" t="s">
        <v>176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5"/>
      <c r="CJ165" s="56"/>
      <c r="CK165" s="56"/>
    </row>
    <row r="166" customFormat="false" ht="15" hidden="false" customHeight="true" outlineLevel="0" collapsed="false">
      <c r="A166" s="64" t="s">
        <v>177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5"/>
      <c r="CJ166" s="56"/>
      <c r="CK166" s="56"/>
    </row>
    <row r="167" customFormat="false" ht="15" hidden="false" customHeight="true" outlineLevel="0" collapsed="false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6"/>
      <c r="BR167" s="56"/>
      <c r="BS167" s="56"/>
      <c r="BT167" s="56"/>
      <c r="BU167" s="56"/>
      <c r="BV167" s="56"/>
      <c r="BW167" s="56"/>
      <c r="BX167" s="56"/>
      <c r="BY167" s="56"/>
      <c r="BZ167" s="56"/>
      <c r="CA167" s="56"/>
      <c r="CB167" s="56"/>
      <c r="CC167" s="56"/>
      <c r="CD167" s="56"/>
      <c r="CE167" s="56"/>
      <c r="CF167" s="56"/>
      <c r="CG167" s="56"/>
      <c r="CH167" s="56"/>
      <c r="CI167" s="56"/>
      <c r="CJ167" s="56"/>
      <c r="CK167" s="56"/>
    </row>
    <row r="168" customFormat="false" ht="15" hidden="false" customHeight="true" outlineLevel="0" collapsed="false">
      <c r="A168" s="6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5"/>
      <c r="CJ168" s="56"/>
      <c r="CK168" s="56"/>
    </row>
    <row r="169" customFormat="false" ht="15" hidden="false" customHeight="true" outlineLevel="0" collapsed="false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6"/>
      <c r="CF169" s="56"/>
      <c r="CG169" s="56"/>
      <c r="CH169" s="56"/>
      <c r="CI169" s="56"/>
      <c r="CJ169" s="56"/>
      <c r="CK169" s="5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E20" activeCellId="0" sqref="E2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3"/>
    <col collapsed="false" customWidth="true" hidden="false" outlineLevel="0" max="5" min="5" style="1" width="16"/>
    <col collapsed="false" customWidth="true" hidden="false" outlineLevel="0" max="9" min="6" style="1" width="13"/>
    <col collapsed="false" customWidth="true" hidden="false" outlineLevel="0" max="10" min="10" style="1" width="16"/>
    <col collapsed="false" customWidth="true" hidden="false" outlineLevel="0" max="14" min="11" style="1" width="13"/>
    <col collapsed="false" customWidth="true" hidden="false" outlineLevel="0" max="15" min="15" style="1" width="16"/>
    <col collapsed="false" customWidth="true" hidden="false" outlineLevel="0" max="19" min="16" style="1" width="13"/>
    <col collapsed="false" customWidth="true" hidden="false" outlineLevel="0" max="20" min="20" style="1" width="16"/>
    <col collapsed="false" customWidth="true" hidden="false" outlineLevel="0" max="24" min="21" style="1" width="13"/>
    <col collapsed="false" customWidth="true" hidden="false" outlineLevel="0" max="25" min="25" style="1" width="16"/>
    <col collapsed="false" customWidth="true" hidden="false" outlineLevel="0" max="29" min="26" style="1" width="13"/>
    <col collapsed="false" customWidth="true" hidden="false" outlineLevel="0" max="30" min="30" style="1" width="16"/>
    <col collapsed="false" customWidth="true" hidden="false" outlineLevel="0" max="34" min="31" style="1" width="13"/>
    <col collapsed="false" customWidth="true" hidden="false" outlineLevel="0" max="35" min="35" style="1" width="16"/>
    <col collapsed="false" customWidth="true" hidden="false" outlineLevel="0" max="36" min="36" style="1" width="13"/>
    <col collapsed="false" customWidth="true" hidden="false" outlineLevel="0" max="37" min="37" style="1" width="16"/>
  </cols>
  <sheetData>
    <row r="1" customFormat="false" ht="17.25" hidden="false" customHeight="true" outlineLevel="0" collapsed="false">
      <c r="A1" s="2" t="s">
        <v>178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true" outlineLevel="0" collapsed="false">
      <c r="A2" s="4"/>
      <c r="B2" s="5" t="s">
        <v>179</v>
      </c>
      <c r="C2" s="5" t="s">
        <v>180</v>
      </c>
      <c r="D2" s="5" t="s">
        <v>181</v>
      </c>
      <c r="E2" s="5" t="s">
        <v>182</v>
      </c>
      <c r="F2" s="5" t="s">
        <v>183</v>
      </c>
      <c r="G2" s="5" t="s">
        <v>184</v>
      </c>
      <c r="H2" s="5" t="s">
        <v>185</v>
      </c>
      <c r="I2" s="5" t="s">
        <v>186</v>
      </c>
      <c r="J2" s="5" t="s">
        <v>187</v>
      </c>
      <c r="K2" s="5" t="s">
        <v>188</v>
      </c>
      <c r="L2" s="5" t="s">
        <v>189</v>
      </c>
      <c r="M2" s="5" t="s">
        <v>190</v>
      </c>
      <c r="N2" s="5" t="s">
        <v>191</v>
      </c>
      <c r="O2" s="5" t="s">
        <v>192</v>
      </c>
      <c r="P2" s="5" t="s">
        <v>193</v>
      </c>
      <c r="Q2" s="5" t="s">
        <v>194</v>
      </c>
      <c r="R2" s="5" t="s">
        <v>195</v>
      </c>
      <c r="S2" s="5" t="s">
        <v>196</v>
      </c>
      <c r="T2" s="5" t="s">
        <v>197</v>
      </c>
      <c r="U2" s="5" t="s">
        <v>198</v>
      </c>
      <c r="V2" s="5" t="s">
        <v>199</v>
      </c>
      <c r="W2" s="5" t="s">
        <v>200</v>
      </c>
      <c r="X2" s="5" t="s">
        <v>201</v>
      </c>
      <c r="Y2" s="5" t="s">
        <v>202</v>
      </c>
      <c r="Z2" s="5" t="s">
        <v>203</v>
      </c>
      <c r="AA2" s="5" t="s">
        <v>204</v>
      </c>
      <c r="AB2" s="5" t="s">
        <v>205</v>
      </c>
      <c r="AC2" s="5" t="s">
        <v>206</v>
      </c>
    </row>
    <row r="3" customFormat="false" ht="15" hidden="false" customHeight="true" outlineLevel="0" collapsed="false">
      <c r="A3" s="6" t="s">
        <v>9</v>
      </c>
      <c r="B3" s="65" t="n">
        <f aca="false">Model!C7+Model!D7+Model!E7</f>
        <v>12757009.5726933</v>
      </c>
      <c r="C3" s="65" t="n">
        <f aca="false">Model!F7+Model!G7+Model!H7</f>
        <v>16700979.110481</v>
      </c>
      <c r="D3" s="65" t="n">
        <f aca="false">Model!I7+Model!J7+Model!K7</f>
        <v>20341786.1339069</v>
      </c>
      <c r="E3" s="65" t="n">
        <f aca="false">Model!L7+Model!M7+Model!N7</f>
        <v>21680815.1071276</v>
      </c>
      <c r="F3" s="65" t="n">
        <f aca="false">Model!O7+Model!P7+Model!Q7</f>
        <v>24337637.2874382</v>
      </c>
      <c r="G3" s="65" t="n">
        <f aca="false">Model!R7+Model!S7+Model!T7</f>
        <v>21378563.495225</v>
      </c>
      <c r="H3" s="65" t="n">
        <f aca="false">Model!U7+Model!V7+Model!W7</f>
        <v>19821720.735296</v>
      </c>
      <c r="I3" s="65" t="n">
        <f aca="false">Model!X7+Model!Y7+Model!Z7</f>
        <v>17143021.497728</v>
      </c>
      <c r="J3" s="65" t="n">
        <f aca="false">Model!AA7+Model!AB7+Model!AC7</f>
        <v>13569035.117488</v>
      </c>
      <c r="K3" s="65" t="n">
        <f aca="false">Model!AD7+Model!AE7+Model!AF7</f>
        <v>10431100.051765</v>
      </c>
      <c r="L3" s="65" t="n">
        <f aca="false">Model!AG7+Model!AH7+Model!AI7</f>
        <v>10532644.011073</v>
      </c>
      <c r="M3" s="65" t="n">
        <f aca="false">Model!AJ7+Model!AK7+Model!AL7</f>
        <v>10209949.058484</v>
      </c>
      <c r="N3" s="65" t="n">
        <f aca="false">Model!AM7+Model!AN7+Model!AO7</f>
        <v>8960352.488294</v>
      </c>
      <c r="O3" s="65" t="n">
        <f aca="false">Model!AP7+Model!AQ7+Model!AR7</f>
        <v>8205948.921916</v>
      </c>
      <c r="P3" s="65" t="n">
        <f aca="false">Model!AS7+Model!AT7+Model!AU7</f>
        <v>5517576.356072</v>
      </c>
      <c r="Q3" s="65" t="n">
        <f aca="false">Model!AV7+Model!AW7+Model!AX7</f>
        <v>4898042.61408</v>
      </c>
      <c r="R3" s="65" t="n">
        <f aca="false">Model!AY7+Model!AZ7+Model!BA7</f>
        <v>3976537.349224</v>
      </c>
      <c r="S3" s="65" t="n">
        <f aca="false">Model!BB7+Model!BC7+Model!BD7</f>
        <v>2952513.95164</v>
      </c>
      <c r="T3" s="65" t="n">
        <f aca="false">Model!BE7+Model!BF7+Model!BG7</f>
        <v>1431656.005208</v>
      </c>
      <c r="U3" s="65" t="n">
        <f aca="false">Model!BH7+Model!BI7+Model!BJ7</f>
        <v>0</v>
      </c>
      <c r="V3" s="65" t="n">
        <f aca="false">Model!BK7+Model!BL7+Model!BM7</f>
        <v>0</v>
      </c>
      <c r="W3" s="65" t="n">
        <f aca="false">Model!BN7+Model!BO7+Model!BP7</f>
        <v>0</v>
      </c>
      <c r="X3" s="65" t="n">
        <f aca="false">Model!BQ7+Model!BR7+Model!BS7</f>
        <v>0</v>
      </c>
      <c r="Y3" s="65" t="n">
        <f aca="false">Model!BT7+Model!BU7+Model!BV7</f>
        <v>0</v>
      </c>
      <c r="Z3" s="65" t="n">
        <f aca="false">Model!BW7+Model!BX7+Model!BY7</f>
        <v>0</v>
      </c>
      <c r="AA3" s="65" t="n">
        <f aca="false">Model!BZ7+Model!CA7+Model!CB7</f>
        <v>0</v>
      </c>
      <c r="AB3" s="65" t="n">
        <f aca="false">Model!CC7+Model!CD7+Model!CE7</f>
        <v>0</v>
      </c>
      <c r="AC3" s="65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5" hidden="false" customHeight="true" outlineLevel="0" collapsed="false">
      <c r="A5" s="9" t="s">
        <v>11</v>
      </c>
      <c r="B5" s="10" t="n">
        <f aca="false">Model!C8+Model!D8+Model!E8</f>
        <v>523416.912636705</v>
      </c>
      <c r="C5" s="10" t="n">
        <f aca="false">Model!F8+Model!G8+Model!H8</f>
        <v>732678.834714627</v>
      </c>
      <c r="D5" s="10" t="n">
        <f aca="false">Model!I8+Model!J8+Model!K8</f>
        <v>976553.068523582</v>
      </c>
      <c r="E5" s="10" t="n">
        <f aca="false">Model!L8+Model!M8+Model!N8</f>
        <v>970968.211786569</v>
      </c>
      <c r="F5" s="10" t="n">
        <f aca="false">Model!O8+Model!P8+Model!Q8</f>
        <v>1191423.26048787</v>
      </c>
      <c r="G5" s="10" t="n">
        <f aca="false">Model!R8+Model!S8+Model!T8</f>
        <v>835294.245877478</v>
      </c>
      <c r="H5" s="10" t="n">
        <f aca="false">Model!U8+Model!V8+Model!W8</f>
        <v>754000.584693267</v>
      </c>
      <c r="I5" s="10" t="n">
        <f aca="false">Model!X8+Model!Y8+Model!Z8</f>
        <v>741105.847851162</v>
      </c>
      <c r="J5" s="10" t="n">
        <f aca="false">Model!AA8+Model!AB8+Model!AC8</f>
        <v>738388.117844327</v>
      </c>
      <c r="K5" s="10" t="n">
        <f aca="false">Model!AD8+Model!AE8+Model!AF8</f>
        <v>837730.467126623</v>
      </c>
      <c r="L5" s="10" t="n">
        <f aca="false">Model!AG8+Model!AH8+Model!AI8</f>
        <v>751434.180600649</v>
      </c>
      <c r="M5" s="10" t="n">
        <f aca="false">Model!AJ8+Model!AK8+Model!AL8</f>
        <v>499024.11525974</v>
      </c>
      <c r="N5" s="10" t="n">
        <f aca="false">Model!AM8+Model!AN8+Model!AO8</f>
        <v>421857.477272727</v>
      </c>
      <c r="O5" s="10" t="n">
        <f aca="false">Model!AP8+Model!AQ8+Model!AR8</f>
        <v>421857.477272727</v>
      </c>
      <c r="P5" s="10" t="n">
        <f aca="false">Model!AS8+Model!AT8+Model!AU8</f>
        <v>201402.428571429</v>
      </c>
      <c r="Q5" s="10" t="n">
        <f aca="false">Model!AV8+Model!AW8+Model!AX8</f>
        <v>201402.428571429</v>
      </c>
      <c r="R5" s="10" t="n">
        <f aca="false">Model!AY8+Model!AZ8+Model!BA8</f>
        <v>201402.428571429</v>
      </c>
      <c r="S5" s="10" t="n">
        <f aca="false">Model!BB8+Model!BC8+Model!BD8</f>
        <v>201402.428571429</v>
      </c>
      <c r="T5" s="10" t="n">
        <f aca="false">Model!BE8+Model!BF8+Model!BG8</f>
        <v>134268.285714286</v>
      </c>
      <c r="U5" s="10" t="n">
        <f aca="false">Model!BH8+Model!BI8+Model!BJ8</f>
        <v>0</v>
      </c>
      <c r="V5" s="10" t="n">
        <f aca="false">Model!BK8+Model!BL8+Model!BM8</f>
        <v>0</v>
      </c>
      <c r="W5" s="10" t="n">
        <f aca="false">Model!BN8+Model!BO8+Model!BP8</f>
        <v>0</v>
      </c>
      <c r="X5" s="10" t="n">
        <f aca="false">Model!BQ8+Model!BR8+Model!BS8</f>
        <v>0</v>
      </c>
      <c r="Y5" s="10" t="n">
        <f aca="false">Model!BT8+Model!BU8+Model!BV8</f>
        <v>0</v>
      </c>
      <c r="Z5" s="10" t="n">
        <f aca="false">Model!BW8+Model!BX8+Model!BY8</f>
        <v>0</v>
      </c>
      <c r="AA5" s="10" t="n">
        <f aca="false">Model!BZ8+Model!CA8+Model!CB8</f>
        <v>0</v>
      </c>
      <c r="AB5" s="10" t="n">
        <f aca="false">Model!CC8+Model!CD8+Model!CE8</f>
        <v>0</v>
      </c>
      <c r="AC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</f>
        <v>566962.840268284</v>
      </c>
      <c r="C6" s="10" t="n">
        <f aca="false">Model!F9+Model!G9+Model!H9</f>
        <v>776224.762346206</v>
      </c>
      <c r="D6" s="10" t="n">
        <f aca="false">Model!I9+Model!J9+Model!K9</f>
        <v>1013985.37115516</v>
      </c>
      <c r="E6" s="10" t="n">
        <f aca="false">Model!L9+Model!M9+Model!N9</f>
        <v>996173.264418148</v>
      </c>
      <c r="F6" s="10" t="n">
        <f aca="false">Model!O9+Model!P9+Model!Q9</f>
        <v>1216628.31311945</v>
      </c>
      <c r="G6" s="10" t="n">
        <f aca="false">Model!R9+Model!S9+Model!T9</f>
        <v>852723.298509057</v>
      </c>
      <c r="H6" s="10" t="n">
        <f aca="false">Model!U9+Model!V9+Model!W9</f>
        <v>758514.268903793</v>
      </c>
      <c r="I6" s="10" t="n">
        <f aca="false">Model!X9+Model!Y9+Model!Z9</f>
        <v>741105.847851162</v>
      </c>
      <c r="J6" s="10" t="n">
        <f aca="false">Model!AA9+Model!AB9+Model!AC9</f>
        <v>738388.117844327</v>
      </c>
      <c r="K6" s="10" t="n">
        <f aca="false">Model!AD9+Model!AE9+Model!AF9</f>
        <v>837730.467126623</v>
      </c>
      <c r="L6" s="10" t="n">
        <f aca="false">Model!AG9+Model!AH9+Model!AI9</f>
        <v>751434.180600649</v>
      </c>
      <c r="M6" s="10" t="n">
        <f aca="false">Model!AJ9+Model!AK9+Model!AL9</f>
        <v>499024.11525974</v>
      </c>
      <c r="N6" s="10" t="n">
        <f aca="false">Model!AM9+Model!AN9+Model!AO9</f>
        <v>421857.477272727</v>
      </c>
      <c r="O6" s="10" t="n">
        <f aca="false">Model!AP9+Model!AQ9+Model!AR9</f>
        <v>421857.477272727</v>
      </c>
      <c r="P6" s="10" t="n">
        <f aca="false">Model!AS9+Model!AT9+Model!AU9</f>
        <v>201402.428571429</v>
      </c>
      <c r="Q6" s="10" t="n">
        <f aca="false">Model!AV9+Model!AW9+Model!AX9</f>
        <v>201402.428571429</v>
      </c>
      <c r="R6" s="10" t="n">
        <f aca="false">Model!AY9+Model!AZ9+Model!BA9</f>
        <v>201402.428571429</v>
      </c>
      <c r="S6" s="10" t="n">
        <f aca="false">Model!BB9+Model!BC9+Model!BD9</f>
        <v>201402.428571429</v>
      </c>
      <c r="T6" s="10" t="n">
        <f aca="false">Model!BE9+Model!BF9+Model!BG9</f>
        <v>134268.285714286</v>
      </c>
      <c r="U6" s="10" t="n">
        <f aca="false">Model!BH9+Model!BI9+Model!BJ9</f>
        <v>0</v>
      </c>
      <c r="V6" s="10" t="n">
        <f aca="false">Model!BK9+Model!BL9+Model!BM9</f>
        <v>0</v>
      </c>
      <c r="W6" s="10" t="n">
        <f aca="false">Model!BN9+Model!BO9+Model!BP9</f>
        <v>0</v>
      </c>
      <c r="X6" s="10" t="n">
        <f aca="false">Model!BQ9+Model!BR9+Model!BS9</f>
        <v>0</v>
      </c>
      <c r="Y6" s="10" t="n">
        <f aca="false">Model!BT9+Model!BU9+Model!BV9</f>
        <v>0</v>
      </c>
      <c r="Z6" s="10" t="n">
        <f aca="false">Model!BW9+Model!BX9+Model!BY9</f>
        <v>0</v>
      </c>
      <c r="AA6" s="10" t="n">
        <f aca="false">Model!BZ9+Model!CA9+Model!CB9</f>
        <v>0</v>
      </c>
      <c r="AB6" s="10" t="n">
        <f aca="false">Model!CC9+Model!CD9+Model!CE9</f>
        <v>0</v>
      </c>
      <c r="AC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</f>
        <v>132195.37987013</v>
      </c>
      <c r="C7" s="10" t="n">
        <f aca="false">Model!F10+Model!G10+Model!H10</f>
        <v>201949.353896104</v>
      </c>
      <c r="D7" s="10" t="n">
        <f aca="false">Model!I10+Model!J10+Model!K10</f>
        <v>285572.556832422</v>
      </c>
      <c r="E7" s="10" t="n">
        <f aca="false">Model!L10+Model!M10+Model!N10</f>
        <v>288374.521253418</v>
      </c>
      <c r="F7" s="10" t="n">
        <f aca="false">Model!O10+Model!P10+Model!Q10</f>
        <v>361859.537487184</v>
      </c>
      <c r="G7" s="10" t="n">
        <f aca="false">Model!R10+Model!S10+Model!T10</f>
        <v>258074.407617054</v>
      </c>
      <c r="H7" s="10" t="n">
        <f aca="false">Model!U10+Model!V10+Model!W10</f>
        <v>247035.282617054</v>
      </c>
      <c r="I7" s="10" t="n">
        <f aca="false">Model!X10+Model!Y10+Model!Z10</f>
        <v>247035.282617054</v>
      </c>
      <c r="J7" s="10" t="n">
        <f aca="false">Model!AA10+Model!AB10+Model!AC10</f>
        <v>246129.372614776</v>
      </c>
      <c r="K7" s="10" t="n">
        <f aca="false">Model!AD10+Model!AE10+Model!AF10</f>
        <v>279243.489042208</v>
      </c>
      <c r="L7" s="10" t="n">
        <f aca="false">Model!AG10+Model!AH10+Model!AI10</f>
        <v>250478.060200216</v>
      </c>
      <c r="M7" s="10" t="n">
        <f aca="false">Model!AJ10+Model!AK10+Model!AL10</f>
        <v>166341.371753247</v>
      </c>
      <c r="N7" s="10" t="n">
        <f aca="false">Model!AM10+Model!AN10+Model!AO10</f>
        <v>140619.159090909</v>
      </c>
      <c r="O7" s="10" t="n">
        <f aca="false">Model!AP10+Model!AQ10+Model!AR10</f>
        <v>140619.159090909</v>
      </c>
      <c r="P7" s="10" t="n">
        <f aca="false">Model!AS10+Model!AT10+Model!AU10</f>
        <v>67134.1428571429</v>
      </c>
      <c r="Q7" s="10" t="n">
        <f aca="false">Model!AV10+Model!AW10+Model!AX10</f>
        <v>67134.1428571429</v>
      </c>
      <c r="R7" s="10" t="n">
        <f aca="false">Model!AY10+Model!AZ10+Model!BA10</f>
        <v>67134.1428571429</v>
      </c>
      <c r="S7" s="10" t="n">
        <f aca="false">Model!BB10+Model!BC10+Model!BD10</f>
        <v>67134.1428571429</v>
      </c>
      <c r="T7" s="10" t="n">
        <f aca="false">Model!BE10+Model!BF10+Model!BG10</f>
        <v>44756.0952380952</v>
      </c>
      <c r="U7" s="10" t="n">
        <f aca="false">Model!BH10+Model!BI10+Model!BJ10</f>
        <v>0</v>
      </c>
      <c r="V7" s="10" t="n">
        <f aca="false">Model!BK10+Model!BL10+Model!BM10</f>
        <v>0</v>
      </c>
      <c r="W7" s="10" t="n">
        <f aca="false">Model!BN10+Model!BO10+Model!BP10</f>
        <v>0</v>
      </c>
      <c r="X7" s="10" t="n">
        <f aca="false">Model!BQ10+Model!BR10+Model!BS10</f>
        <v>0</v>
      </c>
      <c r="Y7" s="10" t="n">
        <f aca="false">Model!BT10+Model!BU10+Model!BV10</f>
        <v>0</v>
      </c>
      <c r="Z7" s="10" t="n">
        <f aca="false">Model!BW10+Model!BX10+Model!BY10</f>
        <v>0</v>
      </c>
      <c r="AA7" s="10" t="n">
        <f aca="false">Model!BZ10+Model!CA10+Model!CB10</f>
        <v>0</v>
      </c>
      <c r="AB7" s="10" t="n">
        <f aca="false">Model!CC10+Model!CD10+Model!CE10</f>
        <v>0</v>
      </c>
      <c r="AC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</f>
        <v>0</v>
      </c>
      <c r="C8" s="10" t="n">
        <f aca="false">Model!F11+Model!G11+Model!H11</f>
        <v>644526.72</v>
      </c>
      <c r="D8" s="10" t="n">
        <f aca="false">Model!I11+Model!J11+Model!K11</f>
        <v>761010.9</v>
      </c>
      <c r="E8" s="10" t="n">
        <f aca="false">Model!L11+Model!M11+Model!N11</f>
        <v>0</v>
      </c>
      <c r="F8" s="10" t="n">
        <f aca="false">Model!O11+Model!P11+Model!Q11</f>
        <v>679001.55</v>
      </c>
      <c r="G8" s="10" t="n">
        <f aca="false">Model!R11+Model!S11+Model!T11</f>
        <v>0</v>
      </c>
      <c r="H8" s="10" t="n">
        <f aca="false">Model!U11+Model!V11+Model!W11</f>
        <v>0</v>
      </c>
      <c r="I8" s="10" t="n">
        <f aca="false">Model!X11+Model!Y11+Model!Z11</f>
        <v>0</v>
      </c>
      <c r="J8" s="10" t="n">
        <f aca="false">Model!AA11+Model!AB11+Model!AC11</f>
        <v>620319.48</v>
      </c>
      <c r="K8" s="10" t="n">
        <f aca="false">Model!AD11+Model!AE11+Model!AF11</f>
        <v>0</v>
      </c>
      <c r="L8" s="10" t="n">
        <f aca="false">Model!AG11+Model!AH11+Model!AI11</f>
        <v>0</v>
      </c>
      <c r="M8" s="10" t="n">
        <f aca="false">Model!AJ11+Model!AK11+Model!AL11</f>
        <v>0</v>
      </c>
      <c r="N8" s="10" t="n">
        <f aca="false">Model!AM11+Model!AN11+Model!AO11</f>
        <v>0</v>
      </c>
      <c r="O8" s="10" t="n">
        <f aca="false">Model!AP11+Model!AQ11+Model!AR11</f>
        <v>0</v>
      </c>
      <c r="P8" s="10" t="n">
        <f aca="false">Model!AS11+Model!AT11+Model!AU11</f>
        <v>0</v>
      </c>
      <c r="Q8" s="10" t="n">
        <f aca="false">Model!AV11+Model!AW11+Model!AX11</f>
        <v>0</v>
      </c>
      <c r="R8" s="10" t="n">
        <f aca="false">Model!AY11+Model!AZ11+Model!BA11</f>
        <v>0</v>
      </c>
      <c r="S8" s="10" t="n">
        <f aca="false">Model!BB11+Model!BC11+Model!BD11</f>
        <v>0</v>
      </c>
      <c r="T8" s="10" t="n">
        <f aca="false">Model!BE11+Model!BF11+Model!BG11</f>
        <v>0</v>
      </c>
      <c r="U8" s="10" t="n">
        <f aca="false">Model!BH11+Model!BI11+Model!BJ11</f>
        <v>0</v>
      </c>
      <c r="V8" s="10" t="n">
        <f aca="false">Model!BK11+Model!BL11+Model!BM11</f>
        <v>0</v>
      </c>
      <c r="W8" s="10" t="n">
        <f aca="false">Model!BN11+Model!BO11+Model!BP11</f>
        <v>0</v>
      </c>
      <c r="X8" s="10" t="n">
        <f aca="false">Model!BQ11+Model!BR11+Model!BS11</f>
        <v>0</v>
      </c>
      <c r="Y8" s="10" t="n">
        <f aca="false">Model!BT11+Model!BU11+Model!BV11</f>
        <v>0</v>
      </c>
      <c r="Z8" s="10" t="n">
        <f aca="false">Model!BW11+Model!BX11+Model!BY11</f>
        <v>0</v>
      </c>
      <c r="AA8" s="10" t="n">
        <f aca="false">Model!BZ11+Model!CA11+Model!CB11</f>
        <v>0</v>
      </c>
      <c r="AB8" s="10" t="n">
        <f aca="false">Model!CC11+Model!CD11+Model!CE11</f>
        <v>0</v>
      </c>
      <c r="AC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</f>
        <v>1222575.13277512</v>
      </c>
      <c r="C9" s="12" t="n">
        <f aca="false">Model!F12+Model!G12+Model!H12</f>
        <v>2355379.67095694</v>
      </c>
      <c r="D9" s="12" t="n">
        <f aca="false">Model!I12+Model!J12+Model!K12</f>
        <v>3037121.89651116</v>
      </c>
      <c r="E9" s="12" t="n">
        <f aca="false">Model!L12+Model!M12+Model!N12</f>
        <v>2255515.99745813</v>
      </c>
      <c r="F9" s="12" t="n">
        <f aca="false">Model!O12+Model!P12+Model!Q12</f>
        <v>3448912.6610945</v>
      </c>
      <c r="G9" s="12" t="n">
        <f aca="false">Model!R12+Model!S12+Model!T12</f>
        <v>1946091.95200359</v>
      </c>
      <c r="H9" s="12" t="n">
        <f aca="false">Model!U12+Model!V12+Model!W12</f>
        <v>1759550.13621411</v>
      </c>
      <c r="I9" s="12" t="n">
        <f aca="false">Model!X12+Model!Y12+Model!Z12</f>
        <v>1729246.97831938</v>
      </c>
      <c r="J9" s="12" t="n">
        <f aca="false">Model!AA12+Model!AB12+Model!AC12</f>
        <v>2343225.08830343</v>
      </c>
      <c r="K9" s="12" t="n">
        <f aca="false">Model!AD12+Model!AE12+Model!AF12</f>
        <v>1954704.42329545</v>
      </c>
      <c r="L9" s="12" t="n">
        <f aca="false">Model!AG12+Model!AH12+Model!AI12</f>
        <v>1753346.42140152</v>
      </c>
      <c r="M9" s="12" t="n">
        <f aca="false">Model!AJ12+Model!AK12+Model!AL12</f>
        <v>1164389.60227273</v>
      </c>
      <c r="N9" s="12" t="n">
        <f aca="false">Model!AM12+Model!AN12+Model!AO12</f>
        <v>984334.113636364</v>
      </c>
      <c r="O9" s="12" t="n">
        <f aca="false">Model!AP12+Model!AQ12+Model!AR12</f>
        <v>984334.113636364</v>
      </c>
      <c r="P9" s="12" t="n">
        <f aca="false">Model!AS12+Model!AT12+Model!AU12</f>
        <v>469939</v>
      </c>
      <c r="Q9" s="12" t="n">
        <f aca="false">Model!AV12+Model!AW12+Model!AX12</f>
        <v>469939</v>
      </c>
      <c r="R9" s="12" t="n">
        <f aca="false">Model!AY12+Model!AZ12+Model!BA12</f>
        <v>469939</v>
      </c>
      <c r="S9" s="12" t="n">
        <f aca="false">Model!BB12+Model!BC12+Model!BD12</f>
        <v>469939</v>
      </c>
      <c r="T9" s="12" t="n">
        <f aca="false">Model!BE12+Model!BF12+Model!BG12</f>
        <v>313292.666666667</v>
      </c>
      <c r="U9" s="12" t="n">
        <f aca="false">Model!BH12+Model!BI12+Model!BJ12</f>
        <v>0</v>
      </c>
      <c r="V9" s="12" t="n">
        <f aca="false">Model!BK12+Model!BL12+Model!BM12</f>
        <v>0</v>
      </c>
      <c r="W9" s="12" t="n">
        <f aca="false">Model!BN12+Model!BO12+Model!BP12</f>
        <v>0</v>
      </c>
      <c r="X9" s="12" t="n">
        <f aca="false">Model!BQ12+Model!BR12+Model!BS12</f>
        <v>0</v>
      </c>
      <c r="Y9" s="12" t="n">
        <f aca="false">Model!BT12+Model!BU12+Model!BV12</f>
        <v>0</v>
      </c>
      <c r="Z9" s="12" t="n">
        <f aca="false">Model!BW12+Model!BX12+Model!BY12</f>
        <v>0</v>
      </c>
      <c r="AA9" s="12" t="n">
        <f aca="false">Model!BZ12+Model!CA12+Model!CB12</f>
        <v>0</v>
      </c>
      <c r="AB9" s="12" t="n">
        <f aca="false">Model!CC12+Model!CD12+Model!CE12</f>
        <v>0</v>
      </c>
      <c r="AC9" s="12" t="n">
        <f aca="false">Model!CF12+Model!CG12+Model!CH12</f>
        <v>0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" hidden="false" customHeight="true" outlineLevel="0" collapsed="false">
      <c r="A11" s="8" t="s">
        <v>16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</f>
        <v>-0</v>
      </c>
      <c r="C12" s="10" t="n">
        <f aca="false">Model!F15+Model!G15+Model!H15</f>
        <v>-317966.5152</v>
      </c>
      <c r="D12" s="10" t="n">
        <f aca="false">Model!I15+Model!J15+Model!K15</f>
        <v>-375432.044</v>
      </c>
      <c r="E12" s="10" t="n">
        <f aca="false">Model!L15+Model!M15+Model!N15</f>
        <v>-0</v>
      </c>
      <c r="F12" s="10" t="n">
        <f aca="false">Model!O15+Model!P15+Model!Q15</f>
        <v>-1471170.025</v>
      </c>
      <c r="G12" s="10" t="n">
        <f aca="false">Model!R15+Model!S15+Model!T15</f>
        <v>-0</v>
      </c>
      <c r="H12" s="10" t="n">
        <f aca="false">Model!U15+Model!V15+Model!W15</f>
        <v>-0</v>
      </c>
      <c r="I12" s="10" t="n">
        <f aca="false">Model!X15+Model!Y15+Model!Z15</f>
        <v>-0</v>
      </c>
      <c r="J12" s="10" t="n">
        <f aca="false">Model!AA15+Model!AB15+Model!AC15</f>
        <v>-1344025.54</v>
      </c>
      <c r="K12" s="10" t="n">
        <f aca="false">Model!AD15+Model!AE15+Model!AF15</f>
        <v>-0</v>
      </c>
      <c r="L12" s="10" t="n">
        <f aca="false">Model!AG15+Model!AH15+Model!AI15</f>
        <v>-0</v>
      </c>
      <c r="M12" s="10" t="n">
        <f aca="false">Model!AJ15+Model!AK15+Model!AL15</f>
        <v>-0</v>
      </c>
      <c r="N12" s="10" t="n">
        <f aca="false">Model!AM15+Model!AN15+Model!AO15</f>
        <v>-0</v>
      </c>
      <c r="O12" s="10" t="n">
        <f aca="false">Model!AP15+Model!AQ15+Model!AR15</f>
        <v>-0</v>
      </c>
      <c r="P12" s="10" t="n">
        <f aca="false">Model!AS15+Model!AT15+Model!AU15</f>
        <v>-0</v>
      </c>
      <c r="Q12" s="10" t="n">
        <f aca="false">Model!AV15+Model!AW15+Model!AX15</f>
        <v>-0</v>
      </c>
      <c r="R12" s="10" t="n">
        <f aca="false">Model!AY15+Model!AZ15+Model!BA15</f>
        <v>-0</v>
      </c>
      <c r="S12" s="10" t="n">
        <f aca="false">Model!BB15+Model!BC15+Model!BD15</f>
        <v>-0</v>
      </c>
      <c r="T12" s="10" t="n">
        <f aca="false">Model!BE15+Model!BF15+Model!BG15</f>
        <v>-0</v>
      </c>
      <c r="U12" s="10" t="n">
        <f aca="false">Model!BH15+Model!BI15+Model!BJ15</f>
        <v>-0</v>
      </c>
      <c r="V12" s="10" t="n">
        <f aca="false">Model!BK15+Model!BL15+Model!BM15</f>
        <v>-0</v>
      </c>
      <c r="W12" s="10" t="n">
        <f aca="false">Model!BN15+Model!BO15+Model!BP15</f>
        <v>-0</v>
      </c>
      <c r="X12" s="10" t="n">
        <f aca="false">Model!BQ15+Model!BR15+Model!BS15</f>
        <v>-0</v>
      </c>
      <c r="Y12" s="10" t="n">
        <f aca="false">Model!BT15+Model!BU15+Model!BV15</f>
        <v>-0</v>
      </c>
      <c r="Z12" s="10" t="n">
        <f aca="false">Model!BW15+Model!BX15+Model!BY15</f>
        <v>-0</v>
      </c>
      <c r="AA12" s="10" t="n">
        <f aca="false">Model!BZ15+Model!CA15+Model!CB15</f>
        <v>-0</v>
      </c>
      <c r="AB12" s="10" t="n">
        <f aca="false">Model!CC15+Model!CD15+Model!CE15</f>
        <v>-0</v>
      </c>
      <c r="AC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</f>
        <v>-675473</v>
      </c>
      <c r="C13" s="10" t="n">
        <f aca="false">Model!F16+Model!G16+Model!H16</f>
        <v>-771723</v>
      </c>
      <c r="D13" s="10" t="n">
        <f aca="false">Model!I16+Model!J16+Model!K16</f>
        <v>-771723</v>
      </c>
      <c r="E13" s="10" t="n">
        <f aca="false">Model!L16+Model!M16+Model!N16</f>
        <v>-771723</v>
      </c>
      <c r="F13" s="10" t="n">
        <f aca="false">Model!O16+Model!P16+Model!Q16</f>
        <v>-787157.46</v>
      </c>
      <c r="G13" s="10" t="n">
        <f aca="false">Model!R16+Model!S16+Model!T16</f>
        <v>-787157.46</v>
      </c>
      <c r="H13" s="10" t="n">
        <f aca="false">Model!U16+Model!V16+Model!W16</f>
        <v>-787157.46</v>
      </c>
      <c r="I13" s="10" t="n">
        <f aca="false">Model!X16+Model!Y16+Model!Z16</f>
        <v>-787157.46</v>
      </c>
      <c r="J13" s="10" t="n">
        <f aca="false">Model!AA16+Model!AB16+Model!AC16</f>
        <v>-802900.6092</v>
      </c>
      <c r="K13" s="10" t="n">
        <f aca="false">Model!AD16+Model!AE16+Model!AF16</f>
        <v>-802900.6092</v>
      </c>
      <c r="L13" s="10" t="n">
        <f aca="false">Model!AG16+Model!AH16+Model!AI16</f>
        <v>-802900.6092</v>
      </c>
      <c r="M13" s="10" t="n">
        <f aca="false">Model!AJ16+Model!AK16+Model!AL16</f>
        <v>-802900.6092</v>
      </c>
      <c r="N13" s="10" t="n">
        <f aca="false">Model!AM16+Model!AN16+Model!AO16</f>
        <v>-818958.621384</v>
      </c>
      <c r="O13" s="10" t="n">
        <f aca="false">Model!AP16+Model!AQ16+Model!AR16</f>
        <v>-818958.621384</v>
      </c>
      <c r="P13" s="10" t="n">
        <f aca="false">Model!AS16+Model!AT16+Model!AU16</f>
        <v>-818958.621384</v>
      </c>
      <c r="Q13" s="10" t="n">
        <f aca="false">Model!AV16+Model!AW16+Model!AX16</f>
        <v>-818958.621384</v>
      </c>
      <c r="R13" s="10" t="n">
        <f aca="false">Model!AY16+Model!AZ16+Model!BA16</f>
        <v>-835337.79381168</v>
      </c>
      <c r="S13" s="10" t="n">
        <f aca="false">Model!BB16+Model!BC16+Model!BD16</f>
        <v>-835337.79381168</v>
      </c>
      <c r="T13" s="10" t="n">
        <f aca="false">Model!BE16+Model!BF16+Model!BG16</f>
        <v>-835337.79381168</v>
      </c>
      <c r="U13" s="10" t="n">
        <f aca="false">Model!BH16+Model!BI16+Model!BJ16</f>
        <v>-835337.79381168</v>
      </c>
      <c r="V13" s="10" t="n">
        <f aca="false">Model!BK16+Model!BL16+Model!BM16</f>
        <v>-852044.549687914</v>
      </c>
      <c r="W13" s="10" t="n">
        <f aca="false">Model!BN16+Model!BO16+Model!BP16</f>
        <v>-852044.549687914</v>
      </c>
      <c r="X13" s="10" t="n">
        <f aca="false">Model!BQ16+Model!BR16+Model!BS16</f>
        <v>-852044.549687914</v>
      </c>
      <c r="Y13" s="10" t="n">
        <f aca="false">Model!BT16+Model!BU16+Model!BV16</f>
        <v>-852044.549687914</v>
      </c>
      <c r="Z13" s="10" t="n">
        <f aca="false">Model!BW16+Model!BX16+Model!BY16</f>
        <v>-869085.440681672</v>
      </c>
      <c r="AA13" s="10" t="n">
        <f aca="false">Model!BZ16+Model!CA16+Model!CB16</f>
        <v>-869085.440681672</v>
      </c>
      <c r="AB13" s="10" t="n">
        <f aca="false">Model!CC16+Model!CD16+Model!CE16</f>
        <v>-869085.440681672</v>
      </c>
      <c r="AC13" s="10" t="n">
        <f aca="false">Model!CF16+Model!CG16+Model!CH16</f>
        <v>-869085.440681672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</f>
        <v>-163750</v>
      </c>
      <c r="C14" s="10" t="n">
        <f aca="false">Model!F17+Model!G17+Model!H17</f>
        <v>-163750</v>
      </c>
      <c r="D14" s="10" t="n">
        <f aca="false">Model!I17+Model!J17+Model!K17</f>
        <v>-163750</v>
      </c>
      <c r="E14" s="10" t="n">
        <f aca="false">Model!L17+Model!M17+Model!N17</f>
        <v>-163750</v>
      </c>
      <c r="F14" s="10" t="n">
        <f aca="false">Model!O17+Model!P17+Model!Q17</f>
        <v>-167025</v>
      </c>
      <c r="G14" s="10" t="n">
        <f aca="false">Model!R17+Model!S17+Model!T17</f>
        <v>-167025</v>
      </c>
      <c r="H14" s="10" t="n">
        <f aca="false">Model!U17+Model!V17+Model!W17</f>
        <v>-167025</v>
      </c>
      <c r="I14" s="10" t="n">
        <f aca="false">Model!X17+Model!Y17+Model!Z17</f>
        <v>-167025</v>
      </c>
      <c r="J14" s="10" t="n">
        <f aca="false">Model!AA17+Model!AB17+Model!AC17</f>
        <v>-170365.5</v>
      </c>
      <c r="K14" s="10" t="n">
        <f aca="false">Model!AD17+Model!AE17+Model!AF17</f>
        <v>-170365.5</v>
      </c>
      <c r="L14" s="10" t="n">
        <f aca="false">Model!AG17+Model!AH17+Model!AI17</f>
        <v>-170365.5</v>
      </c>
      <c r="M14" s="10" t="n">
        <f aca="false">Model!AJ17+Model!AK17+Model!AL17</f>
        <v>-170365.5</v>
      </c>
      <c r="N14" s="10" t="n">
        <f aca="false">Model!AM17+Model!AN17+Model!AO17</f>
        <v>-173772.81</v>
      </c>
      <c r="O14" s="10" t="n">
        <f aca="false">Model!AP17+Model!AQ17+Model!AR17</f>
        <v>-173772.81</v>
      </c>
      <c r="P14" s="10" t="n">
        <f aca="false">Model!AS17+Model!AT17+Model!AU17</f>
        <v>-173772.81</v>
      </c>
      <c r="Q14" s="10" t="n">
        <f aca="false">Model!AV17+Model!AW17+Model!AX17</f>
        <v>-173772.81</v>
      </c>
      <c r="R14" s="10" t="n">
        <f aca="false">Model!AY17+Model!AZ17+Model!BA17</f>
        <v>-177248.2662</v>
      </c>
      <c r="S14" s="10" t="n">
        <f aca="false">Model!BB17+Model!BC17+Model!BD17</f>
        <v>-177248.2662</v>
      </c>
      <c r="T14" s="10" t="n">
        <f aca="false">Model!BE17+Model!BF17+Model!BG17</f>
        <v>-177248.2662</v>
      </c>
      <c r="U14" s="10" t="n">
        <f aca="false">Model!BH17+Model!BI17+Model!BJ17</f>
        <v>-177248.2662</v>
      </c>
      <c r="V14" s="10" t="n">
        <f aca="false">Model!BK17+Model!BL17+Model!BM17</f>
        <v>-180793.231524</v>
      </c>
      <c r="W14" s="10" t="n">
        <f aca="false">Model!BN17+Model!BO17+Model!BP17</f>
        <v>-180793.231524</v>
      </c>
      <c r="X14" s="10" t="n">
        <f aca="false">Model!BQ17+Model!BR17+Model!BS17</f>
        <v>-180793.231524</v>
      </c>
      <c r="Y14" s="10" t="n">
        <f aca="false">Model!BT17+Model!BU17+Model!BV17</f>
        <v>-180793.231524</v>
      </c>
      <c r="Z14" s="10" t="n">
        <f aca="false">Model!BW17+Model!BX17+Model!BY17</f>
        <v>-184409.09615448</v>
      </c>
      <c r="AA14" s="10" t="n">
        <f aca="false">Model!BZ17+Model!CA17+Model!CB17</f>
        <v>-184409.09615448</v>
      </c>
      <c r="AB14" s="10" t="n">
        <f aca="false">Model!CC17+Model!CD17+Model!CE17</f>
        <v>-184409.09615448</v>
      </c>
      <c r="AC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</f>
        <v>-1132745.355</v>
      </c>
      <c r="C15" s="12" t="n">
        <f aca="false">Model!F38+Model!G38+Model!H38</f>
        <v>-1574393.1202</v>
      </c>
      <c r="D15" s="12" t="n">
        <f aca="false">Model!I38+Model!J38+Model!K38</f>
        <v>-1631858.649</v>
      </c>
      <c r="E15" s="12" t="n">
        <f aca="false">Model!L38+Model!M38+Model!N38</f>
        <v>-1256426.605</v>
      </c>
      <c r="F15" s="12" t="n">
        <f aca="false">Model!O38+Model!P38+Model!Q38</f>
        <v>-2752725.1621</v>
      </c>
      <c r="G15" s="12" t="n">
        <f aca="false">Model!R38+Model!S38+Model!T38</f>
        <v>-1281555.1371</v>
      </c>
      <c r="H15" s="12" t="n">
        <f aca="false">Model!U38+Model!V38+Model!W38</f>
        <v>-1281555.1371</v>
      </c>
      <c r="I15" s="12" t="n">
        <f aca="false">Model!X38+Model!Y38+Model!Z38</f>
        <v>-1281555.1371</v>
      </c>
      <c r="J15" s="12" t="n">
        <f aca="false">Model!AA38+Model!AB38+Model!AC38</f>
        <v>-2651211.779842</v>
      </c>
      <c r="K15" s="12" t="n">
        <f aca="false">Model!AD38+Model!AE38+Model!AF38</f>
        <v>-1307186.239842</v>
      </c>
      <c r="L15" s="12" t="n">
        <f aca="false">Model!AG38+Model!AH38+Model!AI38</f>
        <v>-1307186.239842</v>
      </c>
      <c r="M15" s="12" t="n">
        <f aca="false">Model!AJ38+Model!AK38+Model!AL38</f>
        <v>-1307186.239842</v>
      </c>
      <c r="N15" s="12" t="n">
        <f aca="false">Model!AM38+Model!AN38+Model!AO38</f>
        <v>-1333329.96463884</v>
      </c>
      <c r="O15" s="12" t="n">
        <f aca="false">Model!AP38+Model!AQ38+Model!AR38</f>
        <v>-1333329.96463884</v>
      </c>
      <c r="P15" s="12" t="n">
        <f aca="false">Model!AS38+Model!AT38+Model!AU38</f>
        <v>-1333329.96463884</v>
      </c>
      <c r="Q15" s="12" t="n">
        <f aca="false">Model!AV38+Model!AW38+Model!AX38</f>
        <v>-1333329.96463884</v>
      </c>
      <c r="R15" s="12" t="n">
        <f aca="false">Model!AY38+Model!AZ38+Model!BA38</f>
        <v>-1359996.56393162</v>
      </c>
      <c r="S15" s="12" t="n">
        <f aca="false">Model!BB38+Model!BC38+Model!BD38</f>
        <v>-1359996.56393162</v>
      </c>
      <c r="T15" s="12" t="n">
        <f aca="false">Model!BE38+Model!BF38+Model!BG38</f>
        <v>-1359996.56393162</v>
      </c>
      <c r="U15" s="12" t="n">
        <f aca="false">Model!BH38+Model!BI38+Model!BJ38</f>
        <v>-1359996.56393162</v>
      </c>
      <c r="V15" s="12" t="n">
        <f aca="false">Model!BK38+Model!BL38+Model!BM38</f>
        <v>-1387196.49521025</v>
      </c>
      <c r="W15" s="12" t="n">
        <f aca="false">Model!BN38+Model!BO38+Model!BP38</f>
        <v>-1387196.49521025</v>
      </c>
      <c r="X15" s="12" t="n">
        <f aca="false">Model!BQ38+Model!BR38+Model!BS38</f>
        <v>-1387196.49521025</v>
      </c>
      <c r="Y15" s="12" t="n">
        <f aca="false">Model!BT38+Model!BU38+Model!BV38</f>
        <v>-1387196.49521025</v>
      </c>
      <c r="Z15" s="12" t="n">
        <f aca="false">Model!BW38+Model!BX38+Model!BY38</f>
        <v>-1414940.42511445</v>
      </c>
      <c r="AA15" s="12" t="n">
        <f aca="false">Model!BZ38+Model!CA38+Model!CB38</f>
        <v>-1414940.42511445</v>
      </c>
      <c r="AB15" s="12" t="n">
        <f aca="false">Model!CC38+Model!CD38+Model!CE38</f>
        <v>-1414940.42511445</v>
      </c>
      <c r="AC15" s="12" t="n">
        <f aca="false">Model!CF38+Model!CG38+Model!CH38</f>
        <v>-1414940.42511445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</f>
        <v>89829.7777751197</v>
      </c>
      <c r="C16" s="16" t="n">
        <f aca="false">Model!F40+Model!G40+Model!H40</f>
        <v>780986.550756938</v>
      </c>
      <c r="D16" s="16" t="n">
        <f aca="false">Model!I40+Model!J40+Model!K40</f>
        <v>1405263.24751116</v>
      </c>
      <c r="E16" s="16" t="n">
        <f aca="false">Model!L40+Model!M40+Model!N40</f>
        <v>999089.392458134</v>
      </c>
      <c r="F16" s="16" t="n">
        <f aca="false">Model!O40+Model!P40+Model!Q40</f>
        <v>696187.498994497</v>
      </c>
      <c r="G16" s="16" t="n">
        <f aca="false">Model!R40+Model!S40+Model!T40</f>
        <v>664536.814903588</v>
      </c>
      <c r="H16" s="16" t="n">
        <f aca="false">Model!U40+Model!V40+Model!W40</f>
        <v>477994.999114115</v>
      </c>
      <c r="I16" s="16" t="n">
        <f aca="false">Model!X40+Model!Y40+Model!Z40</f>
        <v>447691.841219378</v>
      </c>
      <c r="J16" s="16" t="n">
        <f aca="false">Model!AA40+Model!AB40+Model!AC40</f>
        <v>-307986.691538571</v>
      </c>
      <c r="K16" s="16" t="n">
        <f aca="false">Model!AD40+Model!AE40+Model!AF40</f>
        <v>647518.183453455</v>
      </c>
      <c r="L16" s="16" t="n">
        <f aca="false">Model!AG40+Model!AH40+Model!AI40</f>
        <v>446160.181559515</v>
      </c>
      <c r="M16" s="16" t="n">
        <f aca="false">Model!AJ40+Model!AK40+Model!AL40</f>
        <v>-142796.637569273</v>
      </c>
      <c r="N16" s="16" t="n">
        <f aca="false">Model!AM40+Model!AN40+Model!AO40</f>
        <v>-348995.851002477</v>
      </c>
      <c r="O16" s="16" t="n">
        <f aca="false">Model!AP40+Model!AQ40+Model!AR40</f>
        <v>-348995.851002477</v>
      </c>
      <c r="P16" s="16" t="n">
        <f aca="false">Model!AS40+Model!AT40+Model!AU40</f>
        <v>-863390.96463884</v>
      </c>
      <c r="Q16" s="16" t="n">
        <f aca="false">Model!AV40+Model!AW40+Model!AX40</f>
        <v>-863390.96463884</v>
      </c>
      <c r="R16" s="16" t="n">
        <f aca="false">Model!AY40+Model!AZ40+Model!BA40</f>
        <v>-890057.563931617</v>
      </c>
      <c r="S16" s="16" t="n">
        <f aca="false">Model!BB40+Model!BC40+Model!BD40</f>
        <v>-890057.563931617</v>
      </c>
      <c r="T16" s="16" t="n">
        <f aca="false">Model!BE40+Model!BF40+Model!BG40</f>
        <v>-1046703.89726495</v>
      </c>
      <c r="U16" s="16" t="n">
        <f aca="false">Model!BH40+Model!BI40+Model!BJ40</f>
        <v>-1359996.56393162</v>
      </c>
      <c r="V16" s="16" t="n">
        <f aca="false">Model!BK40+Model!BL40+Model!BM40</f>
        <v>-1387196.49521025</v>
      </c>
      <c r="W16" s="16" t="n">
        <f aca="false">Model!BN40+Model!BO40+Model!BP40</f>
        <v>-1387196.49521025</v>
      </c>
      <c r="X16" s="16" t="n">
        <f aca="false">Model!BQ40+Model!BR40+Model!BS40</f>
        <v>-1387196.49521025</v>
      </c>
      <c r="Y16" s="16" t="n">
        <f aca="false">Model!BT40+Model!BU40+Model!BV40</f>
        <v>-1387196.49521025</v>
      </c>
      <c r="Z16" s="16" t="n">
        <f aca="false">Model!BW40+Model!BX40+Model!BY40</f>
        <v>-1414940.42511445</v>
      </c>
      <c r="AA16" s="16" t="n">
        <f aca="false">Model!BZ40+Model!CA40+Model!CB40</f>
        <v>-1414940.42511445</v>
      </c>
      <c r="AB16" s="16" t="n">
        <f aca="false">Model!CC40+Model!CD40+Model!CE40</f>
        <v>-1414940.42511445</v>
      </c>
      <c r="AC16" s="16" t="n">
        <f aca="false">Model!CF40+Model!CG40+Model!CH40</f>
        <v>-1414940.42511445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IF((Model!C12+Model!D12+Model!E12)&lt;&gt;0,(Model!C40+Model!D40+Model!E40)/(Model!C12+Model!D12+Model!E12),0)</f>
        <v>0.0734758751155157</v>
      </c>
      <c r="C17" s="17" t="n">
        <f aca="false">IF((Model!F12+Model!G12+Model!H12)&lt;&gt;0,(Model!F40+Model!G40+Model!H40)/(Model!F12+Model!G12+Model!H12),0)</f>
        <v>0.331575652276748</v>
      </c>
      <c r="D17" s="17" t="n">
        <f aca="false">IF((Model!I12+Model!J12+Model!K12)&lt;&gt;0,(Model!I40+Model!J40+Model!K40)/(Model!I12+Model!J12+Model!K12),0)</f>
        <v>0.462695701850306</v>
      </c>
      <c r="E17" s="17" t="n">
        <f aca="false">IF((Model!L12+Model!M12+Model!N12)&lt;&gt;0,(Model!L40+Model!M40+Model!N40)/(Model!L12+Model!M12+Model!N12),0)</f>
        <v>0.442953804621232</v>
      </c>
      <c r="F17" s="17" t="n">
        <f aca="false">IF((Model!O12+Model!P12+Model!Q12)&lt;&gt;0,(Model!O40+Model!P40+Model!Q40)/(Model!O12+Model!P12+Model!Q12),0)</f>
        <v>0.201857097411555</v>
      </c>
      <c r="G17" s="17" t="n">
        <f aca="false">IF((Model!R12+Model!S12+Model!T12)&lt;&gt;0,(Model!R40+Model!S40+Model!T40)/(Model!R12+Model!S12+Model!T12),0)</f>
        <v>0.341472464453398</v>
      </c>
      <c r="H17" s="17" t="n">
        <f aca="false">IF((Model!U12+Model!V12+Model!W12)&lt;&gt;0,(Model!U40+Model!V40+Model!W40)/(Model!U12+Model!V12+Model!W12),0)</f>
        <v>0.271657504538392</v>
      </c>
      <c r="I17" s="17" t="n">
        <f aca="false">IF((Model!X12+Model!Y12+Model!Z12)&lt;&gt;0,(Model!X40+Model!Y40+Model!Z40)/(Model!X12+Model!Y12+Model!Z12),0)</f>
        <v>0.258894100630137</v>
      </c>
      <c r="J17" s="17" t="n">
        <f aca="false">IF((Model!AA12+Model!AB12+Model!AC12)&lt;&gt;0,(Model!AA40+Model!AB40+Model!AC40)/(Model!AA12+Model!AB12+Model!AC12),0)</f>
        <v>-0.131437092013027</v>
      </c>
      <c r="K17" s="17" t="n">
        <f aca="false">IF((Model!AD12+Model!AE12+Model!AF12)&lt;&gt;0,(Model!AD40+Model!AE40+Model!AF40)/(Model!AD12+Model!AE12+Model!AF12),0)</f>
        <v>0.331261430493823</v>
      </c>
      <c r="L17" s="17" t="n">
        <f aca="false">IF((Model!AG12+Model!AH12+Model!AI12)&lt;&gt;0,(Model!AG40+Model!AH40+Model!AI40)/(Model!AG12+Model!AH12+Model!AI12),0)</f>
        <v>0.254462082400626</v>
      </c>
      <c r="M17" s="17" t="n">
        <f aca="false">IF((Model!AJ12+Model!AK12+Model!AL12)&lt;&gt;0,(Model!AJ40+Model!AK40+Model!AL40)/(Model!AJ12+Model!AK12+Model!AL12),0)</f>
        <v>-0.122636476047668</v>
      </c>
      <c r="N17" s="17" t="n">
        <f aca="false">IF((Model!AM12+Model!AN12+Model!AO12)&lt;&gt;0,(Model!AM40+Model!AN40+Model!AO40)/(Model!AM12+Model!AN12+Model!AO12),0)</f>
        <v>-0.354550194052712</v>
      </c>
      <c r="O17" s="17" t="n">
        <f aca="false">IF((Model!AP12+Model!AQ12+Model!AR12)&lt;&gt;0,(Model!AP40+Model!AQ40+Model!AR40)/(Model!AP12+Model!AQ12+Model!AR12),0)</f>
        <v>-0.354550194052712</v>
      </c>
      <c r="P17" s="17" t="n">
        <f aca="false">IF((Model!AS12+Model!AT12+Model!AU12)&lt;&gt;0,(Model!AS40+Model!AT40+Model!AU40)/(Model!AS12+Model!AT12+Model!AU12),0)</f>
        <v>-1.83724050278619</v>
      </c>
      <c r="Q17" s="17" t="n">
        <f aca="false">IF((Model!AV12+Model!AW12+Model!AX12)&lt;&gt;0,(Model!AV40+Model!AW40+Model!AX40)/(Model!AV12+Model!AW12+Model!AX12),0)</f>
        <v>-1.83724050278619</v>
      </c>
      <c r="R17" s="17" t="n">
        <f aca="false">IF((Model!AY12+Model!AZ12+Model!BA12)&lt;&gt;0,(Model!AY40+Model!AZ40+Model!BA40)/(Model!AY12+Model!AZ12+Model!BA12),0)</f>
        <v>-1.89398531284192</v>
      </c>
      <c r="S17" s="17" t="n">
        <f aca="false">IF((Model!BB12+Model!BC12+Model!BD12)&lt;&gt;0,(Model!BB40+Model!BC40+Model!BD40)/(Model!BB12+Model!BC12+Model!BD12),0)</f>
        <v>-1.89398531284192</v>
      </c>
      <c r="T17" s="17" t="n">
        <f aca="false">IF((Model!BE12+Model!BF12+Model!BG12)&lt;&gt;0,(Model!BE40+Model!BF40+Model!BG40)/(Model!BE12+Model!BF12+Model!BG12),0)</f>
        <v>-3.34097796926287</v>
      </c>
      <c r="U17" s="17" t="n">
        <f aca="false">IF((Model!BH12+Model!BI12+Model!BJ12)&lt;&gt;0,(Model!BH40+Model!BI40+Model!BJ40)/(Model!BH12+Model!BI12+Model!BJ12),0)</f>
        <v>0</v>
      </c>
      <c r="V17" s="17" t="n">
        <f aca="false">IF((Model!BK12+Model!BL12+Model!BM12)&lt;&gt;0,(Model!BK40+Model!BL40+Model!BM40)/(Model!BK12+Model!BL12+Model!BM12),0)</f>
        <v>0</v>
      </c>
      <c r="W17" s="17" t="n">
        <f aca="false">IF((Model!BN12+Model!BO12+Model!BP12)&lt;&gt;0,(Model!BN40+Model!BO40+Model!BP40)/(Model!BN12+Model!BO12+Model!BP12),0)</f>
        <v>0</v>
      </c>
      <c r="X17" s="17" t="n">
        <f aca="false">IF((Model!BQ12+Model!BR12+Model!BS12)&lt;&gt;0,(Model!BQ40+Model!BR40+Model!BS40)/(Model!BQ12+Model!BR12+Model!BS12),0)</f>
        <v>0</v>
      </c>
      <c r="Y17" s="17" t="n">
        <f aca="false">IF((Model!BT12+Model!BU12+Model!BV12)&lt;&gt;0,(Model!BT40+Model!BU40+Model!BV40)/(Model!BT12+Model!BU12+Model!BV12),0)</f>
        <v>0</v>
      </c>
      <c r="Z17" s="17" t="n">
        <f aca="false">IF((Model!BW12+Model!BX12+Model!BY12)&lt;&gt;0,(Model!BW40+Model!BX40+Model!BY40)/(Model!BW12+Model!BX12+Model!BY12),0)</f>
        <v>0</v>
      </c>
      <c r="AA17" s="17" t="n">
        <f aca="false">IF((Model!BZ12+Model!CA12+Model!CB12)&lt;&gt;0,(Model!BZ40+Model!CA40+Model!CB40)/(Model!BZ12+Model!CA12+Model!CB12),0)</f>
        <v>0</v>
      </c>
      <c r="AB17" s="17" t="n">
        <f aca="false">IF((Model!CC12+Model!CD12+Model!CE12)&lt;&gt;0,(Model!CC40+Model!CD40+Model!CE40)/(Model!CC12+Model!CD12+Model!CE12),0)</f>
        <v>0</v>
      </c>
      <c r="AC17" s="17" t="n">
        <f aca="false">IF((Model!CF12+Model!CG12+Model!CH12)&lt;&gt;0,(Model!CF40+Model!CG40+Model!CH40)/(Model!CF12+Model!CG12+Model!CH12),0)</f>
        <v>0</v>
      </c>
    </row>
    <row r="18" s="66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" hidden="false" customHeight="true" outlineLevel="0" collapsed="false">
      <c r="A19" s="67" t="s">
        <v>23</v>
      </c>
      <c r="B19" s="19" t="n">
        <f aca="false">Model!C63+Model!D63+Model!E63</f>
        <v>130843.74</v>
      </c>
      <c r="C19" s="19" t="n">
        <f aca="false">Model!F63+Model!G63+Model!H63</f>
        <v>130010.41</v>
      </c>
      <c r="D19" s="19" t="n">
        <f aca="false">Model!I63+Model!J63+Model!K63</f>
        <v>109593.75</v>
      </c>
      <c r="E19" s="19" t="n">
        <f aca="false">Model!L63+Model!M63+Model!N63</f>
        <v>136614.2412</v>
      </c>
      <c r="F19" s="19" t="n">
        <f aca="false">Model!O63+Model!P63+Model!Q63</f>
        <v>136614.2412</v>
      </c>
      <c r="G19" s="19" t="n">
        <f aca="false">Model!R63+Model!S63+Model!T63</f>
        <v>126827.8656</v>
      </c>
      <c r="H19" s="19" t="n">
        <f aca="false">Model!U63+Model!V63+Model!W63</f>
        <v>333353.2144</v>
      </c>
      <c r="I19" s="19" t="n">
        <f aca="false">Model!X63+Model!Y63+Model!Z63</f>
        <v>482503.5568</v>
      </c>
      <c r="J19" s="19" t="n">
        <f aca="false">Model!AA63+Model!AB63+Model!AC63</f>
        <v>660486.1424</v>
      </c>
      <c r="K19" s="19" t="n">
        <f aca="false">Model!AD63+Model!AE63+Model!AF63</f>
        <v>540502.3168</v>
      </c>
      <c r="L19" s="19" t="n">
        <f aca="false">Model!AG63+Model!AH63+Model!AI63</f>
        <v>533079.5136</v>
      </c>
      <c r="M19" s="19" t="n">
        <f aca="false">Model!AJ63+Model!AK63+Model!AL63</f>
        <v>471295.4304</v>
      </c>
      <c r="N19" s="19" t="n">
        <f aca="false">Model!AM63+Model!AN63+Model!AO63</f>
        <v>326650.016</v>
      </c>
      <c r="O19" s="19" t="n">
        <f aca="false">Model!AP63+Model!AQ63+Model!AR63</f>
        <v>263687.608</v>
      </c>
      <c r="P19" s="19" t="n">
        <f aca="false">Model!AS63+Model!AT63+Model!AU63</f>
        <v>304793.712</v>
      </c>
      <c r="Q19" s="19" t="n">
        <f aca="false">Model!AV63+Model!AW63+Model!AX63</f>
        <v>219930.2112</v>
      </c>
      <c r="R19" s="19" t="n">
        <f aca="false">Model!AY63+Model!AZ63+Model!BA63</f>
        <v>1067264.264</v>
      </c>
      <c r="S19" s="19" t="n">
        <f aca="false">Model!BB63+Model!BC63+Model!BD63</f>
        <v>260116.3104</v>
      </c>
      <c r="T19" s="19" t="n">
        <f aca="false">Model!BE63+Model!BF63+Model!BG63</f>
        <v>255609.3632</v>
      </c>
      <c r="U19" s="19" t="n">
        <f aca="false">Model!BH63+Model!BI63+Model!BJ63</f>
        <v>406482.0928</v>
      </c>
      <c r="V19" s="19" t="n">
        <f aca="false">Model!BK63+Model!BL63+Model!BM63</f>
        <v>130876</v>
      </c>
      <c r="W19" s="19" t="n">
        <f aca="false">Model!BN63+Model!BO63+Model!BP63</f>
        <v>142406</v>
      </c>
      <c r="X19" s="19" t="n">
        <f aca="false">Model!BQ63+Model!BR63+Model!BS63</f>
        <v>142402</v>
      </c>
      <c r="Y19" s="19" t="n">
        <f aca="false">Model!BT63+Model!BU63+Model!BV63</f>
        <v>142402</v>
      </c>
      <c r="Z19" s="19" t="n">
        <f aca="false">Model!BW63+Model!BX63+Model!BY63</f>
        <v>215558</v>
      </c>
      <c r="AA19" s="19" t="n">
        <f aca="false">Model!BZ63+Model!CA63+Model!CB63</f>
        <v>231017</v>
      </c>
      <c r="AB19" s="19" t="n">
        <f aca="false">Model!CC63+Model!CD63+Model!CE63</f>
        <v>231016</v>
      </c>
      <c r="AC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</f>
        <v>-358693.75</v>
      </c>
      <c r="C20" s="10" t="n">
        <f aca="false">Model!F84+Model!G84+Model!H84</f>
        <v>-381693.75</v>
      </c>
      <c r="D20" s="10" t="n">
        <f aca="false">Model!I84+Model!J84+Model!K84</f>
        <v>-379693.75</v>
      </c>
      <c r="E20" s="10" t="n">
        <f aca="false">Model!L84+Model!M84+Model!N84</f>
        <v>-358693.75</v>
      </c>
      <c r="F20" s="10" t="n">
        <f aca="false">Model!O84+Model!P84+Model!Q84</f>
        <v>-365867.625</v>
      </c>
      <c r="G20" s="10" t="n">
        <f aca="false">Model!R84+Model!S84+Model!T84</f>
        <v>-389327.625</v>
      </c>
      <c r="H20" s="10" t="n">
        <f aca="false">Model!U84+Model!V84+Model!W84</f>
        <v>-387287.625</v>
      </c>
      <c r="I20" s="10" t="n">
        <f aca="false">Model!X84+Model!Y84+Model!Z84</f>
        <v>-365867.625</v>
      </c>
      <c r="J20" s="10" t="n">
        <f aca="false">Model!AA84+Model!AB84+Model!AC84</f>
        <v>-373184.9775</v>
      </c>
      <c r="K20" s="10" t="n">
        <f aca="false">Model!AD84+Model!AE84+Model!AF84</f>
        <v>-397114.1775</v>
      </c>
      <c r="L20" s="10" t="n">
        <f aca="false">Model!AG84+Model!AH84+Model!AI84</f>
        <v>-395033.3775</v>
      </c>
      <c r="M20" s="10" t="n">
        <f aca="false">Model!AJ84+Model!AK84+Model!AL84</f>
        <v>-373184.9775</v>
      </c>
      <c r="N20" s="10" t="n">
        <f aca="false">Model!AM84+Model!AN84+Model!AO84</f>
        <v>-380648.67705</v>
      </c>
      <c r="O20" s="10" t="n">
        <f aca="false">Model!AP84+Model!AQ84+Model!AR84</f>
        <v>-486739.46105</v>
      </c>
      <c r="P20" s="10" t="n">
        <f aca="false">Model!AS84+Model!AT84+Model!AU84</f>
        <v>-484616.04505</v>
      </c>
      <c r="Q20" s="10" t="n">
        <f aca="false">Model!AV84+Model!AW84+Model!AX84</f>
        <v>-462330.67705</v>
      </c>
      <c r="R20" s="10" t="n">
        <f aca="false">Model!AY84+Model!AZ84+Model!BA84</f>
        <v>-1321782.650591</v>
      </c>
      <c r="S20" s="10" t="n">
        <f aca="false">Model!BB84+Model!BC84+Model!BD84</f>
        <v>-544035.590271</v>
      </c>
      <c r="T20" s="10" t="n">
        <f aca="false">Model!BE84+Model!BF84+Model!BG84</f>
        <v>-541868.725951</v>
      </c>
      <c r="U20" s="10" t="n">
        <f aca="false">Model!BH84+Model!BI84+Model!BJ84</f>
        <v>-519137.650591</v>
      </c>
      <c r="V20" s="10" t="n">
        <f aca="false">Model!BK84+Model!BL84+Model!BM84</f>
        <v>-526902.88360282</v>
      </c>
      <c r="W20" s="10" t="n">
        <f aca="false">Model!BN84+Model!BO84+Model!BP84</f>
        <v>-512313.22207642</v>
      </c>
      <c r="X20" s="10" t="n">
        <f aca="false">Model!BQ84+Model!BR84+Model!BS84</f>
        <v>-493852.58047002</v>
      </c>
      <c r="Y20" s="10" t="n">
        <f aca="false">Model!BT84+Model!BU84+Model!BV84</f>
        <v>-470666.88360282</v>
      </c>
      <c r="Z20" s="10" t="n">
        <f aca="false">Model!BW84+Model!BX84+Model!BY84</f>
        <v>-551743.421274877</v>
      </c>
      <c r="AA20" s="10" t="n">
        <f aca="false">Model!BZ84+Model!CA84+Model!CB84</f>
        <v>-584367.156917948</v>
      </c>
      <c r="AB20" s="10" t="n">
        <f aca="false">Model!CC84+Model!CD84+Model!CE84</f>
        <v>-582113.83207942</v>
      </c>
      <c r="AC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</f>
        <v>-227850.01</v>
      </c>
      <c r="C21" s="16" t="n">
        <f aca="false">Model!F86+Model!G86+Model!H86</f>
        <v>-251683.34</v>
      </c>
      <c r="D21" s="16" t="n">
        <f aca="false">Model!I86+Model!J86+Model!K86</f>
        <v>-270100</v>
      </c>
      <c r="E21" s="16" t="n">
        <f aca="false">Model!L86+Model!M86+Model!N86</f>
        <v>-222079.5088</v>
      </c>
      <c r="F21" s="16" t="n">
        <f aca="false">Model!O86+Model!P86+Model!Q86</f>
        <v>-229253.3838</v>
      </c>
      <c r="G21" s="16" t="n">
        <f aca="false">Model!R86+Model!S86+Model!T86</f>
        <v>-262499.7594</v>
      </c>
      <c r="H21" s="16" t="n">
        <f aca="false">Model!U86+Model!V86+Model!W86</f>
        <v>-53934.4106</v>
      </c>
      <c r="I21" s="16" t="n">
        <f aca="false">Model!X86+Model!Y86+Model!Z86</f>
        <v>116635.9318</v>
      </c>
      <c r="J21" s="16" t="n">
        <f aca="false">Model!AA86+Model!AB86+Model!AC86</f>
        <v>287301.1649</v>
      </c>
      <c r="K21" s="16" t="n">
        <f aca="false">Model!AD86+Model!AE86+Model!AF86</f>
        <v>143388.1393</v>
      </c>
      <c r="L21" s="16" t="n">
        <f aca="false">Model!AG86+Model!AH86+Model!AI86</f>
        <v>138046.1361</v>
      </c>
      <c r="M21" s="16" t="n">
        <f aca="false">Model!AJ86+Model!AK86+Model!AL86</f>
        <v>98110.4529</v>
      </c>
      <c r="N21" s="16" t="n">
        <f aca="false">Model!AM86+Model!AN86+Model!AO86</f>
        <v>-53998.66105</v>
      </c>
      <c r="O21" s="16" t="n">
        <f aca="false">Model!AP86+Model!AQ86+Model!AR86</f>
        <v>-223051.85305</v>
      </c>
      <c r="P21" s="16" t="n">
        <f aca="false">Model!AS86+Model!AT86+Model!AU86</f>
        <v>-179822.33305</v>
      </c>
      <c r="Q21" s="16" t="n">
        <f aca="false">Model!AV86+Model!AW86+Model!AX86</f>
        <v>-242400.46585</v>
      </c>
      <c r="R21" s="16" t="n">
        <f aca="false">Model!AY86+Model!AZ86+Model!BA86</f>
        <v>-254518.386591</v>
      </c>
      <c r="S21" s="16" t="n">
        <f aca="false">Model!BB86+Model!BC86+Model!BD86</f>
        <v>-283919.279871</v>
      </c>
      <c r="T21" s="16" t="n">
        <f aca="false">Model!BE86+Model!BF86+Model!BG86</f>
        <v>-286259.362751</v>
      </c>
      <c r="U21" s="16" t="n">
        <f aca="false">Model!BH86+Model!BI86+Model!BJ86</f>
        <v>-112655.557791</v>
      </c>
      <c r="V21" s="16" t="n">
        <f aca="false">Model!BK86+Model!BL86+Model!BM86</f>
        <v>-396026.88360282</v>
      </c>
      <c r="W21" s="16" t="n">
        <f aca="false">Model!BN86+Model!BO86+Model!BP86</f>
        <v>-369907.22207642</v>
      </c>
      <c r="X21" s="16" t="n">
        <f aca="false">Model!BQ86+Model!BR86+Model!BS86</f>
        <v>-351450.58047002</v>
      </c>
      <c r="Y21" s="16" t="n">
        <f aca="false">Model!BT86+Model!BU86+Model!BV86</f>
        <v>-328264.88360282</v>
      </c>
      <c r="Z21" s="16" t="n">
        <f aca="false">Model!BW86+Model!BX86+Model!BY86</f>
        <v>-336185.421274876</v>
      </c>
      <c r="AA21" s="16" t="n">
        <f aca="false">Model!BZ86+Model!CA86+Model!CB86</f>
        <v>-353350.156917948</v>
      </c>
      <c r="AB21" s="16" t="n">
        <f aca="false">Model!CC86+Model!CD86+Model!CE86</f>
        <v>-351097.83207942</v>
      </c>
      <c r="AC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</f>
        <v>-138020.23222488</v>
      </c>
      <c r="C23" s="16" t="n">
        <f aca="false">Model!F95+Model!G95+Model!H95</f>
        <v>529303.210756938</v>
      </c>
      <c r="D23" s="16" t="n">
        <f aca="false">Model!I95+Model!J95+Model!K95</f>
        <v>1135163.24751116</v>
      </c>
      <c r="E23" s="16" t="n">
        <f aca="false">Model!L95+Model!M95+Model!N95</f>
        <v>777009.883658134</v>
      </c>
      <c r="F23" s="16" t="n">
        <f aca="false">Model!O95+Model!P95+Model!Q95</f>
        <v>466934.115194497</v>
      </c>
      <c r="G23" s="16" t="n">
        <f aca="false">Model!R95+Model!S95+Model!T95</f>
        <v>402037.055503588</v>
      </c>
      <c r="H23" s="16" t="n">
        <f aca="false">Model!U95+Model!V95+Model!W95</f>
        <v>424060.588514115</v>
      </c>
      <c r="I23" s="16" t="n">
        <f aca="false">Model!X95+Model!Y95+Model!Z95</f>
        <v>564327.773019378</v>
      </c>
      <c r="J23" s="16" t="n">
        <f aca="false">Model!AA95+Model!AB95+Model!AC95</f>
        <v>-20685.5266385711</v>
      </c>
      <c r="K23" s="16" t="n">
        <f aca="false">Model!AD95+Model!AE95+Model!AF95</f>
        <v>790906.322753455</v>
      </c>
      <c r="L23" s="16" t="n">
        <f aca="false">Model!AG95+Model!AH95+Model!AI95</f>
        <v>584206.317659515</v>
      </c>
      <c r="M23" s="16" t="n">
        <f aca="false">Model!AJ95+Model!AK95+Model!AL95</f>
        <v>-44686.1846692726</v>
      </c>
      <c r="N23" s="16" t="n">
        <f aca="false">Model!AM95+Model!AN95+Model!AO95</f>
        <v>-402994.512052476</v>
      </c>
      <c r="O23" s="16" t="n">
        <f aca="false">Model!AP95+Model!AQ95+Model!AR95</f>
        <v>-572047.704052477</v>
      </c>
      <c r="P23" s="16" t="n">
        <f aca="false">Model!AS95+Model!AT95+Model!AU95</f>
        <v>-1043213.29768884</v>
      </c>
      <c r="Q23" s="16" t="n">
        <f aca="false">Model!AV95+Model!AW95+Model!AX95</f>
        <v>-1105791.43048884</v>
      </c>
      <c r="R23" s="16" t="n">
        <f aca="false">Model!AY95+Model!AZ95+Model!BA95</f>
        <v>-1144575.95052262</v>
      </c>
      <c r="S23" s="16" t="n">
        <f aca="false">Model!BB95+Model!BC95+Model!BD95</f>
        <v>-1173976.84380262</v>
      </c>
      <c r="T23" s="16" t="n">
        <f aca="false">Model!BE95+Model!BF95+Model!BG95</f>
        <v>-1332963.26001595</v>
      </c>
      <c r="U23" s="16" t="n">
        <f aca="false">Model!BH95+Model!BI95+Model!BJ95</f>
        <v>-1472652.12172262</v>
      </c>
      <c r="V23" s="16" t="n">
        <f aca="false">Model!BK95+Model!BL95+Model!BM95</f>
        <v>-1783223.37881307</v>
      </c>
      <c r="W23" s="16" t="n">
        <f aca="false">Model!BN95+Model!BO95+Model!BP95</f>
        <v>-1757103.71728667</v>
      </c>
      <c r="X23" s="16" t="n">
        <f aca="false">Model!BQ95+Model!BR95+Model!BS95</f>
        <v>-1738647.07568027</v>
      </c>
      <c r="Y23" s="16" t="n">
        <f aca="false">Model!BT95+Model!BU95+Model!BV95</f>
        <v>-1715461.37881307</v>
      </c>
      <c r="Z23" s="16" t="n">
        <f aca="false">Model!BW95+Model!BX95+Model!BY95</f>
        <v>-1751125.84638933</v>
      </c>
      <c r="AA23" s="16" t="n">
        <f aca="false">Model!BZ95+Model!CA95+Model!CB95</f>
        <v>-1768290.5820324</v>
      </c>
      <c r="AB23" s="16" t="n">
        <f aca="false">Model!CC95+Model!CD95+Model!CE95</f>
        <v>-1766038.25719387</v>
      </c>
      <c r="AC23" s="16" t="n">
        <f aca="false">Model!CF95+Model!CG95+Model!CH95</f>
        <v>-1735780.81978285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" hidden="false" customHeight="true" outlineLevel="0" collapsed="false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</f>
        <v>-0</v>
      </c>
      <c r="C26" s="10" t="n">
        <f aca="false">Model!F79+Model!G79+Model!H79</f>
        <v>-0</v>
      </c>
      <c r="D26" s="10" t="n">
        <f aca="false">Model!I79+Model!J79+Model!K79</f>
        <v>-0</v>
      </c>
      <c r="E26" s="10" t="n">
        <f aca="false">Model!L79+Model!M79+Model!N79</f>
        <v>-0</v>
      </c>
      <c r="F26" s="10" t="n">
        <f aca="false">Model!O79+Model!P79+Model!Q79</f>
        <v>-0</v>
      </c>
      <c r="G26" s="10" t="n">
        <f aca="false">Model!R79+Model!S79+Model!T79</f>
        <v>-0</v>
      </c>
      <c r="H26" s="10" t="n">
        <f aca="false">Model!U79+Model!V79+Model!W79</f>
        <v>-0</v>
      </c>
      <c r="I26" s="10" t="n">
        <f aca="false">Model!X79+Model!Y79+Model!Z79</f>
        <v>-0</v>
      </c>
      <c r="J26" s="10" t="n">
        <f aca="false">Model!AA79+Model!AB79+Model!AC79</f>
        <v>-0</v>
      </c>
      <c r="K26" s="10" t="n">
        <f aca="false">Model!AD79+Model!AE79+Model!AF79</f>
        <v>-0</v>
      </c>
      <c r="L26" s="10" t="n">
        <f aca="false">Model!AG79+Model!AH79+Model!AI79</f>
        <v>-0</v>
      </c>
      <c r="M26" s="10" t="n">
        <f aca="false">Model!AJ79+Model!AK79+Model!AL79</f>
        <v>-0</v>
      </c>
      <c r="N26" s="10" t="n">
        <f aca="false">Model!AM79+Model!AN79+Model!AO79</f>
        <v>-0</v>
      </c>
      <c r="O26" s="10" t="n">
        <f aca="false">Model!AP79+Model!AQ79+Model!AR79</f>
        <v>-0</v>
      </c>
      <c r="P26" s="10" t="n">
        <f aca="false">Model!AS79+Model!AT79+Model!AU79</f>
        <v>-0</v>
      </c>
      <c r="Q26" s="10" t="n">
        <f aca="false">Model!AV79+Model!AW79+Model!AX79</f>
        <v>-0</v>
      </c>
      <c r="R26" s="10" t="n">
        <f aca="false">Model!AY79+Model!AZ79+Model!BA79</f>
        <v>-0</v>
      </c>
      <c r="S26" s="10" t="n">
        <f aca="false">Model!BB79+Model!BC79+Model!BD79</f>
        <v>-0</v>
      </c>
      <c r="T26" s="10" t="n">
        <f aca="false">Model!BE79+Model!BF79+Model!BG79</f>
        <v>-0</v>
      </c>
      <c r="U26" s="10" t="n">
        <f aca="false">Model!BH79+Model!BI79+Model!BJ79</f>
        <v>-0</v>
      </c>
      <c r="V26" s="10" t="n">
        <f aca="false">Model!BK79+Model!BL79+Model!BM79</f>
        <v>-0</v>
      </c>
      <c r="W26" s="10" t="n">
        <f aca="false">Model!BN79+Model!BO79+Model!BP79</f>
        <v>-0</v>
      </c>
      <c r="X26" s="10" t="n">
        <f aca="false">Model!BQ79+Model!BR79+Model!BS79</f>
        <v>-0</v>
      </c>
      <c r="Y26" s="10" t="n">
        <f aca="false">Model!BT79+Model!BU79+Model!BV79</f>
        <v>-0</v>
      </c>
      <c r="Z26" s="10" t="n">
        <f aca="false">Model!BW79+Model!BX79+Model!BY79</f>
        <v>-0</v>
      </c>
      <c r="AA26" s="10" t="n">
        <f aca="false">Model!BZ79+Model!CA79+Model!CB79</f>
        <v>-0</v>
      </c>
      <c r="AB26" s="10" t="n">
        <f aca="false">Model!CC79+Model!CD79+Model!CE79</f>
        <v>-0</v>
      </c>
      <c r="AC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</f>
        <v>-0</v>
      </c>
      <c r="C27" s="10" t="n">
        <f aca="false">Model!F80+Model!G80+Model!H80</f>
        <v>-0</v>
      </c>
      <c r="D27" s="10" t="n">
        <f aca="false">Model!I80+Model!J80+Model!K80</f>
        <v>-0</v>
      </c>
      <c r="E27" s="10" t="n">
        <f aca="false">Model!L80+Model!M80+Model!N80</f>
        <v>-0</v>
      </c>
      <c r="F27" s="10" t="n">
        <f aca="false">Model!O80+Model!P80+Model!Q80</f>
        <v>-0</v>
      </c>
      <c r="G27" s="10" t="n">
        <f aca="false">Model!R80+Model!S80+Model!T80</f>
        <v>-0</v>
      </c>
      <c r="H27" s="10" t="n">
        <f aca="false">Model!U80+Model!V80+Model!W80</f>
        <v>-0</v>
      </c>
      <c r="I27" s="10" t="n">
        <f aca="false">Model!X80+Model!Y80+Model!Z80</f>
        <v>-0</v>
      </c>
      <c r="J27" s="10" t="n">
        <f aca="false">Model!AA80+Model!AB80+Model!AC80</f>
        <v>-0</v>
      </c>
      <c r="K27" s="10" t="n">
        <f aca="false">Model!AD80+Model!AE80+Model!AF80</f>
        <v>-0</v>
      </c>
      <c r="L27" s="10" t="n">
        <f aca="false">Model!AG80+Model!AH80+Model!AI80</f>
        <v>-0</v>
      </c>
      <c r="M27" s="10" t="n">
        <f aca="false">Model!AJ80+Model!AK80+Model!AL80</f>
        <v>-0</v>
      </c>
      <c r="N27" s="10" t="n">
        <f aca="false">Model!AM80+Model!AN80+Model!AO80</f>
        <v>-0</v>
      </c>
      <c r="O27" s="10" t="n">
        <f aca="false">Model!AP80+Model!AQ80+Model!AR80</f>
        <v>-0</v>
      </c>
      <c r="P27" s="10" t="n">
        <f aca="false">Model!AS80+Model!AT80+Model!AU80</f>
        <v>-0</v>
      </c>
      <c r="Q27" s="10" t="n">
        <f aca="false">Model!AV80+Model!AW80+Model!AX80</f>
        <v>-0</v>
      </c>
      <c r="R27" s="10" t="n">
        <f aca="false">Model!AY80+Model!AZ80+Model!BA80</f>
        <v>-0</v>
      </c>
      <c r="S27" s="10" t="n">
        <f aca="false">Model!BB80+Model!BC80+Model!BD80</f>
        <v>-0</v>
      </c>
      <c r="T27" s="10" t="n">
        <f aca="false">Model!BE80+Model!BF80+Model!BG80</f>
        <v>-0</v>
      </c>
      <c r="U27" s="10" t="n">
        <f aca="false">Model!BH80+Model!BI80+Model!BJ80</f>
        <v>-0</v>
      </c>
      <c r="V27" s="10" t="n">
        <f aca="false">Model!BK80+Model!BL80+Model!BM80</f>
        <v>-0</v>
      </c>
      <c r="W27" s="10" t="n">
        <f aca="false">Model!BN80+Model!BO80+Model!BP80</f>
        <v>-0</v>
      </c>
      <c r="X27" s="10" t="n">
        <f aca="false">Model!BQ80+Model!BR80+Model!BS80</f>
        <v>-0</v>
      </c>
      <c r="Y27" s="10" t="n">
        <f aca="false">Model!BT80+Model!BU80+Model!BV80</f>
        <v>-0</v>
      </c>
      <c r="Z27" s="10" t="n">
        <f aca="false">Model!BW80+Model!BX80+Model!BY80</f>
        <v>-0</v>
      </c>
      <c r="AA27" s="10" t="n">
        <f aca="false">Model!BZ80+Model!CA80+Model!CB80</f>
        <v>-0</v>
      </c>
      <c r="AB27" s="10" t="n">
        <f aca="false">Model!CC80+Model!CD80+Model!CE80</f>
        <v>-0</v>
      </c>
      <c r="AC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</f>
        <v>-0</v>
      </c>
      <c r="C28" s="10" t="n">
        <f aca="false">Model!F81+Model!G81+Model!H81</f>
        <v>-0</v>
      </c>
      <c r="D28" s="10" t="n">
        <f aca="false">Model!I81+Model!J81+Model!K81</f>
        <v>-0</v>
      </c>
      <c r="E28" s="10" t="n">
        <f aca="false">Model!L81+Model!M81+Model!N81</f>
        <v>-0</v>
      </c>
      <c r="F28" s="10" t="n">
        <f aca="false">Model!O81+Model!P81+Model!Q81</f>
        <v>-0</v>
      </c>
      <c r="G28" s="10" t="n">
        <f aca="false">Model!R81+Model!S81+Model!T81</f>
        <v>-0</v>
      </c>
      <c r="H28" s="10" t="n">
        <f aca="false">Model!U81+Model!V81+Model!W81</f>
        <v>-0</v>
      </c>
      <c r="I28" s="10" t="n">
        <f aca="false">Model!X81+Model!Y81+Model!Z81</f>
        <v>-0</v>
      </c>
      <c r="J28" s="10" t="n">
        <f aca="false">Model!AA81+Model!AB81+Model!AC81</f>
        <v>-0</v>
      </c>
      <c r="K28" s="10" t="n">
        <f aca="false">Model!AD81+Model!AE81+Model!AF81</f>
        <v>-0</v>
      </c>
      <c r="L28" s="10" t="n">
        <f aca="false">Model!AG81+Model!AH81+Model!AI81</f>
        <v>-0</v>
      </c>
      <c r="M28" s="10" t="n">
        <f aca="false">Model!AJ81+Model!AK81+Model!AL81</f>
        <v>-0</v>
      </c>
      <c r="N28" s="10" t="n">
        <f aca="false">Model!AM81+Model!AN81+Model!AO81</f>
        <v>-0</v>
      </c>
      <c r="O28" s="10" t="n">
        <f aca="false">Model!AP81+Model!AQ81+Model!AR81</f>
        <v>-81683</v>
      </c>
      <c r="P28" s="10" t="n">
        <f aca="false">Model!AS81+Model!AT81+Model!AU81</f>
        <v>-81682</v>
      </c>
      <c r="Q28" s="10" t="n">
        <f aca="false">Model!AV81+Model!AW81+Model!AX81</f>
        <v>-81682</v>
      </c>
      <c r="R28" s="10" t="n">
        <f aca="false">Model!AY81+Model!AZ81+Model!BA81</f>
        <v>-81682</v>
      </c>
      <c r="S28" s="10" t="n">
        <f aca="false">Model!BB81+Model!BC81+Model!BD81</f>
        <v>-59178</v>
      </c>
      <c r="T28" s="10" t="n">
        <f aca="false">Model!BE81+Model!BF81+Model!BG81</f>
        <v>-59176</v>
      </c>
      <c r="U28" s="10" t="n">
        <f aca="false">Model!BH81+Model!BI81+Model!BJ81</f>
        <v>-59176</v>
      </c>
      <c r="V28" s="10" t="n">
        <f aca="false">Model!BK81+Model!BL81+Model!BM81</f>
        <v>-59176</v>
      </c>
      <c r="W28" s="10" t="n">
        <f aca="false">Model!BN81+Model!BO81+Model!BP81</f>
        <v>-16249.48</v>
      </c>
      <c r="X28" s="10" t="n">
        <f aca="false">Model!BQ81+Model!BR81+Model!BS81</f>
        <v>-0</v>
      </c>
      <c r="Y28" s="10" t="n">
        <f aca="false">Model!BT81+Model!BU81+Model!BV81</f>
        <v>-0</v>
      </c>
      <c r="Z28" s="10" t="n">
        <f aca="false">Model!BW81+Model!BX81+Model!BY81</f>
        <v>-0</v>
      </c>
      <c r="AA28" s="10" t="n">
        <f aca="false">Model!BZ81+Model!CA81+Model!CB81</f>
        <v>-0</v>
      </c>
      <c r="AB28" s="10" t="n">
        <f aca="false">Model!CC81+Model!CD81+Model!CE81</f>
        <v>-0</v>
      </c>
      <c r="AC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</f>
        <v>-0</v>
      </c>
      <c r="C29" s="10" t="n">
        <f aca="false">Model!F82+Model!G82+Model!H82</f>
        <v>-0</v>
      </c>
      <c r="D29" s="10" t="n">
        <f aca="false">Model!I82+Model!J82+Model!K82</f>
        <v>-0</v>
      </c>
      <c r="E29" s="10" t="n">
        <f aca="false">Model!L82+Model!M82+Model!N82</f>
        <v>-0</v>
      </c>
      <c r="F29" s="10" t="n">
        <f aca="false">Model!O82+Model!P82+Model!Q82</f>
        <v>-0</v>
      </c>
      <c r="G29" s="10" t="n">
        <f aca="false">Model!R82+Model!S82+Model!T82</f>
        <v>-0</v>
      </c>
      <c r="H29" s="10" t="n">
        <f aca="false">Model!U82+Model!V82+Model!W82</f>
        <v>-0</v>
      </c>
      <c r="I29" s="10" t="n">
        <f aca="false">Model!X82+Model!Y82+Model!Z82</f>
        <v>-0</v>
      </c>
      <c r="J29" s="10" t="n">
        <f aca="false">Model!AA82+Model!AB82+Model!AC82</f>
        <v>-0</v>
      </c>
      <c r="K29" s="10" t="n">
        <f aca="false">Model!AD82+Model!AE82+Model!AF82</f>
        <v>-0</v>
      </c>
      <c r="L29" s="10" t="n">
        <f aca="false">Model!AG82+Model!AH82+Model!AI82</f>
        <v>-0</v>
      </c>
      <c r="M29" s="10" t="n">
        <f aca="false">Model!AJ82+Model!AK82+Model!AL82</f>
        <v>-0</v>
      </c>
      <c r="N29" s="10" t="n">
        <f aca="false">Model!AM82+Model!AN82+Model!AO82</f>
        <v>-0</v>
      </c>
      <c r="O29" s="10" t="n">
        <f aca="false">Model!AP82+Model!AQ82+Model!AR82</f>
        <v>-0</v>
      </c>
      <c r="P29" s="10" t="n">
        <f aca="false">Model!AS82+Model!AT82+Model!AU82</f>
        <v>-0</v>
      </c>
      <c r="Q29" s="10" t="n">
        <f aca="false">Model!AV82+Model!AW82+Model!AX82</f>
        <v>-0</v>
      </c>
      <c r="R29" s="10" t="n">
        <f aca="false">Model!AY82+Model!AZ82+Model!BA82</f>
        <v>-851839</v>
      </c>
      <c r="S29" s="10" t="n">
        <f aca="false">Model!BB82+Model!BC82+Model!BD82</f>
        <v>-71700</v>
      </c>
      <c r="T29" s="10" t="n">
        <f aca="false">Model!BE82+Model!BF82+Model!BG82</f>
        <v>-71700</v>
      </c>
      <c r="U29" s="10" t="n">
        <f aca="false">Model!BH82+Model!BI82+Model!BJ82</f>
        <v>-71700</v>
      </c>
      <c r="V29" s="10" t="n">
        <f aca="false">Model!BK82+Model!BL82+Model!BM82</f>
        <v>-71700</v>
      </c>
      <c r="W29" s="10" t="n">
        <f aca="false">Model!BN82+Model!BO82+Model!BP82</f>
        <v>-74643</v>
      </c>
      <c r="X29" s="10" t="n">
        <f aca="false">Model!BQ82+Model!BR82+Model!BS82</f>
        <v>-74640</v>
      </c>
      <c r="Y29" s="10" t="n">
        <f aca="false">Model!BT82+Model!BU82+Model!BV82</f>
        <v>-74640</v>
      </c>
      <c r="Z29" s="10" t="n">
        <f aca="false">Model!BW82+Model!BX82+Model!BY82</f>
        <v>-74640</v>
      </c>
      <c r="AA29" s="10" t="n">
        <f aca="false">Model!BZ82+Model!CA82+Model!CB82</f>
        <v>-81363</v>
      </c>
      <c r="AB29" s="10" t="n">
        <f aca="false">Model!CC82+Model!CD82+Model!CE82</f>
        <v>-81362</v>
      </c>
      <c r="AC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</f>
        <v>-0</v>
      </c>
      <c r="C30" s="10" t="n">
        <f aca="false">Model!F83+Model!G83+Model!H83</f>
        <v>-0</v>
      </c>
      <c r="D30" s="10" t="n">
        <f aca="false">Model!I83+Model!J83+Model!K83</f>
        <v>-0</v>
      </c>
      <c r="E30" s="10" t="n">
        <f aca="false">Model!L83+Model!M83+Model!N83</f>
        <v>-0</v>
      </c>
      <c r="F30" s="10" t="n">
        <f aca="false">Model!O83+Model!P83+Model!Q83</f>
        <v>-0</v>
      </c>
      <c r="G30" s="10" t="n">
        <f aca="false">Model!R83+Model!S83+Model!T83</f>
        <v>-0</v>
      </c>
      <c r="H30" s="10" t="n">
        <f aca="false">Model!U83+Model!V83+Model!W83</f>
        <v>-0</v>
      </c>
      <c r="I30" s="10" t="n">
        <f aca="false">Model!X83+Model!Y83+Model!Z83</f>
        <v>-0</v>
      </c>
      <c r="J30" s="10" t="n">
        <f aca="false">Model!AA83+Model!AB83+Model!AC83</f>
        <v>-0</v>
      </c>
      <c r="K30" s="10" t="n">
        <f aca="false">Model!AD83+Model!AE83+Model!AF83</f>
        <v>-0</v>
      </c>
      <c r="L30" s="10" t="n">
        <f aca="false">Model!AG83+Model!AH83+Model!AI83</f>
        <v>-0</v>
      </c>
      <c r="M30" s="10" t="n">
        <f aca="false">Model!AJ83+Model!AK83+Model!AL83</f>
        <v>-0</v>
      </c>
      <c r="N30" s="10" t="n">
        <f aca="false">Model!AM83+Model!AN83+Model!AO83</f>
        <v>-0</v>
      </c>
      <c r="O30" s="10" t="n">
        <f aca="false">Model!AP83+Model!AQ83+Model!AR83</f>
        <v>-0</v>
      </c>
      <c r="P30" s="10" t="n">
        <f aca="false">Model!AS83+Model!AT83+Model!AU83</f>
        <v>-0</v>
      </c>
      <c r="Q30" s="10" t="n">
        <f aca="false">Model!AV83+Model!AW83+Model!AX83</f>
        <v>-0</v>
      </c>
      <c r="R30" s="10" t="n">
        <f aca="false">Model!AY83+Model!AZ83+Model!BA83</f>
        <v>-0</v>
      </c>
      <c r="S30" s="10" t="n">
        <f aca="false">Model!BB83+Model!BC83+Model!BD83</f>
        <v>-0</v>
      </c>
      <c r="T30" s="10" t="n">
        <f aca="false">Model!BE83+Model!BF83+Model!BG83</f>
        <v>-0</v>
      </c>
      <c r="U30" s="10" t="n">
        <f aca="false">Model!BH83+Model!BI83+Model!BJ83</f>
        <v>-0</v>
      </c>
      <c r="V30" s="10" t="n">
        <f aca="false">Model!BK83+Model!BL83+Model!BM83</f>
        <v>-0</v>
      </c>
      <c r="W30" s="10" t="n">
        <f aca="false">Model!BN83+Model!BO83+Model!BP83</f>
        <v>-0</v>
      </c>
      <c r="X30" s="10" t="n">
        <f aca="false">Model!BQ83+Model!BR83+Model!BS83</f>
        <v>-0</v>
      </c>
      <c r="Y30" s="10" t="n">
        <f aca="false">Model!BT83+Model!BU83+Model!BV83</f>
        <v>-0</v>
      </c>
      <c r="Z30" s="10" t="n">
        <f aca="false">Model!BW83+Model!BX83+Model!BY83</f>
        <v>-73156</v>
      </c>
      <c r="AA30" s="10" t="n">
        <f aca="false">Model!BZ83+Model!CA83+Model!CB83</f>
        <v>-73155</v>
      </c>
      <c r="AB30" s="10" t="n">
        <f aca="false">Model!CC83+Model!CD83+Model!CE83</f>
        <v>-73155</v>
      </c>
      <c r="AC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" hidden="false" customHeight="true" outlineLevel="0" collapsed="false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</f>
        <v>0</v>
      </c>
      <c r="C33" s="10" t="n">
        <f aca="false">Model!F100+Model!G100+Model!H100</f>
        <v>0</v>
      </c>
      <c r="D33" s="10" t="n">
        <f aca="false">Model!I100+Model!J100+Model!K100</f>
        <v>-390000</v>
      </c>
      <c r="E33" s="10" t="n">
        <f aca="false">Model!L100+Model!M100+Model!N100</f>
        <v>-390000</v>
      </c>
      <c r="F33" s="10" t="n">
        <f aca="false">Model!O100+Model!P100+Model!Q100</f>
        <v>-390000</v>
      </c>
      <c r="G33" s="10" t="n">
        <f aca="false">Model!R100+Model!S100+Model!T100</f>
        <v>-390000</v>
      </c>
      <c r="H33" s="10" t="n">
        <f aca="false">Model!U100+Model!V100+Model!W100</f>
        <v>-325969.243285445</v>
      </c>
      <c r="I33" s="10" t="n">
        <f aca="false">Model!X100+Model!Y100+Model!Z100</f>
        <v>0</v>
      </c>
      <c r="J33" s="10" t="n">
        <f aca="false">Model!AA100+Model!AB100+Model!AC100</f>
        <v>0</v>
      </c>
      <c r="K33" s="10" t="n">
        <f aca="false">Model!AD100+Model!AE100+Model!AF100</f>
        <v>0</v>
      </c>
      <c r="L33" s="10" t="n">
        <f aca="false">Model!AG100+Model!AH100+Model!AI100</f>
        <v>0</v>
      </c>
      <c r="M33" s="10" t="n">
        <f aca="false">Model!AJ100+Model!AK100+Model!AL100</f>
        <v>0</v>
      </c>
      <c r="N33" s="10" t="n">
        <f aca="false">Model!AM100+Model!AN100+Model!AO100</f>
        <v>0</v>
      </c>
      <c r="O33" s="10" t="n">
        <f aca="false">Model!AP100+Model!AQ100+Model!AR100</f>
        <v>0</v>
      </c>
      <c r="P33" s="10" t="n">
        <f aca="false">Model!AS100+Model!AT100+Model!AU100</f>
        <v>0</v>
      </c>
      <c r="Q33" s="10" t="n">
        <f aca="false">Model!AV100+Model!AW100+Model!AX100</f>
        <v>0</v>
      </c>
      <c r="R33" s="10" t="n">
        <f aca="false">Model!AY100+Model!AZ100+Model!BA100</f>
        <v>0</v>
      </c>
      <c r="S33" s="10" t="n">
        <f aca="false">Model!BB100+Model!BC100+Model!BD100</f>
        <v>0</v>
      </c>
      <c r="T33" s="10" t="n">
        <f aca="false">Model!BE100+Model!BF100+Model!BG100</f>
        <v>0</v>
      </c>
      <c r="U33" s="10" t="n">
        <f aca="false">Model!BH100+Model!BI100+Model!BJ100</f>
        <v>0</v>
      </c>
      <c r="V33" s="10" t="n">
        <f aca="false">Model!BK100+Model!BL100+Model!BM100</f>
        <v>0</v>
      </c>
      <c r="W33" s="10" t="n">
        <f aca="false">Model!BN100+Model!BO100+Model!BP100</f>
        <v>0</v>
      </c>
      <c r="X33" s="10" t="n">
        <f aca="false">Model!BQ100+Model!BR100+Model!BS100</f>
        <v>0</v>
      </c>
      <c r="Y33" s="10" t="n">
        <f aca="false">Model!BT100+Model!BU100+Model!BV100</f>
        <v>0</v>
      </c>
      <c r="Z33" s="10" t="n">
        <f aca="false">Model!BW100+Model!BX100+Model!BY100</f>
        <v>0</v>
      </c>
      <c r="AA33" s="10" t="n">
        <f aca="false">Model!BZ100+Model!CA100+Model!CB100</f>
        <v>0</v>
      </c>
      <c r="AB33" s="10" t="n">
        <f aca="false">Model!CC100+Model!CD100+Model!CE100</f>
        <v>0</v>
      </c>
      <c r="AC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Model!E101</f>
        <v>1676065.6875</v>
      </c>
      <c r="C34" s="10" t="n">
        <f aca="false">Model!H101</f>
        <v>1738918.15078125</v>
      </c>
      <c r="D34" s="10" t="n">
        <f aca="false">Model!K101</f>
        <v>1404377.58143555</v>
      </c>
      <c r="E34" s="10" t="n">
        <f aca="false">Model!N101</f>
        <v>1057291.74073938</v>
      </c>
      <c r="F34" s="10" t="n">
        <f aca="false">Model!Q101</f>
        <v>697190.181017107</v>
      </c>
      <c r="G34" s="10" t="n">
        <f aca="false">Model!T101</f>
        <v>323584.812805248</v>
      </c>
      <c r="H34" s="10" t="n">
        <f aca="false">Model!W101</f>
        <v>0</v>
      </c>
      <c r="I34" s="10" t="n">
        <f aca="false">Model!Z101</f>
        <v>0</v>
      </c>
      <c r="J34" s="10" t="n">
        <f aca="false">Model!AC101</f>
        <v>0</v>
      </c>
      <c r="K34" s="10" t="n">
        <f aca="false">Model!AF101</f>
        <v>0</v>
      </c>
      <c r="L34" s="10" t="n">
        <f aca="false">Model!AI101</f>
        <v>0</v>
      </c>
      <c r="M34" s="10" t="n">
        <f aca="false">Model!AL101</f>
        <v>0</v>
      </c>
      <c r="N34" s="10" t="n">
        <f aca="false">Model!AO101</f>
        <v>0</v>
      </c>
      <c r="O34" s="10" t="n">
        <f aca="false">Model!AR101</f>
        <v>0</v>
      </c>
      <c r="P34" s="10" t="n">
        <f aca="false">Model!AU101</f>
        <v>0</v>
      </c>
      <c r="Q34" s="10" t="n">
        <f aca="false">Model!AX101</f>
        <v>0</v>
      </c>
      <c r="R34" s="10" t="n">
        <f aca="false">Model!BA101</f>
        <v>0</v>
      </c>
      <c r="S34" s="10" t="n">
        <f aca="false">Model!BD101</f>
        <v>0</v>
      </c>
      <c r="T34" s="10" t="n">
        <f aca="false">Model!BG101</f>
        <v>0</v>
      </c>
      <c r="U34" s="10" t="n">
        <f aca="false">Model!BJ101</f>
        <v>0</v>
      </c>
      <c r="V34" s="10" t="n">
        <f aca="false">Model!BM101</f>
        <v>0</v>
      </c>
      <c r="W34" s="10" t="n">
        <f aca="false">Model!BP101</f>
        <v>0</v>
      </c>
      <c r="X34" s="10" t="n">
        <f aca="false">Model!BS101</f>
        <v>0</v>
      </c>
      <c r="Y34" s="10" t="n">
        <f aca="false">Model!BV101</f>
        <v>0</v>
      </c>
      <c r="Z34" s="10" t="n">
        <f aca="false">Model!BY101</f>
        <v>0</v>
      </c>
      <c r="AA34" s="10" t="n">
        <f aca="false">Model!CB101</f>
        <v>0</v>
      </c>
      <c r="AB34" s="10" t="n">
        <f aca="false">Model!CE101</f>
        <v>0</v>
      </c>
      <c r="AC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</f>
        <v>0</v>
      </c>
      <c r="C35" s="10" t="n">
        <f aca="false">Model!F106+Model!G106+Model!H106</f>
        <v>0</v>
      </c>
      <c r="D35" s="10" t="n">
        <f aca="false">Model!I106+Model!J106+Model!K106</f>
        <v>0</v>
      </c>
      <c r="E35" s="10" t="n">
        <f aca="false">Model!L106+Model!M106+Model!N106</f>
        <v>-250000</v>
      </c>
      <c r="F35" s="10" t="n">
        <f aca="false">Model!O106+Model!P106+Model!Q106</f>
        <v>0</v>
      </c>
      <c r="G35" s="10" t="n">
        <f aca="false">Model!R106+Model!S106+Model!T106</f>
        <v>0</v>
      </c>
      <c r="H35" s="10" t="n">
        <f aca="false">Model!U106+Model!V106+Model!W106</f>
        <v>0</v>
      </c>
      <c r="I35" s="10" t="n">
        <f aca="false">Model!X106+Model!Y106+Model!Z106</f>
        <v>-250000</v>
      </c>
      <c r="J35" s="10" t="n">
        <f aca="false">Model!AA106+Model!AB106+Model!AC106</f>
        <v>0</v>
      </c>
      <c r="K35" s="10" t="n">
        <f aca="false">Model!AD106+Model!AE106+Model!AF106</f>
        <v>0</v>
      </c>
      <c r="L35" s="10" t="n">
        <f aca="false">Model!AG106+Model!AH106+Model!AI106</f>
        <v>0</v>
      </c>
      <c r="M35" s="10" t="n">
        <f aca="false">Model!AJ106+Model!AK106+Model!AL106</f>
        <v>-250000</v>
      </c>
      <c r="N35" s="10" t="n">
        <f aca="false">Model!AM106+Model!AN106+Model!AO106</f>
        <v>0</v>
      </c>
      <c r="O35" s="10" t="n">
        <f aca="false">Model!AP106+Model!AQ106+Model!AR106</f>
        <v>0</v>
      </c>
      <c r="P35" s="10" t="n">
        <f aca="false">Model!AS106+Model!AT106+Model!AU106</f>
        <v>0</v>
      </c>
      <c r="Q35" s="10" t="n">
        <f aca="false">Model!AV106+Model!AW106+Model!AX106</f>
        <v>0</v>
      </c>
      <c r="R35" s="10" t="n">
        <f aca="false">Model!AY106+Model!AZ106+Model!BA106</f>
        <v>0</v>
      </c>
      <c r="S35" s="10" t="n">
        <f aca="false">Model!BB106+Model!BC106+Model!BD106</f>
        <v>0</v>
      </c>
      <c r="T35" s="10" t="n">
        <f aca="false">Model!BE106+Model!BF106+Model!BG106</f>
        <v>0</v>
      </c>
      <c r="U35" s="10" t="n">
        <f aca="false">Model!BH106+Model!BI106+Model!BJ106</f>
        <v>0</v>
      </c>
      <c r="V35" s="10" t="n">
        <f aca="false">Model!BK106+Model!BL106+Model!BM106</f>
        <v>0</v>
      </c>
      <c r="W35" s="10" t="n">
        <f aca="false">Model!BN106+Model!BO106+Model!BP106</f>
        <v>0</v>
      </c>
      <c r="X35" s="10" t="n">
        <f aca="false">Model!BQ106+Model!BR106+Model!BS106</f>
        <v>0</v>
      </c>
      <c r="Y35" s="10" t="n">
        <f aca="false">Model!BT106+Model!BU106+Model!BV106</f>
        <v>0</v>
      </c>
      <c r="Z35" s="10" t="n">
        <f aca="false">Model!BW106+Model!BX106+Model!BY106</f>
        <v>0</v>
      </c>
      <c r="AA35" s="10" t="n">
        <f aca="false">Model!BZ106+Model!CA106+Model!CB106</f>
        <v>0</v>
      </c>
      <c r="AB35" s="10" t="n">
        <f aca="false">Model!CC106+Model!CD106+Model!CE106</f>
        <v>0</v>
      </c>
      <c r="AC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Model!E107</f>
        <v>1000000</v>
      </c>
      <c r="C36" s="10" t="n">
        <f aca="false">Model!H107</f>
        <v>1000000</v>
      </c>
      <c r="D36" s="10" t="n">
        <f aca="false">Model!K107</f>
        <v>1000000</v>
      </c>
      <c r="E36" s="10" t="n">
        <f aca="false">Model!N107</f>
        <v>750000</v>
      </c>
      <c r="F36" s="10" t="n">
        <f aca="false">Model!Q107</f>
        <v>750000</v>
      </c>
      <c r="G36" s="10" t="n">
        <f aca="false">Model!T107</f>
        <v>750000</v>
      </c>
      <c r="H36" s="10" t="n">
        <f aca="false">Model!W107</f>
        <v>750000</v>
      </c>
      <c r="I36" s="10" t="n">
        <f aca="false">Model!Z107</f>
        <v>500000</v>
      </c>
      <c r="J36" s="10" t="n">
        <f aca="false">Model!AC107</f>
        <v>500000</v>
      </c>
      <c r="K36" s="10" t="n">
        <f aca="false">Model!AF107</f>
        <v>500000</v>
      </c>
      <c r="L36" s="10" t="n">
        <f aca="false">Model!AI107</f>
        <v>500000</v>
      </c>
      <c r="M36" s="10" t="n">
        <f aca="false">Model!AL107</f>
        <v>250000</v>
      </c>
      <c r="N36" s="10" t="n">
        <f aca="false">Model!AO107</f>
        <v>250000</v>
      </c>
      <c r="O36" s="10" t="n">
        <f aca="false">Model!AR107</f>
        <v>250000</v>
      </c>
      <c r="P36" s="10" t="n">
        <f aca="false">Model!AU107</f>
        <v>250000</v>
      </c>
      <c r="Q36" s="10" t="n">
        <f aca="false">Model!AX107</f>
        <v>250000</v>
      </c>
      <c r="R36" s="10" t="n">
        <f aca="false">Model!BA107</f>
        <v>250000</v>
      </c>
      <c r="S36" s="10" t="n">
        <f aca="false">Model!BD107</f>
        <v>250000</v>
      </c>
      <c r="T36" s="10" t="n">
        <f aca="false">Model!BG107</f>
        <v>250000</v>
      </c>
      <c r="U36" s="10" t="n">
        <f aca="false">Model!BJ107</f>
        <v>250000</v>
      </c>
      <c r="V36" s="10" t="n">
        <f aca="false">Model!BM107</f>
        <v>250000</v>
      </c>
      <c r="W36" s="10" t="n">
        <f aca="false">Model!BP107</f>
        <v>250000</v>
      </c>
      <c r="X36" s="10" t="n">
        <f aca="false">Model!BS107</f>
        <v>250000</v>
      </c>
      <c r="Y36" s="10" t="n">
        <f aca="false">Model!BV107</f>
        <v>250000</v>
      </c>
      <c r="Z36" s="10" t="n">
        <f aca="false">Model!BY107</f>
        <v>250000</v>
      </c>
      <c r="AA36" s="10" t="n">
        <f aca="false">Model!CB107</f>
        <v>250000</v>
      </c>
      <c r="AB36" s="10" t="n">
        <f aca="false">Model!CE107</f>
        <v>250000</v>
      </c>
      <c r="AC36" s="10" t="n">
        <f aca="false">Model!CH107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</f>
        <v>0</v>
      </c>
      <c r="C37" s="10" t="n">
        <f aca="false">Model!F154+Model!G154+Model!H154</f>
        <v>0</v>
      </c>
      <c r="D37" s="10" t="n">
        <f aca="false">Model!I154+Model!J154+Model!K154</f>
        <v>0</v>
      </c>
      <c r="E37" s="10" t="n">
        <f aca="false">Model!L154+Model!M154+Model!N154</f>
        <v>0</v>
      </c>
      <c r="F37" s="10" t="n">
        <f aca="false">Model!O154+Model!P154+Model!Q154</f>
        <v>0</v>
      </c>
      <c r="G37" s="10" t="n">
        <f aca="false">Model!R154+Model!S154+Model!T154</f>
        <v>0</v>
      </c>
      <c r="H37" s="10" t="n">
        <f aca="false">Model!U154+Model!V154+Model!W154</f>
        <v>0</v>
      </c>
      <c r="I37" s="10" t="n">
        <f aca="false">Model!X154+Model!Y154+Model!Z154</f>
        <v>0</v>
      </c>
      <c r="J37" s="10" t="n">
        <f aca="false">Model!AA154+Model!AB154+Model!AC154</f>
        <v>0</v>
      </c>
      <c r="K37" s="10" t="n">
        <f aca="false">Model!AD154+Model!AE154+Model!AF154</f>
        <v>0</v>
      </c>
      <c r="L37" s="10" t="n">
        <f aca="false">Model!AG154+Model!AH154+Model!AI154</f>
        <v>0</v>
      </c>
      <c r="M37" s="10" t="n">
        <f aca="false">Model!AJ154+Model!AK154+Model!AL154</f>
        <v>0</v>
      </c>
      <c r="N37" s="10" t="n">
        <f aca="false">Model!AM154+Model!AN154+Model!AO154</f>
        <v>0</v>
      </c>
      <c r="O37" s="10" t="n">
        <f aca="false">Model!AP154+Model!AQ154+Model!AR154</f>
        <v>0</v>
      </c>
      <c r="P37" s="10" t="n">
        <f aca="false">Model!AS154+Model!AT154+Model!AU154</f>
        <v>0</v>
      </c>
      <c r="Q37" s="10" t="n">
        <f aca="false">Model!AV154+Model!AW154+Model!AX154</f>
        <v>0</v>
      </c>
      <c r="R37" s="10" t="n">
        <f aca="false">Model!AY154+Model!AZ154+Model!BA154</f>
        <v>0</v>
      </c>
      <c r="S37" s="10" t="n">
        <f aca="false">Model!BB154+Model!BC154+Model!BD154</f>
        <v>0</v>
      </c>
      <c r="T37" s="10" t="n">
        <f aca="false">Model!BE154+Model!BF154+Model!BG154</f>
        <v>0</v>
      </c>
      <c r="U37" s="10" t="n">
        <f aca="false">Model!BH154+Model!BI154+Model!BJ154</f>
        <v>0</v>
      </c>
      <c r="V37" s="10" t="n">
        <f aca="false">Model!BK154+Model!BL154+Model!BM154</f>
        <v>0</v>
      </c>
      <c r="W37" s="10" t="n">
        <f aca="false">Model!BN154+Model!BO154+Model!BP154</f>
        <v>0</v>
      </c>
      <c r="X37" s="10" t="n">
        <f aca="false">Model!BQ154+Model!BR154+Model!BS154</f>
        <v>0</v>
      </c>
      <c r="Y37" s="10" t="n">
        <f aca="false">Model!BT154+Model!BU154+Model!BV154</f>
        <v>0</v>
      </c>
      <c r="Z37" s="10" t="n">
        <f aca="false">Model!BW154+Model!BX154+Model!BY154</f>
        <v>0</v>
      </c>
      <c r="AA37" s="10" t="n">
        <f aca="false">Model!BZ154+Model!CA154+Model!CB154</f>
        <v>0</v>
      </c>
      <c r="AB37" s="10" t="n">
        <f aca="false">Model!CC154+Model!CD154+Model!CE154</f>
        <v>0</v>
      </c>
      <c r="AC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Model!E114+Model!E119+Model!E124+Model!E129</f>
        <v>1738378.196875</v>
      </c>
      <c r="C38" s="10" t="n">
        <f aca="false">Model!H114+Model!H119+Model!H124+Model!H129</f>
        <v>2142433.65800781</v>
      </c>
      <c r="D38" s="10" t="n">
        <f aca="false">Model!K114+Model!K119+Model!K124+Model!K129</f>
        <v>2378399.92018311</v>
      </c>
      <c r="E38" s="10" t="n">
        <f aca="false">Model!N126</f>
        <v>69194.3230957031</v>
      </c>
      <c r="F38" s="10" t="n">
        <f aca="false">Model!Q126</f>
        <v>21164.110211792</v>
      </c>
      <c r="G38" s="10" t="n">
        <f aca="false">Model!T126</f>
        <v>21957.7643447342</v>
      </c>
      <c r="H38" s="10" t="n">
        <f aca="false">Model!W126</f>
        <v>22781.1805076617</v>
      </c>
      <c r="I38" s="10" t="n">
        <f aca="false">Model!Z126</f>
        <v>23635.474776699</v>
      </c>
      <c r="J38" s="10" t="n">
        <f aca="false">Model!AC126</f>
        <v>24521.8050808252</v>
      </c>
      <c r="K38" s="10" t="n">
        <f aca="false">Model!AF126</f>
        <v>25441.3727713562</v>
      </c>
      <c r="L38" s="10" t="n">
        <f aca="false">Model!AI126</f>
        <v>26395.424250282</v>
      </c>
      <c r="M38" s="10" t="n">
        <f aca="false">Model!AL126</f>
        <v>27385.2526596676</v>
      </c>
      <c r="N38" s="10" t="n">
        <f aca="false">Model!AO126</f>
        <v>28412.1996344052</v>
      </c>
      <c r="O38" s="10" t="n">
        <f aca="false">Model!AR126</f>
        <v>29477.6571206954</v>
      </c>
      <c r="P38" s="10" t="n">
        <f aca="false">Model!AU126</f>
        <v>30583.0692627214</v>
      </c>
      <c r="Q38" s="10" t="n">
        <f aca="false">Model!AX126</f>
        <v>31729.9343600735</v>
      </c>
      <c r="R38" s="10" t="n">
        <f aca="false">Model!BA126</f>
        <v>32919.8068985762</v>
      </c>
      <c r="S38" s="10" t="n">
        <f aca="false">Model!BD126</f>
        <v>24810.3759072728</v>
      </c>
      <c r="T38" s="10" t="n">
        <f aca="false">Model!BG126</f>
        <v>23052.0150037956</v>
      </c>
      <c r="U38" s="10" t="n">
        <f aca="false">Model!BJ126</f>
        <v>21227.7155664379</v>
      </c>
      <c r="V38" s="10" t="n">
        <f aca="false">Model!BM126</f>
        <v>19335.0049001793</v>
      </c>
      <c r="W38" s="10" t="n">
        <f aca="false">Model!BP126</f>
        <v>17371.3175839361</v>
      </c>
      <c r="X38" s="10" t="n">
        <f aca="false">Model!BS126</f>
        <v>15223.6294933337</v>
      </c>
      <c r="Y38" s="10" t="n">
        <f aca="false">Model!BV126</f>
        <v>12995.5155993337</v>
      </c>
      <c r="Z38" s="10" t="n">
        <f aca="false">Model!BY126</f>
        <v>10683.8474343087</v>
      </c>
      <c r="AA38" s="10" t="n">
        <f aca="false">Model!CB126</f>
        <v>8285.49171309526</v>
      </c>
      <c r="AB38" s="10" t="n">
        <f aca="false">Model!CE126</f>
        <v>5545.08515233633</v>
      </c>
      <c r="AC38" s="10" t="n">
        <f aca="false">Model!CH126</f>
        <v>2701.95084554894</v>
      </c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" hidden="false" customHeight="true" outlineLevel="0" collapsed="false">
      <c r="A40" s="9" t="s">
        <v>40</v>
      </c>
      <c r="B40" s="10" t="n">
        <f aca="false">Model!E140</f>
        <v>19934994.8604503</v>
      </c>
      <c r="C40" s="10" t="n">
        <f aca="false">Model!H140</f>
        <v>53470466.1002521</v>
      </c>
      <c r="D40" s="10" t="n">
        <f aca="false">Model!K140</f>
        <v>89880219.2871105</v>
      </c>
      <c r="E40" s="10" t="n">
        <f aca="false">Model!N140</f>
        <v>72497927.0285711</v>
      </c>
      <c r="F40" s="10" t="n">
        <f aca="false">Model!Q140</f>
        <v>96517203.055075</v>
      </c>
      <c r="G40" s="10" t="n">
        <f aca="false">Model!T140</f>
        <v>76187589.600929</v>
      </c>
      <c r="H40" s="10" t="n">
        <f aca="false">Model!W140</f>
        <v>56473335.557832</v>
      </c>
      <c r="I40" s="10" t="n">
        <f aca="false">Model!Z140</f>
        <v>39330314.060104</v>
      </c>
      <c r="J40" s="10" t="n">
        <f aca="false">Model!AC140</f>
        <v>67115910.942616</v>
      </c>
      <c r="K40" s="10" t="n">
        <f aca="false">Model!AF140</f>
        <v>56684810.890851</v>
      </c>
      <c r="L40" s="10" t="n">
        <f aca="false">Model!AI140</f>
        <v>46152166.879778</v>
      </c>
      <c r="M40" s="10" t="n">
        <f aca="false">Model!AL140</f>
        <v>35942217.821294</v>
      </c>
      <c r="N40" s="10" t="n">
        <f aca="false">Model!AO140</f>
        <v>26981928.712532</v>
      </c>
      <c r="O40" s="10" t="n">
        <f aca="false">Model!AR140</f>
        <v>18775979.790616</v>
      </c>
      <c r="P40" s="10" t="n">
        <f aca="false">Model!AU140</f>
        <v>13258584.501624</v>
      </c>
      <c r="Q40" s="10" t="n">
        <f aca="false">Model!AX140</f>
        <v>8360541.887544</v>
      </c>
      <c r="R40" s="10" t="n">
        <f aca="false">Model!BA140</f>
        <v>4384004.53832</v>
      </c>
      <c r="S40" s="10" t="n">
        <f aca="false">Model!BD140</f>
        <v>1431490.58668</v>
      </c>
      <c r="T40" s="10" t="n">
        <f aca="false">Model!BG140</f>
        <v>0</v>
      </c>
      <c r="U40" s="10" t="n">
        <f aca="false">Model!BJ140</f>
        <v>0</v>
      </c>
      <c r="V40" s="10" t="n">
        <f aca="false">Model!BM140</f>
        <v>0</v>
      </c>
      <c r="W40" s="10" t="n">
        <f aca="false">Model!BP140</f>
        <v>0</v>
      </c>
      <c r="X40" s="10" t="n">
        <f aca="false">Model!BS140</f>
        <v>0</v>
      </c>
      <c r="Y40" s="10" t="n">
        <f aca="false">Model!BV140</f>
        <v>0</v>
      </c>
      <c r="Z40" s="10" t="n">
        <f aca="false">Model!BY140</f>
        <v>0</v>
      </c>
      <c r="AA40" s="10" t="n">
        <f aca="false">Model!CB140</f>
        <v>0</v>
      </c>
      <c r="AB40" s="10" t="n">
        <f aca="false">Model!CE140</f>
        <v>0</v>
      </c>
      <c r="AC40" s="10" t="n">
        <f aca="false">Model!CH140</f>
        <v>0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" hidden="false" customHeight="true" outlineLevel="0" collapsed="false">
      <c r="A42" s="20" t="s">
        <v>41</v>
      </c>
      <c r="B42" s="21" t="n">
        <f aca="false">Model!E147</f>
        <v>1741745.46777512</v>
      </c>
      <c r="C42" s="21" t="n">
        <f aca="false">Model!H147</f>
        <v>2522732.01853206</v>
      </c>
      <c r="D42" s="21" t="n">
        <f aca="false">Model!K147</f>
        <v>3927995.26604322</v>
      </c>
      <c r="E42" s="21" t="n">
        <f aca="false">Model!N147</f>
        <v>4927084.65850136</v>
      </c>
      <c r="F42" s="21" t="n">
        <f aca="false">Model!Q147</f>
        <v>5623272.15749585</v>
      </c>
      <c r="G42" s="21" t="n">
        <f aca="false">Model!T147</f>
        <v>6287808.97239944</v>
      </c>
      <c r="H42" s="21" t="n">
        <f aca="false">Model!W147</f>
        <v>6765803.97151355</v>
      </c>
      <c r="I42" s="21" t="n">
        <f aca="false">Model!Z147</f>
        <v>7213495.81273293</v>
      </c>
      <c r="J42" s="21" t="n">
        <f aca="false">Model!AC147</f>
        <v>6905509.12119436</v>
      </c>
      <c r="K42" s="21" t="n">
        <f aca="false">Model!AF147</f>
        <v>7553027.30464781</v>
      </c>
      <c r="L42" s="21" t="n">
        <f aca="false">Model!AI147</f>
        <v>7999187.48620733</v>
      </c>
      <c r="M42" s="21" t="n">
        <f aca="false">Model!AL147</f>
        <v>7856390.84863806</v>
      </c>
      <c r="N42" s="21" t="n">
        <f aca="false">Model!AO147</f>
        <v>7507394.99763558</v>
      </c>
      <c r="O42" s="21" t="n">
        <f aca="false">Model!AR147</f>
        <v>7158399.1466331</v>
      </c>
      <c r="P42" s="21" t="n">
        <f aca="false">Model!AU147</f>
        <v>6295008.18199426</v>
      </c>
      <c r="Q42" s="21" t="n">
        <f aca="false">Model!AX147</f>
        <v>5431617.21735542</v>
      </c>
      <c r="R42" s="21" t="n">
        <f aca="false">Model!BA147</f>
        <v>4541559.65342381</v>
      </c>
      <c r="S42" s="21" t="n">
        <f aca="false">Model!BD147</f>
        <v>3651502.08949219</v>
      </c>
      <c r="T42" s="21" t="n">
        <f aca="false">Model!BG147</f>
        <v>2604798.19222724</v>
      </c>
      <c r="U42" s="21" t="n">
        <f aca="false">Model!BJ147</f>
        <v>1244801.62829562</v>
      </c>
      <c r="V42" s="21" t="n">
        <f aca="false">Model!BM147</f>
        <v>-142394.866914625</v>
      </c>
      <c r="W42" s="21" t="n">
        <f aca="false">Model!BP147</f>
        <v>-1529591.36212487</v>
      </c>
      <c r="X42" s="21" t="n">
        <f aca="false">Model!BS147</f>
        <v>-2916787.85733512</v>
      </c>
      <c r="Y42" s="21" t="n">
        <f aca="false">Model!BV147</f>
        <v>-4303984.35254537</v>
      </c>
      <c r="Z42" s="21" t="n">
        <f aca="false">Model!BY147</f>
        <v>-5718924.77765983</v>
      </c>
      <c r="AA42" s="21" t="n">
        <f aca="false">Model!CB147</f>
        <v>-7133865.20277428</v>
      </c>
      <c r="AB42" s="21" t="n">
        <f aca="false">Model!CE147</f>
        <v>-8548805.62788873</v>
      </c>
      <c r="AC42" s="21" t="n">
        <f aca="false">Model!CH147</f>
        <v>-9963746.05300318</v>
      </c>
    </row>
    <row r="43" customFormat="false" ht="15" hidden="false" customHeight="true" outlineLevel="0" collapsed="false">
      <c r="A43" s="20" t="s">
        <v>42</v>
      </c>
      <c r="B43" s="21" t="n">
        <f aca="false">Model!E155</f>
        <v>223781.15</v>
      </c>
      <c r="C43" s="21" t="n">
        <f aca="false">Model!H155</f>
        <v>-27902.19</v>
      </c>
      <c r="D43" s="21" t="n">
        <f aca="false">Model!K155</f>
        <v>-688002.19</v>
      </c>
      <c r="E43" s="21" t="n">
        <f aca="false">Model!N155</f>
        <v>-1550081.6988</v>
      </c>
      <c r="F43" s="21" t="n">
        <f aca="false">Model!Q155</f>
        <v>-2169335.0826</v>
      </c>
      <c r="G43" s="21" t="n">
        <f aca="false">Model!T155</f>
        <v>-2821834.842</v>
      </c>
      <c r="H43" s="21" t="n">
        <f aca="false">Model!W155</f>
        <v>-3201738.49588545</v>
      </c>
      <c r="I43" s="21" t="n">
        <f aca="false">Model!Z155</f>
        <v>-3335102.56408545</v>
      </c>
      <c r="J43" s="21" t="n">
        <f aca="false">Model!AC155</f>
        <v>-3047801.39918544</v>
      </c>
      <c r="K43" s="21" t="n">
        <f aca="false">Model!AF155</f>
        <v>-2904413.25988545</v>
      </c>
      <c r="L43" s="21" t="n">
        <f aca="false">Model!AI155</f>
        <v>-2766367.12378544</v>
      </c>
      <c r="M43" s="21" t="n">
        <f aca="false">Model!AL155</f>
        <v>-2918256.67088544</v>
      </c>
      <c r="N43" s="21" t="n">
        <f aca="false">Model!AO155</f>
        <v>-2972255.33193544</v>
      </c>
      <c r="O43" s="21" t="n">
        <f aca="false">Model!AR155</f>
        <v>-3195307.18498544</v>
      </c>
      <c r="P43" s="21" t="n">
        <f aca="false">Model!AU155</f>
        <v>-3375129.51803544</v>
      </c>
      <c r="Q43" s="21" t="n">
        <f aca="false">Model!AX155</f>
        <v>-3617529.98388544</v>
      </c>
      <c r="R43" s="21" t="n">
        <f aca="false">Model!BA155</f>
        <v>-3872048.37047644</v>
      </c>
      <c r="S43" s="21" t="n">
        <f aca="false">Model!BD155</f>
        <v>-4155967.65034744</v>
      </c>
      <c r="T43" s="21" t="n">
        <f aca="false">Model!BG155</f>
        <v>-4442227.01309845</v>
      </c>
      <c r="U43" s="21" t="n">
        <f aca="false">Model!BJ155</f>
        <v>-4554882.57088945</v>
      </c>
      <c r="V43" s="21" t="n">
        <f aca="false">Model!BM155</f>
        <v>-4950909.45449227</v>
      </c>
      <c r="W43" s="21" t="n">
        <f aca="false">Model!BP155</f>
        <v>-5320816.67656869</v>
      </c>
      <c r="X43" s="21" t="n">
        <f aca="false">Model!BS155</f>
        <v>-5672267.25703871</v>
      </c>
      <c r="Y43" s="21" t="n">
        <f aca="false">Model!BV155</f>
        <v>-6000532.14064153</v>
      </c>
      <c r="Z43" s="21" t="n">
        <f aca="false">Model!BY155</f>
        <v>-6336717.5619164</v>
      </c>
      <c r="AA43" s="21" t="n">
        <f aca="false">Model!CB155</f>
        <v>-6690067.71883435</v>
      </c>
      <c r="AB43" s="21" t="n">
        <f aca="false">Model!CE155</f>
        <v>-7041165.55091377</v>
      </c>
      <c r="AC43" s="21" t="n">
        <f aca="false">Model!CH155</f>
        <v>-7362005.94558217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</f>
        <v>0</v>
      </c>
      <c r="C44" s="21" t="n">
        <f aca="false">Model!F159+Model!G159+Model!H159</f>
        <v>0</v>
      </c>
      <c r="D44" s="21" t="n">
        <f aca="false">Model!I159+Model!J159+Model!K159</f>
        <v>0</v>
      </c>
      <c r="E44" s="21" t="n">
        <f aca="false">Model!L159+Model!M159+Model!N159</f>
        <v>-457933.867812966</v>
      </c>
      <c r="F44" s="21" t="n">
        <f aca="false">Model!O159+Model!P159+Model!Q159</f>
        <v>0</v>
      </c>
      <c r="G44" s="21" t="n">
        <f aca="false">Model!R159+Model!S159+Model!T159</f>
        <v>0</v>
      </c>
      <c r="H44" s="21" t="n">
        <f aca="false">Model!U159+Model!V159+Model!W159</f>
        <v>0</v>
      </c>
      <c r="I44" s="21" t="n">
        <f aca="false">Model!X159+Model!Y159+Model!Z159</f>
        <v>-621012.4928611</v>
      </c>
      <c r="J44" s="21" t="n">
        <f aca="false">Model!AA159+Model!AB159+Model!AC159</f>
        <v>0</v>
      </c>
      <c r="K44" s="21" t="n">
        <f aca="false">Model!AD159+Model!AE159+Model!AF159</f>
        <v>0</v>
      </c>
      <c r="L44" s="21" t="n">
        <f aca="false">Model!AG159+Model!AH159+Model!AI159</f>
        <v>0</v>
      </c>
      <c r="M44" s="21" t="n">
        <f aca="false">Model!AJ159+Model!AK159+Model!AL159</f>
        <v>-575626.466038133</v>
      </c>
      <c r="N44" s="21" t="n">
        <f aca="false">Model!AM159+Model!AN159+Model!AO159</f>
        <v>0</v>
      </c>
      <c r="O44" s="21" t="n">
        <f aca="false">Model!AP159+Model!AQ159+Model!AR159</f>
        <v>0</v>
      </c>
      <c r="P44" s="21" t="n">
        <f aca="false">Model!AS159+Model!AT159+Model!AU159</f>
        <v>0</v>
      </c>
      <c r="Q44" s="21" t="n">
        <f aca="false">Model!AV159+Model!AW159+Model!AX159</f>
        <v>0</v>
      </c>
      <c r="R44" s="21" t="n">
        <f aca="false">Model!AY159+Model!AZ159+Model!BA159</f>
        <v>0</v>
      </c>
      <c r="S44" s="21" t="n">
        <f aca="false">Model!BB159+Model!BC159+Model!BD159</f>
        <v>0</v>
      </c>
      <c r="T44" s="21" t="n">
        <f aca="false">Model!BE159+Model!BF159+Model!BG159</f>
        <v>0</v>
      </c>
      <c r="U44" s="21" t="n">
        <f aca="false">Model!BH159+Model!BI159+Model!BJ159</f>
        <v>0</v>
      </c>
      <c r="V44" s="21" t="n">
        <f aca="false">Model!BK159+Model!BL159+Model!BM159</f>
        <v>0</v>
      </c>
      <c r="W44" s="21" t="n">
        <f aca="false">Model!BN159+Model!BO159+Model!BP159</f>
        <v>0</v>
      </c>
      <c r="X44" s="21" t="n">
        <f aca="false">Model!BQ159+Model!BR159+Model!BS159</f>
        <v>0</v>
      </c>
      <c r="Y44" s="21" t="n">
        <f aca="false">Model!BT159+Model!BU159+Model!BV159</f>
        <v>0</v>
      </c>
      <c r="Z44" s="21" t="n">
        <f aca="false">Model!BW159+Model!BX159+Model!BY159</f>
        <v>0</v>
      </c>
      <c r="AA44" s="21" t="n">
        <f aca="false">Model!BZ159+Model!CA159+Model!CB159</f>
        <v>0</v>
      </c>
      <c r="AB44" s="21" t="n">
        <f aca="false">Model!CC159+Model!CD159+Model!CE159</f>
        <v>0</v>
      </c>
      <c r="AC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Model!E160</f>
        <v>1965526.61777512</v>
      </c>
      <c r="C45" s="23" t="n">
        <f aca="false">Model!H160</f>
        <v>2494829.82853206</v>
      </c>
      <c r="D45" s="23" t="n">
        <f aca="false">Model!K160</f>
        <v>3239993.07604322</v>
      </c>
      <c r="E45" s="23" t="n">
        <f aca="false">Model!N160</f>
        <v>2919069.09188839</v>
      </c>
      <c r="F45" s="23" t="n">
        <f aca="false">Model!Q160</f>
        <v>3453937.07489585</v>
      </c>
      <c r="G45" s="23" t="n">
        <f aca="false">Model!T160</f>
        <v>3465974.13039944</v>
      </c>
      <c r="H45" s="23" t="n">
        <f aca="false">Model!W160</f>
        <v>3564065.47562811</v>
      </c>
      <c r="I45" s="23" t="n">
        <f aca="false">Model!Z160</f>
        <v>3257380.75578639</v>
      </c>
      <c r="J45" s="23" t="n">
        <f aca="false">Model!AC160</f>
        <v>3857707.72200892</v>
      </c>
      <c r="K45" s="23" t="n">
        <f aca="false">Model!AF160</f>
        <v>4648614.04476237</v>
      </c>
      <c r="L45" s="23" t="n">
        <f aca="false">Model!AI160</f>
        <v>5232820.36242188</v>
      </c>
      <c r="M45" s="23" t="n">
        <f aca="false">Model!AL160</f>
        <v>4362507.71171448</v>
      </c>
      <c r="N45" s="23" t="n">
        <f aca="false">Model!AO160</f>
        <v>4535139.66570014</v>
      </c>
      <c r="O45" s="23" t="n">
        <f aca="false">Model!AR160</f>
        <v>3963091.96164766</v>
      </c>
      <c r="P45" s="23" t="n">
        <f aca="false">Model!AU160</f>
        <v>2919878.66395882</v>
      </c>
      <c r="Q45" s="23" t="n">
        <f aca="false">Model!AX160</f>
        <v>1814087.23346998</v>
      </c>
      <c r="R45" s="23" t="n">
        <f aca="false">Model!BA160</f>
        <v>669511.282947362</v>
      </c>
      <c r="S45" s="23" t="n">
        <f aca="false">Model!BD160</f>
        <v>-504465.560855254</v>
      </c>
      <c r="T45" s="23" t="n">
        <f aca="false">Model!BG160</f>
        <v>-1837428.8208712</v>
      </c>
      <c r="U45" s="23" t="n">
        <f aca="false">Model!BJ160</f>
        <v>-3310080.94259382</v>
      </c>
      <c r="V45" s="23" t="n">
        <f aca="false">Model!BM160</f>
        <v>-5093304.32140689</v>
      </c>
      <c r="W45" s="23" t="n">
        <f aca="false">Model!BP160</f>
        <v>-6850408.03869356</v>
      </c>
      <c r="X45" s="23" t="n">
        <f aca="false">Model!BS160</f>
        <v>-8589055.11437383</v>
      </c>
      <c r="Y45" s="23" t="n">
        <f aca="false">Model!BV160</f>
        <v>-10304516.4931869</v>
      </c>
      <c r="Z45" s="23" t="n">
        <f aca="false">Model!BY160</f>
        <v>-12055642.3395762</v>
      </c>
      <c r="AA45" s="23" t="n">
        <f aca="false">Model!CB160</f>
        <v>-13823932.9216086</v>
      </c>
      <c r="AB45" s="23" t="n">
        <f aca="false">Model!CE160</f>
        <v>-15589971.1788025</v>
      </c>
      <c r="AC45" s="23" t="n">
        <f aca="false">Model!CH160</f>
        <v>-17325751.9985854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2" t="s">
        <v>207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false" customHeight="true" outlineLevel="0" collapsed="false">
      <c r="A3" s="8" t="s">
        <v>208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customFormat="false" ht="15" hidden="false" customHeight="true" outlineLevel="0" collapsed="false">
      <c r="A4" s="18" t="s">
        <v>209</v>
      </c>
      <c r="B4" s="3"/>
      <c r="C4" s="68" t="n">
        <f aca="false">Model!C51</f>
        <v>9375</v>
      </c>
      <c r="D4" s="68" t="n">
        <f aca="false">Model!D51</f>
        <v>9375</v>
      </c>
      <c r="E4" s="68" t="n">
        <f aca="false">Model!E51</f>
        <v>9375</v>
      </c>
      <c r="F4" s="68" t="n">
        <f aca="false">Model!F51</f>
        <v>9375</v>
      </c>
      <c r="G4" s="68" t="n">
        <f aca="false">Model!G51</f>
        <v>9375</v>
      </c>
      <c r="H4" s="68" t="n">
        <f aca="false">Model!H51</f>
        <v>9375</v>
      </c>
      <c r="I4" s="68" t="n">
        <f aca="false">Model!I51</f>
        <v>9375</v>
      </c>
      <c r="J4" s="68" t="n">
        <f aca="false">Model!J51</f>
        <v>0</v>
      </c>
      <c r="K4" s="68" t="n">
        <f aca="false">Model!K51</f>
        <v>0</v>
      </c>
      <c r="L4" s="68" t="n">
        <f aca="false">Model!L51</f>
        <v>0</v>
      </c>
      <c r="M4" s="68" t="n">
        <f aca="false">Model!M51</f>
        <v>0</v>
      </c>
      <c r="N4" s="68" t="n">
        <f aca="false">Model!N51</f>
        <v>0</v>
      </c>
      <c r="O4" s="68" t="n">
        <f aca="false">Model!O51</f>
        <v>0</v>
      </c>
      <c r="P4" s="68" t="n">
        <f aca="false">Model!P51</f>
        <v>0</v>
      </c>
      <c r="Q4" s="68" t="n">
        <f aca="false">Model!Q51</f>
        <v>0</v>
      </c>
      <c r="R4" s="68" t="n">
        <f aca="false">Model!R51</f>
        <v>0</v>
      </c>
      <c r="S4" s="68" t="n">
        <f aca="false">Model!S51</f>
        <v>0</v>
      </c>
      <c r="T4" s="68" t="n">
        <f aca="false">Model!T51</f>
        <v>0</v>
      </c>
      <c r="U4" s="68" t="n">
        <f aca="false">Model!U51</f>
        <v>0</v>
      </c>
      <c r="V4" s="68" t="n">
        <f aca="false">Model!V51</f>
        <v>0</v>
      </c>
      <c r="W4" s="68" t="n">
        <f aca="false">Model!W51</f>
        <v>0</v>
      </c>
      <c r="X4" s="68" t="n">
        <f aca="false">Model!X51</f>
        <v>0</v>
      </c>
      <c r="Y4" s="68" t="n">
        <f aca="false">Model!Y51</f>
        <v>0</v>
      </c>
      <c r="Z4" s="68" t="n">
        <f aca="false">Model!Z51</f>
        <v>0</v>
      </c>
      <c r="AA4" s="68" t="n">
        <f aca="false">Model!AA51</f>
        <v>0</v>
      </c>
      <c r="AB4" s="68" t="n">
        <f aca="false">Model!AB51</f>
        <v>0</v>
      </c>
      <c r="AC4" s="68" t="n">
        <f aca="false">Model!AC51</f>
        <v>0</v>
      </c>
      <c r="AD4" s="68" t="n">
        <f aca="false">Model!AD51</f>
        <v>0</v>
      </c>
      <c r="AE4" s="68" t="n">
        <f aca="false">Model!AE51</f>
        <v>0</v>
      </c>
      <c r="AF4" s="68" t="n">
        <f aca="false">Model!AF51</f>
        <v>0</v>
      </c>
      <c r="AG4" s="68" t="n">
        <f aca="false">Model!AG51</f>
        <v>0</v>
      </c>
      <c r="AH4" s="68" t="n">
        <f aca="false">Model!AH51</f>
        <v>0</v>
      </c>
      <c r="AI4" s="68" t="n">
        <f aca="false">Model!AI51</f>
        <v>0</v>
      </c>
      <c r="AJ4" s="68" t="n">
        <f aca="false">Model!AJ51</f>
        <v>0</v>
      </c>
      <c r="AK4" s="68" t="n">
        <f aca="false">Model!AK51</f>
        <v>0</v>
      </c>
      <c r="AL4" s="68" t="n">
        <f aca="false">Model!AL51</f>
        <v>0</v>
      </c>
      <c r="AM4" s="68" t="n">
        <f aca="false">Model!AM51</f>
        <v>0</v>
      </c>
      <c r="AN4" s="68" t="n">
        <f aca="false">Model!AN51</f>
        <v>0</v>
      </c>
      <c r="AO4" s="68" t="n">
        <f aca="false">Model!AO51</f>
        <v>0</v>
      </c>
      <c r="AP4" s="68" t="n">
        <f aca="false">Model!AP51</f>
        <v>0</v>
      </c>
      <c r="AQ4" s="68" t="n">
        <f aca="false">Model!AQ51</f>
        <v>0</v>
      </c>
      <c r="AR4" s="68" t="n">
        <f aca="false">Model!AR51</f>
        <v>0</v>
      </c>
      <c r="AS4" s="68" t="n">
        <f aca="false">Model!AS51</f>
        <v>0</v>
      </c>
      <c r="AT4" s="68" t="n">
        <f aca="false">Model!AT51</f>
        <v>0</v>
      </c>
      <c r="AU4" s="68" t="n">
        <f aca="false">Model!AU51</f>
        <v>0</v>
      </c>
      <c r="AV4" s="68" t="n">
        <f aca="false">Model!AV51</f>
        <v>0</v>
      </c>
      <c r="AW4" s="68" t="n">
        <f aca="false">Model!AW51</f>
        <v>0</v>
      </c>
      <c r="AX4" s="68" t="n">
        <f aca="false">Model!AX51</f>
        <v>0</v>
      </c>
      <c r="AY4" s="68" t="n">
        <f aca="false">Model!AY51</f>
        <v>0</v>
      </c>
      <c r="AZ4" s="68" t="n">
        <f aca="false">Model!AZ51</f>
        <v>0</v>
      </c>
      <c r="BA4" s="68" t="n">
        <f aca="false">Model!BA51</f>
        <v>0</v>
      </c>
      <c r="BB4" s="68" t="n">
        <f aca="false">Model!BB51</f>
        <v>0</v>
      </c>
      <c r="BC4" s="68" t="n">
        <f aca="false">Model!BC51</f>
        <v>0</v>
      </c>
      <c r="BD4" s="68" t="n">
        <f aca="false">Model!BD51</f>
        <v>0</v>
      </c>
      <c r="BE4" s="68" t="n">
        <f aca="false">Model!BE51</f>
        <v>0</v>
      </c>
      <c r="BF4" s="68" t="n">
        <f aca="false">Model!BF51</f>
        <v>0</v>
      </c>
      <c r="BG4" s="68" t="n">
        <f aca="false">Model!BG51</f>
        <v>0</v>
      </c>
      <c r="BH4" s="68" t="n">
        <f aca="false">Model!BH51</f>
        <v>0</v>
      </c>
      <c r="BI4" s="68" t="n">
        <f aca="false">Model!BI51</f>
        <v>0</v>
      </c>
      <c r="BJ4" s="68" t="n">
        <f aca="false">Model!BJ51</f>
        <v>0</v>
      </c>
      <c r="BK4" s="68" t="n">
        <f aca="false">Model!BK51</f>
        <v>0</v>
      </c>
      <c r="BL4" s="68" t="n">
        <f aca="false">Model!BL51</f>
        <v>0</v>
      </c>
      <c r="BM4" s="68" t="n">
        <f aca="false">Model!BM51</f>
        <v>0</v>
      </c>
      <c r="BN4" s="68" t="n">
        <f aca="false">Model!BN51</f>
        <v>0</v>
      </c>
      <c r="BO4" s="68" t="n">
        <f aca="false">Model!BO51</f>
        <v>0</v>
      </c>
      <c r="BP4" s="68" t="n">
        <f aca="false">Model!BP51</f>
        <v>0</v>
      </c>
      <c r="BQ4" s="68" t="n">
        <f aca="false">Model!BQ51</f>
        <v>0</v>
      </c>
      <c r="BR4" s="68" t="n">
        <f aca="false">Model!BR51</f>
        <v>0</v>
      </c>
      <c r="BS4" s="68" t="n">
        <f aca="false">Model!BS51</f>
        <v>0</v>
      </c>
      <c r="BT4" s="68" t="n">
        <f aca="false">Model!BT51</f>
        <v>0</v>
      </c>
      <c r="BU4" s="68" t="n">
        <f aca="false">Model!BU51</f>
        <v>0</v>
      </c>
      <c r="BV4" s="68" t="n">
        <f aca="false">Model!BV51</f>
        <v>0</v>
      </c>
      <c r="BW4" s="68" t="n">
        <f aca="false">Model!BW51</f>
        <v>0</v>
      </c>
      <c r="BX4" s="68" t="n">
        <f aca="false">Model!BX51</f>
        <v>0</v>
      </c>
      <c r="BY4" s="68" t="n">
        <f aca="false">Model!BY51</f>
        <v>0</v>
      </c>
      <c r="BZ4" s="68" t="n">
        <f aca="false">Model!BZ51</f>
        <v>0</v>
      </c>
      <c r="CA4" s="68" t="n">
        <f aca="false">Model!CA51</f>
        <v>0</v>
      </c>
      <c r="CB4" s="68" t="n">
        <f aca="false">Model!CB51</f>
        <v>0</v>
      </c>
      <c r="CC4" s="68" t="n">
        <f aca="false">Model!CC51</f>
        <v>0</v>
      </c>
      <c r="CD4" s="68" t="n">
        <f aca="false">Model!CD51</f>
        <v>0</v>
      </c>
      <c r="CE4" s="68" t="n">
        <f aca="false">Model!CE51</f>
        <v>0</v>
      </c>
      <c r="CF4" s="68" t="n">
        <f aca="false">Model!CF51</f>
        <v>0</v>
      </c>
      <c r="CG4" s="68" t="n">
        <f aca="false">Model!CG51</f>
        <v>0</v>
      </c>
      <c r="CH4" s="68" t="n">
        <f aca="false">Model!CH51</f>
        <v>0</v>
      </c>
    </row>
    <row r="5" customFormat="false" ht="15" hidden="false" customHeight="true" outlineLevel="0" collapsed="false">
      <c r="A5" s="30" t="s">
        <v>210</v>
      </c>
      <c r="B5" s="30"/>
      <c r="C5" s="69" t="n">
        <f aca="false">C4</f>
        <v>9375</v>
      </c>
      <c r="D5" s="69" t="n">
        <f aca="false">D4</f>
        <v>9375</v>
      </c>
      <c r="E5" s="69" t="n">
        <f aca="false">E4</f>
        <v>9375</v>
      </c>
      <c r="F5" s="69" t="n">
        <f aca="false">F4</f>
        <v>9375</v>
      </c>
      <c r="G5" s="69" t="n">
        <f aca="false">G4</f>
        <v>9375</v>
      </c>
      <c r="H5" s="69" t="n">
        <f aca="false">H4</f>
        <v>9375</v>
      </c>
      <c r="I5" s="69" t="n">
        <f aca="false">I4</f>
        <v>9375</v>
      </c>
      <c r="J5" s="69" t="n">
        <f aca="false">J4</f>
        <v>0</v>
      </c>
      <c r="K5" s="69" t="n">
        <f aca="false">K4</f>
        <v>0</v>
      </c>
      <c r="L5" s="69" t="n">
        <f aca="false">L4</f>
        <v>0</v>
      </c>
      <c r="M5" s="69" t="n">
        <f aca="false">M4</f>
        <v>0</v>
      </c>
      <c r="N5" s="69" t="n">
        <f aca="false">N4</f>
        <v>0</v>
      </c>
      <c r="O5" s="69" t="n">
        <f aca="false">O4</f>
        <v>0</v>
      </c>
      <c r="P5" s="69" t="n">
        <f aca="false">P4</f>
        <v>0</v>
      </c>
      <c r="Q5" s="69" t="n">
        <f aca="false">Q4</f>
        <v>0</v>
      </c>
      <c r="R5" s="69" t="n">
        <f aca="false">R4</f>
        <v>0</v>
      </c>
      <c r="S5" s="69" t="n">
        <f aca="false">S4</f>
        <v>0</v>
      </c>
      <c r="T5" s="69" t="n">
        <f aca="false">T4</f>
        <v>0</v>
      </c>
      <c r="U5" s="69" t="n">
        <f aca="false">U4</f>
        <v>0</v>
      </c>
      <c r="V5" s="69" t="n">
        <f aca="false">V4</f>
        <v>0</v>
      </c>
      <c r="W5" s="69" t="n">
        <f aca="false">W4</f>
        <v>0</v>
      </c>
      <c r="X5" s="69" t="n">
        <f aca="false">X4</f>
        <v>0</v>
      </c>
      <c r="Y5" s="69" t="n">
        <f aca="false">Y4</f>
        <v>0</v>
      </c>
      <c r="Z5" s="69" t="n">
        <f aca="false">Z4</f>
        <v>0</v>
      </c>
      <c r="AA5" s="69" t="n">
        <f aca="false">AA4</f>
        <v>0</v>
      </c>
      <c r="AB5" s="69" t="n">
        <f aca="false">AB4</f>
        <v>0</v>
      </c>
      <c r="AC5" s="69" t="n">
        <f aca="false">AC4</f>
        <v>0</v>
      </c>
      <c r="AD5" s="69" t="n">
        <f aca="false">AD4</f>
        <v>0</v>
      </c>
      <c r="AE5" s="69" t="n">
        <f aca="false">AE4</f>
        <v>0</v>
      </c>
      <c r="AF5" s="69" t="n">
        <f aca="false">AF4</f>
        <v>0</v>
      </c>
      <c r="AG5" s="69" t="n">
        <f aca="false">AG4</f>
        <v>0</v>
      </c>
      <c r="AH5" s="69" t="n">
        <f aca="false">AH4</f>
        <v>0</v>
      </c>
      <c r="AI5" s="69" t="n">
        <f aca="false">AI4</f>
        <v>0</v>
      </c>
      <c r="AJ5" s="69" t="n">
        <f aca="false">AJ4</f>
        <v>0</v>
      </c>
      <c r="AK5" s="69" t="n">
        <f aca="false">AK4</f>
        <v>0</v>
      </c>
      <c r="AL5" s="69" t="n">
        <f aca="false">AL4</f>
        <v>0</v>
      </c>
      <c r="AM5" s="69" t="n">
        <f aca="false">AM4</f>
        <v>0</v>
      </c>
      <c r="AN5" s="69" t="n">
        <f aca="false">AN4</f>
        <v>0</v>
      </c>
      <c r="AO5" s="69" t="n">
        <f aca="false">AO4</f>
        <v>0</v>
      </c>
      <c r="AP5" s="69" t="n">
        <f aca="false">AP4</f>
        <v>0</v>
      </c>
      <c r="AQ5" s="69" t="n">
        <f aca="false">AQ4</f>
        <v>0</v>
      </c>
      <c r="AR5" s="69" t="n">
        <f aca="false">AR4</f>
        <v>0</v>
      </c>
      <c r="AS5" s="69" t="n">
        <f aca="false">AS4</f>
        <v>0</v>
      </c>
      <c r="AT5" s="69" t="n">
        <f aca="false">AT4</f>
        <v>0</v>
      </c>
      <c r="AU5" s="69" t="n">
        <f aca="false">AU4</f>
        <v>0</v>
      </c>
      <c r="AV5" s="69" t="n">
        <f aca="false">AV4</f>
        <v>0</v>
      </c>
      <c r="AW5" s="69" t="n">
        <f aca="false">AW4</f>
        <v>0</v>
      </c>
      <c r="AX5" s="69" t="n">
        <f aca="false">AX4</f>
        <v>0</v>
      </c>
      <c r="AY5" s="69" t="n">
        <f aca="false">AY4</f>
        <v>0</v>
      </c>
      <c r="AZ5" s="69" t="n">
        <f aca="false">AZ4</f>
        <v>0</v>
      </c>
      <c r="BA5" s="69" t="n">
        <f aca="false">BA4</f>
        <v>0</v>
      </c>
      <c r="BB5" s="69" t="n">
        <f aca="false">BB4</f>
        <v>0</v>
      </c>
      <c r="BC5" s="69" t="n">
        <f aca="false">BC4</f>
        <v>0</v>
      </c>
      <c r="BD5" s="69" t="n">
        <f aca="false">BD4</f>
        <v>0</v>
      </c>
      <c r="BE5" s="69" t="n">
        <f aca="false">BE4</f>
        <v>0</v>
      </c>
      <c r="BF5" s="69" t="n">
        <f aca="false">BF4</f>
        <v>0</v>
      </c>
      <c r="BG5" s="69" t="n">
        <f aca="false">BG4</f>
        <v>0</v>
      </c>
      <c r="BH5" s="69" t="n">
        <f aca="false">BH4</f>
        <v>0</v>
      </c>
      <c r="BI5" s="69" t="n">
        <f aca="false">BI4</f>
        <v>0</v>
      </c>
      <c r="BJ5" s="69" t="n">
        <f aca="false">BJ4</f>
        <v>0</v>
      </c>
      <c r="BK5" s="69" t="n">
        <f aca="false">BK4</f>
        <v>0</v>
      </c>
      <c r="BL5" s="69" t="n">
        <f aca="false">BL4</f>
        <v>0</v>
      </c>
      <c r="BM5" s="69" t="n">
        <f aca="false">BM4</f>
        <v>0</v>
      </c>
      <c r="BN5" s="69" t="n">
        <f aca="false">BN4</f>
        <v>0</v>
      </c>
      <c r="BO5" s="69" t="n">
        <f aca="false">BO4</f>
        <v>0</v>
      </c>
      <c r="BP5" s="69" t="n">
        <f aca="false">BP4</f>
        <v>0</v>
      </c>
      <c r="BQ5" s="69" t="n">
        <f aca="false">BQ4</f>
        <v>0</v>
      </c>
      <c r="BR5" s="69" t="n">
        <f aca="false">BR4</f>
        <v>0</v>
      </c>
      <c r="BS5" s="69" t="n">
        <f aca="false">BS4</f>
        <v>0</v>
      </c>
      <c r="BT5" s="69" t="n">
        <f aca="false">BT4</f>
        <v>0</v>
      </c>
      <c r="BU5" s="69" t="n">
        <f aca="false">BU4</f>
        <v>0</v>
      </c>
      <c r="BV5" s="69" t="n">
        <f aca="false">BV4</f>
        <v>0</v>
      </c>
      <c r="BW5" s="69" t="n">
        <f aca="false">BW4</f>
        <v>0</v>
      </c>
      <c r="BX5" s="69" t="n">
        <f aca="false">BX4</f>
        <v>0</v>
      </c>
      <c r="BY5" s="69" t="n">
        <f aca="false">BY4</f>
        <v>0</v>
      </c>
      <c r="BZ5" s="69" t="n">
        <f aca="false">BZ4</f>
        <v>0</v>
      </c>
      <c r="CA5" s="69" t="n">
        <f aca="false">CA4</f>
        <v>0</v>
      </c>
      <c r="CB5" s="69" t="n">
        <f aca="false">CB4</f>
        <v>0</v>
      </c>
      <c r="CC5" s="69" t="n">
        <f aca="false">CC4</f>
        <v>0</v>
      </c>
      <c r="CD5" s="69" t="n">
        <f aca="false">CD4</f>
        <v>0</v>
      </c>
      <c r="CE5" s="69" t="n">
        <f aca="false">CE4</f>
        <v>0</v>
      </c>
      <c r="CF5" s="69" t="n">
        <f aca="false">CF4</f>
        <v>0</v>
      </c>
      <c r="CG5" s="69" t="n">
        <f aca="false">CG4</f>
        <v>0</v>
      </c>
      <c r="CH5" s="69" t="n">
        <f aca="false">CH4</f>
        <v>0</v>
      </c>
    </row>
    <row r="6" customFormat="false" ht="15" hidden="false" customHeight="true" outlineLevel="0" collapsed="false">
      <c r="A6" s="62" t="s">
        <v>211</v>
      </c>
      <c r="B6" s="3"/>
      <c r="C6" s="70" t="n">
        <f aca="false">C5</f>
        <v>9375</v>
      </c>
      <c r="D6" s="70" t="n">
        <f aca="false">C6+D5</f>
        <v>18750</v>
      </c>
      <c r="E6" s="70" t="n">
        <f aca="false">D6+E5</f>
        <v>28125</v>
      </c>
      <c r="F6" s="70" t="n">
        <f aca="false">E6+F5</f>
        <v>37500</v>
      </c>
      <c r="G6" s="70" t="n">
        <f aca="false">F6+G5</f>
        <v>46875</v>
      </c>
      <c r="H6" s="70" t="n">
        <f aca="false">G6+H5</f>
        <v>56250</v>
      </c>
      <c r="I6" s="70" t="n">
        <f aca="false">H6+I5</f>
        <v>65625</v>
      </c>
      <c r="J6" s="70" t="n">
        <f aca="false">I6+J5</f>
        <v>65625</v>
      </c>
      <c r="K6" s="70" t="n">
        <f aca="false">J6+K5</f>
        <v>65625</v>
      </c>
      <c r="L6" s="70" t="n">
        <f aca="false">K6+L5</f>
        <v>65625</v>
      </c>
      <c r="M6" s="70" t="n">
        <f aca="false">L6+M5</f>
        <v>65625</v>
      </c>
      <c r="N6" s="70" t="n">
        <f aca="false">M6+N5</f>
        <v>65625</v>
      </c>
      <c r="O6" s="70" t="n">
        <f aca="false">N6+O5</f>
        <v>65625</v>
      </c>
      <c r="P6" s="70" t="n">
        <f aca="false">O6+P5</f>
        <v>65625</v>
      </c>
      <c r="Q6" s="70" t="n">
        <f aca="false">P6+Q5</f>
        <v>65625</v>
      </c>
      <c r="R6" s="70" t="n">
        <f aca="false">Q6+R5</f>
        <v>65625</v>
      </c>
      <c r="S6" s="70" t="n">
        <f aca="false">R6+S5</f>
        <v>65625</v>
      </c>
      <c r="T6" s="70" t="n">
        <f aca="false">S6+T5</f>
        <v>65625</v>
      </c>
      <c r="U6" s="70" t="n">
        <f aca="false">T6+U5</f>
        <v>65625</v>
      </c>
      <c r="V6" s="70" t="n">
        <f aca="false">U6+V5</f>
        <v>65625</v>
      </c>
      <c r="W6" s="70" t="n">
        <f aca="false">V6+W5</f>
        <v>65625</v>
      </c>
      <c r="X6" s="70" t="n">
        <f aca="false">W6+X5</f>
        <v>65625</v>
      </c>
      <c r="Y6" s="70" t="n">
        <f aca="false">X6+Y5</f>
        <v>65625</v>
      </c>
      <c r="Z6" s="70" t="n">
        <f aca="false">Y6+Z5</f>
        <v>65625</v>
      </c>
      <c r="AA6" s="70" t="n">
        <f aca="false">Z6+AA5</f>
        <v>65625</v>
      </c>
      <c r="AB6" s="70" t="n">
        <f aca="false">AA6+AB5</f>
        <v>65625</v>
      </c>
      <c r="AC6" s="70" t="n">
        <f aca="false">AB6+AC5</f>
        <v>65625</v>
      </c>
      <c r="AD6" s="70" t="n">
        <f aca="false">AC6+AD5</f>
        <v>65625</v>
      </c>
      <c r="AE6" s="70" t="n">
        <f aca="false">AD6+AE5</f>
        <v>65625</v>
      </c>
      <c r="AF6" s="70" t="n">
        <f aca="false">AE6+AF5</f>
        <v>65625</v>
      </c>
      <c r="AG6" s="70" t="n">
        <f aca="false">AF6+AG5</f>
        <v>65625</v>
      </c>
      <c r="AH6" s="70" t="n">
        <f aca="false">AG6+AH5</f>
        <v>65625</v>
      </c>
      <c r="AI6" s="70" t="n">
        <f aca="false">AH6+AI5</f>
        <v>65625</v>
      </c>
      <c r="AJ6" s="70" t="n">
        <f aca="false">AI6+AJ5</f>
        <v>65625</v>
      </c>
      <c r="AK6" s="70" t="n">
        <f aca="false">AJ6+AK5</f>
        <v>65625</v>
      </c>
      <c r="AL6" s="70" t="n">
        <f aca="false">AK6+AL5</f>
        <v>65625</v>
      </c>
      <c r="AM6" s="70" t="n">
        <f aca="false">AL6+AM5</f>
        <v>65625</v>
      </c>
      <c r="AN6" s="70" t="n">
        <f aca="false">AM6+AN5</f>
        <v>65625</v>
      </c>
      <c r="AO6" s="70" t="n">
        <f aca="false">AN6+AO5</f>
        <v>65625</v>
      </c>
      <c r="AP6" s="70" t="n">
        <f aca="false">AO6+AP5</f>
        <v>65625</v>
      </c>
      <c r="AQ6" s="70" t="n">
        <f aca="false">AP6+AQ5</f>
        <v>65625</v>
      </c>
      <c r="AR6" s="70" t="n">
        <f aca="false">AQ6+AR5</f>
        <v>65625</v>
      </c>
      <c r="AS6" s="70" t="n">
        <f aca="false">AR6+AS5</f>
        <v>65625</v>
      </c>
      <c r="AT6" s="70" t="n">
        <f aca="false">AS6+AT5</f>
        <v>65625</v>
      </c>
      <c r="AU6" s="70" t="n">
        <f aca="false">AT6+AU5</f>
        <v>65625</v>
      </c>
      <c r="AV6" s="70" t="n">
        <f aca="false">AU6+AV5</f>
        <v>65625</v>
      </c>
      <c r="AW6" s="70" t="n">
        <f aca="false">AV6+AW5</f>
        <v>65625</v>
      </c>
      <c r="AX6" s="70" t="n">
        <f aca="false">AW6+AX5</f>
        <v>65625</v>
      </c>
      <c r="AY6" s="70" t="n">
        <f aca="false">AX6+AY5</f>
        <v>65625</v>
      </c>
      <c r="AZ6" s="70" t="n">
        <f aca="false">AY6+AZ5</f>
        <v>65625</v>
      </c>
      <c r="BA6" s="70" t="n">
        <f aca="false">AZ6+BA5</f>
        <v>65625</v>
      </c>
      <c r="BB6" s="70" t="n">
        <f aca="false">BA6+BB5</f>
        <v>65625</v>
      </c>
      <c r="BC6" s="70" t="n">
        <f aca="false">BB6+BC5</f>
        <v>65625</v>
      </c>
      <c r="BD6" s="70" t="n">
        <f aca="false">BC6+BD5</f>
        <v>65625</v>
      </c>
      <c r="BE6" s="70" t="n">
        <f aca="false">BD6+BE5</f>
        <v>65625</v>
      </c>
      <c r="BF6" s="70" t="n">
        <f aca="false">BE6+BF5</f>
        <v>65625</v>
      </c>
      <c r="BG6" s="70" t="n">
        <f aca="false">BF6+BG5</f>
        <v>65625</v>
      </c>
      <c r="BH6" s="70" t="n">
        <f aca="false">BG6+BH5</f>
        <v>65625</v>
      </c>
      <c r="BI6" s="70" t="n">
        <f aca="false">BH6+BI5</f>
        <v>65625</v>
      </c>
      <c r="BJ6" s="70" t="n">
        <f aca="false">BI6+BJ5</f>
        <v>65625</v>
      </c>
      <c r="BK6" s="70" t="n">
        <f aca="false">BJ6+BK5</f>
        <v>65625</v>
      </c>
      <c r="BL6" s="70" t="n">
        <f aca="false">BK6+BL5</f>
        <v>65625</v>
      </c>
      <c r="BM6" s="70" t="n">
        <f aca="false">BL6+BM5</f>
        <v>65625</v>
      </c>
      <c r="BN6" s="70" t="n">
        <f aca="false">BM6+BN5</f>
        <v>65625</v>
      </c>
      <c r="BO6" s="70" t="n">
        <f aca="false">BN6+BO5</f>
        <v>65625</v>
      </c>
      <c r="BP6" s="70" t="n">
        <f aca="false">BO6+BP5</f>
        <v>65625</v>
      </c>
      <c r="BQ6" s="70" t="n">
        <f aca="false">BP6+BQ5</f>
        <v>65625</v>
      </c>
      <c r="BR6" s="70" t="n">
        <f aca="false">BQ6+BR5</f>
        <v>65625</v>
      </c>
      <c r="BS6" s="70" t="n">
        <f aca="false">BR6+BS5</f>
        <v>65625</v>
      </c>
      <c r="BT6" s="70" t="n">
        <f aca="false">BS6+BT5</f>
        <v>65625</v>
      </c>
      <c r="BU6" s="70" t="n">
        <f aca="false">BT6+BU5</f>
        <v>65625</v>
      </c>
      <c r="BV6" s="70" t="n">
        <f aca="false">BU6+BV5</f>
        <v>65625</v>
      </c>
      <c r="BW6" s="70" t="n">
        <f aca="false">BV6+BW5</f>
        <v>65625</v>
      </c>
      <c r="BX6" s="70" t="n">
        <f aca="false">BW6+BX5</f>
        <v>65625</v>
      </c>
      <c r="BY6" s="70" t="n">
        <f aca="false">BX6+BY5</f>
        <v>65625</v>
      </c>
      <c r="BZ6" s="70" t="n">
        <f aca="false">BY6+BZ5</f>
        <v>65625</v>
      </c>
      <c r="CA6" s="70" t="n">
        <f aca="false">BZ6+CA5</f>
        <v>65625</v>
      </c>
      <c r="CB6" s="70" t="n">
        <f aca="false">CA6+CB5</f>
        <v>65625</v>
      </c>
      <c r="CC6" s="70" t="n">
        <f aca="false">CB6+CC5</f>
        <v>65625</v>
      </c>
      <c r="CD6" s="70" t="n">
        <f aca="false">CC6+CD5</f>
        <v>65625</v>
      </c>
      <c r="CE6" s="70" t="n">
        <f aca="false">CD6+CE5</f>
        <v>65625</v>
      </c>
      <c r="CF6" s="70" t="n">
        <f aca="false">CE6+CF5</f>
        <v>65625</v>
      </c>
      <c r="CG6" s="70" t="n">
        <f aca="false">CF6+CG5</f>
        <v>65625</v>
      </c>
      <c r="CH6" s="70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8" t="s">
        <v>212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customFormat="false" ht="15" hidden="false" customHeight="true" outlineLevel="0" collapsed="false">
      <c r="A9" s="18" t="s">
        <v>209</v>
      </c>
      <c r="B9" s="3"/>
      <c r="C9" s="68" t="n">
        <f aca="false">Model!C47+Model!C48+Model!C49+Model!C50</f>
        <v>23906.25</v>
      </c>
      <c r="D9" s="68" t="n">
        <f aca="false">Model!D47+Model!D48+Model!D49+Model!D50</f>
        <v>23906.25</v>
      </c>
      <c r="E9" s="68" t="n">
        <f aca="false">Model!E47+Model!E48+Model!E49+Model!E50</f>
        <v>23906.25</v>
      </c>
      <c r="F9" s="68" t="n">
        <f aca="false">Model!F47+Model!F48+Model!F49+Model!F50</f>
        <v>23906.25</v>
      </c>
      <c r="G9" s="68" t="n">
        <f aca="false">Model!G47+Model!G48+Model!G49+Model!G50</f>
        <v>23906.25</v>
      </c>
      <c r="H9" s="68" t="n">
        <f aca="false">Model!H47+Model!H48+Model!H49+Model!H50</f>
        <v>23906.25</v>
      </c>
      <c r="I9" s="68" t="n">
        <f aca="false">Model!I47+Model!I48+Model!I49+Model!I50</f>
        <v>23906.25</v>
      </c>
      <c r="J9" s="68" t="n">
        <f aca="false">Model!J47+Model!J48+Model!J49+Model!J50</f>
        <v>23906.25</v>
      </c>
      <c r="K9" s="68" t="n">
        <f aca="false">Model!K47+Model!K48+Model!K49+Model!K50</f>
        <v>23906.25</v>
      </c>
      <c r="L9" s="68" t="n">
        <f aca="false">Model!L47+Model!L48+Model!L49+Model!L50</f>
        <v>23906.25</v>
      </c>
      <c r="M9" s="68" t="n">
        <f aca="false">Model!M47+Model!M48+Model!M49+Model!M50</f>
        <v>23906.25</v>
      </c>
      <c r="N9" s="68" t="n">
        <f aca="false">Model!N47+Model!N48+Model!N49+Model!N50</f>
        <v>23906.25</v>
      </c>
      <c r="O9" s="68" t="n">
        <f aca="false">Model!O47+Model!O48+Model!O49+Model!O50</f>
        <v>23906.25</v>
      </c>
      <c r="P9" s="68" t="n">
        <f aca="false">Model!P47+Model!P48+Model!P49+Model!P50</f>
        <v>23906.25</v>
      </c>
      <c r="Q9" s="68" t="n">
        <f aca="false">Model!Q47+Model!Q48+Model!Q49+Model!Q50</f>
        <v>23906.25</v>
      </c>
      <c r="R9" s="68" t="n">
        <f aca="false">Model!R47+Model!R48+Model!R49+Model!R50</f>
        <v>0</v>
      </c>
      <c r="S9" s="68" t="n">
        <f aca="false">Model!S47+Model!S48+Model!S49+Model!S50</f>
        <v>0</v>
      </c>
      <c r="T9" s="68" t="n">
        <f aca="false">Model!T47+Model!T48+Model!T49+Model!T50</f>
        <v>0</v>
      </c>
      <c r="U9" s="68" t="n">
        <f aca="false">Model!U47+Model!U48+Model!U49+Model!U50</f>
        <v>0</v>
      </c>
      <c r="V9" s="68" t="n">
        <f aca="false">Model!V47+Model!V48+Model!V49+Model!V50</f>
        <v>0</v>
      </c>
      <c r="W9" s="68" t="n">
        <f aca="false">Model!W47+Model!W48+Model!W49+Model!W50</f>
        <v>57375</v>
      </c>
      <c r="X9" s="68" t="n">
        <f aca="false">Model!X47+Model!X48+Model!X49+Model!X50</f>
        <v>0</v>
      </c>
      <c r="Y9" s="68" t="n">
        <f aca="false">Model!Y47+Model!Y48+Model!Y49+Model!Y50</f>
        <v>0</v>
      </c>
      <c r="Z9" s="68" t="n">
        <f aca="false">Model!Z47+Model!Z48+Model!Z49+Model!Z50</f>
        <v>57375</v>
      </c>
      <c r="AA9" s="68" t="n">
        <f aca="false">Model!AA47+Model!AA48+Model!AA49+Model!AA50</f>
        <v>0</v>
      </c>
      <c r="AB9" s="68" t="n">
        <f aca="false">Model!AB47+Model!AB48+Model!AB49+Model!AB50</f>
        <v>0</v>
      </c>
      <c r="AC9" s="68" t="n">
        <f aca="false">Model!AC47+Model!AC48+Model!AC49+Model!AC50</f>
        <v>57375</v>
      </c>
      <c r="AD9" s="68" t="n">
        <f aca="false">Model!AD47+Model!AD48+Model!AD49+Model!AD50</f>
        <v>0</v>
      </c>
      <c r="AE9" s="68" t="n">
        <f aca="false">Model!AE47+Model!AE48+Model!AE49+Model!AE50</f>
        <v>0</v>
      </c>
      <c r="AF9" s="68" t="n">
        <f aca="false">Model!AF47+Model!AF48+Model!AF49+Model!AF50</f>
        <v>0</v>
      </c>
      <c r="AG9" s="68" t="n">
        <f aca="false">Model!AG47+Model!AG48+Model!AG49+Model!AG50</f>
        <v>0</v>
      </c>
      <c r="AH9" s="68" t="n">
        <f aca="false">Model!AH47+Model!AH48+Model!AH49+Model!AH50</f>
        <v>0</v>
      </c>
      <c r="AI9" s="68" t="n">
        <f aca="false">Model!AI47+Model!AI48+Model!AI49+Model!AI50</f>
        <v>0</v>
      </c>
      <c r="AJ9" s="68" t="n">
        <f aca="false">Model!AJ47+Model!AJ48+Model!AJ49+Model!AJ50</f>
        <v>0</v>
      </c>
      <c r="AK9" s="68" t="n">
        <f aca="false">Model!AK47+Model!AK48+Model!AK49+Model!AK50</f>
        <v>0</v>
      </c>
      <c r="AL9" s="68" t="n">
        <f aca="false">Model!AL47+Model!AL48+Model!AL49+Model!AL50</f>
        <v>0</v>
      </c>
      <c r="AM9" s="68" t="n">
        <f aca="false">Model!AM47+Model!AM48+Model!AM49+Model!AM50</f>
        <v>0</v>
      </c>
      <c r="AN9" s="68" t="n">
        <f aca="false">Model!AN47+Model!AN48+Model!AN49+Model!AN50</f>
        <v>0</v>
      </c>
      <c r="AO9" s="68" t="n">
        <f aca="false">Model!AO47+Model!AO48+Model!AO49+Model!AO50</f>
        <v>0</v>
      </c>
      <c r="AP9" s="68" t="n">
        <f aca="false">Model!AP47+Model!AP48+Model!AP49+Model!AP50</f>
        <v>0</v>
      </c>
      <c r="AQ9" s="68" t="n">
        <f aca="false">Model!AQ47+Model!AQ48+Model!AQ49+Model!AQ50</f>
        <v>0</v>
      </c>
      <c r="AR9" s="68" t="n">
        <f aca="false">Model!AR47+Model!AR48+Model!AR49+Model!AR50</f>
        <v>0</v>
      </c>
      <c r="AS9" s="68" t="n">
        <f aca="false">Model!AS47+Model!AS48+Model!AS49+Model!AS50</f>
        <v>0</v>
      </c>
      <c r="AT9" s="68" t="n">
        <f aca="false">Model!AT47+Model!AT48+Model!AT49+Model!AT50</f>
        <v>0</v>
      </c>
      <c r="AU9" s="68" t="n">
        <f aca="false">Model!AU47+Model!AU48+Model!AU49+Model!AU50</f>
        <v>0</v>
      </c>
      <c r="AV9" s="68" t="n">
        <f aca="false">Model!AV47+Model!AV48+Model!AV49+Model!AV50</f>
        <v>0</v>
      </c>
      <c r="AW9" s="68" t="n">
        <f aca="false">Model!AW47+Model!AW48+Model!AW49+Model!AW50</f>
        <v>0</v>
      </c>
      <c r="AX9" s="68" t="n">
        <f aca="false">Model!AX47+Model!AX48+Model!AX49+Model!AX50</f>
        <v>0</v>
      </c>
      <c r="AY9" s="68" t="n">
        <f aca="false">Model!AY47+Model!AY48+Model!AY49+Model!AY50</f>
        <v>0</v>
      </c>
      <c r="AZ9" s="68" t="n">
        <f aca="false">Model!AZ47+Model!AZ48+Model!AZ49+Model!AZ50</f>
        <v>0</v>
      </c>
      <c r="BA9" s="68" t="n">
        <f aca="false">Model!BA47+Model!BA48+Model!BA49+Model!BA50</f>
        <v>0</v>
      </c>
      <c r="BB9" s="68" t="n">
        <f aca="false">Model!BB47+Model!BB48+Model!BB49+Model!BB50</f>
        <v>0</v>
      </c>
      <c r="BC9" s="68" t="n">
        <f aca="false">Model!BC47+Model!BC48+Model!BC49+Model!BC50</f>
        <v>0</v>
      </c>
      <c r="BD9" s="68" t="n">
        <f aca="false">Model!BD47+Model!BD48+Model!BD49+Model!BD50</f>
        <v>0</v>
      </c>
      <c r="BE9" s="68" t="n">
        <f aca="false">Model!BE47+Model!BE48+Model!BE49+Model!BE50</f>
        <v>0</v>
      </c>
      <c r="BF9" s="68" t="n">
        <f aca="false">Model!BF47+Model!BF48+Model!BF49+Model!BF50</f>
        <v>0</v>
      </c>
      <c r="BG9" s="68" t="n">
        <f aca="false">Model!BG47+Model!BG48+Model!BG49+Model!BG50</f>
        <v>0</v>
      </c>
      <c r="BH9" s="68" t="n">
        <f aca="false">Model!BH47+Model!BH48+Model!BH49+Model!BH50</f>
        <v>0</v>
      </c>
      <c r="BI9" s="68" t="n">
        <f aca="false">Model!BI47+Model!BI48+Model!BI49+Model!BI50</f>
        <v>0</v>
      </c>
      <c r="BJ9" s="68" t="n">
        <f aca="false">Model!BJ47+Model!BJ48+Model!BJ49+Model!BJ50</f>
        <v>0</v>
      </c>
      <c r="BK9" s="68" t="n">
        <f aca="false">Model!BK47+Model!BK48+Model!BK49+Model!BK50</f>
        <v>0</v>
      </c>
      <c r="BL9" s="68" t="n">
        <f aca="false">Model!BL47+Model!BL48+Model!BL49+Model!BL50</f>
        <v>0</v>
      </c>
      <c r="BM9" s="68" t="n">
        <f aca="false">Model!BM47+Model!BM48+Model!BM49+Model!BM50</f>
        <v>0</v>
      </c>
      <c r="BN9" s="68" t="n">
        <f aca="false">Model!BN47+Model!BN48+Model!BN49+Model!BN50</f>
        <v>0</v>
      </c>
      <c r="BO9" s="68" t="n">
        <f aca="false">Model!BO47+Model!BO48+Model!BO49+Model!BO50</f>
        <v>0</v>
      </c>
      <c r="BP9" s="68" t="n">
        <f aca="false">Model!BP47+Model!BP48+Model!BP49+Model!BP50</f>
        <v>0</v>
      </c>
      <c r="BQ9" s="68" t="n">
        <f aca="false">Model!BQ47+Model!BQ48+Model!BQ49+Model!BQ50</f>
        <v>0</v>
      </c>
      <c r="BR9" s="68" t="n">
        <f aca="false">Model!BR47+Model!BR48+Model!BR49+Model!BR50</f>
        <v>0</v>
      </c>
      <c r="BS9" s="68" t="n">
        <f aca="false">Model!BS47+Model!BS48+Model!BS49+Model!BS50</f>
        <v>0</v>
      </c>
      <c r="BT9" s="68" t="n">
        <f aca="false">Model!BT47+Model!BT48+Model!BT49+Model!BT50</f>
        <v>0</v>
      </c>
      <c r="BU9" s="68" t="n">
        <f aca="false">Model!BU47+Model!BU48+Model!BU49+Model!BU50</f>
        <v>0</v>
      </c>
      <c r="BV9" s="68" t="n">
        <f aca="false">Model!BV47+Model!BV48+Model!BV49+Model!BV50</f>
        <v>0</v>
      </c>
      <c r="BW9" s="68" t="n">
        <f aca="false">Model!BW47+Model!BW48+Model!BW49+Model!BW50</f>
        <v>0</v>
      </c>
      <c r="BX9" s="68" t="n">
        <f aca="false">Model!BX47+Model!BX48+Model!BX49+Model!BX50</f>
        <v>0</v>
      </c>
      <c r="BY9" s="68" t="n">
        <f aca="false">Model!BY47+Model!BY48+Model!BY49+Model!BY50</f>
        <v>0</v>
      </c>
      <c r="BZ9" s="68" t="n">
        <f aca="false">Model!BZ47+Model!BZ48+Model!BZ49+Model!BZ50</f>
        <v>0</v>
      </c>
      <c r="CA9" s="68" t="n">
        <f aca="false">Model!CA47+Model!CA48+Model!CA49+Model!CA50</f>
        <v>0</v>
      </c>
      <c r="CB9" s="68" t="n">
        <f aca="false">Model!CB47+Model!CB48+Model!CB49+Model!CB50</f>
        <v>0</v>
      </c>
      <c r="CC9" s="68" t="n">
        <f aca="false">Model!CC47+Model!CC48+Model!CC49+Model!CC50</f>
        <v>0</v>
      </c>
      <c r="CD9" s="68" t="n">
        <f aca="false">Model!CD47+Model!CD48+Model!CD49+Model!CD50</f>
        <v>0</v>
      </c>
      <c r="CE9" s="68" t="n">
        <f aca="false">Model!CE47+Model!CE48+Model!CE49+Model!CE50</f>
        <v>0</v>
      </c>
      <c r="CF9" s="68" t="n">
        <f aca="false">Model!CF47+Model!CF48+Model!CF49+Model!CF50</f>
        <v>0</v>
      </c>
      <c r="CG9" s="68" t="n">
        <f aca="false">Model!CG47+Model!CG48+Model!CG49+Model!CG50</f>
        <v>0</v>
      </c>
      <c r="CH9" s="68" t="n">
        <f aca="false">Model!CH47+Model!CH48+Model!CH49+Model!CH50</f>
        <v>0</v>
      </c>
    </row>
    <row r="10" customFormat="false" ht="15" hidden="false" customHeight="true" outlineLevel="0" collapsed="false">
      <c r="A10" s="30" t="s">
        <v>210</v>
      </c>
      <c r="B10" s="30"/>
      <c r="C10" s="69" t="n">
        <f aca="false">C9</f>
        <v>23906.25</v>
      </c>
      <c r="D10" s="69" t="n">
        <f aca="false">D9</f>
        <v>23906.25</v>
      </c>
      <c r="E10" s="69" t="n">
        <f aca="false">E9</f>
        <v>23906.25</v>
      </c>
      <c r="F10" s="69" t="n">
        <f aca="false">F9</f>
        <v>23906.25</v>
      </c>
      <c r="G10" s="69" t="n">
        <f aca="false">G9</f>
        <v>23906.25</v>
      </c>
      <c r="H10" s="69" t="n">
        <f aca="false">H9</f>
        <v>23906.25</v>
      </c>
      <c r="I10" s="69" t="n">
        <f aca="false">I9</f>
        <v>23906.25</v>
      </c>
      <c r="J10" s="69" t="n">
        <f aca="false">J9</f>
        <v>23906.25</v>
      </c>
      <c r="K10" s="69" t="n">
        <f aca="false">K9</f>
        <v>23906.25</v>
      </c>
      <c r="L10" s="69" t="n">
        <f aca="false">L9</f>
        <v>23906.25</v>
      </c>
      <c r="M10" s="69" t="n">
        <f aca="false">M9</f>
        <v>23906.25</v>
      </c>
      <c r="N10" s="69" t="n">
        <f aca="false">N9</f>
        <v>23906.25</v>
      </c>
      <c r="O10" s="69" t="n">
        <f aca="false">O9</f>
        <v>23906.25</v>
      </c>
      <c r="P10" s="69" t="n">
        <f aca="false">P9</f>
        <v>23906.25</v>
      </c>
      <c r="Q10" s="69" t="n">
        <f aca="false">Q9</f>
        <v>23906.25</v>
      </c>
      <c r="R10" s="69" t="n">
        <f aca="false">R9</f>
        <v>0</v>
      </c>
      <c r="S10" s="69" t="n">
        <f aca="false">S9</f>
        <v>0</v>
      </c>
      <c r="T10" s="69" t="n">
        <f aca="false">T9</f>
        <v>0</v>
      </c>
      <c r="U10" s="69" t="n">
        <f aca="false">U9</f>
        <v>0</v>
      </c>
      <c r="V10" s="69" t="n">
        <f aca="false">V9</f>
        <v>0</v>
      </c>
      <c r="W10" s="69" t="n">
        <f aca="false">W9</f>
        <v>57375</v>
      </c>
      <c r="X10" s="69" t="n">
        <f aca="false">X9</f>
        <v>0</v>
      </c>
      <c r="Y10" s="69" t="n">
        <f aca="false">Y9</f>
        <v>0</v>
      </c>
      <c r="Z10" s="69" t="n">
        <f aca="false">Z9</f>
        <v>57375</v>
      </c>
      <c r="AA10" s="69" t="n">
        <f aca="false">AA9</f>
        <v>0</v>
      </c>
      <c r="AB10" s="69" t="n">
        <f aca="false">AB9</f>
        <v>0</v>
      </c>
      <c r="AC10" s="69" t="n">
        <f aca="false">AC9</f>
        <v>57375</v>
      </c>
      <c r="AD10" s="69" t="n">
        <f aca="false">AD9</f>
        <v>0</v>
      </c>
      <c r="AE10" s="69" t="n">
        <f aca="false">AE9</f>
        <v>0</v>
      </c>
      <c r="AF10" s="69" t="n">
        <f aca="false">AF9</f>
        <v>0</v>
      </c>
      <c r="AG10" s="69" t="n">
        <f aca="false">AG9</f>
        <v>0</v>
      </c>
      <c r="AH10" s="69" t="n">
        <f aca="false">AH9</f>
        <v>0</v>
      </c>
      <c r="AI10" s="69" t="n">
        <f aca="false">AI9</f>
        <v>0</v>
      </c>
      <c r="AJ10" s="69" t="n">
        <f aca="false">AJ9</f>
        <v>0</v>
      </c>
      <c r="AK10" s="69" t="n">
        <f aca="false">AK9</f>
        <v>0</v>
      </c>
      <c r="AL10" s="69" t="n">
        <f aca="false">AL9</f>
        <v>0</v>
      </c>
      <c r="AM10" s="69" t="n">
        <f aca="false">AM9</f>
        <v>0</v>
      </c>
      <c r="AN10" s="69" t="n">
        <f aca="false">AN9</f>
        <v>0</v>
      </c>
      <c r="AO10" s="69" t="n">
        <f aca="false">AO9</f>
        <v>0</v>
      </c>
      <c r="AP10" s="69" t="n">
        <f aca="false">AP9</f>
        <v>0</v>
      </c>
      <c r="AQ10" s="69" t="n">
        <f aca="false">AQ9</f>
        <v>0</v>
      </c>
      <c r="AR10" s="69" t="n">
        <f aca="false">AR9</f>
        <v>0</v>
      </c>
      <c r="AS10" s="69" t="n">
        <f aca="false">AS9</f>
        <v>0</v>
      </c>
      <c r="AT10" s="69" t="n">
        <f aca="false">AT9</f>
        <v>0</v>
      </c>
      <c r="AU10" s="69" t="n">
        <f aca="false">AU9</f>
        <v>0</v>
      </c>
      <c r="AV10" s="69" t="n">
        <f aca="false">AV9</f>
        <v>0</v>
      </c>
      <c r="AW10" s="69" t="n">
        <f aca="false">AW9</f>
        <v>0</v>
      </c>
      <c r="AX10" s="69" t="n">
        <f aca="false">AX9</f>
        <v>0</v>
      </c>
      <c r="AY10" s="69" t="n">
        <f aca="false">AY9</f>
        <v>0</v>
      </c>
      <c r="AZ10" s="69" t="n">
        <f aca="false">AZ9</f>
        <v>0</v>
      </c>
      <c r="BA10" s="69" t="n">
        <f aca="false">BA9</f>
        <v>0</v>
      </c>
      <c r="BB10" s="69" t="n">
        <f aca="false">BB9</f>
        <v>0</v>
      </c>
      <c r="BC10" s="69" t="n">
        <f aca="false">BC9</f>
        <v>0</v>
      </c>
      <c r="BD10" s="69" t="n">
        <f aca="false">BD9</f>
        <v>0</v>
      </c>
      <c r="BE10" s="69" t="n">
        <f aca="false">BE9</f>
        <v>0</v>
      </c>
      <c r="BF10" s="69" t="n">
        <f aca="false">BF9</f>
        <v>0</v>
      </c>
      <c r="BG10" s="69" t="n">
        <f aca="false">BG9</f>
        <v>0</v>
      </c>
      <c r="BH10" s="69" t="n">
        <f aca="false">BH9</f>
        <v>0</v>
      </c>
      <c r="BI10" s="69" t="n">
        <f aca="false">BI9</f>
        <v>0</v>
      </c>
      <c r="BJ10" s="69" t="n">
        <f aca="false">BJ9</f>
        <v>0</v>
      </c>
      <c r="BK10" s="69" t="n">
        <f aca="false">BK9</f>
        <v>0</v>
      </c>
      <c r="BL10" s="69" t="n">
        <f aca="false">BL9</f>
        <v>0</v>
      </c>
      <c r="BM10" s="69" t="n">
        <f aca="false">BM9</f>
        <v>0</v>
      </c>
      <c r="BN10" s="69" t="n">
        <f aca="false">BN9</f>
        <v>0</v>
      </c>
      <c r="BO10" s="69" t="n">
        <f aca="false">BO9</f>
        <v>0</v>
      </c>
      <c r="BP10" s="69" t="n">
        <f aca="false">BP9</f>
        <v>0</v>
      </c>
      <c r="BQ10" s="69" t="n">
        <f aca="false">BQ9</f>
        <v>0</v>
      </c>
      <c r="BR10" s="69" t="n">
        <f aca="false">BR9</f>
        <v>0</v>
      </c>
      <c r="BS10" s="69" t="n">
        <f aca="false">BS9</f>
        <v>0</v>
      </c>
      <c r="BT10" s="69" t="n">
        <f aca="false">BT9</f>
        <v>0</v>
      </c>
      <c r="BU10" s="69" t="n">
        <f aca="false">BU9</f>
        <v>0</v>
      </c>
      <c r="BV10" s="69" t="n">
        <f aca="false">BV9</f>
        <v>0</v>
      </c>
      <c r="BW10" s="69" t="n">
        <f aca="false">BW9</f>
        <v>0</v>
      </c>
      <c r="BX10" s="69" t="n">
        <f aca="false">BX9</f>
        <v>0</v>
      </c>
      <c r="BY10" s="69" t="n">
        <f aca="false">BY9</f>
        <v>0</v>
      </c>
      <c r="BZ10" s="69" t="n">
        <f aca="false">BZ9</f>
        <v>0</v>
      </c>
      <c r="CA10" s="69" t="n">
        <f aca="false">CA9</f>
        <v>0</v>
      </c>
      <c r="CB10" s="69" t="n">
        <f aca="false">CB9</f>
        <v>0</v>
      </c>
      <c r="CC10" s="69" t="n">
        <f aca="false">CC9</f>
        <v>0</v>
      </c>
      <c r="CD10" s="69" t="n">
        <f aca="false">CD9</f>
        <v>0</v>
      </c>
      <c r="CE10" s="69" t="n">
        <f aca="false">CE9</f>
        <v>0</v>
      </c>
      <c r="CF10" s="69" t="n">
        <f aca="false">CF9</f>
        <v>0</v>
      </c>
      <c r="CG10" s="69" t="n">
        <f aca="false">CG9</f>
        <v>0</v>
      </c>
      <c r="CH10" s="69" t="n">
        <f aca="false">CH9</f>
        <v>0</v>
      </c>
    </row>
    <row r="11" customFormat="false" ht="15" hidden="false" customHeight="true" outlineLevel="0" collapsed="false">
      <c r="A11" s="62" t="s">
        <v>211</v>
      </c>
      <c r="B11" s="3"/>
      <c r="C11" s="70" t="n">
        <f aca="false">C10</f>
        <v>23906.25</v>
      </c>
      <c r="D11" s="70" t="n">
        <f aca="false">C11+D10</f>
        <v>47812.5</v>
      </c>
      <c r="E11" s="70" t="n">
        <f aca="false">D11+E10</f>
        <v>71718.75</v>
      </c>
      <c r="F11" s="70" t="n">
        <f aca="false">E11+F10</f>
        <v>95625</v>
      </c>
      <c r="G11" s="70" t="n">
        <f aca="false">F11+G10</f>
        <v>119531.25</v>
      </c>
      <c r="H11" s="70" t="n">
        <f aca="false">G11+H10</f>
        <v>143437.5</v>
      </c>
      <c r="I11" s="70" t="n">
        <f aca="false">H11+I10</f>
        <v>167343.75</v>
      </c>
      <c r="J11" s="70" t="n">
        <f aca="false">I11+J10</f>
        <v>191250</v>
      </c>
      <c r="K11" s="70" t="n">
        <f aca="false">J11+K10</f>
        <v>215156.25</v>
      </c>
      <c r="L11" s="70" t="n">
        <f aca="false">K11+L10</f>
        <v>239062.5</v>
      </c>
      <c r="M11" s="70" t="n">
        <f aca="false">L11+M10</f>
        <v>262968.75</v>
      </c>
      <c r="N11" s="70" t="n">
        <f aca="false">M11+N10</f>
        <v>286875</v>
      </c>
      <c r="O11" s="70" t="n">
        <f aca="false">N11+O10</f>
        <v>310781.25</v>
      </c>
      <c r="P11" s="70" t="n">
        <f aca="false">O11+P10</f>
        <v>334687.5</v>
      </c>
      <c r="Q11" s="70" t="n">
        <f aca="false">P11+Q10</f>
        <v>358593.75</v>
      </c>
      <c r="R11" s="70" t="n">
        <f aca="false">Q11+R10</f>
        <v>358593.75</v>
      </c>
      <c r="S11" s="70" t="n">
        <f aca="false">R11+S10</f>
        <v>358593.75</v>
      </c>
      <c r="T11" s="70" t="n">
        <f aca="false">S11+T10</f>
        <v>358593.75</v>
      </c>
      <c r="U11" s="70" t="n">
        <f aca="false">T11+U10</f>
        <v>358593.75</v>
      </c>
      <c r="V11" s="70" t="n">
        <f aca="false">U11+V10</f>
        <v>358593.75</v>
      </c>
      <c r="W11" s="70" t="n">
        <f aca="false">V11+W10</f>
        <v>415968.75</v>
      </c>
      <c r="X11" s="70" t="n">
        <f aca="false">W11+X10</f>
        <v>415968.75</v>
      </c>
      <c r="Y11" s="70" t="n">
        <f aca="false">X11+Y10</f>
        <v>415968.75</v>
      </c>
      <c r="Z11" s="70" t="n">
        <f aca="false">Y11+Z10</f>
        <v>473343.75</v>
      </c>
      <c r="AA11" s="70" t="n">
        <f aca="false">Z11+AA10</f>
        <v>473343.75</v>
      </c>
      <c r="AB11" s="70" t="n">
        <f aca="false">AA11+AB10</f>
        <v>473343.75</v>
      </c>
      <c r="AC11" s="70" t="n">
        <f aca="false">AB11+AC10</f>
        <v>530718.75</v>
      </c>
      <c r="AD11" s="70" t="n">
        <f aca="false">AC11+AD10</f>
        <v>530718.75</v>
      </c>
      <c r="AE11" s="70" t="n">
        <f aca="false">AD11+AE10</f>
        <v>530718.75</v>
      </c>
      <c r="AF11" s="70" t="n">
        <f aca="false">AE11+AF10</f>
        <v>530718.75</v>
      </c>
      <c r="AG11" s="70" t="n">
        <f aca="false">AF11+AG10</f>
        <v>530718.75</v>
      </c>
      <c r="AH11" s="70" t="n">
        <f aca="false">AG11+AH10</f>
        <v>530718.75</v>
      </c>
      <c r="AI11" s="70" t="n">
        <f aca="false">AH11+AI10</f>
        <v>530718.75</v>
      </c>
      <c r="AJ11" s="70" t="n">
        <f aca="false">AI11+AJ10</f>
        <v>530718.75</v>
      </c>
      <c r="AK11" s="70" t="n">
        <f aca="false">AJ11+AK10</f>
        <v>530718.75</v>
      </c>
      <c r="AL11" s="70" t="n">
        <f aca="false">AK11+AL10</f>
        <v>530718.75</v>
      </c>
      <c r="AM11" s="70" t="n">
        <f aca="false">AL11+AM10</f>
        <v>530718.75</v>
      </c>
      <c r="AN11" s="70" t="n">
        <f aca="false">AM11+AN10</f>
        <v>530718.75</v>
      </c>
      <c r="AO11" s="70" t="n">
        <f aca="false">AN11+AO10</f>
        <v>530718.75</v>
      </c>
      <c r="AP11" s="70" t="n">
        <f aca="false">AO11+AP10</f>
        <v>530718.75</v>
      </c>
      <c r="AQ11" s="70" t="n">
        <f aca="false">AP11+AQ10</f>
        <v>530718.75</v>
      </c>
      <c r="AR11" s="70" t="n">
        <f aca="false">AQ11+AR10</f>
        <v>530718.75</v>
      </c>
      <c r="AS11" s="70" t="n">
        <f aca="false">AR11+AS10</f>
        <v>530718.75</v>
      </c>
      <c r="AT11" s="70" t="n">
        <f aca="false">AS11+AT10</f>
        <v>530718.75</v>
      </c>
      <c r="AU11" s="70" t="n">
        <f aca="false">AT11+AU10</f>
        <v>530718.75</v>
      </c>
      <c r="AV11" s="70" t="n">
        <f aca="false">AU11+AV10</f>
        <v>530718.75</v>
      </c>
      <c r="AW11" s="70" t="n">
        <f aca="false">AV11+AW10</f>
        <v>530718.75</v>
      </c>
      <c r="AX11" s="70" t="n">
        <f aca="false">AW11+AX10</f>
        <v>530718.75</v>
      </c>
      <c r="AY11" s="70" t="n">
        <f aca="false">AX11+AY10</f>
        <v>530718.75</v>
      </c>
      <c r="AZ11" s="70" t="n">
        <f aca="false">AY11+AZ10</f>
        <v>530718.75</v>
      </c>
      <c r="BA11" s="70" t="n">
        <f aca="false">AZ11+BA10</f>
        <v>530718.75</v>
      </c>
      <c r="BB11" s="70" t="n">
        <f aca="false">BA11+BB10</f>
        <v>530718.75</v>
      </c>
      <c r="BC11" s="70" t="n">
        <f aca="false">BB11+BC10</f>
        <v>530718.75</v>
      </c>
      <c r="BD11" s="70" t="n">
        <f aca="false">BC11+BD10</f>
        <v>530718.75</v>
      </c>
      <c r="BE11" s="70" t="n">
        <f aca="false">BD11+BE10</f>
        <v>530718.75</v>
      </c>
      <c r="BF11" s="70" t="n">
        <f aca="false">BE11+BF10</f>
        <v>530718.75</v>
      </c>
      <c r="BG11" s="70" t="n">
        <f aca="false">BF11+BG10</f>
        <v>530718.75</v>
      </c>
      <c r="BH11" s="70" t="n">
        <f aca="false">BG11+BH10</f>
        <v>530718.75</v>
      </c>
      <c r="BI11" s="70" t="n">
        <f aca="false">BH11+BI10</f>
        <v>530718.75</v>
      </c>
      <c r="BJ11" s="70" t="n">
        <f aca="false">BI11+BJ10</f>
        <v>530718.75</v>
      </c>
      <c r="BK11" s="70" t="n">
        <f aca="false">BJ11+BK10</f>
        <v>530718.75</v>
      </c>
      <c r="BL11" s="70" t="n">
        <f aca="false">BK11+BL10</f>
        <v>530718.75</v>
      </c>
      <c r="BM11" s="70" t="n">
        <f aca="false">BL11+BM10</f>
        <v>530718.75</v>
      </c>
      <c r="BN11" s="70" t="n">
        <f aca="false">BM11+BN10</f>
        <v>530718.75</v>
      </c>
      <c r="BO11" s="70" t="n">
        <f aca="false">BN11+BO10</f>
        <v>530718.75</v>
      </c>
      <c r="BP11" s="70" t="n">
        <f aca="false">BO11+BP10</f>
        <v>530718.75</v>
      </c>
      <c r="BQ11" s="70" t="n">
        <f aca="false">BP11+BQ10</f>
        <v>530718.75</v>
      </c>
      <c r="BR11" s="70" t="n">
        <f aca="false">BQ11+BR10</f>
        <v>530718.75</v>
      </c>
      <c r="BS11" s="70" t="n">
        <f aca="false">BR11+BS10</f>
        <v>530718.75</v>
      </c>
      <c r="BT11" s="70" t="n">
        <f aca="false">BS11+BT10</f>
        <v>530718.75</v>
      </c>
      <c r="BU11" s="70" t="n">
        <f aca="false">BT11+BU10</f>
        <v>530718.75</v>
      </c>
      <c r="BV11" s="70" t="n">
        <f aca="false">BU11+BV10</f>
        <v>530718.75</v>
      </c>
      <c r="BW11" s="70" t="n">
        <f aca="false">BV11+BW10</f>
        <v>530718.75</v>
      </c>
      <c r="BX11" s="70" t="n">
        <f aca="false">BW11+BX10</f>
        <v>530718.75</v>
      </c>
      <c r="BY11" s="70" t="n">
        <f aca="false">BX11+BY10</f>
        <v>530718.75</v>
      </c>
      <c r="BZ11" s="70" t="n">
        <f aca="false">BY11+BZ10</f>
        <v>530718.75</v>
      </c>
      <c r="CA11" s="70" t="n">
        <f aca="false">BZ11+CA10</f>
        <v>530718.75</v>
      </c>
      <c r="CB11" s="70" t="n">
        <f aca="false">CA11+CB10</f>
        <v>530718.75</v>
      </c>
      <c r="CC11" s="70" t="n">
        <f aca="false">CB11+CC10</f>
        <v>530718.75</v>
      </c>
      <c r="CD11" s="70" t="n">
        <f aca="false">CC11+CD10</f>
        <v>530718.75</v>
      </c>
      <c r="CE11" s="70" t="n">
        <f aca="false">CD11+CE10</f>
        <v>530718.75</v>
      </c>
      <c r="CF11" s="70" t="n">
        <f aca="false">CE11+CF10</f>
        <v>530718.75</v>
      </c>
      <c r="CG11" s="70" t="n">
        <f aca="false">CF11+CG10</f>
        <v>530718.75</v>
      </c>
      <c r="CH11" s="70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8" t="s">
        <v>50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</row>
    <row r="14" customFormat="false" ht="15" hidden="false" customHeight="true" outlineLevel="0" collapsed="false">
      <c r="A14" s="18" t="s">
        <v>209</v>
      </c>
      <c r="B14" s="3"/>
      <c r="C14" s="68" t="n">
        <f aca="false">Model!C53+Model!C54+Model!C55</f>
        <v>0</v>
      </c>
      <c r="D14" s="68" t="n">
        <f aca="false">Model!D53+Model!D54+Model!D55</f>
        <v>0</v>
      </c>
      <c r="E14" s="68" t="n">
        <f aca="false">Model!E53+Model!E54+Model!E55</f>
        <v>0</v>
      </c>
      <c r="F14" s="68" t="n">
        <f aca="false">Model!F53+Model!F54+Model!F55</f>
        <v>0</v>
      </c>
      <c r="G14" s="68" t="n">
        <f aca="false">Model!G53+Model!G54+Model!G55</f>
        <v>0</v>
      </c>
      <c r="H14" s="68" t="n">
        <f aca="false">Model!H53+Model!H54+Model!H55</f>
        <v>0</v>
      </c>
      <c r="I14" s="68" t="n">
        <f aca="false">Model!I53+Model!I54+Model!I55</f>
        <v>0</v>
      </c>
      <c r="J14" s="68" t="n">
        <f aca="false">Model!J53+Model!J54+Model!J55</f>
        <v>0</v>
      </c>
      <c r="K14" s="68" t="n">
        <f aca="false">Model!K53+Model!K54+Model!K55</f>
        <v>0</v>
      </c>
      <c r="L14" s="68" t="n">
        <f aca="false">Model!L53+Model!L54+Model!L55</f>
        <v>0</v>
      </c>
      <c r="M14" s="68" t="n">
        <f aca="false">Model!M53+Model!M54+Model!M55</f>
        <v>0</v>
      </c>
      <c r="N14" s="68" t="n">
        <f aca="false">Model!N53+Model!N54+Model!N55</f>
        <v>0</v>
      </c>
      <c r="O14" s="68" t="n">
        <f aca="false">Model!O53+Model!O54+Model!O55</f>
        <v>0</v>
      </c>
      <c r="P14" s="68" t="n">
        <f aca="false">Model!P53+Model!P54+Model!P55</f>
        <v>0</v>
      </c>
      <c r="Q14" s="68" t="n">
        <f aca="false">Model!Q53+Model!Q54+Model!Q55</f>
        <v>0</v>
      </c>
      <c r="R14" s="68" t="n">
        <f aca="false">Model!R53+Model!R54+Model!R55</f>
        <v>0</v>
      </c>
      <c r="S14" s="68" t="n">
        <f aca="false">Model!S53+Model!S54+Model!S55</f>
        <v>0</v>
      </c>
      <c r="T14" s="68" t="n">
        <f aca="false">Model!T53+Model!T54+Model!T55</f>
        <v>0</v>
      </c>
      <c r="U14" s="68" t="n">
        <f aca="false">Model!U53+Model!U54+Model!U55</f>
        <v>0</v>
      </c>
      <c r="V14" s="68" t="n">
        <f aca="false">Model!V53+Model!V54+Model!V55</f>
        <v>0</v>
      </c>
      <c r="W14" s="68" t="n">
        <f aca="false">Model!W53+Model!W54+Model!W55</f>
        <v>0</v>
      </c>
      <c r="X14" s="68" t="n">
        <f aca="false">Model!X53+Model!X54+Model!X55</f>
        <v>0</v>
      </c>
      <c r="Y14" s="68" t="n">
        <f aca="false">Model!Y53+Model!Y54+Model!Y55</f>
        <v>0</v>
      </c>
      <c r="Z14" s="68" t="n">
        <f aca="false">Model!Z53+Model!Z54+Model!Z55</f>
        <v>0</v>
      </c>
      <c r="AA14" s="68" t="n">
        <f aca="false">Model!AA53+Model!AA54+Model!AA55</f>
        <v>0</v>
      </c>
      <c r="AB14" s="68" t="n">
        <f aca="false">Model!AB53+Model!AB54+Model!AB55</f>
        <v>0</v>
      </c>
      <c r="AC14" s="68" t="n">
        <f aca="false">Model!AC53+Model!AC54+Model!AC55</f>
        <v>0</v>
      </c>
      <c r="AD14" s="68" t="n">
        <f aca="false">Model!AD53+Model!AD54+Model!AD55</f>
        <v>0</v>
      </c>
      <c r="AE14" s="68" t="n">
        <f aca="false">Model!AE53+Model!AE54+Model!AE55</f>
        <v>0</v>
      </c>
      <c r="AF14" s="68" t="n">
        <f aca="false">Model!AF53+Model!AF54+Model!AF55</f>
        <v>0</v>
      </c>
      <c r="AG14" s="68" t="n">
        <f aca="false">Model!AG53+Model!AG54+Model!AG55</f>
        <v>0</v>
      </c>
      <c r="AH14" s="68" t="n">
        <f aca="false">Model!AH53+Model!AH54+Model!AH55</f>
        <v>0</v>
      </c>
      <c r="AI14" s="68" t="n">
        <f aca="false">Model!AI53+Model!AI54+Model!AI55</f>
        <v>0</v>
      </c>
      <c r="AJ14" s="68" t="n">
        <f aca="false">Model!AJ53+Model!AJ54+Model!AJ55</f>
        <v>0</v>
      </c>
      <c r="AK14" s="68" t="n">
        <f aca="false">Model!AK53+Model!AK54+Model!AK55</f>
        <v>0</v>
      </c>
      <c r="AL14" s="68" t="n">
        <f aca="false">Model!AL53+Model!AL54+Model!AL55</f>
        <v>0</v>
      </c>
      <c r="AM14" s="68" t="n">
        <f aca="false">Model!AM53+Model!AM54+Model!AM55</f>
        <v>0</v>
      </c>
      <c r="AN14" s="68" t="n">
        <f aca="false">Model!AN53+Model!AN54+Model!AN55</f>
        <v>0</v>
      </c>
      <c r="AO14" s="68" t="n">
        <f aca="false">Model!AO53+Model!AO54+Model!AO55</f>
        <v>0</v>
      </c>
      <c r="AP14" s="68" t="n">
        <f aca="false">Model!AP53+Model!AP54+Model!AP55</f>
        <v>0</v>
      </c>
      <c r="AQ14" s="68" t="n">
        <f aca="false">Model!AQ53+Model!AQ54+Model!AQ55</f>
        <v>0</v>
      </c>
      <c r="AR14" s="68" t="n">
        <f aca="false">Model!AR53+Model!AR54+Model!AR55</f>
        <v>0</v>
      </c>
      <c r="AS14" s="68" t="n">
        <f aca="false">Model!AS53+Model!AS54+Model!AS55</f>
        <v>0</v>
      </c>
      <c r="AT14" s="68" t="n">
        <f aca="false">Model!AT53+Model!AT54+Model!AT55</f>
        <v>0</v>
      </c>
      <c r="AU14" s="68" t="n">
        <f aca="false">Model!AU53+Model!AU54+Model!AU55</f>
        <v>0</v>
      </c>
      <c r="AV14" s="68" t="n">
        <f aca="false">Model!AV53+Model!AV54+Model!AV55</f>
        <v>0</v>
      </c>
      <c r="AW14" s="68" t="n">
        <f aca="false">Model!AW53+Model!AW54+Model!AW55</f>
        <v>0</v>
      </c>
      <c r="AX14" s="68" t="n">
        <f aca="false">Model!AX53+Model!AX54+Model!AX55</f>
        <v>0</v>
      </c>
      <c r="AY14" s="68" t="n">
        <f aca="false">Model!AY53+Model!AY54+Model!AY55</f>
        <v>0</v>
      </c>
      <c r="AZ14" s="68" t="n">
        <f aca="false">Model!AZ53+Model!AZ54+Model!AZ55</f>
        <v>0</v>
      </c>
      <c r="BA14" s="68" t="n">
        <f aca="false">Model!BA53+Model!BA54+Model!BA55</f>
        <v>0</v>
      </c>
      <c r="BB14" s="68" t="n">
        <f aca="false">Model!BB53+Model!BB54+Model!BB55</f>
        <v>0</v>
      </c>
      <c r="BC14" s="68" t="n">
        <f aca="false">Model!BC53+Model!BC54+Model!BC55</f>
        <v>0</v>
      </c>
      <c r="BD14" s="68" t="n">
        <f aca="false">Model!BD53+Model!BD54+Model!BD55</f>
        <v>0</v>
      </c>
      <c r="BE14" s="68" t="n">
        <f aca="false">Model!BE53+Model!BE54+Model!BE55</f>
        <v>0</v>
      </c>
      <c r="BF14" s="68" t="n">
        <f aca="false">Model!BF53+Model!BF54+Model!BF55</f>
        <v>0</v>
      </c>
      <c r="BG14" s="68" t="n">
        <f aca="false">Model!BG53+Model!BG54+Model!BG55</f>
        <v>0</v>
      </c>
      <c r="BH14" s="68" t="n">
        <f aca="false">Model!BH53+Model!BH54+Model!BH55</f>
        <v>0</v>
      </c>
      <c r="BI14" s="68" t="n">
        <f aca="false">Model!BI53+Model!BI54+Model!BI55</f>
        <v>0</v>
      </c>
      <c r="BJ14" s="68" t="n">
        <f aca="false">Model!BJ53+Model!BJ54+Model!BJ55</f>
        <v>0</v>
      </c>
      <c r="BK14" s="68" t="n">
        <f aca="false">Model!BK53+Model!BK54+Model!BK55</f>
        <v>0</v>
      </c>
      <c r="BL14" s="68" t="n">
        <f aca="false">Model!BL53+Model!BL54+Model!BL55</f>
        <v>0</v>
      </c>
      <c r="BM14" s="68" t="n">
        <f aca="false">Model!BM53+Model!BM54+Model!BM55</f>
        <v>0</v>
      </c>
      <c r="BN14" s="68" t="n">
        <f aca="false">Model!BN53+Model!BN54+Model!BN55</f>
        <v>0</v>
      </c>
      <c r="BO14" s="68" t="n">
        <f aca="false">Model!BO53+Model!BO54+Model!BO55</f>
        <v>0</v>
      </c>
      <c r="BP14" s="68" t="n">
        <f aca="false">Model!BP53+Model!BP54+Model!BP55</f>
        <v>0</v>
      </c>
      <c r="BQ14" s="68" t="n">
        <f aca="false">Model!BQ53+Model!BQ54+Model!BQ55</f>
        <v>0</v>
      </c>
      <c r="BR14" s="68" t="n">
        <f aca="false">Model!BR53+Model!BR54+Model!BR55</f>
        <v>0</v>
      </c>
      <c r="BS14" s="68" t="n">
        <f aca="false">Model!BS53+Model!BS54+Model!BS55</f>
        <v>0</v>
      </c>
      <c r="BT14" s="68" t="n">
        <f aca="false">Model!BT53+Model!BT54+Model!BT55</f>
        <v>0</v>
      </c>
      <c r="BU14" s="68" t="n">
        <f aca="false">Model!BU53+Model!BU54+Model!BU55</f>
        <v>0</v>
      </c>
      <c r="BV14" s="68" t="n">
        <f aca="false">Model!BV53+Model!BV54+Model!BV55</f>
        <v>0</v>
      </c>
      <c r="BW14" s="68" t="n">
        <f aca="false">Model!BW53+Model!BW54+Model!BW55</f>
        <v>0</v>
      </c>
      <c r="BX14" s="68" t="n">
        <f aca="false">Model!BX53+Model!BX54+Model!BX55</f>
        <v>0</v>
      </c>
      <c r="BY14" s="68" t="n">
        <f aca="false">Model!BY53+Model!BY54+Model!BY55</f>
        <v>0</v>
      </c>
      <c r="BZ14" s="68" t="n">
        <f aca="false">Model!BZ53+Model!BZ54+Model!BZ55</f>
        <v>0</v>
      </c>
      <c r="CA14" s="68" t="n">
        <f aca="false">Model!CA53+Model!CA54+Model!CA55</f>
        <v>0</v>
      </c>
      <c r="CB14" s="68" t="n">
        <f aca="false">Model!CB53+Model!CB54+Model!CB55</f>
        <v>0</v>
      </c>
      <c r="CC14" s="68" t="n">
        <f aca="false">Model!CC53+Model!CC54+Model!CC55</f>
        <v>0</v>
      </c>
      <c r="CD14" s="68" t="n">
        <f aca="false">Model!CD53+Model!CD54+Model!CD55</f>
        <v>0</v>
      </c>
      <c r="CE14" s="68" t="n">
        <f aca="false">Model!CE53+Model!CE54+Model!CE55</f>
        <v>0</v>
      </c>
      <c r="CF14" s="68" t="n">
        <f aca="false">Model!CF53+Model!CF54+Model!CF55</f>
        <v>0</v>
      </c>
      <c r="CG14" s="68" t="n">
        <f aca="false">Model!CG53+Model!CG54+Model!CG55</f>
        <v>0</v>
      </c>
      <c r="CH14" s="68" t="n">
        <f aca="false">Model!CH53+Model!CH54+Model!CH55</f>
        <v>0</v>
      </c>
    </row>
    <row r="15" customFormat="false" ht="15" hidden="false" customHeight="true" outlineLevel="0" collapsed="false">
      <c r="A15" s="71" t="s">
        <v>213</v>
      </c>
      <c r="B15" s="3"/>
      <c r="C15" s="72" t="n">
        <v>0</v>
      </c>
      <c r="D15" s="72" t="n">
        <v>0</v>
      </c>
      <c r="E15" s="72" t="n">
        <v>0</v>
      </c>
      <c r="F15" s="72" t="n">
        <v>0</v>
      </c>
      <c r="G15" s="72" t="n">
        <f aca="false">IF(Projects!$G$11="Yes",-155771,0)</f>
        <v>0</v>
      </c>
      <c r="H15" s="72" t="n">
        <v>0</v>
      </c>
      <c r="I15" s="72" t="n">
        <v>0</v>
      </c>
      <c r="J15" s="72" t="n">
        <v>0</v>
      </c>
      <c r="K15" s="72" t="n">
        <v>0</v>
      </c>
      <c r="L15" s="72" t="n">
        <v>0</v>
      </c>
      <c r="M15" s="72" t="n">
        <v>0</v>
      </c>
      <c r="N15" s="72" t="n">
        <v>0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  <c r="T15" s="72" t="n">
        <v>0</v>
      </c>
      <c r="U15" s="72" t="n">
        <v>0</v>
      </c>
      <c r="V15" s="72" t="n">
        <v>0</v>
      </c>
      <c r="W15" s="72" t="n">
        <v>0</v>
      </c>
      <c r="X15" s="72" t="n">
        <v>0</v>
      </c>
      <c r="Y15" s="72" t="n">
        <v>0</v>
      </c>
      <c r="Z15" s="72" t="n">
        <v>0</v>
      </c>
      <c r="AA15" s="72" t="n">
        <v>0</v>
      </c>
      <c r="AB15" s="72" t="n">
        <v>0</v>
      </c>
      <c r="AC15" s="72" t="n">
        <v>0</v>
      </c>
      <c r="AD15" s="72" t="n">
        <v>0</v>
      </c>
      <c r="AE15" s="72" t="n">
        <v>0</v>
      </c>
      <c r="AF15" s="72" t="n">
        <v>0</v>
      </c>
      <c r="AG15" s="72" t="n">
        <v>0</v>
      </c>
      <c r="AH15" s="72" t="n">
        <v>0</v>
      </c>
      <c r="AI15" s="72" t="n">
        <v>0</v>
      </c>
      <c r="AJ15" s="72" t="n">
        <v>0</v>
      </c>
      <c r="AK15" s="72" t="n">
        <v>0</v>
      </c>
      <c r="AL15" s="72" t="n">
        <v>0</v>
      </c>
      <c r="AM15" s="72" t="n">
        <v>0</v>
      </c>
      <c r="AN15" s="72" t="n">
        <v>0</v>
      </c>
      <c r="AO15" s="72" t="n">
        <v>0</v>
      </c>
      <c r="AP15" s="72" t="n">
        <v>0</v>
      </c>
      <c r="AQ15" s="72" t="n">
        <v>0</v>
      </c>
      <c r="AR15" s="72" t="n">
        <v>0</v>
      </c>
      <c r="AS15" s="72" t="n">
        <v>0</v>
      </c>
      <c r="AT15" s="72" t="n">
        <v>0</v>
      </c>
      <c r="AU15" s="72" t="n">
        <v>0</v>
      </c>
      <c r="AV15" s="72" t="n">
        <v>0</v>
      </c>
      <c r="AW15" s="72" t="n">
        <v>0</v>
      </c>
      <c r="AX15" s="72" t="n">
        <v>0</v>
      </c>
      <c r="AY15" s="72" t="n">
        <v>0</v>
      </c>
      <c r="AZ15" s="72" t="n">
        <v>0</v>
      </c>
      <c r="BA15" s="72" t="n">
        <v>0</v>
      </c>
      <c r="BB15" s="72" t="n">
        <v>0</v>
      </c>
      <c r="BC15" s="72" t="n">
        <v>0</v>
      </c>
      <c r="BD15" s="72" t="n">
        <v>0</v>
      </c>
      <c r="BE15" s="72" t="n">
        <v>0</v>
      </c>
      <c r="BF15" s="72" t="n">
        <v>0</v>
      </c>
      <c r="BG15" s="72" t="n">
        <v>0</v>
      </c>
      <c r="BH15" s="72" t="n">
        <v>0</v>
      </c>
      <c r="BI15" s="72" t="n">
        <v>0</v>
      </c>
      <c r="BJ15" s="72" t="n">
        <v>0</v>
      </c>
      <c r="BK15" s="72" t="n">
        <v>0</v>
      </c>
      <c r="BL15" s="72" t="n">
        <v>0</v>
      </c>
      <c r="BM15" s="72" t="n">
        <v>0</v>
      </c>
      <c r="BN15" s="72" t="n">
        <v>0</v>
      </c>
      <c r="BO15" s="72" t="n">
        <v>0</v>
      </c>
      <c r="BP15" s="72" t="n">
        <v>0</v>
      </c>
      <c r="BQ15" s="72" t="n">
        <v>0</v>
      </c>
      <c r="BR15" s="72" t="n">
        <v>0</v>
      </c>
      <c r="BS15" s="72" t="n">
        <v>0</v>
      </c>
      <c r="BT15" s="72" t="n">
        <v>0</v>
      </c>
      <c r="BU15" s="72" t="n">
        <v>0</v>
      </c>
      <c r="BV15" s="72" t="n">
        <v>0</v>
      </c>
      <c r="BW15" s="72" t="n">
        <v>0</v>
      </c>
      <c r="BX15" s="72" t="n">
        <v>0</v>
      </c>
      <c r="BY15" s="72" t="n">
        <v>0</v>
      </c>
      <c r="BZ15" s="72" t="n">
        <v>0</v>
      </c>
      <c r="CA15" s="72" t="n">
        <v>0</v>
      </c>
      <c r="CB15" s="72" t="n">
        <v>0</v>
      </c>
      <c r="CC15" s="72" t="n">
        <v>0</v>
      </c>
      <c r="CD15" s="72" t="n">
        <v>0</v>
      </c>
      <c r="CE15" s="72" t="n">
        <v>0</v>
      </c>
      <c r="CF15" s="72" t="n">
        <v>0</v>
      </c>
      <c r="CG15" s="72" t="n">
        <v>0</v>
      </c>
      <c r="CH15" s="72" t="n">
        <v>0</v>
      </c>
    </row>
    <row r="16" customFormat="false" ht="15" hidden="false" customHeight="true" outlineLevel="0" collapsed="false">
      <c r="A16" s="30" t="s">
        <v>210</v>
      </c>
      <c r="B16" s="30"/>
      <c r="C16" s="69" t="n">
        <f aca="false">C14+C15</f>
        <v>0</v>
      </c>
      <c r="D16" s="69" t="n">
        <f aca="false">D14+D15</f>
        <v>0</v>
      </c>
      <c r="E16" s="69" t="n">
        <f aca="false">E14+E15</f>
        <v>0</v>
      </c>
      <c r="F16" s="69" t="n">
        <f aca="false">F14+F15</f>
        <v>0</v>
      </c>
      <c r="G16" s="69" t="n">
        <f aca="false">G14+G15</f>
        <v>0</v>
      </c>
      <c r="H16" s="69" t="n">
        <f aca="false">H14+H15</f>
        <v>0</v>
      </c>
      <c r="I16" s="69" t="n">
        <f aca="false">I14+I15</f>
        <v>0</v>
      </c>
      <c r="J16" s="69" t="n">
        <f aca="false">J14+J15</f>
        <v>0</v>
      </c>
      <c r="K16" s="69" t="n">
        <f aca="false">K14+K15</f>
        <v>0</v>
      </c>
      <c r="L16" s="69" t="n">
        <f aca="false">L14+L15</f>
        <v>0</v>
      </c>
      <c r="M16" s="69" t="n">
        <f aca="false">M14+M15</f>
        <v>0</v>
      </c>
      <c r="N16" s="69" t="n">
        <f aca="false">N14+N15</f>
        <v>0</v>
      </c>
      <c r="O16" s="69" t="n">
        <f aca="false">O14+O15</f>
        <v>0</v>
      </c>
      <c r="P16" s="69" t="n">
        <f aca="false">P14+P15</f>
        <v>0</v>
      </c>
      <c r="Q16" s="69" t="n">
        <f aca="false">Q14+Q15</f>
        <v>0</v>
      </c>
      <c r="R16" s="69" t="n">
        <f aca="false">R14+R15</f>
        <v>0</v>
      </c>
      <c r="S16" s="69" t="n">
        <f aca="false">S14+S15</f>
        <v>0</v>
      </c>
      <c r="T16" s="69" t="n">
        <f aca="false">T14+T15</f>
        <v>0</v>
      </c>
      <c r="U16" s="69" t="n">
        <f aca="false">U14+U15</f>
        <v>0</v>
      </c>
      <c r="V16" s="69" t="n">
        <f aca="false">V14+V15</f>
        <v>0</v>
      </c>
      <c r="W16" s="69" t="n">
        <f aca="false">W14+W15</f>
        <v>0</v>
      </c>
      <c r="X16" s="69" t="n">
        <f aca="false">X14+X15</f>
        <v>0</v>
      </c>
      <c r="Y16" s="69" t="n">
        <f aca="false">Y14+Y15</f>
        <v>0</v>
      </c>
      <c r="Z16" s="69" t="n">
        <f aca="false">Z14+Z15</f>
        <v>0</v>
      </c>
      <c r="AA16" s="69" t="n">
        <f aca="false">AA14+AA15</f>
        <v>0</v>
      </c>
      <c r="AB16" s="69" t="n">
        <f aca="false">AB14+AB15</f>
        <v>0</v>
      </c>
      <c r="AC16" s="69" t="n">
        <f aca="false">AC14+AC15</f>
        <v>0</v>
      </c>
      <c r="AD16" s="69" t="n">
        <f aca="false">AD14+AD15</f>
        <v>0</v>
      </c>
      <c r="AE16" s="69" t="n">
        <f aca="false">AE14+AE15</f>
        <v>0</v>
      </c>
      <c r="AF16" s="69" t="n">
        <f aca="false">AF14+AF15</f>
        <v>0</v>
      </c>
      <c r="AG16" s="69" t="n">
        <f aca="false">AG14+AG15</f>
        <v>0</v>
      </c>
      <c r="AH16" s="69" t="n">
        <f aca="false">AH14+AH15</f>
        <v>0</v>
      </c>
      <c r="AI16" s="69" t="n">
        <f aca="false">AI14+AI15</f>
        <v>0</v>
      </c>
      <c r="AJ16" s="69" t="n">
        <f aca="false">AJ14+AJ15</f>
        <v>0</v>
      </c>
      <c r="AK16" s="69" t="n">
        <f aca="false">AK14+AK15</f>
        <v>0</v>
      </c>
      <c r="AL16" s="69" t="n">
        <f aca="false">AL14+AL15</f>
        <v>0</v>
      </c>
      <c r="AM16" s="69" t="n">
        <f aca="false">AM14+AM15</f>
        <v>0</v>
      </c>
      <c r="AN16" s="69" t="n">
        <f aca="false">AN14+AN15</f>
        <v>0</v>
      </c>
      <c r="AO16" s="69" t="n">
        <f aca="false">AO14+AO15</f>
        <v>0</v>
      </c>
      <c r="AP16" s="69" t="n">
        <f aca="false">AP14+AP15</f>
        <v>0</v>
      </c>
      <c r="AQ16" s="69" t="n">
        <f aca="false">AQ14+AQ15</f>
        <v>0</v>
      </c>
      <c r="AR16" s="69" t="n">
        <f aca="false">AR14+AR15</f>
        <v>0</v>
      </c>
      <c r="AS16" s="69" t="n">
        <f aca="false">AS14+AS15</f>
        <v>0</v>
      </c>
      <c r="AT16" s="69" t="n">
        <f aca="false">AT14+AT15</f>
        <v>0</v>
      </c>
      <c r="AU16" s="69" t="n">
        <f aca="false">AU14+AU15</f>
        <v>0</v>
      </c>
      <c r="AV16" s="69" t="n">
        <f aca="false">AV14+AV15</f>
        <v>0</v>
      </c>
      <c r="AW16" s="69" t="n">
        <f aca="false">AW14+AW15</f>
        <v>0</v>
      </c>
      <c r="AX16" s="69" t="n">
        <f aca="false">AX14+AX15</f>
        <v>0</v>
      </c>
      <c r="AY16" s="69" t="n">
        <f aca="false">AY14+AY15</f>
        <v>0</v>
      </c>
      <c r="AZ16" s="69" t="n">
        <f aca="false">AZ14+AZ15</f>
        <v>0</v>
      </c>
      <c r="BA16" s="69" t="n">
        <f aca="false">BA14+BA15</f>
        <v>0</v>
      </c>
      <c r="BB16" s="69" t="n">
        <f aca="false">BB14+BB15</f>
        <v>0</v>
      </c>
      <c r="BC16" s="69" t="n">
        <f aca="false">BC14+BC15</f>
        <v>0</v>
      </c>
      <c r="BD16" s="69" t="n">
        <f aca="false">BD14+BD15</f>
        <v>0</v>
      </c>
      <c r="BE16" s="69" t="n">
        <f aca="false">BE14+BE15</f>
        <v>0</v>
      </c>
      <c r="BF16" s="69" t="n">
        <f aca="false">BF14+BF15</f>
        <v>0</v>
      </c>
      <c r="BG16" s="69" t="n">
        <f aca="false">BG14+BG15</f>
        <v>0</v>
      </c>
      <c r="BH16" s="69" t="n">
        <f aca="false">BH14+BH15</f>
        <v>0</v>
      </c>
      <c r="BI16" s="69" t="n">
        <f aca="false">BI14+BI15</f>
        <v>0</v>
      </c>
      <c r="BJ16" s="69" t="n">
        <f aca="false">BJ14+BJ15</f>
        <v>0</v>
      </c>
      <c r="BK16" s="69" t="n">
        <f aca="false">BK14+BK15</f>
        <v>0</v>
      </c>
      <c r="BL16" s="69" t="n">
        <f aca="false">BL14+BL15</f>
        <v>0</v>
      </c>
      <c r="BM16" s="69" t="n">
        <f aca="false">BM14+BM15</f>
        <v>0</v>
      </c>
      <c r="BN16" s="69" t="n">
        <f aca="false">BN14+BN15</f>
        <v>0</v>
      </c>
      <c r="BO16" s="69" t="n">
        <f aca="false">BO14+BO15</f>
        <v>0</v>
      </c>
      <c r="BP16" s="69" t="n">
        <f aca="false">BP14+BP15</f>
        <v>0</v>
      </c>
      <c r="BQ16" s="69" t="n">
        <f aca="false">BQ14+BQ15</f>
        <v>0</v>
      </c>
      <c r="BR16" s="69" t="n">
        <f aca="false">BR14+BR15</f>
        <v>0</v>
      </c>
      <c r="BS16" s="69" t="n">
        <f aca="false">BS14+BS15</f>
        <v>0</v>
      </c>
      <c r="BT16" s="69" t="n">
        <f aca="false">BT14+BT15</f>
        <v>0</v>
      </c>
      <c r="BU16" s="69" t="n">
        <f aca="false">BU14+BU15</f>
        <v>0</v>
      </c>
      <c r="BV16" s="69" t="n">
        <f aca="false">BV14+BV15</f>
        <v>0</v>
      </c>
      <c r="BW16" s="69" t="n">
        <f aca="false">BW14+BW15</f>
        <v>0</v>
      </c>
      <c r="BX16" s="69" t="n">
        <f aca="false">BX14+BX15</f>
        <v>0</v>
      </c>
      <c r="BY16" s="69" t="n">
        <f aca="false">BY14+BY15</f>
        <v>0</v>
      </c>
      <c r="BZ16" s="69" t="n">
        <f aca="false">BZ14+BZ15</f>
        <v>0</v>
      </c>
      <c r="CA16" s="69" t="n">
        <f aca="false">CA14+CA15</f>
        <v>0</v>
      </c>
      <c r="CB16" s="69" t="n">
        <f aca="false">CB14+CB15</f>
        <v>0</v>
      </c>
      <c r="CC16" s="69" t="n">
        <f aca="false">CC14+CC15</f>
        <v>0</v>
      </c>
      <c r="CD16" s="69" t="n">
        <f aca="false">CD14+CD15</f>
        <v>0</v>
      </c>
      <c r="CE16" s="69" t="n">
        <f aca="false">CE14+CE15</f>
        <v>0</v>
      </c>
      <c r="CF16" s="69" t="n">
        <f aca="false">CF14+CF15</f>
        <v>0</v>
      </c>
      <c r="CG16" s="69" t="n">
        <f aca="false">CG14+CG15</f>
        <v>0</v>
      </c>
      <c r="CH16" s="69" t="n">
        <f aca="false">CH14+CH15</f>
        <v>0</v>
      </c>
    </row>
    <row r="17" customFormat="false" ht="15" hidden="false" customHeight="true" outlineLevel="0" collapsed="false">
      <c r="A17" s="62" t="s">
        <v>211</v>
      </c>
      <c r="B17" s="3"/>
      <c r="C17" s="70" t="n">
        <f aca="false">C16</f>
        <v>0</v>
      </c>
      <c r="D17" s="70" t="n">
        <f aca="false">C17+D16</f>
        <v>0</v>
      </c>
      <c r="E17" s="70" t="n">
        <f aca="false">D17+E16</f>
        <v>0</v>
      </c>
      <c r="F17" s="70" t="n">
        <f aca="false">E17+F16</f>
        <v>0</v>
      </c>
      <c r="G17" s="70" t="n">
        <f aca="false">F17+G16</f>
        <v>0</v>
      </c>
      <c r="H17" s="70" t="n">
        <f aca="false">G17+H16</f>
        <v>0</v>
      </c>
      <c r="I17" s="70" t="n">
        <f aca="false">H17+I16</f>
        <v>0</v>
      </c>
      <c r="J17" s="70" t="n">
        <f aca="false">I17+J16</f>
        <v>0</v>
      </c>
      <c r="K17" s="70" t="n">
        <f aca="false">J17+K16</f>
        <v>0</v>
      </c>
      <c r="L17" s="70" t="n">
        <f aca="false">K17+L16</f>
        <v>0</v>
      </c>
      <c r="M17" s="70" t="n">
        <f aca="false">L17+M16</f>
        <v>0</v>
      </c>
      <c r="N17" s="70" t="n">
        <f aca="false">M17+N16</f>
        <v>0</v>
      </c>
      <c r="O17" s="70" t="n">
        <f aca="false">N17+O16</f>
        <v>0</v>
      </c>
      <c r="P17" s="70" t="n">
        <f aca="false">O17+P16</f>
        <v>0</v>
      </c>
      <c r="Q17" s="70" t="n">
        <f aca="false">P17+Q16</f>
        <v>0</v>
      </c>
      <c r="R17" s="70" t="n">
        <f aca="false">Q17+R16</f>
        <v>0</v>
      </c>
      <c r="S17" s="70" t="n">
        <f aca="false">R17+S16</f>
        <v>0</v>
      </c>
      <c r="T17" s="70" t="n">
        <f aca="false">S17+T16</f>
        <v>0</v>
      </c>
      <c r="U17" s="70" t="n">
        <f aca="false">T17+U16</f>
        <v>0</v>
      </c>
      <c r="V17" s="70" t="n">
        <f aca="false">U17+V16</f>
        <v>0</v>
      </c>
      <c r="W17" s="70" t="n">
        <f aca="false">V17+W16</f>
        <v>0</v>
      </c>
      <c r="X17" s="70" t="n">
        <f aca="false">W17+X16</f>
        <v>0</v>
      </c>
      <c r="Y17" s="70" t="n">
        <f aca="false">X17+Y16</f>
        <v>0</v>
      </c>
      <c r="Z17" s="70" t="n">
        <f aca="false">Y17+Z16</f>
        <v>0</v>
      </c>
      <c r="AA17" s="70" t="n">
        <f aca="false">Z17+AA16</f>
        <v>0</v>
      </c>
      <c r="AB17" s="70" t="n">
        <f aca="false">AA17+AB16</f>
        <v>0</v>
      </c>
      <c r="AC17" s="70" t="n">
        <f aca="false">AB17+AC16</f>
        <v>0</v>
      </c>
      <c r="AD17" s="70" t="n">
        <f aca="false">AC17+AD16</f>
        <v>0</v>
      </c>
      <c r="AE17" s="70" t="n">
        <f aca="false">AD17+AE16</f>
        <v>0</v>
      </c>
      <c r="AF17" s="70" t="n">
        <f aca="false">AE17+AF16</f>
        <v>0</v>
      </c>
      <c r="AG17" s="70" t="n">
        <f aca="false">AF17+AG16</f>
        <v>0</v>
      </c>
      <c r="AH17" s="70" t="n">
        <f aca="false">AG17+AH16</f>
        <v>0</v>
      </c>
      <c r="AI17" s="70" t="n">
        <f aca="false">AH17+AI16</f>
        <v>0</v>
      </c>
      <c r="AJ17" s="70" t="n">
        <f aca="false">AI17+AJ16</f>
        <v>0</v>
      </c>
      <c r="AK17" s="70" t="n">
        <f aca="false">AJ17+AK16</f>
        <v>0</v>
      </c>
      <c r="AL17" s="70" t="n">
        <f aca="false">AK17+AL16</f>
        <v>0</v>
      </c>
      <c r="AM17" s="70" t="n">
        <f aca="false">AL17+AM16</f>
        <v>0</v>
      </c>
      <c r="AN17" s="70" t="n">
        <f aca="false">AM17+AN16</f>
        <v>0</v>
      </c>
      <c r="AO17" s="70" t="n">
        <f aca="false">AN17+AO16</f>
        <v>0</v>
      </c>
      <c r="AP17" s="70" t="n">
        <f aca="false">AO17+AP16</f>
        <v>0</v>
      </c>
      <c r="AQ17" s="70" t="n">
        <f aca="false">AP17+AQ16</f>
        <v>0</v>
      </c>
      <c r="AR17" s="70" t="n">
        <f aca="false">AQ17+AR16</f>
        <v>0</v>
      </c>
      <c r="AS17" s="70" t="n">
        <f aca="false">AR17+AS16</f>
        <v>0</v>
      </c>
      <c r="AT17" s="70" t="n">
        <f aca="false">AS17+AT16</f>
        <v>0</v>
      </c>
      <c r="AU17" s="70" t="n">
        <f aca="false">AT17+AU16</f>
        <v>0</v>
      </c>
      <c r="AV17" s="70" t="n">
        <f aca="false">AU17+AV16</f>
        <v>0</v>
      </c>
      <c r="AW17" s="70" t="n">
        <f aca="false">AV17+AW16</f>
        <v>0</v>
      </c>
      <c r="AX17" s="70" t="n">
        <f aca="false">AW17+AX16</f>
        <v>0</v>
      </c>
      <c r="AY17" s="70" t="n">
        <f aca="false">AX17+AY16</f>
        <v>0</v>
      </c>
      <c r="AZ17" s="70" t="n">
        <f aca="false">AY17+AZ16</f>
        <v>0</v>
      </c>
      <c r="BA17" s="70" t="n">
        <f aca="false">AZ17+BA16</f>
        <v>0</v>
      </c>
      <c r="BB17" s="70" t="n">
        <f aca="false">BA17+BB16</f>
        <v>0</v>
      </c>
      <c r="BC17" s="70" t="n">
        <f aca="false">BB17+BC16</f>
        <v>0</v>
      </c>
      <c r="BD17" s="70" t="n">
        <f aca="false">BC17+BD16</f>
        <v>0</v>
      </c>
      <c r="BE17" s="70" t="n">
        <f aca="false">BD17+BE16</f>
        <v>0</v>
      </c>
      <c r="BF17" s="70" t="n">
        <f aca="false">BE17+BF16</f>
        <v>0</v>
      </c>
      <c r="BG17" s="70" t="n">
        <f aca="false">BF17+BG16</f>
        <v>0</v>
      </c>
      <c r="BH17" s="70" t="n">
        <f aca="false">BG17+BH16</f>
        <v>0</v>
      </c>
      <c r="BI17" s="70" t="n">
        <f aca="false">BH17+BI16</f>
        <v>0</v>
      </c>
      <c r="BJ17" s="70" t="n">
        <f aca="false">BI17+BJ16</f>
        <v>0</v>
      </c>
      <c r="BK17" s="70" t="n">
        <f aca="false">BJ17+BK16</f>
        <v>0</v>
      </c>
      <c r="BL17" s="70" t="n">
        <f aca="false">BK17+BL16</f>
        <v>0</v>
      </c>
      <c r="BM17" s="70" t="n">
        <f aca="false">BL17+BM16</f>
        <v>0</v>
      </c>
      <c r="BN17" s="70" t="n">
        <f aca="false">BM17+BN16</f>
        <v>0</v>
      </c>
      <c r="BO17" s="70" t="n">
        <f aca="false">BN17+BO16</f>
        <v>0</v>
      </c>
      <c r="BP17" s="70" t="n">
        <f aca="false">BO17+BP16</f>
        <v>0</v>
      </c>
      <c r="BQ17" s="70" t="n">
        <f aca="false">BP17+BQ16</f>
        <v>0</v>
      </c>
      <c r="BR17" s="70" t="n">
        <f aca="false">BQ17+BR16</f>
        <v>0</v>
      </c>
      <c r="BS17" s="70" t="n">
        <f aca="false">BR17+BS16</f>
        <v>0</v>
      </c>
      <c r="BT17" s="70" t="n">
        <f aca="false">BS17+BT16</f>
        <v>0</v>
      </c>
      <c r="BU17" s="70" t="n">
        <f aca="false">BT17+BU16</f>
        <v>0</v>
      </c>
      <c r="BV17" s="70" t="n">
        <f aca="false">BU17+BV16</f>
        <v>0</v>
      </c>
      <c r="BW17" s="70" t="n">
        <f aca="false">BV17+BW16</f>
        <v>0</v>
      </c>
      <c r="BX17" s="70" t="n">
        <f aca="false">BW17+BX16</f>
        <v>0</v>
      </c>
      <c r="BY17" s="70" t="n">
        <f aca="false">BX17+BY16</f>
        <v>0</v>
      </c>
      <c r="BZ17" s="70" t="n">
        <f aca="false">BY17+BZ16</f>
        <v>0</v>
      </c>
      <c r="CA17" s="70" t="n">
        <f aca="false">BZ17+CA16</f>
        <v>0</v>
      </c>
      <c r="CB17" s="70" t="n">
        <f aca="false">CA17+CB16</f>
        <v>0</v>
      </c>
      <c r="CC17" s="70" t="n">
        <f aca="false">CB17+CC16</f>
        <v>0</v>
      </c>
      <c r="CD17" s="70" t="n">
        <f aca="false">CC17+CD16</f>
        <v>0</v>
      </c>
      <c r="CE17" s="70" t="n">
        <f aca="false">CD17+CE16</f>
        <v>0</v>
      </c>
      <c r="CF17" s="70" t="n">
        <f aca="false">CE17+CF16</f>
        <v>0</v>
      </c>
      <c r="CG17" s="70" t="n">
        <f aca="false">CF17+CG16</f>
        <v>0</v>
      </c>
      <c r="CH17" s="70" t="n">
        <f aca="false">CG17+CH16</f>
        <v>0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</row>
    <row r="20" customFormat="false" ht="15" hidden="false" customHeight="true" outlineLevel="0" collapsed="false">
      <c r="A20" s="18" t="s">
        <v>209</v>
      </c>
      <c r="B20" s="3"/>
      <c r="C20" s="68" t="n">
        <f aca="false">Model!C56+Model!C57+Model!C58</f>
        <v>0</v>
      </c>
      <c r="D20" s="68" t="n">
        <f aca="false">Model!D56+Model!D57+Model!D58</f>
        <v>0</v>
      </c>
      <c r="E20" s="68" t="n">
        <f aca="false">Model!E56+Model!E57+Model!E58</f>
        <v>0</v>
      </c>
      <c r="F20" s="68" t="n">
        <f aca="false">Model!F56+Model!F57+Model!F58</f>
        <v>0</v>
      </c>
      <c r="G20" s="68" t="n">
        <f aca="false">Model!G56+Model!G57+Model!G58</f>
        <v>0</v>
      </c>
      <c r="H20" s="68" t="n">
        <f aca="false">Model!H56+Model!H57+Model!H58</f>
        <v>0</v>
      </c>
      <c r="I20" s="68" t="n">
        <f aca="false">Model!I56+Model!I57+Model!I58</f>
        <v>0</v>
      </c>
      <c r="J20" s="68" t="n">
        <f aca="false">Model!J56+Model!J57+Model!J58</f>
        <v>0</v>
      </c>
      <c r="K20" s="68" t="n">
        <f aca="false">Model!K56+Model!K57+Model!K58</f>
        <v>0</v>
      </c>
      <c r="L20" s="68" t="n">
        <f aca="false">Model!L56+Model!L57+Model!L58</f>
        <v>0</v>
      </c>
      <c r="M20" s="68" t="n">
        <f aca="false">Model!M56+Model!M57+Model!M58</f>
        <v>0</v>
      </c>
      <c r="N20" s="68" t="n">
        <f aca="false">Model!N56+Model!N57+Model!N58</f>
        <v>0</v>
      </c>
      <c r="O20" s="68" t="n">
        <f aca="false">Model!O56+Model!O57+Model!O58</f>
        <v>0</v>
      </c>
      <c r="P20" s="68" t="n">
        <f aca="false">Model!P56+Model!P57+Model!P58</f>
        <v>0</v>
      </c>
      <c r="Q20" s="68" t="n">
        <f aca="false">Model!Q56+Model!Q57+Model!Q58</f>
        <v>0</v>
      </c>
      <c r="R20" s="68" t="n">
        <f aca="false">Model!R56+Model!R57+Model!R58</f>
        <v>0</v>
      </c>
      <c r="S20" s="68" t="n">
        <f aca="false">Model!S56+Model!S57+Model!S58</f>
        <v>0</v>
      </c>
      <c r="T20" s="68" t="n">
        <f aca="false">Model!T56+Model!T57+Model!T58</f>
        <v>0</v>
      </c>
      <c r="U20" s="68" t="n">
        <f aca="false">Model!U56+Model!U57+Model!U58</f>
        <v>0</v>
      </c>
      <c r="V20" s="68" t="n">
        <f aca="false">Model!V56+Model!V57+Model!V58</f>
        <v>0</v>
      </c>
      <c r="W20" s="68" t="n">
        <f aca="false">Model!W56+Model!W57+Model!W58</f>
        <v>0</v>
      </c>
      <c r="X20" s="68" t="n">
        <f aca="false">Model!X56+Model!X57+Model!X58</f>
        <v>0</v>
      </c>
      <c r="Y20" s="68" t="n">
        <f aca="false">Model!Y56+Model!Y57+Model!Y58</f>
        <v>0</v>
      </c>
      <c r="Z20" s="68" t="n">
        <f aca="false">Model!Z56+Model!Z57+Model!Z58</f>
        <v>0</v>
      </c>
      <c r="AA20" s="68" t="n">
        <f aca="false">Model!AA56+Model!AA57+Model!AA58</f>
        <v>0</v>
      </c>
      <c r="AB20" s="68" t="n">
        <f aca="false">Model!AB56+Model!AB57+Model!AB58</f>
        <v>0</v>
      </c>
      <c r="AC20" s="68" t="n">
        <f aca="false">Model!AC56+Model!AC57+Model!AC58</f>
        <v>0</v>
      </c>
      <c r="AD20" s="68" t="n">
        <f aca="false">Model!AD56+Model!AD57+Model!AD58</f>
        <v>0</v>
      </c>
      <c r="AE20" s="68" t="n">
        <f aca="false">Model!AE56+Model!AE57+Model!AE58</f>
        <v>0</v>
      </c>
      <c r="AF20" s="68" t="n">
        <f aca="false">Model!AF56+Model!AF57+Model!AF58</f>
        <v>0</v>
      </c>
      <c r="AG20" s="68" t="n">
        <f aca="false">Model!AG56+Model!AG57+Model!AG58</f>
        <v>0</v>
      </c>
      <c r="AH20" s="68" t="n">
        <f aca="false">Model!AH56+Model!AH57+Model!AH58</f>
        <v>0</v>
      </c>
      <c r="AI20" s="68" t="n">
        <f aca="false">Model!AI56+Model!AI57+Model!AI58</f>
        <v>0</v>
      </c>
      <c r="AJ20" s="68" t="n">
        <f aca="false">Model!AJ56+Model!AJ57+Model!AJ58</f>
        <v>0</v>
      </c>
      <c r="AK20" s="68" t="n">
        <f aca="false">Model!AK56+Model!AK57+Model!AK58</f>
        <v>0</v>
      </c>
      <c r="AL20" s="68" t="n">
        <f aca="false">Model!AL56+Model!AL57+Model!AL58</f>
        <v>0</v>
      </c>
      <c r="AM20" s="68" t="n">
        <f aca="false">Model!AM56+Model!AM57+Model!AM58</f>
        <v>0</v>
      </c>
      <c r="AN20" s="68" t="n">
        <f aca="false">Model!AN56+Model!AN57+Model!AN58</f>
        <v>0</v>
      </c>
      <c r="AO20" s="68" t="n">
        <f aca="false">Model!AO56+Model!AO57+Model!AO58</f>
        <v>0</v>
      </c>
      <c r="AP20" s="68" t="n">
        <f aca="false">Model!AP56+Model!AP57+Model!AP58</f>
        <v>0</v>
      </c>
      <c r="AQ20" s="68" t="n">
        <f aca="false">Model!AQ56+Model!AQ57+Model!AQ58</f>
        <v>0</v>
      </c>
      <c r="AR20" s="68" t="n">
        <f aca="false">Model!AR56+Model!AR57+Model!AR58</f>
        <v>0</v>
      </c>
      <c r="AS20" s="68" t="n">
        <f aca="false">Model!AS56+Model!AS57+Model!AS58</f>
        <v>0</v>
      </c>
      <c r="AT20" s="68" t="n">
        <f aca="false">Model!AT56+Model!AT57+Model!AT58</f>
        <v>0</v>
      </c>
      <c r="AU20" s="68" t="n">
        <f aca="false">Model!AU56+Model!AU57+Model!AU58</f>
        <v>0</v>
      </c>
      <c r="AV20" s="68" t="n">
        <f aca="false">Model!AV56+Model!AV57+Model!AV58</f>
        <v>0</v>
      </c>
      <c r="AW20" s="68" t="n">
        <f aca="false">Model!AW56+Model!AW57+Model!AW58</f>
        <v>0</v>
      </c>
      <c r="AX20" s="68" t="n">
        <f aca="false">Model!AX56+Model!AX57+Model!AX58</f>
        <v>0</v>
      </c>
      <c r="AY20" s="68" t="n">
        <f aca="false">Model!AY56+Model!AY57+Model!AY58</f>
        <v>0</v>
      </c>
      <c r="AZ20" s="68" t="n">
        <f aca="false">Model!AZ56+Model!AZ57+Model!AZ58</f>
        <v>0</v>
      </c>
      <c r="BA20" s="68" t="n">
        <f aca="false">Model!BA56+Model!BA57+Model!BA58</f>
        <v>0</v>
      </c>
      <c r="BB20" s="68" t="n">
        <f aca="false">Model!BB56+Model!BB57+Model!BB58</f>
        <v>0</v>
      </c>
      <c r="BC20" s="68" t="n">
        <f aca="false">Model!BC56+Model!BC57+Model!BC58</f>
        <v>0</v>
      </c>
      <c r="BD20" s="68" t="n">
        <f aca="false">Model!BD56+Model!BD57+Model!BD58</f>
        <v>0</v>
      </c>
      <c r="BE20" s="68" t="n">
        <f aca="false">Model!BE56+Model!BE57+Model!BE58</f>
        <v>0</v>
      </c>
      <c r="BF20" s="68" t="n">
        <f aca="false">Model!BF56+Model!BF57+Model!BF58</f>
        <v>0</v>
      </c>
      <c r="BG20" s="68" t="n">
        <f aca="false">Model!BG56+Model!BG57+Model!BG58</f>
        <v>0</v>
      </c>
      <c r="BH20" s="68" t="n">
        <f aca="false">Model!BH56+Model!BH57+Model!BH58</f>
        <v>0</v>
      </c>
      <c r="BI20" s="68" t="n">
        <f aca="false">Model!BI56+Model!BI57+Model!BI58</f>
        <v>0</v>
      </c>
      <c r="BJ20" s="68" t="n">
        <f aca="false">Model!BJ56+Model!BJ57+Model!BJ58</f>
        <v>0</v>
      </c>
      <c r="BK20" s="68" t="n">
        <f aca="false">Model!BK56+Model!BK57+Model!BK58</f>
        <v>0</v>
      </c>
      <c r="BL20" s="68" t="n">
        <f aca="false">Model!BL56+Model!BL57+Model!BL58</f>
        <v>0</v>
      </c>
      <c r="BM20" s="68" t="n">
        <f aca="false">Model!BM56+Model!BM57+Model!BM58</f>
        <v>0</v>
      </c>
      <c r="BN20" s="68" t="n">
        <f aca="false">Model!BN56+Model!BN57+Model!BN58</f>
        <v>0</v>
      </c>
      <c r="BO20" s="68" t="n">
        <f aca="false">Model!BO56+Model!BO57+Model!BO58</f>
        <v>0</v>
      </c>
      <c r="BP20" s="68" t="n">
        <f aca="false">Model!BP56+Model!BP57+Model!BP58</f>
        <v>0</v>
      </c>
      <c r="BQ20" s="68" t="n">
        <f aca="false">Model!BQ56+Model!BQ57+Model!BQ58</f>
        <v>0</v>
      </c>
      <c r="BR20" s="68" t="n">
        <f aca="false">Model!BR56+Model!BR57+Model!BR58</f>
        <v>0</v>
      </c>
      <c r="BS20" s="68" t="n">
        <f aca="false">Model!BS56+Model!BS57+Model!BS58</f>
        <v>0</v>
      </c>
      <c r="BT20" s="68" t="n">
        <f aca="false">Model!BT56+Model!BT57+Model!BT58</f>
        <v>0</v>
      </c>
      <c r="BU20" s="68" t="n">
        <f aca="false">Model!BU56+Model!BU57+Model!BU58</f>
        <v>0</v>
      </c>
      <c r="BV20" s="68" t="n">
        <f aca="false">Model!BV56+Model!BV57+Model!BV58</f>
        <v>0</v>
      </c>
      <c r="BW20" s="68" t="n">
        <f aca="false">Model!BW56+Model!BW57+Model!BW58</f>
        <v>0</v>
      </c>
      <c r="BX20" s="68" t="n">
        <f aca="false">Model!BX56+Model!BX57+Model!BX58</f>
        <v>0</v>
      </c>
      <c r="BY20" s="68" t="n">
        <f aca="false">Model!BY56+Model!BY57+Model!BY58</f>
        <v>0</v>
      </c>
      <c r="BZ20" s="68" t="n">
        <f aca="false">Model!BZ56+Model!BZ57+Model!BZ58</f>
        <v>0</v>
      </c>
      <c r="CA20" s="68" t="n">
        <f aca="false">Model!CA56+Model!CA57+Model!CA58</f>
        <v>0</v>
      </c>
      <c r="CB20" s="68" t="n">
        <f aca="false">Model!CB56+Model!CB57+Model!CB58</f>
        <v>0</v>
      </c>
      <c r="CC20" s="68" t="n">
        <f aca="false">Model!CC56+Model!CC57+Model!CC58</f>
        <v>0</v>
      </c>
      <c r="CD20" s="68" t="n">
        <f aca="false">Model!CD56+Model!CD57+Model!CD58</f>
        <v>0</v>
      </c>
      <c r="CE20" s="68" t="n">
        <f aca="false">Model!CE56+Model!CE57+Model!CE58</f>
        <v>0</v>
      </c>
      <c r="CF20" s="68" t="n">
        <f aca="false">Model!CF56+Model!CF57+Model!CF58</f>
        <v>0</v>
      </c>
      <c r="CG20" s="68" t="n">
        <f aca="false">Model!CG56+Model!CG57+Model!CG58</f>
        <v>0</v>
      </c>
      <c r="CH20" s="68" t="n">
        <f aca="false">Model!CH56+Model!CH57+Model!CH58</f>
        <v>0</v>
      </c>
    </row>
    <row r="21" customFormat="false" ht="15" hidden="false" customHeight="true" outlineLevel="0" collapsed="false">
      <c r="A21" s="71" t="s">
        <v>213</v>
      </c>
      <c r="B21" s="3"/>
      <c r="C21" s="72" t="n">
        <v>0</v>
      </c>
      <c r="D21" s="72" t="n">
        <v>0</v>
      </c>
      <c r="E21" s="72" t="n">
        <v>0</v>
      </c>
      <c r="F21" s="72" t="n">
        <v>0</v>
      </c>
      <c r="G21" s="72" t="n">
        <v>0</v>
      </c>
      <c r="H21" s="72" t="n">
        <f aca="false">IF(Projects!$G$12="Yes",-135452,0)</f>
        <v>0</v>
      </c>
      <c r="I21" s="72" t="n">
        <v>0</v>
      </c>
      <c r="J21" s="72" t="n">
        <v>0</v>
      </c>
      <c r="K21" s="72" t="n">
        <v>0</v>
      </c>
      <c r="L21" s="72" t="n">
        <v>0</v>
      </c>
      <c r="M21" s="72" t="n">
        <v>0</v>
      </c>
      <c r="N21" s="72" t="n">
        <v>0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  <c r="T21" s="72" t="n">
        <v>0</v>
      </c>
      <c r="U21" s="72" t="n">
        <v>0</v>
      </c>
      <c r="V21" s="72" t="n">
        <v>0</v>
      </c>
      <c r="W21" s="72" t="n">
        <v>0</v>
      </c>
      <c r="X21" s="72" t="n">
        <v>0</v>
      </c>
      <c r="Y21" s="72" t="n">
        <v>0</v>
      </c>
      <c r="Z21" s="72" t="n">
        <v>0</v>
      </c>
      <c r="AA21" s="72" t="n">
        <v>0</v>
      </c>
      <c r="AB21" s="72" t="n">
        <v>0</v>
      </c>
      <c r="AC21" s="72" t="n">
        <v>0</v>
      </c>
      <c r="AD21" s="72" t="n">
        <v>0</v>
      </c>
      <c r="AE21" s="72" t="n">
        <v>0</v>
      </c>
      <c r="AF21" s="72" t="n">
        <v>0</v>
      </c>
      <c r="AG21" s="72" t="n">
        <v>0</v>
      </c>
      <c r="AH21" s="72" t="n">
        <v>0</v>
      </c>
      <c r="AI21" s="72" t="n">
        <v>0</v>
      </c>
      <c r="AJ21" s="72" t="n">
        <v>0</v>
      </c>
      <c r="AK21" s="72" t="n">
        <v>0</v>
      </c>
      <c r="AL21" s="72" t="n">
        <v>0</v>
      </c>
      <c r="AM21" s="72" t="n">
        <v>0</v>
      </c>
      <c r="AN21" s="72" t="n">
        <v>0</v>
      </c>
      <c r="AO21" s="72" t="n">
        <v>0</v>
      </c>
      <c r="AP21" s="72" t="n">
        <v>0</v>
      </c>
      <c r="AQ21" s="72" t="n">
        <v>0</v>
      </c>
      <c r="AR21" s="72" t="n">
        <v>0</v>
      </c>
      <c r="AS21" s="72" t="n">
        <v>0</v>
      </c>
      <c r="AT21" s="72" t="n">
        <v>0</v>
      </c>
      <c r="AU21" s="72" t="n">
        <v>0</v>
      </c>
      <c r="AV21" s="72" t="n">
        <v>0</v>
      </c>
      <c r="AW21" s="72" t="n">
        <v>0</v>
      </c>
      <c r="AX21" s="72" t="n">
        <v>0</v>
      </c>
      <c r="AY21" s="72" t="n">
        <v>0</v>
      </c>
      <c r="AZ21" s="72" t="n">
        <v>0</v>
      </c>
      <c r="BA21" s="72" t="n">
        <v>0</v>
      </c>
      <c r="BB21" s="72" t="n">
        <v>0</v>
      </c>
      <c r="BC21" s="72" t="n">
        <v>0</v>
      </c>
      <c r="BD21" s="72" t="n">
        <v>0</v>
      </c>
      <c r="BE21" s="72" t="n">
        <v>0</v>
      </c>
      <c r="BF21" s="72" t="n">
        <v>0</v>
      </c>
      <c r="BG21" s="72" t="n">
        <v>0</v>
      </c>
      <c r="BH21" s="72" t="n">
        <v>0</v>
      </c>
      <c r="BI21" s="72" t="n">
        <v>0</v>
      </c>
      <c r="BJ21" s="72" t="n">
        <v>0</v>
      </c>
      <c r="BK21" s="72" t="n">
        <v>0</v>
      </c>
      <c r="BL21" s="72" t="n">
        <v>0</v>
      </c>
      <c r="BM21" s="72" t="n">
        <v>0</v>
      </c>
      <c r="BN21" s="72" t="n">
        <v>0</v>
      </c>
      <c r="BO21" s="72" t="n">
        <v>0</v>
      </c>
      <c r="BP21" s="72" t="n">
        <v>0</v>
      </c>
      <c r="BQ21" s="72" t="n">
        <v>0</v>
      </c>
      <c r="BR21" s="72" t="n">
        <v>0</v>
      </c>
      <c r="BS21" s="72" t="n">
        <v>0</v>
      </c>
      <c r="BT21" s="72" t="n">
        <v>0</v>
      </c>
      <c r="BU21" s="72" t="n">
        <v>0</v>
      </c>
      <c r="BV21" s="72" t="n">
        <v>0</v>
      </c>
      <c r="BW21" s="72" t="n">
        <v>0</v>
      </c>
      <c r="BX21" s="72" t="n">
        <v>0</v>
      </c>
      <c r="BY21" s="72" t="n">
        <v>0</v>
      </c>
      <c r="BZ21" s="72" t="n">
        <v>0</v>
      </c>
      <c r="CA21" s="72" t="n">
        <v>0</v>
      </c>
      <c r="CB21" s="72" t="n">
        <v>0</v>
      </c>
      <c r="CC21" s="72" t="n">
        <v>0</v>
      </c>
      <c r="CD21" s="72" t="n">
        <v>0</v>
      </c>
      <c r="CE21" s="72" t="n">
        <v>0</v>
      </c>
      <c r="CF21" s="72" t="n">
        <v>0</v>
      </c>
      <c r="CG21" s="72" t="n">
        <v>0</v>
      </c>
      <c r="CH21" s="72" t="n">
        <v>0</v>
      </c>
    </row>
    <row r="22" customFormat="false" ht="15" hidden="false" customHeight="true" outlineLevel="0" collapsed="false">
      <c r="A22" s="30" t="s">
        <v>210</v>
      </c>
      <c r="B22" s="30"/>
      <c r="C22" s="69" t="n">
        <f aca="false">C20+C21</f>
        <v>0</v>
      </c>
      <c r="D22" s="69" t="n">
        <f aca="false">D20+D21</f>
        <v>0</v>
      </c>
      <c r="E22" s="69" t="n">
        <f aca="false">E20+E21</f>
        <v>0</v>
      </c>
      <c r="F22" s="69" t="n">
        <f aca="false">F20+F21</f>
        <v>0</v>
      </c>
      <c r="G22" s="69" t="n">
        <f aca="false">G20+G21</f>
        <v>0</v>
      </c>
      <c r="H22" s="69" t="n">
        <f aca="false">H20+H21</f>
        <v>0</v>
      </c>
      <c r="I22" s="69" t="n">
        <f aca="false">I20+I21</f>
        <v>0</v>
      </c>
      <c r="J22" s="69" t="n">
        <f aca="false">J20+J21</f>
        <v>0</v>
      </c>
      <c r="K22" s="69" t="n">
        <f aca="false">K20+K21</f>
        <v>0</v>
      </c>
      <c r="L22" s="69" t="n">
        <f aca="false">L20+L21</f>
        <v>0</v>
      </c>
      <c r="M22" s="69" t="n">
        <f aca="false">M20+M21</f>
        <v>0</v>
      </c>
      <c r="N22" s="69" t="n">
        <f aca="false">N20+N21</f>
        <v>0</v>
      </c>
      <c r="O22" s="69" t="n">
        <f aca="false">O20+O21</f>
        <v>0</v>
      </c>
      <c r="P22" s="69" t="n">
        <f aca="false">P20+P21</f>
        <v>0</v>
      </c>
      <c r="Q22" s="69" t="n">
        <f aca="false">Q20+Q21</f>
        <v>0</v>
      </c>
      <c r="R22" s="69" t="n">
        <f aca="false">R20+R21</f>
        <v>0</v>
      </c>
      <c r="S22" s="69" t="n">
        <f aca="false">S20+S21</f>
        <v>0</v>
      </c>
      <c r="T22" s="69" t="n">
        <f aca="false">T20+T21</f>
        <v>0</v>
      </c>
      <c r="U22" s="69" t="n">
        <f aca="false">U20+U21</f>
        <v>0</v>
      </c>
      <c r="V22" s="69" t="n">
        <f aca="false">V20+V21</f>
        <v>0</v>
      </c>
      <c r="W22" s="69" t="n">
        <f aca="false">W20+W21</f>
        <v>0</v>
      </c>
      <c r="X22" s="69" t="n">
        <f aca="false">X20+X21</f>
        <v>0</v>
      </c>
      <c r="Y22" s="69" t="n">
        <f aca="false">Y20+Y21</f>
        <v>0</v>
      </c>
      <c r="Z22" s="69" t="n">
        <f aca="false">Z20+Z21</f>
        <v>0</v>
      </c>
      <c r="AA22" s="69" t="n">
        <f aca="false">AA20+AA21</f>
        <v>0</v>
      </c>
      <c r="AB22" s="69" t="n">
        <f aca="false">AB20+AB21</f>
        <v>0</v>
      </c>
      <c r="AC22" s="69" t="n">
        <f aca="false">AC20+AC21</f>
        <v>0</v>
      </c>
      <c r="AD22" s="69" t="n">
        <f aca="false">AD20+AD21</f>
        <v>0</v>
      </c>
      <c r="AE22" s="69" t="n">
        <f aca="false">AE20+AE21</f>
        <v>0</v>
      </c>
      <c r="AF22" s="69" t="n">
        <f aca="false">AF20+AF21</f>
        <v>0</v>
      </c>
      <c r="AG22" s="69" t="n">
        <f aca="false">AG20+AG21</f>
        <v>0</v>
      </c>
      <c r="AH22" s="69" t="n">
        <f aca="false">AH20+AH21</f>
        <v>0</v>
      </c>
      <c r="AI22" s="69" t="n">
        <f aca="false">AI20+AI21</f>
        <v>0</v>
      </c>
      <c r="AJ22" s="69" t="n">
        <f aca="false">AJ20+AJ21</f>
        <v>0</v>
      </c>
      <c r="AK22" s="69" t="n">
        <f aca="false">AK20+AK21</f>
        <v>0</v>
      </c>
      <c r="AL22" s="69" t="n">
        <f aca="false">AL20+AL21</f>
        <v>0</v>
      </c>
      <c r="AM22" s="69" t="n">
        <f aca="false">AM20+AM21</f>
        <v>0</v>
      </c>
      <c r="AN22" s="69" t="n">
        <f aca="false">AN20+AN21</f>
        <v>0</v>
      </c>
      <c r="AO22" s="69" t="n">
        <f aca="false">AO20+AO21</f>
        <v>0</v>
      </c>
      <c r="AP22" s="69" t="n">
        <f aca="false">AP20+AP21</f>
        <v>0</v>
      </c>
      <c r="AQ22" s="69" t="n">
        <f aca="false">AQ20+AQ21</f>
        <v>0</v>
      </c>
      <c r="AR22" s="69" t="n">
        <f aca="false">AR20+AR21</f>
        <v>0</v>
      </c>
      <c r="AS22" s="69" t="n">
        <f aca="false">AS20+AS21</f>
        <v>0</v>
      </c>
      <c r="AT22" s="69" t="n">
        <f aca="false">AT20+AT21</f>
        <v>0</v>
      </c>
      <c r="AU22" s="69" t="n">
        <f aca="false">AU20+AU21</f>
        <v>0</v>
      </c>
      <c r="AV22" s="69" t="n">
        <f aca="false">AV20+AV21</f>
        <v>0</v>
      </c>
      <c r="AW22" s="69" t="n">
        <f aca="false">AW20+AW21</f>
        <v>0</v>
      </c>
      <c r="AX22" s="69" t="n">
        <f aca="false">AX20+AX21</f>
        <v>0</v>
      </c>
      <c r="AY22" s="69" t="n">
        <f aca="false">AY20+AY21</f>
        <v>0</v>
      </c>
      <c r="AZ22" s="69" t="n">
        <f aca="false">AZ20+AZ21</f>
        <v>0</v>
      </c>
      <c r="BA22" s="69" t="n">
        <f aca="false">BA20+BA21</f>
        <v>0</v>
      </c>
      <c r="BB22" s="69" t="n">
        <f aca="false">BB20+BB21</f>
        <v>0</v>
      </c>
      <c r="BC22" s="69" t="n">
        <f aca="false">BC20+BC21</f>
        <v>0</v>
      </c>
      <c r="BD22" s="69" t="n">
        <f aca="false">BD20+BD21</f>
        <v>0</v>
      </c>
      <c r="BE22" s="69" t="n">
        <f aca="false">BE20+BE21</f>
        <v>0</v>
      </c>
      <c r="BF22" s="69" t="n">
        <f aca="false">BF20+BF21</f>
        <v>0</v>
      </c>
      <c r="BG22" s="69" t="n">
        <f aca="false">BG20+BG21</f>
        <v>0</v>
      </c>
      <c r="BH22" s="69" t="n">
        <f aca="false">BH20+BH21</f>
        <v>0</v>
      </c>
      <c r="BI22" s="69" t="n">
        <f aca="false">BI20+BI21</f>
        <v>0</v>
      </c>
      <c r="BJ22" s="69" t="n">
        <f aca="false">BJ20+BJ21</f>
        <v>0</v>
      </c>
      <c r="BK22" s="69" t="n">
        <f aca="false">BK20+BK21</f>
        <v>0</v>
      </c>
      <c r="BL22" s="69" t="n">
        <f aca="false">BL20+BL21</f>
        <v>0</v>
      </c>
      <c r="BM22" s="69" t="n">
        <f aca="false">BM20+BM21</f>
        <v>0</v>
      </c>
      <c r="BN22" s="69" t="n">
        <f aca="false">BN20+BN21</f>
        <v>0</v>
      </c>
      <c r="BO22" s="69" t="n">
        <f aca="false">BO20+BO21</f>
        <v>0</v>
      </c>
      <c r="BP22" s="69" t="n">
        <f aca="false">BP20+BP21</f>
        <v>0</v>
      </c>
      <c r="BQ22" s="69" t="n">
        <f aca="false">BQ20+BQ21</f>
        <v>0</v>
      </c>
      <c r="BR22" s="69" t="n">
        <f aca="false">BR20+BR21</f>
        <v>0</v>
      </c>
      <c r="BS22" s="69" t="n">
        <f aca="false">BS20+BS21</f>
        <v>0</v>
      </c>
      <c r="BT22" s="69" t="n">
        <f aca="false">BT20+BT21</f>
        <v>0</v>
      </c>
      <c r="BU22" s="69" t="n">
        <f aca="false">BU20+BU21</f>
        <v>0</v>
      </c>
      <c r="BV22" s="69" t="n">
        <f aca="false">BV20+BV21</f>
        <v>0</v>
      </c>
      <c r="BW22" s="69" t="n">
        <f aca="false">BW20+BW21</f>
        <v>0</v>
      </c>
      <c r="BX22" s="69" t="n">
        <f aca="false">BX20+BX21</f>
        <v>0</v>
      </c>
      <c r="BY22" s="69" t="n">
        <f aca="false">BY20+BY21</f>
        <v>0</v>
      </c>
      <c r="BZ22" s="69" t="n">
        <f aca="false">BZ20+BZ21</f>
        <v>0</v>
      </c>
      <c r="CA22" s="69" t="n">
        <f aca="false">CA20+CA21</f>
        <v>0</v>
      </c>
      <c r="CB22" s="69" t="n">
        <f aca="false">CB20+CB21</f>
        <v>0</v>
      </c>
      <c r="CC22" s="69" t="n">
        <f aca="false">CC20+CC21</f>
        <v>0</v>
      </c>
      <c r="CD22" s="69" t="n">
        <f aca="false">CD20+CD21</f>
        <v>0</v>
      </c>
      <c r="CE22" s="69" t="n">
        <f aca="false">CE20+CE21</f>
        <v>0</v>
      </c>
      <c r="CF22" s="69" t="n">
        <f aca="false">CF20+CF21</f>
        <v>0</v>
      </c>
      <c r="CG22" s="69" t="n">
        <f aca="false">CG20+CG21</f>
        <v>0</v>
      </c>
      <c r="CH22" s="69" t="n">
        <f aca="false">CH20+CH21</f>
        <v>0</v>
      </c>
    </row>
    <row r="23" customFormat="false" ht="15" hidden="false" customHeight="true" outlineLevel="0" collapsed="false">
      <c r="A23" s="62" t="s">
        <v>211</v>
      </c>
      <c r="B23" s="3"/>
      <c r="C23" s="70" t="n">
        <f aca="false">C22</f>
        <v>0</v>
      </c>
      <c r="D23" s="70" t="n">
        <f aca="false">C23+D22</f>
        <v>0</v>
      </c>
      <c r="E23" s="70" t="n">
        <f aca="false">D23+E22</f>
        <v>0</v>
      </c>
      <c r="F23" s="70" t="n">
        <f aca="false">E23+F22</f>
        <v>0</v>
      </c>
      <c r="G23" s="70" t="n">
        <f aca="false">F23+G22</f>
        <v>0</v>
      </c>
      <c r="H23" s="70" t="n">
        <f aca="false">G23+H22</f>
        <v>0</v>
      </c>
      <c r="I23" s="70" t="n">
        <f aca="false">H23+I22</f>
        <v>0</v>
      </c>
      <c r="J23" s="70" t="n">
        <f aca="false">I23+J22</f>
        <v>0</v>
      </c>
      <c r="K23" s="70" t="n">
        <f aca="false">J23+K22</f>
        <v>0</v>
      </c>
      <c r="L23" s="70" t="n">
        <f aca="false">K23+L22</f>
        <v>0</v>
      </c>
      <c r="M23" s="70" t="n">
        <f aca="false">L23+M22</f>
        <v>0</v>
      </c>
      <c r="N23" s="70" t="n">
        <f aca="false">M23+N22</f>
        <v>0</v>
      </c>
      <c r="O23" s="70" t="n">
        <f aca="false">N23+O22</f>
        <v>0</v>
      </c>
      <c r="P23" s="70" t="n">
        <f aca="false">O23+P22</f>
        <v>0</v>
      </c>
      <c r="Q23" s="70" t="n">
        <f aca="false">P23+Q22</f>
        <v>0</v>
      </c>
      <c r="R23" s="70" t="n">
        <f aca="false">Q23+R22</f>
        <v>0</v>
      </c>
      <c r="S23" s="70" t="n">
        <f aca="false">R23+S22</f>
        <v>0</v>
      </c>
      <c r="T23" s="70" t="n">
        <f aca="false">S23+T22</f>
        <v>0</v>
      </c>
      <c r="U23" s="70" t="n">
        <f aca="false">T23+U22</f>
        <v>0</v>
      </c>
      <c r="V23" s="70" t="n">
        <f aca="false">U23+V22</f>
        <v>0</v>
      </c>
      <c r="W23" s="70" t="n">
        <f aca="false">V23+W22</f>
        <v>0</v>
      </c>
      <c r="X23" s="70" t="n">
        <f aca="false">W23+X22</f>
        <v>0</v>
      </c>
      <c r="Y23" s="70" t="n">
        <f aca="false">X23+Y22</f>
        <v>0</v>
      </c>
      <c r="Z23" s="70" t="n">
        <f aca="false">Y23+Z22</f>
        <v>0</v>
      </c>
      <c r="AA23" s="70" t="n">
        <f aca="false">Z23+AA22</f>
        <v>0</v>
      </c>
      <c r="AB23" s="70" t="n">
        <f aca="false">AA23+AB22</f>
        <v>0</v>
      </c>
      <c r="AC23" s="70" t="n">
        <f aca="false">AB23+AC22</f>
        <v>0</v>
      </c>
      <c r="AD23" s="70" t="n">
        <f aca="false">AC23+AD22</f>
        <v>0</v>
      </c>
      <c r="AE23" s="70" t="n">
        <f aca="false">AD23+AE22</f>
        <v>0</v>
      </c>
      <c r="AF23" s="70" t="n">
        <f aca="false">AE23+AF22</f>
        <v>0</v>
      </c>
      <c r="AG23" s="70" t="n">
        <f aca="false">AF23+AG22</f>
        <v>0</v>
      </c>
      <c r="AH23" s="70" t="n">
        <f aca="false">AG23+AH22</f>
        <v>0</v>
      </c>
      <c r="AI23" s="70" t="n">
        <f aca="false">AH23+AI22</f>
        <v>0</v>
      </c>
      <c r="AJ23" s="70" t="n">
        <f aca="false">AI23+AJ22</f>
        <v>0</v>
      </c>
      <c r="AK23" s="70" t="n">
        <f aca="false">AJ23+AK22</f>
        <v>0</v>
      </c>
      <c r="AL23" s="70" t="n">
        <f aca="false">AK23+AL22</f>
        <v>0</v>
      </c>
      <c r="AM23" s="70" t="n">
        <f aca="false">AL23+AM22</f>
        <v>0</v>
      </c>
      <c r="AN23" s="70" t="n">
        <f aca="false">AM23+AN22</f>
        <v>0</v>
      </c>
      <c r="AO23" s="70" t="n">
        <f aca="false">AN23+AO22</f>
        <v>0</v>
      </c>
      <c r="AP23" s="70" t="n">
        <f aca="false">AO23+AP22</f>
        <v>0</v>
      </c>
      <c r="AQ23" s="70" t="n">
        <f aca="false">AP23+AQ22</f>
        <v>0</v>
      </c>
      <c r="AR23" s="70" t="n">
        <f aca="false">AQ23+AR22</f>
        <v>0</v>
      </c>
      <c r="AS23" s="70" t="n">
        <f aca="false">AR23+AS22</f>
        <v>0</v>
      </c>
      <c r="AT23" s="70" t="n">
        <f aca="false">AS23+AT22</f>
        <v>0</v>
      </c>
      <c r="AU23" s="70" t="n">
        <f aca="false">AT23+AU22</f>
        <v>0</v>
      </c>
      <c r="AV23" s="70" t="n">
        <f aca="false">AU23+AV22</f>
        <v>0</v>
      </c>
      <c r="AW23" s="70" t="n">
        <f aca="false">AV23+AW22</f>
        <v>0</v>
      </c>
      <c r="AX23" s="70" t="n">
        <f aca="false">AW23+AX22</f>
        <v>0</v>
      </c>
      <c r="AY23" s="70" t="n">
        <f aca="false">AX23+AY22</f>
        <v>0</v>
      </c>
      <c r="AZ23" s="70" t="n">
        <f aca="false">AY23+AZ22</f>
        <v>0</v>
      </c>
      <c r="BA23" s="70" t="n">
        <f aca="false">AZ23+BA22</f>
        <v>0</v>
      </c>
      <c r="BB23" s="70" t="n">
        <f aca="false">BA23+BB22</f>
        <v>0</v>
      </c>
      <c r="BC23" s="70" t="n">
        <f aca="false">BB23+BC22</f>
        <v>0</v>
      </c>
      <c r="BD23" s="70" t="n">
        <f aca="false">BC23+BD22</f>
        <v>0</v>
      </c>
      <c r="BE23" s="70" t="n">
        <f aca="false">BD23+BE22</f>
        <v>0</v>
      </c>
      <c r="BF23" s="70" t="n">
        <f aca="false">BE23+BF22</f>
        <v>0</v>
      </c>
      <c r="BG23" s="70" t="n">
        <f aca="false">BF23+BG22</f>
        <v>0</v>
      </c>
      <c r="BH23" s="70" t="n">
        <f aca="false">BG23+BH22</f>
        <v>0</v>
      </c>
      <c r="BI23" s="70" t="n">
        <f aca="false">BH23+BI22</f>
        <v>0</v>
      </c>
      <c r="BJ23" s="70" t="n">
        <f aca="false">BI23+BJ22</f>
        <v>0</v>
      </c>
      <c r="BK23" s="70" t="n">
        <f aca="false">BJ23+BK22</f>
        <v>0</v>
      </c>
      <c r="BL23" s="70" t="n">
        <f aca="false">BK23+BL22</f>
        <v>0</v>
      </c>
      <c r="BM23" s="70" t="n">
        <f aca="false">BL23+BM22</f>
        <v>0</v>
      </c>
      <c r="BN23" s="70" t="n">
        <f aca="false">BM23+BN22</f>
        <v>0</v>
      </c>
      <c r="BO23" s="70" t="n">
        <f aca="false">BN23+BO22</f>
        <v>0</v>
      </c>
      <c r="BP23" s="70" t="n">
        <f aca="false">BO23+BP22</f>
        <v>0</v>
      </c>
      <c r="BQ23" s="70" t="n">
        <f aca="false">BP23+BQ22</f>
        <v>0</v>
      </c>
      <c r="BR23" s="70" t="n">
        <f aca="false">BQ23+BR22</f>
        <v>0</v>
      </c>
      <c r="BS23" s="70" t="n">
        <f aca="false">BR23+BS22</f>
        <v>0</v>
      </c>
      <c r="BT23" s="70" t="n">
        <f aca="false">BS23+BT22</f>
        <v>0</v>
      </c>
      <c r="BU23" s="70" t="n">
        <f aca="false">BT23+BU22</f>
        <v>0</v>
      </c>
      <c r="BV23" s="70" t="n">
        <f aca="false">BU23+BV22</f>
        <v>0</v>
      </c>
      <c r="BW23" s="70" t="n">
        <f aca="false">BV23+BW22</f>
        <v>0</v>
      </c>
      <c r="BX23" s="70" t="n">
        <f aca="false">BW23+BX22</f>
        <v>0</v>
      </c>
      <c r="BY23" s="70" t="n">
        <f aca="false">BX23+BY22</f>
        <v>0</v>
      </c>
      <c r="BZ23" s="70" t="n">
        <f aca="false">BY23+BZ22</f>
        <v>0</v>
      </c>
      <c r="CA23" s="70" t="n">
        <f aca="false">BZ23+CA22</f>
        <v>0</v>
      </c>
      <c r="CB23" s="70" t="n">
        <f aca="false">CA23+CB22</f>
        <v>0</v>
      </c>
      <c r="CC23" s="70" t="n">
        <f aca="false">CB23+CC22</f>
        <v>0</v>
      </c>
      <c r="CD23" s="70" t="n">
        <f aca="false">CC23+CD22</f>
        <v>0</v>
      </c>
      <c r="CE23" s="70" t="n">
        <f aca="false">CD23+CE22</f>
        <v>0</v>
      </c>
      <c r="CF23" s="70" t="n">
        <f aca="false">CE23+CF22</f>
        <v>0</v>
      </c>
      <c r="CG23" s="70" t="n">
        <f aca="false">CF23+CG22</f>
        <v>0</v>
      </c>
      <c r="CH23" s="70" t="n">
        <f aca="false">CG23+CH22</f>
        <v>0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8" t="s">
        <v>49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</row>
    <row r="26" customFormat="false" ht="15" hidden="false" customHeight="true" outlineLevel="0" collapsed="false">
      <c r="A26" s="18" t="s">
        <v>209</v>
      </c>
      <c r="B26" s="3"/>
      <c r="C26" s="68" t="n">
        <f aca="false">Model!C59</f>
        <v>0</v>
      </c>
      <c r="D26" s="68" t="n">
        <f aca="false">Model!D59</f>
        <v>0</v>
      </c>
      <c r="E26" s="68" t="n">
        <f aca="false">Model!E59</f>
        <v>0</v>
      </c>
      <c r="F26" s="68" t="n">
        <f aca="false">Model!F59</f>
        <v>0</v>
      </c>
      <c r="G26" s="68" t="n">
        <f aca="false">Model!G59</f>
        <v>0</v>
      </c>
      <c r="H26" s="68" t="n">
        <f aca="false">Model!H59</f>
        <v>0</v>
      </c>
      <c r="I26" s="68" t="n">
        <f aca="false">Model!I59</f>
        <v>0</v>
      </c>
      <c r="J26" s="68" t="n">
        <f aca="false">Model!J59</f>
        <v>0</v>
      </c>
      <c r="K26" s="68" t="n">
        <f aca="false">Model!K59</f>
        <v>0</v>
      </c>
      <c r="L26" s="68" t="n">
        <f aca="false">Model!L59</f>
        <v>0</v>
      </c>
      <c r="M26" s="68" t="n">
        <f aca="false">Model!M59</f>
        <v>0</v>
      </c>
      <c r="N26" s="68" t="n">
        <f aca="false">Model!N59</f>
        <v>0</v>
      </c>
      <c r="O26" s="68" t="n">
        <f aca="false">Model!O59</f>
        <v>0</v>
      </c>
      <c r="P26" s="68" t="n">
        <f aca="false">Model!P59</f>
        <v>0</v>
      </c>
      <c r="Q26" s="68" t="n">
        <f aca="false">Model!Q59</f>
        <v>0</v>
      </c>
      <c r="R26" s="68" t="n">
        <f aca="false">Model!R59</f>
        <v>0</v>
      </c>
      <c r="S26" s="68" t="n">
        <f aca="false">Model!S59</f>
        <v>0</v>
      </c>
      <c r="T26" s="68" t="n">
        <f aca="false">Model!T59</f>
        <v>0</v>
      </c>
      <c r="U26" s="68" t="n">
        <f aca="false">Model!U59</f>
        <v>0</v>
      </c>
      <c r="V26" s="68" t="n">
        <f aca="false">Model!V59</f>
        <v>0</v>
      </c>
      <c r="W26" s="68" t="n">
        <f aca="false">Model!W59</f>
        <v>0</v>
      </c>
      <c r="X26" s="68" t="n">
        <f aca="false">Model!X59</f>
        <v>0</v>
      </c>
      <c r="Y26" s="68" t="n">
        <f aca="false">Model!Y59</f>
        <v>0</v>
      </c>
      <c r="Z26" s="68" t="n">
        <f aca="false">Model!Z59</f>
        <v>0</v>
      </c>
      <c r="AA26" s="68" t="n">
        <f aca="false">Model!AA59</f>
        <v>0</v>
      </c>
      <c r="AB26" s="68" t="n">
        <f aca="false">Model!AB59</f>
        <v>0</v>
      </c>
      <c r="AC26" s="68" t="n">
        <f aca="false">Model!AC59</f>
        <v>0</v>
      </c>
      <c r="AD26" s="68" t="n">
        <f aca="false">Model!AD59</f>
        <v>0</v>
      </c>
      <c r="AE26" s="68" t="n">
        <f aca="false">Model!AE59</f>
        <v>0</v>
      </c>
      <c r="AF26" s="68" t="n">
        <f aca="false">Model!AF59</f>
        <v>0</v>
      </c>
      <c r="AG26" s="68" t="n">
        <f aca="false">Model!AG59</f>
        <v>0</v>
      </c>
      <c r="AH26" s="68" t="n">
        <f aca="false">Model!AH59</f>
        <v>0</v>
      </c>
      <c r="AI26" s="68" t="n">
        <f aca="false">Model!AI59</f>
        <v>0</v>
      </c>
      <c r="AJ26" s="68" t="n">
        <f aca="false">Model!AJ59</f>
        <v>0</v>
      </c>
      <c r="AK26" s="68" t="n">
        <f aca="false">Model!AK59</f>
        <v>0</v>
      </c>
      <c r="AL26" s="68" t="n">
        <f aca="false">Model!AL59</f>
        <v>0</v>
      </c>
      <c r="AM26" s="68" t="n">
        <f aca="false">Model!AM59</f>
        <v>0</v>
      </c>
      <c r="AN26" s="68" t="n">
        <f aca="false">Model!AN59</f>
        <v>0</v>
      </c>
      <c r="AO26" s="68" t="n">
        <f aca="false">Model!AO59</f>
        <v>0</v>
      </c>
      <c r="AP26" s="68" t="n">
        <f aca="false">Model!AP59</f>
        <v>0</v>
      </c>
      <c r="AQ26" s="68" t="n">
        <f aca="false">Model!AQ59</f>
        <v>0</v>
      </c>
      <c r="AR26" s="68" t="n">
        <f aca="false">Model!AR59</f>
        <v>81683</v>
      </c>
      <c r="AS26" s="68" t="n">
        <f aca="false">Model!AS59</f>
        <v>0</v>
      </c>
      <c r="AT26" s="68" t="n">
        <f aca="false">Model!AT59</f>
        <v>0</v>
      </c>
      <c r="AU26" s="68" t="n">
        <f aca="false">Model!AU59</f>
        <v>81682</v>
      </c>
      <c r="AV26" s="68" t="n">
        <f aca="false">Model!AV59</f>
        <v>0</v>
      </c>
      <c r="AW26" s="68" t="n">
        <f aca="false">Model!AW59</f>
        <v>0</v>
      </c>
      <c r="AX26" s="68" t="n">
        <f aca="false">Model!AX59</f>
        <v>81682</v>
      </c>
      <c r="AY26" s="68" t="n">
        <f aca="false">Model!AY59</f>
        <v>0</v>
      </c>
      <c r="AZ26" s="68" t="n">
        <f aca="false">Model!AZ59</f>
        <v>0</v>
      </c>
      <c r="BA26" s="68" t="n">
        <f aca="false">Model!BA59</f>
        <v>81682</v>
      </c>
      <c r="BB26" s="68" t="n">
        <f aca="false">Model!BB59</f>
        <v>0</v>
      </c>
      <c r="BC26" s="68" t="n">
        <f aca="false">Model!BC59</f>
        <v>0</v>
      </c>
      <c r="BD26" s="68" t="n">
        <f aca="false">Model!BD59</f>
        <v>59178</v>
      </c>
      <c r="BE26" s="68" t="n">
        <f aca="false">Model!BE59</f>
        <v>0</v>
      </c>
      <c r="BF26" s="68" t="n">
        <f aca="false">Model!BF59</f>
        <v>0</v>
      </c>
      <c r="BG26" s="68" t="n">
        <f aca="false">Model!BG59</f>
        <v>59176</v>
      </c>
      <c r="BH26" s="68" t="n">
        <f aca="false">Model!BH59</f>
        <v>0</v>
      </c>
      <c r="BI26" s="68" t="n">
        <f aca="false">Model!BI59</f>
        <v>0</v>
      </c>
      <c r="BJ26" s="68" t="n">
        <f aca="false">Model!BJ59</f>
        <v>59176</v>
      </c>
      <c r="BK26" s="68" t="n">
        <f aca="false">Model!BK59</f>
        <v>0</v>
      </c>
      <c r="BL26" s="68" t="n">
        <f aca="false">Model!BL59</f>
        <v>0</v>
      </c>
      <c r="BM26" s="68" t="n">
        <f aca="false">Model!BM59</f>
        <v>59176</v>
      </c>
      <c r="BN26" s="68" t="n">
        <f aca="false">Model!BN59</f>
        <v>0</v>
      </c>
      <c r="BO26" s="68" t="n">
        <f aca="false">Model!BO59</f>
        <v>0</v>
      </c>
      <c r="BP26" s="68" t="n">
        <f aca="false">Model!BP59</f>
        <v>67763</v>
      </c>
      <c r="BQ26" s="68" t="n">
        <f aca="false">Model!BQ59</f>
        <v>0</v>
      </c>
      <c r="BR26" s="68" t="n">
        <f aca="false">Model!BR59</f>
        <v>0</v>
      </c>
      <c r="BS26" s="68" t="n">
        <f aca="false">Model!BS59</f>
        <v>67762</v>
      </c>
      <c r="BT26" s="68" t="n">
        <f aca="false">Model!BT59</f>
        <v>0</v>
      </c>
      <c r="BU26" s="68" t="n">
        <f aca="false">Model!BU59</f>
        <v>0</v>
      </c>
      <c r="BV26" s="68" t="n">
        <f aca="false">Model!BV59</f>
        <v>67762</v>
      </c>
      <c r="BW26" s="68" t="n">
        <f aca="false">Model!BW59</f>
        <v>0</v>
      </c>
      <c r="BX26" s="68" t="n">
        <f aca="false">Model!BX59</f>
        <v>0</v>
      </c>
      <c r="BY26" s="68" t="n">
        <f aca="false">Model!BY59</f>
        <v>67762</v>
      </c>
      <c r="BZ26" s="68" t="n">
        <f aca="false">Model!BZ59</f>
        <v>0</v>
      </c>
      <c r="CA26" s="68" t="n">
        <f aca="false">Model!CA59</f>
        <v>0</v>
      </c>
      <c r="CB26" s="68" t="n">
        <f aca="false">Model!CB59</f>
        <v>76499</v>
      </c>
      <c r="CC26" s="68" t="n">
        <f aca="false">Model!CC59</f>
        <v>0</v>
      </c>
      <c r="CD26" s="68" t="n">
        <f aca="false">Model!CD59</f>
        <v>0</v>
      </c>
      <c r="CE26" s="68" t="n">
        <f aca="false">Model!CE59</f>
        <v>76499</v>
      </c>
      <c r="CF26" s="68" t="n">
        <f aca="false">Model!CF59</f>
        <v>0</v>
      </c>
      <c r="CG26" s="68" t="n">
        <f aca="false">Model!CG59</f>
        <v>0</v>
      </c>
      <c r="CH26" s="68" t="n">
        <f aca="false">Model!CH59</f>
        <v>76499</v>
      </c>
    </row>
    <row r="27" customFormat="false" ht="15" hidden="false" customHeight="true" outlineLevel="0" collapsed="false">
      <c r="A27" s="71" t="s">
        <v>213</v>
      </c>
      <c r="B27" s="3"/>
      <c r="C27" s="72" t="n">
        <f aca="false">Model!C81</f>
        <v>-0</v>
      </c>
      <c r="D27" s="72" t="n">
        <f aca="false">Model!D81</f>
        <v>-0</v>
      </c>
      <c r="E27" s="72" t="n">
        <f aca="false">Model!E81</f>
        <v>-0</v>
      </c>
      <c r="F27" s="72" t="n">
        <f aca="false">Model!F81</f>
        <v>-0</v>
      </c>
      <c r="G27" s="72" t="n">
        <f aca="false">Model!G81</f>
        <v>-0</v>
      </c>
      <c r="H27" s="72" t="n">
        <f aca="false">Model!H81</f>
        <v>-0</v>
      </c>
      <c r="I27" s="72" t="n">
        <f aca="false">Model!I81</f>
        <v>-0</v>
      </c>
      <c r="J27" s="72" t="n">
        <f aca="false">Model!J81</f>
        <v>-0</v>
      </c>
      <c r="K27" s="72" t="n">
        <f aca="false">Model!K81</f>
        <v>-0</v>
      </c>
      <c r="L27" s="72" t="n">
        <f aca="false">Model!L81</f>
        <v>-0</v>
      </c>
      <c r="M27" s="72" t="n">
        <f aca="false">Model!M81</f>
        <v>-0</v>
      </c>
      <c r="N27" s="72" t="n">
        <f aca="false">Model!N81</f>
        <v>-0</v>
      </c>
      <c r="O27" s="72" t="n">
        <f aca="false">Model!O81</f>
        <v>-0</v>
      </c>
      <c r="P27" s="72" t="n">
        <f aca="false">Model!P81</f>
        <v>-0</v>
      </c>
      <c r="Q27" s="72" t="n">
        <f aca="false">Model!Q81</f>
        <v>-0</v>
      </c>
      <c r="R27" s="72" t="n">
        <f aca="false">Model!R81</f>
        <v>-0</v>
      </c>
      <c r="S27" s="72" t="n">
        <f aca="false">Model!S81</f>
        <v>-0</v>
      </c>
      <c r="T27" s="72" t="n">
        <f aca="false">Model!T81</f>
        <v>-0</v>
      </c>
      <c r="U27" s="72" t="n">
        <f aca="false">Model!U81</f>
        <v>-0</v>
      </c>
      <c r="V27" s="72" t="n">
        <f aca="false">Model!V81</f>
        <v>-0</v>
      </c>
      <c r="W27" s="72" t="n">
        <f aca="false">Model!W81</f>
        <v>-0</v>
      </c>
      <c r="X27" s="72" t="n">
        <f aca="false">Model!X81</f>
        <v>-0</v>
      </c>
      <c r="Y27" s="72" t="n">
        <f aca="false">Model!Y81</f>
        <v>-0</v>
      </c>
      <c r="Z27" s="72" t="n">
        <f aca="false">Model!Z81</f>
        <v>-0</v>
      </c>
      <c r="AA27" s="72" t="n">
        <f aca="false">Model!AA81</f>
        <v>-0</v>
      </c>
      <c r="AB27" s="72" t="n">
        <f aca="false">Model!AB81</f>
        <v>-0</v>
      </c>
      <c r="AC27" s="72" t="n">
        <f aca="false">Model!AC81</f>
        <v>-0</v>
      </c>
      <c r="AD27" s="72" t="n">
        <f aca="false">Model!AD81</f>
        <v>-0</v>
      </c>
      <c r="AE27" s="72" t="n">
        <f aca="false">Model!AE81</f>
        <v>-0</v>
      </c>
      <c r="AF27" s="72" t="n">
        <f aca="false">Model!AF81</f>
        <v>-0</v>
      </c>
      <c r="AG27" s="72" t="n">
        <f aca="false">Model!AG81</f>
        <v>-0</v>
      </c>
      <c r="AH27" s="72" t="n">
        <f aca="false">Model!AH81</f>
        <v>-0</v>
      </c>
      <c r="AI27" s="72" t="n">
        <f aca="false">Model!AI81</f>
        <v>-0</v>
      </c>
      <c r="AJ27" s="72" t="n">
        <f aca="false">Model!AJ81</f>
        <v>-0</v>
      </c>
      <c r="AK27" s="72" t="n">
        <f aca="false">Model!AK81</f>
        <v>-0</v>
      </c>
      <c r="AL27" s="72" t="n">
        <f aca="false">Model!AL81</f>
        <v>-0</v>
      </c>
      <c r="AM27" s="72" t="n">
        <f aca="false">Model!AM81</f>
        <v>-0</v>
      </c>
      <c r="AN27" s="72" t="n">
        <f aca="false">Model!AN81</f>
        <v>-0</v>
      </c>
      <c r="AO27" s="72" t="n">
        <f aca="false">Model!AO81</f>
        <v>-0</v>
      </c>
      <c r="AP27" s="72" t="n">
        <f aca="false">Model!AP81</f>
        <v>-0</v>
      </c>
      <c r="AQ27" s="72" t="n">
        <f aca="false">Model!AQ81</f>
        <v>-0</v>
      </c>
      <c r="AR27" s="72" t="n">
        <f aca="false">Model!AR81</f>
        <v>-81683</v>
      </c>
      <c r="AS27" s="72" t="n">
        <f aca="false">Model!AS81</f>
        <v>-0</v>
      </c>
      <c r="AT27" s="72" t="n">
        <f aca="false">Model!AT81</f>
        <v>-0</v>
      </c>
      <c r="AU27" s="72" t="n">
        <f aca="false">Model!AU81</f>
        <v>-81682</v>
      </c>
      <c r="AV27" s="72" t="n">
        <f aca="false">Model!AV81</f>
        <v>-0</v>
      </c>
      <c r="AW27" s="72" t="n">
        <f aca="false">Model!AW81</f>
        <v>-0</v>
      </c>
      <c r="AX27" s="72" t="n">
        <f aca="false">Model!AX81</f>
        <v>-81682</v>
      </c>
      <c r="AY27" s="72" t="n">
        <f aca="false">Model!AY81</f>
        <v>-0</v>
      </c>
      <c r="AZ27" s="72" t="n">
        <f aca="false">Model!AZ81</f>
        <v>-0</v>
      </c>
      <c r="BA27" s="72" t="n">
        <f aca="false">Model!BA81</f>
        <v>-81682</v>
      </c>
      <c r="BB27" s="72" t="n">
        <f aca="false">Model!BB81</f>
        <v>-0</v>
      </c>
      <c r="BC27" s="72" t="n">
        <f aca="false">Model!BC81</f>
        <v>-0</v>
      </c>
      <c r="BD27" s="72" t="n">
        <f aca="false">Model!BD81</f>
        <v>-59178</v>
      </c>
      <c r="BE27" s="72" t="n">
        <f aca="false">Model!BE81</f>
        <v>-0</v>
      </c>
      <c r="BF27" s="72" t="n">
        <f aca="false">Model!BF81</f>
        <v>-0</v>
      </c>
      <c r="BG27" s="72" t="n">
        <f aca="false">Model!BG81</f>
        <v>-59176</v>
      </c>
      <c r="BH27" s="72" t="n">
        <f aca="false">Model!BH81</f>
        <v>-0</v>
      </c>
      <c r="BI27" s="72" t="n">
        <f aca="false">Model!BI81</f>
        <v>-0</v>
      </c>
      <c r="BJ27" s="72" t="n">
        <f aca="false">Model!BJ81</f>
        <v>-59176</v>
      </c>
      <c r="BK27" s="72" t="n">
        <f aca="false">Model!BK81</f>
        <v>-0</v>
      </c>
      <c r="BL27" s="72" t="n">
        <f aca="false">Model!BL81</f>
        <v>-0</v>
      </c>
      <c r="BM27" s="72" t="n">
        <f aca="false">Model!BM81</f>
        <v>-59176</v>
      </c>
      <c r="BN27" s="72" t="n">
        <f aca="false">Model!BN81</f>
        <v>-0</v>
      </c>
      <c r="BO27" s="72" t="n">
        <f aca="false">Model!BO81</f>
        <v>-0</v>
      </c>
      <c r="BP27" s="72" t="n">
        <f aca="false">Model!BP81</f>
        <v>-16249.48</v>
      </c>
      <c r="BQ27" s="72" t="n">
        <f aca="false">Model!BQ81</f>
        <v>-0</v>
      </c>
      <c r="BR27" s="72" t="n">
        <f aca="false">Model!BR81</f>
        <v>-0</v>
      </c>
      <c r="BS27" s="72" t="n">
        <f aca="false">Model!BS81</f>
        <v>-0</v>
      </c>
      <c r="BT27" s="72" t="n">
        <f aca="false">Model!BT81</f>
        <v>-0</v>
      </c>
      <c r="BU27" s="72" t="n">
        <f aca="false">Model!BU81</f>
        <v>-0</v>
      </c>
      <c r="BV27" s="72" t="n">
        <f aca="false">Model!BV81</f>
        <v>-0</v>
      </c>
      <c r="BW27" s="72" t="n">
        <f aca="false">Model!BW81</f>
        <v>-0</v>
      </c>
      <c r="BX27" s="72" t="n">
        <f aca="false">Model!BX81</f>
        <v>-0</v>
      </c>
      <c r="BY27" s="72" t="n">
        <f aca="false">Model!BY81</f>
        <v>-0</v>
      </c>
      <c r="BZ27" s="72" t="n">
        <f aca="false">Model!BZ81</f>
        <v>-0</v>
      </c>
      <c r="CA27" s="72" t="n">
        <f aca="false">Model!CA81</f>
        <v>-0</v>
      </c>
      <c r="CB27" s="72" t="n">
        <f aca="false">Model!CB81</f>
        <v>-0</v>
      </c>
      <c r="CC27" s="72" t="n">
        <f aca="false">Model!CC81</f>
        <v>-0</v>
      </c>
      <c r="CD27" s="72" t="n">
        <f aca="false">Model!CD81</f>
        <v>-0</v>
      </c>
      <c r="CE27" s="72" t="n">
        <f aca="false">Model!CE81</f>
        <v>-0</v>
      </c>
      <c r="CF27" s="72" t="n">
        <f aca="false">Model!CF81</f>
        <v>-0</v>
      </c>
      <c r="CG27" s="72" t="n">
        <f aca="false">Model!CG81</f>
        <v>-0</v>
      </c>
      <c r="CH27" s="72" t="n">
        <f aca="false">Model!CH81</f>
        <v>-0</v>
      </c>
    </row>
    <row r="28" customFormat="false" ht="15" hidden="false" customHeight="true" outlineLevel="0" collapsed="false">
      <c r="A28" s="30" t="s">
        <v>210</v>
      </c>
      <c r="B28" s="30"/>
      <c r="C28" s="69" t="n">
        <f aca="false">C26+C27</f>
        <v>0</v>
      </c>
      <c r="D28" s="69" t="n">
        <f aca="false">D26+D27</f>
        <v>0</v>
      </c>
      <c r="E28" s="69" t="n">
        <f aca="false">E26+E27</f>
        <v>0</v>
      </c>
      <c r="F28" s="69" t="n">
        <f aca="false">F26+F27</f>
        <v>0</v>
      </c>
      <c r="G28" s="69" t="n">
        <f aca="false">G26+G27</f>
        <v>0</v>
      </c>
      <c r="H28" s="69" t="n">
        <f aca="false">H26+H27</f>
        <v>0</v>
      </c>
      <c r="I28" s="69" t="n">
        <f aca="false">I26+I27</f>
        <v>0</v>
      </c>
      <c r="J28" s="69" t="n">
        <f aca="false">J26+J27</f>
        <v>0</v>
      </c>
      <c r="K28" s="69" t="n">
        <f aca="false">K26+K27</f>
        <v>0</v>
      </c>
      <c r="L28" s="69" t="n">
        <f aca="false">L26+L27</f>
        <v>0</v>
      </c>
      <c r="M28" s="69" t="n">
        <f aca="false">M26+M27</f>
        <v>0</v>
      </c>
      <c r="N28" s="69" t="n">
        <f aca="false">N26+N27</f>
        <v>0</v>
      </c>
      <c r="O28" s="69" t="n">
        <f aca="false">O26+O27</f>
        <v>0</v>
      </c>
      <c r="P28" s="69" t="n">
        <f aca="false">P26+P27</f>
        <v>0</v>
      </c>
      <c r="Q28" s="69" t="n">
        <f aca="false">Q26+Q27</f>
        <v>0</v>
      </c>
      <c r="R28" s="69" t="n">
        <f aca="false">R26+R27</f>
        <v>0</v>
      </c>
      <c r="S28" s="69" t="n">
        <f aca="false">S26+S27</f>
        <v>0</v>
      </c>
      <c r="T28" s="69" t="n">
        <f aca="false">T26+T27</f>
        <v>0</v>
      </c>
      <c r="U28" s="69" t="n">
        <f aca="false">U26+U27</f>
        <v>0</v>
      </c>
      <c r="V28" s="69" t="n">
        <f aca="false">V26+V27</f>
        <v>0</v>
      </c>
      <c r="W28" s="69" t="n">
        <f aca="false">W26+W27</f>
        <v>0</v>
      </c>
      <c r="X28" s="69" t="n">
        <f aca="false">X26+X27</f>
        <v>0</v>
      </c>
      <c r="Y28" s="69" t="n">
        <f aca="false">Y26+Y27</f>
        <v>0</v>
      </c>
      <c r="Z28" s="69" t="n">
        <f aca="false">Z26+Z27</f>
        <v>0</v>
      </c>
      <c r="AA28" s="69" t="n">
        <f aca="false">AA26+AA27</f>
        <v>0</v>
      </c>
      <c r="AB28" s="69" t="n">
        <f aca="false">AB26+AB27</f>
        <v>0</v>
      </c>
      <c r="AC28" s="69" t="n">
        <f aca="false">AC26+AC27</f>
        <v>0</v>
      </c>
      <c r="AD28" s="69" t="n">
        <f aca="false">AD26+AD27</f>
        <v>0</v>
      </c>
      <c r="AE28" s="69" t="n">
        <f aca="false">AE26+AE27</f>
        <v>0</v>
      </c>
      <c r="AF28" s="69" t="n">
        <f aca="false">AF26+AF27</f>
        <v>0</v>
      </c>
      <c r="AG28" s="69" t="n">
        <f aca="false">AG26+AG27</f>
        <v>0</v>
      </c>
      <c r="AH28" s="69" t="n">
        <f aca="false">AH26+AH27</f>
        <v>0</v>
      </c>
      <c r="AI28" s="69" t="n">
        <f aca="false">AI26+AI27</f>
        <v>0</v>
      </c>
      <c r="AJ28" s="69" t="n">
        <f aca="false">AJ26+AJ27</f>
        <v>0</v>
      </c>
      <c r="AK28" s="69" t="n">
        <f aca="false">AK26+AK27</f>
        <v>0</v>
      </c>
      <c r="AL28" s="69" t="n">
        <f aca="false">AL26+AL27</f>
        <v>0</v>
      </c>
      <c r="AM28" s="69" t="n">
        <f aca="false">AM26+AM27</f>
        <v>0</v>
      </c>
      <c r="AN28" s="69" t="n">
        <f aca="false">AN26+AN27</f>
        <v>0</v>
      </c>
      <c r="AO28" s="69" t="n">
        <f aca="false">AO26+AO27</f>
        <v>0</v>
      </c>
      <c r="AP28" s="69" t="n">
        <f aca="false">AP26+AP27</f>
        <v>0</v>
      </c>
      <c r="AQ28" s="69" t="n">
        <f aca="false">AQ26+AQ27</f>
        <v>0</v>
      </c>
      <c r="AR28" s="69" t="n">
        <f aca="false">AR26+AR27</f>
        <v>0</v>
      </c>
      <c r="AS28" s="69" t="n">
        <f aca="false">AS26+AS27</f>
        <v>0</v>
      </c>
      <c r="AT28" s="69" t="n">
        <f aca="false">AT26+AT27</f>
        <v>0</v>
      </c>
      <c r="AU28" s="69" t="n">
        <f aca="false">AU26+AU27</f>
        <v>0</v>
      </c>
      <c r="AV28" s="69" t="n">
        <f aca="false">AV26+AV27</f>
        <v>0</v>
      </c>
      <c r="AW28" s="69" t="n">
        <f aca="false">AW26+AW27</f>
        <v>0</v>
      </c>
      <c r="AX28" s="69" t="n">
        <f aca="false">AX26+AX27</f>
        <v>0</v>
      </c>
      <c r="AY28" s="69" t="n">
        <f aca="false">AY26+AY27</f>
        <v>0</v>
      </c>
      <c r="AZ28" s="69" t="n">
        <f aca="false">AZ26+AZ27</f>
        <v>0</v>
      </c>
      <c r="BA28" s="69" t="n">
        <f aca="false">BA26+BA27</f>
        <v>0</v>
      </c>
      <c r="BB28" s="69" t="n">
        <f aca="false">BB26+BB27</f>
        <v>0</v>
      </c>
      <c r="BC28" s="69" t="n">
        <f aca="false">BC26+BC27</f>
        <v>0</v>
      </c>
      <c r="BD28" s="69" t="n">
        <f aca="false">BD26+BD27</f>
        <v>0</v>
      </c>
      <c r="BE28" s="69" t="n">
        <f aca="false">BE26+BE27</f>
        <v>0</v>
      </c>
      <c r="BF28" s="69" t="n">
        <f aca="false">BF26+BF27</f>
        <v>0</v>
      </c>
      <c r="BG28" s="69" t="n">
        <f aca="false">BG26+BG27</f>
        <v>0</v>
      </c>
      <c r="BH28" s="69" t="n">
        <f aca="false">BH26+BH27</f>
        <v>0</v>
      </c>
      <c r="BI28" s="69" t="n">
        <f aca="false">BI26+BI27</f>
        <v>0</v>
      </c>
      <c r="BJ28" s="69" t="n">
        <f aca="false">BJ26+BJ27</f>
        <v>0</v>
      </c>
      <c r="BK28" s="69" t="n">
        <f aca="false">BK26+BK27</f>
        <v>0</v>
      </c>
      <c r="BL28" s="69" t="n">
        <f aca="false">BL26+BL27</f>
        <v>0</v>
      </c>
      <c r="BM28" s="69" t="n">
        <f aca="false">BM26+BM27</f>
        <v>0</v>
      </c>
      <c r="BN28" s="69" t="n">
        <f aca="false">BN26+BN27</f>
        <v>0</v>
      </c>
      <c r="BO28" s="69" t="n">
        <f aca="false">BO26+BO27</f>
        <v>0</v>
      </c>
      <c r="BP28" s="69" t="n">
        <f aca="false">BP26+BP27</f>
        <v>51513.52</v>
      </c>
      <c r="BQ28" s="69" t="n">
        <f aca="false">BQ26+BQ27</f>
        <v>0</v>
      </c>
      <c r="BR28" s="69" t="n">
        <f aca="false">BR26+BR27</f>
        <v>0</v>
      </c>
      <c r="BS28" s="69" t="n">
        <f aca="false">BS26+BS27</f>
        <v>67762</v>
      </c>
      <c r="BT28" s="69" t="n">
        <f aca="false">BT26+BT27</f>
        <v>0</v>
      </c>
      <c r="BU28" s="69" t="n">
        <f aca="false">BU26+BU27</f>
        <v>0</v>
      </c>
      <c r="BV28" s="69" t="n">
        <f aca="false">BV26+BV27</f>
        <v>67762</v>
      </c>
      <c r="BW28" s="69" t="n">
        <f aca="false">BW26+BW27</f>
        <v>0</v>
      </c>
      <c r="BX28" s="69" t="n">
        <f aca="false">BX26+BX27</f>
        <v>0</v>
      </c>
      <c r="BY28" s="69" t="n">
        <f aca="false">BY26+BY27</f>
        <v>67762</v>
      </c>
      <c r="BZ28" s="69" t="n">
        <f aca="false">BZ26+BZ27</f>
        <v>0</v>
      </c>
      <c r="CA28" s="69" t="n">
        <f aca="false">CA26+CA27</f>
        <v>0</v>
      </c>
      <c r="CB28" s="69" t="n">
        <f aca="false">CB26+CB27</f>
        <v>76499</v>
      </c>
      <c r="CC28" s="69" t="n">
        <f aca="false">CC26+CC27</f>
        <v>0</v>
      </c>
      <c r="CD28" s="69" t="n">
        <f aca="false">CD26+CD27</f>
        <v>0</v>
      </c>
      <c r="CE28" s="69" t="n">
        <f aca="false">CE26+CE27</f>
        <v>76499</v>
      </c>
      <c r="CF28" s="69" t="n">
        <f aca="false">CF26+CF27</f>
        <v>0</v>
      </c>
      <c r="CG28" s="69" t="n">
        <f aca="false">CG26+CG27</f>
        <v>0</v>
      </c>
      <c r="CH28" s="69" t="n">
        <f aca="false">CH26+CH27</f>
        <v>76499</v>
      </c>
    </row>
    <row r="29" customFormat="false" ht="15" hidden="false" customHeight="true" outlineLevel="0" collapsed="false">
      <c r="A29" s="62" t="s">
        <v>211</v>
      </c>
      <c r="B29" s="3"/>
      <c r="C29" s="70" t="n">
        <f aca="false">C28</f>
        <v>0</v>
      </c>
      <c r="D29" s="70" t="n">
        <f aca="false">C29+D28</f>
        <v>0</v>
      </c>
      <c r="E29" s="70" t="n">
        <f aca="false">D29+E28</f>
        <v>0</v>
      </c>
      <c r="F29" s="70" t="n">
        <f aca="false">E29+F28</f>
        <v>0</v>
      </c>
      <c r="G29" s="70" t="n">
        <f aca="false">F29+G28</f>
        <v>0</v>
      </c>
      <c r="H29" s="70" t="n">
        <f aca="false">G29+H28</f>
        <v>0</v>
      </c>
      <c r="I29" s="70" t="n">
        <f aca="false">H29+I28</f>
        <v>0</v>
      </c>
      <c r="J29" s="70" t="n">
        <f aca="false">I29+J28</f>
        <v>0</v>
      </c>
      <c r="K29" s="70" t="n">
        <f aca="false">J29+K28</f>
        <v>0</v>
      </c>
      <c r="L29" s="70" t="n">
        <f aca="false">K29+L28</f>
        <v>0</v>
      </c>
      <c r="M29" s="70" t="n">
        <f aca="false">L29+M28</f>
        <v>0</v>
      </c>
      <c r="N29" s="70" t="n">
        <f aca="false">M29+N28</f>
        <v>0</v>
      </c>
      <c r="O29" s="70" t="n">
        <f aca="false">N29+O28</f>
        <v>0</v>
      </c>
      <c r="P29" s="70" t="n">
        <f aca="false">O29+P28</f>
        <v>0</v>
      </c>
      <c r="Q29" s="70" t="n">
        <f aca="false">P29+Q28</f>
        <v>0</v>
      </c>
      <c r="R29" s="70" t="n">
        <f aca="false">Q29+R28</f>
        <v>0</v>
      </c>
      <c r="S29" s="70" t="n">
        <f aca="false">R29+S28</f>
        <v>0</v>
      </c>
      <c r="T29" s="70" t="n">
        <f aca="false">S29+T28</f>
        <v>0</v>
      </c>
      <c r="U29" s="70" t="n">
        <f aca="false">T29+U28</f>
        <v>0</v>
      </c>
      <c r="V29" s="70" t="n">
        <f aca="false">U29+V28</f>
        <v>0</v>
      </c>
      <c r="W29" s="70" t="n">
        <f aca="false">V29+W28</f>
        <v>0</v>
      </c>
      <c r="X29" s="70" t="n">
        <f aca="false">W29+X28</f>
        <v>0</v>
      </c>
      <c r="Y29" s="70" t="n">
        <f aca="false">X29+Y28</f>
        <v>0</v>
      </c>
      <c r="Z29" s="70" t="n">
        <f aca="false">Y29+Z28</f>
        <v>0</v>
      </c>
      <c r="AA29" s="70" t="n">
        <f aca="false">Z29+AA28</f>
        <v>0</v>
      </c>
      <c r="AB29" s="70" t="n">
        <f aca="false">AA29+AB28</f>
        <v>0</v>
      </c>
      <c r="AC29" s="70" t="n">
        <f aca="false">AB29+AC28</f>
        <v>0</v>
      </c>
      <c r="AD29" s="70" t="n">
        <f aca="false">AC29+AD28</f>
        <v>0</v>
      </c>
      <c r="AE29" s="70" t="n">
        <f aca="false">AD29+AE28</f>
        <v>0</v>
      </c>
      <c r="AF29" s="70" t="n">
        <f aca="false">AE29+AF28</f>
        <v>0</v>
      </c>
      <c r="AG29" s="70" t="n">
        <f aca="false">AF29+AG28</f>
        <v>0</v>
      </c>
      <c r="AH29" s="70" t="n">
        <f aca="false">AG29+AH28</f>
        <v>0</v>
      </c>
      <c r="AI29" s="70" t="n">
        <f aca="false">AH29+AI28</f>
        <v>0</v>
      </c>
      <c r="AJ29" s="70" t="n">
        <f aca="false">AI29+AJ28</f>
        <v>0</v>
      </c>
      <c r="AK29" s="70" t="n">
        <f aca="false">AJ29+AK28</f>
        <v>0</v>
      </c>
      <c r="AL29" s="70" t="n">
        <f aca="false">AK29+AL28</f>
        <v>0</v>
      </c>
      <c r="AM29" s="70" t="n">
        <f aca="false">AL29+AM28</f>
        <v>0</v>
      </c>
      <c r="AN29" s="70" t="n">
        <f aca="false">AM29+AN28</f>
        <v>0</v>
      </c>
      <c r="AO29" s="70" t="n">
        <f aca="false">AN29+AO28</f>
        <v>0</v>
      </c>
      <c r="AP29" s="70" t="n">
        <f aca="false">AO29+AP28</f>
        <v>0</v>
      </c>
      <c r="AQ29" s="70" t="n">
        <f aca="false">AP29+AQ28</f>
        <v>0</v>
      </c>
      <c r="AR29" s="70" t="n">
        <f aca="false">AQ29+AR28</f>
        <v>0</v>
      </c>
      <c r="AS29" s="70" t="n">
        <f aca="false">AR29+AS28</f>
        <v>0</v>
      </c>
      <c r="AT29" s="70" t="n">
        <f aca="false">AS29+AT28</f>
        <v>0</v>
      </c>
      <c r="AU29" s="70" t="n">
        <f aca="false">AT29+AU28</f>
        <v>0</v>
      </c>
      <c r="AV29" s="70" t="n">
        <f aca="false">AU29+AV28</f>
        <v>0</v>
      </c>
      <c r="AW29" s="70" t="n">
        <f aca="false">AV29+AW28</f>
        <v>0</v>
      </c>
      <c r="AX29" s="70" t="n">
        <f aca="false">AW29+AX28</f>
        <v>0</v>
      </c>
      <c r="AY29" s="70" t="n">
        <f aca="false">AX29+AY28</f>
        <v>0</v>
      </c>
      <c r="AZ29" s="70" t="n">
        <f aca="false">AY29+AZ28</f>
        <v>0</v>
      </c>
      <c r="BA29" s="70" t="n">
        <f aca="false">AZ29+BA28</f>
        <v>0</v>
      </c>
      <c r="BB29" s="70" t="n">
        <f aca="false">BA29+BB28</f>
        <v>0</v>
      </c>
      <c r="BC29" s="70" t="n">
        <f aca="false">BB29+BC28</f>
        <v>0</v>
      </c>
      <c r="BD29" s="70" t="n">
        <f aca="false">BC29+BD28</f>
        <v>0</v>
      </c>
      <c r="BE29" s="70" t="n">
        <f aca="false">BD29+BE28</f>
        <v>0</v>
      </c>
      <c r="BF29" s="70" t="n">
        <f aca="false">BE29+BF28</f>
        <v>0</v>
      </c>
      <c r="BG29" s="70" t="n">
        <f aca="false">BF29+BG28</f>
        <v>0</v>
      </c>
      <c r="BH29" s="70" t="n">
        <f aca="false">BG29+BH28</f>
        <v>0</v>
      </c>
      <c r="BI29" s="70" t="n">
        <f aca="false">BH29+BI28</f>
        <v>0</v>
      </c>
      <c r="BJ29" s="70" t="n">
        <f aca="false">BI29+BJ28</f>
        <v>0</v>
      </c>
      <c r="BK29" s="70" t="n">
        <f aca="false">BJ29+BK28</f>
        <v>0</v>
      </c>
      <c r="BL29" s="70" t="n">
        <f aca="false">BK29+BL28</f>
        <v>0</v>
      </c>
      <c r="BM29" s="70" t="n">
        <f aca="false">BL29+BM28</f>
        <v>0</v>
      </c>
      <c r="BN29" s="70" t="n">
        <f aca="false">BM29+BN28</f>
        <v>0</v>
      </c>
      <c r="BO29" s="70" t="n">
        <f aca="false">BN29+BO28</f>
        <v>0</v>
      </c>
      <c r="BP29" s="70" t="n">
        <f aca="false">BO29+BP28</f>
        <v>51513.52</v>
      </c>
      <c r="BQ29" s="70" t="n">
        <f aca="false">BP29+BQ28</f>
        <v>51513.52</v>
      </c>
      <c r="BR29" s="70" t="n">
        <f aca="false">BQ29+BR28</f>
        <v>51513.52</v>
      </c>
      <c r="BS29" s="70" t="n">
        <f aca="false">BR29+BS28</f>
        <v>119275.52</v>
      </c>
      <c r="BT29" s="70" t="n">
        <f aca="false">BS29+BT28</f>
        <v>119275.52</v>
      </c>
      <c r="BU29" s="70" t="n">
        <f aca="false">BT29+BU28</f>
        <v>119275.52</v>
      </c>
      <c r="BV29" s="70" t="n">
        <f aca="false">BU29+BV28</f>
        <v>187037.52</v>
      </c>
      <c r="BW29" s="70" t="n">
        <f aca="false">BV29+BW28</f>
        <v>187037.52</v>
      </c>
      <c r="BX29" s="70" t="n">
        <f aca="false">BW29+BX28</f>
        <v>187037.52</v>
      </c>
      <c r="BY29" s="70" t="n">
        <f aca="false">BX29+BY28</f>
        <v>254799.52</v>
      </c>
      <c r="BZ29" s="70" t="n">
        <f aca="false">BY29+BZ28</f>
        <v>254799.52</v>
      </c>
      <c r="CA29" s="70" t="n">
        <f aca="false">BZ29+CA28</f>
        <v>254799.52</v>
      </c>
      <c r="CB29" s="70" t="n">
        <f aca="false">CA29+CB28</f>
        <v>331298.52</v>
      </c>
      <c r="CC29" s="70" t="n">
        <f aca="false">CB29+CC28</f>
        <v>331298.52</v>
      </c>
      <c r="CD29" s="70" t="n">
        <f aca="false">CC29+CD28</f>
        <v>331298.52</v>
      </c>
      <c r="CE29" s="70" t="n">
        <f aca="false">CD29+CE28</f>
        <v>407797.52</v>
      </c>
      <c r="CF29" s="70" t="n">
        <f aca="false">CE29+CF28</f>
        <v>407797.52</v>
      </c>
      <c r="CG29" s="70" t="n">
        <f aca="false">CF29+CG28</f>
        <v>407797.52</v>
      </c>
      <c r="CH29" s="70" t="n">
        <f aca="false">CG29+CH28</f>
        <v>484296.52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8" t="s">
        <v>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</row>
    <row r="32" customFormat="false" ht="15" hidden="false" customHeight="true" outlineLevel="0" collapsed="false">
      <c r="A32" s="18" t="s">
        <v>209</v>
      </c>
      <c r="B32" s="3"/>
      <c r="C32" s="68" t="n">
        <f aca="false">Model!C60</f>
        <v>0</v>
      </c>
      <c r="D32" s="68" t="n">
        <f aca="false">Model!D60</f>
        <v>0</v>
      </c>
      <c r="E32" s="68" t="n">
        <f aca="false">Model!E60</f>
        <v>0</v>
      </c>
      <c r="F32" s="68" t="n">
        <f aca="false">Model!F60</f>
        <v>0</v>
      </c>
      <c r="G32" s="68" t="n">
        <f aca="false">Model!G60</f>
        <v>0</v>
      </c>
      <c r="H32" s="68" t="n">
        <f aca="false">Model!H60</f>
        <v>0</v>
      </c>
      <c r="I32" s="68" t="n">
        <f aca="false">Model!I60</f>
        <v>0</v>
      </c>
      <c r="J32" s="68" t="n">
        <f aca="false">Model!J60</f>
        <v>0</v>
      </c>
      <c r="K32" s="68" t="n">
        <f aca="false">Model!K60</f>
        <v>0</v>
      </c>
      <c r="L32" s="68" t="n">
        <f aca="false">Model!L60</f>
        <v>0</v>
      </c>
      <c r="M32" s="68" t="n">
        <f aca="false">Model!M60</f>
        <v>0</v>
      </c>
      <c r="N32" s="68" t="n">
        <f aca="false">Model!N60</f>
        <v>0</v>
      </c>
      <c r="O32" s="68" t="n">
        <f aca="false">Model!O60</f>
        <v>0</v>
      </c>
      <c r="P32" s="68" t="n">
        <f aca="false">Model!P60</f>
        <v>0</v>
      </c>
      <c r="Q32" s="68" t="n">
        <f aca="false">Model!Q60</f>
        <v>0</v>
      </c>
      <c r="R32" s="68" t="n">
        <f aca="false">Model!R60</f>
        <v>0</v>
      </c>
      <c r="S32" s="68" t="n">
        <f aca="false">Model!S60</f>
        <v>0</v>
      </c>
      <c r="T32" s="68" t="n">
        <f aca="false">Model!T60</f>
        <v>0</v>
      </c>
      <c r="U32" s="68" t="n">
        <f aca="false">Model!U60</f>
        <v>0</v>
      </c>
      <c r="V32" s="68" t="n">
        <f aca="false">Model!V60</f>
        <v>0</v>
      </c>
      <c r="W32" s="68" t="n">
        <f aca="false">Model!W60</f>
        <v>0</v>
      </c>
      <c r="X32" s="68" t="n">
        <f aca="false">Model!X60</f>
        <v>0</v>
      </c>
      <c r="Y32" s="68" t="n">
        <f aca="false">Model!Y60</f>
        <v>0</v>
      </c>
      <c r="Z32" s="68" t="n">
        <f aca="false">Model!Z60</f>
        <v>0</v>
      </c>
      <c r="AA32" s="68" t="n">
        <f aca="false">Model!AA60</f>
        <v>0</v>
      </c>
      <c r="AB32" s="68" t="n">
        <f aca="false">Model!AB60</f>
        <v>0</v>
      </c>
      <c r="AC32" s="68" t="n">
        <f aca="false">Model!AC60</f>
        <v>0</v>
      </c>
      <c r="AD32" s="68" t="n">
        <f aca="false">Model!AD60</f>
        <v>0</v>
      </c>
      <c r="AE32" s="68" t="n">
        <f aca="false">Model!AE60</f>
        <v>0</v>
      </c>
      <c r="AF32" s="68" t="n">
        <f aca="false">Model!AF60</f>
        <v>0</v>
      </c>
      <c r="AG32" s="68" t="n">
        <f aca="false">Model!AG60</f>
        <v>0</v>
      </c>
      <c r="AH32" s="68" t="n">
        <f aca="false">Model!AH60</f>
        <v>0</v>
      </c>
      <c r="AI32" s="68" t="n">
        <f aca="false">Model!AI60</f>
        <v>0</v>
      </c>
      <c r="AJ32" s="68" t="n">
        <f aca="false">Model!AJ60</f>
        <v>0</v>
      </c>
      <c r="AK32" s="68" t="n">
        <f aca="false">Model!AK60</f>
        <v>0</v>
      </c>
      <c r="AL32" s="68" t="n">
        <f aca="false">Model!AL60</f>
        <v>0</v>
      </c>
      <c r="AM32" s="68" t="n">
        <f aca="false">Model!AM60</f>
        <v>0</v>
      </c>
      <c r="AN32" s="68" t="n">
        <f aca="false">Model!AN60</f>
        <v>0</v>
      </c>
      <c r="AO32" s="68" t="n">
        <f aca="false">Model!AO60</f>
        <v>0</v>
      </c>
      <c r="AP32" s="68" t="n">
        <f aca="false">Model!AP60</f>
        <v>0</v>
      </c>
      <c r="AQ32" s="68" t="n">
        <f aca="false">Model!AQ60</f>
        <v>0</v>
      </c>
      <c r="AR32" s="68" t="n">
        <f aca="false">Model!AR60</f>
        <v>0</v>
      </c>
      <c r="AS32" s="68" t="n">
        <f aca="false">Model!AS60</f>
        <v>0</v>
      </c>
      <c r="AT32" s="68" t="n">
        <f aca="false">Model!AT60</f>
        <v>0</v>
      </c>
      <c r="AU32" s="68" t="n">
        <f aca="false">Model!AU60</f>
        <v>0</v>
      </c>
      <c r="AV32" s="68" t="n">
        <f aca="false">Model!AV60</f>
        <v>0</v>
      </c>
      <c r="AW32" s="68" t="n">
        <f aca="false">Model!AW60</f>
        <v>0</v>
      </c>
      <c r="AX32" s="68" t="n">
        <f aca="false">Model!AX60</f>
        <v>0</v>
      </c>
      <c r="AY32" s="68" t="n">
        <f aca="false">Model!AY60</f>
        <v>0</v>
      </c>
      <c r="AZ32" s="68" t="n">
        <f aca="false">Model!AZ60</f>
        <v>0</v>
      </c>
      <c r="BA32" s="68" t="n">
        <f aca="false">Model!BA60</f>
        <v>851839</v>
      </c>
      <c r="BB32" s="68" t="n">
        <f aca="false">Model!BB60</f>
        <v>0</v>
      </c>
      <c r="BC32" s="68" t="n">
        <f aca="false">Model!BC60</f>
        <v>0</v>
      </c>
      <c r="BD32" s="68" t="n">
        <f aca="false">Model!BD60</f>
        <v>71700</v>
      </c>
      <c r="BE32" s="68" t="n">
        <f aca="false">Model!BE60</f>
        <v>0</v>
      </c>
      <c r="BF32" s="68" t="n">
        <f aca="false">Model!BF60</f>
        <v>0</v>
      </c>
      <c r="BG32" s="68" t="n">
        <f aca="false">Model!BG60</f>
        <v>71700</v>
      </c>
      <c r="BH32" s="68" t="n">
        <f aca="false">Model!BH60</f>
        <v>0</v>
      </c>
      <c r="BI32" s="68" t="n">
        <f aca="false">Model!BI60</f>
        <v>0</v>
      </c>
      <c r="BJ32" s="68" t="n">
        <f aca="false">Model!BJ60</f>
        <v>71700</v>
      </c>
      <c r="BK32" s="68" t="n">
        <f aca="false">Model!BK60</f>
        <v>0</v>
      </c>
      <c r="BL32" s="68" t="n">
        <f aca="false">Model!BL60</f>
        <v>0</v>
      </c>
      <c r="BM32" s="68" t="n">
        <f aca="false">Model!BM60</f>
        <v>71700</v>
      </c>
      <c r="BN32" s="68" t="n">
        <f aca="false">Model!BN60</f>
        <v>0</v>
      </c>
      <c r="BO32" s="68" t="n">
        <f aca="false">Model!BO60</f>
        <v>0</v>
      </c>
      <c r="BP32" s="68" t="n">
        <f aca="false">Model!BP60</f>
        <v>74643</v>
      </c>
      <c r="BQ32" s="68" t="n">
        <f aca="false">Model!BQ60</f>
        <v>0</v>
      </c>
      <c r="BR32" s="68" t="n">
        <f aca="false">Model!BR60</f>
        <v>0</v>
      </c>
      <c r="BS32" s="68" t="n">
        <f aca="false">Model!BS60</f>
        <v>74640</v>
      </c>
      <c r="BT32" s="68" t="n">
        <f aca="false">Model!BT60</f>
        <v>0</v>
      </c>
      <c r="BU32" s="68" t="n">
        <f aca="false">Model!BU60</f>
        <v>0</v>
      </c>
      <c r="BV32" s="68" t="n">
        <f aca="false">Model!BV60</f>
        <v>74640</v>
      </c>
      <c r="BW32" s="68" t="n">
        <f aca="false">Model!BW60</f>
        <v>0</v>
      </c>
      <c r="BX32" s="68" t="n">
        <f aca="false">Model!BX60</f>
        <v>0</v>
      </c>
      <c r="BY32" s="68" t="n">
        <f aca="false">Model!BY60</f>
        <v>74640</v>
      </c>
      <c r="BZ32" s="68" t="n">
        <f aca="false">Model!BZ60</f>
        <v>0</v>
      </c>
      <c r="CA32" s="68" t="n">
        <f aca="false">Model!CA60</f>
        <v>0</v>
      </c>
      <c r="CB32" s="68" t="n">
        <f aca="false">Model!CB60</f>
        <v>81363</v>
      </c>
      <c r="CC32" s="68" t="n">
        <f aca="false">Model!CC60</f>
        <v>0</v>
      </c>
      <c r="CD32" s="68" t="n">
        <f aca="false">Model!CD60</f>
        <v>0</v>
      </c>
      <c r="CE32" s="68" t="n">
        <f aca="false">Model!CE60</f>
        <v>81362</v>
      </c>
      <c r="CF32" s="68" t="n">
        <f aca="false">Model!CF60</f>
        <v>0</v>
      </c>
      <c r="CG32" s="68" t="n">
        <f aca="false">Model!CG60</f>
        <v>0</v>
      </c>
      <c r="CH32" s="68" t="n">
        <f aca="false">Model!CH60</f>
        <v>81362</v>
      </c>
    </row>
    <row r="33" customFormat="false" ht="15" hidden="false" customHeight="true" outlineLevel="0" collapsed="false">
      <c r="A33" s="71" t="s">
        <v>213</v>
      </c>
      <c r="B33" s="3"/>
      <c r="C33" s="72" t="n">
        <f aca="false">Model!C82</f>
        <v>-0</v>
      </c>
      <c r="D33" s="72" t="n">
        <f aca="false">Model!D82</f>
        <v>-0</v>
      </c>
      <c r="E33" s="72" t="n">
        <f aca="false">Model!E82</f>
        <v>-0</v>
      </c>
      <c r="F33" s="72" t="n">
        <f aca="false">Model!F82</f>
        <v>-0</v>
      </c>
      <c r="G33" s="72" t="n">
        <f aca="false">Model!G82</f>
        <v>-0</v>
      </c>
      <c r="H33" s="72" t="n">
        <f aca="false">Model!H82</f>
        <v>-0</v>
      </c>
      <c r="I33" s="72" t="n">
        <f aca="false">Model!I82</f>
        <v>-0</v>
      </c>
      <c r="J33" s="72" t="n">
        <f aca="false">Model!J82</f>
        <v>-0</v>
      </c>
      <c r="K33" s="72" t="n">
        <f aca="false">Model!K82</f>
        <v>-0</v>
      </c>
      <c r="L33" s="72" t="n">
        <f aca="false">Model!L82</f>
        <v>-0</v>
      </c>
      <c r="M33" s="72" t="n">
        <f aca="false">Model!M82</f>
        <v>-0</v>
      </c>
      <c r="N33" s="72" t="n">
        <f aca="false">Model!N82</f>
        <v>-0</v>
      </c>
      <c r="O33" s="72" t="n">
        <f aca="false">Model!O82</f>
        <v>-0</v>
      </c>
      <c r="P33" s="72" t="n">
        <f aca="false">Model!P82</f>
        <v>-0</v>
      </c>
      <c r="Q33" s="72" t="n">
        <f aca="false">Model!Q82</f>
        <v>-0</v>
      </c>
      <c r="R33" s="72" t="n">
        <f aca="false">Model!R82</f>
        <v>-0</v>
      </c>
      <c r="S33" s="72" t="n">
        <f aca="false">Model!S82</f>
        <v>-0</v>
      </c>
      <c r="T33" s="72" t="n">
        <f aca="false">Model!T82</f>
        <v>-0</v>
      </c>
      <c r="U33" s="72" t="n">
        <f aca="false">Model!U82</f>
        <v>-0</v>
      </c>
      <c r="V33" s="72" t="n">
        <f aca="false">Model!V82</f>
        <v>-0</v>
      </c>
      <c r="W33" s="72" t="n">
        <f aca="false">Model!W82</f>
        <v>-0</v>
      </c>
      <c r="X33" s="72" t="n">
        <f aca="false">Model!X82</f>
        <v>-0</v>
      </c>
      <c r="Y33" s="72" t="n">
        <f aca="false">Model!Y82</f>
        <v>-0</v>
      </c>
      <c r="Z33" s="72" t="n">
        <f aca="false">Model!Z82</f>
        <v>-0</v>
      </c>
      <c r="AA33" s="72" t="n">
        <f aca="false">Model!AA82</f>
        <v>-0</v>
      </c>
      <c r="AB33" s="72" t="n">
        <f aca="false">Model!AB82</f>
        <v>-0</v>
      </c>
      <c r="AC33" s="72" t="n">
        <f aca="false">Model!AC82</f>
        <v>-0</v>
      </c>
      <c r="AD33" s="72" t="n">
        <f aca="false">Model!AD82</f>
        <v>-0</v>
      </c>
      <c r="AE33" s="72" t="n">
        <f aca="false">Model!AE82</f>
        <v>-0</v>
      </c>
      <c r="AF33" s="72" t="n">
        <f aca="false">Model!AF82</f>
        <v>-0</v>
      </c>
      <c r="AG33" s="72" t="n">
        <f aca="false">Model!AG82</f>
        <v>-0</v>
      </c>
      <c r="AH33" s="72" t="n">
        <f aca="false">Model!AH82</f>
        <v>-0</v>
      </c>
      <c r="AI33" s="72" t="n">
        <f aca="false">Model!AI82</f>
        <v>-0</v>
      </c>
      <c r="AJ33" s="72" t="n">
        <f aca="false">Model!AJ82</f>
        <v>-0</v>
      </c>
      <c r="AK33" s="72" t="n">
        <f aca="false">Model!AK82</f>
        <v>-0</v>
      </c>
      <c r="AL33" s="72" t="n">
        <f aca="false">Model!AL82</f>
        <v>-0</v>
      </c>
      <c r="AM33" s="72" t="n">
        <f aca="false">Model!AM82</f>
        <v>-0</v>
      </c>
      <c r="AN33" s="72" t="n">
        <f aca="false">Model!AN82</f>
        <v>-0</v>
      </c>
      <c r="AO33" s="72" t="n">
        <f aca="false">Model!AO82</f>
        <v>-0</v>
      </c>
      <c r="AP33" s="72" t="n">
        <f aca="false">Model!AP82</f>
        <v>-0</v>
      </c>
      <c r="AQ33" s="72" t="n">
        <f aca="false">Model!AQ82</f>
        <v>-0</v>
      </c>
      <c r="AR33" s="72" t="n">
        <f aca="false">Model!AR82</f>
        <v>-0</v>
      </c>
      <c r="AS33" s="72" t="n">
        <f aca="false">Model!AS82</f>
        <v>-0</v>
      </c>
      <c r="AT33" s="72" t="n">
        <f aca="false">Model!AT82</f>
        <v>-0</v>
      </c>
      <c r="AU33" s="72" t="n">
        <f aca="false">Model!AU82</f>
        <v>-0</v>
      </c>
      <c r="AV33" s="72" t="n">
        <f aca="false">Model!AV82</f>
        <v>-0</v>
      </c>
      <c r="AW33" s="72" t="n">
        <f aca="false">Model!AW82</f>
        <v>-0</v>
      </c>
      <c r="AX33" s="72" t="n">
        <f aca="false">Model!AX82</f>
        <v>-0</v>
      </c>
      <c r="AY33" s="72" t="n">
        <f aca="false">Model!AY82</f>
        <v>-0</v>
      </c>
      <c r="AZ33" s="72" t="n">
        <f aca="false">Model!AZ82</f>
        <v>-0</v>
      </c>
      <c r="BA33" s="72" t="n">
        <f aca="false">Model!BA82</f>
        <v>-851839</v>
      </c>
      <c r="BB33" s="72" t="n">
        <f aca="false">Model!BB82</f>
        <v>-0</v>
      </c>
      <c r="BC33" s="72" t="n">
        <f aca="false">Model!BC82</f>
        <v>-0</v>
      </c>
      <c r="BD33" s="72" t="n">
        <f aca="false">Model!BD82</f>
        <v>-71700</v>
      </c>
      <c r="BE33" s="72" t="n">
        <f aca="false">Model!BE82</f>
        <v>-0</v>
      </c>
      <c r="BF33" s="72" t="n">
        <f aca="false">Model!BF82</f>
        <v>-0</v>
      </c>
      <c r="BG33" s="72" t="n">
        <f aca="false">Model!BG82</f>
        <v>-71700</v>
      </c>
      <c r="BH33" s="72" t="n">
        <f aca="false">Model!BH82</f>
        <v>-0</v>
      </c>
      <c r="BI33" s="72" t="n">
        <f aca="false">Model!BI82</f>
        <v>-0</v>
      </c>
      <c r="BJ33" s="72" t="n">
        <f aca="false">Model!BJ82</f>
        <v>-71700</v>
      </c>
      <c r="BK33" s="72" t="n">
        <f aca="false">Model!BK82</f>
        <v>-0</v>
      </c>
      <c r="BL33" s="72" t="n">
        <f aca="false">Model!BL82</f>
        <v>-0</v>
      </c>
      <c r="BM33" s="72" t="n">
        <f aca="false">Model!BM82</f>
        <v>-71700</v>
      </c>
      <c r="BN33" s="72" t="n">
        <f aca="false">Model!BN82</f>
        <v>-0</v>
      </c>
      <c r="BO33" s="72" t="n">
        <f aca="false">Model!BO82</f>
        <v>-0</v>
      </c>
      <c r="BP33" s="72" t="n">
        <f aca="false">Model!BP82</f>
        <v>-74643</v>
      </c>
      <c r="BQ33" s="72" t="n">
        <f aca="false">Model!BQ82</f>
        <v>-0</v>
      </c>
      <c r="BR33" s="72" t="n">
        <f aca="false">Model!BR82</f>
        <v>-0</v>
      </c>
      <c r="BS33" s="72" t="n">
        <f aca="false">Model!BS82</f>
        <v>-74640</v>
      </c>
      <c r="BT33" s="72" t="n">
        <f aca="false">Model!BT82</f>
        <v>-0</v>
      </c>
      <c r="BU33" s="72" t="n">
        <f aca="false">Model!BU82</f>
        <v>-0</v>
      </c>
      <c r="BV33" s="72" t="n">
        <f aca="false">Model!BV82</f>
        <v>-74640</v>
      </c>
      <c r="BW33" s="72" t="n">
        <f aca="false">Model!BW82</f>
        <v>-0</v>
      </c>
      <c r="BX33" s="72" t="n">
        <f aca="false">Model!BX82</f>
        <v>-0</v>
      </c>
      <c r="BY33" s="72" t="n">
        <f aca="false">Model!BY82</f>
        <v>-74640</v>
      </c>
      <c r="BZ33" s="72" t="n">
        <f aca="false">Model!BZ82</f>
        <v>-0</v>
      </c>
      <c r="CA33" s="72" t="n">
        <f aca="false">Model!CA82</f>
        <v>-0</v>
      </c>
      <c r="CB33" s="72" t="n">
        <f aca="false">Model!CB82</f>
        <v>-81363</v>
      </c>
      <c r="CC33" s="72" t="n">
        <f aca="false">Model!CC82</f>
        <v>-0</v>
      </c>
      <c r="CD33" s="72" t="n">
        <f aca="false">Model!CD82</f>
        <v>-0</v>
      </c>
      <c r="CE33" s="72" t="n">
        <f aca="false">Model!CE82</f>
        <v>-81362</v>
      </c>
      <c r="CF33" s="72" t="n">
        <f aca="false">Model!CF82</f>
        <v>-0</v>
      </c>
      <c r="CG33" s="72" t="n">
        <f aca="false">Model!CG82</f>
        <v>-0</v>
      </c>
      <c r="CH33" s="72" t="n">
        <f aca="false">Model!CH82</f>
        <v>-74753.9733935208</v>
      </c>
    </row>
    <row r="34" customFormat="false" ht="15" hidden="false" customHeight="true" outlineLevel="0" collapsed="false">
      <c r="A34" s="71" t="s">
        <v>38</v>
      </c>
      <c r="B34" s="3"/>
      <c r="C34" s="72" t="n">
        <f aca="false">Model!C156</f>
        <v>0</v>
      </c>
      <c r="D34" s="72" t="n">
        <f aca="false">Model!D156</f>
        <v>0</v>
      </c>
      <c r="E34" s="72" t="n">
        <f aca="false">Model!E156</f>
        <v>0</v>
      </c>
      <c r="F34" s="72" t="n">
        <f aca="false">Model!F156</f>
        <v>0</v>
      </c>
      <c r="G34" s="72" t="n">
        <f aca="false">Model!G156</f>
        <v>0</v>
      </c>
      <c r="H34" s="72" t="n">
        <f aca="false">Model!H156</f>
        <v>0</v>
      </c>
      <c r="I34" s="72" t="n">
        <f aca="false">Model!I156</f>
        <v>0</v>
      </c>
      <c r="J34" s="72" t="n">
        <f aca="false">Model!J156</f>
        <v>0</v>
      </c>
      <c r="K34" s="72" t="n">
        <f aca="false">Model!K156</f>
        <v>0</v>
      </c>
      <c r="L34" s="72" t="n">
        <f aca="false">Model!L156</f>
        <v>0</v>
      </c>
      <c r="M34" s="72" t="n">
        <f aca="false">Model!M156</f>
        <v>0</v>
      </c>
      <c r="N34" s="72" t="n">
        <f aca="false">Model!N156</f>
        <v>0</v>
      </c>
      <c r="O34" s="72" t="n">
        <f aca="false">Model!O156</f>
        <v>0</v>
      </c>
      <c r="P34" s="72" t="n">
        <f aca="false">Model!P156</f>
        <v>0</v>
      </c>
      <c r="Q34" s="72" t="n">
        <f aca="false">Model!Q156</f>
        <v>0</v>
      </c>
      <c r="R34" s="72" t="n">
        <f aca="false">Model!R156</f>
        <v>0</v>
      </c>
      <c r="S34" s="72" t="n">
        <f aca="false">Model!S156</f>
        <v>0</v>
      </c>
      <c r="T34" s="72" t="n">
        <f aca="false">Model!T156</f>
        <v>0</v>
      </c>
      <c r="U34" s="72" t="n">
        <f aca="false">Model!U156</f>
        <v>0</v>
      </c>
      <c r="V34" s="72" t="n">
        <f aca="false">Model!V156</f>
        <v>0</v>
      </c>
      <c r="W34" s="72" t="n">
        <f aca="false">Model!W156</f>
        <v>0</v>
      </c>
      <c r="X34" s="72" t="n">
        <f aca="false">Model!X156</f>
        <v>0</v>
      </c>
      <c r="Y34" s="72" t="n">
        <f aca="false">Model!Y156</f>
        <v>0</v>
      </c>
      <c r="Z34" s="72" t="n">
        <f aca="false">Model!Z156</f>
        <v>0</v>
      </c>
      <c r="AA34" s="72" t="n">
        <f aca="false">Model!AA156</f>
        <v>0</v>
      </c>
      <c r="AB34" s="72" t="n">
        <f aca="false">Model!AB156</f>
        <v>0</v>
      </c>
      <c r="AC34" s="72" t="n">
        <f aca="false">Model!AC156</f>
        <v>0</v>
      </c>
      <c r="AD34" s="72" t="n">
        <f aca="false">Model!AD156</f>
        <v>0</v>
      </c>
      <c r="AE34" s="72" t="n">
        <f aca="false">Model!AE156</f>
        <v>0</v>
      </c>
      <c r="AF34" s="72" t="n">
        <f aca="false">Model!AF156</f>
        <v>0</v>
      </c>
      <c r="AG34" s="72" t="n">
        <f aca="false">Model!AG156</f>
        <v>0</v>
      </c>
      <c r="AH34" s="72" t="n">
        <f aca="false">Model!AH156</f>
        <v>0</v>
      </c>
      <c r="AI34" s="72" t="n">
        <f aca="false">Model!AI156</f>
        <v>0</v>
      </c>
      <c r="AJ34" s="72" t="n">
        <f aca="false">Model!AJ156</f>
        <v>0</v>
      </c>
      <c r="AK34" s="72" t="n">
        <f aca="false">Model!AK156</f>
        <v>0</v>
      </c>
      <c r="AL34" s="72" t="n">
        <f aca="false">Model!AL156</f>
        <v>0</v>
      </c>
      <c r="AM34" s="72" t="n">
        <f aca="false">Model!AM156</f>
        <v>0</v>
      </c>
      <c r="AN34" s="72" t="n">
        <f aca="false">Model!AN156</f>
        <v>0</v>
      </c>
      <c r="AO34" s="72" t="n">
        <f aca="false">Model!AO156</f>
        <v>0</v>
      </c>
      <c r="AP34" s="72" t="n">
        <f aca="false">Model!AP156</f>
        <v>0</v>
      </c>
      <c r="AQ34" s="72" t="n">
        <f aca="false">Model!AQ156</f>
        <v>0</v>
      </c>
      <c r="AR34" s="72" t="n">
        <f aca="false">Model!AR156</f>
        <v>0</v>
      </c>
      <c r="AS34" s="72" t="n">
        <f aca="false">Model!AS156</f>
        <v>0</v>
      </c>
      <c r="AT34" s="72" t="n">
        <f aca="false">Model!AT156</f>
        <v>0</v>
      </c>
      <c r="AU34" s="72" t="n">
        <f aca="false">Model!AU156</f>
        <v>0</v>
      </c>
      <c r="AV34" s="72" t="n">
        <f aca="false">Model!AV156</f>
        <v>0</v>
      </c>
      <c r="AW34" s="72" t="n">
        <f aca="false">Model!AW156</f>
        <v>0</v>
      </c>
      <c r="AX34" s="72" t="n">
        <f aca="false">Model!AX156</f>
        <v>0</v>
      </c>
      <c r="AY34" s="72" t="n">
        <f aca="false">Model!AY156</f>
        <v>0</v>
      </c>
      <c r="AZ34" s="72" t="n">
        <f aca="false">Model!AZ156</f>
        <v>0</v>
      </c>
      <c r="BA34" s="72" t="n">
        <f aca="false">Model!BA156</f>
        <v>0</v>
      </c>
      <c r="BB34" s="72" t="n">
        <f aca="false">Model!BB156</f>
        <v>0</v>
      </c>
      <c r="BC34" s="72" t="n">
        <f aca="false">Model!BC156</f>
        <v>0</v>
      </c>
      <c r="BD34" s="72" t="n">
        <f aca="false">Model!BD156</f>
        <v>0</v>
      </c>
      <c r="BE34" s="72" t="n">
        <f aca="false">Model!BE156</f>
        <v>0</v>
      </c>
      <c r="BF34" s="72" t="n">
        <f aca="false">Model!BF156</f>
        <v>0</v>
      </c>
      <c r="BG34" s="72" t="n">
        <f aca="false">Model!BG156</f>
        <v>0</v>
      </c>
      <c r="BH34" s="72" t="n">
        <f aca="false">Model!BH156</f>
        <v>0</v>
      </c>
      <c r="BI34" s="72" t="n">
        <f aca="false">Model!BI156</f>
        <v>0</v>
      </c>
      <c r="BJ34" s="72" t="n">
        <f aca="false">Model!BJ156</f>
        <v>0</v>
      </c>
      <c r="BK34" s="72" t="n">
        <f aca="false">Model!BK156</f>
        <v>0</v>
      </c>
      <c r="BL34" s="72" t="n">
        <f aca="false">Model!BL156</f>
        <v>0</v>
      </c>
      <c r="BM34" s="72" t="n">
        <f aca="false">Model!BM156</f>
        <v>0</v>
      </c>
      <c r="BN34" s="72" t="n">
        <f aca="false">Model!BN156</f>
        <v>0</v>
      </c>
      <c r="BO34" s="72" t="n">
        <f aca="false">Model!BO156</f>
        <v>0</v>
      </c>
      <c r="BP34" s="72" t="n">
        <f aca="false">Model!BP156</f>
        <v>0</v>
      </c>
      <c r="BQ34" s="72" t="n">
        <f aca="false">Model!BQ156</f>
        <v>0</v>
      </c>
      <c r="BR34" s="72" t="n">
        <f aca="false">Model!BR156</f>
        <v>0</v>
      </c>
      <c r="BS34" s="72" t="n">
        <f aca="false">Model!BS156</f>
        <v>0</v>
      </c>
      <c r="BT34" s="72" t="n">
        <f aca="false">Model!BT156</f>
        <v>0</v>
      </c>
      <c r="BU34" s="72" t="n">
        <f aca="false">Model!BU156</f>
        <v>0</v>
      </c>
      <c r="BV34" s="72" t="n">
        <f aca="false">Model!BV156</f>
        <v>0</v>
      </c>
      <c r="BW34" s="72" t="n">
        <f aca="false">Model!BW156</f>
        <v>0</v>
      </c>
      <c r="BX34" s="72" t="n">
        <f aca="false">Model!BX156</f>
        <v>0</v>
      </c>
      <c r="BY34" s="72" t="n">
        <f aca="false">Model!BY156</f>
        <v>0</v>
      </c>
      <c r="BZ34" s="72" t="n">
        <f aca="false">Model!BZ156</f>
        <v>0</v>
      </c>
      <c r="CA34" s="72" t="n">
        <f aca="false">Model!CA156</f>
        <v>0</v>
      </c>
      <c r="CB34" s="72" t="n">
        <f aca="false">Model!CB156</f>
        <v>0</v>
      </c>
      <c r="CC34" s="72" t="n">
        <f aca="false">Model!CC156</f>
        <v>0</v>
      </c>
      <c r="CD34" s="72" t="n">
        <f aca="false">Model!CD156</f>
        <v>0</v>
      </c>
      <c r="CE34" s="72" t="n">
        <f aca="false">Model!CE156</f>
        <v>0</v>
      </c>
      <c r="CF34" s="72" t="n">
        <f aca="false">Model!CF156</f>
        <v>0</v>
      </c>
      <c r="CG34" s="72" t="n">
        <f aca="false">Model!CG156</f>
        <v>0</v>
      </c>
      <c r="CH34" s="72" t="n">
        <f aca="false">Model!CH156</f>
        <v>0</v>
      </c>
    </row>
    <row r="35" customFormat="false" ht="15" hidden="false" customHeight="true" outlineLevel="0" collapsed="false">
      <c r="A35" s="30" t="s">
        <v>210</v>
      </c>
      <c r="B35" s="30"/>
      <c r="C35" s="69" t="n">
        <f aca="false">C32+C33+C34</f>
        <v>0</v>
      </c>
      <c r="D35" s="69" t="n">
        <f aca="false">D32+D33+D34</f>
        <v>0</v>
      </c>
      <c r="E35" s="69" t="n">
        <f aca="false">E32+E33+E34</f>
        <v>0</v>
      </c>
      <c r="F35" s="69" t="n">
        <f aca="false">F32+F33+F34</f>
        <v>0</v>
      </c>
      <c r="G35" s="69" t="n">
        <f aca="false">G32+G33+G34</f>
        <v>0</v>
      </c>
      <c r="H35" s="69" t="n">
        <f aca="false">H32+H33+H34</f>
        <v>0</v>
      </c>
      <c r="I35" s="69" t="n">
        <f aca="false">I32+I33+I34</f>
        <v>0</v>
      </c>
      <c r="J35" s="69" t="n">
        <f aca="false">J32+J33+J34</f>
        <v>0</v>
      </c>
      <c r="K35" s="69" t="n">
        <f aca="false">K32+K33+K34</f>
        <v>0</v>
      </c>
      <c r="L35" s="69" t="n">
        <f aca="false">L32+L33+L34</f>
        <v>0</v>
      </c>
      <c r="M35" s="69" t="n">
        <f aca="false">M32+M33+M34</f>
        <v>0</v>
      </c>
      <c r="N35" s="69" t="n">
        <f aca="false">N32+N33+N34</f>
        <v>0</v>
      </c>
      <c r="O35" s="69" t="n">
        <f aca="false">O32+O33+O34</f>
        <v>0</v>
      </c>
      <c r="P35" s="69" t="n">
        <f aca="false">P32+P33+P34</f>
        <v>0</v>
      </c>
      <c r="Q35" s="69" t="n">
        <f aca="false">Q32+Q33+Q34</f>
        <v>0</v>
      </c>
      <c r="R35" s="69" t="n">
        <f aca="false">R32+R33+R34</f>
        <v>0</v>
      </c>
      <c r="S35" s="69" t="n">
        <f aca="false">S32+S33+S34</f>
        <v>0</v>
      </c>
      <c r="T35" s="69" t="n">
        <f aca="false">T32+T33+T34</f>
        <v>0</v>
      </c>
      <c r="U35" s="69" t="n">
        <f aca="false">U32+U33+U34</f>
        <v>0</v>
      </c>
      <c r="V35" s="69" t="n">
        <f aca="false">V32+V33+V34</f>
        <v>0</v>
      </c>
      <c r="W35" s="69" t="n">
        <f aca="false">W32+W33+W34</f>
        <v>0</v>
      </c>
      <c r="X35" s="69" t="n">
        <f aca="false">X32+X33+X34</f>
        <v>0</v>
      </c>
      <c r="Y35" s="69" t="n">
        <f aca="false">Y32+Y33+Y34</f>
        <v>0</v>
      </c>
      <c r="Z35" s="69" t="n">
        <f aca="false">Z32+Z33+Z34</f>
        <v>0</v>
      </c>
      <c r="AA35" s="69" t="n">
        <f aca="false">AA32+AA33+AA34</f>
        <v>0</v>
      </c>
      <c r="AB35" s="69" t="n">
        <f aca="false">AB32+AB33+AB34</f>
        <v>0</v>
      </c>
      <c r="AC35" s="69" t="n">
        <f aca="false">AC32+AC33+AC34</f>
        <v>0</v>
      </c>
      <c r="AD35" s="69" t="n">
        <f aca="false">AD32+AD33+AD34</f>
        <v>0</v>
      </c>
      <c r="AE35" s="69" t="n">
        <f aca="false">AE32+AE33+AE34</f>
        <v>0</v>
      </c>
      <c r="AF35" s="69" t="n">
        <f aca="false">AF32+AF33+AF34</f>
        <v>0</v>
      </c>
      <c r="AG35" s="69" t="n">
        <f aca="false">AG32+AG33+AG34</f>
        <v>0</v>
      </c>
      <c r="AH35" s="69" t="n">
        <f aca="false">AH32+AH33+AH34</f>
        <v>0</v>
      </c>
      <c r="AI35" s="69" t="n">
        <f aca="false">AI32+AI33+AI34</f>
        <v>0</v>
      </c>
      <c r="AJ35" s="69" t="n">
        <f aca="false">AJ32+AJ33+AJ34</f>
        <v>0</v>
      </c>
      <c r="AK35" s="69" t="n">
        <f aca="false">AK32+AK33+AK34</f>
        <v>0</v>
      </c>
      <c r="AL35" s="69" t="n">
        <f aca="false">AL32+AL33+AL34</f>
        <v>0</v>
      </c>
      <c r="AM35" s="69" t="n">
        <f aca="false">AM32+AM33+AM34</f>
        <v>0</v>
      </c>
      <c r="AN35" s="69" t="n">
        <f aca="false">AN32+AN33+AN34</f>
        <v>0</v>
      </c>
      <c r="AO35" s="69" t="n">
        <f aca="false">AO32+AO33+AO34</f>
        <v>0</v>
      </c>
      <c r="AP35" s="69" t="n">
        <f aca="false">AP32+AP33+AP34</f>
        <v>0</v>
      </c>
      <c r="AQ35" s="69" t="n">
        <f aca="false">AQ32+AQ33+AQ34</f>
        <v>0</v>
      </c>
      <c r="AR35" s="69" t="n">
        <f aca="false">AR32+AR33+AR34</f>
        <v>0</v>
      </c>
      <c r="AS35" s="69" t="n">
        <f aca="false">AS32+AS33+AS34</f>
        <v>0</v>
      </c>
      <c r="AT35" s="69" t="n">
        <f aca="false">AT32+AT33+AT34</f>
        <v>0</v>
      </c>
      <c r="AU35" s="69" t="n">
        <f aca="false">AU32+AU33+AU34</f>
        <v>0</v>
      </c>
      <c r="AV35" s="69" t="n">
        <f aca="false">AV32+AV33+AV34</f>
        <v>0</v>
      </c>
      <c r="AW35" s="69" t="n">
        <f aca="false">AW32+AW33+AW34</f>
        <v>0</v>
      </c>
      <c r="AX35" s="69" t="n">
        <f aca="false">AX32+AX33+AX34</f>
        <v>0</v>
      </c>
      <c r="AY35" s="69" t="n">
        <f aca="false">AY32+AY33+AY34</f>
        <v>0</v>
      </c>
      <c r="AZ35" s="69" t="n">
        <f aca="false">AZ32+AZ33+AZ34</f>
        <v>0</v>
      </c>
      <c r="BA35" s="69" t="n">
        <f aca="false">BA32+BA33+BA34</f>
        <v>0</v>
      </c>
      <c r="BB35" s="69" t="n">
        <f aca="false">BB32+BB33+BB34</f>
        <v>0</v>
      </c>
      <c r="BC35" s="69" t="n">
        <f aca="false">BC32+BC33+BC34</f>
        <v>0</v>
      </c>
      <c r="BD35" s="69" t="n">
        <f aca="false">BD32+BD33+BD34</f>
        <v>0</v>
      </c>
      <c r="BE35" s="69" t="n">
        <f aca="false">BE32+BE33+BE34</f>
        <v>0</v>
      </c>
      <c r="BF35" s="69" t="n">
        <f aca="false">BF32+BF33+BF34</f>
        <v>0</v>
      </c>
      <c r="BG35" s="69" t="n">
        <f aca="false">BG32+BG33+BG34</f>
        <v>0</v>
      </c>
      <c r="BH35" s="69" t="n">
        <f aca="false">BH32+BH33+BH34</f>
        <v>0</v>
      </c>
      <c r="BI35" s="69" t="n">
        <f aca="false">BI32+BI33+BI34</f>
        <v>0</v>
      </c>
      <c r="BJ35" s="69" t="n">
        <f aca="false">BJ32+BJ33+BJ34</f>
        <v>0</v>
      </c>
      <c r="BK35" s="69" t="n">
        <f aca="false">BK32+BK33+BK34</f>
        <v>0</v>
      </c>
      <c r="BL35" s="69" t="n">
        <f aca="false">BL32+BL33+BL34</f>
        <v>0</v>
      </c>
      <c r="BM35" s="69" t="n">
        <f aca="false">BM32+BM33+BM34</f>
        <v>0</v>
      </c>
      <c r="BN35" s="69" t="n">
        <f aca="false">BN32+BN33+BN34</f>
        <v>0</v>
      </c>
      <c r="BO35" s="69" t="n">
        <f aca="false">BO32+BO33+BO34</f>
        <v>0</v>
      </c>
      <c r="BP35" s="69" t="n">
        <f aca="false">BP32+BP33+BP34</f>
        <v>0</v>
      </c>
      <c r="BQ35" s="69" t="n">
        <f aca="false">BQ32+BQ33+BQ34</f>
        <v>0</v>
      </c>
      <c r="BR35" s="69" t="n">
        <f aca="false">BR32+BR33+BR34</f>
        <v>0</v>
      </c>
      <c r="BS35" s="69" t="n">
        <f aca="false">BS32+BS33+BS34</f>
        <v>0</v>
      </c>
      <c r="BT35" s="69" t="n">
        <f aca="false">BT32+BT33+BT34</f>
        <v>0</v>
      </c>
      <c r="BU35" s="69" t="n">
        <f aca="false">BU32+BU33+BU34</f>
        <v>0</v>
      </c>
      <c r="BV35" s="69" t="n">
        <f aca="false">BV32+BV33+BV34</f>
        <v>0</v>
      </c>
      <c r="BW35" s="69" t="n">
        <f aca="false">BW32+BW33+BW34</f>
        <v>0</v>
      </c>
      <c r="BX35" s="69" t="n">
        <f aca="false">BX32+BX33+BX34</f>
        <v>0</v>
      </c>
      <c r="BY35" s="69" t="n">
        <f aca="false">BY32+BY33+BY34</f>
        <v>0</v>
      </c>
      <c r="BZ35" s="69" t="n">
        <f aca="false">BZ32+BZ33+BZ34</f>
        <v>0</v>
      </c>
      <c r="CA35" s="69" t="n">
        <f aca="false">CA32+CA33+CA34</f>
        <v>0</v>
      </c>
      <c r="CB35" s="69" t="n">
        <f aca="false">CB32+CB33+CB34</f>
        <v>0</v>
      </c>
      <c r="CC35" s="69" t="n">
        <f aca="false">CC32+CC33+CC34</f>
        <v>0</v>
      </c>
      <c r="CD35" s="69" t="n">
        <f aca="false">CD32+CD33+CD34</f>
        <v>0</v>
      </c>
      <c r="CE35" s="69" t="n">
        <f aca="false">CE32+CE33+CE34</f>
        <v>0</v>
      </c>
      <c r="CF35" s="69" t="n">
        <f aca="false">CF32+CF33+CF34</f>
        <v>0</v>
      </c>
      <c r="CG35" s="69" t="n">
        <f aca="false">CG32+CG33+CG34</f>
        <v>0</v>
      </c>
      <c r="CH35" s="69" t="n">
        <f aca="false">CH32+CH33+CH34</f>
        <v>6608.02660647922</v>
      </c>
    </row>
    <row r="36" customFormat="false" ht="15" hidden="false" customHeight="true" outlineLevel="0" collapsed="false">
      <c r="A36" s="62" t="s">
        <v>211</v>
      </c>
      <c r="B36" s="3"/>
      <c r="C36" s="70" t="n">
        <f aca="false">C35</f>
        <v>0</v>
      </c>
      <c r="D36" s="70" t="n">
        <f aca="false">C36+D35</f>
        <v>0</v>
      </c>
      <c r="E36" s="70" t="n">
        <f aca="false">D36+E35</f>
        <v>0</v>
      </c>
      <c r="F36" s="70" t="n">
        <f aca="false">E36+F35</f>
        <v>0</v>
      </c>
      <c r="G36" s="70" t="n">
        <f aca="false">F36+G35</f>
        <v>0</v>
      </c>
      <c r="H36" s="70" t="n">
        <f aca="false">G36+H35</f>
        <v>0</v>
      </c>
      <c r="I36" s="70" t="n">
        <f aca="false">H36+I35</f>
        <v>0</v>
      </c>
      <c r="J36" s="70" t="n">
        <f aca="false">I36+J35</f>
        <v>0</v>
      </c>
      <c r="K36" s="70" t="n">
        <f aca="false">J36+K35</f>
        <v>0</v>
      </c>
      <c r="L36" s="70" t="n">
        <f aca="false">K36+L35</f>
        <v>0</v>
      </c>
      <c r="M36" s="70" t="n">
        <f aca="false">L36+M35</f>
        <v>0</v>
      </c>
      <c r="N36" s="70" t="n">
        <f aca="false">M36+N35</f>
        <v>0</v>
      </c>
      <c r="O36" s="70" t="n">
        <f aca="false">N36+O35</f>
        <v>0</v>
      </c>
      <c r="P36" s="70" t="n">
        <f aca="false">O36+P35</f>
        <v>0</v>
      </c>
      <c r="Q36" s="70" t="n">
        <f aca="false">P36+Q35</f>
        <v>0</v>
      </c>
      <c r="R36" s="70" t="n">
        <f aca="false">Q36+R35</f>
        <v>0</v>
      </c>
      <c r="S36" s="70" t="n">
        <f aca="false">R36+S35</f>
        <v>0</v>
      </c>
      <c r="T36" s="70" t="n">
        <f aca="false">S36+T35</f>
        <v>0</v>
      </c>
      <c r="U36" s="70" t="n">
        <f aca="false">T36+U35</f>
        <v>0</v>
      </c>
      <c r="V36" s="70" t="n">
        <f aca="false">U36+V35</f>
        <v>0</v>
      </c>
      <c r="W36" s="70" t="n">
        <f aca="false">V36+W35</f>
        <v>0</v>
      </c>
      <c r="X36" s="70" t="n">
        <f aca="false">W36+X35</f>
        <v>0</v>
      </c>
      <c r="Y36" s="70" t="n">
        <f aca="false">X36+Y35</f>
        <v>0</v>
      </c>
      <c r="Z36" s="70" t="n">
        <f aca="false">Y36+Z35</f>
        <v>0</v>
      </c>
      <c r="AA36" s="70" t="n">
        <f aca="false">Z36+AA35</f>
        <v>0</v>
      </c>
      <c r="AB36" s="70" t="n">
        <f aca="false">AA36+AB35</f>
        <v>0</v>
      </c>
      <c r="AC36" s="70" t="n">
        <f aca="false">AB36+AC35</f>
        <v>0</v>
      </c>
      <c r="AD36" s="70" t="n">
        <f aca="false">AC36+AD35</f>
        <v>0</v>
      </c>
      <c r="AE36" s="70" t="n">
        <f aca="false">AD36+AE35</f>
        <v>0</v>
      </c>
      <c r="AF36" s="70" t="n">
        <f aca="false">AE36+AF35</f>
        <v>0</v>
      </c>
      <c r="AG36" s="70" t="n">
        <f aca="false">AF36+AG35</f>
        <v>0</v>
      </c>
      <c r="AH36" s="70" t="n">
        <f aca="false">AG36+AH35</f>
        <v>0</v>
      </c>
      <c r="AI36" s="70" t="n">
        <f aca="false">AH36+AI35</f>
        <v>0</v>
      </c>
      <c r="AJ36" s="70" t="n">
        <f aca="false">AI36+AJ35</f>
        <v>0</v>
      </c>
      <c r="AK36" s="70" t="n">
        <f aca="false">AJ36+AK35</f>
        <v>0</v>
      </c>
      <c r="AL36" s="70" t="n">
        <f aca="false">AK36+AL35</f>
        <v>0</v>
      </c>
      <c r="AM36" s="70" t="n">
        <f aca="false">AL36+AM35</f>
        <v>0</v>
      </c>
      <c r="AN36" s="70" t="n">
        <f aca="false">AM36+AN35</f>
        <v>0</v>
      </c>
      <c r="AO36" s="70" t="n">
        <f aca="false">AN36+AO35</f>
        <v>0</v>
      </c>
      <c r="AP36" s="70" t="n">
        <f aca="false">AO36+AP35</f>
        <v>0</v>
      </c>
      <c r="AQ36" s="70" t="n">
        <f aca="false">AP36+AQ35</f>
        <v>0</v>
      </c>
      <c r="AR36" s="70" t="n">
        <f aca="false">AQ36+AR35</f>
        <v>0</v>
      </c>
      <c r="AS36" s="70" t="n">
        <f aca="false">AR36+AS35</f>
        <v>0</v>
      </c>
      <c r="AT36" s="70" t="n">
        <f aca="false">AS36+AT35</f>
        <v>0</v>
      </c>
      <c r="AU36" s="70" t="n">
        <f aca="false">AT36+AU35</f>
        <v>0</v>
      </c>
      <c r="AV36" s="70" t="n">
        <f aca="false">AU36+AV35</f>
        <v>0</v>
      </c>
      <c r="AW36" s="70" t="n">
        <f aca="false">AV36+AW35</f>
        <v>0</v>
      </c>
      <c r="AX36" s="70" t="n">
        <f aca="false">AW36+AX35</f>
        <v>0</v>
      </c>
      <c r="AY36" s="70" t="n">
        <f aca="false">AX36+AY35</f>
        <v>0</v>
      </c>
      <c r="AZ36" s="70" t="n">
        <f aca="false">AY36+AZ35</f>
        <v>0</v>
      </c>
      <c r="BA36" s="70" t="n">
        <f aca="false">AZ36+BA35</f>
        <v>0</v>
      </c>
      <c r="BB36" s="70" t="n">
        <f aca="false">BA36+BB35</f>
        <v>0</v>
      </c>
      <c r="BC36" s="70" t="n">
        <f aca="false">BB36+BC35</f>
        <v>0</v>
      </c>
      <c r="BD36" s="70" t="n">
        <f aca="false">BC36+BD35</f>
        <v>0</v>
      </c>
      <c r="BE36" s="70" t="n">
        <f aca="false">BD36+BE35</f>
        <v>0</v>
      </c>
      <c r="BF36" s="70" t="n">
        <f aca="false">BE36+BF35</f>
        <v>0</v>
      </c>
      <c r="BG36" s="70" t="n">
        <f aca="false">BF36+BG35</f>
        <v>0</v>
      </c>
      <c r="BH36" s="70" t="n">
        <f aca="false">BG36+BH35</f>
        <v>0</v>
      </c>
      <c r="BI36" s="70" t="n">
        <f aca="false">BH36+BI35</f>
        <v>0</v>
      </c>
      <c r="BJ36" s="70" t="n">
        <f aca="false">BI36+BJ35</f>
        <v>0</v>
      </c>
      <c r="BK36" s="70" t="n">
        <f aca="false">BJ36+BK35</f>
        <v>0</v>
      </c>
      <c r="BL36" s="70" t="n">
        <f aca="false">BK36+BL35</f>
        <v>0</v>
      </c>
      <c r="BM36" s="70" t="n">
        <f aca="false">BL36+BM35</f>
        <v>0</v>
      </c>
      <c r="BN36" s="70" t="n">
        <f aca="false">BM36+BN35</f>
        <v>0</v>
      </c>
      <c r="BO36" s="70" t="n">
        <f aca="false">BN36+BO35</f>
        <v>0</v>
      </c>
      <c r="BP36" s="70" t="n">
        <f aca="false">BO36+BP35</f>
        <v>0</v>
      </c>
      <c r="BQ36" s="70" t="n">
        <f aca="false">BP36+BQ35</f>
        <v>0</v>
      </c>
      <c r="BR36" s="70" t="n">
        <f aca="false">BQ36+BR35</f>
        <v>0</v>
      </c>
      <c r="BS36" s="70" t="n">
        <f aca="false">BR36+BS35</f>
        <v>0</v>
      </c>
      <c r="BT36" s="70" t="n">
        <f aca="false">BS36+BT35</f>
        <v>0</v>
      </c>
      <c r="BU36" s="70" t="n">
        <f aca="false">BT36+BU35</f>
        <v>0</v>
      </c>
      <c r="BV36" s="70" t="n">
        <f aca="false">BU36+BV35</f>
        <v>0</v>
      </c>
      <c r="BW36" s="70" t="n">
        <f aca="false">BV36+BW35</f>
        <v>0</v>
      </c>
      <c r="BX36" s="70" t="n">
        <f aca="false">BW36+BX35</f>
        <v>0</v>
      </c>
      <c r="BY36" s="70" t="n">
        <f aca="false">BX36+BY35</f>
        <v>0</v>
      </c>
      <c r="BZ36" s="70" t="n">
        <f aca="false">BY36+BZ35</f>
        <v>0</v>
      </c>
      <c r="CA36" s="70" t="n">
        <f aca="false">BZ36+CA35</f>
        <v>0</v>
      </c>
      <c r="CB36" s="70" t="n">
        <f aca="false">CA36+CB35</f>
        <v>0</v>
      </c>
      <c r="CC36" s="70" t="n">
        <f aca="false">CB36+CC35</f>
        <v>0</v>
      </c>
      <c r="CD36" s="70" t="n">
        <f aca="false">CC36+CD35</f>
        <v>0</v>
      </c>
      <c r="CE36" s="70" t="n">
        <f aca="false">CD36+CE35</f>
        <v>0</v>
      </c>
      <c r="CF36" s="70" t="n">
        <f aca="false">CE36+CF35</f>
        <v>0</v>
      </c>
      <c r="CG36" s="70" t="n">
        <f aca="false">CF36+CG35</f>
        <v>0</v>
      </c>
      <c r="CH36" s="70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8" t="s">
        <v>57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</row>
    <row r="39" customFormat="false" ht="15" hidden="false" customHeight="true" outlineLevel="0" collapsed="false">
      <c r="A39" s="18" t="s">
        <v>209</v>
      </c>
      <c r="B39" s="3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8" t="n">
        <v>0</v>
      </c>
      <c r="P39" s="68" t="n">
        <v>0</v>
      </c>
      <c r="Q39" s="68" t="n">
        <v>0</v>
      </c>
      <c r="R39" s="68" t="n">
        <v>0</v>
      </c>
      <c r="S39" s="68" t="n">
        <v>0</v>
      </c>
      <c r="T39" s="68" t="n">
        <v>0</v>
      </c>
      <c r="U39" s="68" t="n">
        <v>0</v>
      </c>
      <c r="V39" s="68" t="n">
        <v>0</v>
      </c>
      <c r="W39" s="68" t="n">
        <v>0</v>
      </c>
      <c r="X39" s="68" t="n">
        <v>0</v>
      </c>
      <c r="Y39" s="68" t="n">
        <v>0</v>
      </c>
      <c r="Z39" s="68" t="n">
        <v>0</v>
      </c>
      <c r="AA39" s="68" t="n">
        <v>0</v>
      </c>
      <c r="AB39" s="68" t="n">
        <v>0</v>
      </c>
      <c r="AC39" s="68" t="n">
        <v>0</v>
      </c>
      <c r="AD39" s="68" t="n">
        <v>0</v>
      </c>
      <c r="AE39" s="68" t="n">
        <v>0</v>
      </c>
      <c r="AF39" s="68" t="n">
        <v>0</v>
      </c>
      <c r="AG39" s="68" t="n">
        <v>0</v>
      </c>
      <c r="AH39" s="68" t="n">
        <v>0</v>
      </c>
      <c r="AI39" s="68" t="n">
        <v>0</v>
      </c>
      <c r="AJ39" s="68" t="n">
        <v>0</v>
      </c>
      <c r="AK39" s="68" t="n">
        <v>0</v>
      </c>
      <c r="AL39" s="68" t="n">
        <v>0</v>
      </c>
      <c r="AM39" s="68" t="n">
        <v>0</v>
      </c>
      <c r="AN39" s="68" t="n">
        <v>0</v>
      </c>
      <c r="AO39" s="68" t="n">
        <v>0</v>
      </c>
      <c r="AP39" s="68" t="n">
        <v>0</v>
      </c>
      <c r="AQ39" s="68" t="n">
        <v>0</v>
      </c>
      <c r="AR39" s="68" t="n">
        <v>0</v>
      </c>
      <c r="AS39" s="68" t="n">
        <v>0</v>
      </c>
      <c r="AT39" s="68" t="n">
        <v>0</v>
      </c>
      <c r="AU39" s="68" t="n">
        <v>0</v>
      </c>
      <c r="AV39" s="68" t="n">
        <v>0</v>
      </c>
      <c r="AW39" s="68" t="n">
        <v>0</v>
      </c>
      <c r="AX39" s="68" t="n">
        <v>0</v>
      </c>
      <c r="AY39" s="68" t="n">
        <v>0</v>
      </c>
      <c r="AZ39" s="68" t="n">
        <v>0</v>
      </c>
      <c r="BA39" s="68" t="n">
        <v>0</v>
      </c>
      <c r="BB39" s="68" t="n">
        <v>0</v>
      </c>
      <c r="BC39" s="68" t="n">
        <v>0</v>
      </c>
      <c r="BD39" s="68" t="n">
        <v>0</v>
      </c>
      <c r="BE39" s="68" t="n">
        <v>0</v>
      </c>
      <c r="BF39" s="68" t="n">
        <v>0</v>
      </c>
      <c r="BG39" s="68" t="n">
        <v>0</v>
      </c>
      <c r="BH39" s="68" t="n">
        <v>0</v>
      </c>
      <c r="BI39" s="68" t="n">
        <v>0</v>
      </c>
      <c r="BJ39" s="68" t="n">
        <v>0</v>
      </c>
      <c r="BK39" s="68" t="n">
        <v>0</v>
      </c>
      <c r="BL39" s="68" t="n">
        <v>0</v>
      </c>
      <c r="BM39" s="68" t="n">
        <v>0</v>
      </c>
      <c r="BN39" s="68" t="n">
        <v>0</v>
      </c>
      <c r="BO39" s="68" t="n">
        <v>0</v>
      </c>
      <c r="BP39" s="68" t="n">
        <v>0</v>
      </c>
      <c r="BQ39" s="68" t="n">
        <v>0</v>
      </c>
      <c r="BR39" s="68" t="n">
        <v>0</v>
      </c>
      <c r="BS39" s="68" t="n">
        <v>0</v>
      </c>
      <c r="BT39" s="68" t="n">
        <v>0</v>
      </c>
      <c r="BU39" s="68" t="n">
        <v>0</v>
      </c>
      <c r="BV39" s="68" t="n">
        <v>0</v>
      </c>
      <c r="BW39" s="68" t="n">
        <v>0</v>
      </c>
      <c r="BX39" s="68" t="n">
        <v>0</v>
      </c>
      <c r="BY39" s="68" t="n">
        <v>0</v>
      </c>
      <c r="BZ39" s="68" t="n">
        <v>0</v>
      </c>
      <c r="CA39" s="68" t="n">
        <v>0</v>
      </c>
      <c r="CB39" s="68" t="n">
        <v>0</v>
      </c>
      <c r="CC39" s="68" t="n">
        <v>0</v>
      </c>
      <c r="CD39" s="68" t="n">
        <v>0</v>
      </c>
      <c r="CE39" s="68" t="n">
        <v>0</v>
      </c>
      <c r="CF39" s="68" t="n">
        <v>0</v>
      </c>
      <c r="CG39" s="68" t="n">
        <v>0</v>
      </c>
      <c r="CH39" s="68" t="n">
        <v>0</v>
      </c>
    </row>
    <row r="40" customFormat="false" ht="15" hidden="false" customHeight="true" outlineLevel="0" collapsed="false">
      <c r="A40" s="71" t="s">
        <v>213</v>
      </c>
      <c r="B40" s="3"/>
      <c r="C40" s="72" t="n">
        <f aca="false">Model!C83</f>
        <v>-0</v>
      </c>
      <c r="D40" s="72" t="n">
        <f aca="false">Model!D83</f>
        <v>-0</v>
      </c>
      <c r="E40" s="72" t="n">
        <f aca="false">Model!E83</f>
        <v>-0</v>
      </c>
      <c r="F40" s="72" t="n">
        <f aca="false">Model!F83</f>
        <v>-0</v>
      </c>
      <c r="G40" s="72" t="n">
        <f aca="false">Model!G83</f>
        <v>-0</v>
      </c>
      <c r="H40" s="72" t="n">
        <f aca="false">Model!H83</f>
        <v>-0</v>
      </c>
      <c r="I40" s="72" t="n">
        <f aca="false">Model!I83</f>
        <v>-0</v>
      </c>
      <c r="J40" s="72" t="n">
        <f aca="false">Model!J83</f>
        <v>-0</v>
      </c>
      <c r="K40" s="72" t="n">
        <f aca="false">Model!K83</f>
        <v>-0</v>
      </c>
      <c r="L40" s="72" t="n">
        <f aca="false">Model!L83</f>
        <v>-0</v>
      </c>
      <c r="M40" s="72" t="n">
        <f aca="false">Model!M83</f>
        <v>-0</v>
      </c>
      <c r="N40" s="72" t="n">
        <f aca="false">Model!N83</f>
        <v>-0</v>
      </c>
      <c r="O40" s="72" t="n">
        <f aca="false">Model!O83</f>
        <v>-0</v>
      </c>
      <c r="P40" s="72" t="n">
        <f aca="false">Model!P83</f>
        <v>-0</v>
      </c>
      <c r="Q40" s="72" t="n">
        <f aca="false">Model!Q83</f>
        <v>-0</v>
      </c>
      <c r="R40" s="72" t="n">
        <f aca="false">Model!R83</f>
        <v>-0</v>
      </c>
      <c r="S40" s="72" t="n">
        <f aca="false">Model!S83</f>
        <v>-0</v>
      </c>
      <c r="T40" s="72" t="n">
        <f aca="false">Model!T83</f>
        <v>-0</v>
      </c>
      <c r="U40" s="72" t="n">
        <f aca="false">Model!U83</f>
        <v>-0</v>
      </c>
      <c r="V40" s="72" t="n">
        <f aca="false">Model!V83</f>
        <v>-0</v>
      </c>
      <c r="W40" s="72" t="n">
        <f aca="false">Model!W83</f>
        <v>-0</v>
      </c>
      <c r="X40" s="72" t="n">
        <f aca="false">Model!X83</f>
        <v>-0</v>
      </c>
      <c r="Y40" s="72" t="n">
        <f aca="false">Model!Y83</f>
        <v>-0</v>
      </c>
      <c r="Z40" s="72" t="n">
        <f aca="false">Model!Z83</f>
        <v>-0</v>
      </c>
      <c r="AA40" s="72" t="n">
        <f aca="false">Model!AA83</f>
        <v>-0</v>
      </c>
      <c r="AB40" s="72" t="n">
        <f aca="false">Model!AB83</f>
        <v>-0</v>
      </c>
      <c r="AC40" s="72" t="n">
        <f aca="false">Model!AC83</f>
        <v>-0</v>
      </c>
      <c r="AD40" s="72" t="n">
        <f aca="false">Model!AD83</f>
        <v>-0</v>
      </c>
      <c r="AE40" s="72" t="n">
        <f aca="false">Model!AE83</f>
        <v>-0</v>
      </c>
      <c r="AF40" s="72" t="n">
        <f aca="false">Model!AF83</f>
        <v>-0</v>
      </c>
      <c r="AG40" s="72" t="n">
        <f aca="false">Model!AG83</f>
        <v>-0</v>
      </c>
      <c r="AH40" s="72" t="n">
        <f aca="false">Model!AH83</f>
        <v>-0</v>
      </c>
      <c r="AI40" s="72" t="n">
        <f aca="false">Model!AI83</f>
        <v>-0</v>
      </c>
      <c r="AJ40" s="72" t="n">
        <f aca="false">Model!AJ83</f>
        <v>-0</v>
      </c>
      <c r="AK40" s="72" t="n">
        <f aca="false">Model!AK83</f>
        <v>-0</v>
      </c>
      <c r="AL40" s="72" t="n">
        <f aca="false">Model!AL83</f>
        <v>-0</v>
      </c>
      <c r="AM40" s="72" t="n">
        <f aca="false">Model!AM83</f>
        <v>-0</v>
      </c>
      <c r="AN40" s="72" t="n">
        <f aca="false">Model!AN83</f>
        <v>-0</v>
      </c>
      <c r="AO40" s="72" t="n">
        <f aca="false">Model!AO83</f>
        <v>-0</v>
      </c>
      <c r="AP40" s="72" t="n">
        <f aca="false">Model!AP83</f>
        <v>-0</v>
      </c>
      <c r="AQ40" s="72" t="n">
        <f aca="false">Model!AQ83</f>
        <v>-0</v>
      </c>
      <c r="AR40" s="72" t="n">
        <f aca="false">Model!AR83</f>
        <v>-0</v>
      </c>
      <c r="AS40" s="72" t="n">
        <f aca="false">Model!AS83</f>
        <v>-0</v>
      </c>
      <c r="AT40" s="72" t="n">
        <f aca="false">Model!AT83</f>
        <v>-0</v>
      </c>
      <c r="AU40" s="72" t="n">
        <f aca="false">Model!AU83</f>
        <v>-0</v>
      </c>
      <c r="AV40" s="72" t="n">
        <f aca="false">Model!AV83</f>
        <v>-0</v>
      </c>
      <c r="AW40" s="72" t="n">
        <f aca="false">Model!AW83</f>
        <v>-0</v>
      </c>
      <c r="AX40" s="72" t="n">
        <f aca="false">Model!AX83</f>
        <v>-0</v>
      </c>
      <c r="AY40" s="72" t="n">
        <f aca="false">Model!AY83</f>
        <v>-0</v>
      </c>
      <c r="AZ40" s="72" t="n">
        <f aca="false">Model!AZ83</f>
        <v>-0</v>
      </c>
      <c r="BA40" s="72" t="n">
        <f aca="false">Model!BA83</f>
        <v>-0</v>
      </c>
      <c r="BB40" s="72" t="n">
        <f aca="false">Model!BB83</f>
        <v>-0</v>
      </c>
      <c r="BC40" s="72" t="n">
        <f aca="false">Model!BC83</f>
        <v>-0</v>
      </c>
      <c r="BD40" s="72" t="n">
        <f aca="false">Model!BD83</f>
        <v>-0</v>
      </c>
      <c r="BE40" s="72" t="n">
        <f aca="false">Model!BE83</f>
        <v>-0</v>
      </c>
      <c r="BF40" s="72" t="n">
        <f aca="false">Model!BF83</f>
        <v>-0</v>
      </c>
      <c r="BG40" s="72" t="n">
        <f aca="false">Model!BG83</f>
        <v>-0</v>
      </c>
      <c r="BH40" s="72" t="n">
        <f aca="false">Model!BH83</f>
        <v>-0</v>
      </c>
      <c r="BI40" s="72" t="n">
        <f aca="false">Model!BI83</f>
        <v>-0</v>
      </c>
      <c r="BJ40" s="72" t="n">
        <f aca="false">Model!BJ83</f>
        <v>-0</v>
      </c>
      <c r="BK40" s="72" t="n">
        <f aca="false">Model!BK83</f>
        <v>-0</v>
      </c>
      <c r="BL40" s="72" t="n">
        <f aca="false">Model!BL83</f>
        <v>-0</v>
      </c>
      <c r="BM40" s="72" t="n">
        <f aca="false">Model!BM83</f>
        <v>-0</v>
      </c>
      <c r="BN40" s="72" t="n">
        <f aca="false">Model!BN83</f>
        <v>-0</v>
      </c>
      <c r="BO40" s="72" t="n">
        <f aca="false">Model!BO83</f>
        <v>-0</v>
      </c>
      <c r="BP40" s="72" t="n">
        <f aca="false">Model!BP83</f>
        <v>-0</v>
      </c>
      <c r="BQ40" s="72" t="n">
        <f aca="false">Model!BQ83</f>
        <v>-0</v>
      </c>
      <c r="BR40" s="72" t="n">
        <f aca="false">Model!BR83</f>
        <v>-0</v>
      </c>
      <c r="BS40" s="72" t="n">
        <f aca="false">Model!BS83</f>
        <v>-0</v>
      </c>
      <c r="BT40" s="72" t="n">
        <f aca="false">Model!BT83</f>
        <v>-0</v>
      </c>
      <c r="BU40" s="72" t="n">
        <f aca="false">Model!BU83</f>
        <v>-0</v>
      </c>
      <c r="BV40" s="72" t="n">
        <f aca="false">Model!BV83</f>
        <v>-0</v>
      </c>
      <c r="BW40" s="72" t="n">
        <f aca="false">Model!BW83</f>
        <v>-0</v>
      </c>
      <c r="BX40" s="72" t="n">
        <f aca="false">Model!BX83</f>
        <v>-0</v>
      </c>
      <c r="BY40" s="72" t="n">
        <f aca="false">Model!BY83</f>
        <v>-73156</v>
      </c>
      <c r="BZ40" s="72" t="n">
        <f aca="false">Model!BZ83</f>
        <v>-0</v>
      </c>
      <c r="CA40" s="72" t="n">
        <f aca="false">Model!CA83</f>
        <v>-0</v>
      </c>
      <c r="CB40" s="72" t="n">
        <f aca="false">Model!CB83</f>
        <v>-73155</v>
      </c>
      <c r="CC40" s="72" t="n">
        <f aca="false">Model!CC83</f>
        <v>-0</v>
      </c>
      <c r="CD40" s="72" t="n">
        <f aca="false">Model!CD83</f>
        <v>-0</v>
      </c>
      <c r="CE40" s="72" t="n">
        <f aca="false">Model!CE83</f>
        <v>-73155</v>
      </c>
      <c r="CF40" s="72" t="n">
        <f aca="false">Model!CF83</f>
        <v>-0</v>
      </c>
      <c r="CG40" s="72" t="n">
        <f aca="false">Model!CG83</f>
        <v>-0</v>
      </c>
      <c r="CH40" s="72" t="n">
        <f aca="false">Model!CH83</f>
        <v>-73155</v>
      </c>
    </row>
    <row r="41" customFormat="false" ht="15" hidden="false" customHeight="true" outlineLevel="0" collapsed="false">
      <c r="A41" s="30" t="s">
        <v>210</v>
      </c>
      <c r="B41" s="30"/>
      <c r="C41" s="69" t="n">
        <f aca="false">C39+C40</f>
        <v>0</v>
      </c>
      <c r="D41" s="69" t="n">
        <f aca="false">D39+D40</f>
        <v>0</v>
      </c>
      <c r="E41" s="69" t="n">
        <f aca="false">E39+E40</f>
        <v>0</v>
      </c>
      <c r="F41" s="69" t="n">
        <f aca="false">F39+F40</f>
        <v>0</v>
      </c>
      <c r="G41" s="69" t="n">
        <f aca="false">G39+G40</f>
        <v>0</v>
      </c>
      <c r="H41" s="69" t="n">
        <f aca="false">H39+H40</f>
        <v>0</v>
      </c>
      <c r="I41" s="69" t="n">
        <f aca="false">I39+I40</f>
        <v>0</v>
      </c>
      <c r="J41" s="69" t="n">
        <f aca="false">J39+J40</f>
        <v>0</v>
      </c>
      <c r="K41" s="69" t="n">
        <f aca="false">K39+K40</f>
        <v>0</v>
      </c>
      <c r="L41" s="69" t="n">
        <f aca="false">L39+L40</f>
        <v>0</v>
      </c>
      <c r="M41" s="69" t="n">
        <f aca="false">M39+M40</f>
        <v>0</v>
      </c>
      <c r="N41" s="69" t="n">
        <f aca="false">N39+N40</f>
        <v>0</v>
      </c>
      <c r="O41" s="69" t="n">
        <f aca="false">O39+O40</f>
        <v>0</v>
      </c>
      <c r="P41" s="69" t="n">
        <f aca="false">P39+P40</f>
        <v>0</v>
      </c>
      <c r="Q41" s="69" t="n">
        <f aca="false">Q39+Q40</f>
        <v>0</v>
      </c>
      <c r="R41" s="69" t="n">
        <f aca="false">R39+R40</f>
        <v>0</v>
      </c>
      <c r="S41" s="69" t="n">
        <f aca="false">S39+S40</f>
        <v>0</v>
      </c>
      <c r="T41" s="69" t="n">
        <f aca="false">T39+T40</f>
        <v>0</v>
      </c>
      <c r="U41" s="69" t="n">
        <f aca="false">U39+U40</f>
        <v>0</v>
      </c>
      <c r="V41" s="69" t="n">
        <f aca="false">V39+V40</f>
        <v>0</v>
      </c>
      <c r="W41" s="69" t="n">
        <f aca="false">W39+W40</f>
        <v>0</v>
      </c>
      <c r="X41" s="69" t="n">
        <f aca="false">X39+X40</f>
        <v>0</v>
      </c>
      <c r="Y41" s="69" t="n">
        <f aca="false">Y39+Y40</f>
        <v>0</v>
      </c>
      <c r="Z41" s="69" t="n">
        <f aca="false">Z39+Z40</f>
        <v>0</v>
      </c>
      <c r="AA41" s="69" t="n">
        <f aca="false">AA39+AA40</f>
        <v>0</v>
      </c>
      <c r="AB41" s="69" t="n">
        <f aca="false">AB39+AB40</f>
        <v>0</v>
      </c>
      <c r="AC41" s="69" t="n">
        <f aca="false">AC39+AC40</f>
        <v>0</v>
      </c>
      <c r="AD41" s="69" t="n">
        <f aca="false">AD39+AD40</f>
        <v>0</v>
      </c>
      <c r="AE41" s="69" t="n">
        <f aca="false">AE39+AE40</f>
        <v>0</v>
      </c>
      <c r="AF41" s="69" t="n">
        <f aca="false">AF39+AF40</f>
        <v>0</v>
      </c>
      <c r="AG41" s="69" t="n">
        <f aca="false">AG39+AG40</f>
        <v>0</v>
      </c>
      <c r="AH41" s="69" t="n">
        <f aca="false">AH39+AH40</f>
        <v>0</v>
      </c>
      <c r="AI41" s="69" t="n">
        <f aca="false">AI39+AI40</f>
        <v>0</v>
      </c>
      <c r="AJ41" s="69" t="n">
        <f aca="false">AJ39+AJ40</f>
        <v>0</v>
      </c>
      <c r="AK41" s="69" t="n">
        <f aca="false">AK39+AK40</f>
        <v>0</v>
      </c>
      <c r="AL41" s="69" t="n">
        <f aca="false">AL39+AL40</f>
        <v>0</v>
      </c>
      <c r="AM41" s="69" t="n">
        <f aca="false">AM39+AM40</f>
        <v>0</v>
      </c>
      <c r="AN41" s="69" t="n">
        <f aca="false">AN39+AN40</f>
        <v>0</v>
      </c>
      <c r="AO41" s="69" t="n">
        <f aca="false">AO39+AO40</f>
        <v>0</v>
      </c>
      <c r="AP41" s="69" t="n">
        <f aca="false">AP39+AP40</f>
        <v>0</v>
      </c>
      <c r="AQ41" s="69" t="n">
        <f aca="false">AQ39+AQ40</f>
        <v>0</v>
      </c>
      <c r="AR41" s="69" t="n">
        <f aca="false">AR39+AR40</f>
        <v>0</v>
      </c>
      <c r="AS41" s="69" t="n">
        <f aca="false">AS39+AS40</f>
        <v>0</v>
      </c>
      <c r="AT41" s="69" t="n">
        <f aca="false">AT39+AT40</f>
        <v>0</v>
      </c>
      <c r="AU41" s="69" t="n">
        <f aca="false">AU39+AU40</f>
        <v>0</v>
      </c>
      <c r="AV41" s="69" t="n">
        <f aca="false">AV39+AV40</f>
        <v>0</v>
      </c>
      <c r="AW41" s="69" t="n">
        <f aca="false">AW39+AW40</f>
        <v>0</v>
      </c>
      <c r="AX41" s="69" t="n">
        <f aca="false">AX39+AX40</f>
        <v>0</v>
      </c>
      <c r="AY41" s="69" t="n">
        <f aca="false">AY39+AY40</f>
        <v>0</v>
      </c>
      <c r="AZ41" s="69" t="n">
        <f aca="false">AZ39+AZ40</f>
        <v>0</v>
      </c>
      <c r="BA41" s="69" t="n">
        <f aca="false">BA39+BA40</f>
        <v>0</v>
      </c>
      <c r="BB41" s="69" t="n">
        <f aca="false">BB39+BB40</f>
        <v>0</v>
      </c>
      <c r="BC41" s="69" t="n">
        <f aca="false">BC39+BC40</f>
        <v>0</v>
      </c>
      <c r="BD41" s="69" t="n">
        <f aca="false">BD39+BD40</f>
        <v>0</v>
      </c>
      <c r="BE41" s="69" t="n">
        <f aca="false">BE39+BE40</f>
        <v>0</v>
      </c>
      <c r="BF41" s="69" t="n">
        <f aca="false">BF39+BF40</f>
        <v>0</v>
      </c>
      <c r="BG41" s="69" t="n">
        <f aca="false">BG39+BG40</f>
        <v>0</v>
      </c>
      <c r="BH41" s="69" t="n">
        <f aca="false">BH39+BH40</f>
        <v>0</v>
      </c>
      <c r="BI41" s="69" t="n">
        <f aca="false">BI39+BI40</f>
        <v>0</v>
      </c>
      <c r="BJ41" s="69" t="n">
        <f aca="false">BJ39+BJ40</f>
        <v>0</v>
      </c>
      <c r="BK41" s="69" t="n">
        <f aca="false">BK39+BK40</f>
        <v>0</v>
      </c>
      <c r="BL41" s="69" t="n">
        <f aca="false">BL39+BL40</f>
        <v>0</v>
      </c>
      <c r="BM41" s="69" t="n">
        <f aca="false">BM39+BM40</f>
        <v>0</v>
      </c>
      <c r="BN41" s="69" t="n">
        <f aca="false">BN39+BN40</f>
        <v>0</v>
      </c>
      <c r="BO41" s="69" t="n">
        <f aca="false">BO39+BO40</f>
        <v>0</v>
      </c>
      <c r="BP41" s="69" t="n">
        <f aca="false">BP39+BP40</f>
        <v>0</v>
      </c>
      <c r="BQ41" s="69" t="n">
        <f aca="false">BQ39+BQ40</f>
        <v>0</v>
      </c>
      <c r="BR41" s="69" t="n">
        <f aca="false">BR39+BR40</f>
        <v>0</v>
      </c>
      <c r="BS41" s="69" t="n">
        <f aca="false">BS39+BS40</f>
        <v>0</v>
      </c>
      <c r="BT41" s="69" t="n">
        <f aca="false">BT39+BT40</f>
        <v>0</v>
      </c>
      <c r="BU41" s="69" t="n">
        <f aca="false">BU39+BU40</f>
        <v>0</v>
      </c>
      <c r="BV41" s="69" t="n">
        <f aca="false">BV39+BV40</f>
        <v>0</v>
      </c>
      <c r="BW41" s="69" t="n">
        <f aca="false">BW39+BW40</f>
        <v>0</v>
      </c>
      <c r="BX41" s="69" t="n">
        <f aca="false">BX39+BX40</f>
        <v>0</v>
      </c>
      <c r="BY41" s="69" t="n">
        <f aca="false">BY39+BY40</f>
        <v>-73156</v>
      </c>
      <c r="BZ41" s="69" t="n">
        <f aca="false">BZ39+BZ40</f>
        <v>0</v>
      </c>
      <c r="CA41" s="69" t="n">
        <f aca="false">CA39+CA40</f>
        <v>0</v>
      </c>
      <c r="CB41" s="69" t="n">
        <f aca="false">CB39+CB40</f>
        <v>-73155</v>
      </c>
      <c r="CC41" s="69" t="n">
        <f aca="false">CC39+CC40</f>
        <v>0</v>
      </c>
      <c r="CD41" s="69" t="n">
        <f aca="false">CD39+CD40</f>
        <v>0</v>
      </c>
      <c r="CE41" s="69" t="n">
        <f aca="false">CE39+CE40</f>
        <v>-73155</v>
      </c>
      <c r="CF41" s="69" t="n">
        <f aca="false">CF39+CF40</f>
        <v>0</v>
      </c>
      <c r="CG41" s="69" t="n">
        <f aca="false">CG39+CG40</f>
        <v>0</v>
      </c>
      <c r="CH41" s="69" t="n">
        <f aca="false">CH39+CH40</f>
        <v>-73155</v>
      </c>
    </row>
    <row r="42" customFormat="false" ht="15" hidden="false" customHeight="true" outlineLevel="0" collapsed="false">
      <c r="A42" s="62" t="s">
        <v>211</v>
      </c>
      <c r="B42" s="3"/>
      <c r="C42" s="70" t="n">
        <f aca="false">C41</f>
        <v>0</v>
      </c>
      <c r="D42" s="70" t="n">
        <f aca="false">C42+D41</f>
        <v>0</v>
      </c>
      <c r="E42" s="70" t="n">
        <f aca="false">D42+E41</f>
        <v>0</v>
      </c>
      <c r="F42" s="70" t="n">
        <f aca="false">E42+F41</f>
        <v>0</v>
      </c>
      <c r="G42" s="70" t="n">
        <f aca="false">F42+G41</f>
        <v>0</v>
      </c>
      <c r="H42" s="70" t="n">
        <f aca="false">G42+H41</f>
        <v>0</v>
      </c>
      <c r="I42" s="70" t="n">
        <f aca="false">H42+I41</f>
        <v>0</v>
      </c>
      <c r="J42" s="70" t="n">
        <f aca="false">I42+J41</f>
        <v>0</v>
      </c>
      <c r="K42" s="70" t="n">
        <f aca="false">J42+K41</f>
        <v>0</v>
      </c>
      <c r="L42" s="70" t="n">
        <f aca="false">K42+L41</f>
        <v>0</v>
      </c>
      <c r="M42" s="70" t="n">
        <f aca="false">L42+M41</f>
        <v>0</v>
      </c>
      <c r="N42" s="70" t="n">
        <f aca="false">M42+N41</f>
        <v>0</v>
      </c>
      <c r="O42" s="70" t="n">
        <f aca="false">N42+O41</f>
        <v>0</v>
      </c>
      <c r="P42" s="70" t="n">
        <f aca="false">O42+P41</f>
        <v>0</v>
      </c>
      <c r="Q42" s="70" t="n">
        <f aca="false">P42+Q41</f>
        <v>0</v>
      </c>
      <c r="R42" s="70" t="n">
        <f aca="false">Q42+R41</f>
        <v>0</v>
      </c>
      <c r="S42" s="70" t="n">
        <f aca="false">R42+S41</f>
        <v>0</v>
      </c>
      <c r="T42" s="70" t="n">
        <f aca="false">S42+T41</f>
        <v>0</v>
      </c>
      <c r="U42" s="70" t="n">
        <f aca="false">T42+U41</f>
        <v>0</v>
      </c>
      <c r="V42" s="70" t="n">
        <f aca="false">U42+V41</f>
        <v>0</v>
      </c>
      <c r="W42" s="70" t="n">
        <f aca="false">V42+W41</f>
        <v>0</v>
      </c>
      <c r="X42" s="70" t="n">
        <f aca="false">W42+X41</f>
        <v>0</v>
      </c>
      <c r="Y42" s="70" t="n">
        <f aca="false">X42+Y41</f>
        <v>0</v>
      </c>
      <c r="Z42" s="70" t="n">
        <f aca="false">Y42+Z41</f>
        <v>0</v>
      </c>
      <c r="AA42" s="70" t="n">
        <f aca="false">Z42+AA41</f>
        <v>0</v>
      </c>
      <c r="AB42" s="70" t="n">
        <f aca="false">AA42+AB41</f>
        <v>0</v>
      </c>
      <c r="AC42" s="70" t="n">
        <f aca="false">AB42+AC41</f>
        <v>0</v>
      </c>
      <c r="AD42" s="70" t="n">
        <f aca="false">AC42+AD41</f>
        <v>0</v>
      </c>
      <c r="AE42" s="70" t="n">
        <f aca="false">AD42+AE41</f>
        <v>0</v>
      </c>
      <c r="AF42" s="70" t="n">
        <f aca="false">AE42+AF41</f>
        <v>0</v>
      </c>
      <c r="AG42" s="70" t="n">
        <f aca="false">AF42+AG41</f>
        <v>0</v>
      </c>
      <c r="AH42" s="70" t="n">
        <f aca="false">AG42+AH41</f>
        <v>0</v>
      </c>
      <c r="AI42" s="70" t="n">
        <f aca="false">AH42+AI41</f>
        <v>0</v>
      </c>
      <c r="AJ42" s="70" t="n">
        <f aca="false">AI42+AJ41</f>
        <v>0</v>
      </c>
      <c r="AK42" s="70" t="n">
        <f aca="false">AJ42+AK41</f>
        <v>0</v>
      </c>
      <c r="AL42" s="70" t="n">
        <f aca="false">AK42+AL41</f>
        <v>0</v>
      </c>
      <c r="AM42" s="70" t="n">
        <f aca="false">AL42+AM41</f>
        <v>0</v>
      </c>
      <c r="AN42" s="70" t="n">
        <f aca="false">AM42+AN41</f>
        <v>0</v>
      </c>
      <c r="AO42" s="70" t="n">
        <f aca="false">AN42+AO41</f>
        <v>0</v>
      </c>
      <c r="AP42" s="70" t="n">
        <f aca="false">AO42+AP41</f>
        <v>0</v>
      </c>
      <c r="AQ42" s="70" t="n">
        <f aca="false">AP42+AQ41</f>
        <v>0</v>
      </c>
      <c r="AR42" s="70" t="n">
        <f aca="false">AQ42+AR41</f>
        <v>0</v>
      </c>
      <c r="AS42" s="70" t="n">
        <f aca="false">AR42+AS41</f>
        <v>0</v>
      </c>
      <c r="AT42" s="70" t="n">
        <f aca="false">AS42+AT41</f>
        <v>0</v>
      </c>
      <c r="AU42" s="70" t="n">
        <f aca="false">AT42+AU41</f>
        <v>0</v>
      </c>
      <c r="AV42" s="70" t="n">
        <f aca="false">AU42+AV41</f>
        <v>0</v>
      </c>
      <c r="AW42" s="70" t="n">
        <f aca="false">AV42+AW41</f>
        <v>0</v>
      </c>
      <c r="AX42" s="70" t="n">
        <f aca="false">AW42+AX41</f>
        <v>0</v>
      </c>
      <c r="AY42" s="70" t="n">
        <f aca="false">AX42+AY41</f>
        <v>0</v>
      </c>
      <c r="AZ42" s="70" t="n">
        <f aca="false">AY42+AZ41</f>
        <v>0</v>
      </c>
      <c r="BA42" s="70" t="n">
        <f aca="false">AZ42+BA41</f>
        <v>0</v>
      </c>
      <c r="BB42" s="70" t="n">
        <f aca="false">BA42+BB41</f>
        <v>0</v>
      </c>
      <c r="BC42" s="70" t="n">
        <f aca="false">BB42+BC41</f>
        <v>0</v>
      </c>
      <c r="BD42" s="70" t="n">
        <f aca="false">BC42+BD41</f>
        <v>0</v>
      </c>
      <c r="BE42" s="70" t="n">
        <f aca="false">BD42+BE41</f>
        <v>0</v>
      </c>
      <c r="BF42" s="70" t="n">
        <f aca="false">BE42+BF41</f>
        <v>0</v>
      </c>
      <c r="BG42" s="70" t="n">
        <f aca="false">BF42+BG41</f>
        <v>0</v>
      </c>
      <c r="BH42" s="70" t="n">
        <f aca="false">BG42+BH41</f>
        <v>0</v>
      </c>
      <c r="BI42" s="70" t="n">
        <f aca="false">BH42+BI41</f>
        <v>0</v>
      </c>
      <c r="BJ42" s="70" t="n">
        <f aca="false">BI42+BJ41</f>
        <v>0</v>
      </c>
      <c r="BK42" s="70" t="n">
        <f aca="false">BJ42+BK41</f>
        <v>0</v>
      </c>
      <c r="BL42" s="70" t="n">
        <f aca="false">BK42+BL41</f>
        <v>0</v>
      </c>
      <c r="BM42" s="70" t="n">
        <f aca="false">BL42+BM41</f>
        <v>0</v>
      </c>
      <c r="BN42" s="70" t="n">
        <f aca="false">BM42+BN41</f>
        <v>0</v>
      </c>
      <c r="BO42" s="70" t="n">
        <f aca="false">BN42+BO41</f>
        <v>0</v>
      </c>
      <c r="BP42" s="70" t="n">
        <f aca="false">BO42+BP41</f>
        <v>0</v>
      </c>
      <c r="BQ42" s="70" t="n">
        <f aca="false">BP42+BQ41</f>
        <v>0</v>
      </c>
      <c r="BR42" s="70" t="n">
        <f aca="false">BQ42+BR41</f>
        <v>0</v>
      </c>
      <c r="BS42" s="70" t="n">
        <f aca="false">BR42+BS41</f>
        <v>0</v>
      </c>
      <c r="BT42" s="70" t="n">
        <f aca="false">BS42+BT41</f>
        <v>0</v>
      </c>
      <c r="BU42" s="70" t="n">
        <f aca="false">BT42+BU41</f>
        <v>0</v>
      </c>
      <c r="BV42" s="70" t="n">
        <f aca="false">BU42+BV41</f>
        <v>0</v>
      </c>
      <c r="BW42" s="70" t="n">
        <f aca="false">BV42+BW41</f>
        <v>0</v>
      </c>
      <c r="BX42" s="70" t="n">
        <f aca="false">BW42+BX41</f>
        <v>0</v>
      </c>
      <c r="BY42" s="70" t="n">
        <f aca="false">BX42+BY41</f>
        <v>-73156</v>
      </c>
      <c r="BZ42" s="70" t="n">
        <f aca="false">BY42+BZ41</f>
        <v>-73156</v>
      </c>
      <c r="CA42" s="70" t="n">
        <f aca="false">BZ42+CA41</f>
        <v>-73156</v>
      </c>
      <c r="CB42" s="70" t="n">
        <f aca="false">CA42+CB41</f>
        <v>-146311</v>
      </c>
      <c r="CC42" s="70" t="n">
        <f aca="false">CB42+CC41</f>
        <v>-146311</v>
      </c>
      <c r="CD42" s="70" t="n">
        <f aca="false">CC42+CD41</f>
        <v>-146311</v>
      </c>
      <c r="CE42" s="70" t="n">
        <f aca="false">CD42+CE41</f>
        <v>-219466</v>
      </c>
      <c r="CF42" s="70" t="n">
        <f aca="false">CE42+CF41</f>
        <v>-219466</v>
      </c>
      <c r="CG42" s="70" t="n">
        <f aca="false">CF42+CG41</f>
        <v>-219466</v>
      </c>
      <c r="CH42" s="70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28" t="s">
        <v>214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</row>
    <row r="45" customFormat="false" ht="15" hidden="false" customHeight="true" outlineLevel="0" collapsed="false">
      <c r="A45" s="30" t="s">
        <v>215</v>
      </c>
      <c r="B45" s="30"/>
      <c r="C45" s="69" t="n">
        <f aca="false">C5+C10+C16+C22+C28+C35+C41</f>
        <v>33281.25</v>
      </c>
      <c r="D45" s="69" t="n">
        <f aca="false">D5+D10+D16+D22+D28+D35+D41</f>
        <v>33281.25</v>
      </c>
      <c r="E45" s="69" t="n">
        <f aca="false">E5+E10+E16+E22+E28+E35+E41</f>
        <v>33281.25</v>
      </c>
      <c r="F45" s="69" t="n">
        <f aca="false">F5+F10+F16+F22+F28+F35+F41</f>
        <v>33281.25</v>
      </c>
      <c r="G45" s="69" t="n">
        <f aca="false">G5+G10+G16+G22+G28+G35+G41</f>
        <v>33281.25</v>
      </c>
      <c r="H45" s="69" t="n">
        <f aca="false">H5+H10+H16+H22+H28+H35+H41</f>
        <v>33281.25</v>
      </c>
      <c r="I45" s="69" t="n">
        <f aca="false">I5+I10+I16+I22+I28+I35+I41</f>
        <v>33281.25</v>
      </c>
      <c r="J45" s="69" t="n">
        <f aca="false">J5+J10+J16+J22+J28+J35+J41</f>
        <v>23906.25</v>
      </c>
      <c r="K45" s="69" t="n">
        <f aca="false">K5+K10+K16+K22+K28+K35+K41</f>
        <v>23906.25</v>
      </c>
      <c r="L45" s="69" t="n">
        <f aca="false">L5+L10+L16+L22+L28+L35+L41</f>
        <v>23906.25</v>
      </c>
      <c r="M45" s="69" t="n">
        <f aca="false">M5+M10+M16+M22+M28+M35+M41</f>
        <v>23906.25</v>
      </c>
      <c r="N45" s="69" t="n">
        <f aca="false">N5+N10+N16+N22+N28+N35+N41</f>
        <v>23906.25</v>
      </c>
      <c r="O45" s="69" t="n">
        <f aca="false">O5+O10+O16+O22+O28+O35+O41</f>
        <v>23906.25</v>
      </c>
      <c r="P45" s="69" t="n">
        <f aca="false">P5+P10+P16+P22+P28+P35+P41</f>
        <v>23906.25</v>
      </c>
      <c r="Q45" s="69" t="n">
        <f aca="false">Q5+Q10+Q16+Q22+Q28+Q35+Q41</f>
        <v>23906.25</v>
      </c>
      <c r="R45" s="69" t="n">
        <f aca="false">R5+R10+R16+R22+R28+R35+R41</f>
        <v>0</v>
      </c>
      <c r="S45" s="69" t="n">
        <f aca="false">S5+S10+S16+S22+S28+S35+S41</f>
        <v>0</v>
      </c>
      <c r="T45" s="69" t="n">
        <f aca="false">T5+T10+T16+T22+T28+T35+T41</f>
        <v>0</v>
      </c>
      <c r="U45" s="69" t="n">
        <f aca="false">U5+U10+U16+U22+U28+U35+U41</f>
        <v>0</v>
      </c>
      <c r="V45" s="69" t="n">
        <f aca="false">V5+V10+V16+V22+V28+V35+V41</f>
        <v>0</v>
      </c>
      <c r="W45" s="69" t="n">
        <f aca="false">W5+W10+W16+W22+W28+W35+W41</f>
        <v>57375</v>
      </c>
      <c r="X45" s="69" t="n">
        <f aca="false">X5+X10+X16+X22+X28+X35+X41</f>
        <v>0</v>
      </c>
      <c r="Y45" s="69" t="n">
        <f aca="false">Y5+Y10+Y16+Y22+Y28+Y35+Y41</f>
        <v>0</v>
      </c>
      <c r="Z45" s="69" t="n">
        <f aca="false">Z5+Z10+Z16+Z22+Z28+Z35+Z41</f>
        <v>57375</v>
      </c>
      <c r="AA45" s="69" t="n">
        <f aca="false">AA5+AA10+AA16+AA22+AA28+AA35+AA41</f>
        <v>0</v>
      </c>
      <c r="AB45" s="69" t="n">
        <f aca="false">AB5+AB10+AB16+AB22+AB28+AB35+AB41</f>
        <v>0</v>
      </c>
      <c r="AC45" s="69" t="n">
        <f aca="false">AC5+AC10+AC16+AC22+AC28+AC35+AC41</f>
        <v>57375</v>
      </c>
      <c r="AD45" s="69" t="n">
        <f aca="false">AD5+AD10+AD16+AD22+AD28+AD35+AD41</f>
        <v>0</v>
      </c>
      <c r="AE45" s="69" t="n">
        <f aca="false">AE5+AE10+AE16+AE22+AE28+AE35+AE41</f>
        <v>0</v>
      </c>
      <c r="AF45" s="69" t="n">
        <f aca="false">AF5+AF10+AF16+AF22+AF28+AF35+AF41</f>
        <v>0</v>
      </c>
      <c r="AG45" s="69" t="n">
        <f aca="false">AG5+AG10+AG16+AG22+AG28+AG35+AG41</f>
        <v>0</v>
      </c>
      <c r="AH45" s="69" t="n">
        <f aca="false">AH5+AH10+AH16+AH22+AH28+AH35+AH41</f>
        <v>0</v>
      </c>
      <c r="AI45" s="69" t="n">
        <f aca="false">AI5+AI10+AI16+AI22+AI28+AI35+AI41</f>
        <v>0</v>
      </c>
      <c r="AJ45" s="69" t="n">
        <f aca="false">AJ5+AJ10+AJ16+AJ22+AJ28+AJ35+AJ41</f>
        <v>0</v>
      </c>
      <c r="AK45" s="69" t="n">
        <f aca="false">AK5+AK10+AK16+AK22+AK28+AK35+AK41</f>
        <v>0</v>
      </c>
      <c r="AL45" s="69" t="n">
        <f aca="false">AL5+AL10+AL16+AL22+AL28+AL35+AL41</f>
        <v>0</v>
      </c>
      <c r="AM45" s="69" t="n">
        <f aca="false">AM5+AM10+AM16+AM22+AM28+AM35+AM41</f>
        <v>0</v>
      </c>
      <c r="AN45" s="69" t="n">
        <f aca="false">AN5+AN10+AN16+AN22+AN28+AN35+AN41</f>
        <v>0</v>
      </c>
      <c r="AO45" s="69" t="n">
        <f aca="false">AO5+AO10+AO16+AO22+AO28+AO35+AO41</f>
        <v>0</v>
      </c>
      <c r="AP45" s="69" t="n">
        <f aca="false">AP5+AP10+AP16+AP22+AP28+AP35+AP41</f>
        <v>0</v>
      </c>
      <c r="AQ45" s="69" t="n">
        <f aca="false">AQ5+AQ10+AQ16+AQ22+AQ28+AQ35+AQ41</f>
        <v>0</v>
      </c>
      <c r="AR45" s="69" t="n">
        <f aca="false">AR5+AR10+AR16+AR22+AR28+AR35+AR41</f>
        <v>0</v>
      </c>
      <c r="AS45" s="69" t="n">
        <f aca="false">AS5+AS10+AS16+AS22+AS28+AS35+AS41</f>
        <v>0</v>
      </c>
      <c r="AT45" s="69" t="n">
        <f aca="false">AT5+AT10+AT16+AT22+AT28+AT35+AT41</f>
        <v>0</v>
      </c>
      <c r="AU45" s="69" t="n">
        <f aca="false">AU5+AU10+AU16+AU22+AU28+AU35+AU41</f>
        <v>0</v>
      </c>
      <c r="AV45" s="69" t="n">
        <f aca="false">AV5+AV10+AV16+AV22+AV28+AV35+AV41</f>
        <v>0</v>
      </c>
      <c r="AW45" s="69" t="n">
        <f aca="false">AW5+AW10+AW16+AW22+AW28+AW35+AW41</f>
        <v>0</v>
      </c>
      <c r="AX45" s="69" t="n">
        <f aca="false">AX5+AX10+AX16+AX22+AX28+AX35+AX41</f>
        <v>0</v>
      </c>
      <c r="AY45" s="69" t="n">
        <f aca="false">AY5+AY10+AY16+AY22+AY28+AY35+AY41</f>
        <v>0</v>
      </c>
      <c r="AZ45" s="69" t="n">
        <f aca="false">AZ5+AZ10+AZ16+AZ22+AZ28+AZ35+AZ41</f>
        <v>0</v>
      </c>
      <c r="BA45" s="69" t="n">
        <f aca="false">BA5+BA10+BA16+BA22+BA28+BA35+BA41</f>
        <v>0</v>
      </c>
      <c r="BB45" s="69" t="n">
        <f aca="false">BB5+BB10+BB16+BB22+BB28+BB35+BB41</f>
        <v>0</v>
      </c>
      <c r="BC45" s="69" t="n">
        <f aca="false">BC5+BC10+BC16+BC22+BC28+BC35+BC41</f>
        <v>0</v>
      </c>
      <c r="BD45" s="69" t="n">
        <f aca="false">BD5+BD10+BD16+BD22+BD28+BD35+BD41</f>
        <v>0</v>
      </c>
      <c r="BE45" s="69" t="n">
        <f aca="false">BE5+BE10+BE16+BE22+BE28+BE35+BE41</f>
        <v>0</v>
      </c>
      <c r="BF45" s="69" t="n">
        <f aca="false">BF5+BF10+BF16+BF22+BF28+BF35+BF41</f>
        <v>0</v>
      </c>
      <c r="BG45" s="69" t="n">
        <f aca="false">BG5+BG10+BG16+BG22+BG28+BG35+BG41</f>
        <v>0</v>
      </c>
      <c r="BH45" s="69" t="n">
        <f aca="false">BH5+BH10+BH16+BH22+BH28+BH35+BH41</f>
        <v>0</v>
      </c>
      <c r="BI45" s="69" t="n">
        <f aca="false">BI5+BI10+BI16+BI22+BI28+BI35+BI41</f>
        <v>0</v>
      </c>
      <c r="BJ45" s="69" t="n">
        <f aca="false">BJ5+BJ10+BJ16+BJ22+BJ28+BJ35+BJ41</f>
        <v>0</v>
      </c>
      <c r="BK45" s="69" t="n">
        <f aca="false">BK5+BK10+BK16+BK22+BK28+BK35+BK41</f>
        <v>0</v>
      </c>
      <c r="BL45" s="69" t="n">
        <f aca="false">BL5+BL10+BL16+BL22+BL28+BL35+BL41</f>
        <v>0</v>
      </c>
      <c r="BM45" s="69" t="n">
        <f aca="false">BM5+BM10+BM16+BM22+BM28+BM35+BM41</f>
        <v>0</v>
      </c>
      <c r="BN45" s="69" t="n">
        <f aca="false">BN5+BN10+BN16+BN22+BN28+BN35+BN41</f>
        <v>0</v>
      </c>
      <c r="BO45" s="69" t="n">
        <f aca="false">BO5+BO10+BO16+BO22+BO28+BO35+BO41</f>
        <v>0</v>
      </c>
      <c r="BP45" s="69" t="n">
        <f aca="false">BP5+BP10+BP16+BP22+BP28+BP35+BP41</f>
        <v>51513.52</v>
      </c>
      <c r="BQ45" s="69" t="n">
        <f aca="false">BQ5+BQ10+BQ16+BQ22+BQ28+BQ35+BQ41</f>
        <v>0</v>
      </c>
      <c r="BR45" s="69" t="n">
        <f aca="false">BR5+BR10+BR16+BR22+BR28+BR35+BR41</f>
        <v>0</v>
      </c>
      <c r="BS45" s="69" t="n">
        <f aca="false">BS5+BS10+BS16+BS22+BS28+BS35+BS41</f>
        <v>67762</v>
      </c>
      <c r="BT45" s="69" t="n">
        <f aca="false">BT5+BT10+BT16+BT22+BT28+BT35+BT41</f>
        <v>0</v>
      </c>
      <c r="BU45" s="69" t="n">
        <f aca="false">BU5+BU10+BU16+BU22+BU28+BU35+BU41</f>
        <v>0</v>
      </c>
      <c r="BV45" s="69" t="n">
        <f aca="false">BV5+BV10+BV16+BV22+BV28+BV35+BV41</f>
        <v>67762</v>
      </c>
      <c r="BW45" s="69" t="n">
        <f aca="false">BW5+BW10+BW16+BW22+BW28+BW35+BW41</f>
        <v>0</v>
      </c>
      <c r="BX45" s="69" t="n">
        <f aca="false">BX5+BX10+BX16+BX22+BX28+BX35+BX41</f>
        <v>0</v>
      </c>
      <c r="BY45" s="69" t="n">
        <f aca="false">BY5+BY10+BY16+BY22+BY28+BY35+BY41</f>
        <v>-5394</v>
      </c>
      <c r="BZ45" s="69" t="n">
        <f aca="false">BZ5+BZ10+BZ16+BZ22+BZ28+BZ35+BZ41</f>
        <v>0</v>
      </c>
      <c r="CA45" s="69" t="n">
        <f aca="false">CA5+CA10+CA16+CA22+CA28+CA35+CA41</f>
        <v>0</v>
      </c>
      <c r="CB45" s="69" t="n">
        <f aca="false">CB5+CB10+CB16+CB22+CB28+CB35+CB41</f>
        <v>3344</v>
      </c>
      <c r="CC45" s="69" t="n">
        <f aca="false">CC5+CC10+CC16+CC22+CC28+CC35+CC41</f>
        <v>0</v>
      </c>
      <c r="CD45" s="69" t="n">
        <f aca="false">CD5+CD10+CD16+CD22+CD28+CD35+CD41</f>
        <v>0</v>
      </c>
      <c r="CE45" s="69" t="n">
        <f aca="false">CE5+CE10+CE16+CE22+CE28+CE35+CE41</f>
        <v>3344</v>
      </c>
      <c r="CF45" s="69" t="n">
        <f aca="false">CF5+CF10+CF16+CF22+CF28+CF35+CF41</f>
        <v>0</v>
      </c>
      <c r="CG45" s="69" t="n">
        <f aca="false">CG5+CG10+CG16+CG22+CG28+CG35+CG41</f>
        <v>0</v>
      </c>
      <c r="CH45" s="69" t="n">
        <f aca="false">CH5+CH10+CH16+CH22+CH28+CH35+CH41</f>
        <v>9952.02660647922</v>
      </c>
    </row>
    <row r="46" customFormat="false" ht="15" hidden="false" customHeight="true" outlineLevel="0" collapsed="false">
      <c r="A46" s="73" t="s">
        <v>216</v>
      </c>
      <c r="B46" s="3"/>
      <c r="C46" s="70" t="n">
        <f aca="false">C45</f>
        <v>33281.25</v>
      </c>
      <c r="D46" s="70" t="n">
        <f aca="false">C46+D45</f>
        <v>66562.5</v>
      </c>
      <c r="E46" s="70" t="n">
        <f aca="false">D46+E45</f>
        <v>99843.75</v>
      </c>
      <c r="F46" s="70" t="n">
        <f aca="false">E46+F45</f>
        <v>133125</v>
      </c>
      <c r="G46" s="70" t="n">
        <f aca="false">F46+G45</f>
        <v>166406.25</v>
      </c>
      <c r="H46" s="70" t="n">
        <f aca="false">G46+H45</f>
        <v>199687.5</v>
      </c>
      <c r="I46" s="70" t="n">
        <f aca="false">H46+I45</f>
        <v>232968.75</v>
      </c>
      <c r="J46" s="70" t="n">
        <f aca="false">I46+J45</f>
        <v>256875</v>
      </c>
      <c r="K46" s="70" t="n">
        <f aca="false">J46+K45</f>
        <v>280781.25</v>
      </c>
      <c r="L46" s="70" t="n">
        <f aca="false">K46+L45</f>
        <v>304687.5</v>
      </c>
      <c r="M46" s="70" t="n">
        <f aca="false">L46+M45</f>
        <v>328593.75</v>
      </c>
      <c r="N46" s="70" t="n">
        <f aca="false">M46+N45</f>
        <v>352500</v>
      </c>
      <c r="O46" s="70" t="n">
        <f aca="false">N46+O45</f>
        <v>376406.25</v>
      </c>
      <c r="P46" s="70" t="n">
        <f aca="false">O46+P45</f>
        <v>400312.5</v>
      </c>
      <c r="Q46" s="70" t="n">
        <f aca="false">P46+Q45</f>
        <v>424218.75</v>
      </c>
      <c r="R46" s="70" t="n">
        <f aca="false">Q46+R45</f>
        <v>424218.75</v>
      </c>
      <c r="S46" s="70" t="n">
        <f aca="false">R46+S45</f>
        <v>424218.75</v>
      </c>
      <c r="T46" s="70" t="n">
        <f aca="false">S46+T45</f>
        <v>424218.75</v>
      </c>
      <c r="U46" s="70" t="n">
        <f aca="false">T46+U45</f>
        <v>424218.75</v>
      </c>
      <c r="V46" s="70" t="n">
        <f aca="false">U46+V45</f>
        <v>424218.75</v>
      </c>
      <c r="W46" s="70" t="n">
        <f aca="false">V46+W45</f>
        <v>481593.75</v>
      </c>
      <c r="X46" s="70" t="n">
        <f aca="false">W46+X45</f>
        <v>481593.75</v>
      </c>
      <c r="Y46" s="70" t="n">
        <f aca="false">X46+Y45</f>
        <v>481593.75</v>
      </c>
      <c r="Z46" s="70" t="n">
        <f aca="false">Y46+Z45</f>
        <v>538968.75</v>
      </c>
      <c r="AA46" s="70" t="n">
        <f aca="false">Z46+AA45</f>
        <v>538968.75</v>
      </c>
      <c r="AB46" s="70" t="n">
        <f aca="false">AA46+AB45</f>
        <v>538968.75</v>
      </c>
      <c r="AC46" s="70" t="n">
        <f aca="false">AB46+AC45</f>
        <v>596343.75</v>
      </c>
      <c r="AD46" s="70" t="n">
        <f aca="false">AC46+AD45</f>
        <v>596343.75</v>
      </c>
      <c r="AE46" s="70" t="n">
        <f aca="false">AD46+AE45</f>
        <v>596343.75</v>
      </c>
      <c r="AF46" s="70" t="n">
        <f aca="false">AE46+AF45</f>
        <v>596343.75</v>
      </c>
      <c r="AG46" s="70" t="n">
        <f aca="false">AF46+AG45</f>
        <v>596343.75</v>
      </c>
      <c r="AH46" s="70" t="n">
        <f aca="false">AG46+AH45</f>
        <v>596343.75</v>
      </c>
      <c r="AI46" s="70" t="n">
        <f aca="false">AH46+AI45</f>
        <v>596343.75</v>
      </c>
      <c r="AJ46" s="70" t="n">
        <f aca="false">AI46+AJ45</f>
        <v>596343.75</v>
      </c>
      <c r="AK46" s="70" t="n">
        <f aca="false">AJ46+AK45</f>
        <v>596343.75</v>
      </c>
      <c r="AL46" s="70" t="n">
        <f aca="false">AK46+AL45</f>
        <v>596343.75</v>
      </c>
      <c r="AM46" s="70" t="n">
        <f aca="false">AL46+AM45</f>
        <v>596343.75</v>
      </c>
      <c r="AN46" s="70" t="n">
        <f aca="false">AM46+AN45</f>
        <v>596343.75</v>
      </c>
      <c r="AO46" s="70" t="n">
        <f aca="false">AN46+AO45</f>
        <v>596343.75</v>
      </c>
      <c r="AP46" s="70" t="n">
        <f aca="false">AO46+AP45</f>
        <v>596343.75</v>
      </c>
      <c r="AQ46" s="70" t="n">
        <f aca="false">AP46+AQ45</f>
        <v>596343.75</v>
      </c>
      <c r="AR46" s="70" t="n">
        <f aca="false">AQ46+AR45</f>
        <v>596343.75</v>
      </c>
      <c r="AS46" s="70" t="n">
        <f aca="false">AR46+AS45</f>
        <v>596343.75</v>
      </c>
      <c r="AT46" s="70" t="n">
        <f aca="false">AS46+AT45</f>
        <v>596343.75</v>
      </c>
      <c r="AU46" s="70" t="n">
        <f aca="false">AT46+AU45</f>
        <v>596343.75</v>
      </c>
      <c r="AV46" s="70" t="n">
        <f aca="false">AU46+AV45</f>
        <v>596343.75</v>
      </c>
      <c r="AW46" s="70" t="n">
        <f aca="false">AV46+AW45</f>
        <v>596343.75</v>
      </c>
      <c r="AX46" s="70" t="n">
        <f aca="false">AW46+AX45</f>
        <v>596343.75</v>
      </c>
      <c r="AY46" s="70" t="n">
        <f aca="false">AX46+AY45</f>
        <v>596343.75</v>
      </c>
      <c r="AZ46" s="70" t="n">
        <f aca="false">AY46+AZ45</f>
        <v>596343.75</v>
      </c>
      <c r="BA46" s="70" t="n">
        <f aca="false">AZ46+BA45</f>
        <v>596343.75</v>
      </c>
      <c r="BB46" s="70" t="n">
        <f aca="false">BA46+BB45</f>
        <v>596343.75</v>
      </c>
      <c r="BC46" s="70" t="n">
        <f aca="false">BB46+BC45</f>
        <v>596343.75</v>
      </c>
      <c r="BD46" s="70" t="n">
        <f aca="false">BC46+BD45</f>
        <v>596343.75</v>
      </c>
      <c r="BE46" s="70" t="n">
        <f aca="false">BD46+BE45</f>
        <v>596343.75</v>
      </c>
      <c r="BF46" s="70" t="n">
        <f aca="false">BE46+BF45</f>
        <v>596343.75</v>
      </c>
      <c r="BG46" s="70" t="n">
        <f aca="false">BF46+BG45</f>
        <v>596343.75</v>
      </c>
      <c r="BH46" s="70" t="n">
        <f aca="false">BG46+BH45</f>
        <v>596343.75</v>
      </c>
      <c r="BI46" s="70" t="n">
        <f aca="false">BH46+BI45</f>
        <v>596343.75</v>
      </c>
      <c r="BJ46" s="70" t="n">
        <f aca="false">BI46+BJ45</f>
        <v>596343.75</v>
      </c>
      <c r="BK46" s="70" t="n">
        <f aca="false">BJ46+BK45</f>
        <v>596343.75</v>
      </c>
      <c r="BL46" s="70" t="n">
        <f aca="false">BK46+BL45</f>
        <v>596343.75</v>
      </c>
      <c r="BM46" s="70" t="n">
        <f aca="false">BL46+BM45</f>
        <v>596343.75</v>
      </c>
      <c r="BN46" s="70" t="n">
        <f aca="false">BM46+BN45</f>
        <v>596343.75</v>
      </c>
      <c r="BO46" s="70" t="n">
        <f aca="false">BN46+BO45</f>
        <v>596343.75</v>
      </c>
      <c r="BP46" s="70" t="n">
        <f aca="false">BO46+BP45</f>
        <v>647857.27</v>
      </c>
      <c r="BQ46" s="70" t="n">
        <f aca="false">BP46+BQ45</f>
        <v>647857.27</v>
      </c>
      <c r="BR46" s="70" t="n">
        <f aca="false">BQ46+BR45</f>
        <v>647857.27</v>
      </c>
      <c r="BS46" s="70" t="n">
        <f aca="false">BR46+BS45</f>
        <v>715619.27</v>
      </c>
      <c r="BT46" s="70" t="n">
        <f aca="false">BS46+BT45</f>
        <v>715619.27</v>
      </c>
      <c r="BU46" s="70" t="n">
        <f aca="false">BT46+BU45</f>
        <v>715619.27</v>
      </c>
      <c r="BV46" s="70" t="n">
        <f aca="false">BU46+BV45</f>
        <v>783381.27</v>
      </c>
      <c r="BW46" s="70" t="n">
        <f aca="false">BV46+BW45</f>
        <v>783381.27</v>
      </c>
      <c r="BX46" s="70" t="n">
        <f aca="false">BW46+BX45</f>
        <v>783381.27</v>
      </c>
      <c r="BY46" s="70" t="n">
        <f aca="false">BX46+BY45</f>
        <v>777987.27</v>
      </c>
      <c r="BZ46" s="70" t="n">
        <f aca="false">BY46+BZ45</f>
        <v>777987.27</v>
      </c>
      <c r="CA46" s="70" t="n">
        <f aca="false">BZ46+CA45</f>
        <v>777987.27</v>
      </c>
      <c r="CB46" s="70" t="n">
        <f aca="false">CA46+CB45</f>
        <v>781331.27</v>
      </c>
      <c r="CC46" s="70" t="n">
        <f aca="false">CB46+CC45</f>
        <v>781331.27</v>
      </c>
      <c r="CD46" s="70" t="n">
        <f aca="false">CC46+CD45</f>
        <v>781331.27</v>
      </c>
      <c r="CE46" s="70" t="n">
        <f aca="false">CD46+CE45</f>
        <v>784675.27</v>
      </c>
      <c r="CF46" s="70" t="n">
        <f aca="false">CE46+CF45</f>
        <v>784675.27</v>
      </c>
      <c r="CG46" s="70" t="n">
        <f aca="false">CF46+CG45</f>
        <v>784675.27</v>
      </c>
      <c r="CH46" s="70" t="n">
        <f aca="false">CG46+CH45</f>
        <v>794627.296606479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62" t="s">
        <v>217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18" t="s">
        <v>218</v>
      </c>
      <c r="B49" s="74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18" t="s">
        <v>219</v>
      </c>
      <c r="B50" s="74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18" t="s">
        <v>220</v>
      </c>
      <c r="B51" s="74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18" t="s">
        <v>221</v>
      </c>
      <c r="B52" s="74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18" t="s">
        <v>222</v>
      </c>
      <c r="B53" s="74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18" t="s">
        <v>223</v>
      </c>
      <c r="B54" s="74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18" t="s">
        <v>224</v>
      </c>
      <c r="B55" s="75" t="s">
        <v>225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62" t="s">
        <v>226</v>
      </c>
      <c r="B56" s="76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2" t="s">
        <v>227</v>
      </c>
      <c r="B1" s="2"/>
      <c r="C1" s="2"/>
      <c r="D1" s="2"/>
      <c r="E1" s="2"/>
      <c r="F1" s="2"/>
      <c r="G1" s="2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228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8" t="s">
        <v>229</v>
      </c>
      <c r="B4" s="8" t="s">
        <v>230</v>
      </c>
      <c r="C4" s="8" t="s">
        <v>231</v>
      </c>
      <c r="D4" s="8" t="s">
        <v>232</v>
      </c>
      <c r="E4" s="8" t="s">
        <v>233</v>
      </c>
      <c r="F4" s="8" t="s">
        <v>234</v>
      </c>
      <c r="G4" s="8" t="s">
        <v>235</v>
      </c>
      <c r="H4" s="3"/>
      <c r="I4" s="3"/>
    </row>
    <row r="5" customFormat="false" ht="15" hidden="false" customHeight="true" outlineLevel="0" collapsed="false">
      <c r="A5" s="18" t="s">
        <v>236</v>
      </c>
      <c r="B5" s="77" t="n">
        <f aca="false">Assumptions!B4</f>
        <v>0.06</v>
      </c>
      <c r="C5" s="78" t="n">
        <v>0.06</v>
      </c>
      <c r="D5" s="79" t="n">
        <v>0.04</v>
      </c>
      <c r="E5" s="79" t="n">
        <v>0.08</v>
      </c>
      <c r="F5" s="18" t="s">
        <v>237</v>
      </c>
      <c r="G5" s="63" t="s">
        <v>238</v>
      </c>
      <c r="H5" s="3"/>
      <c r="I5" s="3"/>
    </row>
    <row r="6" customFormat="false" ht="15" hidden="false" customHeight="true" outlineLevel="0" collapsed="false">
      <c r="A6" s="18" t="s">
        <v>239</v>
      </c>
      <c r="B6" s="77" t="n">
        <f aca="false">Assumptions!B5</f>
        <v>0.06</v>
      </c>
      <c r="C6" s="78" t="n">
        <v>0.06</v>
      </c>
      <c r="D6" s="79" t="n">
        <v>0.04</v>
      </c>
      <c r="E6" s="79" t="n">
        <v>0.08</v>
      </c>
      <c r="F6" s="18" t="s">
        <v>237</v>
      </c>
      <c r="G6" s="63" t="s">
        <v>238</v>
      </c>
      <c r="H6" s="3"/>
      <c r="I6" s="3"/>
    </row>
    <row r="7" customFormat="false" ht="15" hidden="false" customHeight="true" outlineLevel="0" collapsed="false">
      <c r="A7" s="18" t="s">
        <v>240</v>
      </c>
      <c r="B7" s="77" t="n">
        <f aca="false">Assumptions!B6</f>
        <v>0.02</v>
      </c>
      <c r="C7" s="78" t="n">
        <v>0.02</v>
      </c>
      <c r="D7" s="79" t="n">
        <v>0.01</v>
      </c>
      <c r="E7" s="79" t="n">
        <v>0.03</v>
      </c>
      <c r="F7" s="18" t="s">
        <v>237</v>
      </c>
      <c r="G7" s="63" t="s">
        <v>241</v>
      </c>
      <c r="H7" s="3"/>
      <c r="I7" s="3"/>
    </row>
    <row r="8" customFormat="false" ht="15" hidden="false" customHeight="true" outlineLevel="0" collapsed="false">
      <c r="A8" s="18" t="s">
        <v>242</v>
      </c>
      <c r="B8" s="77" t="n">
        <f aca="false">Assumptions!B8</f>
        <v>0.092</v>
      </c>
      <c r="C8" s="78" t="n">
        <v>0.092</v>
      </c>
      <c r="D8" s="79" t="n">
        <v>0.07</v>
      </c>
      <c r="E8" s="79" t="n">
        <v>0.12</v>
      </c>
      <c r="F8" s="18" t="s">
        <v>237</v>
      </c>
      <c r="G8" s="63" t="s">
        <v>243</v>
      </c>
      <c r="H8" s="3"/>
      <c r="I8" s="3"/>
    </row>
    <row r="9" customFormat="false" ht="15" hidden="false" customHeight="true" outlineLevel="0" collapsed="false">
      <c r="A9" s="18" t="s">
        <v>244</v>
      </c>
      <c r="B9" s="77" t="n">
        <f aca="false">Assumptions!B26</f>
        <v>0.02</v>
      </c>
      <c r="C9" s="78" t="n">
        <v>0.02</v>
      </c>
      <c r="D9" s="79" t="n">
        <v>0</v>
      </c>
      <c r="E9" s="79" t="n">
        <v>0.04</v>
      </c>
      <c r="F9" s="18" t="s">
        <v>237</v>
      </c>
      <c r="G9" s="63" t="s">
        <v>245</v>
      </c>
      <c r="H9" s="3"/>
      <c r="I9" s="3"/>
    </row>
    <row r="10" customFormat="false" ht="15" hidden="false" customHeight="true" outlineLevel="0" collapsed="false">
      <c r="A10" s="18" t="s">
        <v>246</v>
      </c>
      <c r="B10" s="77" t="n">
        <f aca="false">Assumptions!B15</f>
        <v>0.015</v>
      </c>
      <c r="C10" s="78" t="n">
        <v>0.015</v>
      </c>
      <c r="D10" s="79" t="n">
        <v>0.01</v>
      </c>
      <c r="E10" s="79" t="n">
        <v>0.02</v>
      </c>
      <c r="F10" s="18" t="s">
        <v>237</v>
      </c>
      <c r="G10" s="63" t="s">
        <v>247</v>
      </c>
      <c r="H10" s="3"/>
      <c r="I10" s="3"/>
    </row>
    <row r="11" customFormat="false" ht="15" hidden="false" customHeight="true" outlineLevel="0" collapsed="false">
      <c r="A11" s="18" t="s">
        <v>248</v>
      </c>
      <c r="B11" s="77" t="n">
        <f aca="false">Assumptions!B16</f>
        <v>0.0074</v>
      </c>
      <c r="C11" s="78" t="n">
        <v>0.0074</v>
      </c>
      <c r="D11" s="79" t="n">
        <v>0.005</v>
      </c>
      <c r="E11" s="79" t="n">
        <v>0.015</v>
      </c>
      <c r="F11" s="18" t="s">
        <v>237</v>
      </c>
      <c r="G11" s="63" t="s">
        <v>249</v>
      </c>
      <c r="H11" s="3"/>
      <c r="I11" s="3"/>
    </row>
    <row r="12" customFormat="false" ht="15" hidden="false" customHeight="true" outlineLevel="0" collapsed="false">
      <c r="A12" s="18" t="s">
        <v>250</v>
      </c>
      <c r="B12" s="77" t="n">
        <f aca="false">Assumptions!B17</f>
        <v>0.0325</v>
      </c>
      <c r="C12" s="78" t="n">
        <v>0.0325</v>
      </c>
      <c r="D12" s="79" t="n">
        <v>0.02</v>
      </c>
      <c r="E12" s="79" t="n">
        <v>0.05</v>
      </c>
      <c r="F12" s="18" t="s">
        <v>237</v>
      </c>
      <c r="G12" s="63" t="s">
        <v>251</v>
      </c>
      <c r="H12" s="3"/>
      <c r="I12" s="3"/>
    </row>
    <row r="13" customFormat="false" ht="15" hidden="false" customHeight="true" outlineLevel="0" collapsed="false">
      <c r="A13" s="18" t="s">
        <v>252</v>
      </c>
      <c r="B13" s="77" t="n">
        <f aca="false">Assumptions!B34</f>
        <v>0.15</v>
      </c>
      <c r="C13" s="78" t="n">
        <v>0.15</v>
      </c>
      <c r="D13" s="79" t="n">
        <v>0.1</v>
      </c>
      <c r="E13" s="79" t="n">
        <v>0.2</v>
      </c>
      <c r="F13" s="18" t="s">
        <v>237</v>
      </c>
      <c r="G13" s="63" t="s">
        <v>253</v>
      </c>
      <c r="H13" s="3"/>
      <c r="I13" s="3"/>
    </row>
    <row r="14" customFormat="false" ht="15" hidden="false" customHeight="true" outlineLevel="0" collapsed="false">
      <c r="A14" s="18" t="s">
        <v>254</v>
      </c>
      <c r="B14" s="68" t="n">
        <f aca="false">Assumptions!B36</f>
        <v>130000</v>
      </c>
      <c r="C14" s="80" t="n">
        <v>130000</v>
      </c>
      <c r="D14" s="81" t="n">
        <v>100000</v>
      </c>
      <c r="E14" s="81" t="n">
        <v>175000</v>
      </c>
      <c r="F14" s="18" t="s">
        <v>255</v>
      </c>
      <c r="G14" s="63" t="s">
        <v>256</v>
      </c>
      <c r="H14" s="3"/>
      <c r="I14" s="3"/>
    </row>
    <row r="15" customFormat="false" ht="15" hidden="false" customHeight="true" outlineLevel="0" collapsed="false">
      <c r="A15" s="18" t="s">
        <v>257</v>
      </c>
      <c r="B15" s="77" t="n">
        <f aca="false">Assumptions!B58</f>
        <v>0.15</v>
      </c>
      <c r="C15" s="78" t="n">
        <v>0.15</v>
      </c>
      <c r="D15" s="79" t="n">
        <v>0.1</v>
      </c>
      <c r="E15" s="79" t="n">
        <v>0.2</v>
      </c>
      <c r="F15" s="18" t="s">
        <v>237</v>
      </c>
      <c r="G15" s="63" t="s">
        <v>258</v>
      </c>
      <c r="H15" s="3"/>
      <c r="I15" s="3"/>
    </row>
    <row r="16" customFormat="false" ht="15" hidden="false" customHeight="true" outlineLevel="0" collapsed="false">
      <c r="A16" s="18" t="s">
        <v>259</v>
      </c>
      <c r="B16" s="77" t="n">
        <f aca="false">Assumptions!B47</f>
        <v>0.01</v>
      </c>
      <c r="C16" s="78" t="n">
        <v>0.01</v>
      </c>
      <c r="D16" s="79" t="n">
        <v>0.005</v>
      </c>
      <c r="E16" s="79" t="n">
        <v>0.02</v>
      </c>
      <c r="F16" s="18" t="s">
        <v>237</v>
      </c>
      <c r="G16" s="63" t="s">
        <v>260</v>
      </c>
      <c r="H16" s="3"/>
      <c r="I16" s="3"/>
    </row>
    <row r="17" customFormat="false" ht="15" hidden="false" customHeight="true" outlineLevel="0" collapsed="false">
      <c r="A17" s="18" t="s">
        <v>261</v>
      </c>
      <c r="B17" s="77" t="n">
        <f aca="false">Assumptions!B48</f>
        <v>0.03</v>
      </c>
      <c r="C17" s="78" t="n">
        <v>0.03</v>
      </c>
      <c r="D17" s="79" t="n">
        <v>0.02</v>
      </c>
      <c r="E17" s="79" t="n">
        <v>0.05</v>
      </c>
      <c r="F17" s="18" t="s">
        <v>237</v>
      </c>
      <c r="G17" s="63" t="s">
        <v>262</v>
      </c>
      <c r="H17" s="3"/>
      <c r="I17" s="3"/>
    </row>
    <row r="18" customFormat="false" ht="15" hidden="false" customHeight="true" outlineLevel="0" collapsed="false">
      <c r="A18" s="18" t="s">
        <v>263</v>
      </c>
      <c r="B18" s="82" t="n">
        <v>10</v>
      </c>
      <c r="C18" s="83" t="n">
        <v>10</v>
      </c>
      <c r="D18" s="84" t="n">
        <v>5</v>
      </c>
      <c r="E18" s="84" t="n">
        <v>15</v>
      </c>
      <c r="F18" s="18" t="s">
        <v>264</v>
      </c>
      <c r="G18" s="63" t="s">
        <v>265</v>
      </c>
      <c r="H18" s="3"/>
      <c r="I18" s="3"/>
    </row>
    <row r="19" customFormat="false" ht="15" hidden="false" customHeight="true" outlineLevel="0" collapsed="false">
      <c r="A19" s="18" t="s">
        <v>266</v>
      </c>
      <c r="B19" s="85" t="n">
        <v>18700</v>
      </c>
      <c r="C19" s="80" t="n">
        <v>18700</v>
      </c>
      <c r="D19" s="81" t="n">
        <v>15000</v>
      </c>
      <c r="E19" s="81" t="n">
        <v>25000</v>
      </c>
      <c r="F19" s="18" t="s">
        <v>255</v>
      </c>
      <c r="G19" s="63" t="s">
        <v>267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268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8" t="s">
        <v>269</v>
      </c>
      <c r="B23" s="8" t="s">
        <v>270</v>
      </c>
      <c r="C23" s="8" t="s">
        <v>271</v>
      </c>
      <c r="D23" s="8" t="s">
        <v>272</v>
      </c>
      <c r="E23" s="8" t="s">
        <v>273</v>
      </c>
      <c r="F23" s="8" t="s">
        <v>274</v>
      </c>
      <c r="G23" s="8" t="s">
        <v>275</v>
      </c>
      <c r="H23" s="3"/>
      <c r="I23" s="3"/>
    </row>
    <row r="24" customFormat="false" ht="15" hidden="false" customHeight="true" outlineLevel="0" collapsed="false">
      <c r="A24" s="18" t="s">
        <v>208</v>
      </c>
      <c r="B24" s="86" t="str">
        <f aca="false">Projects!$G$2</f>
        <v>Yes</v>
      </c>
      <c r="C24" s="85" t="n">
        <v>5321971</v>
      </c>
      <c r="D24" s="18" t="s">
        <v>276</v>
      </c>
      <c r="E24" s="18" t="s">
        <v>277</v>
      </c>
      <c r="F24" s="18" t="s">
        <v>278</v>
      </c>
      <c r="G24" s="18" t="s">
        <v>278</v>
      </c>
      <c r="H24" s="3"/>
      <c r="I24" s="3"/>
    </row>
    <row r="25" customFormat="false" ht="15" hidden="false" customHeight="true" outlineLevel="0" collapsed="false">
      <c r="A25" s="18" t="s">
        <v>212</v>
      </c>
      <c r="B25" s="86" t="str">
        <f aca="false">Projects!$G$3</f>
        <v>Yes</v>
      </c>
      <c r="C25" s="85" t="n">
        <v>19982132</v>
      </c>
      <c r="D25" s="18" t="s">
        <v>276</v>
      </c>
      <c r="E25" s="18" t="s">
        <v>279</v>
      </c>
      <c r="F25" s="18" t="s">
        <v>278</v>
      </c>
      <c r="G25" s="18" t="s">
        <v>278</v>
      </c>
      <c r="H25" s="3"/>
      <c r="I25" s="3"/>
    </row>
    <row r="26" customFormat="false" ht="15" hidden="false" customHeight="true" outlineLevel="0" collapsed="false">
      <c r="A26" s="18" t="s">
        <v>156</v>
      </c>
      <c r="B26" s="86" t="str">
        <f aca="false">Projects!$G$4</f>
        <v>Yes</v>
      </c>
      <c r="C26" s="85" t="n">
        <v>11673185</v>
      </c>
      <c r="D26" s="18" t="s">
        <v>280</v>
      </c>
      <c r="E26" s="18" t="s">
        <v>281</v>
      </c>
      <c r="F26" s="18" t="s">
        <v>278</v>
      </c>
      <c r="G26" s="18" t="s">
        <v>282</v>
      </c>
      <c r="H26" s="3"/>
      <c r="I26" s="3"/>
    </row>
    <row r="27" customFormat="false" ht="15" hidden="false" customHeight="true" outlineLevel="0" collapsed="false">
      <c r="A27" s="18" t="s">
        <v>157</v>
      </c>
      <c r="B27" s="86" t="str">
        <f aca="false">Projects!$G$5</f>
        <v>Yes</v>
      </c>
      <c r="C27" s="85" t="n">
        <v>13492534</v>
      </c>
      <c r="D27" s="18" t="s">
        <v>280</v>
      </c>
      <c r="E27" s="18" t="s">
        <v>281</v>
      </c>
      <c r="F27" s="18" t="s">
        <v>278</v>
      </c>
      <c r="G27" s="18" t="s">
        <v>282</v>
      </c>
      <c r="H27" s="3"/>
      <c r="I27" s="3"/>
    </row>
    <row r="28" customFormat="false" ht="15" hidden="false" customHeight="true" outlineLevel="0" collapsed="false">
      <c r="A28" s="18" t="s">
        <v>283</v>
      </c>
      <c r="B28" s="86" t="str">
        <f aca="false">Projects!$G$6</f>
        <v>Yes</v>
      </c>
      <c r="C28" s="85" t="n">
        <v>4052747</v>
      </c>
      <c r="D28" s="18" t="s">
        <v>280</v>
      </c>
      <c r="E28" s="18" t="s">
        <v>284</v>
      </c>
      <c r="F28" s="18" t="s">
        <v>278</v>
      </c>
      <c r="G28" s="18" t="s">
        <v>282</v>
      </c>
      <c r="H28" s="3"/>
      <c r="I28" s="3"/>
    </row>
    <row r="29" customFormat="false" ht="15" hidden="false" customHeight="true" outlineLevel="0" collapsed="false">
      <c r="A29" s="18" t="s">
        <v>49</v>
      </c>
      <c r="B29" s="86" t="str">
        <f aca="false">Projects!$G$7</f>
        <v>Yes</v>
      </c>
      <c r="C29" s="85" t="n">
        <v>42968448</v>
      </c>
      <c r="D29" s="18" t="s">
        <v>276</v>
      </c>
      <c r="E29" s="18" t="s">
        <v>285</v>
      </c>
      <c r="F29" s="18" t="s">
        <v>282</v>
      </c>
      <c r="G29" s="18" t="s">
        <v>282</v>
      </c>
      <c r="H29" s="3"/>
      <c r="I29" s="3"/>
    </row>
    <row r="30" customFormat="false" ht="15" hidden="false" customHeight="true" outlineLevel="0" collapsed="false">
      <c r="A30" s="18" t="s">
        <v>158</v>
      </c>
      <c r="B30" s="86" t="str">
        <f aca="false">Projects!$G$8</f>
        <v>Yes</v>
      </c>
      <c r="C30" s="85" t="n">
        <v>13625772</v>
      </c>
      <c r="D30" s="18" t="s">
        <v>280</v>
      </c>
      <c r="E30" s="18" t="s">
        <v>284</v>
      </c>
      <c r="F30" s="18" t="s">
        <v>278</v>
      </c>
      <c r="G30" s="18" t="s">
        <v>282</v>
      </c>
      <c r="H30" s="3"/>
      <c r="I30" s="3"/>
    </row>
    <row r="31" customFormat="false" ht="15" hidden="false" customHeight="true" outlineLevel="0" collapsed="false">
      <c r="A31" s="18" t="s">
        <v>159</v>
      </c>
      <c r="B31" s="86" t="str">
        <f aca="false">Projects!$G$9</f>
        <v>Yes</v>
      </c>
      <c r="C31" s="85" t="n">
        <v>15844883</v>
      </c>
      <c r="D31" s="18" t="s">
        <v>280</v>
      </c>
      <c r="E31" s="18" t="s">
        <v>286</v>
      </c>
      <c r="F31" s="18" t="s">
        <v>278</v>
      </c>
      <c r="G31" s="18" t="s">
        <v>282</v>
      </c>
      <c r="H31" s="3"/>
      <c r="I31" s="3"/>
    </row>
    <row r="32" customFormat="false" ht="15" hidden="false" customHeight="true" outlineLevel="0" collapsed="false">
      <c r="A32" s="18" t="s">
        <v>53</v>
      </c>
      <c r="B32" s="86" t="str">
        <f aca="false">Projects!$G$10</f>
        <v>Yes</v>
      </c>
      <c r="C32" s="85" t="n">
        <v>21263405</v>
      </c>
      <c r="D32" s="18" t="s">
        <v>280</v>
      </c>
      <c r="E32" s="18" t="s">
        <v>284</v>
      </c>
      <c r="F32" s="18" t="s">
        <v>278</v>
      </c>
      <c r="G32" s="18" t="s">
        <v>282</v>
      </c>
      <c r="H32" s="3"/>
      <c r="I32" s="3"/>
    </row>
    <row r="33" customFormat="false" ht="15" hidden="false" customHeight="true" outlineLevel="0" collapsed="false">
      <c r="A33" s="18" t="s">
        <v>50</v>
      </c>
      <c r="B33" s="86" t="str">
        <f aca="false">Projects!$G$11</f>
        <v>No</v>
      </c>
      <c r="C33" s="85" t="n">
        <v>9577109</v>
      </c>
      <c r="D33" s="18" t="s">
        <v>276</v>
      </c>
      <c r="E33" s="18" t="s">
        <v>284</v>
      </c>
      <c r="F33" s="18" t="s">
        <v>282</v>
      </c>
      <c r="G33" s="18" t="s">
        <v>278</v>
      </c>
      <c r="H33" s="3"/>
      <c r="I33" s="3"/>
    </row>
    <row r="34" customFormat="false" ht="15" hidden="false" customHeight="true" outlineLevel="0" collapsed="false">
      <c r="A34" s="18" t="s">
        <v>51</v>
      </c>
      <c r="B34" s="86" t="str">
        <f aca="false">Projects!$G$12</f>
        <v>No</v>
      </c>
      <c r="C34" s="85" t="n">
        <v>7545203</v>
      </c>
      <c r="D34" s="18" t="s">
        <v>276</v>
      </c>
      <c r="E34" s="18" t="s">
        <v>284</v>
      </c>
      <c r="F34" s="18" t="s">
        <v>282</v>
      </c>
      <c r="G34" s="18" t="s">
        <v>278</v>
      </c>
      <c r="H34" s="3"/>
      <c r="I34" s="3"/>
    </row>
    <row r="35" customFormat="false" ht="15" hidden="false" customHeight="true" outlineLevel="0" collapsed="false">
      <c r="A35" s="18" t="s">
        <v>54</v>
      </c>
      <c r="B35" s="86" t="str">
        <f aca="false">Projects!$G$13</f>
        <v>Yes</v>
      </c>
      <c r="C35" s="85" t="n">
        <v>45266770</v>
      </c>
      <c r="D35" s="18" t="s">
        <v>276</v>
      </c>
      <c r="E35" s="18" t="s">
        <v>286</v>
      </c>
      <c r="F35" s="18" t="s">
        <v>282</v>
      </c>
      <c r="G35" s="18" t="s">
        <v>282</v>
      </c>
      <c r="H35" s="3"/>
      <c r="I35" s="3"/>
    </row>
    <row r="36" customFormat="false" ht="15" hidden="false" customHeight="true" outlineLevel="0" collapsed="false">
      <c r="A36" s="18" t="s">
        <v>57</v>
      </c>
      <c r="B36" s="86" t="str">
        <f aca="false">Projects!$G$14</f>
        <v>Yes</v>
      </c>
      <c r="C36" s="85" t="n">
        <v>41354632</v>
      </c>
      <c r="D36" s="18" t="s">
        <v>276</v>
      </c>
      <c r="E36" s="18" t="s">
        <v>286</v>
      </c>
      <c r="F36" s="18" t="s">
        <v>282</v>
      </c>
      <c r="G36" s="18" t="s">
        <v>282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287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8" t="s">
        <v>288</v>
      </c>
      <c r="B40" s="87" t="s">
        <v>1</v>
      </c>
      <c r="C40" s="87" t="s">
        <v>2</v>
      </c>
      <c r="D40" s="87" t="s">
        <v>3</v>
      </c>
      <c r="E40" s="87" t="s">
        <v>4</v>
      </c>
      <c r="F40" s="87" t="s">
        <v>5</v>
      </c>
      <c r="G40" s="87" t="s">
        <v>6</v>
      </c>
      <c r="H40" s="87" t="s">
        <v>7</v>
      </c>
      <c r="I40" s="87" t="s">
        <v>8</v>
      </c>
    </row>
    <row r="41" customFormat="false" ht="15" hidden="false" customHeight="true" outlineLevel="0" collapsed="false">
      <c r="A41" s="30" t="s">
        <v>15</v>
      </c>
      <c r="B41" s="69" t="n">
        <f aca="false">'Annual Summary'!B8</f>
        <v>1405537.62</v>
      </c>
      <c r="C41" s="69" t="n">
        <f aca="false">'Annual Summary'!C8</f>
        <v>679001.55</v>
      </c>
      <c r="D41" s="69" t="n">
        <f aca="false">'Annual Summary'!D8</f>
        <v>620319.48</v>
      </c>
      <c r="E41" s="69" t="n">
        <f aca="false">'Annual Summary'!E8</f>
        <v>0</v>
      </c>
      <c r="F41" s="69" t="n">
        <f aca="false">'Annual Summary'!F8</f>
        <v>0</v>
      </c>
      <c r="G41" s="69" t="n">
        <f aca="false">'Annual Summary'!G8</f>
        <v>0</v>
      </c>
      <c r="H41" s="69" t="n">
        <f aca="false">'Annual Summary'!H8</f>
        <v>0</v>
      </c>
      <c r="I41" s="69" t="n">
        <f aca="false">'Annual Summary'!I8</f>
        <v>0</v>
      </c>
    </row>
    <row r="42" customFormat="false" ht="15" hidden="false" customHeight="true" outlineLevel="0" collapsed="false">
      <c r="A42" s="88" t="s">
        <v>21</v>
      </c>
      <c r="B42" s="89" t="n">
        <f aca="false">'Annual Summary'!B15</f>
        <v>-4338997.1242</v>
      </c>
      <c r="C42" s="89" t="n">
        <f aca="false">'Annual Summary'!C15</f>
        <v>-6572262.0413</v>
      </c>
      <c r="D42" s="89" t="n">
        <f aca="false">'Annual Summary'!D15</f>
        <v>-6547139.396626</v>
      </c>
      <c r="E42" s="89" t="n">
        <f aca="false">'Annual Summary'!E15</f>
        <v>-5307176.13375852</v>
      </c>
      <c r="F42" s="89" t="n">
        <f aca="false">'Annual Summary'!F15</f>
        <v>-5413319.65643369</v>
      </c>
      <c r="G42" s="89" t="n">
        <f aca="false">'Annual Summary'!G15</f>
        <v>-5521586.04956237</v>
      </c>
      <c r="H42" s="89" t="n">
        <f aca="false">'Annual Summary'!H15</f>
        <v>-5632017.77055361</v>
      </c>
      <c r="I42" s="89" t="n">
        <f aca="false">'Annual Summary'!I15</f>
        <v>-1414940.42511445</v>
      </c>
    </row>
    <row r="43" customFormat="false" ht="15" hidden="false" customHeight="true" outlineLevel="0" collapsed="false">
      <c r="A43" s="18" t="s">
        <v>22</v>
      </c>
      <c r="B43" s="77" t="n">
        <f aca="false">'Annual Summary'!B16</f>
        <v>2276079.57604322</v>
      </c>
      <c r="C43" s="77" t="n">
        <f aca="false">'Annual Summary'!C16</f>
        <v>2837808.70547033</v>
      </c>
      <c r="D43" s="77" t="n">
        <f aca="false">'Annual Summary'!D16</f>
        <v>1233383.51469378</v>
      </c>
      <c r="E43" s="77" t="n">
        <f aca="false">'Annual Summary'!E16</f>
        <v>-1704179.30421307</v>
      </c>
      <c r="F43" s="77" t="n">
        <f aca="false">'Annual Summary'!F16</f>
        <v>-3690209.98976702</v>
      </c>
      <c r="G43" s="77" t="n">
        <f aca="false">'Annual Summary'!G16</f>
        <v>-5521586.04956237</v>
      </c>
      <c r="H43" s="77" t="n">
        <f aca="false">'Annual Summary'!H16</f>
        <v>-5632017.77055361</v>
      </c>
      <c r="I43" s="77" t="n">
        <f aca="false">'Annual Summary'!I16</f>
        <v>-1414940.42511445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30" t="s">
        <v>23</v>
      </c>
      <c r="B45" s="69" t="n">
        <f aca="false">'Annual Summary'!B18</f>
        <v>0</v>
      </c>
      <c r="C45" s="69" t="n">
        <f aca="false">'Annual Summary'!C18</f>
        <v>0</v>
      </c>
      <c r="D45" s="69" t="n">
        <f aca="false">'Annual Summary'!D18</f>
        <v>0</v>
      </c>
      <c r="E45" s="69" t="n">
        <f aca="false">'Annual Summary'!E18</f>
        <v>0</v>
      </c>
      <c r="F45" s="69" t="n">
        <f aca="false">'Annual Summary'!F18</f>
        <v>0</v>
      </c>
      <c r="G45" s="69" t="n">
        <f aca="false">'Annual Summary'!G18</f>
        <v>0</v>
      </c>
      <c r="H45" s="69" t="n">
        <f aca="false">'Annual Summary'!H18</f>
        <v>0</v>
      </c>
      <c r="I45" s="69" t="n">
        <f aca="false">'Annual Summary'!I18</f>
        <v>0</v>
      </c>
    </row>
    <row r="46" customFormat="false" ht="15" hidden="false" customHeight="true" outlineLevel="0" collapsed="false">
      <c r="A46" s="88" t="s">
        <v>25</v>
      </c>
      <c r="B46" s="89" t="n">
        <f aca="false">'Annual Summary'!B20</f>
        <v>-1120081.25</v>
      </c>
      <c r="C46" s="89" t="n">
        <f aca="false">'Annual Summary'!C20</f>
        <v>-1501176.625</v>
      </c>
      <c r="D46" s="89" t="n">
        <f aca="false">'Annual Summary'!D20</f>
        <v>-1531200.1575</v>
      </c>
      <c r="E46" s="89" t="n">
        <f aca="false">'Annual Summary'!E20</f>
        <v>-1725189.16065</v>
      </c>
      <c r="F46" s="89" t="n">
        <f aca="false">'Annual Summary'!F20</f>
        <v>-2870017.643863</v>
      </c>
      <c r="G46" s="89" t="n">
        <f aca="false">'Annual Summary'!G20</f>
        <v>-2052206.33674026</v>
      </c>
      <c r="H46" s="89" t="n">
        <f aca="false">'Annual Summary'!H20</f>
        <v>-2188891.29387507</v>
      </c>
      <c r="I46" s="89" t="n">
        <f aca="false">'Annual Summary'!I20</f>
        <v>-551856.394668397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88" t="s">
        <v>26</v>
      </c>
      <c r="B48" s="89" t="n">
        <f aca="false">'Annual Summary'!B22</f>
        <v>0</v>
      </c>
      <c r="C48" s="89" t="n">
        <f aca="false">'Annual Summary'!C22</f>
        <v>0</v>
      </c>
      <c r="D48" s="89" t="n">
        <f aca="false">'Annual Summary'!D22</f>
        <v>0</v>
      </c>
      <c r="E48" s="89" t="n">
        <f aca="false">'Annual Summary'!E22</f>
        <v>0</v>
      </c>
      <c r="F48" s="89" t="n">
        <f aca="false">'Annual Summary'!F22</f>
        <v>0</v>
      </c>
      <c r="G48" s="89" t="n">
        <f aca="false">'Annual Summary'!G22</f>
        <v>0</v>
      </c>
      <c r="H48" s="89" t="n">
        <f aca="false">'Annual Summary'!H22</f>
        <v>0</v>
      </c>
      <c r="I48" s="89" t="n">
        <f aca="false">'Annual Summary'!I22</f>
        <v>0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90" t="s">
        <v>44</v>
      </c>
      <c r="B50" s="91" t="n">
        <f aca="false">'Annual Summary'!B43</f>
        <v>-688002.19</v>
      </c>
      <c r="C50" s="91" t="n">
        <f aca="false">'Annual Summary'!C43</f>
        <v>-3201738.49588545</v>
      </c>
      <c r="D50" s="91" t="n">
        <f aca="false">'Annual Summary'!D43</f>
        <v>-2766367.12378544</v>
      </c>
      <c r="E50" s="91" t="n">
        <f aca="false">'Annual Summary'!E43</f>
        <v>-3375129.51803544</v>
      </c>
      <c r="F50" s="91" t="n">
        <f aca="false">'Annual Summary'!F43</f>
        <v>-4442227.01309845</v>
      </c>
      <c r="G50" s="91" t="n">
        <f aca="false">'Annual Summary'!G43</f>
        <v>-5672267.25703871</v>
      </c>
      <c r="H50" s="91" t="n">
        <f aca="false">'Annual Summary'!H43</f>
        <v>-7041165.55091377</v>
      </c>
      <c r="I50" s="91" t="n">
        <f aca="false">'Annual Summary'!I43</f>
        <v>-7362005.94558217</v>
      </c>
    </row>
    <row r="51" customFormat="false" ht="15" hidden="false" customHeight="true" outlineLevel="0" collapsed="false">
      <c r="A51" s="90" t="s">
        <v>41</v>
      </c>
      <c r="B51" s="91" t="n">
        <f aca="false">'Annual Summary'!B41</f>
        <v>0</v>
      </c>
      <c r="C51" s="91" t="n">
        <f aca="false">'Annual Summary'!C41</f>
        <v>0</v>
      </c>
      <c r="D51" s="91" t="n">
        <f aca="false">'Annual Summary'!D41</f>
        <v>0</v>
      </c>
      <c r="E51" s="91" t="n">
        <f aca="false">'Annual Summary'!E41</f>
        <v>0</v>
      </c>
      <c r="F51" s="91" t="n">
        <f aca="false">'Annual Summary'!F41</f>
        <v>0</v>
      </c>
      <c r="G51" s="91" t="n">
        <f aca="false">'Annual Summary'!G41</f>
        <v>0</v>
      </c>
      <c r="H51" s="91" t="n">
        <f aca="false">'Annual Summary'!H41</f>
        <v>0</v>
      </c>
      <c r="I51" s="91" t="n">
        <f aca="false">'Annual Summary'!I41</f>
        <v>0</v>
      </c>
    </row>
    <row r="52" customFormat="false" ht="15" hidden="false" customHeight="true" outlineLevel="0" collapsed="false">
      <c r="A52" s="90" t="s">
        <v>42</v>
      </c>
      <c r="B52" s="91" t="n">
        <f aca="false">'Annual Summary'!B42</f>
        <v>3927995.26604322</v>
      </c>
      <c r="C52" s="91" t="n">
        <f aca="false">'Annual Summary'!C42</f>
        <v>6765803.97151355</v>
      </c>
      <c r="D52" s="91" t="n">
        <f aca="false">'Annual Summary'!D42</f>
        <v>7999187.48620733</v>
      </c>
      <c r="E52" s="91" t="n">
        <f aca="false">'Annual Summary'!E42</f>
        <v>6295008.18199426</v>
      </c>
      <c r="F52" s="91" t="n">
        <f aca="false">'Annual Summary'!F42</f>
        <v>2604798.19222724</v>
      </c>
      <c r="G52" s="91" t="n">
        <f aca="false">'Annual Summary'!G42</f>
        <v>-2916787.85733512</v>
      </c>
      <c r="H52" s="91" t="n">
        <f aca="false">'Annual Summary'!H42</f>
        <v>-8548805.62788873</v>
      </c>
      <c r="I52" s="91" t="n">
        <f aca="false">'Annual Summary'!I42</f>
        <v>-9963746.05300318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18" t="s">
        <v>160</v>
      </c>
      <c r="B54" s="68" t="n">
        <f aca="false">'Annual Summary'!B39</f>
        <v>0</v>
      </c>
      <c r="C54" s="68" t="n">
        <f aca="false">'Annual Summary'!C39</f>
        <v>0</v>
      </c>
      <c r="D54" s="68" t="n">
        <f aca="false">'Annual Summary'!D39</f>
        <v>0</v>
      </c>
      <c r="E54" s="68" t="n">
        <f aca="false">'Annual Summary'!E39</f>
        <v>0</v>
      </c>
      <c r="F54" s="68" t="n">
        <f aca="false">'Annual Summary'!F39</f>
        <v>0</v>
      </c>
      <c r="G54" s="68" t="n">
        <f aca="false">'Annual Summary'!G39</f>
        <v>0</v>
      </c>
      <c r="H54" s="68" t="n">
        <f aca="false">'Annual Summary'!H39</f>
        <v>0</v>
      </c>
      <c r="I54" s="68" t="n">
        <f aca="false">'Annual Summary'!I39</f>
        <v>0</v>
      </c>
    </row>
    <row r="55" customFormat="false" ht="15" hidden="false" customHeight="true" outlineLevel="0" collapsed="false">
      <c r="A55" s="18" t="s">
        <v>289</v>
      </c>
      <c r="B55" s="68" t="n">
        <f aca="false">'Annual Summary'!B37</f>
        <v>0</v>
      </c>
      <c r="C55" s="68" t="n">
        <f aca="false">'Annual Summary'!C37</f>
        <v>0</v>
      </c>
      <c r="D55" s="68" t="n">
        <f aca="false">'Annual Summary'!D37</f>
        <v>0</v>
      </c>
      <c r="E55" s="68" t="n">
        <f aca="false">'Annual Summary'!E37</f>
        <v>0</v>
      </c>
      <c r="F55" s="68" t="n">
        <f aca="false">'Annual Summary'!F37</f>
        <v>0</v>
      </c>
      <c r="G55" s="68" t="n">
        <f aca="false">'Annual Summary'!G37</f>
        <v>0</v>
      </c>
      <c r="H55" s="68" t="n">
        <f aca="false">'Annual Summary'!H37</f>
        <v>0</v>
      </c>
      <c r="I55" s="68" t="n">
        <f aca="false">'Annual Summary'!I37</f>
        <v>0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290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3" t="s">
        <v>291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92" t="s">
        <v>292</v>
      </c>
      <c r="B60" s="93" t="n">
        <v>0.07</v>
      </c>
      <c r="C60" s="93" t="n">
        <v>0.08</v>
      </c>
      <c r="D60" s="93" t="n">
        <v>0.092</v>
      </c>
      <c r="E60" s="93" t="n">
        <v>0.1</v>
      </c>
      <c r="F60" s="93" t="n">
        <v>0.12</v>
      </c>
      <c r="G60" s="3"/>
      <c r="H60" s="3"/>
      <c r="I60" s="3"/>
    </row>
    <row r="61" customFormat="false" ht="15" hidden="false" customHeight="true" outlineLevel="0" collapsed="false">
      <c r="A61" s="94" t="n">
        <v>0.1</v>
      </c>
      <c r="B61" s="81" t="n">
        <v>21535794</v>
      </c>
      <c r="C61" s="81" t="n">
        <v>21353287</v>
      </c>
      <c r="D61" s="81" t="n">
        <v>21138321</v>
      </c>
      <c r="E61" s="81" t="n">
        <v>20997399</v>
      </c>
      <c r="F61" s="81" t="n">
        <v>20653180</v>
      </c>
      <c r="G61" s="3"/>
      <c r="H61" s="3"/>
      <c r="I61" s="3"/>
    </row>
    <row r="62" customFormat="false" ht="15" hidden="false" customHeight="true" outlineLevel="0" collapsed="false">
      <c r="A62" s="94" t="n">
        <v>0.12</v>
      </c>
      <c r="B62" s="81" t="n">
        <v>25408618</v>
      </c>
      <c r="C62" s="81" t="n">
        <v>25196879</v>
      </c>
      <c r="D62" s="81" t="n">
        <v>24947405</v>
      </c>
      <c r="E62" s="81" t="n">
        <v>24783816</v>
      </c>
      <c r="F62" s="81" t="n">
        <v>24384077</v>
      </c>
      <c r="G62" s="3"/>
      <c r="H62" s="3"/>
      <c r="I62" s="3"/>
    </row>
    <row r="63" customFormat="false" ht="15" hidden="false" customHeight="true" outlineLevel="0" collapsed="false">
      <c r="A63" s="94" t="n">
        <v>0.14</v>
      </c>
      <c r="B63" s="81" t="n">
        <v>29153414</v>
      </c>
      <c r="C63" s="81" t="n">
        <v>28914451</v>
      </c>
      <c r="D63" s="95" t="n">
        <v>28632817</v>
      </c>
      <c r="E63" s="81" t="n">
        <v>28448089</v>
      </c>
      <c r="F63" s="81" t="n">
        <v>27996532</v>
      </c>
      <c r="G63" s="3"/>
      <c r="H63" s="3"/>
      <c r="I63" s="3"/>
    </row>
    <row r="64" customFormat="false" ht="15" hidden="false" customHeight="true" outlineLevel="0" collapsed="false">
      <c r="A64" s="94" t="n">
        <v>0.16</v>
      </c>
      <c r="B64" s="81" t="n">
        <v>32776428</v>
      </c>
      <c r="C64" s="81" t="n">
        <v>32512102</v>
      </c>
      <c r="D64" s="81" t="n">
        <v>32200484</v>
      </c>
      <c r="E64" s="81" t="n">
        <v>31996037</v>
      </c>
      <c r="F64" s="81" t="n">
        <v>31496099</v>
      </c>
      <c r="G64" s="3"/>
      <c r="H64" s="3"/>
      <c r="I64" s="3"/>
    </row>
    <row r="65" customFormat="false" ht="15" hidden="false" customHeight="true" outlineLevel="0" collapsed="false">
      <c r="A65" s="94" t="n">
        <v>0.18</v>
      </c>
      <c r="B65" s="81" t="n">
        <v>36283506</v>
      </c>
      <c r="C65" s="81" t="n">
        <v>35995542</v>
      </c>
      <c r="D65" s="81" t="n">
        <v>35655961</v>
      </c>
      <c r="E65" s="81" t="n">
        <v>35433111</v>
      </c>
      <c r="F65" s="81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293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8" t="s">
        <v>294</v>
      </c>
      <c r="B69" s="8" t="s">
        <v>295</v>
      </c>
      <c r="C69" s="8" t="s">
        <v>296</v>
      </c>
      <c r="D69" s="8" t="s">
        <v>297</v>
      </c>
      <c r="E69" s="8" t="s">
        <v>298</v>
      </c>
      <c r="F69" s="8" t="s">
        <v>299</v>
      </c>
      <c r="G69" s="3"/>
      <c r="H69" s="3"/>
      <c r="I69" s="3"/>
    </row>
    <row r="70" customFormat="false" ht="15" hidden="false" customHeight="true" outlineLevel="0" collapsed="false">
      <c r="A70" s="18" t="s">
        <v>300</v>
      </c>
      <c r="B70" s="85" t="n">
        <f aca="false">'Annual Summary'!B41</f>
        <v>0</v>
      </c>
      <c r="C70" s="81" t="n">
        <f aca="false">'Annual Summary'!C41</f>
        <v>0</v>
      </c>
      <c r="D70" s="81" t="n">
        <f aca="false">'Annual Summary'!E41</f>
        <v>0</v>
      </c>
      <c r="E70" s="81" t="n">
        <f aca="false">'Annual Summary'!G41</f>
        <v>0</v>
      </c>
      <c r="F70" s="81" t="n">
        <f aca="false">'Annual Summary'!I41</f>
        <v>0</v>
      </c>
      <c r="G70" s="3"/>
      <c r="H70" s="3"/>
      <c r="I70" s="3"/>
    </row>
    <row r="71" customFormat="false" ht="15" hidden="false" customHeight="true" outlineLevel="0" collapsed="false">
      <c r="A71" s="18" t="s">
        <v>301</v>
      </c>
      <c r="B71" s="85" t="n">
        <f aca="false">'Annual Summary'!B42</f>
        <v>3927995.26604322</v>
      </c>
      <c r="C71" s="81" t="n">
        <f aca="false">'Annual Summary'!C42</f>
        <v>6765803.97151355</v>
      </c>
      <c r="D71" s="81" t="n">
        <f aca="false">'Annual Summary'!E42</f>
        <v>6295008.18199426</v>
      </c>
      <c r="E71" s="81" t="n">
        <f aca="false">'Annual Summary'!G42</f>
        <v>-2916787.85733512</v>
      </c>
      <c r="F71" s="81" t="n">
        <f aca="false">'Annual Summary'!I42</f>
        <v>-9963746.05300318</v>
      </c>
      <c r="G71" s="3"/>
      <c r="H71" s="3"/>
      <c r="I71" s="3"/>
    </row>
    <row r="72" customFormat="false" ht="15" hidden="false" customHeight="true" outlineLevel="0" collapsed="false">
      <c r="A72" s="90" t="s">
        <v>302</v>
      </c>
      <c r="B72" s="96" t="n">
        <f aca="false">'Annual Summary'!B43</f>
        <v>-688002.19</v>
      </c>
      <c r="C72" s="97" t="n">
        <f aca="false">'Annual Summary'!C43</f>
        <v>-3201738.49588545</v>
      </c>
      <c r="D72" s="97" t="n">
        <f aca="false">'Annual Summary'!E43</f>
        <v>-3375129.51803544</v>
      </c>
      <c r="E72" s="97" t="n">
        <f aca="false">'Annual Summary'!G43</f>
        <v>-5672267.25703871</v>
      </c>
      <c r="F72" s="97" t="n">
        <f aca="false">'Annual Summary'!I43</f>
        <v>-7362005.94558217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303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8" t="s">
        <v>269</v>
      </c>
      <c r="B76" s="8" t="s">
        <v>304</v>
      </c>
      <c r="C76" s="8" t="s">
        <v>305</v>
      </c>
      <c r="D76" s="8" t="s">
        <v>306</v>
      </c>
      <c r="E76" s="8" t="s">
        <v>307</v>
      </c>
      <c r="F76" s="8" t="s">
        <v>308</v>
      </c>
      <c r="G76" s="3"/>
      <c r="H76" s="3"/>
      <c r="I76" s="3"/>
    </row>
    <row r="77" customFormat="false" ht="15" hidden="false" customHeight="true" outlineLevel="0" collapsed="false">
      <c r="A77" s="18" t="s">
        <v>50</v>
      </c>
      <c r="B77" s="72" t="n">
        <v>95771</v>
      </c>
      <c r="C77" s="72" t="n">
        <v>60000</v>
      </c>
      <c r="D77" s="72" t="n">
        <v>0</v>
      </c>
      <c r="E77" s="70" t="n">
        <v>155771</v>
      </c>
      <c r="F77" s="63" t="s">
        <v>309</v>
      </c>
      <c r="G77" s="3"/>
      <c r="H77" s="3"/>
      <c r="I77" s="3"/>
    </row>
    <row r="78" customFormat="false" ht="15" hidden="false" customHeight="true" outlineLevel="0" collapsed="false">
      <c r="A78" s="18" t="s">
        <v>51</v>
      </c>
      <c r="B78" s="72" t="n">
        <v>75452</v>
      </c>
      <c r="C78" s="72" t="n">
        <v>60000</v>
      </c>
      <c r="D78" s="72" t="n">
        <v>0</v>
      </c>
      <c r="E78" s="70" t="n">
        <v>135452</v>
      </c>
      <c r="F78" s="63" t="s">
        <v>309</v>
      </c>
      <c r="G78" s="3"/>
      <c r="H78" s="3"/>
      <c r="I78" s="3"/>
    </row>
    <row r="79" customFormat="false" ht="15" hidden="false" customHeight="true" outlineLevel="0" collapsed="false">
      <c r="A79" s="18" t="s">
        <v>49</v>
      </c>
      <c r="B79" s="72" t="n">
        <v>579684</v>
      </c>
      <c r="C79" s="72" t="n">
        <v>150000</v>
      </c>
      <c r="D79" s="72" t="n">
        <v>0</v>
      </c>
      <c r="E79" s="70" t="n">
        <v>729684</v>
      </c>
      <c r="F79" s="63" t="s">
        <v>310</v>
      </c>
      <c r="G79" s="3"/>
      <c r="H79" s="3"/>
      <c r="I79" s="3"/>
    </row>
    <row r="80" customFormat="false" ht="15" hidden="false" customHeight="true" outlineLevel="0" collapsed="false">
      <c r="A80" s="18" t="s">
        <v>54</v>
      </c>
      <c r="B80" s="72" t="n">
        <v>602668</v>
      </c>
      <c r="C80" s="72" t="n">
        <v>150000</v>
      </c>
      <c r="D80" s="72" t="n">
        <v>1450000</v>
      </c>
      <c r="E80" s="70" t="n">
        <v>752668</v>
      </c>
      <c r="F80" s="63" t="s">
        <v>310</v>
      </c>
      <c r="G80" s="3"/>
      <c r="H80" s="3"/>
      <c r="I80" s="3"/>
    </row>
    <row r="81" customFormat="false" ht="15" hidden="false" customHeight="true" outlineLevel="0" collapsed="false">
      <c r="A81" s="18" t="s">
        <v>57</v>
      </c>
      <c r="B81" s="72" t="n">
        <v>563546</v>
      </c>
      <c r="C81" s="72" t="n">
        <v>150000</v>
      </c>
      <c r="D81" s="72" t="n">
        <v>0</v>
      </c>
      <c r="E81" s="70" t="n">
        <v>713546</v>
      </c>
      <c r="F81" s="63" t="s">
        <v>311</v>
      </c>
      <c r="G81" s="3"/>
      <c r="H81" s="3"/>
      <c r="I81" s="3"/>
    </row>
    <row r="82" customFormat="false" ht="15" hidden="false" customHeight="true" outlineLevel="0" collapsed="false">
      <c r="A82" s="30" t="s">
        <v>312</v>
      </c>
      <c r="B82" s="69" t="n">
        <v>1917121</v>
      </c>
      <c r="C82" s="69" t="n">
        <v>570000</v>
      </c>
      <c r="D82" s="69" t="n">
        <v>1450000</v>
      </c>
      <c r="E82" s="69" t="n">
        <v>2487121</v>
      </c>
      <c r="F82" s="30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313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18" t="s">
        <v>314</v>
      </c>
      <c r="B86" s="85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18" t="s">
        <v>315</v>
      </c>
      <c r="B87" s="98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18" t="s">
        <v>316</v>
      </c>
      <c r="B88" s="78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8"/>
      <c r="B89" s="8" t="s">
        <v>1</v>
      </c>
      <c r="C89" s="8" t="s">
        <v>2</v>
      </c>
      <c r="D89" s="8" t="s">
        <v>3</v>
      </c>
      <c r="E89" s="8" t="s">
        <v>4</v>
      </c>
      <c r="F89" s="8" t="s">
        <v>317</v>
      </c>
      <c r="G89" s="3"/>
      <c r="H89" s="3"/>
      <c r="I89" s="3"/>
    </row>
    <row r="90" customFormat="false" ht="15" hidden="false" customHeight="true" outlineLevel="0" collapsed="false">
      <c r="A90" s="71" t="s">
        <v>318</v>
      </c>
      <c r="B90" s="72" t="n">
        <v>0</v>
      </c>
      <c r="C90" s="72" t="n">
        <v>-956261</v>
      </c>
      <c r="D90" s="72" t="n">
        <v>-1465718</v>
      </c>
      <c r="E90" s="72" t="n">
        <v>-967911</v>
      </c>
      <c r="F90" s="72" t="n">
        <v>-3389890</v>
      </c>
      <c r="G90" s="3"/>
      <c r="H90" s="3"/>
      <c r="I90" s="3"/>
    </row>
    <row r="91" customFormat="false" ht="15" hidden="false" customHeight="true" outlineLevel="0" collapsed="false">
      <c r="A91" s="86" t="s">
        <v>319</v>
      </c>
      <c r="B91" s="68" t="n">
        <v>0</v>
      </c>
      <c r="C91" s="68" t="n">
        <v>-441351</v>
      </c>
      <c r="D91" s="68" t="n">
        <v>-676485</v>
      </c>
      <c r="E91" s="68" t="n">
        <v>-446728</v>
      </c>
      <c r="F91" s="68" t="n">
        <v>-1564564</v>
      </c>
      <c r="G91" s="3"/>
      <c r="H91" s="3"/>
      <c r="I91" s="3"/>
    </row>
    <row r="92" customFormat="false" ht="15" hidden="false" customHeight="true" outlineLevel="0" collapsed="false">
      <c r="A92" s="30" t="s">
        <v>320</v>
      </c>
      <c r="B92" s="69" t="n">
        <v>0</v>
      </c>
      <c r="C92" s="69" t="n">
        <v>514910</v>
      </c>
      <c r="D92" s="69" t="n">
        <v>789233</v>
      </c>
      <c r="E92" s="69" t="n">
        <v>521183</v>
      </c>
      <c r="F92" s="69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321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3" t="s">
        <v>322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8"/>
      <c r="B97" s="8" t="s">
        <v>1</v>
      </c>
      <c r="C97" s="8" t="s">
        <v>2</v>
      </c>
      <c r="D97" s="8" t="s">
        <v>3</v>
      </c>
      <c r="E97" s="8" t="s">
        <v>4</v>
      </c>
      <c r="F97" s="3"/>
      <c r="G97" s="3"/>
      <c r="H97" s="3"/>
      <c r="I97" s="3"/>
    </row>
    <row r="98" customFormat="false" ht="15" hidden="false" customHeight="true" outlineLevel="0" collapsed="false">
      <c r="A98" s="18" t="s">
        <v>323</v>
      </c>
      <c r="B98" s="81" t="n">
        <f aca="false">'Annual Summary'!B39</f>
        <v>0</v>
      </c>
      <c r="C98" s="81" t="n">
        <f aca="false">'Annual Summary'!C39</f>
        <v>0</v>
      </c>
      <c r="D98" s="81" t="n">
        <f aca="false">'Annual Summary'!D39</f>
        <v>0</v>
      </c>
      <c r="E98" s="81" t="n">
        <f aca="false">'Annual Summary'!E39</f>
        <v>0</v>
      </c>
      <c r="F98" s="3"/>
      <c r="G98" s="3"/>
      <c r="H98" s="3"/>
      <c r="I98" s="3"/>
    </row>
    <row r="99" customFormat="false" ht="15" hidden="false" customHeight="true" outlineLevel="0" collapsed="false">
      <c r="A99" s="71" t="s">
        <v>324</v>
      </c>
      <c r="B99" s="72" t="n">
        <f aca="false">B98*0.025</f>
        <v>0</v>
      </c>
      <c r="C99" s="72" t="n">
        <f aca="false">C98*0.025</f>
        <v>0</v>
      </c>
      <c r="D99" s="72" t="n">
        <f aca="false">D98*0.025</f>
        <v>0</v>
      </c>
      <c r="E99" s="72" t="n">
        <f aca="false">E98*0.025</f>
        <v>0</v>
      </c>
      <c r="F99" s="3"/>
      <c r="G99" s="3"/>
      <c r="H99" s="3"/>
      <c r="I99" s="3"/>
    </row>
    <row r="100" customFormat="false" ht="15" hidden="false" customHeight="true" outlineLevel="0" collapsed="false">
      <c r="A100" s="18" t="s">
        <v>325</v>
      </c>
      <c r="B100" s="81" t="n">
        <f aca="false">'Annual Summary'!B43</f>
        <v>-688002.19</v>
      </c>
      <c r="C100" s="81" t="n">
        <f aca="false">'Annual Summary'!C43</f>
        <v>-3201738.49588545</v>
      </c>
      <c r="D100" s="81" t="n">
        <f aca="false">'Annual Summary'!D43</f>
        <v>-2766367.12378544</v>
      </c>
      <c r="E100" s="81" t="n">
        <f aca="false">'Annual Summary'!E43</f>
        <v>-3375129.51803544</v>
      </c>
      <c r="F100" s="3"/>
      <c r="G100" s="3"/>
      <c r="H100" s="3"/>
      <c r="I100" s="3"/>
    </row>
    <row r="101" customFormat="false" ht="15" hidden="false" customHeight="true" outlineLevel="0" collapsed="false">
      <c r="A101" s="18" t="s">
        <v>326</v>
      </c>
      <c r="B101" s="81" t="n">
        <f aca="false">'Annual Summary'!B15*0.05</f>
        <v>-216949.85621</v>
      </c>
      <c r="C101" s="81" t="n">
        <f aca="false">'Annual Summary'!C15*0.05</f>
        <v>-328613.102065</v>
      </c>
      <c r="D101" s="81" t="n">
        <f aca="false">'Annual Summary'!D15*0.05</f>
        <v>-327356.9698313</v>
      </c>
      <c r="E101" s="81" t="n">
        <f aca="false">'Annual Summary'!E15*0.05</f>
        <v>-265358.806687926</v>
      </c>
      <c r="F101" s="3"/>
      <c r="G101" s="3"/>
      <c r="H101" s="3"/>
      <c r="I101" s="3"/>
    </row>
    <row r="102" customFormat="false" ht="15" hidden="false" customHeight="true" outlineLevel="0" collapsed="false">
      <c r="A102" s="18" t="s">
        <v>327</v>
      </c>
      <c r="B102" s="81" t="n">
        <f aca="false">B100+B101</f>
        <v>-904952.04621</v>
      </c>
      <c r="C102" s="81" t="n">
        <f aca="false">C100+C101</f>
        <v>-3530351.59795044</v>
      </c>
      <c r="D102" s="81" t="n">
        <f aca="false">D100+D101</f>
        <v>-3093724.09361674</v>
      </c>
      <c r="E102" s="81" t="n">
        <f aca="false">E100+E101</f>
        <v>-3640488.32472337</v>
      </c>
      <c r="F102" s="3"/>
      <c r="G102" s="3"/>
      <c r="H102" s="3"/>
      <c r="I102" s="3"/>
    </row>
    <row r="103" customFormat="false" ht="15" hidden="false" customHeight="true" outlineLevel="0" collapsed="false">
      <c r="A103" s="30" t="s">
        <v>328</v>
      </c>
      <c r="B103" s="69" t="n">
        <f aca="false">B102-B99</f>
        <v>-904952.04621</v>
      </c>
      <c r="C103" s="69" t="n">
        <f aca="false">C102-C99</f>
        <v>-3530351.59795044</v>
      </c>
      <c r="D103" s="69" t="n">
        <f aca="false">D102-D99</f>
        <v>-3093724.09361674</v>
      </c>
      <c r="E103" s="69" t="n">
        <f aca="false">E102-E99</f>
        <v>-3640488.32472337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329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18" t="s">
        <v>330</v>
      </c>
      <c r="B107" s="85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18" t="s">
        <v>331</v>
      </c>
      <c r="B108" s="98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18" t="s">
        <v>332</v>
      </c>
      <c r="B109" s="70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18" t="s">
        <v>333</v>
      </c>
      <c r="B110" s="99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30" t="s">
        <v>334</v>
      </c>
      <c r="B111" s="69" t="n">
        <v>45539868</v>
      </c>
      <c r="C111" s="30"/>
      <c r="D111" s="30"/>
      <c r="E111" s="30"/>
      <c r="F111" s="30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62" t="s">
        <v>335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8"/>
      <c r="B114" s="8" t="s">
        <v>2</v>
      </c>
      <c r="C114" s="8" t="s">
        <v>3</v>
      </c>
      <c r="D114" s="8" t="s">
        <v>4</v>
      </c>
      <c r="E114" s="8" t="s">
        <v>5</v>
      </c>
      <c r="F114" s="8" t="s">
        <v>317</v>
      </c>
      <c r="G114" s="3"/>
      <c r="H114" s="3"/>
      <c r="I114" s="3"/>
    </row>
    <row r="115" customFormat="false" ht="15" hidden="false" customHeight="true" outlineLevel="0" collapsed="false">
      <c r="A115" s="18" t="s">
        <v>336</v>
      </c>
      <c r="B115" s="81" t="n">
        <v>0</v>
      </c>
      <c r="C115" s="81" t="n">
        <v>1896887</v>
      </c>
      <c r="D115" s="81" t="n">
        <v>1379554</v>
      </c>
      <c r="E115" s="81" t="n">
        <v>172444</v>
      </c>
      <c r="F115" s="70" t="n">
        <v>3448885</v>
      </c>
      <c r="G115" s="3"/>
      <c r="H115" s="3"/>
      <c r="I115" s="3"/>
    </row>
    <row r="116" customFormat="false" ht="15" hidden="false" customHeight="true" outlineLevel="0" collapsed="false">
      <c r="A116" s="18" t="s">
        <v>337</v>
      </c>
      <c r="B116" s="81" t="n">
        <v>0</v>
      </c>
      <c r="C116" s="81" t="n">
        <v>603555</v>
      </c>
      <c r="D116" s="81" t="n">
        <v>948444</v>
      </c>
      <c r="E116" s="81" t="n">
        <v>172444</v>
      </c>
      <c r="F116" s="70" t="n">
        <v>1724443</v>
      </c>
      <c r="G116" s="3"/>
      <c r="H116" s="3"/>
      <c r="I116" s="3"/>
    </row>
    <row r="117" customFormat="false" ht="15" hidden="false" customHeight="true" outlineLevel="0" collapsed="false">
      <c r="A117" s="30" t="s">
        <v>338</v>
      </c>
      <c r="B117" s="69" t="n">
        <v>0</v>
      </c>
      <c r="C117" s="69" t="n">
        <v>2500442</v>
      </c>
      <c r="D117" s="69" t="n">
        <v>2327998</v>
      </c>
      <c r="E117" s="69" t="n">
        <v>344888</v>
      </c>
      <c r="F117" s="69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3" t="s">
        <v>339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340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3" t="s">
        <v>341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8"/>
      <c r="B124" s="8" t="s">
        <v>342</v>
      </c>
      <c r="C124" s="8" t="s">
        <v>343</v>
      </c>
      <c r="D124" s="8" t="s">
        <v>235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18" t="s">
        <v>344</v>
      </c>
      <c r="B125" s="85" t="n">
        <v>1450000</v>
      </c>
      <c r="C125" s="27" t="s">
        <v>345</v>
      </c>
      <c r="D125" s="63" t="s">
        <v>346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18" t="s">
        <v>347</v>
      </c>
      <c r="B126" s="72" t="n">
        <v>-1450000</v>
      </c>
      <c r="C126" s="27" t="s">
        <v>348</v>
      </c>
      <c r="D126" s="63" t="s">
        <v>349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18" t="s">
        <v>350</v>
      </c>
      <c r="B127" s="3"/>
      <c r="C127" s="27" t="s">
        <v>351</v>
      </c>
      <c r="D127" s="63" t="s">
        <v>352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30" t="s">
        <v>353</v>
      </c>
      <c r="B128" s="69" t="n">
        <v>0</v>
      </c>
      <c r="C128" s="30" t="s">
        <v>354</v>
      </c>
      <c r="D128" s="30" t="s">
        <v>355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18" t="s">
        <v>356</v>
      </c>
      <c r="B130" s="100" t="n">
        <v>362885</v>
      </c>
      <c r="C130" s="27" t="s">
        <v>357</v>
      </c>
      <c r="D130" s="63" t="s">
        <v>358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30" t="s">
        <v>359</v>
      </c>
      <c r="B131" s="69" t="n">
        <v>1812885</v>
      </c>
      <c r="C131" s="30" t="s">
        <v>360</v>
      </c>
      <c r="D131" s="30" t="s">
        <v>361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362</v>
      </c>
      <c r="B1" s="5" t="s">
        <v>363</v>
      </c>
      <c r="C1" s="5" t="s">
        <v>364</v>
      </c>
      <c r="D1" s="5" t="s">
        <v>365</v>
      </c>
      <c r="E1" s="5" t="s">
        <v>366</v>
      </c>
      <c r="F1" s="5" t="s">
        <v>367</v>
      </c>
      <c r="G1" s="5" t="s">
        <v>368</v>
      </c>
      <c r="H1" s="5" t="s">
        <v>369</v>
      </c>
      <c r="I1" s="5" t="s">
        <v>370</v>
      </c>
      <c r="J1" s="5" t="s">
        <v>371</v>
      </c>
      <c r="K1" s="5" t="s">
        <v>372</v>
      </c>
      <c r="L1" s="5" t="s">
        <v>373</v>
      </c>
      <c r="M1" s="5" t="s">
        <v>374</v>
      </c>
      <c r="N1" s="5" t="s">
        <v>375</v>
      </c>
      <c r="O1" s="5" t="s">
        <v>376</v>
      </c>
      <c r="P1" s="5" t="s">
        <v>377</v>
      </c>
      <c r="Q1" s="5" t="s">
        <v>378</v>
      </c>
      <c r="R1" s="5" t="s">
        <v>379</v>
      </c>
      <c r="S1" s="5" t="s">
        <v>380</v>
      </c>
      <c r="T1" s="5" t="s">
        <v>381</v>
      </c>
      <c r="U1" s="5" t="s">
        <v>382</v>
      </c>
      <c r="V1" s="5" t="s">
        <v>383</v>
      </c>
      <c r="W1" s="5" t="s">
        <v>384</v>
      </c>
      <c r="X1" s="5" t="s">
        <v>385</v>
      </c>
      <c r="Y1" s="5" t="s">
        <v>386</v>
      </c>
      <c r="Z1" s="5" t="s">
        <v>387</v>
      </c>
      <c r="AA1" s="5" t="s">
        <v>388</v>
      </c>
      <c r="AB1" s="5" t="s">
        <v>389</v>
      </c>
      <c r="AC1" s="5" t="s">
        <v>390</v>
      </c>
      <c r="AD1" s="5" t="s">
        <v>391</v>
      </c>
      <c r="AE1" s="5" t="s">
        <v>392</v>
      </c>
      <c r="AF1" s="5" t="s">
        <v>393</v>
      </c>
      <c r="AG1" s="5" t="s">
        <v>394</v>
      </c>
      <c r="AH1" s="5" t="s">
        <v>395</v>
      </c>
      <c r="AI1" s="5" t="s">
        <v>396</v>
      </c>
      <c r="AJ1" s="5" t="s">
        <v>397</v>
      </c>
      <c r="AK1" s="5" t="s">
        <v>398</v>
      </c>
      <c r="AL1" s="5" t="s">
        <v>399</v>
      </c>
      <c r="AM1" s="5" t="s">
        <v>400</v>
      </c>
      <c r="AN1" s="5" t="s">
        <v>401</v>
      </c>
      <c r="AO1" s="5" t="s">
        <v>402</v>
      </c>
    </row>
    <row r="2" customFormat="false" ht="15" hidden="false" customHeight="true" outlineLevel="0" collapsed="false">
      <c r="A2" s="101" t="s">
        <v>403</v>
      </c>
      <c r="B2" s="102" t="n">
        <v>0.016101</v>
      </c>
      <c r="C2" s="102" t="n">
        <v>0.018518</v>
      </c>
      <c r="D2" s="102" t="n">
        <v>0.021087</v>
      </c>
      <c r="E2" s="102" t="n">
        <v>0.023773</v>
      </c>
      <c r="F2" s="102" t="n">
        <v>0.026535</v>
      </c>
      <c r="G2" s="102" t="n">
        <v>0.029323</v>
      </c>
      <c r="H2" s="102" t="n">
        <v>0.032082</v>
      </c>
      <c r="I2" s="102" t="n">
        <v>0.034752</v>
      </c>
      <c r="J2" s="102" t="n">
        <v>0.037269</v>
      </c>
      <c r="K2" s="102" t="n">
        <v>0.039572</v>
      </c>
      <c r="L2" s="102" t="n">
        <v>0.041599</v>
      </c>
      <c r="M2" s="102" t="n">
        <v>0.043295</v>
      </c>
      <c r="N2" s="102" t="n">
        <v>0.044613</v>
      </c>
      <c r="O2" s="102" t="n">
        <v>0.045513</v>
      </c>
      <c r="P2" s="102" t="n">
        <v>0.04597</v>
      </c>
      <c r="Q2" s="102" t="n">
        <v>0.04597</v>
      </c>
      <c r="R2" s="102" t="n">
        <v>0.045513</v>
      </c>
      <c r="S2" s="102" t="n">
        <v>0.044613</v>
      </c>
      <c r="T2" s="102" t="n">
        <v>0.043295</v>
      </c>
      <c r="U2" s="102" t="n">
        <v>0.041599</v>
      </c>
      <c r="V2" s="102" t="n">
        <v>0.039572</v>
      </c>
      <c r="W2" s="102" t="n">
        <v>0.037269</v>
      </c>
      <c r="X2" s="102" t="n">
        <v>0.034752</v>
      </c>
      <c r="Y2" s="102" t="n">
        <v>0.032082</v>
      </c>
      <c r="Z2" s="102" t="n">
        <v>0.029323</v>
      </c>
      <c r="AA2" s="102" t="n">
        <v>0.026535</v>
      </c>
      <c r="AB2" s="102" t="n">
        <v>0.023773</v>
      </c>
      <c r="AC2" s="102" t="n">
        <v>0.021087</v>
      </c>
      <c r="AD2" s="102" t="n">
        <v>0.018518</v>
      </c>
      <c r="AE2" s="102" t="n">
        <v>0.016101</v>
      </c>
    </row>
    <row r="3" customFormat="false" ht="15" hidden="false" customHeight="true" outlineLevel="0" collapsed="false">
      <c r="A3" s="101" t="s">
        <v>404</v>
      </c>
      <c r="B3" s="102" t="n">
        <v>0.020497</v>
      </c>
      <c r="C3" s="102" t="n">
        <v>0.024336</v>
      </c>
      <c r="D3" s="102" t="n">
        <v>0.028445</v>
      </c>
      <c r="E3" s="102" t="n">
        <v>0.032735</v>
      </c>
      <c r="F3" s="102" t="n">
        <v>0.037087</v>
      </c>
      <c r="G3" s="102" t="n">
        <v>0.041368</v>
      </c>
      <c r="H3" s="102" t="n">
        <v>0.045428</v>
      </c>
      <c r="I3" s="102" t="n">
        <v>0.049114</v>
      </c>
      <c r="J3" s="102" t="n">
        <v>0.052278</v>
      </c>
      <c r="K3" s="102" t="n">
        <v>0.054783</v>
      </c>
      <c r="L3" s="102" t="n">
        <v>0.05652</v>
      </c>
      <c r="M3" s="102" t="n">
        <v>0.057409</v>
      </c>
      <c r="N3" s="102" t="n">
        <v>0.057409</v>
      </c>
      <c r="O3" s="102" t="n">
        <v>0.05652</v>
      </c>
      <c r="P3" s="102" t="n">
        <v>0.054783</v>
      </c>
      <c r="Q3" s="102" t="n">
        <v>0.052278</v>
      </c>
      <c r="R3" s="102" t="n">
        <v>0.049114</v>
      </c>
      <c r="S3" s="102" t="n">
        <v>0.045428</v>
      </c>
      <c r="T3" s="102" t="n">
        <v>0.041368</v>
      </c>
      <c r="U3" s="102" t="n">
        <v>0.037087</v>
      </c>
      <c r="V3" s="102" t="n">
        <v>0.032735</v>
      </c>
      <c r="W3" s="102" t="n">
        <v>0.028445</v>
      </c>
      <c r="X3" s="102" t="n">
        <v>0.024336</v>
      </c>
      <c r="Y3" s="102" t="n">
        <v>0.020497</v>
      </c>
    </row>
    <row r="4" customFormat="false" ht="15" hidden="false" customHeight="true" outlineLevel="0" collapsed="false">
      <c r="A4" s="101" t="s">
        <v>405</v>
      </c>
      <c r="B4" s="102" t="n">
        <v>0.026517</v>
      </c>
      <c r="C4" s="102" t="n">
        <v>0.032761</v>
      </c>
      <c r="D4" s="102" t="n">
        <v>0.039482</v>
      </c>
      <c r="E4" s="102" t="n">
        <v>0.046412</v>
      </c>
      <c r="F4" s="102" t="n">
        <v>0.053218</v>
      </c>
      <c r="G4" s="102" t="n">
        <v>0.059522</v>
      </c>
      <c r="H4" s="102" t="n">
        <v>0.064937</v>
      </c>
      <c r="I4" s="102" t="n">
        <v>0.069104</v>
      </c>
      <c r="J4" s="102" t="n">
        <v>0.071732</v>
      </c>
      <c r="K4" s="102" t="n">
        <v>0.07263</v>
      </c>
      <c r="L4" s="102" t="n">
        <v>0.071732</v>
      </c>
      <c r="M4" s="102" t="n">
        <v>0.069104</v>
      </c>
      <c r="N4" s="102" t="n">
        <v>0.064937</v>
      </c>
      <c r="O4" s="102" t="n">
        <v>0.059522</v>
      </c>
      <c r="P4" s="102" t="n">
        <v>0.053218</v>
      </c>
      <c r="Q4" s="102" t="n">
        <v>0.046412</v>
      </c>
      <c r="R4" s="102" t="n">
        <v>0.039482</v>
      </c>
      <c r="S4" s="102" t="n">
        <v>0.032761</v>
      </c>
      <c r="T4" s="102" t="n">
        <v>0.026517</v>
      </c>
    </row>
    <row r="5" customFormat="false" ht="15" hidden="false" customHeight="true" outlineLevel="0" collapsed="false">
      <c r="A5" s="103" t="s">
        <v>406</v>
      </c>
    </row>
    <row r="6" customFormat="false" ht="15" hidden="false" customHeight="true" outlineLevel="0" collapsed="false">
      <c r="A6" s="101" t="s">
        <v>208</v>
      </c>
      <c r="B6" s="102" t="n">
        <v>0.176029532991649</v>
      </c>
      <c r="C6" s="102" t="n">
        <v>0.162818536970001</v>
      </c>
      <c r="D6" s="102" t="n">
        <v>0.148267087201176</v>
      </c>
      <c r="E6" s="102" t="n">
        <v>0.1329235511272</v>
      </c>
      <c r="F6" s="102" t="n">
        <v>0.117325543887316</v>
      </c>
      <c r="G6" s="102" t="n">
        <v>0.101949750904986</v>
      </c>
      <c r="H6" s="102" t="n">
        <v>0.0872226801906742</v>
      </c>
      <c r="I6" s="102" t="n">
        <v>0.073463316726999</v>
      </c>
    </row>
    <row r="7" customFormat="false" ht="15" hidden="false" customHeight="true" outlineLevel="0" collapsed="false">
      <c r="A7" s="101" t="s">
        <v>212</v>
      </c>
      <c r="B7" s="102" t="n">
        <v>0.0725086339616361</v>
      </c>
      <c r="C7" s="102" t="n">
        <v>0.0759830233429035</v>
      </c>
      <c r="D7" s="102" t="n">
        <v>0.0783922107102734</v>
      </c>
      <c r="E7" s="102" t="n">
        <v>0.0796252375206314</v>
      </c>
      <c r="F7" s="102" t="n">
        <v>0.0796252375206314</v>
      </c>
      <c r="G7" s="102" t="n">
        <v>0.0783922107102734</v>
      </c>
      <c r="H7" s="102" t="n">
        <v>0.0759830233429035</v>
      </c>
      <c r="I7" s="102" t="n">
        <v>0.0725086339616361</v>
      </c>
      <c r="J7" s="102" t="n">
        <v>0.0681202235814644</v>
      </c>
      <c r="K7" s="102" t="n">
        <v>0.0630078087074717</v>
      </c>
      <c r="L7" s="102" t="n">
        <v>0.0573766626444195</v>
      </c>
      <c r="M7" s="102" t="n">
        <v>0.051438993606014</v>
      </c>
      <c r="N7" s="102" t="n">
        <v>0.0454028488605945</v>
      </c>
      <c r="O7" s="102" t="n">
        <v>0.0394526969860886</v>
      </c>
      <c r="P7" s="102" t="n">
        <v>0.0337535888153789</v>
      </c>
      <c r="Q7" s="102" t="n">
        <v>0.02842896572768</v>
      </c>
    </row>
    <row r="8" customFormat="false" ht="15" hidden="false" customHeight="true" outlineLevel="0" collapsed="false">
      <c r="A8" s="101" t="s">
        <v>156</v>
      </c>
      <c r="B8" s="102" t="n">
        <v>0.0622557988273664</v>
      </c>
      <c r="C8" s="102" t="n">
        <v>0.0696303817844058</v>
      </c>
      <c r="D8" s="102" t="n">
        <v>0.0759649894481697</v>
      </c>
      <c r="E8" s="102" t="n">
        <v>0.0808396542930274</v>
      </c>
      <c r="F8" s="102" t="n">
        <v>0.0839139569597627</v>
      </c>
      <c r="G8" s="102" t="n">
        <v>0.0849644606868282</v>
      </c>
      <c r="H8" s="102" t="n">
        <v>0.0839139569597627</v>
      </c>
      <c r="I8" s="102" t="n">
        <v>0.0808396542930274</v>
      </c>
      <c r="J8" s="102" t="n">
        <v>0.0759649894481697</v>
      </c>
      <c r="K8" s="102" t="n">
        <v>0.0696303817844058</v>
      </c>
      <c r="L8" s="102" t="n">
        <v>0.0622557988273664</v>
      </c>
      <c r="M8" s="102" t="n">
        <v>0.0542939632300299</v>
      </c>
      <c r="N8" s="102" t="n">
        <v>0.0461870692115841</v>
      </c>
      <c r="O8" s="102" t="n">
        <v>0.038324668822266</v>
      </c>
      <c r="P8" s="102" t="n">
        <v>0.031020275423828</v>
      </c>
    </row>
    <row r="9" customFormat="false" ht="15" hidden="false" customHeight="true" outlineLevel="0" collapsed="false">
      <c r="A9" s="101" t="s">
        <v>157</v>
      </c>
      <c r="B9" s="102" t="n">
        <v>0.0622557988273664</v>
      </c>
      <c r="C9" s="102" t="n">
        <v>0.0696303817844058</v>
      </c>
      <c r="D9" s="102" t="n">
        <v>0.0759649894481697</v>
      </c>
      <c r="E9" s="102" t="n">
        <v>0.0808396542930274</v>
      </c>
      <c r="F9" s="102" t="n">
        <v>0.0839139569597627</v>
      </c>
      <c r="G9" s="102" t="n">
        <v>0.0849644606868282</v>
      </c>
      <c r="H9" s="102" t="n">
        <v>0.0839139569597627</v>
      </c>
      <c r="I9" s="102" t="n">
        <v>0.0808396542930274</v>
      </c>
      <c r="J9" s="102" t="n">
        <v>0.0759649894481697</v>
      </c>
      <c r="K9" s="102" t="n">
        <v>0.0696303817844058</v>
      </c>
      <c r="L9" s="102" t="n">
        <v>0.0622557988273664</v>
      </c>
      <c r="M9" s="102" t="n">
        <v>0.0542939632300299</v>
      </c>
      <c r="N9" s="102" t="n">
        <v>0.0461870692115841</v>
      </c>
      <c r="O9" s="102" t="n">
        <v>0.038324668822266</v>
      </c>
      <c r="P9" s="102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04" t="s">
        <v>407</v>
      </c>
      <c r="B1" s="104"/>
      <c r="C1" s="104"/>
      <c r="D1" s="104"/>
    </row>
    <row r="3" customFormat="false" ht="15" hidden="false" customHeight="true" outlineLevel="0" collapsed="false">
      <c r="A3" s="8" t="s">
        <v>408</v>
      </c>
      <c r="B3" s="8"/>
      <c r="C3" s="8"/>
      <c r="D3" s="8"/>
    </row>
    <row r="4" customFormat="false" ht="15" hidden="false" customHeight="true" outlineLevel="0" collapsed="false">
      <c r="A4" s="101" t="s">
        <v>409</v>
      </c>
      <c r="B4" s="102" t="n">
        <v>0.06</v>
      </c>
    </row>
    <row r="5" customFormat="false" ht="15" hidden="false" customHeight="true" outlineLevel="0" collapsed="false">
      <c r="A5" s="101" t="s">
        <v>239</v>
      </c>
      <c r="B5" s="102" t="n">
        <v>0.06</v>
      </c>
    </row>
    <row r="6" customFormat="false" ht="15" hidden="false" customHeight="true" outlineLevel="0" collapsed="false">
      <c r="A6" s="101" t="s">
        <v>410</v>
      </c>
      <c r="B6" s="102" t="n">
        <v>0.02</v>
      </c>
    </row>
    <row r="7" customFormat="false" ht="15" hidden="false" customHeight="true" outlineLevel="0" collapsed="false">
      <c r="A7" s="101" t="s">
        <v>411</v>
      </c>
      <c r="B7" s="105" t="n">
        <f aca="false">B4+B5+B6</f>
        <v>0.14</v>
      </c>
    </row>
    <row r="8" customFormat="false" ht="15" hidden="false" customHeight="true" outlineLevel="0" collapsed="false">
      <c r="A8" s="101" t="s">
        <v>242</v>
      </c>
      <c r="B8" s="102" t="n">
        <v>0.092</v>
      </c>
    </row>
    <row r="9" customFormat="false" ht="15" hidden="false" customHeight="true" outlineLevel="0" collapsed="false">
      <c r="A9" s="101" t="s">
        <v>412</v>
      </c>
      <c r="B9" s="105" t="n">
        <f aca="false">B7/(1+B7+B8)</f>
        <v>0.113636363636364</v>
      </c>
    </row>
    <row r="10" customFormat="false" ht="15" hidden="false" customHeight="true" outlineLevel="0" collapsed="false">
      <c r="A10" s="101" t="s">
        <v>413</v>
      </c>
      <c r="B10" s="105" t="n">
        <f aca="false">B4/(1+B7+B8)</f>
        <v>0.0487012987012987</v>
      </c>
    </row>
    <row r="11" customFormat="false" ht="15" hidden="false" customHeight="true" outlineLevel="0" collapsed="false">
      <c r="A11" s="101" t="s">
        <v>414</v>
      </c>
      <c r="B11" s="105" t="n">
        <f aca="false">B5/(1+B7+B8)</f>
        <v>0.0487012987012987</v>
      </c>
    </row>
    <row r="12" customFormat="false" ht="15" hidden="false" customHeight="true" outlineLevel="0" collapsed="false">
      <c r="A12" s="101" t="s">
        <v>415</v>
      </c>
      <c r="B12" s="105" t="n">
        <f aca="false">B6/(1+B7+B8)</f>
        <v>0.0162337662337662</v>
      </c>
    </row>
    <row r="14" customFormat="false" ht="15" hidden="false" customHeight="true" outlineLevel="0" collapsed="false">
      <c r="A14" s="8" t="s">
        <v>416</v>
      </c>
      <c r="B14" s="8"/>
      <c r="C14" s="8"/>
      <c r="D14" s="8"/>
    </row>
    <row r="15" customFormat="false" ht="15" hidden="false" customHeight="true" outlineLevel="0" collapsed="false">
      <c r="A15" s="101" t="s">
        <v>246</v>
      </c>
      <c r="B15" s="102" t="n">
        <v>0.015</v>
      </c>
    </row>
    <row r="16" customFormat="false" ht="15" hidden="false" customHeight="true" outlineLevel="0" collapsed="false">
      <c r="A16" s="101" t="s">
        <v>248</v>
      </c>
      <c r="B16" s="102" t="n">
        <v>0.0074</v>
      </c>
    </row>
    <row r="17" customFormat="false" ht="15" hidden="false" customHeight="true" outlineLevel="0" collapsed="false">
      <c r="A17" s="101" t="s">
        <v>250</v>
      </c>
      <c r="B17" s="102" t="n">
        <v>0.0325</v>
      </c>
    </row>
    <row r="19" customFormat="false" ht="15" hidden="false" customHeight="true" outlineLevel="0" collapsed="false">
      <c r="A19" s="8" t="s">
        <v>417</v>
      </c>
      <c r="B19" s="8"/>
      <c r="C19" s="8"/>
      <c r="D19" s="8"/>
    </row>
    <row r="20" customFormat="false" ht="15" hidden="false" customHeight="true" outlineLevel="0" collapsed="false">
      <c r="A20" s="101" t="s">
        <v>418</v>
      </c>
      <c r="B20" s="102" t="n">
        <v>0.15</v>
      </c>
    </row>
    <row r="21" customFormat="false" ht="15" hidden="false" customHeight="true" outlineLevel="0" collapsed="false">
      <c r="A21" s="101" t="s">
        <v>419</v>
      </c>
      <c r="B21" s="102" t="n">
        <v>0.005</v>
      </c>
    </row>
    <row r="22" customFormat="false" ht="15" hidden="false" customHeight="true" outlineLevel="0" collapsed="false">
      <c r="A22" s="101" t="s">
        <v>420</v>
      </c>
      <c r="B22" s="102" t="n">
        <v>0.121</v>
      </c>
    </row>
    <row r="23" customFormat="false" ht="15" hidden="false" customHeight="true" outlineLevel="0" collapsed="false">
      <c r="A23" s="101" t="s">
        <v>421</v>
      </c>
      <c r="B23" s="102" t="n">
        <v>0.009</v>
      </c>
    </row>
    <row r="25" customFormat="false" ht="15" hidden="false" customHeight="true" outlineLevel="0" collapsed="false">
      <c r="A25" s="8" t="s">
        <v>422</v>
      </c>
      <c r="B25" s="8"/>
      <c r="C25" s="8"/>
      <c r="D25" s="8"/>
    </row>
    <row r="26" customFormat="false" ht="15" hidden="false" customHeight="true" outlineLevel="0" collapsed="false">
      <c r="A26" s="101" t="s">
        <v>423</v>
      </c>
      <c r="B26" s="78" t="n">
        <v>0.02</v>
      </c>
    </row>
    <row r="28" customFormat="false" ht="15" hidden="false" customHeight="true" outlineLevel="0" collapsed="false">
      <c r="A28" s="8" t="s">
        <v>424</v>
      </c>
      <c r="B28" s="8"/>
      <c r="C28" s="8"/>
      <c r="D28" s="8"/>
    </row>
    <row r="29" customFormat="false" ht="15" hidden="false" customHeight="true" outlineLevel="0" collapsed="false">
      <c r="A29" s="101" t="s">
        <v>425</v>
      </c>
      <c r="B29" s="80" t="n">
        <v>1651915.69</v>
      </c>
    </row>
    <row r="30" customFormat="false" ht="15" hidden="false" customHeight="true" outlineLevel="0" collapsed="false">
      <c r="A30" s="101" t="s">
        <v>426</v>
      </c>
      <c r="B30" s="80" t="n">
        <v>451631.16</v>
      </c>
    </row>
    <row r="32" customFormat="false" ht="15" hidden="false" customHeight="true" outlineLevel="0" collapsed="false">
      <c r="A32" s="8" t="s">
        <v>427</v>
      </c>
      <c r="B32" s="8"/>
      <c r="C32" s="8"/>
      <c r="D32" s="8"/>
    </row>
    <row r="33" customFormat="false" ht="15" hidden="false" customHeight="true" outlineLevel="0" collapsed="false">
      <c r="A33" s="101" t="s">
        <v>428</v>
      </c>
      <c r="B33" s="80" t="n">
        <v>1615485</v>
      </c>
    </row>
    <row r="34" customFormat="false" ht="15" hidden="false" customHeight="true" outlineLevel="0" collapsed="false">
      <c r="A34" s="101" t="s">
        <v>429</v>
      </c>
      <c r="B34" s="102" t="n">
        <v>0.15</v>
      </c>
    </row>
    <row r="35" customFormat="false" ht="15" hidden="false" customHeight="true" outlineLevel="0" collapsed="false">
      <c r="A35" s="101" t="s">
        <v>430</v>
      </c>
      <c r="B35" s="105" t="n">
        <f aca="false">B34/4</f>
        <v>0.0375</v>
      </c>
    </row>
    <row r="36" customFormat="false" ht="15" hidden="false" customHeight="true" outlineLevel="0" collapsed="false">
      <c r="A36" s="101" t="s">
        <v>431</v>
      </c>
      <c r="B36" s="80" t="n">
        <v>130000</v>
      </c>
    </row>
    <row r="37" customFormat="false" ht="15" hidden="false" customHeight="true" outlineLevel="0" collapsed="false">
      <c r="A37" s="101" t="s">
        <v>432</v>
      </c>
      <c r="B37" s="106" t="n">
        <v>7</v>
      </c>
    </row>
    <row r="38" customFormat="false" ht="15" hidden="false" customHeight="true" outlineLevel="0" collapsed="false">
      <c r="A38" s="107" t="s">
        <v>433</v>
      </c>
    </row>
    <row r="40" customFormat="false" ht="15" hidden="false" customHeight="true" outlineLevel="0" collapsed="false">
      <c r="A40" s="8" t="s">
        <v>434</v>
      </c>
      <c r="B40" s="8"/>
      <c r="C40" s="8"/>
      <c r="D40" s="8"/>
    </row>
    <row r="41" customFormat="false" ht="15" hidden="false" customHeight="true" outlineLevel="0" collapsed="false">
      <c r="A41" s="101" t="s">
        <v>435</v>
      </c>
      <c r="B41" s="80" t="n">
        <v>1000000</v>
      </c>
    </row>
    <row r="42" customFormat="false" ht="15" hidden="false" customHeight="true" outlineLevel="0" collapsed="false">
      <c r="A42" s="101" t="s">
        <v>436</v>
      </c>
      <c r="B42" s="108" t="n">
        <f aca="false">B41*0.25</f>
        <v>250000</v>
      </c>
    </row>
    <row r="43" customFormat="false" ht="15" hidden="false" customHeight="true" outlineLevel="0" collapsed="false">
      <c r="A43" s="101" t="s">
        <v>437</v>
      </c>
      <c r="B43" s="80" t="n">
        <v>1000000</v>
      </c>
    </row>
    <row r="44" customFormat="false" ht="15" hidden="false" customHeight="true" outlineLevel="0" collapsed="false">
      <c r="A44" s="107" t="s">
        <v>438</v>
      </c>
    </row>
    <row r="46" customFormat="false" ht="15" hidden="false" customHeight="true" outlineLevel="0" collapsed="false">
      <c r="A46" s="8" t="s">
        <v>439</v>
      </c>
      <c r="B46" s="8"/>
      <c r="C46" s="8"/>
      <c r="D46" s="8"/>
    </row>
    <row r="47" customFormat="false" ht="15" hidden="false" customHeight="true" outlineLevel="0" collapsed="false">
      <c r="A47" s="101" t="s">
        <v>440</v>
      </c>
      <c r="B47" s="102" t="n">
        <v>0.01</v>
      </c>
    </row>
    <row r="48" customFormat="false" ht="15" hidden="false" customHeight="true" outlineLevel="0" collapsed="false">
      <c r="A48" s="101" t="s">
        <v>441</v>
      </c>
      <c r="B48" s="102" t="n">
        <v>0.03</v>
      </c>
    </row>
    <row r="50" customFormat="false" ht="15" hidden="false" customHeight="true" outlineLevel="0" collapsed="false">
      <c r="A50" s="8" t="s">
        <v>442</v>
      </c>
      <c r="B50" s="8"/>
      <c r="C50" s="109"/>
      <c r="D50" s="8"/>
    </row>
    <row r="51" customFormat="false" ht="15" hidden="false" customHeight="true" outlineLevel="0" collapsed="false">
      <c r="A51" s="101" t="s">
        <v>50</v>
      </c>
      <c r="B51" s="80" t="n">
        <v>2000000</v>
      </c>
    </row>
    <row r="52" customFormat="false" ht="15" hidden="false" customHeight="true" outlineLevel="0" collapsed="false">
      <c r="A52" s="101" t="s">
        <v>51</v>
      </c>
      <c r="B52" s="80" t="n">
        <v>2000000</v>
      </c>
    </row>
    <row r="53" customFormat="false" ht="15" hidden="false" customHeight="true" outlineLevel="0" collapsed="false">
      <c r="A53" s="101" t="s">
        <v>49</v>
      </c>
      <c r="B53" s="80" t="n">
        <v>5000000</v>
      </c>
      <c r="C53" s="110"/>
    </row>
    <row r="54" customFormat="false" ht="15" hidden="false" customHeight="true" outlineLevel="0" collapsed="false">
      <c r="A54" s="101" t="s">
        <v>54</v>
      </c>
      <c r="B54" s="80" t="n">
        <v>5000000</v>
      </c>
      <c r="C54" s="110"/>
    </row>
    <row r="55" customFormat="false" ht="15" hidden="false" customHeight="true" outlineLevel="0" collapsed="false">
      <c r="A55" s="101" t="s">
        <v>57</v>
      </c>
      <c r="B55" s="80" t="n">
        <v>5000000</v>
      </c>
      <c r="C55" s="110"/>
    </row>
    <row r="57" customFormat="false" ht="15" hidden="false" customHeight="true" outlineLevel="0" collapsed="false">
      <c r="A57" s="8" t="s">
        <v>443</v>
      </c>
      <c r="B57" s="8"/>
      <c r="C57" s="8"/>
      <c r="D57" s="8"/>
    </row>
    <row r="58" customFormat="false" ht="15" hidden="false" customHeight="true" outlineLevel="0" collapsed="false">
      <c r="A58" s="101" t="s">
        <v>444</v>
      </c>
      <c r="B58" s="102" t="n">
        <v>0.15</v>
      </c>
    </row>
    <row r="59" customFormat="false" ht="15" hidden="false" customHeight="true" outlineLevel="0" collapsed="false">
      <c r="A59" s="101" t="s">
        <v>445</v>
      </c>
      <c r="B59" s="105" t="n">
        <f aca="false">B58/4</f>
        <v>0.0375</v>
      </c>
    </row>
    <row r="60" customFormat="false" ht="15" hidden="false" customHeight="true" outlineLevel="0" collapsed="false">
      <c r="A60" s="101" t="s">
        <v>446</v>
      </c>
      <c r="B60" s="80" t="n">
        <v>0</v>
      </c>
    </row>
    <row r="61" customFormat="false" ht="15" hidden="false" customHeight="true" outlineLevel="0" collapsed="false">
      <c r="A61" s="101" t="s">
        <v>447</v>
      </c>
      <c r="B61" s="80" t="n">
        <v>0</v>
      </c>
    </row>
    <row r="62" customFormat="false" ht="15" hidden="false" customHeight="true" outlineLevel="0" collapsed="false">
      <c r="A62" s="101" t="s">
        <v>448</v>
      </c>
      <c r="B62" s="80" t="n">
        <v>1784000</v>
      </c>
    </row>
    <row r="63" customFormat="false" ht="15" hidden="false" customHeight="true" outlineLevel="0" collapsed="false">
      <c r="A63" s="101" t="s">
        <v>449</v>
      </c>
      <c r="B63" s="80" t="n">
        <v>1766181</v>
      </c>
    </row>
    <row r="64" customFormat="false" ht="15" hidden="false" customHeight="true" outlineLevel="0" collapsed="false">
      <c r="A64" s="107" t="s">
        <v>450</v>
      </c>
    </row>
    <row r="66" customFormat="false" ht="15" hidden="false" customHeight="true" outlineLevel="0" collapsed="false">
      <c r="A66" s="6" t="s">
        <v>86</v>
      </c>
    </row>
    <row r="67" customFormat="false" ht="15" hidden="false" customHeight="true" outlineLevel="0" collapsed="false">
      <c r="A67" s="110" t="s">
        <v>451</v>
      </c>
      <c r="B67" s="111" t="n">
        <v>833.33</v>
      </c>
    </row>
    <row r="68" customFormat="false" ht="15" hidden="false" customHeight="true" outlineLevel="0" collapsed="false">
      <c r="A68" s="110" t="s">
        <v>452</v>
      </c>
      <c r="B68" s="110" t="n">
        <v>5</v>
      </c>
    </row>
    <row r="70" customFormat="false" ht="15" hidden="false" customHeight="true" outlineLevel="0" collapsed="false">
      <c r="A70" s="112" t="s">
        <v>453</v>
      </c>
      <c r="B70" s="112"/>
    </row>
    <row r="71" customFormat="false" ht="15" hidden="false" customHeight="true" outlineLevel="0" collapsed="false">
      <c r="A71" s="113" t="s">
        <v>454</v>
      </c>
      <c r="B71" s="114" t="n">
        <v>1134000</v>
      </c>
    </row>
    <row r="72" customFormat="false" ht="15" hidden="false" customHeight="true" outlineLevel="0" collapsed="false">
      <c r="A72" s="115" t="s">
        <v>455</v>
      </c>
      <c r="B72" s="116" t="n">
        <v>50000</v>
      </c>
    </row>
    <row r="73" customFormat="false" ht="15" hidden="false" customHeight="true" outlineLevel="0" collapsed="false">
      <c r="A73" s="113" t="s">
        <v>456</v>
      </c>
      <c r="B73" s="117" t="n">
        <v>14</v>
      </c>
    </row>
    <row r="74" customFormat="false" ht="15" hidden="false" customHeight="true" outlineLevel="0" collapsed="false">
      <c r="A74" s="115" t="s">
        <v>152</v>
      </c>
      <c r="B74" s="116" t="n">
        <v>-1450000</v>
      </c>
    </row>
    <row r="75" customFormat="false" ht="15" hidden="false" customHeight="true" outlineLevel="0" collapsed="false">
      <c r="A75" s="113" t="s">
        <v>457</v>
      </c>
      <c r="B75" s="114" t="n">
        <v>264927.15</v>
      </c>
    </row>
    <row r="76" customFormat="false" ht="15" hidden="false" customHeight="true" outlineLevel="0" collapsed="false">
      <c r="A76" s="115" t="s">
        <v>458</v>
      </c>
      <c r="B76" s="116" t="n">
        <v>883090.5</v>
      </c>
    </row>
    <row r="77" customFormat="false" ht="15" hidden="false" customHeight="true" outlineLevel="0" collapsed="false">
      <c r="A77" s="113" t="s">
        <v>147</v>
      </c>
      <c r="B77" s="114" t="n">
        <v>-1800000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12" min="3" style="1" width="14"/>
  </cols>
  <sheetData>
    <row r="1" customFormat="false" ht="27.75" hidden="false" customHeight="true" outlineLevel="0" collapsed="false">
      <c r="A1" s="28" t="s">
        <v>269</v>
      </c>
      <c r="B1" s="28" t="s">
        <v>459</v>
      </c>
      <c r="C1" s="28" t="s">
        <v>460</v>
      </c>
      <c r="D1" s="28" t="s">
        <v>273</v>
      </c>
      <c r="E1" s="28" t="s">
        <v>362</v>
      </c>
      <c r="F1" s="28" t="s">
        <v>461</v>
      </c>
      <c r="G1" s="28" t="s">
        <v>270</v>
      </c>
      <c r="H1" s="28" t="s">
        <v>462</v>
      </c>
      <c r="I1" s="28" t="s">
        <v>463</v>
      </c>
      <c r="J1" s="28" t="s">
        <v>464</v>
      </c>
      <c r="K1" s="28" t="s">
        <v>275</v>
      </c>
      <c r="L1" s="28" t="s">
        <v>272</v>
      </c>
    </row>
    <row r="2" customFormat="false" ht="15" hidden="false" customHeight="true" outlineLevel="0" collapsed="false">
      <c r="A2" s="101" t="s">
        <v>208</v>
      </c>
      <c r="B2" s="118" t="n">
        <v>5321971</v>
      </c>
      <c r="C2" s="119" t="n">
        <v>1</v>
      </c>
      <c r="D2" s="119" t="n">
        <v>8</v>
      </c>
      <c r="E2" s="119" t="n">
        <v>2</v>
      </c>
      <c r="F2" s="119" t="s">
        <v>278</v>
      </c>
      <c r="G2" s="119" t="s">
        <v>282</v>
      </c>
      <c r="H2" s="119" t="n">
        <v>0</v>
      </c>
      <c r="I2" s="105" t="n">
        <f aca="false">IF(H2=1,Assumptions!$B$16,IF(H2=2,Assumptions!$B$17,0))</f>
        <v>0</v>
      </c>
      <c r="J2" s="119" t="s">
        <v>278</v>
      </c>
      <c r="K2" s="119" t="s">
        <v>278</v>
      </c>
      <c r="L2" s="119" t="s">
        <v>465</v>
      </c>
    </row>
    <row r="3" customFormat="false" ht="15" hidden="false" customHeight="true" outlineLevel="0" collapsed="false">
      <c r="A3" s="101" t="s">
        <v>212</v>
      </c>
      <c r="B3" s="118" t="n">
        <v>19982132</v>
      </c>
      <c r="C3" s="119" t="n">
        <v>1</v>
      </c>
      <c r="D3" s="119" t="n">
        <v>16</v>
      </c>
      <c r="E3" s="119" t="n">
        <v>2</v>
      </c>
      <c r="F3" s="119" t="s">
        <v>278</v>
      </c>
      <c r="G3" s="119" t="s">
        <v>282</v>
      </c>
      <c r="H3" s="119" t="n">
        <v>0</v>
      </c>
      <c r="I3" s="105" t="n">
        <f aca="false">IF(H3=1,Assumptions!$B$16,IF(H3=2,Assumptions!$B$17,0))</f>
        <v>0</v>
      </c>
      <c r="J3" s="119" t="s">
        <v>278</v>
      </c>
      <c r="K3" s="119" t="s">
        <v>278</v>
      </c>
      <c r="L3" s="119" t="s">
        <v>465</v>
      </c>
    </row>
    <row r="4" customFormat="false" ht="15" hidden="false" customHeight="true" outlineLevel="0" collapsed="false">
      <c r="A4" s="101" t="s">
        <v>156</v>
      </c>
      <c r="B4" s="118" t="n">
        <v>11673185</v>
      </c>
      <c r="C4" s="119" t="n">
        <v>1</v>
      </c>
      <c r="D4" s="119" t="n">
        <v>15</v>
      </c>
      <c r="E4" s="119" t="n">
        <v>3</v>
      </c>
      <c r="F4" s="119" t="s">
        <v>282</v>
      </c>
      <c r="G4" s="119" t="s">
        <v>282</v>
      </c>
      <c r="H4" s="119" t="n">
        <v>1</v>
      </c>
      <c r="I4" s="105" t="n">
        <f aca="false">IF(H4=1,Assumptions!$B$16,IF(H4=2,Assumptions!$B$17,0))</f>
        <v>0.0074</v>
      </c>
      <c r="J4" s="119" t="s">
        <v>278</v>
      </c>
      <c r="K4" s="119" t="s">
        <v>282</v>
      </c>
      <c r="L4" s="119" t="s">
        <v>466</v>
      </c>
    </row>
    <row r="5" customFormat="false" ht="15" hidden="false" customHeight="true" outlineLevel="0" collapsed="false">
      <c r="A5" s="101" t="s">
        <v>157</v>
      </c>
      <c r="B5" s="118" t="n">
        <v>13492534</v>
      </c>
      <c r="C5" s="119" t="n">
        <v>1</v>
      </c>
      <c r="D5" s="119" t="n">
        <v>15</v>
      </c>
      <c r="E5" s="119" t="n">
        <v>3</v>
      </c>
      <c r="F5" s="119" t="s">
        <v>282</v>
      </c>
      <c r="G5" s="119" t="s">
        <v>282</v>
      </c>
      <c r="H5" s="119" t="n">
        <v>1</v>
      </c>
      <c r="I5" s="105" t="n">
        <f aca="false">IF(H5=1,Assumptions!$B$16,IF(H5=2,Assumptions!$B$17,0))</f>
        <v>0.0074</v>
      </c>
      <c r="J5" s="119" t="s">
        <v>278</v>
      </c>
      <c r="K5" s="119" t="s">
        <v>282</v>
      </c>
      <c r="L5" s="119" t="s">
        <v>466</v>
      </c>
    </row>
    <row r="6" customFormat="false" ht="15" hidden="false" customHeight="true" outlineLevel="0" collapsed="false">
      <c r="A6" s="101" t="s">
        <v>283</v>
      </c>
      <c r="B6" s="118" t="n">
        <v>4052747</v>
      </c>
      <c r="C6" s="119" t="n">
        <v>1</v>
      </c>
      <c r="D6" s="119" t="n">
        <v>19</v>
      </c>
      <c r="E6" s="119" t="n">
        <v>3</v>
      </c>
      <c r="F6" s="119" t="s">
        <v>278</v>
      </c>
      <c r="G6" s="119" t="s">
        <v>282</v>
      </c>
      <c r="H6" s="119" t="n">
        <v>0</v>
      </c>
      <c r="I6" s="105" t="n">
        <f aca="false">IF(H6=1,Assumptions!$B$16,IF(H6=2,Assumptions!$B$17,0))</f>
        <v>0</v>
      </c>
      <c r="J6" s="119" t="s">
        <v>278</v>
      </c>
      <c r="K6" s="119" t="s">
        <v>282</v>
      </c>
      <c r="L6" s="119" t="s">
        <v>466</v>
      </c>
    </row>
    <row r="7" customFormat="false" ht="15" hidden="false" customHeight="true" outlineLevel="0" collapsed="false">
      <c r="A7" s="101" t="s">
        <v>49</v>
      </c>
      <c r="B7" s="118" t="n">
        <v>42968448</v>
      </c>
      <c r="C7" s="119" t="n">
        <v>4</v>
      </c>
      <c r="D7" s="119" t="n">
        <v>30</v>
      </c>
      <c r="E7" s="119" t="n">
        <v>1</v>
      </c>
      <c r="F7" s="119" t="s">
        <v>282</v>
      </c>
      <c r="G7" s="119" t="s">
        <v>282</v>
      </c>
      <c r="H7" s="119" t="n">
        <v>1</v>
      </c>
      <c r="I7" s="105" t="n">
        <f aca="false">IF(H7=1,Assumptions!$B$16,IF(H7=2,Assumptions!$B$17,0))</f>
        <v>0.0074</v>
      </c>
      <c r="J7" s="119" t="s">
        <v>282</v>
      </c>
      <c r="K7" s="119" t="s">
        <v>282</v>
      </c>
      <c r="L7" s="119" t="s">
        <v>465</v>
      </c>
    </row>
    <row r="8" customFormat="false" ht="15" hidden="false" customHeight="true" outlineLevel="0" collapsed="false">
      <c r="A8" s="101" t="s">
        <v>158</v>
      </c>
      <c r="B8" s="118" t="n">
        <v>13625772</v>
      </c>
      <c r="C8" s="119" t="n">
        <v>7</v>
      </c>
      <c r="D8" s="119" t="n">
        <v>19</v>
      </c>
      <c r="E8" s="119" t="n">
        <v>3</v>
      </c>
      <c r="F8" s="119" t="s">
        <v>282</v>
      </c>
      <c r="G8" s="119" t="s">
        <v>282</v>
      </c>
      <c r="H8" s="119" t="n">
        <v>1</v>
      </c>
      <c r="I8" s="105" t="n">
        <f aca="false">IF(H8=1,Assumptions!$B$16,IF(H8=2,Assumptions!$B$17,0))</f>
        <v>0.0074</v>
      </c>
      <c r="J8" s="119" t="s">
        <v>278</v>
      </c>
      <c r="K8" s="119" t="s">
        <v>282</v>
      </c>
      <c r="L8" s="119" t="s">
        <v>466</v>
      </c>
    </row>
    <row r="9" customFormat="false" ht="15" hidden="false" customHeight="true" outlineLevel="0" collapsed="false">
      <c r="A9" s="101" t="s">
        <v>159</v>
      </c>
      <c r="B9" s="118" t="n">
        <v>15844883</v>
      </c>
      <c r="C9" s="119" t="n">
        <v>7</v>
      </c>
      <c r="D9" s="119" t="n">
        <v>30</v>
      </c>
      <c r="E9" s="119" t="n">
        <v>1</v>
      </c>
      <c r="F9" s="119" t="s">
        <v>282</v>
      </c>
      <c r="G9" s="119" t="s">
        <v>282</v>
      </c>
      <c r="H9" s="119" t="n">
        <v>1</v>
      </c>
      <c r="I9" s="105" t="n">
        <f aca="false">IF(H9=1,Assumptions!$B$16,IF(H9=2,Assumptions!$B$17,0))</f>
        <v>0.0074</v>
      </c>
      <c r="J9" s="119" t="s">
        <v>278</v>
      </c>
      <c r="K9" s="119" t="s">
        <v>282</v>
      </c>
      <c r="L9" s="119" t="s">
        <v>466</v>
      </c>
    </row>
    <row r="10" customFormat="false" ht="15" hidden="false" customHeight="true" outlineLevel="0" collapsed="false">
      <c r="A10" s="101" t="s">
        <v>53</v>
      </c>
      <c r="B10" s="118" t="n">
        <v>21263405</v>
      </c>
      <c r="C10" s="119" t="n">
        <v>8</v>
      </c>
      <c r="D10" s="119" t="n">
        <v>24</v>
      </c>
      <c r="E10" s="119" t="n">
        <v>2</v>
      </c>
      <c r="F10" s="119" t="s">
        <v>282</v>
      </c>
      <c r="G10" s="119" t="s">
        <v>282</v>
      </c>
      <c r="H10" s="119" t="n">
        <v>1</v>
      </c>
      <c r="I10" s="105" t="n">
        <f aca="false">IF(H10=1,Assumptions!$B$16,IF(H10=2,Assumptions!$B$17,0))</f>
        <v>0.0074</v>
      </c>
      <c r="J10" s="119" t="s">
        <v>278</v>
      </c>
      <c r="K10" s="119" t="s">
        <v>282</v>
      </c>
      <c r="L10" s="119" t="s">
        <v>466</v>
      </c>
    </row>
    <row r="11" customFormat="false" ht="15" hidden="false" customHeight="true" outlineLevel="0" collapsed="false">
      <c r="A11" s="101" t="s">
        <v>50</v>
      </c>
      <c r="B11" s="118" t="n">
        <v>9577109</v>
      </c>
      <c r="C11" s="119" t="n">
        <v>5</v>
      </c>
      <c r="D11" s="119" t="n">
        <v>19</v>
      </c>
      <c r="E11" s="119" t="n">
        <v>3</v>
      </c>
      <c r="F11" s="119" t="s">
        <v>278</v>
      </c>
      <c r="G11" s="119" t="s">
        <v>278</v>
      </c>
      <c r="H11" s="119" t="n">
        <v>0</v>
      </c>
      <c r="I11" s="105" t="n">
        <f aca="false">IF(H11=1,Assumptions!$B$16,IF(H11=2,Assumptions!$B$17,0))</f>
        <v>0</v>
      </c>
      <c r="J11" s="119" t="s">
        <v>282</v>
      </c>
      <c r="K11" s="119" t="s">
        <v>278</v>
      </c>
      <c r="L11" s="119" t="s">
        <v>465</v>
      </c>
    </row>
    <row r="12" customFormat="false" ht="15" hidden="false" customHeight="true" outlineLevel="0" collapsed="false">
      <c r="A12" s="101" t="s">
        <v>51</v>
      </c>
      <c r="B12" s="118" t="n">
        <v>7545203</v>
      </c>
      <c r="C12" s="119" t="n">
        <v>6</v>
      </c>
      <c r="D12" s="119" t="n">
        <v>19</v>
      </c>
      <c r="E12" s="119" t="n">
        <v>3</v>
      </c>
      <c r="F12" s="119" t="s">
        <v>278</v>
      </c>
      <c r="G12" s="119" t="s">
        <v>278</v>
      </c>
      <c r="H12" s="119" t="n">
        <v>0</v>
      </c>
      <c r="I12" s="105" t="n">
        <f aca="false">IF(H12=1,Assumptions!$B$16,IF(H12=2,Assumptions!$B$17,0))</f>
        <v>0</v>
      </c>
      <c r="J12" s="119" t="s">
        <v>282</v>
      </c>
      <c r="K12" s="119" t="s">
        <v>278</v>
      </c>
      <c r="L12" s="119" t="s">
        <v>465</v>
      </c>
    </row>
    <row r="13" customFormat="false" ht="15" hidden="false" customHeight="true" outlineLevel="0" collapsed="false">
      <c r="A13" s="101" t="s">
        <v>54</v>
      </c>
      <c r="B13" s="118" t="n">
        <v>45266770</v>
      </c>
      <c r="C13" s="119" t="n">
        <v>13</v>
      </c>
      <c r="D13" s="119" t="n">
        <v>30</v>
      </c>
      <c r="E13" s="119" t="n">
        <v>1</v>
      </c>
      <c r="F13" s="119" t="s">
        <v>282</v>
      </c>
      <c r="G13" s="119" t="s">
        <v>282</v>
      </c>
      <c r="H13" s="119" t="n">
        <v>2</v>
      </c>
      <c r="I13" s="105" t="n">
        <f aca="false">IF(H13=1,Assumptions!$B$16,IF(H13=2,Assumptions!$B$17,0))</f>
        <v>0.0325</v>
      </c>
      <c r="J13" s="119" t="s">
        <v>282</v>
      </c>
      <c r="K13" s="119" t="s">
        <v>282</v>
      </c>
      <c r="L13" s="119" t="s">
        <v>465</v>
      </c>
    </row>
    <row r="14" customFormat="false" ht="15" hidden="false" customHeight="true" outlineLevel="0" collapsed="false">
      <c r="A14" s="101" t="s">
        <v>57</v>
      </c>
      <c r="B14" s="118" t="n">
        <v>41354632</v>
      </c>
      <c r="C14" s="119" t="n">
        <v>27</v>
      </c>
      <c r="D14" s="119" t="n">
        <v>30</v>
      </c>
      <c r="E14" s="119" t="n">
        <v>1</v>
      </c>
      <c r="F14" s="119" t="s">
        <v>282</v>
      </c>
      <c r="G14" s="119" t="s">
        <v>282</v>
      </c>
      <c r="H14" s="119" t="n">
        <v>2</v>
      </c>
      <c r="I14" s="105" t="n">
        <f aca="false">IF(H14=1,Assumptions!$B$16,IF(H14=2,Assumptions!$B$17,0))</f>
        <v>0.0325</v>
      </c>
      <c r="J14" s="119" t="s">
        <v>282</v>
      </c>
      <c r="K14" s="119" t="s">
        <v>282</v>
      </c>
      <c r="L14" s="119" t="s">
        <v>465</v>
      </c>
    </row>
    <row r="15" customFormat="false" ht="15" hidden="false" customHeight="true" outlineLevel="0" collapsed="false">
      <c r="A15" s="101" t="s">
        <v>55</v>
      </c>
      <c r="B15" s="118" t="n">
        <v>15179956</v>
      </c>
      <c r="C15" s="119" t="n">
        <v>16</v>
      </c>
      <c r="D15" s="119" t="n">
        <v>19</v>
      </c>
      <c r="E15" s="119" t="n">
        <v>3</v>
      </c>
      <c r="F15" s="119" t="s">
        <v>282</v>
      </c>
      <c r="G15" s="119" t="s">
        <v>278</v>
      </c>
      <c r="H15" s="119" t="n">
        <v>2</v>
      </c>
      <c r="I15" s="105" t="n">
        <f aca="false">IF(H15=1,Assumptions!$B$16,IF(H15=2,Assumptions!$B$17,0))</f>
        <v>0.0325</v>
      </c>
      <c r="J15" s="119" t="s">
        <v>278</v>
      </c>
      <c r="K15" s="119" t="s">
        <v>282</v>
      </c>
      <c r="L15" s="119" t="s">
        <v>466</v>
      </c>
    </row>
    <row r="16" customFormat="false" ht="15" hidden="false" customHeight="true" outlineLevel="0" collapsed="false">
      <c r="A16" s="101" t="s">
        <v>56</v>
      </c>
      <c r="B16" s="118" t="n">
        <v>15179956</v>
      </c>
      <c r="C16" s="119" t="n">
        <v>19</v>
      </c>
      <c r="D16" s="119" t="n">
        <v>19</v>
      </c>
      <c r="E16" s="119" t="n">
        <v>3</v>
      </c>
      <c r="F16" s="119" t="s">
        <v>282</v>
      </c>
      <c r="G16" s="119" t="s">
        <v>278</v>
      </c>
      <c r="H16" s="119" t="n">
        <v>2</v>
      </c>
      <c r="I16" s="105" t="n">
        <f aca="false">IF(H16=1,Assumptions!$B$16,IF(H16=2,Assumptions!$B$17,0))</f>
        <v>0.0325</v>
      </c>
      <c r="J16" s="119" t="s">
        <v>278</v>
      </c>
      <c r="K16" s="119" t="s">
        <v>282</v>
      </c>
      <c r="L16" s="119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27.75" hidden="false" customHeight="true" outlineLevel="0" collapsed="false">
      <c r="A1" s="28" t="s">
        <v>467</v>
      </c>
      <c r="B1" s="28" t="s">
        <v>468</v>
      </c>
      <c r="C1" s="28" t="s">
        <v>469</v>
      </c>
      <c r="D1" s="28" t="s">
        <v>470</v>
      </c>
      <c r="E1" s="28" t="s">
        <v>460</v>
      </c>
      <c r="F1" s="28" t="s">
        <v>272</v>
      </c>
      <c r="G1" s="28" t="s">
        <v>270</v>
      </c>
      <c r="H1" s="28" t="s">
        <v>471</v>
      </c>
      <c r="I1" s="28" t="s">
        <v>472</v>
      </c>
    </row>
    <row r="2" customFormat="false" ht="15" hidden="false" customHeight="true" outlineLevel="0" collapsed="false">
      <c r="A2" s="101" t="s">
        <v>473</v>
      </c>
      <c r="B2" s="101" t="s">
        <v>474</v>
      </c>
      <c r="C2" s="118" t="n">
        <v>400000</v>
      </c>
      <c r="D2" s="108" t="n">
        <f aca="false">C2/12</f>
        <v>33333.3333333333</v>
      </c>
      <c r="E2" s="119" t="n">
        <v>1</v>
      </c>
      <c r="F2" s="101" t="s">
        <v>475</v>
      </c>
      <c r="G2" s="106" t="s">
        <v>282</v>
      </c>
      <c r="H2" s="102" t="n">
        <v>0.5</v>
      </c>
      <c r="I2" s="105" t="n">
        <v>0</v>
      </c>
    </row>
    <row r="3" customFormat="false" ht="15" hidden="false" customHeight="true" outlineLevel="0" collapsed="false">
      <c r="A3" s="101" t="s">
        <v>476</v>
      </c>
      <c r="B3" s="101" t="s">
        <v>474</v>
      </c>
      <c r="C3" s="118" t="n">
        <v>250000</v>
      </c>
      <c r="D3" s="108" t="n">
        <f aca="false">C3/12</f>
        <v>20833.3333333333</v>
      </c>
      <c r="E3" s="119" t="n">
        <v>1</v>
      </c>
      <c r="F3" s="101" t="s">
        <v>475</v>
      </c>
      <c r="G3" s="106" t="s">
        <v>282</v>
      </c>
      <c r="H3" s="102" t="n">
        <v>0.5</v>
      </c>
      <c r="I3" s="105" t="n">
        <v>0</v>
      </c>
    </row>
    <row r="4" customFormat="false" ht="15" hidden="false" customHeight="true" outlineLevel="0" collapsed="false">
      <c r="A4" s="101" t="s">
        <v>477</v>
      </c>
      <c r="B4" s="101" t="s">
        <v>478</v>
      </c>
      <c r="C4" s="118" t="n">
        <v>190000</v>
      </c>
      <c r="D4" s="108" t="n">
        <f aca="false">C4/12</f>
        <v>15833.3333333333</v>
      </c>
      <c r="E4" s="119" t="n">
        <v>1</v>
      </c>
      <c r="F4" s="101" t="s">
        <v>475</v>
      </c>
      <c r="G4" s="106" t="s">
        <v>282</v>
      </c>
      <c r="H4" s="102" t="n">
        <v>0</v>
      </c>
      <c r="I4" s="105" t="n">
        <v>0</v>
      </c>
    </row>
    <row r="5" customFormat="false" ht="15" hidden="false" customHeight="true" outlineLevel="0" collapsed="false">
      <c r="A5" s="101" t="s">
        <v>479</v>
      </c>
      <c r="B5" s="101" t="s">
        <v>478</v>
      </c>
      <c r="C5" s="118" t="n">
        <v>200000</v>
      </c>
      <c r="D5" s="108" t="n">
        <f aca="false">C5/12</f>
        <v>16666.6666666667</v>
      </c>
      <c r="E5" s="119" t="n">
        <v>1</v>
      </c>
      <c r="F5" s="101" t="s">
        <v>475</v>
      </c>
      <c r="G5" s="106" t="s">
        <v>282</v>
      </c>
      <c r="H5" s="102" t="n">
        <v>0</v>
      </c>
      <c r="I5" s="105" t="n">
        <v>0</v>
      </c>
    </row>
    <row r="6" customFormat="false" ht="15" hidden="false" customHeight="true" outlineLevel="0" collapsed="false">
      <c r="A6" s="120" t="s">
        <v>480</v>
      </c>
      <c r="B6" s="101" t="s">
        <v>478</v>
      </c>
      <c r="C6" s="118" t="n">
        <v>175000</v>
      </c>
      <c r="D6" s="108" t="n">
        <f aca="false">C6/12</f>
        <v>14583.3333333333</v>
      </c>
      <c r="E6" s="119" t="n">
        <v>2</v>
      </c>
      <c r="F6" s="101" t="s">
        <v>475</v>
      </c>
      <c r="G6" s="106" t="s">
        <v>282</v>
      </c>
      <c r="H6" s="102" t="n">
        <v>0</v>
      </c>
      <c r="I6" s="105" t="n">
        <v>0</v>
      </c>
    </row>
    <row r="7" customFormat="false" ht="15" hidden="false" customHeight="true" outlineLevel="0" collapsed="false">
      <c r="A7" s="101" t="s">
        <v>481</v>
      </c>
      <c r="B7" s="101" t="s">
        <v>482</v>
      </c>
      <c r="C7" s="118" t="n">
        <v>145000</v>
      </c>
      <c r="D7" s="108" t="n">
        <f aca="false">C7/12</f>
        <v>12083.3333333333</v>
      </c>
      <c r="E7" s="119" t="n">
        <v>1</v>
      </c>
      <c r="F7" s="101" t="s">
        <v>475</v>
      </c>
      <c r="G7" s="106" t="s">
        <v>282</v>
      </c>
      <c r="H7" s="102" t="n">
        <v>0</v>
      </c>
      <c r="I7" s="105" t="n">
        <v>0</v>
      </c>
    </row>
    <row r="8" customFormat="false" ht="15" hidden="false" customHeight="true" outlineLevel="0" collapsed="false">
      <c r="A8" s="101" t="s">
        <v>483</v>
      </c>
      <c r="B8" s="101" t="s">
        <v>482</v>
      </c>
      <c r="C8" s="118" t="n">
        <v>185000</v>
      </c>
      <c r="D8" s="108" t="n">
        <f aca="false">C8/12</f>
        <v>15416.6666666667</v>
      </c>
      <c r="E8" s="119" t="n">
        <v>1</v>
      </c>
      <c r="F8" s="101" t="s">
        <v>475</v>
      </c>
      <c r="G8" s="106" t="s">
        <v>282</v>
      </c>
      <c r="H8" s="102" t="n">
        <v>0</v>
      </c>
      <c r="I8" s="105" t="n">
        <v>0</v>
      </c>
    </row>
    <row r="9" customFormat="false" ht="15" hidden="false" customHeight="true" outlineLevel="0" collapsed="false">
      <c r="A9" s="120" t="s">
        <v>484</v>
      </c>
      <c r="B9" s="101" t="s">
        <v>482</v>
      </c>
      <c r="C9" s="118" t="n">
        <v>135000</v>
      </c>
      <c r="D9" s="108" t="n">
        <f aca="false">C9/12</f>
        <v>11250</v>
      </c>
      <c r="E9" s="119" t="n">
        <v>2</v>
      </c>
      <c r="F9" s="101" t="s">
        <v>475</v>
      </c>
      <c r="G9" s="106" t="s">
        <v>282</v>
      </c>
      <c r="H9" s="102" t="n">
        <v>0</v>
      </c>
      <c r="I9" s="105" t="n">
        <v>0</v>
      </c>
    </row>
    <row r="10" customFormat="false" ht="15" hidden="false" customHeight="true" outlineLevel="0" collapsed="false">
      <c r="A10" s="120" t="s">
        <v>485</v>
      </c>
      <c r="B10" s="101" t="s">
        <v>482</v>
      </c>
      <c r="C10" s="118" t="n">
        <v>135000</v>
      </c>
      <c r="D10" s="108" t="n">
        <f aca="false">C10/12</f>
        <v>11250</v>
      </c>
      <c r="E10" s="119" t="n">
        <v>3</v>
      </c>
      <c r="F10" s="101" t="s">
        <v>475</v>
      </c>
      <c r="G10" s="106" t="s">
        <v>282</v>
      </c>
      <c r="H10" s="102" t="n">
        <v>0</v>
      </c>
      <c r="I10" s="105" t="n">
        <v>0</v>
      </c>
    </row>
    <row r="11" customFormat="false" ht="15" hidden="false" customHeight="true" outlineLevel="0" collapsed="false">
      <c r="A11" s="101" t="s">
        <v>486</v>
      </c>
      <c r="B11" s="101" t="s">
        <v>487</v>
      </c>
      <c r="C11" s="118" t="n">
        <v>150000</v>
      </c>
      <c r="D11" s="108" t="n">
        <f aca="false">C11/12</f>
        <v>12500</v>
      </c>
      <c r="E11" s="119" t="n">
        <v>1</v>
      </c>
      <c r="F11" s="101" t="s">
        <v>475</v>
      </c>
      <c r="G11" s="106" t="s">
        <v>282</v>
      </c>
      <c r="H11" s="102" t="n">
        <v>0</v>
      </c>
      <c r="I11" s="105" t="n">
        <v>0</v>
      </c>
    </row>
    <row r="12" customFormat="false" ht="15" hidden="false" customHeight="true" outlineLevel="0" collapsed="false">
      <c r="A12" s="101" t="s">
        <v>488</v>
      </c>
      <c r="B12" s="101" t="s">
        <v>487</v>
      </c>
      <c r="C12" s="118" t="n">
        <v>150000</v>
      </c>
      <c r="D12" s="108" t="n">
        <f aca="false">C12/12</f>
        <v>12500</v>
      </c>
      <c r="E12" s="119" t="n">
        <v>1</v>
      </c>
      <c r="F12" s="101" t="s">
        <v>475</v>
      </c>
      <c r="G12" s="106" t="s">
        <v>282</v>
      </c>
      <c r="H12" s="102" t="n">
        <v>0</v>
      </c>
      <c r="I12" s="105" t="n">
        <v>0</v>
      </c>
    </row>
    <row r="13" customFormat="false" ht="15" hidden="false" customHeight="true" outlineLevel="0" collapsed="false">
      <c r="A13" s="101" t="s">
        <v>489</v>
      </c>
      <c r="B13" s="101" t="s">
        <v>487</v>
      </c>
      <c r="C13" s="118" t="n">
        <v>110000</v>
      </c>
      <c r="D13" s="108" t="n">
        <f aca="false">C13/12</f>
        <v>9166.66666666667</v>
      </c>
      <c r="E13" s="119" t="n">
        <v>1</v>
      </c>
      <c r="F13" s="101" t="s">
        <v>475</v>
      </c>
      <c r="G13" s="106" t="s">
        <v>282</v>
      </c>
      <c r="H13" s="102" t="n">
        <v>0</v>
      </c>
      <c r="I13" s="105" t="n">
        <v>0</v>
      </c>
    </row>
    <row r="14" customFormat="false" ht="15" hidden="false" customHeight="true" outlineLevel="0" collapsed="false">
      <c r="A14" s="101" t="s">
        <v>490</v>
      </c>
      <c r="B14" s="101" t="s">
        <v>491</v>
      </c>
      <c r="C14" s="118" t="n">
        <v>75000</v>
      </c>
      <c r="D14" s="108" t="n">
        <f aca="false">C14/12</f>
        <v>6250</v>
      </c>
      <c r="E14" s="119" t="n">
        <v>1</v>
      </c>
      <c r="F14" s="101" t="s">
        <v>475</v>
      </c>
      <c r="G14" s="106" t="s">
        <v>282</v>
      </c>
      <c r="H14" s="102" t="n">
        <v>0</v>
      </c>
      <c r="I14" s="105" t="n">
        <v>0</v>
      </c>
    </row>
    <row r="15" customFormat="false" ht="15" hidden="false" customHeight="true" outlineLevel="0" collapsed="false">
      <c r="A15" s="120" t="s">
        <v>492</v>
      </c>
      <c r="B15" s="101" t="s">
        <v>491</v>
      </c>
      <c r="C15" s="118" t="n">
        <v>125000</v>
      </c>
      <c r="D15" s="108" t="n">
        <f aca="false">C15/12</f>
        <v>10416.6666666667</v>
      </c>
      <c r="E15" s="119" t="n">
        <v>2</v>
      </c>
      <c r="F15" s="101" t="s">
        <v>475</v>
      </c>
      <c r="G15" s="106" t="s">
        <v>282</v>
      </c>
      <c r="H15" s="102" t="n">
        <v>0</v>
      </c>
      <c r="I15" s="105" t="n">
        <v>0</v>
      </c>
    </row>
    <row r="16" customFormat="false" ht="15" hidden="false" customHeight="true" outlineLevel="0" collapsed="false">
      <c r="A16" s="120" t="s">
        <v>493</v>
      </c>
      <c r="B16" s="101" t="s">
        <v>491</v>
      </c>
      <c r="C16" s="118" t="n">
        <v>125000</v>
      </c>
      <c r="D16" s="108" t="n">
        <f aca="false">C16/12</f>
        <v>10416.6666666667</v>
      </c>
      <c r="E16" s="119" t="n">
        <v>3</v>
      </c>
      <c r="F16" s="101" t="s">
        <v>475</v>
      </c>
      <c r="G16" s="106" t="s">
        <v>282</v>
      </c>
      <c r="H16" s="102" t="n">
        <v>0</v>
      </c>
      <c r="I16" s="105" t="n">
        <v>0</v>
      </c>
    </row>
    <row r="17" customFormat="false" ht="15" hidden="false" customHeight="true" outlineLevel="0" collapsed="false">
      <c r="A17" s="120" t="s">
        <v>494</v>
      </c>
      <c r="B17" s="101" t="s">
        <v>491</v>
      </c>
      <c r="C17" s="118" t="n">
        <v>125000</v>
      </c>
      <c r="D17" s="108" t="n">
        <f aca="false">C17/12</f>
        <v>10416.6666666667</v>
      </c>
      <c r="E17" s="119" t="n">
        <v>999</v>
      </c>
      <c r="F17" s="101" t="s">
        <v>475</v>
      </c>
      <c r="G17" s="106" t="s">
        <v>282</v>
      </c>
      <c r="H17" s="102" t="n">
        <v>0</v>
      </c>
      <c r="I17" s="105" t="n">
        <v>0</v>
      </c>
    </row>
    <row r="18" customFormat="false" ht="15" hidden="false" customHeight="true" outlineLevel="0" collapsed="false">
      <c r="A18" s="120" t="s">
        <v>495</v>
      </c>
      <c r="B18" s="101" t="s">
        <v>491</v>
      </c>
      <c r="C18" s="118" t="n">
        <v>125000</v>
      </c>
      <c r="D18" s="108" t="n">
        <f aca="false">C18/12</f>
        <v>10416.6666666667</v>
      </c>
      <c r="E18" s="119" t="n">
        <v>999</v>
      </c>
      <c r="F18" s="101" t="s">
        <v>475</v>
      </c>
      <c r="G18" s="106" t="s">
        <v>282</v>
      </c>
      <c r="H18" s="102" t="n">
        <v>0</v>
      </c>
      <c r="I18" s="105" t="n">
        <v>0</v>
      </c>
    </row>
    <row r="19" customFormat="false" ht="15" hidden="false" customHeight="true" outlineLevel="0" collapsed="false">
      <c r="A19" s="101" t="s">
        <v>496</v>
      </c>
      <c r="B19" s="101" t="s">
        <v>497</v>
      </c>
      <c r="C19" s="118" t="n">
        <v>62400</v>
      </c>
      <c r="D19" s="108" t="n">
        <f aca="false">C19/12</f>
        <v>5200</v>
      </c>
      <c r="E19" s="119" t="n">
        <v>1</v>
      </c>
      <c r="F19" s="101" t="s">
        <v>475</v>
      </c>
      <c r="G19" s="106" t="s">
        <v>282</v>
      </c>
      <c r="H19" s="102" t="n">
        <v>0</v>
      </c>
      <c r="I19" s="105" t="n">
        <v>0</v>
      </c>
    </row>
    <row r="20" customFormat="false" ht="15" hidden="false" customHeight="true" outlineLevel="0" collapsed="false">
      <c r="A20" s="101" t="s">
        <v>498</v>
      </c>
      <c r="B20" s="101" t="s">
        <v>497</v>
      </c>
      <c r="C20" s="118" t="n">
        <v>85000</v>
      </c>
      <c r="D20" s="108" t="n">
        <f aca="false">C20/12</f>
        <v>7083.33333333333</v>
      </c>
      <c r="E20" s="119" t="n">
        <v>1</v>
      </c>
      <c r="F20" s="101" t="s">
        <v>475</v>
      </c>
      <c r="G20" s="106" t="s">
        <v>282</v>
      </c>
      <c r="H20" s="102" t="n">
        <v>0</v>
      </c>
      <c r="I20" s="105" t="n">
        <v>0</v>
      </c>
    </row>
    <row r="21" customFormat="false" ht="15" hidden="false" customHeight="true" outlineLevel="0" collapsed="false">
      <c r="A21" s="101" t="s">
        <v>499</v>
      </c>
      <c r="B21" s="101" t="s">
        <v>500</v>
      </c>
      <c r="C21" s="118" t="n">
        <v>69992</v>
      </c>
      <c r="D21" s="108" t="n">
        <f aca="false">C21/12</f>
        <v>5832.66666666667</v>
      </c>
      <c r="E21" s="119" t="n">
        <v>1</v>
      </c>
      <c r="F21" s="101" t="s">
        <v>475</v>
      </c>
      <c r="G21" s="106" t="s">
        <v>282</v>
      </c>
      <c r="H21" s="102" t="n">
        <v>0</v>
      </c>
      <c r="I21" s="105" t="n">
        <v>0</v>
      </c>
    </row>
    <row r="22" customFormat="false" ht="15" hidden="false" customHeight="true" outlineLevel="0" collapsed="false">
      <c r="A22" s="101" t="s">
        <v>501</v>
      </c>
      <c r="B22" s="101" t="s">
        <v>500</v>
      </c>
      <c r="C22" s="118" t="n">
        <v>52000</v>
      </c>
      <c r="D22" s="108" t="n">
        <f aca="false">C22/12</f>
        <v>4333.33333333333</v>
      </c>
      <c r="E22" s="119" t="n">
        <v>1</v>
      </c>
      <c r="F22" s="101" t="s">
        <v>475</v>
      </c>
      <c r="G22" s="106" t="s">
        <v>282</v>
      </c>
      <c r="H22" s="102" t="n">
        <v>0</v>
      </c>
      <c r="I22" s="105" t="n">
        <v>0</v>
      </c>
    </row>
    <row r="23" customFormat="false" ht="15" hidden="false" customHeight="true" outlineLevel="0" collapsed="false">
      <c r="A23" s="101" t="s">
        <v>502</v>
      </c>
      <c r="B23" s="101" t="s">
        <v>503</v>
      </c>
      <c r="C23" s="118" t="n">
        <v>70000</v>
      </c>
      <c r="D23" s="108" t="n">
        <f aca="false">C23/12</f>
        <v>5833.33333333333</v>
      </c>
      <c r="E23" s="119" t="n">
        <v>1</v>
      </c>
      <c r="F23" s="101" t="s">
        <v>475</v>
      </c>
      <c r="G23" s="106" t="s">
        <v>282</v>
      </c>
      <c r="H23" s="102" t="n">
        <v>0</v>
      </c>
      <c r="I23" s="105" t="n">
        <v>0</v>
      </c>
    </row>
    <row r="24" customFormat="false" ht="15" hidden="false" customHeight="true" outlineLevel="0" collapsed="false">
      <c r="A24" s="101" t="s">
        <v>504</v>
      </c>
      <c r="B24" s="101" t="s">
        <v>503</v>
      </c>
      <c r="C24" s="118" t="n">
        <v>97500</v>
      </c>
      <c r="D24" s="108" t="n">
        <f aca="false">C24/12</f>
        <v>8125</v>
      </c>
      <c r="E24" s="119" t="n">
        <v>1</v>
      </c>
      <c r="F24" s="101" t="s">
        <v>475</v>
      </c>
      <c r="G24" s="106" t="s">
        <v>282</v>
      </c>
      <c r="H24" s="102" t="n">
        <v>0</v>
      </c>
      <c r="I24" s="105" t="n">
        <v>0</v>
      </c>
    </row>
    <row r="25" customFormat="false" ht="15" hidden="false" customHeight="true" outlineLevel="0" collapsed="false">
      <c r="A25" s="120" t="s">
        <v>505</v>
      </c>
      <c r="B25" s="101" t="s">
        <v>503</v>
      </c>
      <c r="C25" s="118" t="n">
        <v>100000</v>
      </c>
      <c r="D25" s="108" t="n">
        <f aca="false">C25/12</f>
        <v>8333.33333333333</v>
      </c>
      <c r="E25" s="119" t="n">
        <v>3</v>
      </c>
      <c r="F25" s="101" t="s">
        <v>475</v>
      </c>
      <c r="G25" s="106" t="s">
        <v>282</v>
      </c>
      <c r="H25" s="102" t="n">
        <v>0</v>
      </c>
      <c r="I25" s="105" t="n">
        <v>0</v>
      </c>
    </row>
    <row r="27" customFormat="false" ht="15" hidden="false" customHeight="true" outlineLevel="0" collapsed="false">
      <c r="A27" s="8" t="s">
        <v>506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true" outlineLevel="0" collapsed="false">
      <c r="A28" s="101" t="s">
        <v>507</v>
      </c>
      <c r="B28" s="101" t="s">
        <v>508</v>
      </c>
      <c r="C28" s="118" t="n">
        <v>400000</v>
      </c>
      <c r="D28" s="108" t="n">
        <f aca="false">C28/12</f>
        <v>33333.3333333333</v>
      </c>
      <c r="E28" s="119" t="n">
        <v>1</v>
      </c>
      <c r="F28" s="101" t="s">
        <v>509</v>
      </c>
      <c r="G28" s="106" t="s">
        <v>282</v>
      </c>
      <c r="H28" s="102" t="n">
        <v>1</v>
      </c>
      <c r="I28" s="78" t="n">
        <v>0.5</v>
      </c>
    </row>
    <row r="29" customFormat="false" ht="15" hidden="false" customHeight="true" outlineLevel="0" collapsed="false">
      <c r="A29" s="101" t="s">
        <v>510</v>
      </c>
      <c r="B29" s="101" t="s">
        <v>508</v>
      </c>
      <c r="C29" s="118" t="n">
        <v>400000</v>
      </c>
      <c r="D29" s="108" t="n">
        <f aca="false">C29/12</f>
        <v>33333.3333333333</v>
      </c>
      <c r="E29" s="119" t="n">
        <v>1</v>
      </c>
      <c r="F29" s="101" t="s">
        <v>509</v>
      </c>
      <c r="G29" s="106" t="s">
        <v>282</v>
      </c>
      <c r="H29" s="102" t="n">
        <v>1</v>
      </c>
      <c r="I29" s="78" t="n">
        <v>0.2</v>
      </c>
    </row>
    <row r="30" customFormat="false" ht="15" hidden="false" customHeight="true" outlineLevel="0" collapsed="false">
      <c r="A30" s="101" t="s">
        <v>511</v>
      </c>
      <c r="B30" s="101" t="s">
        <v>512</v>
      </c>
      <c r="C30" s="118" t="n">
        <v>222000</v>
      </c>
      <c r="D30" s="108" t="n">
        <f aca="false">C30/12</f>
        <v>18500</v>
      </c>
      <c r="E30" s="119" t="n">
        <v>1</v>
      </c>
      <c r="F30" s="101" t="s">
        <v>509</v>
      </c>
      <c r="G30" s="106" t="s">
        <v>282</v>
      </c>
      <c r="H30" s="102" t="n">
        <v>1</v>
      </c>
      <c r="I30" s="102" t="n">
        <v>0</v>
      </c>
    </row>
    <row r="31" customFormat="false" ht="15" hidden="false" customHeight="true" outlineLevel="0" collapsed="false">
      <c r="A31" s="101" t="s">
        <v>513</v>
      </c>
      <c r="B31" s="101" t="s">
        <v>514</v>
      </c>
      <c r="C31" s="118" t="n">
        <v>115000</v>
      </c>
      <c r="D31" s="108" t="n">
        <f aca="false">C31/12</f>
        <v>9583.33333333333</v>
      </c>
      <c r="E31" s="119" t="n">
        <v>1</v>
      </c>
      <c r="F31" s="101" t="s">
        <v>509</v>
      </c>
      <c r="G31" s="106" t="s">
        <v>282</v>
      </c>
      <c r="H31" s="102" t="n">
        <v>1</v>
      </c>
      <c r="I31" s="102" t="n">
        <v>0</v>
      </c>
    </row>
    <row r="32" customFormat="false" ht="15" hidden="false" customHeight="true" outlineLevel="0" collapsed="false">
      <c r="A32" s="101" t="s">
        <v>515</v>
      </c>
      <c r="B32" s="101" t="s">
        <v>516</v>
      </c>
      <c r="C32" s="118" t="n">
        <v>250000</v>
      </c>
      <c r="D32" s="108" t="n">
        <f aca="false">C32/12</f>
        <v>20833.3333333333</v>
      </c>
      <c r="E32" s="119" t="n">
        <v>1</v>
      </c>
      <c r="F32" s="101" t="s">
        <v>509</v>
      </c>
      <c r="G32" s="106" t="s">
        <v>282</v>
      </c>
      <c r="H32" s="102" t="n">
        <v>0</v>
      </c>
      <c r="I32" s="78" t="n">
        <v>0.3</v>
      </c>
    </row>
    <row r="33" customFormat="false" ht="15" hidden="false" customHeight="true" outlineLevel="0" collapsed="false">
      <c r="A33" s="101" t="s">
        <v>517</v>
      </c>
      <c r="B33" s="101" t="s">
        <v>518</v>
      </c>
      <c r="C33" s="118" t="n">
        <v>150000</v>
      </c>
      <c r="D33" s="108" t="n">
        <f aca="false">C33/12</f>
        <v>12500</v>
      </c>
      <c r="E33" s="119" t="n">
        <v>1</v>
      </c>
      <c r="F33" s="101" t="s">
        <v>509</v>
      </c>
      <c r="G33" s="106" t="s">
        <v>282</v>
      </c>
      <c r="H33" s="102" t="n">
        <v>0</v>
      </c>
      <c r="I33" s="78" t="n">
        <v>0.75</v>
      </c>
    </row>
    <row r="34" customFormat="false" ht="15" hidden="false" customHeight="true" outlineLevel="0" collapsed="false">
      <c r="A34" s="101" t="s">
        <v>519</v>
      </c>
      <c r="B34" s="101" t="s">
        <v>520</v>
      </c>
      <c r="C34" s="118" t="n">
        <v>250000</v>
      </c>
      <c r="D34" s="108" t="n">
        <f aca="false">C34/12</f>
        <v>20833.3333333333</v>
      </c>
      <c r="E34" s="119" t="n">
        <v>1</v>
      </c>
      <c r="F34" s="101" t="s">
        <v>509</v>
      </c>
      <c r="G34" s="106" t="s">
        <v>282</v>
      </c>
      <c r="H34" s="102" t="n">
        <v>0</v>
      </c>
      <c r="I34" s="78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A"/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521</v>
      </c>
      <c r="B1" s="4" t="s">
        <v>522</v>
      </c>
    </row>
    <row r="2" customFormat="false" ht="15" hidden="false" customHeight="true" outlineLevel="0" collapsed="false">
      <c r="A2" s="121" t="n">
        <v>1</v>
      </c>
      <c r="B2" s="122" t="n">
        <f aca="false">(1+Assumptions!$B$26)^INT((A2-1)/12)</f>
        <v>1</v>
      </c>
    </row>
    <row r="3" customFormat="false" ht="15" hidden="false" customHeight="true" outlineLevel="0" collapsed="false">
      <c r="A3" s="121" t="n">
        <v>2</v>
      </c>
      <c r="B3" s="122" t="n">
        <f aca="false">(1+Assumptions!$B$26)^INT((A3-1)/12)</f>
        <v>1</v>
      </c>
    </row>
    <row r="4" customFormat="false" ht="15" hidden="false" customHeight="true" outlineLevel="0" collapsed="false">
      <c r="A4" s="121" t="n">
        <v>3</v>
      </c>
      <c r="B4" s="122" t="n">
        <f aca="false">(1+Assumptions!$B$26)^INT((A4-1)/12)</f>
        <v>1</v>
      </c>
    </row>
    <row r="5" customFormat="false" ht="15" hidden="false" customHeight="true" outlineLevel="0" collapsed="false">
      <c r="A5" s="121" t="n">
        <v>4</v>
      </c>
      <c r="B5" s="122" t="n">
        <f aca="false">(1+Assumptions!$B$26)^INT((A5-1)/12)</f>
        <v>1</v>
      </c>
    </row>
    <row r="6" customFormat="false" ht="15" hidden="false" customHeight="true" outlineLevel="0" collapsed="false">
      <c r="A6" s="121" t="n">
        <v>5</v>
      </c>
      <c r="B6" s="122" t="n">
        <f aca="false">(1+Assumptions!$B$26)^INT((A6-1)/12)</f>
        <v>1</v>
      </c>
    </row>
    <row r="7" customFormat="false" ht="15" hidden="false" customHeight="true" outlineLevel="0" collapsed="false">
      <c r="A7" s="121" t="n">
        <v>6</v>
      </c>
      <c r="B7" s="122" t="n">
        <f aca="false">(1+Assumptions!$B$26)^INT((A7-1)/12)</f>
        <v>1</v>
      </c>
    </row>
    <row r="8" customFormat="false" ht="15" hidden="false" customHeight="true" outlineLevel="0" collapsed="false">
      <c r="A8" s="121" t="n">
        <v>7</v>
      </c>
      <c r="B8" s="122" t="n">
        <f aca="false">(1+Assumptions!$B$26)^INT((A8-1)/12)</f>
        <v>1</v>
      </c>
    </row>
    <row r="9" customFormat="false" ht="15" hidden="false" customHeight="true" outlineLevel="0" collapsed="false">
      <c r="A9" s="121" t="n">
        <v>8</v>
      </c>
      <c r="B9" s="122" t="n">
        <f aca="false">(1+Assumptions!$B$26)^INT((A9-1)/12)</f>
        <v>1</v>
      </c>
    </row>
    <row r="10" customFormat="false" ht="15" hidden="false" customHeight="true" outlineLevel="0" collapsed="false">
      <c r="A10" s="121" t="n">
        <v>9</v>
      </c>
      <c r="B10" s="122" t="n">
        <f aca="false">(1+Assumptions!$B$26)^INT((A10-1)/12)</f>
        <v>1</v>
      </c>
    </row>
    <row r="11" customFormat="false" ht="15" hidden="false" customHeight="true" outlineLevel="0" collapsed="false">
      <c r="A11" s="121" t="n">
        <v>10</v>
      </c>
      <c r="B11" s="122" t="n">
        <f aca="false">(1+Assumptions!$B$26)^INT((A11-1)/12)</f>
        <v>1</v>
      </c>
    </row>
    <row r="12" customFormat="false" ht="15" hidden="false" customHeight="true" outlineLevel="0" collapsed="false">
      <c r="A12" s="121" t="n">
        <v>11</v>
      </c>
      <c r="B12" s="122" t="n">
        <f aca="false">(1+Assumptions!$B$26)^INT((A12-1)/12)</f>
        <v>1</v>
      </c>
    </row>
    <row r="13" customFormat="false" ht="15" hidden="false" customHeight="true" outlineLevel="0" collapsed="false">
      <c r="A13" s="121" t="n">
        <v>12</v>
      </c>
      <c r="B13" s="122" t="n">
        <f aca="false">(1+Assumptions!$B$26)^INT((A13-1)/12)</f>
        <v>1</v>
      </c>
    </row>
    <row r="14" customFormat="false" ht="15" hidden="false" customHeight="true" outlineLevel="0" collapsed="false">
      <c r="A14" s="121" t="n">
        <v>13</v>
      </c>
      <c r="B14" s="122" t="n">
        <f aca="false">(1+Assumptions!$B$26)^INT((A14-1)/12)</f>
        <v>1.02</v>
      </c>
    </row>
    <row r="15" customFormat="false" ht="15" hidden="false" customHeight="true" outlineLevel="0" collapsed="false">
      <c r="A15" s="121" t="n">
        <v>14</v>
      </c>
      <c r="B15" s="122" t="n">
        <f aca="false">(1+Assumptions!$B$26)^INT((A15-1)/12)</f>
        <v>1.02</v>
      </c>
    </row>
    <row r="16" customFormat="false" ht="15" hidden="false" customHeight="true" outlineLevel="0" collapsed="false">
      <c r="A16" s="121" t="n">
        <v>15</v>
      </c>
      <c r="B16" s="122" t="n">
        <f aca="false">(1+Assumptions!$B$26)^INT((A16-1)/12)</f>
        <v>1.02</v>
      </c>
    </row>
    <row r="17" customFormat="false" ht="15" hidden="false" customHeight="true" outlineLevel="0" collapsed="false">
      <c r="A17" s="121" t="n">
        <v>16</v>
      </c>
      <c r="B17" s="122" t="n">
        <f aca="false">(1+Assumptions!$B$26)^INT((A17-1)/12)</f>
        <v>1.02</v>
      </c>
    </row>
    <row r="18" customFormat="false" ht="15" hidden="false" customHeight="true" outlineLevel="0" collapsed="false">
      <c r="A18" s="121" t="n">
        <v>17</v>
      </c>
      <c r="B18" s="122" t="n">
        <f aca="false">(1+Assumptions!$B$26)^INT((A18-1)/12)</f>
        <v>1.02</v>
      </c>
    </row>
    <row r="19" customFormat="false" ht="15" hidden="false" customHeight="true" outlineLevel="0" collapsed="false">
      <c r="A19" s="121" t="n">
        <v>18</v>
      </c>
      <c r="B19" s="122" t="n">
        <f aca="false">(1+Assumptions!$B$26)^INT((A19-1)/12)</f>
        <v>1.02</v>
      </c>
    </row>
    <row r="20" customFormat="false" ht="15" hidden="false" customHeight="true" outlineLevel="0" collapsed="false">
      <c r="A20" s="121" t="n">
        <v>19</v>
      </c>
      <c r="B20" s="122" t="n">
        <f aca="false">(1+Assumptions!$B$26)^INT((A20-1)/12)</f>
        <v>1.02</v>
      </c>
    </row>
    <row r="21" customFormat="false" ht="15" hidden="false" customHeight="true" outlineLevel="0" collapsed="false">
      <c r="A21" s="121" t="n">
        <v>20</v>
      </c>
      <c r="B21" s="122" t="n">
        <f aca="false">(1+Assumptions!$B$26)^INT((A21-1)/12)</f>
        <v>1.02</v>
      </c>
    </row>
    <row r="22" customFormat="false" ht="15" hidden="false" customHeight="true" outlineLevel="0" collapsed="false">
      <c r="A22" s="121" t="n">
        <v>21</v>
      </c>
      <c r="B22" s="122" t="n">
        <f aca="false">(1+Assumptions!$B$26)^INT((A22-1)/12)</f>
        <v>1.02</v>
      </c>
    </row>
    <row r="23" customFormat="false" ht="15" hidden="false" customHeight="true" outlineLevel="0" collapsed="false">
      <c r="A23" s="121" t="n">
        <v>22</v>
      </c>
      <c r="B23" s="122" t="n">
        <f aca="false">(1+Assumptions!$B$26)^INT((A23-1)/12)</f>
        <v>1.02</v>
      </c>
    </row>
    <row r="24" customFormat="false" ht="15" hidden="false" customHeight="true" outlineLevel="0" collapsed="false">
      <c r="A24" s="121" t="n">
        <v>23</v>
      </c>
      <c r="B24" s="122" t="n">
        <f aca="false">(1+Assumptions!$B$26)^INT((A24-1)/12)</f>
        <v>1.02</v>
      </c>
    </row>
    <row r="25" customFormat="false" ht="15" hidden="false" customHeight="true" outlineLevel="0" collapsed="false">
      <c r="A25" s="121" t="n">
        <v>24</v>
      </c>
      <c r="B25" s="122" t="n">
        <f aca="false">(1+Assumptions!$B$26)^INT((A25-1)/12)</f>
        <v>1.02</v>
      </c>
    </row>
    <row r="26" customFormat="false" ht="15" hidden="false" customHeight="true" outlineLevel="0" collapsed="false">
      <c r="A26" s="121" t="n">
        <v>25</v>
      </c>
      <c r="B26" s="122" t="n">
        <f aca="false">(1+Assumptions!$B$26)^INT((A26-1)/12)</f>
        <v>1.0404</v>
      </c>
    </row>
    <row r="27" customFormat="false" ht="15" hidden="false" customHeight="true" outlineLevel="0" collapsed="false">
      <c r="A27" s="121" t="n">
        <v>26</v>
      </c>
      <c r="B27" s="122" t="n">
        <f aca="false">(1+Assumptions!$B$26)^INT((A27-1)/12)</f>
        <v>1.0404</v>
      </c>
    </row>
    <row r="28" customFormat="false" ht="15" hidden="false" customHeight="true" outlineLevel="0" collapsed="false">
      <c r="A28" s="121" t="n">
        <v>27</v>
      </c>
      <c r="B28" s="122" t="n">
        <f aca="false">(1+Assumptions!$B$26)^INT((A28-1)/12)</f>
        <v>1.0404</v>
      </c>
    </row>
    <row r="29" customFormat="false" ht="15" hidden="false" customHeight="true" outlineLevel="0" collapsed="false">
      <c r="A29" s="121" t="n">
        <v>28</v>
      </c>
      <c r="B29" s="122" t="n">
        <f aca="false">(1+Assumptions!$B$26)^INT((A29-1)/12)</f>
        <v>1.0404</v>
      </c>
    </row>
    <row r="30" customFormat="false" ht="15" hidden="false" customHeight="true" outlineLevel="0" collapsed="false">
      <c r="A30" s="121" t="n">
        <v>29</v>
      </c>
      <c r="B30" s="122" t="n">
        <f aca="false">(1+Assumptions!$B$26)^INT((A30-1)/12)</f>
        <v>1.0404</v>
      </c>
    </row>
    <row r="31" customFormat="false" ht="15" hidden="false" customHeight="true" outlineLevel="0" collapsed="false">
      <c r="A31" s="121" t="n">
        <v>30</v>
      </c>
      <c r="B31" s="122" t="n">
        <f aca="false">(1+Assumptions!$B$26)^INT((A31-1)/12)</f>
        <v>1.0404</v>
      </c>
    </row>
    <row r="32" customFormat="false" ht="15" hidden="false" customHeight="true" outlineLevel="0" collapsed="false">
      <c r="A32" s="121" t="n">
        <v>31</v>
      </c>
      <c r="B32" s="122" t="n">
        <f aca="false">(1+Assumptions!$B$26)^INT((A32-1)/12)</f>
        <v>1.0404</v>
      </c>
    </row>
    <row r="33" customFormat="false" ht="15" hidden="false" customHeight="true" outlineLevel="0" collapsed="false">
      <c r="A33" s="121" t="n">
        <v>32</v>
      </c>
      <c r="B33" s="122" t="n">
        <f aca="false">(1+Assumptions!$B$26)^INT((A33-1)/12)</f>
        <v>1.0404</v>
      </c>
    </row>
    <row r="34" customFormat="false" ht="15" hidden="false" customHeight="true" outlineLevel="0" collapsed="false">
      <c r="A34" s="121" t="n">
        <v>33</v>
      </c>
      <c r="B34" s="122" t="n">
        <f aca="false">(1+Assumptions!$B$26)^INT((A34-1)/12)</f>
        <v>1.0404</v>
      </c>
    </row>
    <row r="35" customFormat="false" ht="15" hidden="false" customHeight="true" outlineLevel="0" collapsed="false">
      <c r="A35" s="121" t="n">
        <v>34</v>
      </c>
      <c r="B35" s="122" t="n">
        <f aca="false">(1+Assumptions!$B$26)^INT((A35-1)/12)</f>
        <v>1.0404</v>
      </c>
    </row>
    <row r="36" customFormat="false" ht="15" hidden="false" customHeight="true" outlineLevel="0" collapsed="false">
      <c r="A36" s="121" t="n">
        <v>35</v>
      </c>
      <c r="B36" s="122" t="n">
        <f aca="false">(1+Assumptions!$B$26)^INT((A36-1)/12)</f>
        <v>1.0404</v>
      </c>
    </row>
    <row r="37" customFormat="false" ht="15" hidden="false" customHeight="true" outlineLevel="0" collapsed="false">
      <c r="A37" s="121" t="n">
        <v>36</v>
      </c>
      <c r="B37" s="122" t="n">
        <f aca="false">(1+Assumptions!$B$26)^INT((A37-1)/12)</f>
        <v>1.0404</v>
      </c>
    </row>
    <row r="38" customFormat="false" ht="15" hidden="false" customHeight="true" outlineLevel="0" collapsed="false">
      <c r="A38" s="121" t="n">
        <v>37</v>
      </c>
      <c r="B38" s="122" t="n">
        <f aca="false">(1+Assumptions!$B$26)^INT((A38-1)/12)</f>
        <v>1.061208</v>
      </c>
    </row>
    <row r="39" customFormat="false" ht="15" hidden="false" customHeight="true" outlineLevel="0" collapsed="false">
      <c r="A39" s="121" t="n">
        <v>38</v>
      </c>
      <c r="B39" s="122" t="n">
        <f aca="false">(1+Assumptions!$B$26)^INT((A39-1)/12)</f>
        <v>1.061208</v>
      </c>
    </row>
    <row r="40" customFormat="false" ht="15" hidden="false" customHeight="true" outlineLevel="0" collapsed="false">
      <c r="A40" s="121" t="n">
        <v>39</v>
      </c>
      <c r="B40" s="122" t="n">
        <f aca="false">(1+Assumptions!$B$26)^INT((A40-1)/12)</f>
        <v>1.061208</v>
      </c>
    </row>
    <row r="41" customFormat="false" ht="15" hidden="false" customHeight="true" outlineLevel="0" collapsed="false">
      <c r="A41" s="121" t="n">
        <v>40</v>
      </c>
      <c r="B41" s="122" t="n">
        <f aca="false">(1+Assumptions!$B$26)^INT((A41-1)/12)</f>
        <v>1.061208</v>
      </c>
    </row>
    <row r="42" customFormat="false" ht="15" hidden="false" customHeight="true" outlineLevel="0" collapsed="false">
      <c r="A42" s="121" t="n">
        <v>41</v>
      </c>
      <c r="B42" s="122" t="n">
        <f aca="false">(1+Assumptions!$B$26)^INT((A42-1)/12)</f>
        <v>1.061208</v>
      </c>
    </row>
    <row r="43" customFormat="false" ht="15" hidden="false" customHeight="true" outlineLevel="0" collapsed="false">
      <c r="A43" s="121" t="n">
        <v>42</v>
      </c>
      <c r="B43" s="122" t="n">
        <f aca="false">(1+Assumptions!$B$26)^INT((A43-1)/12)</f>
        <v>1.061208</v>
      </c>
    </row>
    <row r="44" customFormat="false" ht="15" hidden="false" customHeight="true" outlineLevel="0" collapsed="false">
      <c r="A44" s="121" t="n">
        <v>43</v>
      </c>
      <c r="B44" s="122" t="n">
        <f aca="false">(1+Assumptions!$B$26)^INT((A44-1)/12)</f>
        <v>1.061208</v>
      </c>
    </row>
    <row r="45" customFormat="false" ht="15" hidden="false" customHeight="true" outlineLevel="0" collapsed="false">
      <c r="A45" s="121" t="n">
        <v>44</v>
      </c>
      <c r="B45" s="122" t="n">
        <f aca="false">(1+Assumptions!$B$26)^INT((A45-1)/12)</f>
        <v>1.061208</v>
      </c>
    </row>
    <row r="46" customFormat="false" ht="15" hidden="false" customHeight="true" outlineLevel="0" collapsed="false">
      <c r="A46" s="121" t="n">
        <v>45</v>
      </c>
      <c r="B46" s="122" t="n">
        <f aca="false">(1+Assumptions!$B$26)^INT((A46-1)/12)</f>
        <v>1.061208</v>
      </c>
    </row>
    <row r="47" customFormat="false" ht="15" hidden="false" customHeight="true" outlineLevel="0" collapsed="false">
      <c r="A47" s="121" t="n">
        <v>46</v>
      </c>
      <c r="B47" s="122" t="n">
        <f aca="false">(1+Assumptions!$B$26)^INT((A47-1)/12)</f>
        <v>1.061208</v>
      </c>
    </row>
    <row r="48" customFormat="false" ht="15" hidden="false" customHeight="true" outlineLevel="0" collapsed="false">
      <c r="A48" s="121" t="n">
        <v>47</v>
      </c>
      <c r="B48" s="122" t="n">
        <f aca="false">(1+Assumptions!$B$26)^INT((A48-1)/12)</f>
        <v>1.061208</v>
      </c>
    </row>
    <row r="49" customFormat="false" ht="15" hidden="false" customHeight="true" outlineLevel="0" collapsed="false">
      <c r="A49" s="121" t="n">
        <v>48</v>
      </c>
      <c r="B49" s="122" t="n">
        <f aca="false">(1+Assumptions!$B$26)^INT((A49-1)/12)</f>
        <v>1.061208</v>
      </c>
    </row>
    <row r="50" customFormat="false" ht="15" hidden="false" customHeight="true" outlineLevel="0" collapsed="false">
      <c r="A50" s="121" t="n">
        <v>49</v>
      </c>
      <c r="B50" s="122" t="n">
        <f aca="false">(1+Assumptions!$B$26)^INT((A50-1)/12)</f>
        <v>1.08243216</v>
      </c>
    </row>
    <row r="51" customFormat="false" ht="15" hidden="false" customHeight="true" outlineLevel="0" collapsed="false">
      <c r="A51" s="121" t="n">
        <v>50</v>
      </c>
      <c r="B51" s="122" t="n">
        <f aca="false">(1+Assumptions!$B$26)^INT((A51-1)/12)</f>
        <v>1.08243216</v>
      </c>
    </row>
    <row r="52" customFormat="false" ht="15" hidden="false" customHeight="true" outlineLevel="0" collapsed="false">
      <c r="A52" s="121" t="n">
        <v>51</v>
      </c>
      <c r="B52" s="122" t="n">
        <f aca="false">(1+Assumptions!$B$26)^INT((A52-1)/12)</f>
        <v>1.08243216</v>
      </c>
    </row>
    <row r="53" customFormat="false" ht="15" hidden="false" customHeight="true" outlineLevel="0" collapsed="false">
      <c r="A53" s="121" t="n">
        <v>52</v>
      </c>
      <c r="B53" s="122" t="n">
        <f aca="false">(1+Assumptions!$B$26)^INT((A53-1)/12)</f>
        <v>1.08243216</v>
      </c>
    </row>
    <row r="54" customFormat="false" ht="15" hidden="false" customHeight="true" outlineLevel="0" collapsed="false">
      <c r="A54" s="121" t="n">
        <v>53</v>
      </c>
      <c r="B54" s="122" t="n">
        <f aca="false">(1+Assumptions!$B$26)^INT((A54-1)/12)</f>
        <v>1.08243216</v>
      </c>
    </row>
    <row r="55" customFormat="false" ht="15" hidden="false" customHeight="true" outlineLevel="0" collapsed="false">
      <c r="A55" s="121" t="n">
        <v>54</v>
      </c>
      <c r="B55" s="122" t="n">
        <f aca="false">(1+Assumptions!$B$26)^INT((A55-1)/12)</f>
        <v>1.08243216</v>
      </c>
    </row>
    <row r="56" customFormat="false" ht="15" hidden="false" customHeight="true" outlineLevel="0" collapsed="false">
      <c r="A56" s="121" t="n">
        <v>55</v>
      </c>
      <c r="B56" s="122" t="n">
        <f aca="false">(1+Assumptions!$B$26)^INT((A56-1)/12)</f>
        <v>1.08243216</v>
      </c>
    </row>
    <row r="57" customFormat="false" ht="15" hidden="false" customHeight="true" outlineLevel="0" collapsed="false">
      <c r="A57" s="121" t="n">
        <v>56</v>
      </c>
      <c r="B57" s="122" t="n">
        <f aca="false">(1+Assumptions!$B$26)^INT((A57-1)/12)</f>
        <v>1.08243216</v>
      </c>
    </row>
    <row r="58" customFormat="false" ht="15" hidden="false" customHeight="true" outlineLevel="0" collapsed="false">
      <c r="A58" s="121" t="n">
        <v>57</v>
      </c>
      <c r="B58" s="122" t="n">
        <f aca="false">(1+Assumptions!$B$26)^INT((A58-1)/12)</f>
        <v>1.08243216</v>
      </c>
    </row>
    <row r="59" customFormat="false" ht="15" hidden="false" customHeight="true" outlineLevel="0" collapsed="false">
      <c r="A59" s="121" t="n">
        <v>58</v>
      </c>
      <c r="B59" s="122" t="n">
        <f aca="false">(1+Assumptions!$B$26)^INT((A59-1)/12)</f>
        <v>1.08243216</v>
      </c>
    </row>
    <row r="60" customFormat="false" ht="15" hidden="false" customHeight="true" outlineLevel="0" collapsed="false">
      <c r="A60" s="121" t="n">
        <v>59</v>
      </c>
      <c r="B60" s="122" t="n">
        <f aca="false">(1+Assumptions!$B$26)^INT((A60-1)/12)</f>
        <v>1.08243216</v>
      </c>
    </row>
    <row r="61" customFormat="false" ht="15" hidden="false" customHeight="true" outlineLevel="0" collapsed="false">
      <c r="A61" s="121" t="n">
        <v>60</v>
      </c>
      <c r="B61" s="122" t="n">
        <f aca="false">(1+Assumptions!$B$26)^INT((A61-1)/12)</f>
        <v>1.08243216</v>
      </c>
    </row>
    <row r="62" customFormat="false" ht="15" hidden="false" customHeight="true" outlineLevel="0" collapsed="false">
      <c r="A62" s="121" t="n">
        <v>61</v>
      </c>
      <c r="B62" s="122" t="n">
        <f aca="false">(1+Assumptions!$B$26)^INT((A62-1)/12)</f>
        <v>1.1040808032</v>
      </c>
    </row>
    <row r="63" customFormat="false" ht="15" hidden="false" customHeight="true" outlineLevel="0" collapsed="false">
      <c r="A63" s="121" t="n">
        <v>62</v>
      </c>
      <c r="B63" s="122" t="n">
        <f aca="false">(1+Assumptions!$B$26)^INT((A63-1)/12)</f>
        <v>1.1040808032</v>
      </c>
    </row>
    <row r="64" customFormat="false" ht="15" hidden="false" customHeight="true" outlineLevel="0" collapsed="false">
      <c r="A64" s="121" t="n">
        <v>63</v>
      </c>
      <c r="B64" s="122" t="n">
        <f aca="false">(1+Assumptions!$B$26)^INT((A64-1)/12)</f>
        <v>1.1040808032</v>
      </c>
    </row>
    <row r="65" customFormat="false" ht="15" hidden="false" customHeight="true" outlineLevel="0" collapsed="false">
      <c r="A65" s="121" t="n">
        <v>64</v>
      </c>
      <c r="B65" s="122" t="n">
        <f aca="false">(1+Assumptions!$B$26)^INT((A65-1)/12)</f>
        <v>1.1040808032</v>
      </c>
    </row>
    <row r="66" customFormat="false" ht="15" hidden="false" customHeight="true" outlineLevel="0" collapsed="false">
      <c r="A66" s="121" t="n">
        <v>65</v>
      </c>
      <c r="B66" s="122" t="n">
        <f aca="false">(1+Assumptions!$B$26)^INT((A66-1)/12)</f>
        <v>1.1040808032</v>
      </c>
    </row>
    <row r="67" customFormat="false" ht="15" hidden="false" customHeight="true" outlineLevel="0" collapsed="false">
      <c r="A67" s="121" t="n">
        <v>66</v>
      </c>
      <c r="B67" s="122" t="n">
        <f aca="false">(1+Assumptions!$B$26)^INT((A67-1)/12)</f>
        <v>1.1040808032</v>
      </c>
    </row>
    <row r="68" customFormat="false" ht="15" hidden="false" customHeight="true" outlineLevel="0" collapsed="false">
      <c r="A68" s="121" t="n">
        <v>67</v>
      </c>
      <c r="B68" s="122" t="n">
        <f aca="false">(1+Assumptions!$B$26)^INT((A68-1)/12)</f>
        <v>1.1040808032</v>
      </c>
    </row>
    <row r="69" customFormat="false" ht="15" hidden="false" customHeight="true" outlineLevel="0" collapsed="false">
      <c r="A69" s="121" t="n">
        <v>68</v>
      </c>
      <c r="B69" s="122" t="n">
        <f aca="false">(1+Assumptions!$B$26)^INT((A69-1)/12)</f>
        <v>1.1040808032</v>
      </c>
    </row>
    <row r="70" customFormat="false" ht="15" hidden="false" customHeight="true" outlineLevel="0" collapsed="false">
      <c r="A70" s="121" t="n">
        <v>69</v>
      </c>
      <c r="B70" s="122" t="n">
        <f aca="false">(1+Assumptions!$B$26)^INT((A70-1)/12)</f>
        <v>1.1040808032</v>
      </c>
    </row>
    <row r="71" customFormat="false" ht="15" hidden="false" customHeight="true" outlineLevel="0" collapsed="false">
      <c r="A71" s="121" t="n">
        <v>70</v>
      </c>
      <c r="B71" s="122" t="n">
        <f aca="false">(1+Assumptions!$B$26)^INT((A71-1)/12)</f>
        <v>1.1040808032</v>
      </c>
    </row>
    <row r="72" customFormat="false" ht="15" hidden="false" customHeight="true" outlineLevel="0" collapsed="false">
      <c r="A72" s="121" t="n">
        <v>71</v>
      </c>
      <c r="B72" s="122" t="n">
        <f aca="false">(1+Assumptions!$B$26)^INT((A72-1)/12)</f>
        <v>1.1040808032</v>
      </c>
    </row>
    <row r="73" customFormat="false" ht="15" hidden="false" customHeight="true" outlineLevel="0" collapsed="false">
      <c r="A73" s="121" t="n">
        <v>72</v>
      </c>
      <c r="B73" s="122" t="n">
        <f aca="false">(1+Assumptions!$B$26)^INT((A73-1)/12)</f>
        <v>1.1040808032</v>
      </c>
    </row>
    <row r="74" customFormat="false" ht="15" hidden="false" customHeight="true" outlineLevel="0" collapsed="false">
      <c r="A74" s="121" t="n">
        <v>73</v>
      </c>
      <c r="B74" s="122" t="n">
        <f aca="false">(1+Assumptions!$B$26)^INT((A74-1)/12)</f>
        <v>1.126162419264</v>
      </c>
    </row>
    <row r="75" customFormat="false" ht="15" hidden="false" customHeight="true" outlineLevel="0" collapsed="false">
      <c r="A75" s="121" t="n">
        <v>74</v>
      </c>
      <c r="B75" s="122" t="n">
        <f aca="false">(1+Assumptions!$B$26)^INT((A75-1)/12)</f>
        <v>1.126162419264</v>
      </c>
    </row>
    <row r="76" customFormat="false" ht="15" hidden="false" customHeight="true" outlineLevel="0" collapsed="false">
      <c r="A76" s="121" t="n">
        <v>75</v>
      </c>
      <c r="B76" s="122" t="n">
        <f aca="false">(1+Assumptions!$B$26)^INT((A76-1)/12)</f>
        <v>1.126162419264</v>
      </c>
    </row>
    <row r="77" customFormat="false" ht="15" hidden="false" customHeight="true" outlineLevel="0" collapsed="false">
      <c r="A77" s="121" t="n">
        <v>76</v>
      </c>
      <c r="B77" s="122" t="n">
        <f aca="false">(1+Assumptions!$B$26)^INT((A77-1)/12)</f>
        <v>1.126162419264</v>
      </c>
    </row>
    <row r="78" customFormat="false" ht="15" hidden="false" customHeight="true" outlineLevel="0" collapsed="false">
      <c r="A78" s="121" t="n">
        <v>77</v>
      </c>
      <c r="B78" s="122" t="n">
        <f aca="false">(1+Assumptions!$B$26)^INT((A78-1)/12)</f>
        <v>1.126162419264</v>
      </c>
    </row>
    <row r="79" customFormat="false" ht="15" hidden="false" customHeight="true" outlineLevel="0" collapsed="false">
      <c r="A79" s="121" t="n">
        <v>78</v>
      </c>
      <c r="B79" s="122" t="n">
        <f aca="false">(1+Assumptions!$B$26)^INT((A79-1)/12)</f>
        <v>1.126162419264</v>
      </c>
    </row>
    <row r="80" customFormat="false" ht="15" hidden="false" customHeight="true" outlineLevel="0" collapsed="false">
      <c r="A80" s="121" t="n">
        <v>79</v>
      </c>
      <c r="B80" s="122" t="n">
        <f aca="false">(1+Assumptions!$B$26)^INT((A80-1)/12)</f>
        <v>1.126162419264</v>
      </c>
    </row>
    <row r="81" customFormat="false" ht="15" hidden="false" customHeight="true" outlineLevel="0" collapsed="false">
      <c r="A81" s="121" t="n">
        <v>80</v>
      </c>
      <c r="B81" s="122" t="n">
        <f aca="false">(1+Assumptions!$B$26)^INT((A81-1)/12)</f>
        <v>1.126162419264</v>
      </c>
    </row>
    <row r="82" customFormat="false" ht="15" hidden="false" customHeight="true" outlineLevel="0" collapsed="false">
      <c r="A82" s="121" t="n">
        <v>81</v>
      </c>
      <c r="B82" s="122" t="n">
        <f aca="false">(1+Assumptions!$B$26)^INT((A82-1)/12)</f>
        <v>1.126162419264</v>
      </c>
    </row>
    <row r="83" customFormat="false" ht="15" hidden="false" customHeight="true" outlineLevel="0" collapsed="false">
      <c r="A83" s="121" t="n">
        <v>82</v>
      </c>
      <c r="B83" s="122" t="n">
        <f aca="false">(1+Assumptions!$B$26)^INT((A83-1)/12)</f>
        <v>1.126162419264</v>
      </c>
    </row>
    <row r="84" customFormat="false" ht="15" hidden="false" customHeight="true" outlineLevel="0" collapsed="false">
      <c r="A84" s="121" t="n">
        <v>83</v>
      </c>
      <c r="B84" s="122" t="n">
        <f aca="false">(1+Assumptions!$B$26)^INT((A84-1)/12)</f>
        <v>1.126162419264</v>
      </c>
    </row>
    <row r="85" customFormat="false" ht="15" hidden="false" customHeight="true" outlineLevel="0" collapsed="false">
      <c r="A85" s="121" t="n">
        <v>84</v>
      </c>
      <c r="B85" s="122" t="n">
        <f aca="false">(1+Assumptions!$B$26)^INT((A85-1)/12)</f>
        <v>1.126162419264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104" t="s">
        <v>523</v>
      </c>
      <c r="B1" s="104"/>
      <c r="C1" s="104"/>
      <c r="D1" s="104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true" customHeight="true" outlineLevel="0" collapsed="false">
      <c r="A3" s="101" t="s">
        <v>46</v>
      </c>
      <c r="C3" s="121" t="n">
        <v>1</v>
      </c>
      <c r="D3" s="121" t="n">
        <v>2</v>
      </c>
      <c r="E3" s="121" t="n">
        <v>3</v>
      </c>
      <c r="F3" s="121" t="n">
        <v>4</v>
      </c>
      <c r="G3" s="121" t="n">
        <v>5</v>
      </c>
      <c r="H3" s="121" t="n">
        <v>6</v>
      </c>
      <c r="I3" s="121" t="n">
        <v>7</v>
      </c>
      <c r="J3" s="121" t="n">
        <v>8</v>
      </c>
      <c r="K3" s="121" t="n">
        <v>9</v>
      </c>
      <c r="L3" s="121" t="n">
        <v>10</v>
      </c>
      <c r="M3" s="121" t="n">
        <v>11</v>
      </c>
      <c r="N3" s="121" t="n">
        <v>12</v>
      </c>
      <c r="O3" s="121" t="n">
        <v>13</v>
      </c>
      <c r="P3" s="121" t="n">
        <v>14</v>
      </c>
      <c r="Q3" s="121" t="n">
        <v>15</v>
      </c>
      <c r="R3" s="121" t="n">
        <v>16</v>
      </c>
      <c r="S3" s="121" t="n">
        <v>17</v>
      </c>
      <c r="T3" s="121" t="n">
        <v>18</v>
      </c>
      <c r="U3" s="121" t="n">
        <v>19</v>
      </c>
      <c r="V3" s="121" t="n">
        <v>20</v>
      </c>
      <c r="W3" s="121" t="n">
        <v>21</v>
      </c>
      <c r="X3" s="121" t="n">
        <v>22</v>
      </c>
      <c r="Y3" s="121" t="n">
        <v>23</v>
      </c>
      <c r="Z3" s="121" t="n">
        <v>24</v>
      </c>
      <c r="AA3" s="121" t="n">
        <v>25</v>
      </c>
      <c r="AB3" s="121" t="n">
        <v>26</v>
      </c>
      <c r="AC3" s="121" t="n">
        <v>27</v>
      </c>
      <c r="AD3" s="121" t="n">
        <v>28</v>
      </c>
      <c r="AE3" s="121" t="n">
        <v>29</v>
      </c>
      <c r="AF3" s="121" t="n">
        <v>30</v>
      </c>
      <c r="AG3" s="121" t="n">
        <v>31</v>
      </c>
      <c r="AH3" s="121" t="n">
        <v>32</v>
      </c>
      <c r="AI3" s="121" t="n">
        <v>33</v>
      </c>
      <c r="AJ3" s="121" t="n">
        <v>34</v>
      </c>
      <c r="AK3" s="121" t="n">
        <v>35</v>
      </c>
      <c r="AL3" s="121" t="n">
        <v>36</v>
      </c>
      <c r="AM3" s="121" t="n">
        <v>37</v>
      </c>
      <c r="AN3" s="121" t="n">
        <v>38</v>
      </c>
      <c r="AO3" s="121" t="n">
        <v>39</v>
      </c>
      <c r="AP3" s="121" t="n">
        <v>40</v>
      </c>
      <c r="AQ3" s="121" t="n">
        <v>41</v>
      </c>
      <c r="AR3" s="121" t="n">
        <v>42</v>
      </c>
      <c r="AS3" s="121" t="n">
        <v>43</v>
      </c>
      <c r="AT3" s="121" t="n">
        <v>44</v>
      </c>
      <c r="AU3" s="121" t="n">
        <v>45</v>
      </c>
      <c r="AV3" s="121" t="n">
        <v>46</v>
      </c>
      <c r="AW3" s="121" t="n">
        <v>47</v>
      </c>
      <c r="AX3" s="121" t="n">
        <v>48</v>
      </c>
      <c r="AY3" s="121" t="n">
        <v>49</v>
      </c>
      <c r="AZ3" s="121" t="n">
        <v>50</v>
      </c>
      <c r="BA3" s="121" t="n">
        <v>51</v>
      </c>
      <c r="BB3" s="121" t="n">
        <v>52</v>
      </c>
      <c r="BC3" s="121" t="n">
        <v>53</v>
      </c>
      <c r="BD3" s="121" t="n">
        <v>54</v>
      </c>
      <c r="BE3" s="121" t="n">
        <v>55</v>
      </c>
      <c r="BF3" s="121" t="n">
        <v>56</v>
      </c>
      <c r="BG3" s="121" t="n">
        <v>57</v>
      </c>
      <c r="BH3" s="121" t="n">
        <v>58</v>
      </c>
      <c r="BI3" s="121" t="n">
        <v>59</v>
      </c>
      <c r="BJ3" s="121" t="n">
        <v>60</v>
      </c>
      <c r="BK3" s="121" t="n">
        <v>61</v>
      </c>
      <c r="BL3" s="121" t="n">
        <v>62</v>
      </c>
      <c r="BM3" s="121" t="n">
        <v>63</v>
      </c>
      <c r="BN3" s="121" t="n">
        <v>64</v>
      </c>
      <c r="BO3" s="121" t="n">
        <v>65</v>
      </c>
      <c r="BP3" s="121" t="n">
        <v>66</v>
      </c>
      <c r="BQ3" s="121" t="n">
        <v>67</v>
      </c>
      <c r="BR3" s="121" t="n">
        <v>68</v>
      </c>
      <c r="BS3" s="121" t="n">
        <v>69</v>
      </c>
      <c r="BT3" s="121" t="n">
        <v>70</v>
      </c>
      <c r="BU3" s="121" t="n">
        <v>71</v>
      </c>
      <c r="BV3" s="121" t="n">
        <v>72</v>
      </c>
      <c r="BW3" s="121" t="n">
        <v>73</v>
      </c>
      <c r="BX3" s="121" t="n">
        <v>74</v>
      </c>
      <c r="BY3" s="121" t="n">
        <v>75</v>
      </c>
      <c r="BZ3" s="121" t="n">
        <v>76</v>
      </c>
      <c r="CA3" s="121" t="n">
        <v>77</v>
      </c>
      <c r="CB3" s="121" t="n">
        <v>78</v>
      </c>
      <c r="CC3" s="121" t="n">
        <v>79</v>
      </c>
      <c r="CD3" s="121" t="n">
        <v>80</v>
      </c>
      <c r="CE3" s="121" t="n">
        <v>81</v>
      </c>
      <c r="CF3" s="121" t="n">
        <v>82</v>
      </c>
      <c r="CG3" s="121" t="n">
        <v>83</v>
      </c>
      <c r="CH3" s="121" t="n">
        <v>84</v>
      </c>
    </row>
    <row r="4" customFormat="false" ht="15" hidden="false" customHeight="true" outlineLevel="0" collapsed="false">
      <c r="A4" s="101" t="s">
        <v>524</v>
      </c>
      <c r="C4" s="108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>195157.666666667</v>
      </c>
      <c r="D4" s="108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>231407.666666667</v>
      </c>
      <c r="E4" s="108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>261407.666666667</v>
      </c>
      <c r="F4" s="108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>261407.666666667</v>
      </c>
      <c r="G4" s="108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>261407.666666667</v>
      </c>
      <c r="H4" s="108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>261407.666666667</v>
      </c>
      <c r="I4" s="108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>261407.666666667</v>
      </c>
      <c r="J4" s="108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>261407.666666667</v>
      </c>
      <c r="K4" s="108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>261407.666666667</v>
      </c>
      <c r="L4" s="108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>261407.666666667</v>
      </c>
      <c r="M4" s="108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>261407.666666667</v>
      </c>
      <c r="N4" s="108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>261407.666666667</v>
      </c>
      <c r="O4" s="108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>266635.82</v>
      </c>
      <c r="P4" s="108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>266635.82</v>
      </c>
      <c r="Q4" s="108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>266635.82</v>
      </c>
      <c r="R4" s="108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>266635.82</v>
      </c>
      <c r="S4" s="108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>266635.82</v>
      </c>
      <c r="T4" s="108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>266635.82</v>
      </c>
      <c r="U4" s="108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>266635.82</v>
      </c>
      <c r="V4" s="108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>266635.82</v>
      </c>
      <c r="W4" s="108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>266635.82</v>
      </c>
      <c r="X4" s="108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>266635.82</v>
      </c>
      <c r="Y4" s="108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>266635.82</v>
      </c>
      <c r="Z4" s="108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>266635.82</v>
      </c>
      <c r="AA4" s="108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>271968.5364</v>
      </c>
      <c r="AB4" s="108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>271968.5364</v>
      </c>
      <c r="AC4" s="108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>271968.5364</v>
      </c>
      <c r="AD4" s="108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>271968.5364</v>
      </c>
      <c r="AE4" s="108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>271968.5364</v>
      </c>
      <c r="AF4" s="108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>271968.5364</v>
      </c>
      <c r="AG4" s="108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>271968.5364</v>
      </c>
      <c r="AH4" s="108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>271968.5364</v>
      </c>
      <c r="AI4" s="108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>271968.5364</v>
      </c>
      <c r="AJ4" s="108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>271968.5364</v>
      </c>
      <c r="AK4" s="108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>271968.5364</v>
      </c>
      <c r="AL4" s="108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>271968.5364</v>
      </c>
      <c r="AM4" s="108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>277407.907128</v>
      </c>
      <c r="AN4" s="108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>277407.907128</v>
      </c>
      <c r="AO4" s="108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>277407.907128</v>
      </c>
      <c r="AP4" s="108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>277407.907128</v>
      </c>
      <c r="AQ4" s="108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>277407.907128</v>
      </c>
      <c r="AR4" s="108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>277407.907128</v>
      </c>
      <c r="AS4" s="108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>277407.907128</v>
      </c>
      <c r="AT4" s="108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>277407.907128</v>
      </c>
      <c r="AU4" s="108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>277407.907128</v>
      </c>
      <c r="AV4" s="108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>277407.907128</v>
      </c>
      <c r="AW4" s="108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>277407.907128</v>
      </c>
      <c r="AX4" s="108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>277407.907128</v>
      </c>
      <c r="AY4" s="108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>282956.06527056</v>
      </c>
      <c r="AZ4" s="108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>282956.06527056</v>
      </c>
      <c r="BA4" s="108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>282956.06527056</v>
      </c>
      <c r="BB4" s="108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>282956.06527056</v>
      </c>
      <c r="BC4" s="108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>282956.06527056</v>
      </c>
      <c r="BD4" s="108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>282956.06527056</v>
      </c>
      <c r="BE4" s="108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>282956.06527056</v>
      </c>
      <c r="BF4" s="108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>282956.06527056</v>
      </c>
      <c r="BG4" s="108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>282956.06527056</v>
      </c>
      <c r="BH4" s="108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>282956.06527056</v>
      </c>
      <c r="BI4" s="108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>282956.06527056</v>
      </c>
      <c r="BJ4" s="108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>282956.06527056</v>
      </c>
      <c r="BK4" s="108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>288615.186575971</v>
      </c>
      <c r="BL4" s="108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>288615.186575971</v>
      </c>
      <c r="BM4" s="108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>288615.186575971</v>
      </c>
      <c r="BN4" s="108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>288615.186575971</v>
      </c>
      <c r="BO4" s="108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>288615.186575971</v>
      </c>
      <c r="BP4" s="108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>288615.186575971</v>
      </c>
      <c r="BQ4" s="108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>288615.186575971</v>
      </c>
      <c r="BR4" s="108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>288615.186575971</v>
      </c>
      <c r="BS4" s="108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>288615.186575971</v>
      </c>
      <c r="BT4" s="108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>288615.186575971</v>
      </c>
      <c r="BU4" s="108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>288615.186575971</v>
      </c>
      <c r="BV4" s="108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>288615.186575971</v>
      </c>
      <c r="BW4" s="108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>294387.490307491</v>
      </c>
      <c r="BX4" s="108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>294387.490307491</v>
      </c>
      <c r="BY4" s="108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>294387.490307491</v>
      </c>
      <c r="BZ4" s="108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>294387.490307491</v>
      </c>
      <c r="CA4" s="108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>294387.490307491</v>
      </c>
      <c r="CB4" s="108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>294387.490307491</v>
      </c>
      <c r="CC4" s="108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>294387.490307491</v>
      </c>
      <c r="CD4" s="108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>294387.490307491</v>
      </c>
      <c r="CE4" s="108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>294387.490307491</v>
      </c>
      <c r="CF4" s="108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>294387.490307491</v>
      </c>
      <c r="CG4" s="108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>294387.490307491</v>
      </c>
      <c r="CH4" s="108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>294387.490307491</v>
      </c>
    </row>
    <row r="5" customFormat="false" ht="15" hidden="false" customHeight="true" outlineLevel="0" collapsed="false">
      <c r="A5" s="101" t="s">
        <v>525</v>
      </c>
      <c r="C5" s="108" t="n">
        <f aca="false"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>22916.6666666667</v>
      </c>
      <c r="D5" s="108" t="n">
        <f aca="false"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>22916.6666666667</v>
      </c>
      <c r="E5" s="108" t="n">
        <f aca="false"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>22916.6666666667</v>
      </c>
      <c r="F5" s="108" t="n">
        <f aca="false"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>22916.6666666667</v>
      </c>
      <c r="G5" s="108" t="n">
        <f aca="false"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>22916.6666666667</v>
      </c>
      <c r="H5" s="108" t="n">
        <f aca="false"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>22916.6666666667</v>
      </c>
      <c r="I5" s="108" t="n">
        <f aca="false"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>22916.6666666667</v>
      </c>
      <c r="J5" s="108" t="n">
        <f aca="false"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>22916.6666666667</v>
      </c>
      <c r="K5" s="108" t="n">
        <f aca="false"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>22916.6666666667</v>
      </c>
      <c r="L5" s="108" t="n">
        <f aca="false"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>22916.6666666667</v>
      </c>
      <c r="M5" s="108" t="n">
        <f aca="false"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>22916.6666666667</v>
      </c>
      <c r="N5" s="108" t="n">
        <f aca="false"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>22916.6666666667</v>
      </c>
      <c r="O5" s="108" t="n">
        <f aca="false"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>23375</v>
      </c>
      <c r="P5" s="108" t="n">
        <f aca="false"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>23375</v>
      </c>
      <c r="Q5" s="108" t="n">
        <f aca="false"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>23375</v>
      </c>
      <c r="R5" s="108" t="n">
        <f aca="false"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>23375</v>
      </c>
      <c r="S5" s="108" t="n">
        <f aca="false"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>23375</v>
      </c>
      <c r="T5" s="108" t="n">
        <f aca="false"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>23375</v>
      </c>
      <c r="U5" s="108" t="n">
        <f aca="false"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>23375</v>
      </c>
      <c r="V5" s="108" t="n">
        <f aca="false"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>23375</v>
      </c>
      <c r="W5" s="108" t="n">
        <f aca="false"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>23375</v>
      </c>
      <c r="X5" s="108" t="n">
        <f aca="false"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>23375</v>
      </c>
      <c r="Y5" s="108" t="n">
        <f aca="false"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>23375</v>
      </c>
      <c r="Z5" s="108" t="n">
        <f aca="false"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>23375</v>
      </c>
      <c r="AA5" s="108" t="n">
        <f aca="false"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>23842.5</v>
      </c>
      <c r="AB5" s="108" t="n">
        <f aca="false"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>23842.5</v>
      </c>
      <c r="AC5" s="108" t="n">
        <f aca="false"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>23842.5</v>
      </c>
      <c r="AD5" s="108" t="n">
        <f aca="false"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>23842.5</v>
      </c>
      <c r="AE5" s="108" t="n">
        <f aca="false"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>23842.5</v>
      </c>
      <c r="AF5" s="108" t="n">
        <f aca="false"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>23842.5</v>
      </c>
      <c r="AG5" s="108" t="n">
        <f aca="false"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>23842.5</v>
      </c>
      <c r="AH5" s="108" t="n">
        <f aca="false"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>23842.5</v>
      </c>
      <c r="AI5" s="108" t="n">
        <f aca="false"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>23842.5</v>
      </c>
      <c r="AJ5" s="108" t="n">
        <f aca="false"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>23842.5</v>
      </c>
      <c r="AK5" s="108" t="n">
        <f aca="false"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>23842.5</v>
      </c>
      <c r="AL5" s="108" t="n">
        <f aca="false"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>23842.5</v>
      </c>
      <c r="AM5" s="108" t="n">
        <f aca="false"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>24319.35</v>
      </c>
      <c r="AN5" s="108" t="n">
        <f aca="false"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>24319.35</v>
      </c>
      <c r="AO5" s="108" t="n">
        <f aca="false"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>24319.35</v>
      </c>
      <c r="AP5" s="108" t="n">
        <f aca="false"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>24319.35</v>
      </c>
      <c r="AQ5" s="108" t="n">
        <f aca="false"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>24319.35</v>
      </c>
      <c r="AR5" s="108" t="n">
        <f aca="false"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>24319.35</v>
      </c>
      <c r="AS5" s="108" t="n">
        <f aca="false"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>24319.35</v>
      </c>
      <c r="AT5" s="108" t="n">
        <f aca="false"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>24319.35</v>
      </c>
      <c r="AU5" s="108" t="n">
        <f aca="false"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>24319.35</v>
      </c>
      <c r="AV5" s="108" t="n">
        <f aca="false"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>24319.35</v>
      </c>
      <c r="AW5" s="108" t="n">
        <f aca="false"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>24319.35</v>
      </c>
      <c r="AX5" s="108" t="n">
        <f aca="false"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>24319.35</v>
      </c>
      <c r="AY5" s="108" t="n">
        <f aca="false"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>24805.737</v>
      </c>
      <c r="AZ5" s="108" t="n">
        <f aca="false"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>24805.737</v>
      </c>
      <c r="BA5" s="108" t="n">
        <f aca="false"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>24805.737</v>
      </c>
      <c r="BB5" s="108" t="n">
        <f aca="false"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>24805.737</v>
      </c>
      <c r="BC5" s="108" t="n">
        <f aca="false"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>24805.737</v>
      </c>
      <c r="BD5" s="108" t="n">
        <f aca="false"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>24805.737</v>
      </c>
      <c r="BE5" s="108" t="n">
        <f aca="false"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>24805.737</v>
      </c>
      <c r="BF5" s="108" t="n">
        <f aca="false"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>24805.737</v>
      </c>
      <c r="BG5" s="108" t="n">
        <f aca="false"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>24805.737</v>
      </c>
      <c r="BH5" s="108" t="n">
        <f aca="false"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>24805.737</v>
      </c>
      <c r="BI5" s="108" t="n">
        <f aca="false"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>24805.737</v>
      </c>
      <c r="BJ5" s="108" t="n">
        <f aca="false"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>24805.737</v>
      </c>
      <c r="BK5" s="108" t="n">
        <f aca="false"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>25301.85174</v>
      </c>
      <c r="BL5" s="108" t="n">
        <f aca="false"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>25301.85174</v>
      </c>
      <c r="BM5" s="108" t="n">
        <f aca="false"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>25301.85174</v>
      </c>
      <c r="BN5" s="108" t="n">
        <f aca="false"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>25301.85174</v>
      </c>
      <c r="BO5" s="108" t="n">
        <f aca="false"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>25301.85174</v>
      </c>
      <c r="BP5" s="108" t="n">
        <f aca="false"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>25301.85174</v>
      </c>
      <c r="BQ5" s="108" t="n">
        <f aca="false"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>25301.85174</v>
      </c>
      <c r="BR5" s="108" t="n">
        <f aca="false"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>25301.85174</v>
      </c>
      <c r="BS5" s="108" t="n">
        <f aca="false"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>25301.85174</v>
      </c>
      <c r="BT5" s="108" t="n">
        <f aca="false"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>25301.85174</v>
      </c>
      <c r="BU5" s="108" t="n">
        <f aca="false"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>25301.85174</v>
      </c>
      <c r="BV5" s="108" t="n">
        <f aca="false"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>25301.85174</v>
      </c>
      <c r="BW5" s="108" t="n">
        <f aca="false"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>25807.8887748</v>
      </c>
      <c r="BX5" s="108" t="n">
        <f aca="false"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>25807.8887748</v>
      </c>
      <c r="BY5" s="108" t="n">
        <f aca="false"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>25807.8887748</v>
      </c>
      <c r="BZ5" s="108" t="n">
        <f aca="false"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>25807.8887748</v>
      </c>
      <c r="CA5" s="108" t="n">
        <f aca="false"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>25807.8887748</v>
      </c>
      <c r="CB5" s="108" t="n">
        <f aca="false"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>25807.8887748</v>
      </c>
      <c r="CC5" s="108" t="n">
        <f aca="false"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>25807.8887748</v>
      </c>
      <c r="CD5" s="108" t="n">
        <f aca="false"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>25807.8887748</v>
      </c>
      <c r="CE5" s="108" t="n">
        <f aca="false"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>25807.8887748</v>
      </c>
      <c r="CF5" s="108" t="n">
        <f aca="false"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>25807.8887748</v>
      </c>
      <c r="CG5" s="108" t="n">
        <f aca="false"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>25807.8887748</v>
      </c>
      <c r="CH5" s="108" t="n">
        <f aca="false"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>25807.8887748</v>
      </c>
    </row>
    <row r="7" customFormat="false" ht="15" hidden="false" customHeight="true" outlineLevel="0" collapsed="false">
      <c r="A7" s="103" t="s">
        <v>526</v>
      </c>
    </row>
    <row r="8" customFormat="false" ht="15" hidden="false" customHeight="true" outlineLevel="0" collapsed="false">
      <c r="A8" s="101" t="s">
        <v>156</v>
      </c>
      <c r="C8" s="108" t="n">
        <f aca="false">IF(AND(Projects!$G$4="Yes",Projects!$F$4="Yes",1&gt;=Projects!$C$4,1&lt;Projects!$C$4+Projects!$D$4),Projects!$B$4*(1-SUMPRODUCT((Curves!$B$8:$AO$8)*(COLUMN(Curves!$B$8:$AO$8)-COLUMN(Curves!$B$8)+1&lt;=1-Projects!$C$4+1))),0)</f>
        <v>10946461.5429654</v>
      </c>
      <c r="D8" s="108" t="n">
        <f aca="false">IF(AND(Projects!$G$4="Yes",Projects!$F$4="Yes",2&gt;=Projects!$C$4,2&lt;Projects!$C$4+Projects!$D$4),Projects!$B$4*(1-SUMPRODUCT((Curves!$B$8:$AO$8)*(COLUMN(Curves!$B$8:$AO$8)-COLUMN(Curves!$B$8)+1&lt;=2-Projects!$C$4+1))),0)</f>
        <v>10133653.2147754</v>
      </c>
      <c r="E8" s="108" t="n">
        <f aca="false">IF(AND(Projects!$G$4="Yes",Projects!$F$4="Yes",3&gt;=Projects!$C$4,3&lt;Projects!$C$4+Projects!$D$4),Projects!$B$4*(1-SUMPRODUCT((Curves!$B$8:$AO$8)*(COLUMN(Curves!$B$8:$AO$8)-COLUMN(Curves!$B$8)+1&lt;=3-Projects!$C$4+1))),0)</f>
        <v>9246899.83942384</v>
      </c>
      <c r="F8" s="108" t="n">
        <f aca="false">IF(AND(Projects!$G$4="Yes",Projects!$F$4="Yes",4&gt;=Projects!$C$4,4&lt;Projects!$C$4+Projects!$D$4),Projects!$B$4*(1-SUMPRODUCT((Curves!$B$8:$AO$8)*(COLUMN(Curves!$B$8:$AO$8)-COLUMN(Curves!$B$8)+1&lt;=4-Projects!$C$4+1))),0)</f>
        <v>8303243.59952528</v>
      </c>
      <c r="G8" s="108" t="n">
        <f aca="false">IF(AND(Projects!$G$4="Yes",Projects!$F$4="Yes",5&gt;=Projects!$C$4,5&lt;Projects!$C$4+Projects!$D$4),Projects!$B$4*(1-SUMPRODUCT((Curves!$B$8:$AO$8)*(COLUMN(Curves!$B$8:$AO$8)-COLUMN(Curves!$B$8)+1&lt;=5-Projects!$C$4+1))),0)</f>
        <v>7323700.45585194</v>
      </c>
      <c r="H8" s="108" t="n">
        <f aca="false">IF(AND(Projects!$G$4="Yes",Projects!$F$4="Yes",6&gt;=Projects!$C$4,6&lt;Projects!$C$4+Projects!$D$4),Projects!$B$4*(1-SUMPRODUCT((Curves!$B$8:$AO$8)*(COLUMN(Curves!$B$8:$AO$8)-COLUMN(Curves!$B$8)+1&lt;=6-Projects!$C$4+1))),0)</f>
        <v>6331894.58782936</v>
      </c>
      <c r="I8" s="108" t="n">
        <f aca="false">IF(AND(Projects!$G$4="Yes",Projects!$F$4="Yes",7&gt;=Projects!$C$4,7&lt;Projects!$C$4+Projects!$D$4),Projects!$B$4*(1-SUMPRODUCT((Curves!$B$8:$AO$8)*(COLUMN(Curves!$B$8:$AO$8)-COLUMN(Curves!$B$8)+1&lt;=7-Projects!$C$4+1))),0)</f>
        <v>5352351.44415602</v>
      </c>
      <c r="J8" s="108" t="n">
        <f aca="false">IF(AND(Projects!$G$4="Yes",Projects!$F$4="Yes",8&gt;=Projects!$C$4,8&lt;Projects!$C$4+Projects!$D$4),Projects!$B$4*(1-SUMPRODUCT((Curves!$B$8:$AO$8)*(COLUMN(Curves!$B$8:$AO$8)-COLUMN(Curves!$B$8)+1&lt;=8-Projects!$C$4+1))),0)</f>
        <v>4408695.20425746</v>
      </c>
      <c r="K8" s="108" t="n">
        <f aca="false">IF(AND(Projects!$G$4="Yes",Projects!$F$4="Yes",9&gt;=Projects!$C$4,9&lt;Projects!$C$4+Projects!$D$4),Projects!$B$4*(1-SUMPRODUCT((Curves!$B$8:$AO$8)*(COLUMN(Curves!$B$8:$AO$8)-COLUMN(Curves!$B$8)+1&lt;=9-Projects!$C$4+1))),0)</f>
        <v>3521941.82890593</v>
      </c>
      <c r="L8" s="108" t="n">
        <f aca="false">IF(AND(Projects!$G$4="Yes",Projects!$F$4="Yes",10&gt;=Projects!$C$4,10&lt;Projects!$C$4+Projects!$D$4),Projects!$B$4*(1-SUMPRODUCT((Curves!$B$8:$AO$8)*(COLUMN(Curves!$B$8:$AO$8)-COLUMN(Curves!$B$8)+1&lt;=10-Projects!$C$4+1))),0)</f>
        <v>2709133.50071593</v>
      </c>
      <c r="M8" s="108" t="n">
        <f aca="false">IF(AND(Projects!$G$4="Yes",Projects!$F$4="Yes",11&gt;=Projects!$C$4,11&lt;Projects!$C$4+Projects!$D$4),Projects!$B$4*(1-SUMPRODUCT((Curves!$B$8:$AO$8)*(COLUMN(Curves!$B$8:$AO$8)-COLUMN(Curves!$B$8)+1&lt;=11-Projects!$C$4+1))),0)</f>
        <v>1982410.0436813</v>
      </c>
      <c r="N8" s="108" t="n">
        <f aca="false">IF(AND(Projects!$G$4="Yes",Projects!$F$4="Yes",12&gt;=Projects!$C$4,12&lt;Projects!$C$4+Projects!$D$4),Projects!$B$4*(1-SUMPRODUCT((Curves!$B$8:$AO$8)*(COLUMN(Curves!$B$8:$AO$8)-COLUMN(Curves!$B$8)+1&lt;=12-Projects!$C$4+1))),0)</f>
        <v>1348626.56651396</v>
      </c>
      <c r="O8" s="108" t="n">
        <f aca="false">IF(AND(Projects!$G$4="Yes",Projects!$F$4="Yes",13&gt;=Projects!$C$4,13&lt;Projects!$C$4+Projects!$D$4),Projects!$B$4*(1-SUMPRODUCT((Curves!$B$8:$AO$8)*(COLUMN(Curves!$B$8:$AO$8)-COLUMN(Curves!$B$8)+1&lt;=13-Projects!$C$4+1))),0)</f>
        <v>809476.362999339</v>
      </c>
      <c r="P8" s="108" t="n">
        <f aca="false">IF(AND(Projects!$G$4="Yes",Projects!$F$4="Yes",14&gt;=Projects!$C$4,14&lt;Projects!$C$4+Projects!$D$4),Projects!$B$4*(1-SUMPRODUCT((Curves!$B$8:$AO$8)*(COLUMN(Curves!$B$8:$AO$8)-COLUMN(Curves!$B$8)+1&lt;=14-Projects!$C$4+1))),0)</f>
        <v>362105.413773295</v>
      </c>
      <c r="Q8" s="108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108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8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8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8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8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8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8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8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8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8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8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8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8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8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8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8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8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8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8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8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8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8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8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8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8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8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8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8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8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8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8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8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8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8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8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8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8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8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8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8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8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8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8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8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8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8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8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8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8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8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8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8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8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8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8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8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8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8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8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8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8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8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8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8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8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8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8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8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8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customFormat="false" ht="15" hidden="false" customHeight="true" outlineLevel="0" collapsed="false">
      <c r="A9" s="101" t="s">
        <v>157</v>
      </c>
      <c r="C9" s="108" t="n">
        <f aca="false">IF(AND(Projects!$G$5="Yes",Projects!$F$5="Yes",1&gt;=Projects!$C$5,1&lt;Projects!$C$5+Projects!$D$5),Projects!$B$5*(1-SUMPRODUCT((Curves!$B$9:$AO$9)*(COLUMN(Curves!$B$9:$AO$9)-COLUMN(Curves!$B$9)+1&lt;=1-Projects!$C$5+1))),0)</f>
        <v>12652545.5176246</v>
      </c>
      <c r="D9" s="108" t="n">
        <f aca="false">IF(AND(Projects!$G$5="Yes",Projects!$F$5="Yes",2&gt;=Projects!$C$5,2&lt;Projects!$C$5+Projects!$D$5),Projects!$B$5*(1-SUMPRODUCT((Curves!$B$9:$AO$9)*(COLUMN(Curves!$B$9:$AO$9)-COLUMN(Curves!$B$9)+1&lt;=2-Projects!$C$5+1))),0)</f>
        <v>11713055.2239655</v>
      </c>
      <c r="E9" s="108" t="n">
        <f aca="false">IF(AND(Projects!$G$5="Yes",Projects!$F$5="Yes",3&gt;=Projects!$C$5,3&lt;Projects!$C$5+Projects!$D$5),Projects!$B$5*(1-SUMPRODUCT((Curves!$B$9:$AO$9)*(COLUMN(Curves!$B$9:$AO$9)-COLUMN(Curves!$B$9)+1&lt;=3-Projects!$C$5+1))),0)</f>
        <v>10688095.0210265</v>
      </c>
      <c r="F9" s="108" t="n">
        <f aca="false">IF(AND(Projects!$G$5="Yes",Projects!$F$5="Yes",4&gt;=Projects!$C$5,4&lt;Projects!$C$5+Projects!$D$5),Projects!$B$5*(1-SUMPRODUCT((Curves!$B$9:$AO$9)*(COLUMN(Curves!$B$9:$AO$9)-COLUMN(Curves!$B$9)+1&lt;=4-Projects!$C$5+1))),0)</f>
        <v>9597363.23692953</v>
      </c>
      <c r="G9" s="108" t="n">
        <f aca="false">IF(AND(Projects!$G$5="Yes",Projects!$F$5="Yes",5&gt;=Projects!$C$5,5&lt;Projects!$C$5+Projects!$D$5),Projects!$B$5*(1-SUMPRODUCT((Curves!$B$9:$AO$9)*(COLUMN(Curves!$B$9:$AO$9)-COLUMN(Curves!$B$9)+1&lt;=5-Projects!$C$5+1))),0)</f>
        <v>8465151.3195754</v>
      </c>
      <c r="H9" s="108" t="n">
        <f aca="false">IF(AND(Projects!$G$5="Yes",Projects!$F$5="Yes",6&gt;=Projects!$C$5,6&lt;Projects!$C$5+Projects!$D$5),Projects!$B$5*(1-SUMPRODUCT((Curves!$B$9:$AO$9)*(COLUMN(Curves!$B$9:$AO$9)-COLUMN(Curves!$B$9)+1&lt;=6-Projects!$C$5+1))),0)</f>
        <v>7318765.44496671</v>
      </c>
      <c r="I9" s="108" t="n">
        <f aca="false">IF(AND(Projects!$G$5="Yes",Projects!$F$5="Yes",7&gt;=Projects!$C$5,7&lt;Projects!$C$5+Projects!$D$5),Projects!$B$5*(1-SUMPRODUCT((Curves!$B$9:$AO$9)*(COLUMN(Curves!$B$9:$AO$9)-COLUMN(Curves!$B$9)+1&lt;=7-Projects!$C$5+1))),0)</f>
        <v>6186553.52761257</v>
      </c>
      <c r="J9" s="108" t="n">
        <f aca="false">IF(AND(Projects!$G$5="Yes",Projects!$F$5="Yes",8&gt;=Projects!$C$5,8&lt;Projects!$C$5+Projects!$D$5),Projects!$B$5*(1-SUMPRODUCT((Curves!$B$9:$AO$9)*(COLUMN(Curves!$B$9:$AO$9)-COLUMN(Curves!$B$9)+1&lt;=8-Projects!$C$5+1))),0)</f>
        <v>5095821.74351565</v>
      </c>
      <c r="K9" s="108" t="n">
        <f aca="false">IF(AND(Projects!$G$5="Yes",Projects!$F$5="Yes",9&gt;=Projects!$C$5,9&lt;Projects!$C$5+Projects!$D$5),Projects!$B$5*(1-SUMPRODUCT((Curves!$B$9:$AO$9)*(COLUMN(Curves!$B$9:$AO$9)-COLUMN(Curves!$B$9)+1&lt;=9-Projects!$C$5+1))),0)</f>
        <v>4070861.54057658</v>
      </c>
      <c r="L9" s="108" t="n">
        <f aca="false">IF(AND(Projects!$G$5="Yes",Projects!$F$5="Yes",10&gt;=Projects!$C$5,10&lt;Projects!$C$5+Projects!$D$5),Projects!$B$5*(1-SUMPRODUCT((Curves!$B$9:$AO$9)*(COLUMN(Curves!$B$9:$AO$9)-COLUMN(Curves!$B$9)+1&lt;=10-Projects!$C$5+1))),0)</f>
        <v>3131371.24691751</v>
      </c>
      <c r="M9" s="108" t="n">
        <f aca="false">IF(AND(Projects!$G$5="Yes",Projects!$F$5="Yes",11&gt;=Projects!$C$5,11&lt;Projects!$C$5+Projects!$D$5),Projects!$B$5*(1-SUMPRODUCT((Curves!$B$9:$AO$9)*(COLUMN(Curves!$B$9:$AO$9)-COLUMN(Curves!$B$9)+1&lt;=11-Projects!$C$5+1))),0)</f>
        <v>2291382.76454211</v>
      </c>
      <c r="N9" s="108" t="n">
        <f aca="false">IF(AND(Projects!$G$5="Yes",Projects!$F$5="Yes",12&gt;=Projects!$C$5,12&lt;Projects!$C$5+Projects!$D$5),Projects!$B$5*(1-SUMPRODUCT((Curves!$B$9:$AO$9)*(COLUMN(Curves!$B$9:$AO$9)-COLUMN(Curves!$B$9)+1&lt;=12-Projects!$C$5+1))),0)</f>
        <v>1558819.61966618</v>
      </c>
      <c r="O9" s="108" t="n">
        <f aca="false">IF(AND(Projects!$G$5="Yes",Projects!$F$5="Yes",13&gt;=Projects!$C$5,13&lt;Projects!$C$5+Projects!$D$5),Projects!$B$5*(1-SUMPRODUCT((Curves!$B$9:$AO$9)*(COLUMN(Curves!$B$9:$AO$9)-COLUMN(Curves!$B$9)+1&lt;=13-Projects!$C$5+1))),0)</f>
        <v>935639.017968525</v>
      </c>
      <c r="P9" s="108" t="n">
        <f aca="false">IF(AND(Projects!$G$5="Yes",Projects!$F$5="Yes",14&gt;=Projects!$C$5,14&lt;Projects!$C$5+Projects!$D$5),Projects!$B$5*(1-SUMPRODUCT((Curves!$B$9:$AO$9)*(COLUMN(Curves!$B$9:$AO$9)-COLUMN(Curves!$B$9)+1&lt;=14-Projects!$C$5+1))),0)</f>
        <v>418542.120845361</v>
      </c>
      <c r="Q9" s="108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108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8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8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8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8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8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8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8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8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8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8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8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8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8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8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8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8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8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8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8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8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8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8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8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8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8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8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8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8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8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8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8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8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8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8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8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8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8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8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8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8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8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8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8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8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8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8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8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8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8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8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8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8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8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8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8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8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8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8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8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8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8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8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8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8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8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8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8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8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customFormat="false" ht="15" hidden="false" customHeight="true" outlineLevel="0" collapsed="false">
      <c r="A10" s="101" t="s">
        <v>49</v>
      </c>
      <c r="C10" s="108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8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8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8" t="n">
        <f aca="false">IF(AND(Projects!$G$7="Yes",Projects!$F$7="Yes",4&gt;=Projects!$C$7,4&lt;Projects!$C$7+Projects!$D$7),Projects!$B$7*(1-SUMPRODUCT((Curves!$B$3:$AO$3)*(COLUMN(Curves!$B$3:$AO$3)-COLUMN(Curves!$B$3)+1&lt;=4-Projects!$C$7+1))),0)</f>
        <v>42087723.721344</v>
      </c>
      <c r="G10" s="108" t="n">
        <f aca="false">IF(AND(Projects!$G$7="Yes",Projects!$F$7="Yes",5&gt;=Projects!$C$7,5&lt;Projects!$C$7+Projects!$D$7),Projects!$B$7*(1-SUMPRODUCT((Curves!$B$3:$AO$3)*(COLUMN(Curves!$B$3:$AO$3)-COLUMN(Curves!$B$3)+1&lt;=5-Projects!$C$7+1))),0)</f>
        <v>41042043.570816</v>
      </c>
      <c r="H10" s="108" t="n">
        <f aca="false"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8" t="n">
        <f aca="false">IF(AND(Projects!$G$7="Yes",Projects!$F$7="Yes",7&gt;=Projects!$C$7,7&lt;Projects!$C$7+Projects!$D$7),Projects!$B$7*(1-SUMPRODUCT((Curves!$B$3:$AO$3)*(COLUMN(Curves!$B$3:$AO$3)-COLUMN(Curves!$B$3)+1&lt;=7-Projects!$C$7+1))),0)</f>
        <v>38413233.922176</v>
      </c>
      <c r="J10" s="108" t="n">
        <f aca="false">IF(AND(Projects!$G$7="Yes",Projects!$F$7="Yes",8&gt;=Projects!$C$7,8&lt;Projects!$C$7+Projects!$D$7),Projects!$B$7*(1-SUMPRODUCT((Curves!$B$3:$AO$3)*(COLUMN(Curves!$B$3:$AO$3)-COLUMN(Curves!$B$3)+1&lt;=8-Projects!$C$7+1))),0)</f>
        <v>36819663.0912</v>
      </c>
      <c r="K10" s="108" t="n">
        <f aca="false">IF(AND(Projects!$G$7="Yes",Projects!$F$7="Yes",9&gt;=Projects!$C$7,9&lt;Projects!$C$7+Projects!$D$7),Projects!$B$7*(1-SUMPRODUCT((Curves!$B$3:$AO$3)*(COLUMN(Curves!$B$3:$AO$3)-COLUMN(Curves!$B$3)+1&lt;=9-Projects!$C$7+1))),0)</f>
        <v>35042144.334336</v>
      </c>
      <c r="L10" s="108" t="n">
        <f aca="false"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8" t="n">
        <f aca="false">IF(AND(Projects!$G$7="Yes",Projects!$F$7="Yes",11&gt;=Projects!$C$7,11&lt;Projects!$C$7+Projects!$D$7),Projects!$B$7*(1-SUMPRODUCT((Curves!$B$3:$AO$3)*(COLUMN(Curves!$B$3:$AO$3)-COLUMN(Curves!$B$3)+1&lt;=11-Projects!$C$7+1))),0)</f>
        <v>30979821.32352</v>
      </c>
      <c r="N10" s="108" t="n">
        <f aca="false"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8" t="n">
        <f aca="false">IF(AND(Projects!$G$7="Yes",Projects!$F$7="Yes",13&gt;=Projects!$C$7,13&lt;Projects!$C$7+Projects!$D$7),Projects!$B$7*(1-SUMPRODUCT((Curves!$B$3:$AO$3)*(COLUMN(Curves!$B$3:$AO$3)-COLUMN(Curves!$B$3)+1&lt;=13-Projects!$C$7+1))),0)</f>
        <v>26379576.312192</v>
      </c>
      <c r="P10" s="108" t="n">
        <f aca="false">IF(AND(Projects!$G$7="Yes",Projects!$F$7="Yes",14&gt;=Projects!$C$7,14&lt;Projects!$C$7+Projects!$D$7),Projects!$B$7*(1-SUMPRODUCT((Curves!$B$3:$AO$3)*(COLUMN(Curves!$B$3:$AO$3)-COLUMN(Curves!$B$3)+1&lt;=14-Projects!$C$7+1))),0)</f>
        <v>23950999.631232</v>
      </c>
      <c r="Q10" s="108" t="n">
        <f aca="false">IF(AND(Projects!$G$7="Yes",Projects!$F$7="Yes",15&gt;=Projects!$C$7,15&lt;Projects!$C$7+Projects!$D$7),Projects!$B$7*(1-SUMPRODUCT((Curves!$B$3:$AO$3)*(COLUMN(Curves!$B$3:$AO$3)-COLUMN(Curves!$B$3)+1&lt;=15-Projects!$C$7+1))),0)</f>
        <v>21484224</v>
      </c>
      <c r="R10" s="108" t="n">
        <f aca="false">IF(AND(Projects!$G$7="Yes",Projects!$F$7="Yes",16&gt;=Projects!$C$7,16&lt;Projects!$C$7+Projects!$D$7),Projects!$B$7*(1-SUMPRODUCT((Curves!$B$3:$AO$3)*(COLUMN(Curves!$B$3:$AO$3)-COLUMN(Curves!$B$3)+1&lt;=16-Projects!$C$7+1))),0)</f>
        <v>19017448.368768</v>
      </c>
      <c r="S10" s="108" t="n">
        <f aca="false">IF(AND(Projects!$G$7="Yes",Projects!$F$7="Yes",17&gt;=Projects!$C$7,17&lt;Projects!$C$7+Projects!$D$7),Projects!$B$7*(1-SUMPRODUCT((Curves!$B$3:$AO$3)*(COLUMN(Curves!$B$3:$AO$3)-COLUMN(Curves!$B$3)+1&lt;=17-Projects!$C$7+1))),0)</f>
        <v>16588871.687808</v>
      </c>
      <c r="T10" s="108" t="n">
        <f aca="false">IF(AND(Projects!$G$7="Yes",Projects!$F$7="Yes",18&gt;=Projects!$C$7,18&lt;Projects!$C$7+Projects!$D$7),Projects!$B$7*(1-SUMPRODUCT((Curves!$B$3:$AO$3)*(COLUMN(Curves!$B$3:$AO$3)-COLUMN(Curves!$B$3)+1&lt;=18-Projects!$C$7+1))),0)</f>
        <v>14234931.201024</v>
      </c>
      <c r="U10" s="108" t="n">
        <f aca="false">IF(AND(Projects!$G$7="Yes",Projects!$F$7="Yes",19&gt;=Projects!$C$7,19&lt;Projects!$C$7+Projects!$D$7),Projects!$B$7*(1-SUMPRODUCT((Curves!$B$3:$AO$3)*(COLUMN(Curves!$B$3:$AO$3)-COLUMN(Curves!$B$3)+1&lt;=19-Projects!$C$7+1))),0)</f>
        <v>11988626.67648</v>
      </c>
      <c r="V10" s="108" t="n">
        <f aca="false">IF(AND(Projects!$G$7="Yes",Projects!$F$7="Yes",20&gt;=Projects!$C$7,20&lt;Projects!$C$7+Projects!$D$7),Projects!$B$7*(1-SUMPRODUCT((Curves!$B$3:$AO$3)*(COLUMN(Curves!$B$3:$AO$3)-COLUMN(Curves!$B$3)+1&lt;=20-Projects!$C$7+1))),0)</f>
        <v>9878274.321408</v>
      </c>
      <c r="W10" s="108" t="n">
        <f aca="false">IF(AND(Projects!$G$7="Yes",Projects!$F$7="Yes",21&gt;=Projects!$C$7,21&lt;Projects!$C$7+Projects!$D$7),Projects!$B$7*(1-SUMPRODUCT((Curves!$B$3:$AO$3)*(COLUMN(Curves!$B$3:$AO$3)-COLUMN(Curves!$B$3)+1&lt;=21-Projects!$C$7+1))),0)</f>
        <v>7926303.665664</v>
      </c>
      <c r="X10" s="108" t="n">
        <f aca="false">IF(AND(Projects!$G$7="Yes",Projects!$F$7="Yes",22&gt;=Projects!$C$7,22&lt;Projects!$C$7+Projects!$D$7),Projects!$B$7*(1-SUMPRODUCT((Curves!$B$3:$AO$3)*(COLUMN(Curves!$B$3:$AO$3)-COLUMN(Curves!$B$3)+1&lt;=22-Projects!$C$7+1))),0)</f>
        <v>6148784.9088</v>
      </c>
      <c r="Y10" s="108" t="n">
        <f aca="false">IF(AND(Projects!$G$7="Yes",Projects!$F$7="Yes",23&gt;=Projects!$C$7,23&lt;Projects!$C$7+Projects!$D$7),Projects!$B$7*(1-SUMPRODUCT((Curves!$B$3:$AO$3)*(COLUMN(Curves!$B$3:$AO$3)-COLUMN(Curves!$B$3)+1&lt;=23-Projects!$C$7+1))),0)</f>
        <v>4555214.077824</v>
      </c>
      <c r="Z10" s="108" t="n">
        <f aca="false">IF(AND(Projects!$G$7="Yes",Projects!$F$7="Yes",24&gt;=Projects!$C$7,24&lt;Projects!$C$7+Projects!$D$7),Projects!$B$7*(1-SUMPRODUCT((Curves!$B$3:$AO$3)*(COLUMN(Curves!$B$3:$AO$3)-COLUMN(Curves!$B$3)+1&lt;=24-Projects!$C$7+1))),0)</f>
        <v>3148641.932544</v>
      </c>
      <c r="AA10" s="108" t="n">
        <f aca="false">IF(AND(Projects!$G$7="Yes",Projects!$F$7="Yes",25&gt;=Projects!$C$7,25&lt;Projects!$C$7+Projects!$D$7),Projects!$B$7*(1-SUMPRODUCT((Curves!$B$3:$AO$3)*(COLUMN(Curves!$B$3:$AO$3)-COLUMN(Curves!$B$3)+1&lt;=25-Projects!$C$7+1))),0)</f>
        <v>1926404.429184</v>
      </c>
      <c r="AB10" s="108" t="n">
        <f aca="false">IF(AND(Projects!$G$7="Yes",Projects!$F$7="Yes",26&gt;=Projects!$C$7,26&lt;Projects!$C$7+Projects!$D$7),Projects!$B$7*(1-SUMPRODUCT((Curves!$B$3:$AO$3)*(COLUMN(Curves!$B$3:$AO$3)-COLUMN(Curves!$B$3)+1&lt;=26-Projects!$C$7+1))),0)</f>
        <v>880724.278656</v>
      </c>
      <c r="AC10" s="108" t="n">
        <f aca="false">IF(AND(Projects!$G$7="Yes",Projects!$F$7="Yes",27&gt;=Projects!$C$7,27&lt;Projects!$C$7+Projects!$D$7),Projects!$B$7*(1-SUMPRODUCT((Curves!$B$3:$AO$3)*(COLUMN(Curves!$B$3:$AO$3)-COLUMN(Curves!$B$3)+1&lt;=27-Projects!$C$7+1))),0)</f>
        <v>0</v>
      </c>
      <c r="AD10" s="108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108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108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108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108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108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108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8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8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8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8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8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8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8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8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8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8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8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8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8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8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8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8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8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8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8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8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8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8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8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8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8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8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8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8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8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8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8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8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8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8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8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8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8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8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8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8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8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8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8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8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8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8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8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8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8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8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customFormat="false" ht="15" hidden="false" customHeight="true" outlineLevel="0" collapsed="false">
      <c r="A11" s="101" t="s">
        <v>158</v>
      </c>
      <c r="C11" s="108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8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8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8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8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8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8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108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108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108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108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8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8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108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108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108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108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108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108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108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108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108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108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108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108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8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8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8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8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8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8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8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8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8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8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8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8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8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8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8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8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8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8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8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8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8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8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8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8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8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8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8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8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8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8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8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8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8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8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8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8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8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8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8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8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8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8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8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8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8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8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8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8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8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8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8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8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8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8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8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8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8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8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8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customFormat="false" ht="15" hidden="false" customHeight="true" outlineLevel="0" collapsed="false">
      <c r="A12" s="101" t="s">
        <v>159</v>
      </c>
      <c r="C12" s="108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8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8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8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8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8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8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8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8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8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108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8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108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8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8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8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108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8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108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108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108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108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108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108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108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108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108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108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108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108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108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108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108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108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108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108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108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8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8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8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8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8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8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8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8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8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8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8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8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8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8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8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8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8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8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8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8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8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8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8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8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8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8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8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8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8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8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8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8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8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8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8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8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8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8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8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8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8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8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8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8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8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8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8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customFormat="false" ht="15" hidden="false" customHeight="true" outlineLevel="0" collapsed="false">
      <c r="A13" s="101" t="s">
        <v>53</v>
      </c>
      <c r="C13" s="108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8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8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8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8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8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8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8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108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8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108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8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108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108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108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8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108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108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108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108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108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108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108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108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108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108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8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8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8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8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8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8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8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8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8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8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8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8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8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8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8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8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8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8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8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8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8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8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8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8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8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8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8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8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8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8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8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8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8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8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8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8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8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8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8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8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8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8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8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8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8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8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8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8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8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8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8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8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8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8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8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8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8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8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customFormat="false" ht="15" hidden="false" customHeight="true" outlineLevel="0" collapsed="false">
      <c r="A14" s="101" t="s">
        <v>54</v>
      </c>
      <c r="C14" s="108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8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8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8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8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8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8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8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8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8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8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8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8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108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108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108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108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108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108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108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108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108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108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108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108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108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108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108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108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108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108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108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108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108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108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108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108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108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108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108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108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108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108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8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8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8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8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8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8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8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8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8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8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8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8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8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8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8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8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8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8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8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8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8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8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8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8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8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8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8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8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8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8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8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8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8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8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8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8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8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8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8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8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8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customFormat="false" ht="15" hidden="false" customHeight="true" outlineLevel="0" collapsed="false">
      <c r="A15" s="101" t="s">
        <v>57</v>
      </c>
      <c r="C15" s="108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8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8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8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8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8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8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8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8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8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8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8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8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8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8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8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8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8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8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8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8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8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8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8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8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8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8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108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108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108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8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108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108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108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8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8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108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108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108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108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108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108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108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108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108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108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108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108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108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108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108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108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108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108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108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108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108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8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8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8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8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8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8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8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8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8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8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8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8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8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8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8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8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8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8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8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8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8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8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8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8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8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8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8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customFormat="false" ht="15" hidden="false" customHeight="true" outlineLevel="0" collapsed="false">
      <c r="A16" s="123" t="s">
        <v>160</v>
      </c>
      <c r="C16" s="124" t="n">
        <f aca="false">SUM(C8:C15)</f>
        <v>23599007.06059</v>
      </c>
      <c r="D16" s="124" t="n">
        <f aca="false">SUM(D8:D15)</f>
        <v>21846708.4387409</v>
      </c>
      <c r="E16" s="124" t="n">
        <f aca="false">SUM(E8:E15)</f>
        <v>19934994.8604503</v>
      </c>
      <c r="F16" s="124" t="n">
        <f aca="false">SUM(F8:F15)</f>
        <v>59988330.5577988</v>
      </c>
      <c r="G16" s="124" t="n">
        <f aca="false">SUM(G8:G15)</f>
        <v>56830895.3462433</v>
      </c>
      <c r="H16" s="124" t="n">
        <f aca="false">SUM(H8:H15)</f>
        <v>53470466.1002521</v>
      </c>
      <c r="I16" s="124" t="n">
        <f aca="false">SUM(I8:I15)</f>
        <v>78806360.8366376</v>
      </c>
      <c r="J16" s="124" t="n">
        <f aca="false">SUM(J8:J15)</f>
        <v>95138155.8113951</v>
      </c>
      <c r="K16" s="124" t="n">
        <f aca="false">SUM(K8:K15)</f>
        <v>89880219.2871105</v>
      </c>
      <c r="L16" s="124" t="n">
        <f aca="false">SUM(L8:L15)</f>
        <v>84327348.5196844</v>
      </c>
      <c r="M16" s="124" t="n">
        <f aca="false">SUM(M8:M15)</f>
        <v>78517826.7676414</v>
      </c>
      <c r="N16" s="124" t="n">
        <f aca="false">SUM(N8:N15)</f>
        <v>72497927.0285711</v>
      </c>
      <c r="O16" s="124" t="n">
        <f aca="false">SUM(O8:O15)</f>
        <v>110860792.787625</v>
      </c>
      <c r="P16" s="124" t="n">
        <f aca="false">SUM(P8:P15)</f>
        <v>103756479.760667</v>
      </c>
      <c r="Q16" s="124" t="n">
        <f aca="false">SUM(Q8:Q15)</f>
        <v>96517203.055075</v>
      </c>
      <c r="R16" s="124" t="n">
        <f aca="false">SUM(R8:R15)</f>
        <v>89832380.402737</v>
      </c>
      <c r="S16" s="124" t="n">
        <f aca="false">SUM(S8:S15)</f>
        <v>83021753.709656</v>
      </c>
      <c r="T16" s="124" t="n">
        <f aca="false">SUM(T8:T15)</f>
        <v>76187589.600929</v>
      </c>
      <c r="U16" s="124" t="n">
        <f aca="false">SUM(U8:U15)</f>
        <v>69427945.700482</v>
      </c>
      <c r="V16" s="124" t="n">
        <f aca="false">SUM(V8:V15)</f>
        <v>62831519.462922</v>
      </c>
      <c r="W16" s="124" t="n">
        <f aca="false">SUM(W8:W15)</f>
        <v>56473335.557832</v>
      </c>
      <c r="X16" s="124" t="n">
        <f aca="false">SUM(X8:X15)</f>
        <v>50412135.689664</v>
      </c>
      <c r="Y16" s="124" t="n">
        <f aca="false">SUM(Y8:Y15)</f>
        <v>44689514.450515</v>
      </c>
      <c r="Z16" s="124" t="n">
        <f aca="false">SUM(Z8:Z15)</f>
        <v>39330314.060104</v>
      </c>
      <c r="AA16" s="124" t="n">
        <f aca="false">SUM(AA8:AA15)</f>
        <v>34344660.92992</v>
      </c>
      <c r="AB16" s="124" t="n">
        <f aca="false">SUM(AB8:AB15)</f>
        <v>30015781.27808</v>
      </c>
      <c r="AC16" s="124" t="n">
        <f aca="false">SUM(AC8:AC15)</f>
        <v>67115910.942616</v>
      </c>
      <c r="AD16" s="124" t="n">
        <f aca="false">SUM(AD8:AD15)</f>
        <v>63678669.505813</v>
      </c>
      <c r="AE16" s="124" t="n">
        <f aca="false">SUM(AE8:AE15)</f>
        <v>60195756.503803</v>
      </c>
      <c r="AF16" s="124" t="n">
        <f aca="false">SUM(AF8:AF15)</f>
        <v>56684810.890851</v>
      </c>
      <c r="AG16" s="124" t="n">
        <f aca="false">SUM(AG8:AG15)</f>
        <v>53163021.419372</v>
      </c>
      <c r="AH16" s="124" t="n">
        <f aca="false">SUM(AH8:AH15)</f>
        <v>49646883.209601</v>
      </c>
      <c r="AI16" s="124" t="n">
        <f aca="false">SUM(AI8:AI15)</f>
        <v>46152166.879778</v>
      </c>
      <c r="AJ16" s="124" t="n">
        <f aca="false">SUM(AJ8:AJ15)</f>
        <v>42693842.409563</v>
      </c>
      <c r="AK16" s="124" t="n">
        <f aca="false">SUM(AK8:AK15)</f>
        <v>39286070.295121</v>
      </c>
      <c r="AL16" s="124" t="n">
        <f aca="false">SUM(AL8:AL15)</f>
        <v>35942217.821294</v>
      </c>
      <c r="AM16" s="124" t="n">
        <f aca="false">SUM(AM8:AM15)</f>
        <v>32894612.367548</v>
      </c>
      <c r="AN16" s="124" t="n">
        <f aca="false">SUM(AN8:AN15)</f>
        <v>29903009.833158</v>
      </c>
      <c r="AO16" s="124" t="n">
        <f aca="false">SUM(AO8:AO15)</f>
        <v>26981928.712532</v>
      </c>
      <c r="AP16" s="124" t="n">
        <f aca="false">SUM(AP8:AP15)</f>
        <v>24145214.967326</v>
      </c>
      <c r="AQ16" s="124" t="n">
        <f aca="false">SUM(AQ8:AQ15)</f>
        <v>21405892.487426</v>
      </c>
      <c r="AR16" s="124" t="n">
        <f aca="false">SUM(AR8:AR15)</f>
        <v>18775979.790616</v>
      </c>
      <c r="AS16" s="124" t="n">
        <f aca="false">SUM(AS8:AS15)</f>
        <v>16893987.49148</v>
      </c>
      <c r="AT16" s="124" t="n">
        <f aca="false">SUM(AT8:AT15)</f>
        <v>15049033.294064</v>
      </c>
      <c r="AU16" s="124" t="n">
        <f aca="false">SUM(AU8:AU15)</f>
        <v>13258584.501624</v>
      </c>
      <c r="AV16" s="124" t="n">
        <f aca="false">SUM(AV8:AV15)</f>
        <v>11538273.165056</v>
      </c>
      <c r="AW16" s="124" t="n">
        <f aca="false">SUM(AW8:AW15)</f>
        <v>9901787.667552</v>
      </c>
      <c r="AX16" s="124" t="n">
        <f aca="false">SUM(AX8:AX15)</f>
        <v>8360541.887544</v>
      </c>
      <c r="AY16" s="124" t="n">
        <f aca="false">SUM(AY8:AY15)</f>
        <v>6923385.71628</v>
      </c>
      <c r="AZ16" s="124" t="n">
        <f aca="false">SUM(AZ8:AZ15)</f>
        <v>5596646.412456</v>
      </c>
      <c r="BA16" s="124" t="n">
        <f aca="false">SUM(BA8:BA15)</f>
        <v>4384004.53832</v>
      </c>
      <c r="BB16" s="124" t="n">
        <f aca="false">SUM(BB8:BB15)</f>
        <v>3286659.3782</v>
      </c>
      <c r="BC16" s="124" t="n">
        <f aca="false">SUM(BC8:BC15)</f>
        <v>2303535.711664</v>
      </c>
      <c r="BD16" s="124" t="n">
        <f aca="false">SUM(BD8:BD15)</f>
        <v>1431490.58668</v>
      </c>
      <c r="BE16" s="124" t="n">
        <f aca="false">SUM(BE8:BE15)</f>
        <v>665685.511304001</v>
      </c>
      <c r="BF16" s="124" t="n">
        <f aca="false">SUM(BF8:BF15)</f>
        <v>-165.418527995574</v>
      </c>
      <c r="BG16" s="124" t="n">
        <f aca="false">SUM(BG8:BG15)</f>
        <v>0</v>
      </c>
      <c r="BH16" s="124" t="n">
        <f aca="false">SUM(BH8:BH15)</f>
        <v>0</v>
      </c>
      <c r="BI16" s="124" t="n">
        <f aca="false">SUM(BI8:BI15)</f>
        <v>0</v>
      </c>
      <c r="BJ16" s="124" t="n">
        <f aca="false">SUM(BJ8:BJ15)</f>
        <v>0</v>
      </c>
      <c r="BK16" s="124" t="n">
        <f aca="false">SUM(BK8:BK15)</f>
        <v>0</v>
      </c>
      <c r="BL16" s="124" t="n">
        <f aca="false">SUM(BL8:BL15)</f>
        <v>0</v>
      </c>
      <c r="BM16" s="124" t="n">
        <f aca="false">SUM(BM8:BM15)</f>
        <v>0</v>
      </c>
      <c r="BN16" s="124" t="n">
        <f aca="false">SUM(BN8:BN15)</f>
        <v>0</v>
      </c>
      <c r="BO16" s="124" t="n">
        <f aca="false">SUM(BO8:BO15)</f>
        <v>0</v>
      </c>
      <c r="BP16" s="124" t="n">
        <f aca="false">SUM(BP8:BP15)</f>
        <v>0</v>
      </c>
      <c r="BQ16" s="124" t="n">
        <f aca="false">SUM(BQ8:BQ15)</f>
        <v>0</v>
      </c>
      <c r="BR16" s="124" t="n">
        <f aca="false">SUM(BR8:BR15)</f>
        <v>0</v>
      </c>
      <c r="BS16" s="124" t="n">
        <f aca="false">SUM(BS8:BS15)</f>
        <v>0</v>
      </c>
      <c r="BT16" s="124" t="n">
        <f aca="false">SUM(BT8:BT15)</f>
        <v>0</v>
      </c>
      <c r="BU16" s="124" t="n">
        <f aca="false">SUM(BU8:BU15)</f>
        <v>0</v>
      </c>
      <c r="BV16" s="124" t="n">
        <f aca="false">SUM(BV8:BV15)</f>
        <v>0</v>
      </c>
      <c r="BW16" s="124" t="n">
        <f aca="false">SUM(BW8:BW15)</f>
        <v>0</v>
      </c>
      <c r="BX16" s="124" t="n">
        <f aca="false">SUM(BX8:BX15)</f>
        <v>0</v>
      </c>
      <c r="BY16" s="124" t="n">
        <f aca="false">SUM(BY8:BY15)</f>
        <v>0</v>
      </c>
      <c r="BZ16" s="124" t="n">
        <f aca="false">SUM(BZ8:BZ15)</f>
        <v>0</v>
      </c>
      <c r="CA16" s="124" t="n">
        <f aca="false">SUM(CA8:CA15)</f>
        <v>0</v>
      </c>
      <c r="CB16" s="124" t="n">
        <f aca="false">SUM(CB8:CB15)</f>
        <v>0</v>
      </c>
      <c r="CC16" s="124" t="n">
        <f aca="false">SUM(CC8:CC15)</f>
        <v>0</v>
      </c>
      <c r="CD16" s="124" t="n">
        <f aca="false">SUM(CD8:CD15)</f>
        <v>0</v>
      </c>
      <c r="CE16" s="124" t="n">
        <f aca="false">SUM(CE8:CE15)</f>
        <v>0</v>
      </c>
      <c r="CF16" s="124" t="n">
        <f aca="false">SUM(CF8:CF15)</f>
        <v>0</v>
      </c>
      <c r="CG16" s="124" t="n">
        <f aca="false">SUM(CG8:CG15)</f>
        <v>0</v>
      </c>
      <c r="CH16" s="124" t="n">
        <f aca="false">SUM(CH8:CH15)</f>
        <v>0</v>
      </c>
    </row>
    <row r="18" customFormat="false" ht="15" hidden="false" customHeight="true" outlineLevel="0" collapsed="false">
      <c r="A18" s="8" t="s">
        <v>527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</row>
    <row r="19" customFormat="false" ht="15" hidden="false" customHeight="true" outlineLevel="0" collapsed="false">
      <c r="A19" s="101" t="s">
        <v>528</v>
      </c>
      <c r="C19" s="108" t="n">
        <f aca="false">IF(Projects!$G$7="Yes",Projects!$B$7*Assumptions!$B$47+Assumptions!$B$53*Assumptions!$B$48,0)</f>
        <v>579684.48</v>
      </c>
      <c r="D19" s="108" t="n">
        <f aca="false">C21</f>
        <v>579684.48</v>
      </c>
      <c r="E19" s="108" t="n">
        <f aca="false">D21</f>
        <v>579684.48</v>
      </c>
      <c r="F19" s="108" t="n">
        <f aca="false">E21</f>
        <v>579684.48</v>
      </c>
      <c r="G19" s="108" t="n">
        <f aca="false">F21</f>
        <v>579684.48</v>
      </c>
      <c r="H19" s="108" t="n">
        <f aca="false">G21</f>
        <v>579684.48</v>
      </c>
      <c r="I19" s="108" t="n">
        <f aca="false">H21</f>
        <v>579684.48</v>
      </c>
      <c r="J19" s="108" t="n">
        <f aca="false">I21</f>
        <v>579684.48</v>
      </c>
      <c r="K19" s="108" t="n">
        <f aca="false">J21</f>
        <v>579684.48</v>
      </c>
      <c r="L19" s="108" t="n">
        <f aca="false">K21</f>
        <v>579684.48</v>
      </c>
      <c r="M19" s="108" t="n">
        <f aca="false">L21</f>
        <v>579684.48</v>
      </c>
      <c r="N19" s="108" t="n">
        <f aca="false">M21</f>
        <v>579684.48</v>
      </c>
      <c r="O19" s="108" t="n">
        <f aca="false">N21</f>
        <v>579684.48</v>
      </c>
      <c r="P19" s="108" t="n">
        <f aca="false">O21</f>
        <v>579684.48</v>
      </c>
      <c r="Q19" s="108" t="n">
        <f aca="false">P21</f>
        <v>579684.48</v>
      </c>
      <c r="R19" s="108" t="n">
        <f aca="false">Q21</f>
        <v>579684.48</v>
      </c>
      <c r="S19" s="108" t="n">
        <f aca="false">R21</f>
        <v>579684.48</v>
      </c>
      <c r="T19" s="108" t="n">
        <f aca="false">S21</f>
        <v>579684.48</v>
      </c>
      <c r="U19" s="108" t="n">
        <f aca="false">T21</f>
        <v>579684.48</v>
      </c>
      <c r="V19" s="108" t="n">
        <f aca="false">U21</f>
        <v>579684.48</v>
      </c>
      <c r="W19" s="108" t="n">
        <f aca="false">V21</f>
        <v>579684.48</v>
      </c>
      <c r="X19" s="108" t="n">
        <f aca="false">W21</f>
        <v>579684.48</v>
      </c>
      <c r="Y19" s="108" t="n">
        <f aca="false">X21</f>
        <v>579684.48</v>
      </c>
      <c r="Z19" s="108" t="n">
        <f aca="false">Y21</f>
        <v>579684.48</v>
      </c>
      <c r="AA19" s="108" t="n">
        <f aca="false">Z21</f>
        <v>579684.48</v>
      </c>
      <c r="AB19" s="108" t="n">
        <f aca="false">AA21</f>
        <v>579684.48</v>
      </c>
      <c r="AC19" s="108" t="n">
        <f aca="false">AB21</f>
        <v>579684.48</v>
      </c>
      <c r="AD19" s="108" t="n">
        <f aca="false">AC21</f>
        <v>579684.48</v>
      </c>
      <c r="AE19" s="108" t="n">
        <f aca="false">AD21</f>
        <v>579684.48</v>
      </c>
      <c r="AF19" s="108" t="n">
        <f aca="false">AE21</f>
        <v>579684.48</v>
      </c>
      <c r="AG19" s="108" t="n">
        <f aca="false">AF21</f>
        <v>579684.48</v>
      </c>
      <c r="AH19" s="108" t="n">
        <f aca="false">AG21</f>
        <v>579684.48</v>
      </c>
      <c r="AI19" s="108" t="n">
        <f aca="false">AH21</f>
        <v>579684.48</v>
      </c>
      <c r="AJ19" s="108" t="n">
        <f aca="false">AI21</f>
        <v>579684.48</v>
      </c>
      <c r="AK19" s="108" t="n">
        <f aca="false">AJ21</f>
        <v>579684.48</v>
      </c>
      <c r="AL19" s="108" t="n">
        <f aca="false">AK21</f>
        <v>579684.48</v>
      </c>
      <c r="AM19" s="108" t="n">
        <f aca="false">AL21</f>
        <v>579684.48</v>
      </c>
      <c r="AN19" s="108" t="n">
        <f aca="false">AM21</f>
        <v>579684.48</v>
      </c>
      <c r="AO19" s="108" t="n">
        <f aca="false">AN21</f>
        <v>579684.48</v>
      </c>
      <c r="AP19" s="108" t="n">
        <f aca="false">AO21</f>
        <v>579684.48</v>
      </c>
      <c r="AQ19" s="108" t="n">
        <f aca="false">AP21</f>
        <v>579684.48</v>
      </c>
      <c r="AR19" s="108" t="n">
        <f aca="false">AQ21</f>
        <v>579684.48</v>
      </c>
      <c r="AS19" s="108" t="n">
        <f aca="false">AR21</f>
        <v>498001.48</v>
      </c>
      <c r="AT19" s="108" t="n">
        <f aca="false">AS21</f>
        <v>498001.48</v>
      </c>
      <c r="AU19" s="108" t="n">
        <f aca="false">AT21</f>
        <v>498001.48</v>
      </c>
      <c r="AV19" s="108" t="n">
        <f aca="false">AU21</f>
        <v>416319.48</v>
      </c>
      <c r="AW19" s="108" t="n">
        <f aca="false">AV21</f>
        <v>416319.48</v>
      </c>
      <c r="AX19" s="108" t="n">
        <f aca="false">AW21</f>
        <v>416319.48</v>
      </c>
      <c r="AY19" s="108" t="n">
        <f aca="false">AX21</f>
        <v>334637.48</v>
      </c>
      <c r="AZ19" s="108" t="n">
        <f aca="false">AY21</f>
        <v>334637.48</v>
      </c>
      <c r="BA19" s="108" t="n">
        <f aca="false">AZ21</f>
        <v>334637.48</v>
      </c>
      <c r="BB19" s="108" t="n">
        <f aca="false">BA21</f>
        <v>252955.48</v>
      </c>
      <c r="BC19" s="108" t="n">
        <f aca="false">BB21</f>
        <v>252955.48</v>
      </c>
      <c r="BD19" s="108" t="n">
        <f aca="false">BC21</f>
        <v>252955.48</v>
      </c>
      <c r="BE19" s="108" t="n">
        <f aca="false">BD21</f>
        <v>193777.48</v>
      </c>
      <c r="BF19" s="108" t="n">
        <f aca="false">BE21</f>
        <v>193777.48</v>
      </c>
      <c r="BG19" s="108" t="n">
        <f aca="false">BF21</f>
        <v>193777.48</v>
      </c>
      <c r="BH19" s="108" t="n">
        <f aca="false">BG21</f>
        <v>134601.48</v>
      </c>
      <c r="BI19" s="108" t="n">
        <f aca="false">BH21</f>
        <v>134601.48</v>
      </c>
      <c r="BJ19" s="108" t="n">
        <f aca="false">BI21</f>
        <v>134601.48</v>
      </c>
      <c r="BK19" s="108" t="n">
        <f aca="false">BJ21</f>
        <v>75425.48</v>
      </c>
      <c r="BL19" s="108" t="n">
        <f aca="false">BK21</f>
        <v>75425.48</v>
      </c>
      <c r="BM19" s="108" t="n">
        <f aca="false">BL21</f>
        <v>75425.48</v>
      </c>
      <c r="BN19" s="108" t="n">
        <f aca="false">BM21</f>
        <v>16249.48</v>
      </c>
      <c r="BO19" s="108" t="n">
        <f aca="false">BN21</f>
        <v>16249.48</v>
      </c>
      <c r="BP19" s="108" t="n">
        <f aca="false">BO21</f>
        <v>16249.48</v>
      </c>
      <c r="BQ19" s="108" t="n">
        <f aca="false">BP21</f>
        <v>0</v>
      </c>
      <c r="BR19" s="108" t="n">
        <f aca="false">BQ21</f>
        <v>0</v>
      </c>
      <c r="BS19" s="108" t="n">
        <f aca="false">BR21</f>
        <v>0</v>
      </c>
      <c r="BT19" s="108" t="n">
        <f aca="false">BS21</f>
        <v>0</v>
      </c>
      <c r="BU19" s="108" t="n">
        <f aca="false">BT21</f>
        <v>0</v>
      </c>
      <c r="BV19" s="108" t="n">
        <f aca="false">BU21</f>
        <v>0</v>
      </c>
      <c r="BW19" s="108" t="n">
        <f aca="false">BV21</f>
        <v>0</v>
      </c>
      <c r="BX19" s="108" t="n">
        <f aca="false">BW21</f>
        <v>0</v>
      </c>
      <c r="BY19" s="108" t="n">
        <f aca="false">BX21</f>
        <v>0</v>
      </c>
      <c r="BZ19" s="108" t="n">
        <f aca="false">BY21</f>
        <v>0</v>
      </c>
      <c r="CA19" s="108" t="n">
        <f aca="false">BZ21</f>
        <v>0</v>
      </c>
      <c r="CB19" s="108" t="n">
        <f aca="false">CA21</f>
        <v>0</v>
      </c>
      <c r="CC19" s="108" t="n">
        <f aca="false">CB21</f>
        <v>0</v>
      </c>
      <c r="CD19" s="108" t="n">
        <f aca="false">CC21</f>
        <v>0</v>
      </c>
      <c r="CE19" s="108" t="n">
        <f aca="false">CD21</f>
        <v>0</v>
      </c>
      <c r="CF19" s="108" t="n">
        <f aca="false">CE21</f>
        <v>0</v>
      </c>
      <c r="CG19" s="108" t="n">
        <f aca="false">CF21</f>
        <v>0</v>
      </c>
      <c r="CH19" s="108" t="n">
        <f aca="false">CG21</f>
        <v>0</v>
      </c>
    </row>
    <row r="20" customFormat="false" ht="15" hidden="false" customHeight="true" outlineLevel="0" collapsed="false">
      <c r="A20" s="125" t="s">
        <v>529</v>
      </c>
      <c r="C20" s="126" t="n">
        <f aca="false">MIN(C19,Model!C59)</f>
        <v>0</v>
      </c>
      <c r="D20" s="126" t="n">
        <f aca="false">MIN(D19,Model!D59)</f>
        <v>0</v>
      </c>
      <c r="E20" s="126" t="n">
        <f aca="false">MIN(E19,Model!E59)</f>
        <v>0</v>
      </c>
      <c r="F20" s="126" t="n">
        <f aca="false">MIN(F19,Model!F59)</f>
        <v>0</v>
      </c>
      <c r="G20" s="126" t="n">
        <f aca="false">MIN(G19,Model!G59)</f>
        <v>0</v>
      </c>
      <c r="H20" s="126" t="n">
        <f aca="false">MIN(H19,Model!H59)</f>
        <v>0</v>
      </c>
      <c r="I20" s="126" t="n">
        <f aca="false">MIN(I19,Model!I59)</f>
        <v>0</v>
      </c>
      <c r="J20" s="126" t="n">
        <f aca="false">MIN(J19,Model!J59)</f>
        <v>0</v>
      </c>
      <c r="K20" s="126" t="n">
        <f aca="false">MIN(K19,Model!K59)</f>
        <v>0</v>
      </c>
      <c r="L20" s="126" t="n">
        <f aca="false">MIN(L19,Model!L59)</f>
        <v>0</v>
      </c>
      <c r="M20" s="126" t="n">
        <f aca="false">MIN(M19,Model!M59)</f>
        <v>0</v>
      </c>
      <c r="N20" s="126" t="n">
        <f aca="false">MIN(N19,Model!N59)</f>
        <v>0</v>
      </c>
      <c r="O20" s="126" t="n">
        <f aca="false">MIN(O19,Model!O59)</f>
        <v>0</v>
      </c>
      <c r="P20" s="126" t="n">
        <f aca="false">MIN(P19,Model!P59)</f>
        <v>0</v>
      </c>
      <c r="Q20" s="126" t="n">
        <f aca="false">MIN(Q19,Model!Q59)</f>
        <v>0</v>
      </c>
      <c r="R20" s="126" t="n">
        <f aca="false">MIN(R19,Model!R59)</f>
        <v>0</v>
      </c>
      <c r="S20" s="126" t="n">
        <f aca="false">MIN(S19,Model!S59)</f>
        <v>0</v>
      </c>
      <c r="T20" s="126" t="n">
        <f aca="false">MIN(T19,Model!T59)</f>
        <v>0</v>
      </c>
      <c r="U20" s="126" t="n">
        <f aca="false">MIN(U19,Model!U59)</f>
        <v>0</v>
      </c>
      <c r="V20" s="126" t="n">
        <f aca="false">MIN(V19,Model!V59)</f>
        <v>0</v>
      </c>
      <c r="W20" s="126" t="n">
        <f aca="false">MIN(W19,Model!W59)</f>
        <v>0</v>
      </c>
      <c r="X20" s="126" t="n">
        <f aca="false">MIN(X19,Model!X59)</f>
        <v>0</v>
      </c>
      <c r="Y20" s="126" t="n">
        <f aca="false">MIN(Y19,Model!Y59)</f>
        <v>0</v>
      </c>
      <c r="Z20" s="126" t="n">
        <f aca="false">MIN(Z19,Model!Z59)</f>
        <v>0</v>
      </c>
      <c r="AA20" s="126" t="n">
        <f aca="false">MIN(AA19,Model!AA59)</f>
        <v>0</v>
      </c>
      <c r="AB20" s="126" t="n">
        <f aca="false">MIN(AB19,Model!AB59)</f>
        <v>0</v>
      </c>
      <c r="AC20" s="126" t="n">
        <f aca="false">MIN(AC19,Model!AC59)</f>
        <v>0</v>
      </c>
      <c r="AD20" s="126" t="n">
        <f aca="false">MIN(AD19,Model!AD59)</f>
        <v>0</v>
      </c>
      <c r="AE20" s="126" t="n">
        <f aca="false">MIN(AE19,Model!AE59)</f>
        <v>0</v>
      </c>
      <c r="AF20" s="126" t="n">
        <f aca="false">MIN(AF19,Model!AF59)</f>
        <v>0</v>
      </c>
      <c r="AG20" s="126" t="n">
        <f aca="false">MIN(AG19,Model!AG59)</f>
        <v>0</v>
      </c>
      <c r="AH20" s="126" t="n">
        <f aca="false">MIN(AH19,Model!AH59)</f>
        <v>0</v>
      </c>
      <c r="AI20" s="126" t="n">
        <f aca="false">MIN(AI19,Model!AI59)</f>
        <v>0</v>
      </c>
      <c r="AJ20" s="126" t="n">
        <f aca="false">MIN(AJ19,Model!AJ59)</f>
        <v>0</v>
      </c>
      <c r="AK20" s="126" t="n">
        <f aca="false">MIN(AK19,Model!AK59)</f>
        <v>0</v>
      </c>
      <c r="AL20" s="126" t="n">
        <f aca="false">MIN(AL19,Model!AL59)</f>
        <v>0</v>
      </c>
      <c r="AM20" s="126" t="n">
        <f aca="false">MIN(AM19,Model!AM59)</f>
        <v>0</v>
      </c>
      <c r="AN20" s="126" t="n">
        <f aca="false">MIN(AN19,Model!AN59)</f>
        <v>0</v>
      </c>
      <c r="AO20" s="126" t="n">
        <f aca="false">MIN(AO19,Model!AO59)</f>
        <v>0</v>
      </c>
      <c r="AP20" s="126" t="n">
        <f aca="false">MIN(AP19,Model!AP59)</f>
        <v>0</v>
      </c>
      <c r="AQ20" s="126" t="n">
        <f aca="false">MIN(AQ19,Model!AQ59)</f>
        <v>0</v>
      </c>
      <c r="AR20" s="126" t="n">
        <f aca="false">MIN(AR19,Model!AR59)</f>
        <v>81683</v>
      </c>
      <c r="AS20" s="126" t="n">
        <f aca="false">MIN(AS19,Model!AS59)</f>
        <v>0</v>
      </c>
      <c r="AT20" s="126" t="n">
        <f aca="false">MIN(AT19,Model!AT59)</f>
        <v>0</v>
      </c>
      <c r="AU20" s="126" t="n">
        <f aca="false">MIN(AU19,Model!AU59)</f>
        <v>81682</v>
      </c>
      <c r="AV20" s="126" t="n">
        <f aca="false">MIN(AV19,Model!AV59)</f>
        <v>0</v>
      </c>
      <c r="AW20" s="126" t="n">
        <f aca="false">MIN(AW19,Model!AW59)</f>
        <v>0</v>
      </c>
      <c r="AX20" s="126" t="n">
        <f aca="false">MIN(AX19,Model!AX59)</f>
        <v>81682</v>
      </c>
      <c r="AY20" s="126" t="n">
        <f aca="false">MIN(AY19,Model!AY59)</f>
        <v>0</v>
      </c>
      <c r="AZ20" s="126" t="n">
        <f aca="false">MIN(AZ19,Model!AZ59)</f>
        <v>0</v>
      </c>
      <c r="BA20" s="126" t="n">
        <f aca="false">MIN(BA19,Model!BA59)</f>
        <v>81682</v>
      </c>
      <c r="BB20" s="126" t="n">
        <f aca="false">MIN(BB19,Model!BB59)</f>
        <v>0</v>
      </c>
      <c r="BC20" s="126" t="n">
        <f aca="false">MIN(BC19,Model!BC59)</f>
        <v>0</v>
      </c>
      <c r="BD20" s="126" t="n">
        <f aca="false">MIN(BD19,Model!BD59)</f>
        <v>59178</v>
      </c>
      <c r="BE20" s="126" t="n">
        <f aca="false">MIN(BE19,Model!BE59)</f>
        <v>0</v>
      </c>
      <c r="BF20" s="126" t="n">
        <f aca="false">MIN(BF19,Model!BF59)</f>
        <v>0</v>
      </c>
      <c r="BG20" s="126" t="n">
        <f aca="false">MIN(BG19,Model!BG59)</f>
        <v>59176</v>
      </c>
      <c r="BH20" s="126" t="n">
        <f aca="false">MIN(BH19,Model!BH59)</f>
        <v>0</v>
      </c>
      <c r="BI20" s="126" t="n">
        <f aca="false">MIN(BI19,Model!BI59)</f>
        <v>0</v>
      </c>
      <c r="BJ20" s="126" t="n">
        <f aca="false">MIN(BJ19,Model!BJ59)</f>
        <v>59176</v>
      </c>
      <c r="BK20" s="126" t="n">
        <f aca="false">MIN(BK19,Model!BK59)</f>
        <v>0</v>
      </c>
      <c r="BL20" s="126" t="n">
        <f aca="false">MIN(BL19,Model!BL59)</f>
        <v>0</v>
      </c>
      <c r="BM20" s="126" t="n">
        <f aca="false">MIN(BM19,Model!BM59)</f>
        <v>59176</v>
      </c>
      <c r="BN20" s="126" t="n">
        <f aca="false">MIN(BN19,Model!BN59)</f>
        <v>0</v>
      </c>
      <c r="BO20" s="126" t="n">
        <f aca="false">MIN(BO19,Model!BO59)</f>
        <v>0</v>
      </c>
      <c r="BP20" s="126" t="n">
        <f aca="false">MIN(BP19,Model!BP59)</f>
        <v>16249.48</v>
      </c>
      <c r="BQ20" s="126" t="n">
        <f aca="false">MIN(BQ19,Model!BQ59)</f>
        <v>0</v>
      </c>
      <c r="BR20" s="126" t="n">
        <f aca="false">MIN(BR19,Model!BR59)</f>
        <v>0</v>
      </c>
      <c r="BS20" s="126" t="n">
        <f aca="false">MIN(BS19,Model!BS59)</f>
        <v>0</v>
      </c>
      <c r="BT20" s="126" t="n">
        <f aca="false">MIN(BT19,Model!BT59)</f>
        <v>0</v>
      </c>
      <c r="BU20" s="126" t="n">
        <f aca="false">MIN(BU19,Model!BU59)</f>
        <v>0</v>
      </c>
      <c r="BV20" s="126" t="n">
        <f aca="false">MIN(BV19,Model!BV59)</f>
        <v>0</v>
      </c>
      <c r="BW20" s="126" t="n">
        <f aca="false">MIN(BW19,Model!BW59)</f>
        <v>0</v>
      </c>
      <c r="BX20" s="126" t="n">
        <f aca="false">MIN(BX19,Model!BX59)</f>
        <v>0</v>
      </c>
      <c r="BY20" s="126" t="n">
        <f aca="false">MIN(BY19,Model!BY59)</f>
        <v>0</v>
      </c>
      <c r="BZ20" s="126" t="n">
        <f aca="false">MIN(BZ19,Model!BZ59)</f>
        <v>0</v>
      </c>
      <c r="CA20" s="126" t="n">
        <f aca="false">MIN(CA19,Model!CA59)</f>
        <v>0</v>
      </c>
      <c r="CB20" s="126" t="n">
        <f aca="false">MIN(CB19,Model!CB59)</f>
        <v>0</v>
      </c>
      <c r="CC20" s="126" t="n">
        <f aca="false">MIN(CC19,Model!CC59)</f>
        <v>0</v>
      </c>
      <c r="CD20" s="126" t="n">
        <f aca="false">MIN(CD19,Model!CD59)</f>
        <v>0</v>
      </c>
      <c r="CE20" s="126" t="n">
        <f aca="false">MIN(CE19,Model!CE59)</f>
        <v>0</v>
      </c>
      <c r="CF20" s="126" t="n">
        <f aca="false">MIN(CF19,Model!CF59)</f>
        <v>0</v>
      </c>
      <c r="CG20" s="126" t="n">
        <f aca="false">MIN(CG19,Model!CG59)</f>
        <v>0</v>
      </c>
      <c r="CH20" s="126" t="n">
        <f aca="false">MIN(CH19,Model!CH59)</f>
        <v>0</v>
      </c>
    </row>
    <row r="21" customFormat="false" ht="15" hidden="false" customHeight="true" outlineLevel="0" collapsed="false">
      <c r="A21" s="123" t="s">
        <v>530</v>
      </c>
      <c r="C21" s="124" t="n">
        <f aca="false">MAX(0,C19-C20)</f>
        <v>579684.48</v>
      </c>
      <c r="D21" s="124" t="n">
        <f aca="false">MAX(0,D19-D20)</f>
        <v>579684.48</v>
      </c>
      <c r="E21" s="124" t="n">
        <f aca="false">MAX(0,E19-E20)</f>
        <v>579684.48</v>
      </c>
      <c r="F21" s="124" t="n">
        <f aca="false">MAX(0,F19-F20)</f>
        <v>579684.48</v>
      </c>
      <c r="G21" s="124" t="n">
        <f aca="false">MAX(0,G19-G20)</f>
        <v>579684.48</v>
      </c>
      <c r="H21" s="124" t="n">
        <f aca="false">MAX(0,H19-H20)</f>
        <v>579684.48</v>
      </c>
      <c r="I21" s="124" t="n">
        <f aca="false">MAX(0,I19-I20)</f>
        <v>579684.48</v>
      </c>
      <c r="J21" s="124" t="n">
        <f aca="false">MAX(0,J19-J20)</f>
        <v>579684.48</v>
      </c>
      <c r="K21" s="124" t="n">
        <f aca="false">MAX(0,K19-K20)</f>
        <v>579684.48</v>
      </c>
      <c r="L21" s="124" t="n">
        <f aca="false">MAX(0,L19-L20)</f>
        <v>579684.48</v>
      </c>
      <c r="M21" s="124" t="n">
        <f aca="false">MAX(0,M19-M20)</f>
        <v>579684.48</v>
      </c>
      <c r="N21" s="124" t="n">
        <f aca="false">MAX(0,N19-N20)</f>
        <v>579684.48</v>
      </c>
      <c r="O21" s="124" t="n">
        <f aca="false">MAX(0,O19-O20)</f>
        <v>579684.48</v>
      </c>
      <c r="P21" s="124" t="n">
        <f aca="false">MAX(0,P19-P20)</f>
        <v>579684.48</v>
      </c>
      <c r="Q21" s="124" t="n">
        <f aca="false">MAX(0,Q19-Q20)</f>
        <v>579684.48</v>
      </c>
      <c r="R21" s="124" t="n">
        <f aca="false">MAX(0,R19-R20)</f>
        <v>579684.48</v>
      </c>
      <c r="S21" s="124" t="n">
        <f aca="false">MAX(0,S19-S20)</f>
        <v>579684.48</v>
      </c>
      <c r="T21" s="124" t="n">
        <f aca="false">MAX(0,T19-T20)</f>
        <v>579684.48</v>
      </c>
      <c r="U21" s="124" t="n">
        <f aca="false">MAX(0,U19-U20)</f>
        <v>579684.48</v>
      </c>
      <c r="V21" s="124" t="n">
        <f aca="false">MAX(0,V19-V20)</f>
        <v>579684.48</v>
      </c>
      <c r="W21" s="124" t="n">
        <f aca="false">MAX(0,W19-W20)</f>
        <v>579684.48</v>
      </c>
      <c r="X21" s="124" t="n">
        <f aca="false">MAX(0,X19-X20)</f>
        <v>579684.48</v>
      </c>
      <c r="Y21" s="124" t="n">
        <f aca="false">MAX(0,Y19-Y20)</f>
        <v>579684.48</v>
      </c>
      <c r="Z21" s="124" t="n">
        <f aca="false">MAX(0,Z19-Z20)</f>
        <v>579684.48</v>
      </c>
      <c r="AA21" s="124" t="n">
        <f aca="false">MAX(0,AA19-AA20)</f>
        <v>579684.48</v>
      </c>
      <c r="AB21" s="124" t="n">
        <f aca="false">MAX(0,AB19-AB20)</f>
        <v>579684.48</v>
      </c>
      <c r="AC21" s="124" t="n">
        <f aca="false">MAX(0,AC19-AC20)</f>
        <v>579684.48</v>
      </c>
      <c r="AD21" s="124" t="n">
        <f aca="false">MAX(0,AD19-AD20)</f>
        <v>579684.48</v>
      </c>
      <c r="AE21" s="124" t="n">
        <f aca="false">MAX(0,AE19-AE20)</f>
        <v>579684.48</v>
      </c>
      <c r="AF21" s="124" t="n">
        <f aca="false">MAX(0,AF19-AF20)</f>
        <v>579684.48</v>
      </c>
      <c r="AG21" s="124" t="n">
        <f aca="false">MAX(0,AG19-AG20)</f>
        <v>579684.48</v>
      </c>
      <c r="AH21" s="124" t="n">
        <f aca="false">MAX(0,AH19-AH20)</f>
        <v>579684.48</v>
      </c>
      <c r="AI21" s="124" t="n">
        <f aca="false">MAX(0,AI19-AI20)</f>
        <v>579684.48</v>
      </c>
      <c r="AJ21" s="124" t="n">
        <f aca="false">MAX(0,AJ19-AJ20)</f>
        <v>579684.48</v>
      </c>
      <c r="AK21" s="124" t="n">
        <f aca="false">MAX(0,AK19-AK20)</f>
        <v>579684.48</v>
      </c>
      <c r="AL21" s="124" t="n">
        <f aca="false">MAX(0,AL19-AL20)</f>
        <v>579684.48</v>
      </c>
      <c r="AM21" s="124" t="n">
        <f aca="false">MAX(0,AM19-AM20)</f>
        <v>579684.48</v>
      </c>
      <c r="AN21" s="124" t="n">
        <f aca="false">MAX(0,AN19-AN20)</f>
        <v>579684.48</v>
      </c>
      <c r="AO21" s="124" t="n">
        <f aca="false">MAX(0,AO19-AO20)</f>
        <v>579684.48</v>
      </c>
      <c r="AP21" s="124" t="n">
        <f aca="false">MAX(0,AP19-AP20)</f>
        <v>579684.48</v>
      </c>
      <c r="AQ21" s="124" t="n">
        <f aca="false">MAX(0,AQ19-AQ20)</f>
        <v>579684.48</v>
      </c>
      <c r="AR21" s="124" t="n">
        <f aca="false">MAX(0,AR19-AR20)</f>
        <v>498001.48</v>
      </c>
      <c r="AS21" s="124" t="n">
        <f aca="false">MAX(0,AS19-AS20)</f>
        <v>498001.48</v>
      </c>
      <c r="AT21" s="124" t="n">
        <f aca="false">MAX(0,AT19-AT20)</f>
        <v>498001.48</v>
      </c>
      <c r="AU21" s="124" t="n">
        <f aca="false">MAX(0,AU19-AU20)</f>
        <v>416319.48</v>
      </c>
      <c r="AV21" s="124" t="n">
        <f aca="false">MAX(0,AV19-AV20)</f>
        <v>416319.48</v>
      </c>
      <c r="AW21" s="124" t="n">
        <f aca="false">MAX(0,AW19-AW20)</f>
        <v>416319.48</v>
      </c>
      <c r="AX21" s="124" t="n">
        <f aca="false">MAX(0,AX19-AX20)</f>
        <v>334637.48</v>
      </c>
      <c r="AY21" s="124" t="n">
        <f aca="false">MAX(0,AY19-AY20)</f>
        <v>334637.48</v>
      </c>
      <c r="AZ21" s="124" t="n">
        <f aca="false">MAX(0,AZ19-AZ20)</f>
        <v>334637.48</v>
      </c>
      <c r="BA21" s="124" t="n">
        <f aca="false">MAX(0,BA19-BA20)</f>
        <v>252955.48</v>
      </c>
      <c r="BB21" s="124" t="n">
        <f aca="false">MAX(0,BB19-BB20)</f>
        <v>252955.48</v>
      </c>
      <c r="BC21" s="124" t="n">
        <f aca="false">MAX(0,BC19-BC20)</f>
        <v>252955.48</v>
      </c>
      <c r="BD21" s="124" t="n">
        <f aca="false">MAX(0,BD19-BD20)</f>
        <v>193777.48</v>
      </c>
      <c r="BE21" s="124" t="n">
        <f aca="false">MAX(0,BE19-BE20)</f>
        <v>193777.48</v>
      </c>
      <c r="BF21" s="124" t="n">
        <f aca="false">MAX(0,BF19-BF20)</f>
        <v>193777.48</v>
      </c>
      <c r="BG21" s="124" t="n">
        <f aca="false">MAX(0,BG19-BG20)</f>
        <v>134601.48</v>
      </c>
      <c r="BH21" s="124" t="n">
        <f aca="false">MAX(0,BH19-BH20)</f>
        <v>134601.48</v>
      </c>
      <c r="BI21" s="124" t="n">
        <f aca="false">MAX(0,BI19-BI20)</f>
        <v>134601.48</v>
      </c>
      <c r="BJ21" s="124" t="n">
        <f aca="false">MAX(0,BJ19-BJ20)</f>
        <v>75425.48</v>
      </c>
      <c r="BK21" s="124" t="n">
        <f aca="false">MAX(0,BK19-BK20)</f>
        <v>75425.48</v>
      </c>
      <c r="BL21" s="124" t="n">
        <f aca="false">MAX(0,BL19-BL20)</f>
        <v>75425.48</v>
      </c>
      <c r="BM21" s="124" t="n">
        <f aca="false">MAX(0,BM19-BM20)</f>
        <v>16249.48</v>
      </c>
      <c r="BN21" s="124" t="n">
        <f aca="false">MAX(0,BN19-BN20)</f>
        <v>16249.48</v>
      </c>
      <c r="BO21" s="124" t="n">
        <f aca="false">MAX(0,BO19-BO20)</f>
        <v>16249.48</v>
      </c>
      <c r="BP21" s="124" t="n">
        <f aca="false">MAX(0,BP19-BP20)</f>
        <v>0</v>
      </c>
      <c r="BQ21" s="124" t="n">
        <f aca="false">MAX(0,BQ19-BQ20)</f>
        <v>0</v>
      </c>
      <c r="BR21" s="124" t="n">
        <f aca="false">MAX(0,BR19-BR20)</f>
        <v>0</v>
      </c>
      <c r="BS21" s="124" t="n">
        <f aca="false">MAX(0,BS19-BS20)</f>
        <v>0</v>
      </c>
      <c r="BT21" s="124" t="n">
        <f aca="false">MAX(0,BT19-BT20)</f>
        <v>0</v>
      </c>
      <c r="BU21" s="124" t="n">
        <f aca="false">MAX(0,BU19-BU20)</f>
        <v>0</v>
      </c>
      <c r="BV21" s="124" t="n">
        <f aca="false">MAX(0,BV19-BV20)</f>
        <v>0</v>
      </c>
      <c r="BW21" s="124" t="n">
        <f aca="false">MAX(0,BW19-BW20)</f>
        <v>0</v>
      </c>
      <c r="BX21" s="124" t="n">
        <f aca="false">MAX(0,BX19-BX20)</f>
        <v>0</v>
      </c>
      <c r="BY21" s="124" t="n">
        <f aca="false">MAX(0,BY19-BY20)</f>
        <v>0</v>
      </c>
      <c r="BZ21" s="124" t="n">
        <f aca="false">MAX(0,BZ19-BZ20)</f>
        <v>0</v>
      </c>
      <c r="CA21" s="124" t="n">
        <f aca="false">MAX(0,CA19-CA20)</f>
        <v>0</v>
      </c>
      <c r="CB21" s="124" t="n">
        <f aca="false">MAX(0,CB19-CB20)</f>
        <v>0</v>
      </c>
      <c r="CC21" s="124" t="n">
        <f aca="false">MAX(0,CC19-CC20)</f>
        <v>0</v>
      </c>
      <c r="CD21" s="124" t="n">
        <f aca="false">MAX(0,CD19-CD20)</f>
        <v>0</v>
      </c>
      <c r="CE21" s="124" t="n">
        <f aca="false">MAX(0,CE19-CE20)</f>
        <v>0</v>
      </c>
      <c r="CF21" s="124" t="n">
        <f aca="false">MAX(0,CF19-CF20)</f>
        <v>0</v>
      </c>
      <c r="CG21" s="124" t="n">
        <f aca="false">MAX(0,CG19-CG20)</f>
        <v>0</v>
      </c>
      <c r="CH21" s="124" t="n">
        <f aca="false">MAX(0,CH19-CH20)</f>
        <v>0</v>
      </c>
    </row>
    <row r="22" customFormat="false" ht="15" hidden="false" customHeight="true" outlineLevel="0" collapsed="false">
      <c r="A22" s="101" t="s">
        <v>531</v>
      </c>
      <c r="C22" s="108" t="n">
        <f aca="false">IF(Projects!$G$13="Yes",Projects!$B$13*Assumptions!$B$47+Assumptions!$B$54*Assumptions!$B$48,0)</f>
        <v>602667.7</v>
      </c>
      <c r="D22" s="108" t="n">
        <f aca="false">C24</f>
        <v>602667.7</v>
      </c>
      <c r="E22" s="108" t="n">
        <f aca="false">D24</f>
        <v>602667.7</v>
      </c>
      <c r="F22" s="108" t="n">
        <f aca="false">E24</f>
        <v>602667.7</v>
      </c>
      <c r="G22" s="108" t="n">
        <f aca="false">F24</f>
        <v>602667.7</v>
      </c>
      <c r="H22" s="108" t="n">
        <f aca="false">G24</f>
        <v>602667.7</v>
      </c>
      <c r="I22" s="108" t="n">
        <f aca="false">H24</f>
        <v>602667.7</v>
      </c>
      <c r="J22" s="108" t="n">
        <f aca="false">I24</f>
        <v>602667.7</v>
      </c>
      <c r="K22" s="108" t="n">
        <f aca="false">J24</f>
        <v>602667.7</v>
      </c>
      <c r="L22" s="108" t="n">
        <f aca="false">K24</f>
        <v>602667.7</v>
      </c>
      <c r="M22" s="108" t="n">
        <f aca="false">L24</f>
        <v>602667.7</v>
      </c>
      <c r="N22" s="108" t="n">
        <f aca="false">M24</f>
        <v>602667.7</v>
      </c>
      <c r="O22" s="108" t="n">
        <f aca="false">N24</f>
        <v>602667.7</v>
      </c>
      <c r="P22" s="108" t="n">
        <f aca="false">O24</f>
        <v>602667.7</v>
      </c>
      <c r="Q22" s="108" t="n">
        <f aca="false">P24</f>
        <v>602667.7</v>
      </c>
      <c r="R22" s="108" t="n">
        <f aca="false">Q24</f>
        <v>602667.7</v>
      </c>
      <c r="S22" s="108" t="n">
        <f aca="false">R24</f>
        <v>602667.7</v>
      </c>
      <c r="T22" s="108" t="n">
        <f aca="false">S24</f>
        <v>602667.7</v>
      </c>
      <c r="U22" s="108" t="n">
        <f aca="false">T24</f>
        <v>602667.7</v>
      </c>
      <c r="V22" s="108" t="n">
        <f aca="false">U24</f>
        <v>602667.7</v>
      </c>
      <c r="W22" s="108" t="n">
        <f aca="false">V24</f>
        <v>602667.7</v>
      </c>
      <c r="X22" s="108" t="n">
        <f aca="false">W24</f>
        <v>602667.7</v>
      </c>
      <c r="Y22" s="108" t="n">
        <f aca="false">X24</f>
        <v>602667.7</v>
      </c>
      <c r="Z22" s="108" t="n">
        <f aca="false">Y24</f>
        <v>602667.7</v>
      </c>
      <c r="AA22" s="108" t="n">
        <f aca="false">Z24</f>
        <v>602667.7</v>
      </c>
      <c r="AB22" s="108" t="n">
        <f aca="false">AA24</f>
        <v>602667.7</v>
      </c>
      <c r="AC22" s="108" t="n">
        <f aca="false">AB24</f>
        <v>602667.7</v>
      </c>
      <c r="AD22" s="108" t="n">
        <f aca="false">AC24</f>
        <v>602667.7</v>
      </c>
      <c r="AE22" s="108" t="n">
        <f aca="false">AD24</f>
        <v>602667.7</v>
      </c>
      <c r="AF22" s="108" t="n">
        <f aca="false">AE24</f>
        <v>602667.7</v>
      </c>
      <c r="AG22" s="108" t="n">
        <f aca="false">AF24</f>
        <v>602667.7</v>
      </c>
      <c r="AH22" s="108" t="n">
        <f aca="false">AG24</f>
        <v>602667.7</v>
      </c>
      <c r="AI22" s="108" t="n">
        <f aca="false">AH24</f>
        <v>602667.7</v>
      </c>
      <c r="AJ22" s="108" t="n">
        <f aca="false">AI24</f>
        <v>602667.7</v>
      </c>
      <c r="AK22" s="108" t="n">
        <f aca="false">AJ24</f>
        <v>602667.7</v>
      </c>
      <c r="AL22" s="108" t="n">
        <f aca="false">AK24</f>
        <v>602667.7</v>
      </c>
      <c r="AM22" s="108" t="n">
        <f aca="false">AL24</f>
        <v>602667.7</v>
      </c>
      <c r="AN22" s="108" t="n">
        <f aca="false">AM24</f>
        <v>602667.7</v>
      </c>
      <c r="AO22" s="108" t="n">
        <f aca="false">AN24</f>
        <v>602667.7</v>
      </c>
      <c r="AP22" s="108" t="n">
        <f aca="false">AO24</f>
        <v>602667.7</v>
      </c>
      <c r="AQ22" s="108" t="n">
        <f aca="false">AP24</f>
        <v>602667.7</v>
      </c>
      <c r="AR22" s="108" t="n">
        <f aca="false">AQ24</f>
        <v>602667.7</v>
      </c>
      <c r="AS22" s="108" t="n">
        <f aca="false">AR24</f>
        <v>602667.7</v>
      </c>
      <c r="AT22" s="108" t="n">
        <f aca="false">AS24</f>
        <v>602667.7</v>
      </c>
      <c r="AU22" s="108" t="n">
        <f aca="false">AT24</f>
        <v>602667.7</v>
      </c>
      <c r="AV22" s="108" t="n">
        <f aca="false">AU24</f>
        <v>602667.7</v>
      </c>
      <c r="AW22" s="108" t="n">
        <f aca="false">AV24</f>
        <v>602667.7</v>
      </c>
      <c r="AX22" s="108" t="n">
        <f aca="false">AW24</f>
        <v>602667.7</v>
      </c>
      <c r="AY22" s="108" t="n">
        <f aca="false">AX24</f>
        <v>602667.7</v>
      </c>
      <c r="AZ22" s="108" t="n">
        <f aca="false">AY24</f>
        <v>602667.7</v>
      </c>
      <c r="BA22" s="108" t="n">
        <f aca="false">AZ24</f>
        <v>602667.7</v>
      </c>
      <c r="BB22" s="108" t="n">
        <f aca="false">BA24</f>
        <v>0</v>
      </c>
      <c r="BC22" s="108" t="n">
        <f aca="false">BB24</f>
        <v>0</v>
      </c>
      <c r="BD22" s="108" t="n">
        <f aca="false">BC24</f>
        <v>0</v>
      </c>
      <c r="BE22" s="108" t="n">
        <f aca="false">BD24</f>
        <v>0</v>
      </c>
      <c r="BF22" s="108" t="n">
        <f aca="false">BE24</f>
        <v>0</v>
      </c>
      <c r="BG22" s="108" t="n">
        <f aca="false">BF24</f>
        <v>0</v>
      </c>
      <c r="BH22" s="108" t="n">
        <f aca="false">BG24</f>
        <v>0</v>
      </c>
      <c r="BI22" s="108" t="n">
        <f aca="false">BH24</f>
        <v>0</v>
      </c>
      <c r="BJ22" s="108" t="n">
        <f aca="false">BI24</f>
        <v>0</v>
      </c>
      <c r="BK22" s="108" t="n">
        <f aca="false">BJ24</f>
        <v>0</v>
      </c>
      <c r="BL22" s="108" t="n">
        <f aca="false">BK24</f>
        <v>0</v>
      </c>
      <c r="BM22" s="108" t="n">
        <f aca="false">BL24</f>
        <v>0</v>
      </c>
      <c r="BN22" s="108" t="n">
        <f aca="false">BM24</f>
        <v>0</v>
      </c>
      <c r="BO22" s="108" t="n">
        <f aca="false">BN24</f>
        <v>0</v>
      </c>
      <c r="BP22" s="108" t="n">
        <f aca="false">BO24</f>
        <v>0</v>
      </c>
      <c r="BQ22" s="108" t="n">
        <f aca="false">BP24</f>
        <v>0</v>
      </c>
      <c r="BR22" s="108" t="n">
        <f aca="false">BQ24</f>
        <v>0</v>
      </c>
      <c r="BS22" s="108" t="n">
        <f aca="false">BR24</f>
        <v>0</v>
      </c>
      <c r="BT22" s="108" t="n">
        <f aca="false">BS24</f>
        <v>0</v>
      </c>
      <c r="BU22" s="108" t="n">
        <f aca="false">BT24</f>
        <v>0</v>
      </c>
      <c r="BV22" s="108" t="n">
        <f aca="false">BU24</f>
        <v>0</v>
      </c>
      <c r="BW22" s="108" t="n">
        <f aca="false">BV24</f>
        <v>0</v>
      </c>
      <c r="BX22" s="108" t="n">
        <f aca="false">BW24</f>
        <v>0</v>
      </c>
      <c r="BY22" s="108" t="n">
        <f aca="false">BX24</f>
        <v>0</v>
      </c>
      <c r="BZ22" s="108" t="n">
        <f aca="false">BY24</f>
        <v>0</v>
      </c>
      <c r="CA22" s="108" t="n">
        <f aca="false">BZ24</f>
        <v>0</v>
      </c>
      <c r="CB22" s="108" t="n">
        <f aca="false">CA24</f>
        <v>0</v>
      </c>
      <c r="CC22" s="108" t="n">
        <f aca="false">CB24</f>
        <v>0</v>
      </c>
      <c r="CD22" s="108" t="n">
        <f aca="false">CC24</f>
        <v>0</v>
      </c>
      <c r="CE22" s="108" t="n">
        <f aca="false">CD24</f>
        <v>0</v>
      </c>
      <c r="CF22" s="108" t="n">
        <f aca="false">CE24</f>
        <v>0</v>
      </c>
      <c r="CG22" s="108" t="n">
        <f aca="false">CF24</f>
        <v>0</v>
      </c>
      <c r="CH22" s="108" t="n">
        <f aca="false">CG24</f>
        <v>0</v>
      </c>
    </row>
    <row r="23" customFormat="false" ht="15" hidden="false" customHeight="true" outlineLevel="0" collapsed="false">
      <c r="A23" s="125" t="s">
        <v>532</v>
      </c>
      <c r="C23" s="126" t="n">
        <f aca="false">MIN(C22,Model!C60)</f>
        <v>0</v>
      </c>
      <c r="D23" s="126" t="n">
        <f aca="false">MIN(D22,Model!D60)</f>
        <v>0</v>
      </c>
      <c r="E23" s="126" t="n">
        <f aca="false">MIN(E22,Model!E60)</f>
        <v>0</v>
      </c>
      <c r="F23" s="126" t="n">
        <f aca="false">MIN(F22,Model!F60)</f>
        <v>0</v>
      </c>
      <c r="G23" s="126" t="n">
        <f aca="false">MIN(G22,Model!G60)</f>
        <v>0</v>
      </c>
      <c r="H23" s="126" t="n">
        <f aca="false">MIN(H22,Model!H60)</f>
        <v>0</v>
      </c>
      <c r="I23" s="126" t="n">
        <f aca="false">MIN(I22,Model!I60)</f>
        <v>0</v>
      </c>
      <c r="J23" s="126" t="n">
        <f aca="false">MIN(J22,Model!J60)</f>
        <v>0</v>
      </c>
      <c r="K23" s="126" t="n">
        <f aca="false">MIN(K22,Model!K60)</f>
        <v>0</v>
      </c>
      <c r="L23" s="126" t="n">
        <f aca="false">MIN(L22,Model!L60)</f>
        <v>0</v>
      </c>
      <c r="M23" s="126" t="n">
        <f aca="false">MIN(M22,Model!M60)</f>
        <v>0</v>
      </c>
      <c r="N23" s="126" t="n">
        <f aca="false">MIN(N22,Model!N60)</f>
        <v>0</v>
      </c>
      <c r="O23" s="126" t="n">
        <f aca="false">MIN(O22,Model!O60)</f>
        <v>0</v>
      </c>
      <c r="P23" s="126" t="n">
        <f aca="false">MIN(P22,Model!P60)</f>
        <v>0</v>
      </c>
      <c r="Q23" s="126" t="n">
        <f aca="false">MIN(Q22,Model!Q60)</f>
        <v>0</v>
      </c>
      <c r="R23" s="126" t="n">
        <f aca="false">MIN(R22,Model!R60)</f>
        <v>0</v>
      </c>
      <c r="S23" s="126" t="n">
        <f aca="false">MIN(S22,Model!S60)</f>
        <v>0</v>
      </c>
      <c r="T23" s="126" t="n">
        <f aca="false">MIN(T22,Model!T60)</f>
        <v>0</v>
      </c>
      <c r="U23" s="126" t="n">
        <f aca="false">MIN(U22,Model!U60)</f>
        <v>0</v>
      </c>
      <c r="V23" s="126" t="n">
        <f aca="false">MIN(V22,Model!V60)</f>
        <v>0</v>
      </c>
      <c r="W23" s="126" t="n">
        <f aca="false">MIN(W22,Model!W60)</f>
        <v>0</v>
      </c>
      <c r="X23" s="126" t="n">
        <f aca="false">MIN(X22,Model!X60)</f>
        <v>0</v>
      </c>
      <c r="Y23" s="126" t="n">
        <f aca="false">MIN(Y22,Model!Y60)</f>
        <v>0</v>
      </c>
      <c r="Z23" s="126" t="n">
        <f aca="false">MIN(Z22,Model!Z60)</f>
        <v>0</v>
      </c>
      <c r="AA23" s="126" t="n">
        <f aca="false">MIN(AA22,Model!AA60)</f>
        <v>0</v>
      </c>
      <c r="AB23" s="126" t="n">
        <f aca="false">MIN(AB22,Model!AB60)</f>
        <v>0</v>
      </c>
      <c r="AC23" s="126" t="n">
        <f aca="false">MIN(AC22,Model!AC60)</f>
        <v>0</v>
      </c>
      <c r="AD23" s="126" t="n">
        <f aca="false">MIN(AD22,Model!AD60)</f>
        <v>0</v>
      </c>
      <c r="AE23" s="126" t="n">
        <f aca="false">MIN(AE22,Model!AE60)</f>
        <v>0</v>
      </c>
      <c r="AF23" s="126" t="n">
        <f aca="false">MIN(AF22,Model!AF60)</f>
        <v>0</v>
      </c>
      <c r="AG23" s="126" t="n">
        <f aca="false">MIN(AG22,Model!AG60)</f>
        <v>0</v>
      </c>
      <c r="AH23" s="126" t="n">
        <f aca="false">MIN(AH22,Model!AH60)</f>
        <v>0</v>
      </c>
      <c r="AI23" s="126" t="n">
        <f aca="false">MIN(AI22,Model!AI60)</f>
        <v>0</v>
      </c>
      <c r="AJ23" s="126" t="n">
        <f aca="false">MIN(AJ22,Model!AJ60)</f>
        <v>0</v>
      </c>
      <c r="AK23" s="126" t="n">
        <f aca="false">MIN(AK22,Model!AK60)</f>
        <v>0</v>
      </c>
      <c r="AL23" s="126" t="n">
        <f aca="false">MIN(AL22,Model!AL60)</f>
        <v>0</v>
      </c>
      <c r="AM23" s="126" t="n">
        <f aca="false">MIN(AM22,Model!AM60)</f>
        <v>0</v>
      </c>
      <c r="AN23" s="126" t="n">
        <f aca="false">MIN(AN22,Model!AN60)</f>
        <v>0</v>
      </c>
      <c r="AO23" s="126" t="n">
        <f aca="false">MIN(AO22,Model!AO60)</f>
        <v>0</v>
      </c>
      <c r="AP23" s="126" t="n">
        <f aca="false">MIN(AP22,Model!AP60)</f>
        <v>0</v>
      </c>
      <c r="AQ23" s="126" t="n">
        <f aca="false">MIN(AQ22,Model!AQ60)</f>
        <v>0</v>
      </c>
      <c r="AR23" s="126" t="n">
        <f aca="false">MIN(AR22,Model!AR60)</f>
        <v>0</v>
      </c>
      <c r="AS23" s="126" t="n">
        <f aca="false">MIN(AS22,Model!AS60)</f>
        <v>0</v>
      </c>
      <c r="AT23" s="126" t="n">
        <f aca="false">MIN(AT22,Model!AT60)</f>
        <v>0</v>
      </c>
      <c r="AU23" s="126" t="n">
        <f aca="false">MIN(AU22,Model!AU60)</f>
        <v>0</v>
      </c>
      <c r="AV23" s="126" t="n">
        <f aca="false">MIN(AV22,Model!AV60)</f>
        <v>0</v>
      </c>
      <c r="AW23" s="126" t="n">
        <f aca="false">MIN(AW22,Model!AW60)</f>
        <v>0</v>
      </c>
      <c r="AX23" s="126" t="n">
        <f aca="false">MIN(AX22,Model!AX60)</f>
        <v>0</v>
      </c>
      <c r="AY23" s="126" t="n">
        <f aca="false">MIN(AY22,Model!AY60)</f>
        <v>0</v>
      </c>
      <c r="AZ23" s="126" t="n">
        <f aca="false">MIN(AZ22,Model!AZ60)</f>
        <v>0</v>
      </c>
      <c r="BA23" s="126" t="n">
        <f aca="false">MIN(BA22,Model!BA60)</f>
        <v>602667.7</v>
      </c>
      <c r="BB23" s="126" t="n">
        <f aca="false">MIN(BB22,Model!BB60)</f>
        <v>0</v>
      </c>
      <c r="BC23" s="126" t="n">
        <f aca="false">MIN(BC22,Model!BC60)</f>
        <v>0</v>
      </c>
      <c r="BD23" s="126" t="n">
        <f aca="false">MIN(BD22,Model!BD60)</f>
        <v>0</v>
      </c>
      <c r="BE23" s="126" t="n">
        <f aca="false">MIN(BE22,Model!BE60)</f>
        <v>0</v>
      </c>
      <c r="BF23" s="126" t="n">
        <f aca="false">MIN(BF22,Model!BF60)</f>
        <v>0</v>
      </c>
      <c r="BG23" s="126" t="n">
        <f aca="false">MIN(BG22,Model!BG60)</f>
        <v>0</v>
      </c>
      <c r="BH23" s="126" t="n">
        <f aca="false">MIN(BH22,Model!BH60)</f>
        <v>0</v>
      </c>
      <c r="BI23" s="126" t="n">
        <f aca="false">MIN(BI22,Model!BI60)</f>
        <v>0</v>
      </c>
      <c r="BJ23" s="126" t="n">
        <f aca="false">MIN(BJ22,Model!BJ60)</f>
        <v>0</v>
      </c>
      <c r="BK23" s="126" t="n">
        <f aca="false">MIN(BK22,Model!BK60)</f>
        <v>0</v>
      </c>
      <c r="BL23" s="126" t="n">
        <f aca="false">MIN(BL22,Model!BL60)</f>
        <v>0</v>
      </c>
      <c r="BM23" s="126" t="n">
        <f aca="false">MIN(BM22,Model!BM60)</f>
        <v>0</v>
      </c>
      <c r="BN23" s="126" t="n">
        <f aca="false">MIN(BN22,Model!BN60)</f>
        <v>0</v>
      </c>
      <c r="BO23" s="126" t="n">
        <f aca="false">MIN(BO22,Model!BO60)</f>
        <v>0</v>
      </c>
      <c r="BP23" s="126" t="n">
        <f aca="false">MIN(BP22,Model!BP60)</f>
        <v>0</v>
      </c>
      <c r="BQ23" s="126" t="n">
        <f aca="false">MIN(BQ22,Model!BQ60)</f>
        <v>0</v>
      </c>
      <c r="BR23" s="126" t="n">
        <f aca="false">MIN(BR22,Model!BR60)</f>
        <v>0</v>
      </c>
      <c r="BS23" s="126" t="n">
        <f aca="false">MIN(BS22,Model!BS60)</f>
        <v>0</v>
      </c>
      <c r="BT23" s="126" t="n">
        <f aca="false">MIN(BT22,Model!BT60)</f>
        <v>0</v>
      </c>
      <c r="BU23" s="126" t="n">
        <f aca="false">MIN(BU22,Model!BU60)</f>
        <v>0</v>
      </c>
      <c r="BV23" s="126" t="n">
        <f aca="false">MIN(BV22,Model!BV60)</f>
        <v>0</v>
      </c>
      <c r="BW23" s="126" t="n">
        <f aca="false">MIN(BW22,Model!BW60)</f>
        <v>0</v>
      </c>
      <c r="BX23" s="126" t="n">
        <f aca="false">MIN(BX22,Model!BX60)</f>
        <v>0</v>
      </c>
      <c r="BY23" s="126" t="n">
        <f aca="false">MIN(BY22,Model!BY60)</f>
        <v>0</v>
      </c>
      <c r="BZ23" s="126" t="n">
        <f aca="false">MIN(BZ22,Model!BZ60)</f>
        <v>0</v>
      </c>
      <c r="CA23" s="126" t="n">
        <f aca="false">MIN(CA22,Model!CA60)</f>
        <v>0</v>
      </c>
      <c r="CB23" s="126" t="n">
        <f aca="false">MIN(CB22,Model!CB60)</f>
        <v>0</v>
      </c>
      <c r="CC23" s="126" t="n">
        <f aca="false">MIN(CC22,Model!CC60)</f>
        <v>0</v>
      </c>
      <c r="CD23" s="126" t="n">
        <f aca="false">MIN(CD22,Model!CD60)</f>
        <v>0</v>
      </c>
      <c r="CE23" s="126" t="n">
        <f aca="false">MIN(CE22,Model!CE60)</f>
        <v>0</v>
      </c>
      <c r="CF23" s="126" t="n">
        <f aca="false">MIN(CF22,Model!CF60)</f>
        <v>0</v>
      </c>
      <c r="CG23" s="126" t="n">
        <f aca="false">MIN(CG22,Model!CG60)</f>
        <v>0</v>
      </c>
      <c r="CH23" s="126" t="n">
        <f aca="false">MIN(CH22,Model!CH60)</f>
        <v>0</v>
      </c>
    </row>
    <row r="24" customFormat="false" ht="15" hidden="false" customHeight="true" outlineLevel="0" collapsed="false">
      <c r="A24" s="123" t="s">
        <v>533</v>
      </c>
      <c r="C24" s="124" t="n">
        <f aca="false">MAX(0,C22-C23)</f>
        <v>602667.7</v>
      </c>
      <c r="D24" s="124" t="n">
        <f aca="false">MAX(0,D22-D23)</f>
        <v>602667.7</v>
      </c>
      <c r="E24" s="124" t="n">
        <f aca="false">MAX(0,E22-E23)</f>
        <v>602667.7</v>
      </c>
      <c r="F24" s="124" t="n">
        <f aca="false">MAX(0,F22-F23)</f>
        <v>602667.7</v>
      </c>
      <c r="G24" s="124" t="n">
        <f aca="false">MAX(0,G22-G23)</f>
        <v>602667.7</v>
      </c>
      <c r="H24" s="124" t="n">
        <f aca="false">MAX(0,H22-H23)</f>
        <v>602667.7</v>
      </c>
      <c r="I24" s="124" t="n">
        <f aca="false">MAX(0,I22-I23)</f>
        <v>602667.7</v>
      </c>
      <c r="J24" s="124" t="n">
        <f aca="false">MAX(0,J22-J23)</f>
        <v>602667.7</v>
      </c>
      <c r="K24" s="124" t="n">
        <f aca="false">MAX(0,K22-K23)</f>
        <v>602667.7</v>
      </c>
      <c r="L24" s="124" t="n">
        <f aca="false">MAX(0,L22-L23)</f>
        <v>602667.7</v>
      </c>
      <c r="M24" s="124" t="n">
        <f aca="false">MAX(0,M22-M23)</f>
        <v>602667.7</v>
      </c>
      <c r="N24" s="124" t="n">
        <f aca="false">MAX(0,N22-N23)</f>
        <v>602667.7</v>
      </c>
      <c r="O24" s="124" t="n">
        <f aca="false">MAX(0,O22-O23)</f>
        <v>602667.7</v>
      </c>
      <c r="P24" s="124" t="n">
        <f aca="false">MAX(0,P22-P23)</f>
        <v>602667.7</v>
      </c>
      <c r="Q24" s="124" t="n">
        <f aca="false">MAX(0,Q22-Q23)</f>
        <v>602667.7</v>
      </c>
      <c r="R24" s="124" t="n">
        <f aca="false">MAX(0,R22-R23)</f>
        <v>602667.7</v>
      </c>
      <c r="S24" s="124" t="n">
        <f aca="false">MAX(0,S22-S23)</f>
        <v>602667.7</v>
      </c>
      <c r="T24" s="124" t="n">
        <f aca="false">MAX(0,T22-T23)</f>
        <v>602667.7</v>
      </c>
      <c r="U24" s="124" t="n">
        <f aca="false">MAX(0,U22-U23)</f>
        <v>602667.7</v>
      </c>
      <c r="V24" s="124" t="n">
        <f aca="false">MAX(0,V22-V23)</f>
        <v>602667.7</v>
      </c>
      <c r="W24" s="124" t="n">
        <f aca="false">MAX(0,W22-W23)</f>
        <v>602667.7</v>
      </c>
      <c r="X24" s="124" t="n">
        <f aca="false">MAX(0,X22-X23)</f>
        <v>602667.7</v>
      </c>
      <c r="Y24" s="124" t="n">
        <f aca="false">MAX(0,Y22-Y23)</f>
        <v>602667.7</v>
      </c>
      <c r="Z24" s="124" t="n">
        <f aca="false">MAX(0,Z22-Z23)</f>
        <v>602667.7</v>
      </c>
      <c r="AA24" s="124" t="n">
        <f aca="false">MAX(0,AA22-AA23)</f>
        <v>602667.7</v>
      </c>
      <c r="AB24" s="124" t="n">
        <f aca="false">MAX(0,AB22-AB23)</f>
        <v>602667.7</v>
      </c>
      <c r="AC24" s="124" t="n">
        <f aca="false">MAX(0,AC22-AC23)</f>
        <v>602667.7</v>
      </c>
      <c r="AD24" s="124" t="n">
        <f aca="false">MAX(0,AD22-AD23)</f>
        <v>602667.7</v>
      </c>
      <c r="AE24" s="124" t="n">
        <f aca="false">MAX(0,AE22-AE23)</f>
        <v>602667.7</v>
      </c>
      <c r="AF24" s="124" t="n">
        <f aca="false">MAX(0,AF22-AF23)</f>
        <v>602667.7</v>
      </c>
      <c r="AG24" s="124" t="n">
        <f aca="false">MAX(0,AG22-AG23)</f>
        <v>602667.7</v>
      </c>
      <c r="AH24" s="124" t="n">
        <f aca="false">MAX(0,AH22-AH23)</f>
        <v>602667.7</v>
      </c>
      <c r="AI24" s="124" t="n">
        <f aca="false">MAX(0,AI22-AI23)</f>
        <v>602667.7</v>
      </c>
      <c r="AJ24" s="124" t="n">
        <f aca="false">MAX(0,AJ22-AJ23)</f>
        <v>602667.7</v>
      </c>
      <c r="AK24" s="124" t="n">
        <f aca="false">MAX(0,AK22-AK23)</f>
        <v>602667.7</v>
      </c>
      <c r="AL24" s="124" t="n">
        <f aca="false">MAX(0,AL22-AL23)</f>
        <v>602667.7</v>
      </c>
      <c r="AM24" s="124" t="n">
        <f aca="false">MAX(0,AM22-AM23)</f>
        <v>602667.7</v>
      </c>
      <c r="AN24" s="124" t="n">
        <f aca="false">MAX(0,AN22-AN23)</f>
        <v>602667.7</v>
      </c>
      <c r="AO24" s="124" t="n">
        <f aca="false">MAX(0,AO22-AO23)</f>
        <v>602667.7</v>
      </c>
      <c r="AP24" s="124" t="n">
        <f aca="false">MAX(0,AP22-AP23)</f>
        <v>602667.7</v>
      </c>
      <c r="AQ24" s="124" t="n">
        <f aca="false">MAX(0,AQ22-AQ23)</f>
        <v>602667.7</v>
      </c>
      <c r="AR24" s="124" t="n">
        <f aca="false">MAX(0,AR22-AR23)</f>
        <v>602667.7</v>
      </c>
      <c r="AS24" s="124" t="n">
        <f aca="false">MAX(0,AS22-AS23)</f>
        <v>602667.7</v>
      </c>
      <c r="AT24" s="124" t="n">
        <f aca="false">MAX(0,AT22-AT23)</f>
        <v>602667.7</v>
      </c>
      <c r="AU24" s="124" t="n">
        <f aca="false">MAX(0,AU22-AU23)</f>
        <v>602667.7</v>
      </c>
      <c r="AV24" s="124" t="n">
        <f aca="false">MAX(0,AV22-AV23)</f>
        <v>602667.7</v>
      </c>
      <c r="AW24" s="124" t="n">
        <f aca="false">MAX(0,AW22-AW23)</f>
        <v>602667.7</v>
      </c>
      <c r="AX24" s="124" t="n">
        <f aca="false">MAX(0,AX22-AX23)</f>
        <v>602667.7</v>
      </c>
      <c r="AY24" s="124" t="n">
        <f aca="false">MAX(0,AY22-AY23)</f>
        <v>602667.7</v>
      </c>
      <c r="AZ24" s="124" t="n">
        <f aca="false">MAX(0,AZ22-AZ23)</f>
        <v>602667.7</v>
      </c>
      <c r="BA24" s="124" t="n">
        <f aca="false">MAX(0,BA22-BA23)</f>
        <v>0</v>
      </c>
      <c r="BB24" s="124" t="n">
        <f aca="false">MAX(0,BB22-BB23)</f>
        <v>0</v>
      </c>
      <c r="BC24" s="124" t="n">
        <f aca="false">MAX(0,BC22-BC23)</f>
        <v>0</v>
      </c>
      <c r="BD24" s="124" t="n">
        <f aca="false">MAX(0,BD22-BD23)</f>
        <v>0</v>
      </c>
      <c r="BE24" s="124" t="n">
        <f aca="false">MAX(0,BE22-BE23)</f>
        <v>0</v>
      </c>
      <c r="BF24" s="124" t="n">
        <f aca="false">MAX(0,BF22-BF23)</f>
        <v>0</v>
      </c>
      <c r="BG24" s="124" t="n">
        <f aca="false">MAX(0,BG22-BG23)</f>
        <v>0</v>
      </c>
      <c r="BH24" s="124" t="n">
        <f aca="false">MAX(0,BH22-BH23)</f>
        <v>0</v>
      </c>
      <c r="BI24" s="124" t="n">
        <f aca="false">MAX(0,BI22-BI23)</f>
        <v>0</v>
      </c>
      <c r="BJ24" s="124" t="n">
        <f aca="false">MAX(0,BJ22-BJ23)</f>
        <v>0</v>
      </c>
      <c r="BK24" s="124" t="n">
        <f aca="false">MAX(0,BK22-BK23)</f>
        <v>0</v>
      </c>
      <c r="BL24" s="124" t="n">
        <f aca="false">MAX(0,BL22-BL23)</f>
        <v>0</v>
      </c>
      <c r="BM24" s="124" t="n">
        <f aca="false">MAX(0,BM22-BM23)</f>
        <v>0</v>
      </c>
      <c r="BN24" s="124" t="n">
        <f aca="false">MAX(0,BN22-BN23)</f>
        <v>0</v>
      </c>
      <c r="BO24" s="124" t="n">
        <f aca="false">MAX(0,BO22-BO23)</f>
        <v>0</v>
      </c>
      <c r="BP24" s="124" t="n">
        <f aca="false">MAX(0,BP22-BP23)</f>
        <v>0</v>
      </c>
      <c r="BQ24" s="124" t="n">
        <f aca="false">MAX(0,BQ22-BQ23)</f>
        <v>0</v>
      </c>
      <c r="BR24" s="124" t="n">
        <f aca="false">MAX(0,BR22-BR23)</f>
        <v>0</v>
      </c>
      <c r="BS24" s="124" t="n">
        <f aca="false">MAX(0,BS22-BS23)</f>
        <v>0</v>
      </c>
      <c r="BT24" s="124" t="n">
        <f aca="false">MAX(0,BT22-BT23)</f>
        <v>0</v>
      </c>
      <c r="BU24" s="124" t="n">
        <f aca="false">MAX(0,BU22-BU23)</f>
        <v>0</v>
      </c>
      <c r="BV24" s="124" t="n">
        <f aca="false">MAX(0,BV22-BV23)</f>
        <v>0</v>
      </c>
      <c r="BW24" s="124" t="n">
        <f aca="false">MAX(0,BW22-BW23)</f>
        <v>0</v>
      </c>
      <c r="BX24" s="124" t="n">
        <f aca="false">MAX(0,BX22-BX23)</f>
        <v>0</v>
      </c>
      <c r="BY24" s="124" t="n">
        <f aca="false">MAX(0,BY22-BY23)</f>
        <v>0</v>
      </c>
      <c r="BZ24" s="124" t="n">
        <f aca="false">MAX(0,BZ22-BZ23)</f>
        <v>0</v>
      </c>
      <c r="CA24" s="124" t="n">
        <f aca="false">MAX(0,CA22-CA23)</f>
        <v>0</v>
      </c>
      <c r="CB24" s="124" t="n">
        <f aca="false">MAX(0,CB22-CB23)</f>
        <v>0</v>
      </c>
      <c r="CC24" s="124" t="n">
        <f aca="false">MAX(0,CC22-CC23)</f>
        <v>0</v>
      </c>
      <c r="CD24" s="124" t="n">
        <f aca="false">MAX(0,CD22-CD23)</f>
        <v>0</v>
      </c>
      <c r="CE24" s="124" t="n">
        <f aca="false">MAX(0,CE22-CE23)</f>
        <v>0</v>
      </c>
      <c r="CF24" s="124" t="n">
        <f aca="false">MAX(0,CF22-CF23)</f>
        <v>0</v>
      </c>
      <c r="CG24" s="124" t="n">
        <f aca="false">MAX(0,CG22-CG23)</f>
        <v>0</v>
      </c>
      <c r="CH24" s="124" t="n">
        <f aca="false">MAX(0,CH22-CH23)</f>
        <v>0</v>
      </c>
    </row>
    <row r="25" customFormat="false" ht="15" hidden="false" customHeight="true" outlineLevel="0" collapsed="false">
      <c r="A25" s="1" t="s">
        <v>534</v>
      </c>
      <c r="B25" s="1" t="s">
        <v>535</v>
      </c>
      <c r="C25" s="127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</row>
    <row r="26" customFormat="false" ht="15" hidden="false" customHeight="true" outlineLevel="0" collapsed="false">
      <c r="B26" s="1" t="s">
        <v>536</v>
      </c>
      <c r="C26" s="127" t="n">
        <f aca="false">MIN(C25,Model!C61)</f>
        <v>0</v>
      </c>
      <c r="D26" s="1" t="n">
        <f aca="false">MIN(D25,Model!D61)</f>
        <v>0</v>
      </c>
      <c r="E26" s="1" t="n">
        <f aca="false">MIN(E25,Model!E61)</f>
        <v>0</v>
      </c>
      <c r="F26" s="1" t="n">
        <f aca="false">MIN(F25,Model!F61)</f>
        <v>0</v>
      </c>
      <c r="G26" s="1" t="n">
        <f aca="false">MIN(G25,Model!G61)</f>
        <v>0</v>
      </c>
      <c r="H26" s="1" t="n">
        <f aca="false">MIN(H25,Model!H61)</f>
        <v>0</v>
      </c>
      <c r="I26" s="1" t="n">
        <f aca="false">MIN(I25,Model!I61)</f>
        <v>0</v>
      </c>
      <c r="J26" s="1" t="n">
        <f aca="false">MIN(J25,Model!J61)</f>
        <v>0</v>
      </c>
      <c r="K26" s="1" t="n">
        <f aca="false">MIN(K25,Model!K61)</f>
        <v>0</v>
      </c>
      <c r="L26" s="1" t="n">
        <f aca="false">MIN(L25,Model!L61)</f>
        <v>0</v>
      </c>
      <c r="M26" s="1" t="n">
        <f aca="false">MIN(M25,Model!M61)</f>
        <v>0</v>
      </c>
      <c r="N26" s="1" t="n">
        <f aca="false">MIN(N25,Model!N61)</f>
        <v>0</v>
      </c>
      <c r="O26" s="1" t="n">
        <f aca="false">MIN(O25,Model!O61)</f>
        <v>0</v>
      </c>
      <c r="P26" s="1" t="n">
        <f aca="false">MIN(P25,Model!P61)</f>
        <v>0</v>
      </c>
      <c r="Q26" s="1" t="n">
        <f aca="false">MIN(Q25,Model!Q61)</f>
        <v>0</v>
      </c>
      <c r="R26" s="1" t="n">
        <f aca="false">MIN(R25,Model!R61)</f>
        <v>0</v>
      </c>
      <c r="S26" s="1" t="n">
        <f aca="false">MIN(S25,Model!S61)</f>
        <v>0</v>
      </c>
      <c r="T26" s="1" t="n">
        <f aca="false">MIN(T25,Model!T61)</f>
        <v>0</v>
      </c>
      <c r="U26" s="1" t="n">
        <f aca="false">MIN(U25,Model!U61)</f>
        <v>0</v>
      </c>
      <c r="V26" s="1" t="n">
        <f aca="false">MIN(V25,Model!V61)</f>
        <v>0</v>
      </c>
      <c r="W26" s="1" t="n">
        <f aca="false">MIN(W25,Model!W61)</f>
        <v>0</v>
      </c>
      <c r="X26" s="1" t="n">
        <f aca="false">MIN(X25,Model!X61)</f>
        <v>0</v>
      </c>
      <c r="Y26" s="1" t="n">
        <f aca="false">MIN(Y25,Model!Y61)</f>
        <v>0</v>
      </c>
      <c r="Z26" s="1" t="n">
        <f aca="false">MIN(Z25,Model!Z61)</f>
        <v>0</v>
      </c>
      <c r="AA26" s="1" t="n">
        <f aca="false">MIN(AA25,Model!AA61)</f>
        <v>0</v>
      </c>
      <c r="AB26" s="1" t="n">
        <f aca="false">MIN(AB25,Model!AB61)</f>
        <v>0</v>
      </c>
      <c r="AC26" s="1" t="n">
        <f aca="false">MIN(AC25,Model!AC61)</f>
        <v>0</v>
      </c>
      <c r="AD26" s="1" t="n">
        <f aca="false">MIN(AD25,Model!AD61)</f>
        <v>0</v>
      </c>
      <c r="AE26" s="1" t="n">
        <f aca="false">MIN(AE25,Model!AE61)</f>
        <v>0</v>
      </c>
      <c r="AF26" s="1" t="n">
        <f aca="false">MIN(AF25,Model!AF61)</f>
        <v>0</v>
      </c>
      <c r="AG26" s="1" t="n">
        <f aca="false">MIN(AG25,Model!AG61)</f>
        <v>0</v>
      </c>
      <c r="AH26" s="1" t="n">
        <f aca="false">MIN(AH25,Model!AH61)</f>
        <v>0</v>
      </c>
      <c r="AI26" s="1" t="n">
        <f aca="false">MIN(AI25,Model!AI61)</f>
        <v>0</v>
      </c>
      <c r="AJ26" s="1" t="n">
        <f aca="false">MIN(AJ25,Model!AJ61)</f>
        <v>0</v>
      </c>
      <c r="AK26" s="1" t="n">
        <f aca="false">MIN(AK25,Model!AK61)</f>
        <v>0</v>
      </c>
      <c r="AL26" s="1" t="n">
        <f aca="false">MIN(AL25,Model!AL61)</f>
        <v>0</v>
      </c>
      <c r="AM26" s="1" t="n">
        <f aca="false">MIN(AM25,Model!AM61)</f>
        <v>0</v>
      </c>
      <c r="AN26" s="1" t="n">
        <f aca="false">MIN(AN25,Model!AN61)</f>
        <v>0</v>
      </c>
      <c r="AO26" s="1" t="n">
        <f aca="false">MIN(AO25,Model!AO61)</f>
        <v>0</v>
      </c>
      <c r="AP26" s="1" t="n">
        <f aca="false">MIN(AP25,Model!AP61)</f>
        <v>0</v>
      </c>
      <c r="AQ26" s="1" t="n">
        <f aca="false">MIN(AQ25,Model!AQ61)</f>
        <v>0</v>
      </c>
      <c r="AR26" s="1" t="n">
        <f aca="false">MIN(AR25,Model!AR61)</f>
        <v>0</v>
      </c>
      <c r="AS26" s="1" t="n">
        <f aca="false">MIN(AS25,Model!AS61)</f>
        <v>0</v>
      </c>
      <c r="AT26" s="1" t="n">
        <f aca="false">MIN(AT25,Model!AT61)</f>
        <v>0</v>
      </c>
      <c r="AU26" s="1" t="n">
        <f aca="false">MIN(AU25,Model!AU61)</f>
        <v>0</v>
      </c>
      <c r="AV26" s="1" t="n">
        <f aca="false">MIN(AV25,Model!AV61)</f>
        <v>0</v>
      </c>
      <c r="AW26" s="1" t="n">
        <f aca="false">MIN(AW25,Model!AW61)</f>
        <v>0</v>
      </c>
      <c r="AX26" s="1" t="n">
        <f aca="false">MIN(AX25,Model!AX61)</f>
        <v>0</v>
      </c>
      <c r="AY26" s="1" t="n">
        <f aca="false">MIN(AY25,Model!AY61)</f>
        <v>0</v>
      </c>
      <c r="AZ26" s="1" t="n">
        <f aca="false">MIN(AZ25,Model!AZ61)</f>
        <v>0</v>
      </c>
      <c r="BA26" s="1" t="n">
        <f aca="false">MIN(BA25,Model!BA61)</f>
        <v>0</v>
      </c>
      <c r="BB26" s="1" t="n">
        <f aca="false">MIN(BB25,Model!BB61)</f>
        <v>0</v>
      </c>
      <c r="BC26" s="1" t="n">
        <f aca="false">MIN(BC25,Model!BC61)</f>
        <v>0</v>
      </c>
      <c r="BD26" s="1" t="n">
        <f aca="false">MIN(BD25,Model!BD61)</f>
        <v>0</v>
      </c>
      <c r="BE26" s="1" t="n">
        <f aca="false">MIN(BE25,Model!BE61)</f>
        <v>0</v>
      </c>
      <c r="BF26" s="1" t="n">
        <f aca="false">MIN(BF25,Model!BF61)</f>
        <v>0</v>
      </c>
      <c r="BG26" s="1" t="n">
        <f aca="false">MIN(BG25,Model!BG61)</f>
        <v>0</v>
      </c>
      <c r="BH26" s="1" t="n">
        <f aca="false">MIN(BH25,Model!BH61)</f>
        <v>0</v>
      </c>
      <c r="BI26" s="1" t="n">
        <f aca="false">MIN(BI25,Model!BI61)</f>
        <v>0</v>
      </c>
      <c r="BJ26" s="1" t="n">
        <f aca="false">MIN(BJ25,Model!BJ61)</f>
        <v>0</v>
      </c>
      <c r="BK26" s="1" t="n">
        <f aca="false">MIN(BK25,Model!BK61)</f>
        <v>0</v>
      </c>
      <c r="BL26" s="1" t="n">
        <f aca="false">MIN(BL25,Model!BL61)</f>
        <v>0</v>
      </c>
      <c r="BM26" s="1" t="n">
        <f aca="false">MIN(BM25,Model!BM61)</f>
        <v>0</v>
      </c>
      <c r="BN26" s="1" t="n">
        <f aca="false">MIN(BN25,Model!BN61)</f>
        <v>0</v>
      </c>
      <c r="BO26" s="1" t="n">
        <f aca="false">MIN(BO25,Model!BO61)</f>
        <v>0</v>
      </c>
      <c r="BP26" s="1" t="n">
        <f aca="false">MIN(BP25,Model!BP61)</f>
        <v>0</v>
      </c>
      <c r="BQ26" s="1" t="n">
        <f aca="false">MIN(BQ25,Model!BQ61)</f>
        <v>0</v>
      </c>
      <c r="BR26" s="1" t="n">
        <f aca="false">MIN(BR25,Model!BR61)</f>
        <v>0</v>
      </c>
      <c r="BS26" s="1" t="n">
        <f aca="false">MIN(BS25,Model!BS61)</f>
        <v>0</v>
      </c>
      <c r="BT26" s="1" t="n">
        <f aca="false">MIN(BT25,Model!BT61)</f>
        <v>0</v>
      </c>
      <c r="BU26" s="1" t="n">
        <f aca="false">MIN(BU25,Model!BU61)</f>
        <v>0</v>
      </c>
      <c r="BV26" s="1" t="n">
        <f aca="false">MIN(BV25,Model!BV61)</f>
        <v>0</v>
      </c>
      <c r="BW26" s="1" t="n">
        <f aca="false">MIN(BW25,Model!BW61)</f>
        <v>0</v>
      </c>
      <c r="BX26" s="1" t="n">
        <f aca="false">MIN(BX25,Model!BX61)</f>
        <v>0</v>
      </c>
      <c r="BY26" s="1" t="n">
        <f aca="false">MIN(BY25,Model!BY61)</f>
        <v>73156</v>
      </c>
      <c r="BZ26" s="1" t="n">
        <f aca="false">MIN(BZ25,Model!BZ61)</f>
        <v>0</v>
      </c>
      <c r="CA26" s="1" t="n">
        <f aca="false">MIN(CA25,Model!CA61)</f>
        <v>0</v>
      </c>
      <c r="CB26" s="1" t="n">
        <f aca="false">MIN(CB25,Model!CB61)</f>
        <v>73155</v>
      </c>
      <c r="CC26" s="1" t="n">
        <f aca="false">MIN(CC25,Model!CC61)</f>
        <v>0</v>
      </c>
      <c r="CD26" s="1" t="n">
        <f aca="false">MIN(CD25,Model!CD61)</f>
        <v>0</v>
      </c>
      <c r="CE26" s="1" t="n">
        <f aca="false">MIN(CE25,Model!CE61)</f>
        <v>73155</v>
      </c>
      <c r="CF26" s="1" t="n">
        <f aca="false">MIN(CF25,Model!CF61)</f>
        <v>0</v>
      </c>
      <c r="CG26" s="1" t="n">
        <f aca="false">MIN(CG25,Model!CG61)</f>
        <v>0</v>
      </c>
      <c r="CH26" s="1" t="n">
        <f aca="false">MIN(CH25,Model!CH61)</f>
        <v>73155</v>
      </c>
    </row>
    <row r="27" customFormat="false" ht="15" hidden="false" customHeight="true" outlineLevel="0" collapsed="false">
      <c r="B27" s="1" t="s">
        <v>537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</row>
    <row r="30" customFormat="false" ht="15" hidden="false" customHeight="true" outlineLevel="0" collapsed="false">
      <c r="A30" s="112" t="s">
        <v>538</v>
      </c>
      <c r="B30" s="112"/>
      <c r="C30" s="112"/>
      <c r="D30" s="112"/>
      <c r="E30" s="112"/>
      <c r="F30" s="112"/>
      <c r="G30" s="112"/>
      <c r="H30" s="112"/>
      <c r="I30" s="112"/>
    </row>
    <row r="31" customFormat="false" ht="15" hidden="false" customHeight="true" outlineLevel="0" collapsed="false">
      <c r="A31" s="128" t="s">
        <v>539</v>
      </c>
    </row>
    <row r="32" customFormat="false" ht="15" hidden="false" customHeight="true" outlineLevel="0" collapsed="false">
      <c r="A32" s="129" t="s">
        <v>49</v>
      </c>
      <c r="B32" s="65" t="n">
        <f aca="false">LOOKUP(2,1/(Model!C59:CH59&gt;0),Model!C59:CH59)</f>
        <v>76499</v>
      </c>
    </row>
    <row r="33" customFormat="false" ht="15" hidden="false" customHeight="true" outlineLevel="0" collapsed="false">
      <c r="A33" s="129" t="s">
        <v>57</v>
      </c>
      <c r="B33" s="65" t="n">
        <f aca="false">LOOKUP(2,1/(Model!C61:CH61&gt;0),Model!C61:CH61)</f>
        <v>73155</v>
      </c>
    </row>
    <row r="34" customFormat="false" ht="15" hidden="false" customHeight="true" outlineLevel="0" collapsed="false">
      <c r="A34" s="129" t="s">
        <v>54</v>
      </c>
      <c r="B34" s="65" t="n">
        <f aca="false">LOOKUP(2,1/(Model!C60:CH60&gt;0),Model!C60:CH60)</f>
        <v>81362</v>
      </c>
    </row>
    <row r="36" customFormat="false" ht="15" hidden="false" customHeight="true" outlineLevel="0" collapsed="false">
      <c r="A36" s="128" t="s">
        <v>540</v>
      </c>
    </row>
    <row r="37" customFormat="false" ht="15" hidden="false" customHeight="true" outlineLevel="0" collapsed="false">
      <c r="A37" s="129" t="s">
        <v>49</v>
      </c>
      <c r="B37" s="110" t="n">
        <f aca="false">SUMPRODUCT((Model!C59:CH59&gt;0)*1)</f>
        <v>15</v>
      </c>
    </row>
    <row r="38" customFormat="false" ht="15" hidden="false" customHeight="true" outlineLevel="0" collapsed="false">
      <c r="A38" s="129" t="s">
        <v>57</v>
      </c>
      <c r="B38" s="110" t="n">
        <f aca="false">SUMPRODUCT((Model!C61:CH61&gt;0)*1)</f>
        <v>4</v>
      </c>
    </row>
    <row r="39" customFormat="false" ht="15" hidden="false" customHeight="true" outlineLevel="0" collapsed="false">
      <c r="A39" s="129" t="s">
        <v>54</v>
      </c>
      <c r="B39" s="110" t="n">
        <f aca="false">SUMPRODUCT((Model!C60:CH60&gt;0)*1)</f>
        <v>12</v>
      </c>
    </row>
    <row r="41" customFormat="false" ht="15" hidden="false" customHeight="true" outlineLevel="0" collapsed="false">
      <c r="A41" s="128" t="s">
        <v>541</v>
      </c>
    </row>
    <row r="42" customFormat="false" ht="15" hidden="false" customHeight="true" outlineLevel="0" collapsed="false">
      <c r="A42" s="129" t="s">
        <v>49</v>
      </c>
      <c r="B42" s="110" t="n">
        <f aca="false">40-B37</f>
        <v>25</v>
      </c>
    </row>
    <row r="43" customFormat="false" ht="15" hidden="false" customHeight="true" outlineLevel="0" collapsed="false">
      <c r="A43" s="129" t="s">
        <v>57</v>
      </c>
      <c r="B43" s="110" t="n">
        <f aca="false">40-B38</f>
        <v>36</v>
      </c>
    </row>
    <row r="44" customFormat="false" ht="15" hidden="false" customHeight="true" outlineLevel="0" collapsed="false">
      <c r="A44" s="129" t="s">
        <v>54</v>
      </c>
      <c r="B44" s="110" t="n">
        <f aca="false">40-B39</f>
        <v>28</v>
      </c>
    </row>
    <row r="46" customFormat="false" ht="15" hidden="false" customHeight="true" outlineLevel="0" collapsed="false">
      <c r="A46" s="128" t="s">
        <v>542</v>
      </c>
    </row>
    <row r="47" customFormat="false" ht="15" hidden="false" customHeight="true" outlineLevel="0" collapsed="false">
      <c r="A47" s="129" t="s">
        <v>49</v>
      </c>
      <c r="B47" s="65" t="n">
        <f aca="false">B32*B42</f>
        <v>1912475</v>
      </c>
    </row>
    <row r="48" customFormat="false" ht="15" hidden="false" customHeight="true" outlineLevel="0" collapsed="false">
      <c r="A48" s="129" t="s">
        <v>57</v>
      </c>
      <c r="B48" s="65" t="n">
        <f aca="false">B33*B43</f>
        <v>2633580</v>
      </c>
    </row>
    <row r="49" customFormat="false" ht="15" hidden="false" customHeight="true" outlineLevel="0" collapsed="false">
      <c r="A49" s="129" t="s">
        <v>54</v>
      </c>
      <c r="B49" s="65" t="n">
        <f aca="false">B34*B44</f>
        <v>2278136</v>
      </c>
    </row>
    <row r="51" customFormat="false" ht="15" hidden="false" customHeight="true" outlineLevel="0" collapsed="false">
      <c r="A51" s="112" t="s">
        <v>543</v>
      </c>
      <c r="B51" s="112"/>
      <c r="C51" s="112"/>
      <c r="D51" s="112"/>
      <c r="E51" s="112"/>
      <c r="F51" s="112"/>
      <c r="G51" s="112"/>
    </row>
    <row r="52" customFormat="false" ht="15" hidden="false" customHeight="true" outlineLevel="0" collapsed="false">
      <c r="A52" s="128" t="s">
        <v>544</v>
      </c>
      <c r="B52" s="128" t="s">
        <v>545</v>
      </c>
      <c r="C52" s="128" t="s">
        <v>546</v>
      </c>
      <c r="D52" s="128" t="s">
        <v>547</v>
      </c>
      <c r="E52" s="128" t="s">
        <v>548</v>
      </c>
      <c r="F52" s="128" t="s">
        <v>549</v>
      </c>
      <c r="G52" s="128" t="s">
        <v>550</v>
      </c>
    </row>
    <row r="53" customFormat="false" ht="15" hidden="false" customHeight="true" outlineLevel="0" collapsed="false">
      <c r="A53" s="110" t="n">
        <v>1</v>
      </c>
      <c r="B53" s="65" t="n">
        <f aca="false">$B$33</f>
        <v>73155</v>
      </c>
      <c r="C53" s="65" t="n">
        <f aca="false">CH27</f>
        <v>270925.32</v>
      </c>
      <c r="D53" s="65" t="n">
        <f aca="false">MIN(C53,B53)</f>
        <v>73155</v>
      </c>
      <c r="E53" s="65" t="n">
        <f aca="false">Model!CH124</f>
        <v>570021.547005172</v>
      </c>
      <c r="F53" s="65" t="n">
        <f aca="false">E53*Assumptions!$B$59</f>
        <v>21375.8080126939</v>
      </c>
      <c r="G53" s="65" t="n">
        <f aca="false">MIN(E53+F53,MAX(0,B53-D53))</f>
        <v>0</v>
      </c>
    </row>
    <row r="54" customFormat="false" ht="15" hidden="false" customHeight="true" outlineLevel="0" collapsed="false">
      <c r="A54" s="110" t="n">
        <v>2</v>
      </c>
      <c r="B54" s="65" t="n">
        <f aca="false">$B$33</f>
        <v>73155</v>
      </c>
      <c r="C54" s="65" t="n">
        <f aca="false">MAX(0,C53-D53)</f>
        <v>197770.32</v>
      </c>
      <c r="D54" s="65" t="n">
        <f aca="false">MIN(C54,B54)</f>
        <v>73155</v>
      </c>
      <c r="E54" s="65" t="n">
        <f aca="false">MAX(0,E53+F53-G53)</f>
        <v>591397.355017866</v>
      </c>
      <c r="F54" s="65" t="n">
        <f aca="false">E54*Assumptions!$B$59</f>
        <v>22177.40081317</v>
      </c>
      <c r="G54" s="65" t="n">
        <f aca="false">MIN(E54+F54,MAX(0,B54-D54))</f>
        <v>0</v>
      </c>
    </row>
    <row r="55" customFormat="false" ht="15" hidden="false" customHeight="true" outlineLevel="0" collapsed="false">
      <c r="A55" s="110" t="n">
        <v>3</v>
      </c>
      <c r="B55" s="65" t="n">
        <f aca="false">$B$33</f>
        <v>73155</v>
      </c>
      <c r="C55" s="65" t="n">
        <f aca="false">MAX(0,C54-D54)</f>
        <v>124615.32</v>
      </c>
      <c r="D55" s="65" t="n">
        <f aca="false">MIN(C55,B55)</f>
        <v>73155</v>
      </c>
      <c r="E55" s="65" t="n">
        <f aca="false">MAX(0,E54+F54-G54)</f>
        <v>613574.755831036</v>
      </c>
      <c r="F55" s="65" t="n">
        <f aca="false">E55*Assumptions!$B$59</f>
        <v>23009.0533436638</v>
      </c>
      <c r="G55" s="65" t="n">
        <f aca="false">MIN(E55+F55,MAX(0,B55-D55))</f>
        <v>0</v>
      </c>
    </row>
    <row r="56" customFormat="false" ht="15" hidden="false" customHeight="true" outlineLevel="0" collapsed="false">
      <c r="A56" s="110" t="n">
        <v>4</v>
      </c>
      <c r="B56" s="65" t="n">
        <f aca="false">$B$33</f>
        <v>73155</v>
      </c>
      <c r="C56" s="65" t="n">
        <f aca="false">MAX(0,C55-D55)</f>
        <v>51460.3200000001</v>
      </c>
      <c r="D56" s="65" t="n">
        <f aca="false">MIN(C56,B56)</f>
        <v>51460.3200000001</v>
      </c>
      <c r="E56" s="65" t="n">
        <f aca="false">MAX(0,E55+F55-G55)</f>
        <v>636583.8091747</v>
      </c>
      <c r="F56" s="65" t="n">
        <f aca="false">E56*Assumptions!$B$59</f>
        <v>23871.8928440512</v>
      </c>
      <c r="G56" s="65" t="n">
        <f aca="false">MIN(E56+F56,MAX(0,B56-D56))</f>
        <v>21694.6799999999</v>
      </c>
    </row>
    <row r="57" customFormat="false" ht="15" hidden="false" customHeight="true" outlineLevel="0" collapsed="false">
      <c r="A57" s="110" t="n">
        <v>5</v>
      </c>
      <c r="B57" s="65" t="n">
        <f aca="false">$B$33</f>
        <v>73155</v>
      </c>
      <c r="C57" s="65" t="n">
        <f aca="false">MAX(0,C56-D56)</f>
        <v>0</v>
      </c>
      <c r="D57" s="65" t="n">
        <f aca="false">MIN(C57,B57)</f>
        <v>0</v>
      </c>
      <c r="E57" s="65" t="n">
        <f aca="false">MAX(0,E56+F56-G56)</f>
        <v>638761.022018751</v>
      </c>
      <c r="F57" s="65" t="n">
        <f aca="false">E57*Assumptions!$B$59</f>
        <v>23953.5383257032</v>
      </c>
      <c r="G57" s="65" t="n">
        <f aca="false">MIN(E57+F57,MAX(0,B57-D57))</f>
        <v>73155</v>
      </c>
    </row>
    <row r="58" customFormat="false" ht="15" hidden="false" customHeight="true" outlineLevel="0" collapsed="false">
      <c r="A58" s="110" t="n">
        <v>6</v>
      </c>
      <c r="B58" s="65" t="n">
        <f aca="false">$B$33</f>
        <v>73155</v>
      </c>
      <c r="C58" s="65" t="n">
        <f aca="false">MAX(0,C57-D57)</f>
        <v>0</v>
      </c>
      <c r="D58" s="65" t="n">
        <f aca="false">MIN(C58,B58)</f>
        <v>0</v>
      </c>
      <c r="E58" s="65" t="n">
        <f aca="false">MAX(0,E57+F57-G57)</f>
        <v>589559.560344454</v>
      </c>
      <c r="F58" s="65" t="n">
        <f aca="false">E58*Assumptions!$B$59</f>
        <v>22108.483512917</v>
      </c>
      <c r="G58" s="65" t="n">
        <f aca="false">MIN(E58+F58,MAX(0,B58-D58))</f>
        <v>73155</v>
      </c>
    </row>
    <row r="59" customFormat="false" ht="15" hidden="false" customHeight="true" outlineLevel="0" collapsed="false">
      <c r="A59" s="110" t="n">
        <v>7</v>
      </c>
      <c r="B59" s="65" t="n">
        <f aca="false">$B$33</f>
        <v>73155</v>
      </c>
      <c r="C59" s="65" t="n">
        <f aca="false">MAX(0,C58-D58)</f>
        <v>0</v>
      </c>
      <c r="D59" s="65" t="n">
        <f aca="false">MIN(C59,B59)</f>
        <v>0</v>
      </c>
      <c r="E59" s="65" t="n">
        <f aca="false">MAX(0,E58+F58-G58)</f>
        <v>538513.043857371</v>
      </c>
      <c r="F59" s="65" t="n">
        <f aca="false">E59*Assumptions!$B$59</f>
        <v>20194.2391446514</v>
      </c>
      <c r="G59" s="65" t="n">
        <f aca="false">MIN(E59+F59,MAX(0,B59-D59))</f>
        <v>73155</v>
      </c>
    </row>
    <row r="60" customFormat="false" ht="15" hidden="false" customHeight="true" outlineLevel="0" collapsed="false">
      <c r="A60" s="110" t="n">
        <v>8</v>
      </c>
      <c r="B60" s="65" t="n">
        <f aca="false">$B$33</f>
        <v>73155</v>
      </c>
      <c r="C60" s="65" t="n">
        <f aca="false">MAX(0,C59-D59)</f>
        <v>0</v>
      </c>
      <c r="D60" s="65" t="n">
        <f aca="false">MIN(C60,B60)</f>
        <v>0</v>
      </c>
      <c r="E60" s="65" t="n">
        <f aca="false">MAX(0,E59+F59-G59)</f>
        <v>485552.283002023</v>
      </c>
      <c r="F60" s="65" t="n">
        <f aca="false">E60*Assumptions!$B$59</f>
        <v>18208.2106125758</v>
      </c>
      <c r="G60" s="65" t="n">
        <f aca="false">MIN(E60+F60,MAX(0,B60-D60))</f>
        <v>73155</v>
      </c>
    </row>
    <row r="61" customFormat="false" ht="15" hidden="false" customHeight="true" outlineLevel="0" collapsed="false">
      <c r="A61" s="110" t="n">
        <v>9</v>
      </c>
      <c r="B61" s="65" t="n">
        <f aca="false">$B$33</f>
        <v>73155</v>
      </c>
      <c r="C61" s="65" t="n">
        <f aca="false">MAX(0,C60-D60)</f>
        <v>0</v>
      </c>
      <c r="D61" s="65" t="n">
        <f aca="false">MIN(C61,B61)</f>
        <v>0</v>
      </c>
      <c r="E61" s="65" t="n">
        <f aca="false">MAX(0,E60+F60-G60)</f>
        <v>430605.493614598</v>
      </c>
      <c r="F61" s="65" t="n">
        <f aca="false">E61*Assumptions!$B$59</f>
        <v>16147.7060105474</v>
      </c>
      <c r="G61" s="65" t="n">
        <f aca="false">MIN(E61+F61,MAX(0,B61-D61))</f>
        <v>73155</v>
      </c>
    </row>
    <row r="62" customFormat="false" ht="15" hidden="false" customHeight="true" outlineLevel="0" collapsed="false">
      <c r="A62" s="110" t="n">
        <v>10</v>
      </c>
      <c r="B62" s="65" t="n">
        <f aca="false">$B$33</f>
        <v>73155</v>
      </c>
      <c r="C62" s="65" t="n">
        <f aca="false">MAX(0,C61-D61)</f>
        <v>0</v>
      </c>
      <c r="D62" s="65" t="n">
        <f aca="false">MIN(C62,B62)</f>
        <v>0</v>
      </c>
      <c r="E62" s="65" t="n">
        <f aca="false">MAX(0,E61+F61-G61)</f>
        <v>373598.199625146</v>
      </c>
      <c r="F62" s="65" t="n">
        <f aca="false">E62*Assumptions!$B$59</f>
        <v>14009.932485943</v>
      </c>
      <c r="G62" s="65" t="n">
        <f aca="false">MIN(E62+F62,MAX(0,B62-D62))</f>
        <v>73155</v>
      </c>
    </row>
    <row r="63" customFormat="false" ht="15" hidden="false" customHeight="true" outlineLevel="0" collapsed="false">
      <c r="A63" s="110" t="n">
        <v>11</v>
      </c>
      <c r="B63" s="65" t="n">
        <f aca="false">$B$33</f>
        <v>73155</v>
      </c>
      <c r="C63" s="65" t="n">
        <f aca="false">MAX(0,C62-D62)</f>
        <v>0</v>
      </c>
      <c r="D63" s="65" t="n">
        <f aca="false">MIN(C63,B63)</f>
        <v>0</v>
      </c>
      <c r="E63" s="65" t="n">
        <f aca="false">MAX(0,E62+F62-G62)</f>
        <v>314453.132111089</v>
      </c>
      <c r="F63" s="65" t="n">
        <f aca="false">E63*Assumptions!$B$59</f>
        <v>11791.9924541658</v>
      </c>
      <c r="G63" s="65" t="n">
        <f aca="false">MIN(E63+F63,MAX(0,B63-D63))</f>
        <v>73155</v>
      </c>
    </row>
    <row r="64" customFormat="false" ht="15" hidden="false" customHeight="true" outlineLevel="0" collapsed="false">
      <c r="A64" s="110" t="n">
        <v>12</v>
      </c>
      <c r="B64" s="65" t="n">
        <f aca="false">$B$33</f>
        <v>73155</v>
      </c>
      <c r="C64" s="65" t="n">
        <f aca="false">MAX(0,C63-D63)</f>
        <v>0</v>
      </c>
      <c r="D64" s="65" t="n">
        <f aca="false">MIN(C64,B64)</f>
        <v>0</v>
      </c>
      <c r="E64" s="65" t="n">
        <f aca="false">MAX(0,E63+F63-G63)</f>
        <v>253090.124565255</v>
      </c>
      <c r="F64" s="65" t="n">
        <f aca="false">E64*Assumptions!$B$59</f>
        <v>9490.87967119705</v>
      </c>
      <c r="G64" s="65" t="n">
        <f aca="false">MIN(E64+F64,MAX(0,B64-D64))</f>
        <v>73155</v>
      </c>
    </row>
    <row r="65" customFormat="false" ht="15" hidden="false" customHeight="true" outlineLevel="0" collapsed="false">
      <c r="A65" s="110" t="n">
        <v>13</v>
      </c>
      <c r="B65" s="65" t="n">
        <f aca="false">$B$33</f>
        <v>73155</v>
      </c>
      <c r="C65" s="65" t="n">
        <f aca="false">MAX(0,C64-D64)</f>
        <v>0</v>
      </c>
      <c r="D65" s="65" t="n">
        <f aca="false">MIN(C65,B65)</f>
        <v>0</v>
      </c>
      <c r="E65" s="65" t="n">
        <f aca="false">MAX(0,E64+F64-G64)</f>
        <v>189426.004236452</v>
      </c>
      <c r="F65" s="65" t="n">
        <f aca="false">E65*Assumptions!$B$59</f>
        <v>7103.47515886694</v>
      </c>
      <c r="G65" s="65" t="n">
        <f aca="false">MIN(E65+F65,MAX(0,B65-D65))</f>
        <v>73155</v>
      </c>
    </row>
    <row r="66" customFormat="false" ht="15" hidden="false" customHeight="true" outlineLevel="0" collapsed="false">
      <c r="A66" s="110" t="n">
        <v>14</v>
      </c>
      <c r="B66" s="65" t="n">
        <f aca="false">$B$33</f>
        <v>73155</v>
      </c>
      <c r="C66" s="65" t="n">
        <f aca="false">MAX(0,C65-D65)</f>
        <v>0</v>
      </c>
      <c r="D66" s="65" t="n">
        <f aca="false">MIN(C66,B66)</f>
        <v>0</v>
      </c>
      <c r="E66" s="65" t="n">
        <f aca="false">MAX(0,E65+F65-G65)</f>
        <v>123374.479395319</v>
      </c>
      <c r="F66" s="65" t="n">
        <f aca="false">E66*Assumptions!$B$59</f>
        <v>4626.54297732445</v>
      </c>
      <c r="G66" s="65" t="n">
        <f aca="false">MIN(E66+F66,MAX(0,B66-D66))</f>
        <v>73155</v>
      </c>
    </row>
    <row r="67" customFormat="false" ht="15" hidden="false" customHeight="true" outlineLevel="0" collapsed="false">
      <c r="A67" s="110" t="n">
        <v>15</v>
      </c>
      <c r="B67" s="65" t="n">
        <f aca="false">$B$33</f>
        <v>73155</v>
      </c>
      <c r="C67" s="65" t="n">
        <f aca="false">MAX(0,C66-D66)</f>
        <v>0</v>
      </c>
      <c r="D67" s="65" t="n">
        <f aca="false">MIN(C67,B67)</f>
        <v>0</v>
      </c>
      <c r="E67" s="65" t="n">
        <f aca="false">MAX(0,E66+F66-G66)</f>
        <v>54846.0223726431</v>
      </c>
      <c r="F67" s="65" t="n">
        <f aca="false">E67*Assumptions!$B$59</f>
        <v>2056.72583897412</v>
      </c>
      <c r="G67" s="65" t="n">
        <f aca="false">MIN(E67+F67,MAX(0,B67-D67))</f>
        <v>56902.7482116172</v>
      </c>
    </row>
    <row r="68" customFormat="false" ht="15" hidden="false" customHeight="true" outlineLevel="0" collapsed="false">
      <c r="A68" s="110" t="n">
        <v>16</v>
      </c>
      <c r="B68" s="65" t="n">
        <f aca="false">$B$33</f>
        <v>73155</v>
      </c>
      <c r="C68" s="65" t="n">
        <f aca="false">MAX(0,C67-D67)</f>
        <v>0</v>
      </c>
      <c r="D68" s="65" t="n">
        <f aca="false">MIN(C68,B68)</f>
        <v>0</v>
      </c>
      <c r="E68" s="65" t="n">
        <f aca="false">MAX(0,E67+F67-G67)</f>
        <v>0</v>
      </c>
      <c r="F68" s="65" t="n">
        <f aca="false">E68*Assumptions!$B$59</f>
        <v>0</v>
      </c>
      <c r="G68" s="65" t="n">
        <f aca="false">MIN(E68+F68,MAX(0,B68-D68))</f>
        <v>0</v>
      </c>
    </row>
    <row r="69" customFormat="false" ht="15" hidden="false" customHeight="true" outlineLevel="0" collapsed="false">
      <c r="A69" s="110" t="n">
        <v>17</v>
      </c>
      <c r="B69" s="65" t="n">
        <f aca="false">$B$33</f>
        <v>73155</v>
      </c>
      <c r="C69" s="65" t="n">
        <f aca="false">MAX(0,C68-D68)</f>
        <v>0</v>
      </c>
      <c r="D69" s="65" t="n">
        <f aca="false">MIN(C69,B69)</f>
        <v>0</v>
      </c>
      <c r="E69" s="65" t="n">
        <f aca="false">MAX(0,E68+F68-G68)</f>
        <v>0</v>
      </c>
      <c r="F69" s="65" t="n">
        <f aca="false">E69*Assumptions!$B$59</f>
        <v>0</v>
      </c>
      <c r="G69" s="65" t="n">
        <f aca="false">MIN(E69+F69,MAX(0,B69-D69))</f>
        <v>0</v>
      </c>
    </row>
    <row r="70" customFormat="false" ht="15" hidden="false" customHeight="true" outlineLevel="0" collapsed="false">
      <c r="A70" s="110" t="n">
        <v>18</v>
      </c>
      <c r="B70" s="65" t="n">
        <f aca="false">$B$33</f>
        <v>73155</v>
      </c>
      <c r="C70" s="65" t="n">
        <f aca="false">MAX(0,C69-D69)</f>
        <v>0</v>
      </c>
      <c r="D70" s="65" t="n">
        <f aca="false">MIN(C70,B70)</f>
        <v>0</v>
      </c>
      <c r="E70" s="65" t="n">
        <f aca="false">MAX(0,E69+F69-G69)</f>
        <v>0</v>
      </c>
      <c r="F70" s="65" t="n">
        <f aca="false">E70*Assumptions!$B$59</f>
        <v>0</v>
      </c>
      <c r="G70" s="65" t="n">
        <f aca="false">MIN(E70+F70,MAX(0,B70-D70))</f>
        <v>0</v>
      </c>
    </row>
    <row r="71" customFormat="false" ht="15" hidden="false" customHeight="true" outlineLevel="0" collapsed="false">
      <c r="A71" s="110" t="n">
        <v>19</v>
      </c>
      <c r="B71" s="65" t="n">
        <f aca="false">$B$33</f>
        <v>73155</v>
      </c>
      <c r="C71" s="65" t="n">
        <f aca="false">MAX(0,C70-D70)</f>
        <v>0</v>
      </c>
      <c r="D71" s="65" t="n">
        <f aca="false">MIN(C71,B71)</f>
        <v>0</v>
      </c>
      <c r="E71" s="65" t="n">
        <f aca="false">MAX(0,E70+F70-G70)</f>
        <v>0</v>
      </c>
      <c r="F71" s="65" t="n">
        <f aca="false">E71*Assumptions!$B$59</f>
        <v>0</v>
      </c>
      <c r="G71" s="65" t="n">
        <f aca="false">MIN(E71+F71,MAX(0,B71-D71))</f>
        <v>0</v>
      </c>
    </row>
    <row r="72" customFormat="false" ht="15" hidden="false" customHeight="true" outlineLevel="0" collapsed="false">
      <c r="A72" s="110" t="n">
        <v>20</v>
      </c>
      <c r="B72" s="65" t="n">
        <f aca="false">$B$33</f>
        <v>73155</v>
      </c>
      <c r="C72" s="65" t="n">
        <f aca="false">MAX(0,C71-D71)</f>
        <v>0</v>
      </c>
      <c r="D72" s="65" t="n">
        <f aca="false">MIN(C72,B72)</f>
        <v>0</v>
      </c>
      <c r="E72" s="65" t="n">
        <f aca="false">MAX(0,E71+F71-G71)</f>
        <v>0</v>
      </c>
      <c r="F72" s="65" t="n">
        <f aca="false">E72*Assumptions!$B$59</f>
        <v>0</v>
      </c>
      <c r="G72" s="65" t="n">
        <f aca="false">MIN(E72+F72,MAX(0,B72-D72))</f>
        <v>0</v>
      </c>
    </row>
    <row r="73" customFormat="false" ht="15" hidden="false" customHeight="true" outlineLevel="0" collapsed="false">
      <c r="A73" s="110" t="n">
        <v>21</v>
      </c>
      <c r="B73" s="65" t="n">
        <f aca="false">$B$33</f>
        <v>73155</v>
      </c>
      <c r="C73" s="65" t="n">
        <f aca="false">MAX(0,C72-D72)</f>
        <v>0</v>
      </c>
      <c r="D73" s="65" t="n">
        <f aca="false">MIN(C73,B73)</f>
        <v>0</v>
      </c>
      <c r="E73" s="65" t="n">
        <f aca="false">MAX(0,E72+F72-G72)</f>
        <v>0</v>
      </c>
      <c r="F73" s="65" t="n">
        <f aca="false">E73*Assumptions!$B$59</f>
        <v>0</v>
      </c>
      <c r="G73" s="65" t="n">
        <f aca="false">MIN(E73+F73,MAX(0,B73-D73))</f>
        <v>0</v>
      </c>
    </row>
    <row r="74" customFormat="false" ht="15" hidden="false" customHeight="true" outlineLevel="0" collapsed="false">
      <c r="A74" s="110" t="n">
        <v>22</v>
      </c>
      <c r="B74" s="65" t="n">
        <f aca="false">$B$33</f>
        <v>73155</v>
      </c>
      <c r="C74" s="65" t="n">
        <f aca="false">MAX(0,C73-D73)</f>
        <v>0</v>
      </c>
      <c r="D74" s="65" t="n">
        <f aca="false">MIN(C74,B74)</f>
        <v>0</v>
      </c>
      <c r="E74" s="65" t="n">
        <f aca="false">MAX(0,E73+F73-G73)</f>
        <v>0</v>
      </c>
      <c r="F74" s="65" t="n">
        <f aca="false">E74*Assumptions!$B$59</f>
        <v>0</v>
      </c>
      <c r="G74" s="65" t="n">
        <f aca="false">MIN(E74+F74,MAX(0,B74-D74))</f>
        <v>0</v>
      </c>
    </row>
    <row r="75" customFormat="false" ht="15" hidden="false" customHeight="true" outlineLevel="0" collapsed="false">
      <c r="A75" s="110" t="n">
        <v>23</v>
      </c>
      <c r="B75" s="65" t="n">
        <f aca="false">$B$33</f>
        <v>73155</v>
      </c>
      <c r="C75" s="65" t="n">
        <f aca="false">MAX(0,C74-D74)</f>
        <v>0</v>
      </c>
      <c r="D75" s="65" t="n">
        <f aca="false">MIN(C75,B75)</f>
        <v>0</v>
      </c>
      <c r="E75" s="65" t="n">
        <f aca="false">MAX(0,E74+F74-G74)</f>
        <v>0</v>
      </c>
      <c r="F75" s="65" t="n">
        <f aca="false">E75*Assumptions!$B$59</f>
        <v>0</v>
      </c>
      <c r="G75" s="65" t="n">
        <f aca="false">MIN(E75+F75,MAX(0,B75-D75))</f>
        <v>0</v>
      </c>
    </row>
    <row r="76" customFormat="false" ht="15" hidden="false" customHeight="true" outlineLevel="0" collapsed="false">
      <c r="A76" s="110" t="n">
        <v>24</v>
      </c>
      <c r="B76" s="65" t="n">
        <f aca="false">$B$33</f>
        <v>73155</v>
      </c>
      <c r="C76" s="65" t="n">
        <f aca="false">MAX(0,C75-D75)</f>
        <v>0</v>
      </c>
      <c r="D76" s="65" t="n">
        <f aca="false">MIN(C76,B76)</f>
        <v>0</v>
      </c>
      <c r="E76" s="65" t="n">
        <f aca="false">MAX(0,E75+F75-G75)</f>
        <v>0</v>
      </c>
      <c r="F76" s="65" t="n">
        <f aca="false">E76*Assumptions!$B$59</f>
        <v>0</v>
      </c>
      <c r="G76" s="65" t="n">
        <f aca="false">MIN(E76+F76,MAX(0,B76-D76))</f>
        <v>0</v>
      </c>
    </row>
    <row r="77" customFormat="false" ht="15" hidden="false" customHeight="true" outlineLevel="0" collapsed="false">
      <c r="A77" s="110" t="n">
        <v>25</v>
      </c>
      <c r="B77" s="65" t="n">
        <f aca="false">$B$33</f>
        <v>73155</v>
      </c>
      <c r="C77" s="65" t="n">
        <f aca="false">MAX(0,C76-D76)</f>
        <v>0</v>
      </c>
      <c r="D77" s="65" t="n">
        <f aca="false">MIN(C77,B77)</f>
        <v>0</v>
      </c>
      <c r="E77" s="65" t="n">
        <f aca="false">MAX(0,E76+F76-G76)</f>
        <v>0</v>
      </c>
      <c r="F77" s="65" t="n">
        <f aca="false">E77*Assumptions!$B$59</f>
        <v>0</v>
      </c>
      <c r="G77" s="65" t="n">
        <f aca="false">MIN(E77+F77,MAX(0,B77-D77))</f>
        <v>0</v>
      </c>
    </row>
    <row r="78" customFormat="false" ht="15" hidden="false" customHeight="true" outlineLevel="0" collapsed="false">
      <c r="A78" s="110" t="n">
        <v>26</v>
      </c>
      <c r="B78" s="65" t="n">
        <f aca="false">$B$33</f>
        <v>73155</v>
      </c>
      <c r="C78" s="65" t="n">
        <f aca="false">MAX(0,C77-D77)</f>
        <v>0</v>
      </c>
      <c r="D78" s="65" t="n">
        <f aca="false">MIN(C78,B78)</f>
        <v>0</v>
      </c>
      <c r="E78" s="65" t="n">
        <f aca="false">MAX(0,E77+F77-G77)</f>
        <v>0</v>
      </c>
      <c r="F78" s="65" t="n">
        <f aca="false">E78*Assumptions!$B$59</f>
        <v>0</v>
      </c>
      <c r="G78" s="65" t="n">
        <f aca="false">MIN(E78+F78,MAX(0,B78-D78))</f>
        <v>0</v>
      </c>
    </row>
    <row r="79" customFormat="false" ht="15" hidden="false" customHeight="true" outlineLevel="0" collapsed="false">
      <c r="A79" s="110" t="n">
        <v>27</v>
      </c>
      <c r="B79" s="65" t="n">
        <f aca="false">$B$33</f>
        <v>73155</v>
      </c>
      <c r="C79" s="65" t="n">
        <f aca="false">MAX(0,C78-D78)</f>
        <v>0</v>
      </c>
      <c r="D79" s="65" t="n">
        <f aca="false">MIN(C79,B79)</f>
        <v>0</v>
      </c>
      <c r="E79" s="65" t="n">
        <f aca="false">MAX(0,E78+F78-G78)</f>
        <v>0</v>
      </c>
      <c r="F79" s="65" t="n">
        <f aca="false">E79*Assumptions!$B$59</f>
        <v>0</v>
      </c>
      <c r="G79" s="65" t="n">
        <f aca="false">MIN(E79+F79,MAX(0,B79-D79))</f>
        <v>0</v>
      </c>
    </row>
    <row r="80" customFormat="false" ht="15" hidden="false" customHeight="true" outlineLevel="0" collapsed="false">
      <c r="A80" s="110" t="n">
        <v>28</v>
      </c>
      <c r="B80" s="65" t="n">
        <f aca="false">$B$33</f>
        <v>73155</v>
      </c>
      <c r="C80" s="65" t="n">
        <f aca="false">MAX(0,C79-D79)</f>
        <v>0</v>
      </c>
      <c r="D80" s="65" t="n">
        <f aca="false">MIN(C80,B80)</f>
        <v>0</v>
      </c>
      <c r="E80" s="65" t="n">
        <f aca="false">MAX(0,E79+F79-G79)</f>
        <v>0</v>
      </c>
      <c r="F80" s="65" t="n">
        <f aca="false">E80*Assumptions!$B$59</f>
        <v>0</v>
      </c>
      <c r="G80" s="65" t="n">
        <f aca="false">MIN(E80+F80,MAX(0,B80-D80))</f>
        <v>0</v>
      </c>
    </row>
    <row r="81" customFormat="false" ht="15" hidden="false" customHeight="true" outlineLevel="0" collapsed="false">
      <c r="A81" s="110" t="n">
        <v>29</v>
      </c>
      <c r="B81" s="65" t="n">
        <f aca="false">$B$33</f>
        <v>73155</v>
      </c>
      <c r="C81" s="65" t="n">
        <f aca="false">MAX(0,C80-D80)</f>
        <v>0</v>
      </c>
      <c r="D81" s="65" t="n">
        <f aca="false">MIN(C81,B81)</f>
        <v>0</v>
      </c>
      <c r="E81" s="65" t="n">
        <f aca="false">MAX(0,E80+F80-G80)</f>
        <v>0</v>
      </c>
      <c r="F81" s="65" t="n">
        <f aca="false">E81*Assumptions!$B$59</f>
        <v>0</v>
      </c>
      <c r="G81" s="65" t="n">
        <f aca="false">MIN(E81+F81,MAX(0,B81-D81))</f>
        <v>0</v>
      </c>
    </row>
    <row r="82" customFormat="false" ht="15" hidden="false" customHeight="true" outlineLevel="0" collapsed="false">
      <c r="A82" s="110" t="n">
        <v>30</v>
      </c>
      <c r="B82" s="65" t="n">
        <f aca="false">$B$33</f>
        <v>73155</v>
      </c>
      <c r="C82" s="65" t="n">
        <f aca="false">MAX(0,C81-D81)</f>
        <v>0</v>
      </c>
      <c r="D82" s="65" t="n">
        <f aca="false">MIN(C82,B82)</f>
        <v>0</v>
      </c>
      <c r="E82" s="65" t="n">
        <f aca="false">MAX(0,E81+F81-G81)</f>
        <v>0</v>
      </c>
      <c r="F82" s="65" t="n">
        <f aca="false">E82*Assumptions!$B$59</f>
        <v>0</v>
      </c>
      <c r="G82" s="65" t="n">
        <f aca="false">MIN(E82+F82,MAX(0,B82-D82))</f>
        <v>0</v>
      </c>
    </row>
    <row r="83" customFormat="false" ht="15" hidden="false" customHeight="true" outlineLevel="0" collapsed="false">
      <c r="A83" s="110" t="n">
        <v>31</v>
      </c>
      <c r="B83" s="65" t="n">
        <f aca="false">$B$33</f>
        <v>73155</v>
      </c>
      <c r="C83" s="65" t="n">
        <f aca="false">MAX(0,C82-D82)</f>
        <v>0</v>
      </c>
      <c r="D83" s="65" t="n">
        <f aca="false">MIN(C83,B83)</f>
        <v>0</v>
      </c>
      <c r="E83" s="65" t="n">
        <f aca="false">MAX(0,E82+F82-G82)</f>
        <v>0</v>
      </c>
      <c r="F83" s="65" t="n">
        <f aca="false">E83*Assumptions!$B$59</f>
        <v>0</v>
      </c>
      <c r="G83" s="65" t="n">
        <f aca="false">MIN(E83+F83,MAX(0,B83-D83))</f>
        <v>0</v>
      </c>
    </row>
    <row r="84" customFormat="false" ht="15" hidden="false" customHeight="true" outlineLevel="0" collapsed="false">
      <c r="A84" s="110" t="n">
        <v>32</v>
      </c>
      <c r="B84" s="65" t="n">
        <f aca="false">$B$33</f>
        <v>73155</v>
      </c>
      <c r="C84" s="65" t="n">
        <f aca="false">MAX(0,C83-D83)</f>
        <v>0</v>
      </c>
      <c r="D84" s="65" t="n">
        <f aca="false">MIN(C84,B84)</f>
        <v>0</v>
      </c>
      <c r="E84" s="65" t="n">
        <f aca="false">MAX(0,E83+F83-G83)</f>
        <v>0</v>
      </c>
      <c r="F84" s="65" t="n">
        <f aca="false">E84*Assumptions!$B$59</f>
        <v>0</v>
      </c>
      <c r="G84" s="65" t="n">
        <f aca="false">MIN(E84+F84,MAX(0,B84-D84))</f>
        <v>0</v>
      </c>
    </row>
    <row r="85" customFormat="false" ht="15" hidden="false" customHeight="true" outlineLevel="0" collapsed="false">
      <c r="A85" s="110" t="n">
        <v>33</v>
      </c>
      <c r="B85" s="65" t="n">
        <f aca="false">$B$33</f>
        <v>73155</v>
      </c>
      <c r="C85" s="65" t="n">
        <f aca="false">MAX(0,C84-D84)</f>
        <v>0</v>
      </c>
      <c r="D85" s="65" t="n">
        <f aca="false">MIN(C85,B85)</f>
        <v>0</v>
      </c>
      <c r="E85" s="65" t="n">
        <f aca="false">MAX(0,E84+F84-G84)</f>
        <v>0</v>
      </c>
      <c r="F85" s="65" t="n">
        <f aca="false">E85*Assumptions!$B$59</f>
        <v>0</v>
      </c>
      <c r="G85" s="65" t="n">
        <f aca="false">MIN(E85+F85,MAX(0,B85-D85))</f>
        <v>0</v>
      </c>
    </row>
    <row r="86" customFormat="false" ht="15" hidden="false" customHeight="true" outlineLevel="0" collapsed="false">
      <c r="A86" s="110" t="n">
        <v>34</v>
      </c>
      <c r="B86" s="65" t="n">
        <f aca="false">$B$33</f>
        <v>73155</v>
      </c>
      <c r="C86" s="65" t="n">
        <f aca="false">MAX(0,C85-D85)</f>
        <v>0</v>
      </c>
      <c r="D86" s="65" t="n">
        <f aca="false">MIN(C86,B86)</f>
        <v>0</v>
      </c>
      <c r="E86" s="65" t="n">
        <f aca="false">MAX(0,E85+F85-G85)</f>
        <v>0</v>
      </c>
      <c r="F86" s="65" t="n">
        <f aca="false">E86*Assumptions!$B$59</f>
        <v>0</v>
      </c>
      <c r="G86" s="65" t="n">
        <f aca="false">MIN(E86+F86,MAX(0,B86-D86))</f>
        <v>0</v>
      </c>
    </row>
    <row r="87" customFormat="false" ht="15" hidden="false" customHeight="true" outlineLevel="0" collapsed="false">
      <c r="A87" s="110" t="n">
        <v>35</v>
      </c>
      <c r="B87" s="65" t="n">
        <f aca="false">$B$33</f>
        <v>73155</v>
      </c>
      <c r="C87" s="65" t="n">
        <f aca="false">MAX(0,C86-D86)</f>
        <v>0</v>
      </c>
      <c r="D87" s="65" t="n">
        <f aca="false">MIN(C87,B87)</f>
        <v>0</v>
      </c>
      <c r="E87" s="65" t="n">
        <f aca="false">MAX(0,E86+F86-G86)</f>
        <v>0</v>
      </c>
      <c r="F87" s="65" t="n">
        <f aca="false">E87*Assumptions!$B$59</f>
        <v>0</v>
      </c>
      <c r="G87" s="65" t="n">
        <f aca="false">MIN(E87+F87,MAX(0,B87-D87))</f>
        <v>0</v>
      </c>
    </row>
    <row r="88" customFormat="false" ht="15" hidden="false" customHeight="true" outlineLevel="0" collapsed="false">
      <c r="A88" s="110" t="n">
        <v>36</v>
      </c>
      <c r="B88" s="65" t="n">
        <f aca="false">$B$33</f>
        <v>73155</v>
      </c>
      <c r="C88" s="65" t="n">
        <f aca="false">MAX(0,C87-D87)</f>
        <v>0</v>
      </c>
      <c r="D88" s="65" t="n">
        <f aca="false">MIN(C88,B88)</f>
        <v>0</v>
      </c>
      <c r="E88" s="65" t="n">
        <f aca="false">MAX(0,E87+F87-G87)</f>
        <v>0</v>
      </c>
      <c r="F88" s="65" t="n">
        <f aca="false">E88*Assumptions!$B$59</f>
        <v>0</v>
      </c>
      <c r="G88" s="65" t="n">
        <f aca="false">MIN(E88+F88,MAX(0,B88-D88))</f>
        <v>0</v>
      </c>
    </row>
    <row r="89" customFormat="false" ht="15" hidden="false" customHeight="true" outlineLevel="0" collapsed="false">
      <c r="A89" s="110" t="n">
        <v>37</v>
      </c>
      <c r="B89" s="65" t="n">
        <f aca="false">$B$33</f>
        <v>73155</v>
      </c>
      <c r="C89" s="65" t="n">
        <f aca="false">MAX(0,C88-D88)</f>
        <v>0</v>
      </c>
      <c r="D89" s="65" t="n">
        <f aca="false">MIN(C89,B89)</f>
        <v>0</v>
      </c>
      <c r="E89" s="65" t="n">
        <f aca="false">MAX(0,E88+F88-G88)</f>
        <v>0</v>
      </c>
      <c r="F89" s="65" t="n">
        <f aca="false">E89*Assumptions!$B$59</f>
        <v>0</v>
      </c>
      <c r="G89" s="65" t="n">
        <f aca="false">MIN(E89+F89,MAX(0,B89-D89))</f>
        <v>0</v>
      </c>
    </row>
    <row r="90" customFormat="false" ht="15" hidden="false" customHeight="true" outlineLevel="0" collapsed="false">
      <c r="A90" s="110" t="n">
        <v>38</v>
      </c>
      <c r="B90" s="65" t="n">
        <f aca="false">$B$33</f>
        <v>73155</v>
      </c>
      <c r="C90" s="65" t="n">
        <f aca="false">MAX(0,C89-D89)</f>
        <v>0</v>
      </c>
      <c r="D90" s="65" t="n">
        <f aca="false">MIN(C90,B90)</f>
        <v>0</v>
      </c>
      <c r="E90" s="65" t="n">
        <f aca="false">MAX(0,E89+F89-G89)</f>
        <v>0</v>
      </c>
      <c r="F90" s="65" t="n">
        <f aca="false">E90*Assumptions!$B$59</f>
        <v>0</v>
      </c>
      <c r="G90" s="65" t="n">
        <f aca="false">MIN(E90+F90,MAX(0,B90-D90))</f>
        <v>0</v>
      </c>
    </row>
    <row r="91" customFormat="false" ht="15" hidden="false" customHeight="true" outlineLevel="0" collapsed="false">
      <c r="A91" s="110" t="n">
        <v>39</v>
      </c>
      <c r="B91" s="65" t="n">
        <f aca="false">$B$33</f>
        <v>73155</v>
      </c>
      <c r="C91" s="65" t="n">
        <f aca="false">MAX(0,C90-D90)</f>
        <v>0</v>
      </c>
      <c r="D91" s="65" t="n">
        <f aca="false">MIN(C91,B91)</f>
        <v>0</v>
      </c>
      <c r="E91" s="65" t="n">
        <f aca="false">MAX(0,E90+F90-G90)</f>
        <v>0</v>
      </c>
      <c r="F91" s="65" t="n">
        <f aca="false">E91*Assumptions!$B$59</f>
        <v>0</v>
      </c>
      <c r="G91" s="65" t="n">
        <f aca="false">MIN(E91+F91,MAX(0,B91-D91))</f>
        <v>0</v>
      </c>
    </row>
    <row r="92" customFormat="false" ht="15" hidden="false" customHeight="true" outlineLevel="0" collapsed="false">
      <c r="A92" s="110" t="n">
        <v>40</v>
      </c>
      <c r="B92" s="65" t="n">
        <f aca="false">$B$33</f>
        <v>73155</v>
      </c>
      <c r="C92" s="65" t="n">
        <f aca="false">MAX(0,C91-D91)</f>
        <v>0</v>
      </c>
      <c r="D92" s="65" t="n">
        <f aca="false">MIN(C92,B92)</f>
        <v>0</v>
      </c>
      <c r="E92" s="65" t="n">
        <f aca="false">MAX(0,E91+F91-G91)</f>
        <v>0</v>
      </c>
      <c r="F92" s="65" t="n">
        <f aca="false">E92*Assumptions!$B$59</f>
        <v>0</v>
      </c>
      <c r="G92" s="65" t="n">
        <f aca="false">MIN(E92+F92,MAX(0,B92-D92))</f>
        <v>0</v>
      </c>
    </row>
    <row r="93" customFormat="false" ht="15" hidden="false" customHeight="true" outlineLevel="0" collapsed="false">
      <c r="A93" s="128" t="s">
        <v>551</v>
      </c>
      <c r="D93" s="130" t="n">
        <f aca="false">SUM(D53:D92)</f>
        <v>270925.32</v>
      </c>
      <c r="F93" s="130" t="n">
        <f aca="false">SUM(F53:F92)</f>
        <v>240125.881206445</v>
      </c>
      <c r="G93" s="130" t="n">
        <f aca="false">SUM(G53:G92)</f>
        <v>810147.428211617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131" t="s">
        <v>552</v>
      </c>
    </row>
    <row r="2" customFormat="false" ht="15" hidden="false" customHeight="true" outlineLevel="0" collapsed="false">
      <c r="A2" s="110" t="s">
        <v>270</v>
      </c>
      <c r="B2" s="6" t="s">
        <v>282</v>
      </c>
    </row>
    <row r="4" customFormat="false" ht="15" hidden="false" customHeight="true" outlineLevel="0" collapsed="false">
      <c r="A4" s="132" t="s">
        <v>553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</row>
    <row r="5" customFormat="false" ht="15" hidden="false" customHeight="true" outlineLevel="0" collapsed="false">
      <c r="A5" s="110" t="s">
        <v>554</v>
      </c>
      <c r="B5" s="110" t="s">
        <v>552</v>
      </c>
    </row>
    <row r="6" customFormat="false" ht="15" hidden="false" customHeight="true" outlineLevel="0" collapsed="false">
      <c r="A6" s="110" t="s">
        <v>555</v>
      </c>
      <c r="B6" s="110" t="s">
        <v>556</v>
      </c>
    </row>
    <row r="7" customFormat="false" ht="15" hidden="false" customHeight="true" outlineLevel="0" collapsed="false">
      <c r="A7" s="110" t="s">
        <v>557</v>
      </c>
      <c r="B7" s="133" t="n">
        <v>60</v>
      </c>
    </row>
    <row r="8" customFormat="false" ht="15" hidden="false" customHeight="true" outlineLevel="0" collapsed="false">
      <c r="A8" s="110" t="s">
        <v>558</v>
      </c>
      <c r="B8" s="110" t="s">
        <v>559</v>
      </c>
    </row>
    <row r="9" customFormat="false" ht="15" hidden="false" customHeight="true" outlineLevel="0" collapsed="false">
      <c r="A9" s="110" t="s">
        <v>560</v>
      </c>
      <c r="B9" s="65" t="n">
        <v>1400000</v>
      </c>
    </row>
    <row r="10" customFormat="false" ht="15" hidden="false" customHeight="true" outlineLevel="0" collapsed="false">
      <c r="A10" s="110" t="s">
        <v>561</v>
      </c>
      <c r="B10" s="65" t="n">
        <v>1609391</v>
      </c>
    </row>
    <row r="11" customFormat="false" ht="15" hidden="false" customHeight="true" outlineLevel="0" collapsed="false">
      <c r="A11" s="110" t="s">
        <v>562</v>
      </c>
      <c r="B11" s="65" t="n">
        <v>3419763</v>
      </c>
    </row>
    <row r="12" customFormat="false" ht="15" hidden="false" customHeight="true" outlineLevel="0" collapsed="false">
      <c r="A12" s="110" t="s">
        <v>563</v>
      </c>
      <c r="B12" s="7" t="n">
        <v>9009665</v>
      </c>
    </row>
    <row r="14" customFormat="false" ht="15" hidden="false" customHeight="true" outlineLevel="0" collapsed="false">
      <c r="A14" s="134" t="s">
        <v>564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</row>
    <row r="15" customFormat="false" ht="15" hidden="false" customHeight="true" outlineLevel="0" collapsed="false">
      <c r="B15" s="135" t="s">
        <v>317</v>
      </c>
      <c r="C15" s="135" t="s">
        <v>1</v>
      </c>
      <c r="D15" s="135" t="s">
        <v>2</v>
      </c>
      <c r="E15" s="135" t="s">
        <v>3</v>
      </c>
      <c r="F15" s="135" t="s">
        <v>4</v>
      </c>
      <c r="G15" s="135" t="s">
        <v>5</v>
      </c>
      <c r="H15" s="135" t="s">
        <v>6</v>
      </c>
      <c r="I15" s="135" t="s">
        <v>7</v>
      </c>
      <c r="J15" s="135" t="s">
        <v>8</v>
      </c>
    </row>
    <row r="16" customFormat="false" ht="15" hidden="false" customHeight="true" outlineLevel="0" collapsed="false">
      <c r="A16" s="110" t="s">
        <v>563</v>
      </c>
      <c r="B16" s="7" t="n">
        <f aca="false">C16+D16+E16+F16+G16+H16+I16+J16</f>
        <v>9009665</v>
      </c>
      <c r="C16" s="65" t="n">
        <f aca="false">SUM(C99:K99)</f>
        <v>0</v>
      </c>
      <c r="D16" s="65" t="n">
        <f aca="false">SUM(L99:W99)</f>
        <v>1084381.66</v>
      </c>
      <c r="E16" s="65" t="n">
        <f aca="false">SUM(X99:AI99)</f>
        <v>3698017.39</v>
      </c>
      <c r="F16" s="65" t="n">
        <f aca="false">SUM(AJ99:AU99)</f>
        <v>2427299.01</v>
      </c>
      <c r="G16" s="65" t="n">
        <f aca="false">SUM(AV99:BG99)</f>
        <v>1369332.42</v>
      </c>
      <c r="H16" s="65" t="n">
        <f aca="false">SUM(BH99:BS99)</f>
        <v>430634.52</v>
      </c>
      <c r="I16" s="65" t="n">
        <f aca="false">SUM(BT99:CE99)</f>
        <v>0</v>
      </c>
      <c r="J16" s="65" t="n">
        <f aca="false">SUM(CF99:CH99)</f>
        <v>0</v>
      </c>
    </row>
    <row r="17" customFormat="false" ht="15" hidden="false" customHeight="true" outlineLevel="0" collapsed="false">
      <c r="A17" s="110" t="s">
        <v>565</v>
      </c>
      <c r="B17" s="7" t="n">
        <f aca="false">C17+D17+E17+F17+G17+H17+I17+J17</f>
        <v>-1675044</v>
      </c>
      <c r="C17" s="65" t="n">
        <f aca="false">SUM(C100:K100)</f>
        <v>0</v>
      </c>
      <c r="D17" s="65" t="n">
        <f aca="false">SUM(L100:W100)</f>
        <v>-325008</v>
      </c>
      <c r="E17" s="65" t="n">
        <f aca="false">SUM(X100:AI100)</f>
        <v>-450012</v>
      </c>
      <c r="F17" s="65" t="n">
        <f aca="false">SUM(AJ100:AU100)</f>
        <v>-450012</v>
      </c>
      <c r="G17" s="65" t="n">
        <f aca="false">SUM(AV100:BG100)</f>
        <v>-450012</v>
      </c>
      <c r="H17" s="65" t="n">
        <f aca="false">SUM(BH100:BS100)</f>
        <v>0</v>
      </c>
      <c r="I17" s="65" t="n">
        <f aca="false">SUM(BT100:CE100)</f>
        <v>0</v>
      </c>
      <c r="J17" s="65" t="n">
        <f aca="false">SUM(CF100:CH100)</f>
        <v>0</v>
      </c>
    </row>
    <row r="18" customFormat="false" ht="15" hidden="false" customHeight="true" outlineLevel="0" collapsed="false">
      <c r="A18" s="110" t="s">
        <v>566</v>
      </c>
      <c r="B18" s="7" t="n">
        <f aca="false">C18+D18+E18+F18+G18+H18+I18+J18</f>
        <v>-536016</v>
      </c>
      <c r="C18" s="65" t="n">
        <f aca="false">SUM(C101:K101)</f>
        <v>0</v>
      </c>
      <c r="D18" s="65" t="n">
        <f aca="false">SUM(L101:W101)</f>
        <v>-134004</v>
      </c>
      <c r="E18" s="65" t="n">
        <f aca="false">SUM(X101:AI101)</f>
        <v>-134004</v>
      </c>
      <c r="F18" s="65" t="n">
        <f aca="false">SUM(AJ101:AU101)</f>
        <v>-134004</v>
      </c>
      <c r="G18" s="65" t="n">
        <f aca="false">SUM(AV101:BG101)</f>
        <v>-134004</v>
      </c>
      <c r="H18" s="65" t="n">
        <f aca="false">SUM(BH101:BS101)</f>
        <v>0</v>
      </c>
      <c r="I18" s="65" t="n">
        <f aca="false">SUM(BT101:CE101)</f>
        <v>0</v>
      </c>
      <c r="J18" s="65" t="n">
        <f aca="false">SUM(CF101:CH101)</f>
        <v>0</v>
      </c>
    </row>
    <row r="19" customFormat="false" ht="15" hidden="false" customHeight="true" outlineLevel="0" collapsed="false">
      <c r="A19" s="136" t="s">
        <v>567</v>
      </c>
      <c r="B19" s="137" t="n">
        <f aca="false">C19+D19+E19+F19+G19+H19+I19+J19</f>
        <v>6798605</v>
      </c>
      <c r="C19" s="137" t="n">
        <f aca="false">SUM(C102:K102)</f>
        <v>0</v>
      </c>
      <c r="D19" s="137" t="n">
        <f aca="false">SUM(L102:W102)</f>
        <v>625369.66</v>
      </c>
      <c r="E19" s="137" t="n">
        <f aca="false">SUM(X102:AI102)</f>
        <v>3114001.39</v>
      </c>
      <c r="F19" s="137" t="n">
        <f aca="false">SUM(AJ102:AU102)</f>
        <v>1843283.01</v>
      </c>
      <c r="G19" s="137" t="n">
        <f aca="false">SUM(AV102:BG102)</f>
        <v>785316.42</v>
      </c>
      <c r="H19" s="137" t="n">
        <f aca="false">SUM(BH102:BS102)</f>
        <v>430634.52</v>
      </c>
      <c r="I19" s="137" t="n">
        <f aca="false">SUM(BT102:CE102)</f>
        <v>0</v>
      </c>
      <c r="J19" s="137" t="n">
        <f aca="false">SUM(CF102:CH102)</f>
        <v>0</v>
      </c>
    </row>
    <row r="20" customFormat="false" ht="15" hidden="false" customHeight="true" outlineLevel="0" collapsed="false">
      <c r="A20" s="110" t="s">
        <v>568</v>
      </c>
      <c r="B20" s="7" t="n">
        <f aca="false">C20+D20+E20+F20+G20+H20+I20+J20</f>
        <v>900966.5</v>
      </c>
      <c r="C20" s="65" t="n">
        <f aca="false">SUM(C103:K103)</f>
        <v>0</v>
      </c>
      <c r="D20" s="65" t="n">
        <f aca="false">SUM(L103:W103)</f>
        <v>108438.166</v>
      </c>
      <c r="E20" s="65" t="n">
        <f aca="false">SUM(X103:AI103)</f>
        <v>369801.739</v>
      </c>
      <c r="F20" s="65" t="n">
        <f aca="false">SUM(AJ103:AU103)</f>
        <v>242729.901</v>
      </c>
      <c r="G20" s="65" t="n">
        <f aca="false">SUM(AV103:BG103)</f>
        <v>136933.242</v>
      </c>
      <c r="H20" s="65" t="n">
        <f aca="false">SUM(BH103:BS103)</f>
        <v>43063.452</v>
      </c>
      <c r="I20" s="65" t="n">
        <f aca="false">SUM(BT103:CE103)</f>
        <v>0</v>
      </c>
      <c r="J20" s="65" t="n">
        <f aca="false">SUM(CF103:CH103)</f>
        <v>0</v>
      </c>
    </row>
    <row r="21" customFormat="false" ht="15" hidden="false" customHeight="true" outlineLevel="0" collapsed="false">
      <c r="A21" s="136" t="s">
        <v>569</v>
      </c>
      <c r="B21" s="137" t="n">
        <f aca="false">C21+D21+E21+F21+G21+H21+I21+J21</f>
        <v>5897638.5</v>
      </c>
      <c r="C21" s="137" t="n">
        <f aca="false">SUM(C104:K104)</f>
        <v>0</v>
      </c>
      <c r="D21" s="137" t="n">
        <f aca="false">SUM(L104:W104)</f>
        <v>516931.494</v>
      </c>
      <c r="E21" s="137" t="n">
        <f aca="false">SUM(X104:AI104)</f>
        <v>2744199.651</v>
      </c>
      <c r="F21" s="137" t="n">
        <f aca="false">SUM(AJ104:AU104)</f>
        <v>1600553.109</v>
      </c>
      <c r="G21" s="137" t="n">
        <f aca="false">SUM(AV104:BG104)</f>
        <v>648383.178</v>
      </c>
      <c r="H21" s="137" t="n">
        <f aca="false">SUM(BH104:BS104)</f>
        <v>387571.068</v>
      </c>
      <c r="I21" s="137" t="n">
        <f aca="false">SUM(BT104:CE104)</f>
        <v>0</v>
      </c>
      <c r="J21" s="137" t="n">
        <f aca="false">SUM(CF104:CH104)</f>
        <v>0</v>
      </c>
    </row>
    <row r="22" customFormat="false" ht="15" hidden="false" customHeight="true" outlineLevel="0" collapsed="false">
      <c r="A22" s="110" t="s">
        <v>570</v>
      </c>
      <c r="B22" s="7" t="n">
        <f aca="false">C22+D22+E22+F22+G22+H22+I22+J22</f>
        <v>2359055.4</v>
      </c>
      <c r="C22" s="65" t="n">
        <f aca="false">SUM(C105:K105)</f>
        <v>0</v>
      </c>
      <c r="D22" s="65" t="n">
        <f aca="false">SUM(L105:W105)</f>
        <v>206772.5976</v>
      </c>
      <c r="E22" s="65" t="n">
        <f aca="false">SUM(X105:AI105)</f>
        <v>1097679.8604</v>
      </c>
      <c r="F22" s="65" t="n">
        <f aca="false">SUM(AJ105:AU105)</f>
        <v>640221.2436</v>
      </c>
      <c r="G22" s="65" t="n">
        <f aca="false">SUM(AV105:BG105)</f>
        <v>259353.2712</v>
      </c>
      <c r="H22" s="65" t="n">
        <f aca="false">SUM(BH105:BS105)</f>
        <v>155028.4272</v>
      </c>
      <c r="I22" s="65" t="n">
        <f aca="false">SUM(BT105:CE105)</f>
        <v>0</v>
      </c>
      <c r="J22" s="65" t="n">
        <f aca="false">SUM(CF105:CH105)</f>
        <v>0</v>
      </c>
    </row>
    <row r="23" customFormat="false" ht="15" hidden="false" customHeight="true" outlineLevel="0" collapsed="false">
      <c r="A23" s="110" t="s">
        <v>571</v>
      </c>
      <c r="B23" s="7" t="n">
        <f aca="false">C23+D23+E23+F23+G23+H23+I23+J23</f>
        <v>3538583.1</v>
      </c>
      <c r="C23" s="65" t="n">
        <f aca="false">SUM(C106:K106)</f>
        <v>0</v>
      </c>
      <c r="D23" s="65" t="n">
        <f aca="false">SUM(L106:W106)</f>
        <v>310158.8964</v>
      </c>
      <c r="E23" s="65" t="n">
        <f aca="false">SUM(X106:AI106)</f>
        <v>1646519.7906</v>
      </c>
      <c r="F23" s="65" t="n">
        <f aca="false">SUM(AJ106:AU106)</f>
        <v>960331.8654</v>
      </c>
      <c r="G23" s="65" t="n">
        <f aca="false">SUM(AV106:BG106)</f>
        <v>389029.9068</v>
      </c>
      <c r="H23" s="65" t="n">
        <f aca="false">SUM(BH106:BS106)</f>
        <v>232542.6408</v>
      </c>
      <c r="I23" s="65" t="n">
        <f aca="false">SUM(BT106:CE106)</f>
        <v>0</v>
      </c>
      <c r="J23" s="65" t="n">
        <f aca="false">SUM(CF106:CH106)</f>
        <v>0</v>
      </c>
    </row>
    <row r="24" customFormat="false" ht="15" hidden="false" customHeight="true" outlineLevel="0" collapsed="false">
      <c r="A24" s="138" t="s">
        <v>572</v>
      </c>
      <c r="B24" s="139" t="n">
        <f aca="false">C24+D24+E24+F24+G24+H24+I24+J24</f>
        <v>4439549.6</v>
      </c>
      <c r="C24" s="139" t="n">
        <f aca="false">SUM(C107:K107)</f>
        <v>0</v>
      </c>
      <c r="D24" s="139" t="n">
        <f aca="false">SUM(L107:W107)</f>
        <v>418597.0624</v>
      </c>
      <c r="E24" s="139" t="n">
        <f aca="false">SUM(X107:AI107)</f>
        <v>2016321.5296</v>
      </c>
      <c r="F24" s="139" t="n">
        <f aca="false">SUM(AJ107:AU107)</f>
        <v>1203061.7664</v>
      </c>
      <c r="G24" s="139" t="n">
        <f aca="false">SUM(AV107:BG107)</f>
        <v>525963.1488</v>
      </c>
      <c r="H24" s="139" t="n">
        <f aca="false">SUM(BH107:BS107)</f>
        <v>275606.0928</v>
      </c>
      <c r="I24" s="139" t="n">
        <f aca="false">SUM(BT107:CE107)</f>
        <v>0</v>
      </c>
      <c r="J24" s="139" t="n">
        <f aca="false">SUM(CF107:CH107)</f>
        <v>0</v>
      </c>
    </row>
    <row r="26" customFormat="false" ht="15" hidden="false" customHeight="true" outlineLevel="0" collapsed="false">
      <c r="A26" s="140" t="s">
        <v>573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</row>
    <row r="27" customFormat="false" ht="15" hidden="false" customHeight="true" outlineLevel="0" collapsed="false">
      <c r="A27" s="141" t="s">
        <v>574</v>
      </c>
      <c r="B27" s="141" t="s">
        <v>575</v>
      </c>
      <c r="C27" s="141" t="s">
        <v>576</v>
      </c>
      <c r="D27" s="141" t="s">
        <v>560</v>
      </c>
      <c r="E27" s="141" t="s">
        <v>577</v>
      </c>
    </row>
    <row r="28" customFormat="false" ht="15" hidden="false" customHeight="true" outlineLevel="0" collapsed="false">
      <c r="A28" s="110" t="s">
        <v>578</v>
      </c>
      <c r="B28" s="133" t="n">
        <v>6</v>
      </c>
      <c r="C28" s="110" t="s">
        <v>579</v>
      </c>
      <c r="D28" s="65" t="n">
        <v>1400000</v>
      </c>
      <c r="E28" s="142" t="s">
        <v>580</v>
      </c>
    </row>
    <row r="29" customFormat="false" ht="15" hidden="false" customHeight="true" outlineLevel="0" collapsed="false">
      <c r="A29" s="110" t="s">
        <v>581</v>
      </c>
      <c r="B29" s="133" t="n">
        <v>18</v>
      </c>
      <c r="C29" s="110" t="s">
        <v>582</v>
      </c>
      <c r="D29" s="65" t="n">
        <v>1400000</v>
      </c>
      <c r="E29" s="142" t="s">
        <v>583</v>
      </c>
    </row>
    <row r="30" customFormat="false" ht="15" hidden="false" customHeight="true" outlineLevel="0" collapsed="false">
      <c r="A30" s="110" t="s">
        <v>584</v>
      </c>
      <c r="B30" s="133" t="n">
        <v>18</v>
      </c>
      <c r="C30" s="110" t="s">
        <v>585</v>
      </c>
      <c r="D30" s="65" t="n">
        <v>1400000</v>
      </c>
      <c r="E30" s="142" t="s">
        <v>586</v>
      </c>
    </row>
    <row r="31" customFormat="false" ht="15" hidden="false" customHeight="true" outlineLevel="0" collapsed="false">
      <c r="A31" s="110" t="s">
        <v>587</v>
      </c>
      <c r="B31" s="133" t="n">
        <v>18</v>
      </c>
      <c r="C31" s="110" t="s">
        <v>588</v>
      </c>
      <c r="D31" s="65" t="n">
        <v>1400000</v>
      </c>
      <c r="E31" s="142" t="s">
        <v>589</v>
      </c>
    </row>
    <row r="32" customFormat="false" ht="15" hidden="false" customHeight="true" outlineLevel="0" collapsed="false">
      <c r="A32" s="141" t="s">
        <v>317</v>
      </c>
      <c r="B32" s="143" t="n">
        <v>60</v>
      </c>
      <c r="C32" s="141" t="s">
        <v>590</v>
      </c>
      <c r="D32" s="144" t="n">
        <v>1400000</v>
      </c>
    </row>
    <row r="34" customFormat="false" ht="15" hidden="false" customHeight="true" outlineLevel="0" collapsed="false">
      <c r="A34" s="145" t="s">
        <v>591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</row>
    <row r="35" customFormat="false" ht="15" hidden="false" customHeight="true" outlineLevel="0" collapsed="false">
      <c r="A35" s="146" t="s">
        <v>592</v>
      </c>
      <c r="B35" s="146" t="s">
        <v>593</v>
      </c>
      <c r="C35" s="146" t="s">
        <v>594</v>
      </c>
      <c r="D35" s="146" t="s">
        <v>595</v>
      </c>
      <c r="E35" s="146" t="s">
        <v>596</v>
      </c>
      <c r="F35" s="146" t="s">
        <v>235</v>
      </c>
    </row>
    <row r="36" customFormat="false" ht="15" hidden="false" customHeight="true" outlineLevel="0" collapsed="false">
      <c r="A36" s="110" t="s">
        <v>597</v>
      </c>
      <c r="B36" s="110" t="s">
        <v>598</v>
      </c>
      <c r="C36" s="110" t="s">
        <v>599</v>
      </c>
      <c r="D36" s="65" t="n">
        <v>14000</v>
      </c>
      <c r="E36" s="65" t="n">
        <v>840000</v>
      </c>
      <c r="F36" s="147" t="s">
        <v>600</v>
      </c>
    </row>
    <row r="37" customFormat="false" ht="15" hidden="false" customHeight="true" outlineLevel="0" collapsed="false">
      <c r="A37" s="110" t="s">
        <v>601</v>
      </c>
      <c r="B37" s="110" t="s">
        <v>602</v>
      </c>
      <c r="C37" s="110" t="s">
        <v>603</v>
      </c>
      <c r="D37" s="65" t="n">
        <v>96563</v>
      </c>
      <c r="E37" s="65" t="n">
        <v>5793808</v>
      </c>
      <c r="F37" s="147" t="s">
        <v>604</v>
      </c>
    </row>
    <row r="38" customFormat="false" ht="15" hidden="false" customHeight="true" outlineLevel="0" collapsed="false">
      <c r="A38" s="110" t="s">
        <v>605</v>
      </c>
      <c r="B38" s="110" t="s">
        <v>606</v>
      </c>
      <c r="C38" s="110" t="s">
        <v>607</v>
      </c>
      <c r="D38" s="65" t="n">
        <v>5400</v>
      </c>
      <c r="E38" s="65" t="n">
        <v>324000</v>
      </c>
      <c r="F38" s="147" t="s">
        <v>608</v>
      </c>
    </row>
    <row r="39" customFormat="false" ht="15" hidden="false" customHeight="true" outlineLevel="0" collapsed="false">
      <c r="A39" s="110" t="s">
        <v>609</v>
      </c>
      <c r="B39" s="110" t="s">
        <v>598</v>
      </c>
      <c r="C39" s="110" t="s">
        <v>610</v>
      </c>
      <c r="D39" s="65" t="n">
        <v>34198</v>
      </c>
      <c r="E39" s="65" t="n">
        <v>2051858</v>
      </c>
      <c r="F39" s="147" t="s">
        <v>611</v>
      </c>
    </row>
    <row r="40" customFormat="false" ht="15" hidden="false" customHeight="true" outlineLevel="0" collapsed="false">
      <c r="A40" s="146" t="s">
        <v>563</v>
      </c>
      <c r="D40" s="148" t="n">
        <v>150161</v>
      </c>
      <c r="E40" s="148" t="n">
        <v>9009665</v>
      </c>
    </row>
    <row r="42" customFormat="false" ht="15" hidden="false" customHeight="true" outlineLevel="0" collapsed="false">
      <c r="A42" s="149" t="s">
        <v>612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</row>
    <row r="43" customFormat="false" ht="15" hidden="false" customHeight="true" outlineLevel="0" collapsed="false">
      <c r="A43" s="150" t="s">
        <v>468</v>
      </c>
      <c r="B43" s="150" t="s">
        <v>613</v>
      </c>
      <c r="C43" s="150" t="s">
        <v>614</v>
      </c>
      <c r="D43" s="150" t="s">
        <v>615</v>
      </c>
      <c r="E43" s="150" t="s">
        <v>616</v>
      </c>
      <c r="F43" s="150" t="s">
        <v>617</v>
      </c>
      <c r="G43" s="150" t="s">
        <v>618</v>
      </c>
    </row>
    <row r="44" customFormat="false" ht="15" hidden="false" customHeight="true" outlineLevel="0" collapsed="false">
      <c r="A44" s="110" t="s">
        <v>619</v>
      </c>
      <c r="B44" s="65" t="n">
        <v>110000</v>
      </c>
      <c r="C44" s="65" t="n">
        <v>9167</v>
      </c>
      <c r="D44" s="110" t="s">
        <v>372</v>
      </c>
      <c r="E44" s="110" t="s">
        <v>620</v>
      </c>
      <c r="F44" s="110" t="n">
        <v>48</v>
      </c>
      <c r="G44" s="65" t="n">
        <v>440016</v>
      </c>
    </row>
    <row r="45" customFormat="false" ht="15" hidden="false" customHeight="true" outlineLevel="0" collapsed="false">
      <c r="A45" s="110" t="s">
        <v>621</v>
      </c>
      <c r="B45" s="65" t="n">
        <v>90000</v>
      </c>
      <c r="C45" s="65" t="n">
        <v>7500</v>
      </c>
      <c r="D45" s="110" t="s">
        <v>372</v>
      </c>
      <c r="E45" s="110" t="s">
        <v>620</v>
      </c>
      <c r="F45" s="110" t="n">
        <v>48</v>
      </c>
      <c r="G45" s="65" t="n">
        <v>360000</v>
      </c>
    </row>
    <row r="46" customFormat="false" ht="15" hidden="false" customHeight="true" outlineLevel="0" collapsed="false">
      <c r="A46" s="110" t="s">
        <v>622</v>
      </c>
      <c r="B46" s="65" t="n">
        <v>125000</v>
      </c>
      <c r="C46" s="65" t="n">
        <v>10417</v>
      </c>
      <c r="D46" s="110" t="s">
        <v>378</v>
      </c>
      <c r="E46" s="110" t="s">
        <v>620</v>
      </c>
      <c r="F46" s="110" t="n">
        <v>42</v>
      </c>
      <c r="G46" s="65" t="n">
        <v>437514</v>
      </c>
    </row>
    <row r="47" customFormat="false" ht="15" hidden="false" customHeight="true" outlineLevel="0" collapsed="false">
      <c r="A47" s="110" t="s">
        <v>623</v>
      </c>
      <c r="B47" s="65" t="n">
        <v>125000</v>
      </c>
      <c r="C47" s="65" t="n">
        <v>10417</v>
      </c>
      <c r="D47" s="110" t="s">
        <v>378</v>
      </c>
      <c r="E47" s="110" t="s">
        <v>620</v>
      </c>
      <c r="F47" s="110" t="n">
        <v>42</v>
      </c>
      <c r="G47" s="65" t="n">
        <v>437514</v>
      </c>
    </row>
    <row r="48" customFormat="false" ht="15" hidden="false" customHeight="true" outlineLevel="0" collapsed="false">
      <c r="A48" s="150" t="s">
        <v>624</v>
      </c>
      <c r="G48" s="151" t="n">
        <v>1675044</v>
      </c>
    </row>
    <row r="50" customFormat="false" ht="15" hidden="false" customHeight="true" outlineLevel="0" collapsed="false">
      <c r="A50" s="152" t="s">
        <v>625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</row>
    <row r="51" customFormat="false" ht="15" hidden="false" customHeight="true" outlineLevel="0" collapsed="false">
      <c r="A51" s="153" t="s">
        <v>626</v>
      </c>
      <c r="B51" s="153" t="s">
        <v>627</v>
      </c>
      <c r="C51" s="153" t="s">
        <v>614</v>
      </c>
      <c r="D51" s="153" t="s">
        <v>628</v>
      </c>
      <c r="E51" s="153" t="s">
        <v>317</v>
      </c>
    </row>
    <row r="52" customFormat="false" ht="15" hidden="false" customHeight="true" outlineLevel="0" collapsed="false">
      <c r="A52" s="110" t="s">
        <v>629</v>
      </c>
      <c r="B52" s="65" t="n">
        <v>40000</v>
      </c>
      <c r="C52" s="65" t="n">
        <v>3333</v>
      </c>
      <c r="D52" s="110" t="n">
        <v>4</v>
      </c>
      <c r="E52" s="65" t="n">
        <v>160000</v>
      </c>
    </row>
    <row r="53" customFormat="false" ht="15" hidden="false" customHeight="true" outlineLevel="0" collapsed="false">
      <c r="A53" s="110" t="s">
        <v>114</v>
      </c>
      <c r="B53" s="65" t="n">
        <v>40000</v>
      </c>
      <c r="C53" s="65" t="n">
        <v>3333</v>
      </c>
      <c r="D53" s="110" t="n">
        <v>4</v>
      </c>
      <c r="E53" s="65" t="n">
        <v>160000</v>
      </c>
    </row>
    <row r="54" customFormat="false" ht="15" hidden="false" customHeight="true" outlineLevel="0" collapsed="false">
      <c r="A54" s="110" t="s">
        <v>630</v>
      </c>
      <c r="B54" s="65" t="n">
        <v>30000</v>
      </c>
      <c r="C54" s="65" t="n">
        <v>2500</v>
      </c>
      <c r="D54" s="110" t="n">
        <v>4</v>
      </c>
      <c r="E54" s="65" t="n">
        <v>120000</v>
      </c>
    </row>
    <row r="55" customFormat="false" ht="15" hidden="false" customHeight="true" outlineLevel="0" collapsed="false">
      <c r="A55" s="110" t="s">
        <v>631</v>
      </c>
      <c r="B55" s="65" t="n">
        <v>24000</v>
      </c>
      <c r="C55" s="65" t="n">
        <v>2000</v>
      </c>
      <c r="D55" s="110" t="n">
        <v>4</v>
      </c>
      <c r="E55" s="65" t="n">
        <v>96000</v>
      </c>
    </row>
    <row r="56" customFormat="false" ht="15" hidden="false" customHeight="true" outlineLevel="0" collapsed="false">
      <c r="A56" s="153" t="s">
        <v>632</v>
      </c>
      <c r="E56" s="154" t="n">
        <v>536000</v>
      </c>
    </row>
    <row r="57" customFormat="false" ht="15" hidden="false" customHeight="true" outlineLevel="0" collapsed="false">
      <c r="A57" s="155" t="s">
        <v>633</v>
      </c>
    </row>
    <row r="59" customFormat="false" ht="15" hidden="false" customHeight="true" outlineLevel="0" collapsed="false">
      <c r="A59" s="156" t="s">
        <v>634</v>
      </c>
      <c r="B59" s="156"/>
      <c r="C59" s="156"/>
      <c r="D59" s="156"/>
      <c r="E59" s="156"/>
      <c r="F59" s="156"/>
      <c r="G59" s="156"/>
      <c r="H59" s="156"/>
      <c r="I59" s="156"/>
      <c r="J59" s="156"/>
      <c r="K59" s="156"/>
    </row>
    <row r="60" customFormat="false" ht="15" hidden="false" customHeight="true" outlineLevel="0" collapsed="false">
      <c r="A60" s="110" t="s">
        <v>635</v>
      </c>
      <c r="B60" s="65" t="n">
        <v>9009665</v>
      </c>
    </row>
    <row r="61" customFormat="false" ht="15" hidden="false" customHeight="true" outlineLevel="0" collapsed="false">
      <c r="A61" s="110" t="s">
        <v>565</v>
      </c>
      <c r="B61" s="65" t="n">
        <v>-1675044</v>
      </c>
    </row>
    <row r="62" customFormat="false" ht="15" hidden="false" customHeight="true" outlineLevel="0" collapsed="false">
      <c r="A62" s="110" t="s">
        <v>566</v>
      </c>
      <c r="B62" s="65" t="n">
        <v>-536000</v>
      </c>
    </row>
    <row r="63" customFormat="false" ht="15" hidden="false" customHeight="true" outlineLevel="0" collapsed="false">
      <c r="A63" s="141" t="s">
        <v>567</v>
      </c>
      <c r="B63" s="144" t="n">
        <v>6798621</v>
      </c>
    </row>
    <row r="64" customFormat="false" ht="15" hidden="false" customHeight="true" outlineLevel="0" collapsed="false">
      <c r="A64" s="110" t="s">
        <v>636</v>
      </c>
      <c r="B64" s="65" t="n">
        <v>-900966.5</v>
      </c>
    </row>
    <row r="65" customFormat="false" ht="15" hidden="false" customHeight="true" outlineLevel="0" collapsed="false">
      <c r="A65" s="141" t="s">
        <v>569</v>
      </c>
      <c r="B65" s="144" t="n">
        <v>5897654.5</v>
      </c>
    </row>
    <row r="66" customFormat="false" ht="15" hidden="false" customHeight="true" outlineLevel="0" collapsed="false">
      <c r="A66" s="110" t="s">
        <v>637</v>
      </c>
      <c r="B66" s="65" t="n">
        <v>-2359061.8</v>
      </c>
    </row>
    <row r="67" customFormat="false" ht="15" hidden="false" customHeight="true" outlineLevel="0" collapsed="false">
      <c r="A67" s="141" t="s">
        <v>571</v>
      </c>
      <c r="B67" s="144" t="n">
        <v>3538592.7</v>
      </c>
    </row>
    <row r="68" customFormat="false" ht="15" hidden="false" customHeight="true" outlineLevel="0" collapsed="false">
      <c r="A68" s="110" t="s">
        <v>568</v>
      </c>
      <c r="B68" s="65" t="n">
        <v>900966.5</v>
      </c>
    </row>
    <row r="69" customFormat="false" ht="15" hidden="false" customHeight="true" outlineLevel="0" collapsed="false">
      <c r="A69" s="141" t="s">
        <v>572</v>
      </c>
      <c r="B69" s="144" t="n">
        <v>4439559.2</v>
      </c>
    </row>
    <row r="71" customFormat="false" ht="15" hidden="false" customHeight="true" outlineLevel="0" collapsed="false">
      <c r="A71" s="145" t="s">
        <v>638</v>
      </c>
      <c r="B71" s="145"/>
      <c r="C71" s="145"/>
      <c r="D71" s="145"/>
      <c r="E71" s="145"/>
      <c r="F71" s="145"/>
      <c r="G71" s="145"/>
      <c r="H71" s="145"/>
      <c r="I71" s="145"/>
      <c r="J71" s="145"/>
      <c r="K71" s="145"/>
    </row>
    <row r="72" customFormat="false" ht="15" hidden="false" customHeight="true" outlineLevel="0" collapsed="false">
      <c r="A72" s="146" t="s">
        <v>467</v>
      </c>
      <c r="B72" s="146" t="s">
        <v>468</v>
      </c>
      <c r="C72" s="146" t="s">
        <v>639</v>
      </c>
    </row>
    <row r="73" customFormat="false" ht="31.5" hidden="false" customHeight="true" outlineLevel="0" collapsed="false">
      <c r="A73" s="6" t="s">
        <v>513</v>
      </c>
      <c r="B73" s="110" t="s">
        <v>640</v>
      </c>
      <c r="C73" s="157" t="s">
        <v>641</v>
      </c>
      <c r="D73" s="157"/>
      <c r="E73" s="157"/>
      <c r="F73" s="157"/>
      <c r="G73" s="157"/>
    </row>
    <row r="74" customFormat="false" ht="31.5" hidden="false" customHeight="true" outlineLevel="0" collapsed="false">
      <c r="A74" s="6" t="s">
        <v>507</v>
      </c>
      <c r="B74" s="110" t="s">
        <v>642</v>
      </c>
      <c r="C74" s="157" t="s">
        <v>643</v>
      </c>
      <c r="D74" s="157"/>
      <c r="E74" s="157"/>
      <c r="F74" s="157"/>
      <c r="G74" s="157"/>
    </row>
    <row r="75" customFormat="false" ht="31.5" hidden="false" customHeight="true" outlineLevel="0" collapsed="false">
      <c r="A75" s="6" t="s">
        <v>515</v>
      </c>
      <c r="B75" s="110" t="s">
        <v>644</v>
      </c>
      <c r="C75" s="157" t="s">
        <v>645</v>
      </c>
      <c r="D75" s="157"/>
      <c r="E75" s="157"/>
      <c r="F75" s="157"/>
      <c r="G75" s="157"/>
    </row>
    <row r="76" customFormat="false" ht="31.5" hidden="false" customHeight="true" outlineLevel="0" collapsed="false">
      <c r="A76" s="6" t="s">
        <v>519</v>
      </c>
      <c r="B76" s="110" t="s">
        <v>646</v>
      </c>
      <c r="C76" s="157" t="s">
        <v>647</v>
      </c>
      <c r="D76" s="157"/>
      <c r="E76" s="157"/>
      <c r="F76" s="157"/>
      <c r="G76" s="157"/>
    </row>
    <row r="77" customFormat="false" ht="31.5" hidden="false" customHeight="true" outlineLevel="0" collapsed="false">
      <c r="A77" s="6" t="s">
        <v>517</v>
      </c>
      <c r="B77" s="110" t="s">
        <v>646</v>
      </c>
      <c r="C77" s="157" t="s">
        <v>648</v>
      </c>
      <c r="D77" s="157"/>
      <c r="E77" s="157"/>
      <c r="F77" s="157"/>
      <c r="G77" s="157"/>
    </row>
    <row r="78" customFormat="false" ht="31.5" hidden="false" customHeight="true" outlineLevel="0" collapsed="false">
      <c r="A78" s="6" t="s">
        <v>511</v>
      </c>
      <c r="B78" s="110" t="s">
        <v>649</v>
      </c>
      <c r="C78" s="157" t="s">
        <v>650</v>
      </c>
      <c r="D78" s="157"/>
      <c r="E78" s="157"/>
      <c r="F78" s="157"/>
      <c r="G78" s="157"/>
    </row>
    <row r="80" customFormat="false" ht="15" hidden="false" customHeight="true" outlineLevel="0" collapsed="false">
      <c r="A80" s="158" t="s">
        <v>651</v>
      </c>
      <c r="B80" s="158"/>
      <c r="C80" s="158"/>
      <c r="D80" s="158"/>
      <c r="E80" s="158"/>
      <c r="F80" s="158"/>
      <c r="G80" s="158"/>
      <c r="H80" s="158"/>
      <c r="I80" s="158"/>
      <c r="J80" s="158"/>
      <c r="K80" s="158"/>
    </row>
    <row r="81" customFormat="false" ht="27.75" hidden="false" customHeight="true" outlineLevel="0" collapsed="false">
      <c r="A81" s="6" t="s">
        <v>652</v>
      </c>
      <c r="B81" s="157" t="s">
        <v>653</v>
      </c>
      <c r="C81" s="157"/>
      <c r="D81" s="157"/>
      <c r="E81" s="157"/>
      <c r="F81" s="157"/>
      <c r="G81" s="157"/>
    </row>
    <row r="82" customFormat="false" ht="27.75" hidden="false" customHeight="true" outlineLevel="0" collapsed="false">
      <c r="A82" s="6" t="s">
        <v>654</v>
      </c>
      <c r="B82" s="157" t="s">
        <v>655</v>
      </c>
      <c r="C82" s="157"/>
      <c r="D82" s="157"/>
      <c r="E82" s="157"/>
      <c r="F82" s="157"/>
      <c r="G82" s="157"/>
    </row>
    <row r="83" customFormat="false" ht="27.75" hidden="false" customHeight="true" outlineLevel="0" collapsed="false">
      <c r="A83" s="6" t="s">
        <v>656</v>
      </c>
      <c r="B83" s="157" t="s">
        <v>657</v>
      </c>
      <c r="C83" s="157"/>
      <c r="D83" s="157"/>
      <c r="E83" s="157"/>
      <c r="F83" s="157"/>
      <c r="G83" s="157"/>
    </row>
    <row r="84" customFormat="false" ht="27.75" hidden="false" customHeight="true" outlineLevel="0" collapsed="false">
      <c r="A84" s="6" t="s">
        <v>658</v>
      </c>
      <c r="B84" s="157" t="s">
        <v>659</v>
      </c>
      <c r="C84" s="157"/>
      <c r="D84" s="157"/>
      <c r="E84" s="157"/>
      <c r="F84" s="157"/>
      <c r="G84" s="157"/>
    </row>
    <row r="85" customFormat="false" ht="27.75" hidden="false" customHeight="true" outlineLevel="0" collapsed="false">
      <c r="A85" s="6" t="s">
        <v>660</v>
      </c>
      <c r="B85" s="157" t="s">
        <v>661</v>
      </c>
      <c r="C85" s="157"/>
      <c r="D85" s="157"/>
      <c r="E85" s="157"/>
      <c r="F85" s="157"/>
      <c r="G85" s="157"/>
    </row>
    <row r="86" customFormat="false" ht="27.75" hidden="false" customHeight="true" outlineLevel="0" collapsed="false">
      <c r="A86" s="6" t="s">
        <v>662</v>
      </c>
      <c r="B86" s="157" t="s">
        <v>663</v>
      </c>
      <c r="C86" s="157"/>
      <c r="D86" s="157"/>
      <c r="E86" s="157"/>
      <c r="F86" s="157"/>
      <c r="G86" s="157"/>
    </row>
    <row r="87" customFormat="false" ht="27.75" hidden="false" customHeight="true" outlineLevel="0" collapsed="false">
      <c r="A87" s="6" t="s">
        <v>664</v>
      </c>
      <c r="B87" s="157" t="s">
        <v>665</v>
      </c>
      <c r="C87" s="157"/>
      <c r="D87" s="157"/>
      <c r="E87" s="157"/>
      <c r="F87" s="157"/>
      <c r="G87" s="157"/>
    </row>
    <row r="88" customFormat="false" ht="27.75" hidden="false" customHeight="true" outlineLevel="0" collapsed="false">
      <c r="A88" s="6" t="s">
        <v>666</v>
      </c>
      <c r="B88" s="157" t="s">
        <v>667</v>
      </c>
      <c r="C88" s="157"/>
      <c r="D88" s="157"/>
      <c r="E88" s="157"/>
      <c r="F88" s="157"/>
      <c r="G88" s="157"/>
    </row>
    <row r="89" customFormat="false" ht="27.75" hidden="false" customHeight="true" outlineLevel="0" collapsed="false">
      <c r="A89" s="6" t="s">
        <v>668</v>
      </c>
      <c r="B89" s="157" t="s">
        <v>669</v>
      </c>
      <c r="C89" s="157"/>
      <c r="D89" s="157"/>
      <c r="E89" s="157"/>
      <c r="F89" s="157"/>
      <c r="G89" s="157"/>
    </row>
    <row r="90" customFormat="false" ht="27.75" hidden="false" customHeight="true" outlineLevel="0" collapsed="false">
      <c r="A90" s="6" t="s">
        <v>670</v>
      </c>
      <c r="B90" s="157" t="s">
        <v>671</v>
      </c>
      <c r="C90" s="157"/>
      <c r="D90" s="157"/>
      <c r="E90" s="157"/>
      <c r="F90" s="157"/>
      <c r="G90" s="157"/>
    </row>
    <row r="93" customFormat="false" ht="15" hidden="false" customHeight="true" outlineLevel="0" collapsed="false">
      <c r="A93" s="140" t="s">
        <v>672</v>
      </c>
      <c r="B93" s="140"/>
      <c r="C93" s="140"/>
      <c r="D93" s="140"/>
      <c r="E93" s="140"/>
      <c r="F93" s="140"/>
      <c r="G93" s="140"/>
      <c r="H93" s="140"/>
      <c r="I93" s="140"/>
      <c r="J93" s="140"/>
      <c r="K93" s="140"/>
    </row>
    <row r="94" customFormat="false" ht="15" hidden="false" customHeight="true" outlineLevel="0" collapsed="false">
      <c r="A94" s="110" t="s">
        <v>673</v>
      </c>
      <c r="B94" s="159" t="n">
        <v>0.1</v>
      </c>
    </row>
    <row r="95" customFormat="false" ht="15" hidden="false" customHeight="true" outlineLevel="0" collapsed="false">
      <c r="A95" s="110" t="s">
        <v>674</v>
      </c>
      <c r="B95" s="159" t="n">
        <v>0.4</v>
      </c>
    </row>
    <row r="97" customFormat="false" ht="15" hidden="false" customHeight="true" outlineLevel="0" collapsed="false">
      <c r="A97" s="160" t="s">
        <v>675</v>
      </c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A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A97" s="161"/>
      <c r="CB97" s="161"/>
      <c r="CC97" s="161"/>
      <c r="CD97" s="161"/>
      <c r="CE97" s="161"/>
      <c r="CF97" s="161"/>
      <c r="CG97" s="161"/>
      <c r="CH97" s="161"/>
    </row>
    <row r="98" customFormat="false" ht="15" hidden="false" customHeight="true" outlineLevel="0" collapsed="false">
      <c r="A98" s="161"/>
      <c r="B98" s="162" t="s">
        <v>317</v>
      </c>
      <c r="C98" s="163" t="n">
        <v>1</v>
      </c>
      <c r="D98" s="163" t="n">
        <v>2</v>
      </c>
      <c r="E98" s="163" t="n">
        <v>3</v>
      </c>
      <c r="F98" s="163" t="n">
        <v>4</v>
      </c>
      <c r="G98" s="163" t="n">
        <v>5</v>
      </c>
      <c r="H98" s="163" t="n">
        <v>6</v>
      </c>
      <c r="I98" s="163" t="n">
        <v>7</v>
      </c>
      <c r="J98" s="163" t="n">
        <v>8</v>
      </c>
      <c r="K98" s="163" t="n">
        <v>9</v>
      </c>
      <c r="L98" s="163" t="n">
        <v>10</v>
      </c>
      <c r="M98" s="163" t="n">
        <v>11</v>
      </c>
      <c r="N98" s="163" t="n">
        <v>12</v>
      </c>
      <c r="O98" s="163" t="n">
        <v>13</v>
      </c>
      <c r="P98" s="163" t="n">
        <v>14</v>
      </c>
      <c r="Q98" s="163" t="n">
        <v>15</v>
      </c>
      <c r="R98" s="163" t="n">
        <v>16</v>
      </c>
      <c r="S98" s="163" t="n">
        <v>17</v>
      </c>
      <c r="T98" s="163" t="n">
        <v>18</v>
      </c>
      <c r="U98" s="163" t="n">
        <v>19</v>
      </c>
      <c r="V98" s="163" t="n">
        <v>20</v>
      </c>
      <c r="W98" s="163" t="n">
        <v>21</v>
      </c>
      <c r="X98" s="163" t="n">
        <v>22</v>
      </c>
      <c r="Y98" s="163" t="n">
        <v>23</v>
      </c>
      <c r="Z98" s="163" t="n">
        <v>24</v>
      </c>
      <c r="AA98" s="163" t="n">
        <v>25</v>
      </c>
      <c r="AB98" s="163" t="n">
        <v>26</v>
      </c>
      <c r="AC98" s="163" t="n">
        <v>27</v>
      </c>
      <c r="AD98" s="163" t="n">
        <v>28</v>
      </c>
      <c r="AE98" s="163" t="n">
        <v>29</v>
      </c>
      <c r="AF98" s="163" t="n">
        <v>30</v>
      </c>
      <c r="AG98" s="163" t="n">
        <v>31</v>
      </c>
      <c r="AH98" s="163" t="n">
        <v>32</v>
      </c>
      <c r="AI98" s="163" t="n">
        <v>33</v>
      </c>
      <c r="AJ98" s="163" t="n">
        <v>34</v>
      </c>
      <c r="AK98" s="163" t="n">
        <v>35</v>
      </c>
      <c r="AL98" s="163" t="n">
        <v>36</v>
      </c>
      <c r="AM98" s="163" t="n">
        <v>37</v>
      </c>
      <c r="AN98" s="163" t="n">
        <v>38</v>
      </c>
      <c r="AO98" s="163" t="n">
        <v>39</v>
      </c>
      <c r="AP98" s="163" t="n">
        <v>40</v>
      </c>
      <c r="AQ98" s="163" t="n">
        <v>41</v>
      </c>
      <c r="AR98" s="163" t="n">
        <v>42</v>
      </c>
      <c r="AS98" s="163" t="n">
        <v>43</v>
      </c>
      <c r="AT98" s="163" t="n">
        <v>44</v>
      </c>
      <c r="AU98" s="163" t="n">
        <v>45</v>
      </c>
      <c r="AV98" s="163" t="n">
        <v>46</v>
      </c>
      <c r="AW98" s="163" t="n">
        <v>47</v>
      </c>
      <c r="AX98" s="163" t="n">
        <v>48</v>
      </c>
      <c r="AY98" s="163" t="n">
        <v>49</v>
      </c>
      <c r="AZ98" s="163" t="n">
        <v>50</v>
      </c>
      <c r="BA98" s="163" t="n">
        <v>51</v>
      </c>
      <c r="BB98" s="163" t="n">
        <v>52</v>
      </c>
      <c r="BC98" s="163" t="n">
        <v>53</v>
      </c>
      <c r="BD98" s="163" t="n">
        <v>54</v>
      </c>
      <c r="BE98" s="163" t="n">
        <v>55</v>
      </c>
      <c r="BF98" s="163" t="n">
        <v>56</v>
      </c>
      <c r="BG98" s="163" t="n">
        <v>57</v>
      </c>
      <c r="BH98" s="163" t="n">
        <v>58</v>
      </c>
      <c r="BI98" s="163" t="n">
        <v>59</v>
      </c>
      <c r="BJ98" s="163" t="n">
        <v>60</v>
      </c>
      <c r="BK98" s="163" t="n">
        <v>61</v>
      </c>
      <c r="BL98" s="163" t="n">
        <v>62</v>
      </c>
      <c r="BM98" s="163" t="n">
        <v>63</v>
      </c>
      <c r="BN98" s="163" t="n">
        <v>64</v>
      </c>
      <c r="BO98" s="163" t="n">
        <v>65</v>
      </c>
      <c r="BP98" s="163" t="n">
        <v>66</v>
      </c>
      <c r="BQ98" s="163" t="n">
        <v>67</v>
      </c>
      <c r="BR98" s="163" t="n">
        <v>68</v>
      </c>
      <c r="BS98" s="163" t="n">
        <v>69</v>
      </c>
      <c r="BT98" s="163" t="n">
        <v>70</v>
      </c>
      <c r="BU98" s="163" t="n">
        <v>71</v>
      </c>
      <c r="BV98" s="163" t="n">
        <v>72</v>
      </c>
      <c r="BW98" s="163" t="n">
        <v>73</v>
      </c>
      <c r="BX98" s="163" t="n">
        <v>74</v>
      </c>
      <c r="BY98" s="163" t="n">
        <v>75</v>
      </c>
      <c r="BZ98" s="163" t="n">
        <v>76</v>
      </c>
      <c r="CA98" s="163" t="n">
        <v>77</v>
      </c>
      <c r="CB98" s="163" t="n">
        <v>78</v>
      </c>
      <c r="CC98" s="163" t="n">
        <v>79</v>
      </c>
      <c r="CD98" s="163" t="n">
        <v>80</v>
      </c>
      <c r="CE98" s="163" t="n">
        <v>81</v>
      </c>
      <c r="CF98" s="163" t="n">
        <v>82</v>
      </c>
      <c r="CG98" s="163" t="n">
        <v>83</v>
      </c>
      <c r="CH98" s="163" t="n">
        <v>84</v>
      </c>
    </row>
    <row r="99" customFormat="false" ht="15" hidden="false" customHeight="true" outlineLevel="0" collapsed="false">
      <c r="A99" s="163" t="s">
        <v>563</v>
      </c>
      <c r="B99" s="164" t="n">
        <f aca="false">SUM(C99:CH99)</f>
        <v>9009665</v>
      </c>
      <c r="C99" s="161"/>
      <c r="D99" s="161"/>
      <c r="E99" s="161"/>
      <c r="F99" s="161"/>
      <c r="G99" s="161"/>
      <c r="H99" s="161"/>
      <c r="I99" s="161"/>
      <c r="J99" s="161"/>
      <c r="K99" s="161"/>
      <c r="L99" s="165" t="n">
        <v>45050.36</v>
      </c>
      <c r="M99" s="165" t="n">
        <v>45050.36</v>
      </c>
      <c r="N99" s="165" t="n">
        <v>45050.36</v>
      </c>
      <c r="O99" s="165" t="n">
        <v>45050.36</v>
      </c>
      <c r="P99" s="165" t="n">
        <v>45050.36</v>
      </c>
      <c r="Q99" s="165" t="n">
        <v>45050.36</v>
      </c>
      <c r="R99" s="165" t="n">
        <v>70944.52</v>
      </c>
      <c r="S99" s="165" t="n">
        <v>96838.68</v>
      </c>
      <c r="T99" s="165" t="n">
        <v>122732.84</v>
      </c>
      <c r="U99" s="165" t="n">
        <v>148626.99</v>
      </c>
      <c r="V99" s="165" t="n">
        <v>174521.16</v>
      </c>
      <c r="W99" s="165" t="n">
        <v>200415.31</v>
      </c>
      <c r="X99" s="165" t="n">
        <v>226309.46</v>
      </c>
      <c r="Y99" s="165" t="n">
        <v>252203.62</v>
      </c>
      <c r="Z99" s="165" t="n">
        <v>278097.79</v>
      </c>
      <c r="AA99" s="165" t="n">
        <v>303991.94</v>
      </c>
      <c r="AB99" s="165" t="n">
        <v>329886.11</v>
      </c>
      <c r="AC99" s="165" t="n">
        <v>400830.61</v>
      </c>
      <c r="AD99" s="165" t="n">
        <v>311512.01</v>
      </c>
      <c r="AE99" s="165" t="n">
        <v>312294.13</v>
      </c>
      <c r="AF99" s="165" t="n">
        <v>313076.23</v>
      </c>
      <c r="AG99" s="165" t="n">
        <v>313858.34</v>
      </c>
      <c r="AH99" s="165" t="n">
        <v>314640.44</v>
      </c>
      <c r="AI99" s="165" t="n">
        <v>341316.71</v>
      </c>
      <c r="AJ99" s="165" t="n">
        <v>316204.67</v>
      </c>
      <c r="AK99" s="165" t="n">
        <v>291092.62</v>
      </c>
      <c r="AL99" s="165" t="n">
        <v>265980.57</v>
      </c>
      <c r="AM99" s="165" t="n">
        <v>240868.51</v>
      </c>
      <c r="AN99" s="165" t="n">
        <v>215756.47</v>
      </c>
      <c r="AO99" s="165" t="n">
        <v>190644.42</v>
      </c>
      <c r="AP99" s="165" t="n">
        <v>165532.36</v>
      </c>
      <c r="AQ99" s="165" t="n">
        <v>140420.32</v>
      </c>
      <c r="AR99" s="165" t="n">
        <v>115308.27</v>
      </c>
      <c r="AS99" s="165" t="n">
        <v>196095.1</v>
      </c>
      <c r="AT99" s="165" t="n">
        <v>170200.95</v>
      </c>
      <c r="AU99" s="165" t="n">
        <v>119194.75</v>
      </c>
      <c r="AV99" s="165" t="n">
        <v>118412.64</v>
      </c>
      <c r="AW99" s="165" t="n">
        <v>117630.52</v>
      </c>
      <c r="AX99" s="165" t="n">
        <v>116848.42</v>
      </c>
      <c r="AY99" s="165" t="n">
        <v>116066.31</v>
      </c>
      <c r="AZ99" s="165" t="n">
        <v>115284.2</v>
      </c>
      <c r="BA99" s="165" t="n">
        <v>114502.09</v>
      </c>
      <c r="BB99" s="165" t="n">
        <v>113719.98</v>
      </c>
      <c r="BC99" s="165" t="n">
        <v>112937.87</v>
      </c>
      <c r="BD99" s="165" t="n">
        <v>112155.76</v>
      </c>
      <c r="BE99" s="165" t="n">
        <v>111373.65</v>
      </c>
      <c r="BF99" s="165" t="n">
        <v>110591.54</v>
      </c>
      <c r="BG99" s="165" t="n">
        <v>109809.44</v>
      </c>
      <c r="BH99" s="165" t="n">
        <v>109027.32</v>
      </c>
      <c r="BI99" s="165" t="n">
        <v>108245.21</v>
      </c>
      <c r="BJ99" s="165" t="n">
        <v>213361.99</v>
      </c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A99" s="161"/>
      <c r="CB99" s="161"/>
      <c r="CC99" s="161"/>
      <c r="CD99" s="161"/>
      <c r="CE99" s="161"/>
      <c r="CF99" s="161"/>
      <c r="CG99" s="161"/>
      <c r="CH99" s="161"/>
    </row>
    <row r="100" customFormat="false" ht="15" hidden="false" customHeight="true" outlineLevel="0" collapsed="false">
      <c r="A100" s="163" t="s">
        <v>565</v>
      </c>
      <c r="B100" s="164" t="n">
        <f aca="false">SUM(C100:CH100)</f>
        <v>-1675044</v>
      </c>
      <c r="C100" s="161"/>
      <c r="D100" s="161"/>
      <c r="E100" s="161"/>
      <c r="F100" s="161"/>
      <c r="G100" s="161"/>
      <c r="H100" s="161"/>
      <c r="I100" s="161"/>
      <c r="J100" s="161"/>
      <c r="K100" s="161"/>
      <c r="L100" s="165" t="n">
        <v>-16667</v>
      </c>
      <c r="M100" s="165" t="n">
        <v>-16667</v>
      </c>
      <c r="N100" s="165" t="n">
        <v>-16667</v>
      </c>
      <c r="O100" s="165" t="n">
        <v>-16667</v>
      </c>
      <c r="P100" s="165" t="n">
        <v>-16667</v>
      </c>
      <c r="Q100" s="165" t="n">
        <v>-16667</v>
      </c>
      <c r="R100" s="165" t="n">
        <v>-37501</v>
      </c>
      <c r="S100" s="165" t="n">
        <v>-37501</v>
      </c>
      <c r="T100" s="165" t="n">
        <v>-37501</v>
      </c>
      <c r="U100" s="165" t="n">
        <v>-37501</v>
      </c>
      <c r="V100" s="165" t="n">
        <v>-37501</v>
      </c>
      <c r="W100" s="165" t="n">
        <v>-37501</v>
      </c>
      <c r="X100" s="165" t="n">
        <v>-37501</v>
      </c>
      <c r="Y100" s="165" t="n">
        <v>-37501</v>
      </c>
      <c r="Z100" s="165" t="n">
        <v>-37501</v>
      </c>
      <c r="AA100" s="165" t="n">
        <v>-37501</v>
      </c>
      <c r="AB100" s="165" t="n">
        <v>-37501</v>
      </c>
      <c r="AC100" s="165" t="n">
        <v>-37501</v>
      </c>
      <c r="AD100" s="165" t="n">
        <v>-37501</v>
      </c>
      <c r="AE100" s="165" t="n">
        <v>-37501</v>
      </c>
      <c r="AF100" s="165" t="n">
        <v>-37501</v>
      </c>
      <c r="AG100" s="165" t="n">
        <v>-37501</v>
      </c>
      <c r="AH100" s="165" t="n">
        <v>-37501</v>
      </c>
      <c r="AI100" s="165" t="n">
        <v>-37501</v>
      </c>
      <c r="AJ100" s="165" t="n">
        <v>-37501</v>
      </c>
      <c r="AK100" s="165" t="n">
        <v>-37501</v>
      </c>
      <c r="AL100" s="165" t="n">
        <v>-37501</v>
      </c>
      <c r="AM100" s="165" t="n">
        <v>-37501</v>
      </c>
      <c r="AN100" s="165" t="n">
        <v>-37501</v>
      </c>
      <c r="AO100" s="165" t="n">
        <v>-37501</v>
      </c>
      <c r="AP100" s="165" t="n">
        <v>-37501</v>
      </c>
      <c r="AQ100" s="165" t="n">
        <v>-37501</v>
      </c>
      <c r="AR100" s="165" t="n">
        <v>-37501</v>
      </c>
      <c r="AS100" s="165" t="n">
        <v>-37501</v>
      </c>
      <c r="AT100" s="165" t="n">
        <v>-37501</v>
      </c>
      <c r="AU100" s="165" t="n">
        <v>-37501</v>
      </c>
      <c r="AV100" s="165" t="n">
        <v>-37501</v>
      </c>
      <c r="AW100" s="165" t="n">
        <v>-37501</v>
      </c>
      <c r="AX100" s="165" t="n">
        <v>-37501</v>
      </c>
      <c r="AY100" s="165" t="n">
        <v>-37501</v>
      </c>
      <c r="AZ100" s="165" t="n">
        <v>-37501</v>
      </c>
      <c r="BA100" s="165" t="n">
        <v>-37501</v>
      </c>
      <c r="BB100" s="165" t="n">
        <v>-37501</v>
      </c>
      <c r="BC100" s="165" t="n">
        <v>-37501</v>
      </c>
      <c r="BD100" s="165" t="n">
        <v>-37501</v>
      </c>
      <c r="BE100" s="165" t="n">
        <v>-37501</v>
      </c>
      <c r="BF100" s="165" t="n">
        <v>-37501</v>
      </c>
      <c r="BG100" s="165" t="n">
        <v>-37501</v>
      </c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61"/>
      <c r="BT100" s="161"/>
      <c r="BU100" s="161"/>
      <c r="BV100" s="161"/>
      <c r="BW100" s="161"/>
      <c r="BX100" s="161"/>
      <c r="BY100" s="161"/>
      <c r="BZ100" s="161"/>
      <c r="CA100" s="161"/>
      <c r="CB100" s="161"/>
      <c r="CC100" s="161"/>
      <c r="CD100" s="161"/>
      <c r="CE100" s="161"/>
      <c r="CF100" s="161"/>
      <c r="CG100" s="161"/>
      <c r="CH100" s="161"/>
    </row>
    <row r="101" customFormat="false" ht="15" hidden="false" customHeight="true" outlineLevel="0" collapsed="false">
      <c r="A101" s="163" t="s">
        <v>566</v>
      </c>
      <c r="B101" s="164" t="n">
        <f aca="false">SUM(C101:CH101)</f>
        <v>-536016</v>
      </c>
      <c r="C101" s="161"/>
      <c r="D101" s="161"/>
      <c r="E101" s="161"/>
      <c r="F101" s="161"/>
      <c r="G101" s="161"/>
      <c r="H101" s="161"/>
      <c r="I101" s="161"/>
      <c r="J101" s="161"/>
      <c r="K101" s="161"/>
      <c r="L101" s="165" t="n">
        <v>-11167</v>
      </c>
      <c r="M101" s="165" t="n">
        <v>-11167</v>
      </c>
      <c r="N101" s="165" t="n">
        <v>-11167</v>
      </c>
      <c r="O101" s="165" t="n">
        <v>-11167</v>
      </c>
      <c r="P101" s="165" t="n">
        <v>-11167</v>
      </c>
      <c r="Q101" s="165" t="n">
        <v>-11167</v>
      </c>
      <c r="R101" s="165" t="n">
        <v>-11167</v>
      </c>
      <c r="S101" s="165" t="n">
        <v>-11167</v>
      </c>
      <c r="T101" s="165" t="n">
        <v>-11167</v>
      </c>
      <c r="U101" s="165" t="n">
        <v>-11167</v>
      </c>
      <c r="V101" s="165" t="n">
        <v>-11167</v>
      </c>
      <c r="W101" s="165" t="n">
        <v>-11167</v>
      </c>
      <c r="X101" s="165" t="n">
        <v>-11167</v>
      </c>
      <c r="Y101" s="165" t="n">
        <v>-11167</v>
      </c>
      <c r="Z101" s="165" t="n">
        <v>-11167</v>
      </c>
      <c r="AA101" s="165" t="n">
        <v>-11167</v>
      </c>
      <c r="AB101" s="165" t="n">
        <v>-11167</v>
      </c>
      <c r="AC101" s="165" t="n">
        <v>-11167</v>
      </c>
      <c r="AD101" s="165" t="n">
        <v>-11167</v>
      </c>
      <c r="AE101" s="165" t="n">
        <v>-11167</v>
      </c>
      <c r="AF101" s="165" t="n">
        <v>-11167</v>
      </c>
      <c r="AG101" s="165" t="n">
        <v>-11167</v>
      </c>
      <c r="AH101" s="165" t="n">
        <v>-11167</v>
      </c>
      <c r="AI101" s="165" t="n">
        <v>-11167</v>
      </c>
      <c r="AJ101" s="165" t="n">
        <v>-11167</v>
      </c>
      <c r="AK101" s="165" t="n">
        <v>-11167</v>
      </c>
      <c r="AL101" s="165" t="n">
        <v>-11167</v>
      </c>
      <c r="AM101" s="165" t="n">
        <v>-11167</v>
      </c>
      <c r="AN101" s="165" t="n">
        <v>-11167</v>
      </c>
      <c r="AO101" s="165" t="n">
        <v>-11167</v>
      </c>
      <c r="AP101" s="165" t="n">
        <v>-11167</v>
      </c>
      <c r="AQ101" s="165" t="n">
        <v>-11167</v>
      </c>
      <c r="AR101" s="165" t="n">
        <v>-11167</v>
      </c>
      <c r="AS101" s="165" t="n">
        <v>-11167</v>
      </c>
      <c r="AT101" s="165" t="n">
        <v>-11167</v>
      </c>
      <c r="AU101" s="165" t="n">
        <v>-11167</v>
      </c>
      <c r="AV101" s="165" t="n">
        <v>-11167</v>
      </c>
      <c r="AW101" s="165" t="n">
        <v>-11167</v>
      </c>
      <c r="AX101" s="165" t="n">
        <v>-11167</v>
      </c>
      <c r="AY101" s="165" t="n">
        <v>-11167</v>
      </c>
      <c r="AZ101" s="165" t="n">
        <v>-11167</v>
      </c>
      <c r="BA101" s="165" t="n">
        <v>-11167</v>
      </c>
      <c r="BB101" s="165" t="n">
        <v>-11167</v>
      </c>
      <c r="BC101" s="165" t="n">
        <v>-11167</v>
      </c>
      <c r="BD101" s="165" t="n">
        <v>-11167</v>
      </c>
      <c r="BE101" s="165" t="n">
        <v>-11167</v>
      </c>
      <c r="BF101" s="165" t="n">
        <v>-11167</v>
      </c>
      <c r="BG101" s="165" t="n">
        <v>-11167</v>
      </c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A101" s="161"/>
      <c r="CB101" s="161"/>
      <c r="CC101" s="161"/>
      <c r="CD101" s="161"/>
      <c r="CE101" s="161"/>
      <c r="CF101" s="161"/>
      <c r="CG101" s="161"/>
      <c r="CH101" s="161"/>
    </row>
    <row r="102" customFormat="false" ht="15" hidden="false" customHeight="true" outlineLevel="0" collapsed="false">
      <c r="A102" s="163" t="s">
        <v>567</v>
      </c>
      <c r="B102" s="164" t="n">
        <f aca="false">SUM(C102:CH102)</f>
        <v>6798605</v>
      </c>
      <c r="C102" s="166" t="n">
        <f aca="false">C99+C100+C101</f>
        <v>0</v>
      </c>
      <c r="D102" s="166" t="n">
        <f aca="false">D99+D100+D101</f>
        <v>0</v>
      </c>
      <c r="E102" s="166" t="n">
        <f aca="false">E99+E100+E101</f>
        <v>0</v>
      </c>
      <c r="F102" s="166" t="n">
        <f aca="false">F99+F100+F101</f>
        <v>0</v>
      </c>
      <c r="G102" s="166" t="n">
        <f aca="false">G99+G100+G101</f>
        <v>0</v>
      </c>
      <c r="H102" s="166" t="n">
        <f aca="false">H99+H100+H101</f>
        <v>0</v>
      </c>
      <c r="I102" s="166" t="n">
        <f aca="false">I99+I100+I101</f>
        <v>0</v>
      </c>
      <c r="J102" s="166" t="n">
        <f aca="false">J99+J100+J101</f>
        <v>0</v>
      </c>
      <c r="K102" s="166" t="n">
        <f aca="false">K99+K100+K101</f>
        <v>0</v>
      </c>
      <c r="L102" s="166" t="n">
        <f aca="false">L99+L100+L101</f>
        <v>17216.36</v>
      </c>
      <c r="M102" s="166" t="n">
        <f aca="false">M99+M100+M101</f>
        <v>17216.36</v>
      </c>
      <c r="N102" s="166" t="n">
        <f aca="false">N99+N100+N101</f>
        <v>17216.36</v>
      </c>
      <c r="O102" s="166" t="n">
        <f aca="false">O99+O100+O101</f>
        <v>17216.36</v>
      </c>
      <c r="P102" s="166" t="n">
        <f aca="false">P99+P100+P101</f>
        <v>17216.36</v>
      </c>
      <c r="Q102" s="166" t="n">
        <f aca="false">Q99+Q100+Q101</f>
        <v>17216.36</v>
      </c>
      <c r="R102" s="166" t="n">
        <f aca="false">R99+R100+R101</f>
        <v>22276.52</v>
      </c>
      <c r="S102" s="166" t="n">
        <f aca="false">S99+S100+S101</f>
        <v>48170.68</v>
      </c>
      <c r="T102" s="166" t="n">
        <f aca="false">T99+T100+T101</f>
        <v>74064.84</v>
      </c>
      <c r="U102" s="166" t="n">
        <f aca="false">U99+U100+U101</f>
        <v>99958.99</v>
      </c>
      <c r="V102" s="166" t="n">
        <f aca="false">V99+V100+V101</f>
        <v>125853.16</v>
      </c>
      <c r="W102" s="166" t="n">
        <f aca="false">W99+W100+W101</f>
        <v>151747.31</v>
      </c>
      <c r="X102" s="166" t="n">
        <f aca="false">X99+X100+X101</f>
        <v>177641.46</v>
      </c>
      <c r="Y102" s="166" t="n">
        <f aca="false">Y99+Y100+Y101</f>
        <v>203535.62</v>
      </c>
      <c r="Z102" s="166" t="n">
        <f aca="false">Z99+Z100+Z101</f>
        <v>229429.79</v>
      </c>
      <c r="AA102" s="166" t="n">
        <f aca="false">AA99+AA100+AA101</f>
        <v>255323.94</v>
      </c>
      <c r="AB102" s="166" t="n">
        <f aca="false">AB99+AB100+AB101</f>
        <v>281218.11</v>
      </c>
      <c r="AC102" s="166" t="n">
        <f aca="false">AC99+AC100+AC101</f>
        <v>352162.61</v>
      </c>
      <c r="AD102" s="166" t="n">
        <f aca="false">AD99+AD100+AD101</f>
        <v>262844.01</v>
      </c>
      <c r="AE102" s="166" t="n">
        <f aca="false">AE99+AE100+AE101</f>
        <v>263626.13</v>
      </c>
      <c r="AF102" s="166" t="n">
        <f aca="false">AF99+AF100+AF101</f>
        <v>264408.23</v>
      </c>
      <c r="AG102" s="166" t="n">
        <f aca="false">AG99+AG100+AG101</f>
        <v>265190.34</v>
      </c>
      <c r="AH102" s="166" t="n">
        <f aca="false">AH99+AH100+AH101</f>
        <v>265972.44</v>
      </c>
      <c r="AI102" s="166" t="n">
        <f aca="false">AI99+AI100+AI101</f>
        <v>292648.71</v>
      </c>
      <c r="AJ102" s="166" t="n">
        <f aca="false">AJ99+AJ100+AJ101</f>
        <v>267536.67</v>
      </c>
      <c r="AK102" s="166" t="n">
        <f aca="false">AK99+AK100+AK101</f>
        <v>242424.62</v>
      </c>
      <c r="AL102" s="166" t="n">
        <f aca="false">AL99+AL100+AL101</f>
        <v>217312.57</v>
      </c>
      <c r="AM102" s="166" t="n">
        <f aca="false">AM99+AM100+AM101</f>
        <v>192200.51</v>
      </c>
      <c r="AN102" s="166" t="n">
        <f aca="false">AN99+AN100+AN101</f>
        <v>167088.47</v>
      </c>
      <c r="AO102" s="166" t="n">
        <f aca="false">AO99+AO100+AO101</f>
        <v>141976.42</v>
      </c>
      <c r="AP102" s="166" t="n">
        <f aca="false">AP99+AP100+AP101</f>
        <v>116864.36</v>
      </c>
      <c r="AQ102" s="166" t="n">
        <f aca="false">AQ99+AQ100+AQ101</f>
        <v>91752.32</v>
      </c>
      <c r="AR102" s="166" t="n">
        <f aca="false">AR99+AR100+AR101</f>
        <v>66640.27</v>
      </c>
      <c r="AS102" s="166" t="n">
        <f aca="false">AS99+AS100+AS101</f>
        <v>147427.1</v>
      </c>
      <c r="AT102" s="166" t="n">
        <f aca="false">AT99+AT100+AT101</f>
        <v>121532.95</v>
      </c>
      <c r="AU102" s="166" t="n">
        <f aca="false">AU99+AU100+AU101</f>
        <v>70526.75</v>
      </c>
      <c r="AV102" s="166" t="n">
        <f aca="false">AV99+AV100+AV101</f>
        <v>69744.64</v>
      </c>
      <c r="AW102" s="166" t="n">
        <f aca="false">AW99+AW100+AW101</f>
        <v>68962.52</v>
      </c>
      <c r="AX102" s="166" t="n">
        <f aca="false">AX99+AX100+AX101</f>
        <v>68180.42</v>
      </c>
      <c r="AY102" s="166" t="n">
        <f aca="false">AY99+AY100+AY101</f>
        <v>67398.31</v>
      </c>
      <c r="AZ102" s="166" t="n">
        <f aca="false">AZ99+AZ100+AZ101</f>
        <v>66616.2</v>
      </c>
      <c r="BA102" s="166" t="n">
        <f aca="false">BA99+BA100+BA101</f>
        <v>65834.09</v>
      </c>
      <c r="BB102" s="166" t="n">
        <f aca="false">BB99+BB100+BB101</f>
        <v>65051.98</v>
      </c>
      <c r="BC102" s="166" t="n">
        <f aca="false">BC99+BC100+BC101</f>
        <v>64269.87</v>
      </c>
      <c r="BD102" s="166" t="n">
        <f aca="false">BD99+BD100+BD101</f>
        <v>63487.76</v>
      </c>
      <c r="BE102" s="166" t="n">
        <f aca="false">BE99+BE100+BE101</f>
        <v>62705.65</v>
      </c>
      <c r="BF102" s="166" t="n">
        <f aca="false">BF99+BF100+BF101</f>
        <v>61923.54</v>
      </c>
      <c r="BG102" s="166" t="n">
        <f aca="false">BG99+BG100+BG101</f>
        <v>61141.44</v>
      </c>
      <c r="BH102" s="166" t="n">
        <f aca="false">BH99+BH100+BH101</f>
        <v>109027.32</v>
      </c>
      <c r="BI102" s="166" t="n">
        <f aca="false">BI99+BI100+BI101</f>
        <v>108245.21</v>
      </c>
      <c r="BJ102" s="166" t="n">
        <f aca="false">BJ99+BJ100+BJ101</f>
        <v>213361.99</v>
      </c>
      <c r="BK102" s="166" t="n">
        <f aca="false">BK99+BK100+BK101</f>
        <v>0</v>
      </c>
      <c r="BL102" s="166" t="n">
        <f aca="false">BL99+BL100+BL101</f>
        <v>0</v>
      </c>
      <c r="BM102" s="166" t="n">
        <f aca="false">BM99+BM100+BM101</f>
        <v>0</v>
      </c>
      <c r="BN102" s="166" t="n">
        <f aca="false">BN99+BN100+BN101</f>
        <v>0</v>
      </c>
      <c r="BO102" s="166" t="n">
        <f aca="false">BO99+BO100+BO101</f>
        <v>0</v>
      </c>
      <c r="BP102" s="166" t="n">
        <f aca="false">BP99+BP100+BP101</f>
        <v>0</v>
      </c>
      <c r="BQ102" s="166" t="n">
        <f aca="false">BQ99+BQ100+BQ101</f>
        <v>0</v>
      </c>
      <c r="BR102" s="166" t="n">
        <f aca="false">BR99+BR100+BR101</f>
        <v>0</v>
      </c>
      <c r="BS102" s="166" t="n">
        <f aca="false">BS99+BS100+BS101</f>
        <v>0</v>
      </c>
      <c r="BT102" s="166" t="n">
        <f aca="false">BT99+BT100+BT101</f>
        <v>0</v>
      </c>
      <c r="BU102" s="166" t="n">
        <f aca="false">BU99+BU100+BU101</f>
        <v>0</v>
      </c>
      <c r="BV102" s="166" t="n">
        <f aca="false">BV99+BV100+BV101</f>
        <v>0</v>
      </c>
      <c r="BW102" s="166" t="n">
        <f aca="false">BW99+BW100+BW101</f>
        <v>0</v>
      </c>
      <c r="BX102" s="166" t="n">
        <f aca="false">BX99+BX100+BX101</f>
        <v>0</v>
      </c>
      <c r="BY102" s="166" t="n">
        <f aca="false">BY99+BY100+BY101</f>
        <v>0</v>
      </c>
      <c r="BZ102" s="166" t="n">
        <f aca="false">BZ99+BZ100+BZ101</f>
        <v>0</v>
      </c>
      <c r="CA102" s="166" t="n">
        <f aca="false">CA99+CA100+CA101</f>
        <v>0</v>
      </c>
      <c r="CB102" s="166" t="n">
        <f aca="false">CB99+CB100+CB101</f>
        <v>0</v>
      </c>
      <c r="CC102" s="166" t="n">
        <f aca="false">CC99+CC100+CC101</f>
        <v>0</v>
      </c>
      <c r="CD102" s="166" t="n">
        <f aca="false">CD99+CD100+CD101</f>
        <v>0</v>
      </c>
      <c r="CE102" s="166" t="n">
        <f aca="false">CE99+CE100+CE101</f>
        <v>0</v>
      </c>
      <c r="CF102" s="166" t="n">
        <f aca="false">CF99+CF100+CF101</f>
        <v>0</v>
      </c>
      <c r="CG102" s="166" t="n">
        <f aca="false">CG99+CG100+CG101</f>
        <v>0</v>
      </c>
      <c r="CH102" s="166" t="n">
        <f aca="false">CH99+CH100+CH101</f>
        <v>0</v>
      </c>
    </row>
    <row r="103" customFormat="false" ht="15" hidden="false" customHeight="true" outlineLevel="0" collapsed="false">
      <c r="A103" s="163" t="s">
        <v>568</v>
      </c>
      <c r="B103" s="164" t="n">
        <f aca="false">SUM(C103:CH103)</f>
        <v>900966.5</v>
      </c>
      <c r="C103" s="166" t="n">
        <f aca="false">C99*$B$94</f>
        <v>0</v>
      </c>
      <c r="D103" s="166" t="n">
        <f aca="false">D99*$B$94</f>
        <v>0</v>
      </c>
      <c r="E103" s="166" t="n">
        <f aca="false">E99*$B$94</f>
        <v>0</v>
      </c>
      <c r="F103" s="166" t="n">
        <f aca="false">F99*$B$94</f>
        <v>0</v>
      </c>
      <c r="G103" s="166" t="n">
        <f aca="false">G99*$B$94</f>
        <v>0</v>
      </c>
      <c r="H103" s="166" t="n">
        <f aca="false">H99*$B$94</f>
        <v>0</v>
      </c>
      <c r="I103" s="166" t="n">
        <f aca="false">I99*$B$94</f>
        <v>0</v>
      </c>
      <c r="J103" s="166" t="n">
        <f aca="false">J99*$B$94</f>
        <v>0</v>
      </c>
      <c r="K103" s="166" t="n">
        <f aca="false">K99*$B$94</f>
        <v>0</v>
      </c>
      <c r="L103" s="166" t="n">
        <f aca="false">L99*$B$94</f>
        <v>4505.036</v>
      </c>
      <c r="M103" s="166" t="n">
        <f aca="false">M99*$B$94</f>
        <v>4505.036</v>
      </c>
      <c r="N103" s="166" t="n">
        <f aca="false">N99*$B$94</f>
        <v>4505.036</v>
      </c>
      <c r="O103" s="166" t="n">
        <f aca="false">O99*$B$94</f>
        <v>4505.036</v>
      </c>
      <c r="P103" s="166" t="n">
        <f aca="false">P99*$B$94</f>
        <v>4505.036</v>
      </c>
      <c r="Q103" s="166" t="n">
        <f aca="false">Q99*$B$94</f>
        <v>4505.036</v>
      </c>
      <c r="R103" s="166" t="n">
        <f aca="false">R99*$B$94</f>
        <v>7094.452</v>
      </c>
      <c r="S103" s="166" t="n">
        <f aca="false">S99*$B$94</f>
        <v>9683.868</v>
      </c>
      <c r="T103" s="166" t="n">
        <f aca="false">T99*$B$94</f>
        <v>12273.284</v>
      </c>
      <c r="U103" s="166" t="n">
        <f aca="false">U99*$B$94</f>
        <v>14862.699</v>
      </c>
      <c r="V103" s="166" t="n">
        <f aca="false">V99*$B$94</f>
        <v>17452.116</v>
      </c>
      <c r="W103" s="166" t="n">
        <f aca="false">W99*$B$94</f>
        <v>20041.531</v>
      </c>
      <c r="X103" s="166" t="n">
        <f aca="false">X99*$B$94</f>
        <v>22630.946</v>
      </c>
      <c r="Y103" s="166" t="n">
        <f aca="false">Y99*$B$94</f>
        <v>25220.362</v>
      </c>
      <c r="Z103" s="166" t="n">
        <f aca="false">Z99*$B$94</f>
        <v>27809.779</v>
      </c>
      <c r="AA103" s="166" t="n">
        <f aca="false">AA99*$B$94</f>
        <v>30399.194</v>
      </c>
      <c r="AB103" s="166" t="n">
        <f aca="false">AB99*$B$94</f>
        <v>32988.611</v>
      </c>
      <c r="AC103" s="166" t="n">
        <f aca="false">AC99*$B$94</f>
        <v>40083.061</v>
      </c>
      <c r="AD103" s="166" t="n">
        <f aca="false">AD99*$B$94</f>
        <v>31151.201</v>
      </c>
      <c r="AE103" s="166" t="n">
        <f aca="false">AE99*$B$94</f>
        <v>31229.413</v>
      </c>
      <c r="AF103" s="166" t="n">
        <f aca="false">AF99*$B$94</f>
        <v>31307.623</v>
      </c>
      <c r="AG103" s="166" t="n">
        <f aca="false">AG99*$B$94</f>
        <v>31385.834</v>
      </c>
      <c r="AH103" s="166" t="n">
        <f aca="false">AH99*$B$94</f>
        <v>31464.044</v>
      </c>
      <c r="AI103" s="166" t="n">
        <f aca="false">AI99*$B$94</f>
        <v>34131.671</v>
      </c>
      <c r="AJ103" s="166" t="n">
        <f aca="false">AJ99*$B$94</f>
        <v>31620.467</v>
      </c>
      <c r="AK103" s="166" t="n">
        <f aca="false">AK99*$B$94</f>
        <v>29109.262</v>
      </c>
      <c r="AL103" s="166" t="n">
        <f aca="false">AL99*$B$94</f>
        <v>26598.057</v>
      </c>
      <c r="AM103" s="166" t="n">
        <f aca="false">AM99*$B$94</f>
        <v>24086.851</v>
      </c>
      <c r="AN103" s="166" t="n">
        <f aca="false">AN99*$B$94</f>
        <v>21575.647</v>
      </c>
      <c r="AO103" s="166" t="n">
        <f aca="false">AO99*$B$94</f>
        <v>19064.442</v>
      </c>
      <c r="AP103" s="166" t="n">
        <f aca="false">AP99*$B$94</f>
        <v>16553.236</v>
      </c>
      <c r="AQ103" s="166" t="n">
        <f aca="false">AQ99*$B$94</f>
        <v>14042.032</v>
      </c>
      <c r="AR103" s="166" t="n">
        <f aca="false">AR99*$B$94</f>
        <v>11530.827</v>
      </c>
      <c r="AS103" s="166" t="n">
        <f aca="false">AS99*$B$94</f>
        <v>19609.51</v>
      </c>
      <c r="AT103" s="166" t="n">
        <f aca="false">AT99*$B$94</f>
        <v>17020.095</v>
      </c>
      <c r="AU103" s="166" t="n">
        <f aca="false">AU99*$B$94</f>
        <v>11919.475</v>
      </c>
      <c r="AV103" s="166" t="n">
        <f aca="false">AV99*$B$94</f>
        <v>11841.264</v>
      </c>
      <c r="AW103" s="166" t="n">
        <f aca="false">AW99*$B$94</f>
        <v>11763.052</v>
      </c>
      <c r="AX103" s="166" t="n">
        <f aca="false">AX99*$B$94</f>
        <v>11684.842</v>
      </c>
      <c r="AY103" s="166" t="n">
        <f aca="false">AY99*$B$94</f>
        <v>11606.631</v>
      </c>
      <c r="AZ103" s="166" t="n">
        <f aca="false">AZ99*$B$94</f>
        <v>11528.42</v>
      </c>
      <c r="BA103" s="166" t="n">
        <f aca="false">BA99*$B$94</f>
        <v>11450.209</v>
      </c>
      <c r="BB103" s="166" t="n">
        <f aca="false">BB99*$B$94</f>
        <v>11371.998</v>
      </c>
      <c r="BC103" s="166" t="n">
        <f aca="false">BC99*$B$94</f>
        <v>11293.787</v>
      </c>
      <c r="BD103" s="166" t="n">
        <f aca="false">BD99*$B$94</f>
        <v>11215.576</v>
      </c>
      <c r="BE103" s="166" t="n">
        <f aca="false">BE99*$B$94</f>
        <v>11137.365</v>
      </c>
      <c r="BF103" s="166" t="n">
        <f aca="false">BF99*$B$94</f>
        <v>11059.154</v>
      </c>
      <c r="BG103" s="166" t="n">
        <f aca="false">BG99*$B$94</f>
        <v>10980.944</v>
      </c>
      <c r="BH103" s="166" t="n">
        <f aca="false">BH99*$B$94</f>
        <v>10902.732</v>
      </c>
      <c r="BI103" s="166" t="n">
        <f aca="false">BI99*$B$94</f>
        <v>10824.521</v>
      </c>
      <c r="BJ103" s="166" t="n">
        <f aca="false">BJ99*$B$94</f>
        <v>21336.199</v>
      </c>
      <c r="BK103" s="166" t="n">
        <f aca="false">BK99*$B$94</f>
        <v>0</v>
      </c>
      <c r="BL103" s="166" t="n">
        <f aca="false">BL99*$B$94</f>
        <v>0</v>
      </c>
      <c r="BM103" s="166" t="n">
        <f aca="false">BM99*$B$94</f>
        <v>0</v>
      </c>
      <c r="BN103" s="166" t="n">
        <f aca="false">BN99*$B$94</f>
        <v>0</v>
      </c>
      <c r="BO103" s="166" t="n">
        <f aca="false">BO99*$B$94</f>
        <v>0</v>
      </c>
      <c r="BP103" s="166" t="n">
        <f aca="false">BP99*$B$94</f>
        <v>0</v>
      </c>
      <c r="BQ103" s="166" t="n">
        <f aca="false">BQ99*$B$94</f>
        <v>0</v>
      </c>
      <c r="BR103" s="166" t="n">
        <f aca="false">BR99*$B$94</f>
        <v>0</v>
      </c>
      <c r="BS103" s="166" t="n">
        <f aca="false">BS99*$B$94</f>
        <v>0</v>
      </c>
      <c r="BT103" s="166" t="n">
        <f aca="false">BT99*$B$94</f>
        <v>0</v>
      </c>
      <c r="BU103" s="166" t="n">
        <f aca="false">BU99*$B$94</f>
        <v>0</v>
      </c>
      <c r="BV103" s="166" t="n">
        <f aca="false">BV99*$B$94</f>
        <v>0</v>
      </c>
      <c r="BW103" s="166" t="n">
        <f aca="false">BW99*$B$94</f>
        <v>0</v>
      </c>
      <c r="BX103" s="166" t="n">
        <f aca="false">BX99*$B$94</f>
        <v>0</v>
      </c>
      <c r="BY103" s="166" t="n">
        <f aca="false">BY99*$B$94</f>
        <v>0</v>
      </c>
      <c r="BZ103" s="166" t="n">
        <f aca="false">BZ99*$B$94</f>
        <v>0</v>
      </c>
      <c r="CA103" s="166" t="n">
        <f aca="false">CA99*$B$94</f>
        <v>0</v>
      </c>
      <c r="CB103" s="166" t="n">
        <f aca="false">CB99*$B$94</f>
        <v>0</v>
      </c>
      <c r="CC103" s="166" t="n">
        <f aca="false">CC99*$B$94</f>
        <v>0</v>
      </c>
      <c r="CD103" s="166" t="n">
        <f aca="false">CD99*$B$94</f>
        <v>0</v>
      </c>
      <c r="CE103" s="166" t="n">
        <f aca="false">CE99*$B$94</f>
        <v>0</v>
      </c>
      <c r="CF103" s="166" t="n">
        <f aca="false">CF99*$B$94</f>
        <v>0</v>
      </c>
      <c r="CG103" s="166" t="n">
        <f aca="false">CG99*$B$94</f>
        <v>0</v>
      </c>
      <c r="CH103" s="166" t="n">
        <f aca="false">CH99*$B$94</f>
        <v>0</v>
      </c>
    </row>
    <row r="104" customFormat="false" ht="15" hidden="false" customHeight="true" outlineLevel="0" collapsed="false">
      <c r="A104" s="163" t="s">
        <v>569</v>
      </c>
      <c r="B104" s="164" t="n">
        <f aca="false">SUM(C104:CH104)</f>
        <v>5897638.5</v>
      </c>
      <c r="C104" s="166" t="n">
        <f aca="false">C102-C103</f>
        <v>0</v>
      </c>
      <c r="D104" s="166" t="n">
        <f aca="false">D102-D103</f>
        <v>0</v>
      </c>
      <c r="E104" s="166" t="n">
        <f aca="false">E102-E103</f>
        <v>0</v>
      </c>
      <c r="F104" s="166" t="n">
        <f aca="false">F102-F103</f>
        <v>0</v>
      </c>
      <c r="G104" s="166" t="n">
        <f aca="false">G102-G103</f>
        <v>0</v>
      </c>
      <c r="H104" s="166" t="n">
        <f aca="false">H102-H103</f>
        <v>0</v>
      </c>
      <c r="I104" s="166" t="n">
        <f aca="false">I102-I103</f>
        <v>0</v>
      </c>
      <c r="J104" s="166" t="n">
        <f aca="false">J102-J103</f>
        <v>0</v>
      </c>
      <c r="K104" s="166" t="n">
        <f aca="false">K102-K103</f>
        <v>0</v>
      </c>
      <c r="L104" s="166" t="n">
        <f aca="false">L102-L103</f>
        <v>12711.324</v>
      </c>
      <c r="M104" s="166" t="n">
        <f aca="false">M102-M103</f>
        <v>12711.324</v>
      </c>
      <c r="N104" s="166" t="n">
        <f aca="false">N102-N103</f>
        <v>12711.324</v>
      </c>
      <c r="O104" s="166" t="n">
        <f aca="false">O102-O103</f>
        <v>12711.324</v>
      </c>
      <c r="P104" s="166" t="n">
        <f aca="false">P102-P103</f>
        <v>12711.324</v>
      </c>
      <c r="Q104" s="166" t="n">
        <f aca="false">Q102-Q103</f>
        <v>12711.324</v>
      </c>
      <c r="R104" s="166" t="n">
        <f aca="false">R102-R103</f>
        <v>15182.068</v>
      </c>
      <c r="S104" s="166" t="n">
        <f aca="false">S102-S103</f>
        <v>38486.812</v>
      </c>
      <c r="T104" s="166" t="n">
        <f aca="false">T102-T103</f>
        <v>61791.556</v>
      </c>
      <c r="U104" s="166" t="n">
        <f aca="false">U102-U103</f>
        <v>85096.291</v>
      </c>
      <c r="V104" s="166" t="n">
        <f aca="false">V102-V103</f>
        <v>108401.044</v>
      </c>
      <c r="W104" s="166" t="n">
        <f aca="false">W102-W103</f>
        <v>131705.779</v>
      </c>
      <c r="X104" s="166" t="n">
        <f aca="false">X102-X103</f>
        <v>155010.514</v>
      </c>
      <c r="Y104" s="166" t="n">
        <f aca="false">Y102-Y103</f>
        <v>178315.258</v>
      </c>
      <c r="Z104" s="166" t="n">
        <f aca="false">Z102-Z103</f>
        <v>201620.011</v>
      </c>
      <c r="AA104" s="166" t="n">
        <f aca="false">AA102-AA103</f>
        <v>224924.746</v>
      </c>
      <c r="AB104" s="166" t="n">
        <f aca="false">AB102-AB103</f>
        <v>248229.499</v>
      </c>
      <c r="AC104" s="166" t="n">
        <f aca="false">AC102-AC103</f>
        <v>312079.549</v>
      </c>
      <c r="AD104" s="166" t="n">
        <f aca="false">AD102-AD103</f>
        <v>231692.809</v>
      </c>
      <c r="AE104" s="166" t="n">
        <f aca="false">AE102-AE103</f>
        <v>232396.717</v>
      </c>
      <c r="AF104" s="166" t="n">
        <f aca="false">AF102-AF103</f>
        <v>233100.607</v>
      </c>
      <c r="AG104" s="166" t="n">
        <f aca="false">AG102-AG103</f>
        <v>233804.506</v>
      </c>
      <c r="AH104" s="166" t="n">
        <f aca="false">AH102-AH103</f>
        <v>234508.396</v>
      </c>
      <c r="AI104" s="166" t="n">
        <f aca="false">AI102-AI103</f>
        <v>258517.039</v>
      </c>
      <c r="AJ104" s="166" t="n">
        <f aca="false">AJ102-AJ103</f>
        <v>235916.203</v>
      </c>
      <c r="AK104" s="166" t="n">
        <f aca="false">AK102-AK103</f>
        <v>213315.358</v>
      </c>
      <c r="AL104" s="166" t="n">
        <f aca="false">AL102-AL103</f>
        <v>190714.513</v>
      </c>
      <c r="AM104" s="166" t="n">
        <f aca="false">AM102-AM103</f>
        <v>168113.659</v>
      </c>
      <c r="AN104" s="166" t="n">
        <f aca="false">AN102-AN103</f>
        <v>145512.823</v>
      </c>
      <c r="AO104" s="166" t="n">
        <f aca="false">AO102-AO103</f>
        <v>122911.978</v>
      </c>
      <c r="AP104" s="166" t="n">
        <f aca="false">AP102-AP103</f>
        <v>100311.124</v>
      </c>
      <c r="AQ104" s="166" t="n">
        <f aca="false">AQ102-AQ103</f>
        <v>77710.288</v>
      </c>
      <c r="AR104" s="166" t="n">
        <f aca="false">AR102-AR103</f>
        <v>55109.443</v>
      </c>
      <c r="AS104" s="166" t="n">
        <f aca="false">AS102-AS103</f>
        <v>127817.59</v>
      </c>
      <c r="AT104" s="166" t="n">
        <f aca="false">AT102-AT103</f>
        <v>104512.855</v>
      </c>
      <c r="AU104" s="166" t="n">
        <f aca="false">AU102-AU103</f>
        <v>58607.275</v>
      </c>
      <c r="AV104" s="166" t="n">
        <f aca="false">AV102-AV103</f>
        <v>57903.376</v>
      </c>
      <c r="AW104" s="166" t="n">
        <f aca="false">AW102-AW103</f>
        <v>57199.468</v>
      </c>
      <c r="AX104" s="166" t="n">
        <f aca="false">AX102-AX103</f>
        <v>56495.578</v>
      </c>
      <c r="AY104" s="166" t="n">
        <f aca="false">AY102-AY103</f>
        <v>55791.679</v>
      </c>
      <c r="AZ104" s="166" t="n">
        <f aca="false">AZ102-AZ103</f>
        <v>55087.78</v>
      </c>
      <c r="BA104" s="166" t="n">
        <f aca="false">BA102-BA103</f>
        <v>54383.881</v>
      </c>
      <c r="BB104" s="166" t="n">
        <f aca="false">BB102-BB103</f>
        <v>53679.982</v>
      </c>
      <c r="BC104" s="166" t="n">
        <f aca="false">BC102-BC103</f>
        <v>52976.083</v>
      </c>
      <c r="BD104" s="166" t="n">
        <f aca="false">BD102-BD103</f>
        <v>52272.184</v>
      </c>
      <c r="BE104" s="166" t="n">
        <f aca="false">BE102-BE103</f>
        <v>51568.285</v>
      </c>
      <c r="BF104" s="166" t="n">
        <f aca="false">BF102-BF103</f>
        <v>50864.386</v>
      </c>
      <c r="BG104" s="166" t="n">
        <f aca="false">BG102-BG103</f>
        <v>50160.496</v>
      </c>
      <c r="BH104" s="166" t="n">
        <f aca="false">BH102-BH103</f>
        <v>98124.588</v>
      </c>
      <c r="BI104" s="166" t="n">
        <f aca="false">BI102-BI103</f>
        <v>97420.689</v>
      </c>
      <c r="BJ104" s="166" t="n">
        <f aca="false">BJ102-BJ103</f>
        <v>192025.791</v>
      </c>
      <c r="BK104" s="166" t="n">
        <f aca="false">BK102-BK103</f>
        <v>0</v>
      </c>
      <c r="BL104" s="166" t="n">
        <f aca="false">BL102-BL103</f>
        <v>0</v>
      </c>
      <c r="BM104" s="166" t="n">
        <f aca="false">BM102-BM103</f>
        <v>0</v>
      </c>
      <c r="BN104" s="166" t="n">
        <f aca="false">BN102-BN103</f>
        <v>0</v>
      </c>
      <c r="BO104" s="166" t="n">
        <f aca="false">BO102-BO103</f>
        <v>0</v>
      </c>
      <c r="BP104" s="166" t="n">
        <f aca="false">BP102-BP103</f>
        <v>0</v>
      </c>
      <c r="BQ104" s="166" t="n">
        <f aca="false">BQ102-BQ103</f>
        <v>0</v>
      </c>
      <c r="BR104" s="166" t="n">
        <f aca="false">BR102-BR103</f>
        <v>0</v>
      </c>
      <c r="BS104" s="166" t="n">
        <f aca="false">BS102-BS103</f>
        <v>0</v>
      </c>
      <c r="BT104" s="166" t="n">
        <f aca="false">BT102-BT103</f>
        <v>0</v>
      </c>
      <c r="BU104" s="166" t="n">
        <f aca="false">BU102-BU103</f>
        <v>0</v>
      </c>
      <c r="BV104" s="166" t="n">
        <f aca="false">BV102-BV103</f>
        <v>0</v>
      </c>
      <c r="BW104" s="166" t="n">
        <f aca="false">BW102-BW103</f>
        <v>0</v>
      </c>
      <c r="BX104" s="166" t="n">
        <f aca="false">BX102-BX103</f>
        <v>0</v>
      </c>
      <c r="BY104" s="166" t="n">
        <f aca="false">BY102-BY103</f>
        <v>0</v>
      </c>
      <c r="BZ104" s="166" t="n">
        <f aca="false">BZ102-BZ103</f>
        <v>0</v>
      </c>
      <c r="CA104" s="166" t="n">
        <f aca="false">CA102-CA103</f>
        <v>0</v>
      </c>
      <c r="CB104" s="166" t="n">
        <f aca="false">CB102-CB103</f>
        <v>0</v>
      </c>
      <c r="CC104" s="166" t="n">
        <f aca="false">CC102-CC103</f>
        <v>0</v>
      </c>
      <c r="CD104" s="166" t="n">
        <f aca="false">CD102-CD103</f>
        <v>0</v>
      </c>
      <c r="CE104" s="166" t="n">
        <f aca="false">CE102-CE103</f>
        <v>0</v>
      </c>
      <c r="CF104" s="166" t="n">
        <f aca="false">CF102-CF103</f>
        <v>0</v>
      </c>
      <c r="CG104" s="166" t="n">
        <f aca="false">CG102-CG103</f>
        <v>0</v>
      </c>
      <c r="CH104" s="166" t="n">
        <f aca="false">CH102-CH103</f>
        <v>0</v>
      </c>
    </row>
    <row r="105" customFormat="false" ht="15" hidden="false" customHeight="true" outlineLevel="0" collapsed="false">
      <c r="A105" s="163" t="s">
        <v>570</v>
      </c>
      <c r="B105" s="164" t="n">
        <f aca="false">SUM(C105:CH105)</f>
        <v>2359055.4</v>
      </c>
      <c r="C105" s="166" t="n">
        <f aca="false">MAX(0,C104)*$B$95</f>
        <v>0</v>
      </c>
      <c r="D105" s="166" t="n">
        <f aca="false">MAX(0,D104)*$B$95</f>
        <v>0</v>
      </c>
      <c r="E105" s="166" t="n">
        <f aca="false">MAX(0,E104)*$B$95</f>
        <v>0</v>
      </c>
      <c r="F105" s="166" t="n">
        <f aca="false">MAX(0,F104)*$B$95</f>
        <v>0</v>
      </c>
      <c r="G105" s="166" t="n">
        <f aca="false">MAX(0,G104)*$B$95</f>
        <v>0</v>
      </c>
      <c r="H105" s="166" t="n">
        <f aca="false">MAX(0,H104)*$B$95</f>
        <v>0</v>
      </c>
      <c r="I105" s="166" t="n">
        <f aca="false">MAX(0,I104)*$B$95</f>
        <v>0</v>
      </c>
      <c r="J105" s="166" t="n">
        <f aca="false">MAX(0,J104)*$B$95</f>
        <v>0</v>
      </c>
      <c r="K105" s="166" t="n">
        <f aca="false">MAX(0,K104)*$B$95</f>
        <v>0</v>
      </c>
      <c r="L105" s="166" t="n">
        <f aca="false">MAX(0,L104)*$B$95</f>
        <v>5084.5296</v>
      </c>
      <c r="M105" s="166" t="n">
        <f aca="false">MAX(0,M104)*$B$95</f>
        <v>5084.5296</v>
      </c>
      <c r="N105" s="166" t="n">
        <f aca="false">MAX(0,N104)*$B$95</f>
        <v>5084.5296</v>
      </c>
      <c r="O105" s="166" t="n">
        <f aca="false">MAX(0,O104)*$B$95</f>
        <v>5084.5296</v>
      </c>
      <c r="P105" s="166" t="n">
        <f aca="false">MAX(0,P104)*$B$95</f>
        <v>5084.5296</v>
      </c>
      <c r="Q105" s="166" t="n">
        <f aca="false">MAX(0,Q104)*$B$95</f>
        <v>5084.5296</v>
      </c>
      <c r="R105" s="166" t="n">
        <f aca="false">MAX(0,R104)*$B$95</f>
        <v>6072.8272</v>
      </c>
      <c r="S105" s="166" t="n">
        <f aca="false">MAX(0,S104)*$B$95</f>
        <v>15394.7248</v>
      </c>
      <c r="T105" s="166" t="n">
        <f aca="false">MAX(0,T104)*$B$95</f>
        <v>24716.6224</v>
      </c>
      <c r="U105" s="166" t="n">
        <f aca="false">MAX(0,U104)*$B$95</f>
        <v>34038.5164</v>
      </c>
      <c r="V105" s="166" t="n">
        <f aca="false">MAX(0,V104)*$B$95</f>
        <v>43360.4176</v>
      </c>
      <c r="W105" s="166" t="n">
        <f aca="false">MAX(0,W104)*$B$95</f>
        <v>52682.3116</v>
      </c>
      <c r="X105" s="166" t="n">
        <f aca="false">MAX(0,X104)*$B$95</f>
        <v>62004.2056</v>
      </c>
      <c r="Y105" s="166" t="n">
        <f aca="false">MAX(0,Y104)*$B$95</f>
        <v>71326.1032</v>
      </c>
      <c r="Z105" s="166" t="n">
        <f aca="false">MAX(0,Z104)*$B$95</f>
        <v>80648.0044</v>
      </c>
      <c r="AA105" s="166" t="n">
        <f aca="false">MAX(0,AA104)*$B$95</f>
        <v>89969.8984</v>
      </c>
      <c r="AB105" s="166" t="n">
        <f aca="false">MAX(0,AB104)*$B$95</f>
        <v>99291.7996</v>
      </c>
      <c r="AC105" s="166" t="n">
        <f aca="false">MAX(0,AC104)*$B$95</f>
        <v>124831.8196</v>
      </c>
      <c r="AD105" s="166" t="n">
        <f aca="false">MAX(0,AD104)*$B$95</f>
        <v>92677.1236</v>
      </c>
      <c r="AE105" s="166" t="n">
        <f aca="false">MAX(0,AE104)*$B$95</f>
        <v>92958.6868</v>
      </c>
      <c r="AF105" s="166" t="n">
        <f aca="false">MAX(0,AF104)*$B$95</f>
        <v>93240.2428</v>
      </c>
      <c r="AG105" s="166" t="n">
        <f aca="false">MAX(0,AG104)*$B$95</f>
        <v>93521.8024</v>
      </c>
      <c r="AH105" s="166" t="n">
        <f aca="false">MAX(0,AH104)*$B$95</f>
        <v>93803.3584</v>
      </c>
      <c r="AI105" s="166" t="n">
        <f aca="false">MAX(0,AI104)*$B$95</f>
        <v>103406.8156</v>
      </c>
      <c r="AJ105" s="166" t="n">
        <f aca="false">MAX(0,AJ104)*$B$95</f>
        <v>94366.4812</v>
      </c>
      <c r="AK105" s="166" t="n">
        <f aca="false">MAX(0,AK104)*$B$95</f>
        <v>85326.1432</v>
      </c>
      <c r="AL105" s="166" t="n">
        <f aca="false">MAX(0,AL104)*$B$95</f>
        <v>76285.8052</v>
      </c>
      <c r="AM105" s="166" t="n">
        <f aca="false">MAX(0,AM104)*$B$95</f>
        <v>67245.4636</v>
      </c>
      <c r="AN105" s="166" t="n">
        <f aca="false">MAX(0,AN104)*$B$95</f>
        <v>58205.1292</v>
      </c>
      <c r="AO105" s="166" t="n">
        <f aca="false">MAX(0,AO104)*$B$95</f>
        <v>49164.7912</v>
      </c>
      <c r="AP105" s="166" t="n">
        <f aca="false">MAX(0,AP104)*$B$95</f>
        <v>40124.4496</v>
      </c>
      <c r="AQ105" s="166" t="n">
        <f aca="false">MAX(0,AQ104)*$B$95</f>
        <v>31084.1152</v>
      </c>
      <c r="AR105" s="166" t="n">
        <f aca="false">MAX(0,AR104)*$B$95</f>
        <v>22043.7772</v>
      </c>
      <c r="AS105" s="166" t="n">
        <f aca="false">MAX(0,AS104)*$B$95</f>
        <v>51127.036</v>
      </c>
      <c r="AT105" s="166" t="n">
        <f aca="false">MAX(0,AT104)*$B$95</f>
        <v>41805.142</v>
      </c>
      <c r="AU105" s="166" t="n">
        <f aca="false">MAX(0,AU104)*$B$95</f>
        <v>23442.91</v>
      </c>
      <c r="AV105" s="166" t="n">
        <f aca="false">MAX(0,AV104)*$B$95</f>
        <v>23161.3504</v>
      </c>
      <c r="AW105" s="166" t="n">
        <f aca="false">MAX(0,AW104)*$B$95</f>
        <v>22879.7872</v>
      </c>
      <c r="AX105" s="166" t="n">
        <f aca="false">MAX(0,AX104)*$B$95</f>
        <v>22598.2312</v>
      </c>
      <c r="AY105" s="166" t="n">
        <f aca="false">MAX(0,AY104)*$B$95</f>
        <v>22316.6716</v>
      </c>
      <c r="AZ105" s="166" t="n">
        <f aca="false">MAX(0,AZ104)*$B$95</f>
        <v>22035.112</v>
      </c>
      <c r="BA105" s="166" t="n">
        <f aca="false">MAX(0,BA104)*$B$95</f>
        <v>21753.5524</v>
      </c>
      <c r="BB105" s="166" t="n">
        <f aca="false">MAX(0,BB104)*$B$95</f>
        <v>21471.9928</v>
      </c>
      <c r="BC105" s="166" t="n">
        <f aca="false">MAX(0,BC104)*$B$95</f>
        <v>21190.4332</v>
      </c>
      <c r="BD105" s="166" t="n">
        <f aca="false">MAX(0,BD104)*$B$95</f>
        <v>20908.8736</v>
      </c>
      <c r="BE105" s="166" t="n">
        <f aca="false">MAX(0,BE104)*$B$95</f>
        <v>20627.314</v>
      </c>
      <c r="BF105" s="166" t="n">
        <f aca="false">MAX(0,BF104)*$B$95</f>
        <v>20345.7544</v>
      </c>
      <c r="BG105" s="166" t="n">
        <f aca="false">MAX(0,BG104)*$B$95</f>
        <v>20064.1984</v>
      </c>
      <c r="BH105" s="166" t="n">
        <f aca="false">MAX(0,BH104)*$B$95</f>
        <v>39249.8352</v>
      </c>
      <c r="BI105" s="166" t="n">
        <f aca="false">MAX(0,BI104)*$B$95</f>
        <v>38968.2756</v>
      </c>
      <c r="BJ105" s="166" t="n">
        <f aca="false">MAX(0,BJ104)*$B$95</f>
        <v>76810.3164</v>
      </c>
      <c r="BK105" s="166" t="n">
        <f aca="false">MAX(0,BK104)*$B$95</f>
        <v>0</v>
      </c>
      <c r="BL105" s="166" t="n">
        <f aca="false">MAX(0,BL104)*$B$95</f>
        <v>0</v>
      </c>
      <c r="BM105" s="166" t="n">
        <f aca="false">MAX(0,BM104)*$B$95</f>
        <v>0</v>
      </c>
      <c r="BN105" s="166" t="n">
        <f aca="false">MAX(0,BN104)*$B$95</f>
        <v>0</v>
      </c>
      <c r="BO105" s="166" t="n">
        <f aca="false">MAX(0,BO104)*$B$95</f>
        <v>0</v>
      </c>
      <c r="BP105" s="166" t="n">
        <f aca="false">MAX(0,BP104)*$B$95</f>
        <v>0</v>
      </c>
      <c r="BQ105" s="166" t="n">
        <f aca="false">MAX(0,BQ104)*$B$95</f>
        <v>0</v>
      </c>
      <c r="BR105" s="166" t="n">
        <f aca="false">MAX(0,BR104)*$B$95</f>
        <v>0</v>
      </c>
      <c r="BS105" s="166" t="n">
        <f aca="false">MAX(0,BS104)*$B$95</f>
        <v>0</v>
      </c>
      <c r="BT105" s="166" t="n">
        <f aca="false">MAX(0,BT104)*$B$95</f>
        <v>0</v>
      </c>
      <c r="BU105" s="166" t="n">
        <f aca="false">MAX(0,BU104)*$B$95</f>
        <v>0</v>
      </c>
      <c r="BV105" s="166" t="n">
        <f aca="false">MAX(0,BV104)*$B$95</f>
        <v>0</v>
      </c>
      <c r="BW105" s="166" t="n">
        <f aca="false">MAX(0,BW104)*$B$95</f>
        <v>0</v>
      </c>
      <c r="BX105" s="166" t="n">
        <f aca="false">MAX(0,BX104)*$B$95</f>
        <v>0</v>
      </c>
      <c r="BY105" s="166" t="n">
        <f aca="false">MAX(0,BY104)*$B$95</f>
        <v>0</v>
      </c>
      <c r="BZ105" s="166" t="n">
        <f aca="false">MAX(0,BZ104)*$B$95</f>
        <v>0</v>
      </c>
      <c r="CA105" s="166" t="n">
        <f aca="false">MAX(0,CA104)*$B$95</f>
        <v>0</v>
      </c>
      <c r="CB105" s="166" t="n">
        <f aca="false">MAX(0,CB104)*$B$95</f>
        <v>0</v>
      </c>
      <c r="CC105" s="166" t="n">
        <f aca="false">MAX(0,CC104)*$B$95</f>
        <v>0</v>
      </c>
      <c r="CD105" s="166" t="n">
        <f aca="false">MAX(0,CD104)*$B$95</f>
        <v>0</v>
      </c>
      <c r="CE105" s="166" t="n">
        <f aca="false">MAX(0,CE104)*$B$95</f>
        <v>0</v>
      </c>
      <c r="CF105" s="166" t="n">
        <f aca="false">MAX(0,CF104)*$B$95</f>
        <v>0</v>
      </c>
      <c r="CG105" s="166" t="n">
        <f aca="false">MAX(0,CG104)*$B$95</f>
        <v>0</v>
      </c>
      <c r="CH105" s="166" t="n">
        <f aca="false">MAX(0,CH104)*$B$95</f>
        <v>0</v>
      </c>
    </row>
    <row r="106" customFormat="false" ht="15" hidden="false" customHeight="true" outlineLevel="0" collapsed="false">
      <c r="A106" s="163" t="s">
        <v>571</v>
      </c>
      <c r="B106" s="164" t="n">
        <f aca="false">SUM(C106:CH106)</f>
        <v>3538583.1</v>
      </c>
      <c r="C106" s="166" t="n">
        <f aca="false">C104-C105</f>
        <v>0</v>
      </c>
      <c r="D106" s="166" t="n">
        <f aca="false">D104-D105</f>
        <v>0</v>
      </c>
      <c r="E106" s="166" t="n">
        <f aca="false">E104-E105</f>
        <v>0</v>
      </c>
      <c r="F106" s="166" t="n">
        <f aca="false">F104-F105</f>
        <v>0</v>
      </c>
      <c r="G106" s="166" t="n">
        <f aca="false">G104-G105</f>
        <v>0</v>
      </c>
      <c r="H106" s="166" t="n">
        <f aca="false">H104-H105</f>
        <v>0</v>
      </c>
      <c r="I106" s="166" t="n">
        <f aca="false">I104-I105</f>
        <v>0</v>
      </c>
      <c r="J106" s="166" t="n">
        <f aca="false">J104-J105</f>
        <v>0</v>
      </c>
      <c r="K106" s="166" t="n">
        <f aca="false">K104-K105</f>
        <v>0</v>
      </c>
      <c r="L106" s="166" t="n">
        <f aca="false">L104-L105</f>
        <v>7626.7944</v>
      </c>
      <c r="M106" s="166" t="n">
        <f aca="false">M104-M105</f>
        <v>7626.7944</v>
      </c>
      <c r="N106" s="166" t="n">
        <f aca="false">N104-N105</f>
        <v>7626.7944</v>
      </c>
      <c r="O106" s="166" t="n">
        <f aca="false">O104-O105</f>
        <v>7626.7944</v>
      </c>
      <c r="P106" s="166" t="n">
        <f aca="false">P104-P105</f>
        <v>7626.7944</v>
      </c>
      <c r="Q106" s="166" t="n">
        <f aca="false">Q104-Q105</f>
        <v>7626.7944</v>
      </c>
      <c r="R106" s="166" t="n">
        <f aca="false">R104-R105</f>
        <v>9109.2408</v>
      </c>
      <c r="S106" s="166" t="n">
        <f aca="false">S104-S105</f>
        <v>23092.0872</v>
      </c>
      <c r="T106" s="166" t="n">
        <f aca="false">T104-T105</f>
        <v>37074.9336</v>
      </c>
      <c r="U106" s="166" t="n">
        <f aca="false">U104-U105</f>
        <v>51057.7746</v>
      </c>
      <c r="V106" s="166" t="n">
        <f aca="false">V104-V105</f>
        <v>65040.6264</v>
      </c>
      <c r="W106" s="166" t="n">
        <f aca="false">W104-W105</f>
        <v>79023.4674</v>
      </c>
      <c r="X106" s="166" t="n">
        <f aca="false">X104-X105</f>
        <v>93006.3084</v>
      </c>
      <c r="Y106" s="166" t="n">
        <f aca="false">Y104-Y105</f>
        <v>106989.1548</v>
      </c>
      <c r="Z106" s="166" t="n">
        <f aca="false">Z104-Z105</f>
        <v>120972.0066</v>
      </c>
      <c r="AA106" s="166" t="n">
        <f aca="false">AA104-AA105</f>
        <v>134954.8476</v>
      </c>
      <c r="AB106" s="166" t="n">
        <f aca="false">AB104-AB105</f>
        <v>148937.6994</v>
      </c>
      <c r="AC106" s="166" t="n">
        <f aca="false">AC104-AC105</f>
        <v>187247.7294</v>
      </c>
      <c r="AD106" s="166" t="n">
        <f aca="false">AD104-AD105</f>
        <v>139015.6854</v>
      </c>
      <c r="AE106" s="166" t="n">
        <f aca="false">AE104-AE105</f>
        <v>139438.0302</v>
      </c>
      <c r="AF106" s="166" t="n">
        <f aca="false">AF104-AF105</f>
        <v>139860.3642</v>
      </c>
      <c r="AG106" s="166" t="n">
        <f aca="false">AG104-AG105</f>
        <v>140282.7036</v>
      </c>
      <c r="AH106" s="166" t="n">
        <f aca="false">AH104-AH105</f>
        <v>140705.0376</v>
      </c>
      <c r="AI106" s="166" t="n">
        <f aca="false">AI104-AI105</f>
        <v>155110.2234</v>
      </c>
      <c r="AJ106" s="166" t="n">
        <f aca="false">AJ104-AJ105</f>
        <v>141549.7218</v>
      </c>
      <c r="AK106" s="166" t="n">
        <f aca="false">AK104-AK105</f>
        <v>127989.2148</v>
      </c>
      <c r="AL106" s="166" t="n">
        <f aca="false">AL104-AL105</f>
        <v>114428.7078</v>
      </c>
      <c r="AM106" s="166" t="n">
        <f aca="false">AM104-AM105</f>
        <v>100868.1954</v>
      </c>
      <c r="AN106" s="166" t="n">
        <f aca="false">AN104-AN105</f>
        <v>87307.6938</v>
      </c>
      <c r="AO106" s="166" t="n">
        <f aca="false">AO104-AO105</f>
        <v>73747.1868</v>
      </c>
      <c r="AP106" s="166" t="n">
        <f aca="false">AP104-AP105</f>
        <v>60186.6744</v>
      </c>
      <c r="AQ106" s="166" t="n">
        <f aca="false">AQ104-AQ105</f>
        <v>46626.1728</v>
      </c>
      <c r="AR106" s="166" t="n">
        <f aca="false">AR104-AR105</f>
        <v>33065.6658</v>
      </c>
      <c r="AS106" s="166" t="n">
        <f aca="false">AS104-AS105</f>
        <v>76690.554</v>
      </c>
      <c r="AT106" s="166" t="n">
        <f aca="false">AT104-AT105</f>
        <v>62707.713</v>
      </c>
      <c r="AU106" s="166" t="n">
        <f aca="false">AU104-AU105</f>
        <v>35164.365</v>
      </c>
      <c r="AV106" s="166" t="n">
        <f aca="false">AV104-AV105</f>
        <v>34742.0256</v>
      </c>
      <c r="AW106" s="166" t="n">
        <f aca="false">AW104-AW105</f>
        <v>34319.6808</v>
      </c>
      <c r="AX106" s="166" t="n">
        <f aca="false">AX104-AX105</f>
        <v>33897.3468</v>
      </c>
      <c r="AY106" s="166" t="n">
        <f aca="false">AY104-AY105</f>
        <v>33475.0074</v>
      </c>
      <c r="AZ106" s="166" t="n">
        <f aca="false">AZ104-AZ105</f>
        <v>33052.668</v>
      </c>
      <c r="BA106" s="166" t="n">
        <f aca="false">BA104-BA105</f>
        <v>32630.3286</v>
      </c>
      <c r="BB106" s="166" t="n">
        <f aca="false">BB104-BB105</f>
        <v>32207.9892</v>
      </c>
      <c r="BC106" s="166" t="n">
        <f aca="false">BC104-BC105</f>
        <v>31785.6498</v>
      </c>
      <c r="BD106" s="166" t="n">
        <f aca="false">BD104-BD105</f>
        <v>31363.3104</v>
      </c>
      <c r="BE106" s="166" t="n">
        <f aca="false">BE104-BE105</f>
        <v>30940.971</v>
      </c>
      <c r="BF106" s="166" t="n">
        <f aca="false">BF104-BF105</f>
        <v>30518.6316</v>
      </c>
      <c r="BG106" s="166" t="n">
        <f aca="false">BG104-BG105</f>
        <v>30096.2976</v>
      </c>
      <c r="BH106" s="166" t="n">
        <f aca="false">BH104-BH105</f>
        <v>58874.7528</v>
      </c>
      <c r="BI106" s="166" t="n">
        <f aca="false">BI104-BI105</f>
        <v>58452.4134</v>
      </c>
      <c r="BJ106" s="166" t="n">
        <f aca="false">BJ104-BJ105</f>
        <v>115215.4746</v>
      </c>
      <c r="BK106" s="166" t="n">
        <f aca="false">BK104-BK105</f>
        <v>0</v>
      </c>
      <c r="BL106" s="166" t="n">
        <f aca="false">BL104-BL105</f>
        <v>0</v>
      </c>
      <c r="BM106" s="166" t="n">
        <f aca="false">BM104-BM105</f>
        <v>0</v>
      </c>
      <c r="BN106" s="166" t="n">
        <f aca="false">BN104-BN105</f>
        <v>0</v>
      </c>
      <c r="BO106" s="166" t="n">
        <f aca="false">BO104-BO105</f>
        <v>0</v>
      </c>
      <c r="BP106" s="166" t="n">
        <f aca="false">BP104-BP105</f>
        <v>0</v>
      </c>
      <c r="BQ106" s="166" t="n">
        <f aca="false">BQ104-BQ105</f>
        <v>0</v>
      </c>
      <c r="BR106" s="166" t="n">
        <f aca="false">BR104-BR105</f>
        <v>0</v>
      </c>
      <c r="BS106" s="166" t="n">
        <f aca="false">BS104-BS105</f>
        <v>0</v>
      </c>
      <c r="BT106" s="166" t="n">
        <f aca="false">BT104-BT105</f>
        <v>0</v>
      </c>
      <c r="BU106" s="166" t="n">
        <f aca="false">BU104-BU105</f>
        <v>0</v>
      </c>
      <c r="BV106" s="166" t="n">
        <f aca="false">BV104-BV105</f>
        <v>0</v>
      </c>
      <c r="BW106" s="166" t="n">
        <f aca="false">BW104-BW105</f>
        <v>0</v>
      </c>
      <c r="BX106" s="166" t="n">
        <f aca="false">BX104-BX105</f>
        <v>0</v>
      </c>
      <c r="BY106" s="166" t="n">
        <f aca="false">BY104-BY105</f>
        <v>0</v>
      </c>
      <c r="BZ106" s="166" t="n">
        <f aca="false">BZ104-BZ105</f>
        <v>0</v>
      </c>
      <c r="CA106" s="166" t="n">
        <f aca="false">CA104-CA105</f>
        <v>0</v>
      </c>
      <c r="CB106" s="166" t="n">
        <f aca="false">CB104-CB105</f>
        <v>0</v>
      </c>
      <c r="CC106" s="166" t="n">
        <f aca="false">CC104-CC105</f>
        <v>0</v>
      </c>
      <c r="CD106" s="166" t="n">
        <f aca="false">CD104-CD105</f>
        <v>0</v>
      </c>
      <c r="CE106" s="166" t="n">
        <f aca="false">CE104-CE105</f>
        <v>0</v>
      </c>
      <c r="CF106" s="166" t="n">
        <f aca="false">CF104-CF105</f>
        <v>0</v>
      </c>
      <c r="CG106" s="166" t="n">
        <f aca="false">CG104-CG105</f>
        <v>0</v>
      </c>
      <c r="CH106" s="166" t="n">
        <f aca="false">CH104-CH105</f>
        <v>0</v>
      </c>
    </row>
    <row r="107" customFormat="false" ht="15" hidden="false" customHeight="true" outlineLevel="0" collapsed="false">
      <c r="A107" s="163" t="s">
        <v>572</v>
      </c>
      <c r="B107" s="164" t="n">
        <f aca="false">SUM(C107:CH107)</f>
        <v>4439549.6</v>
      </c>
      <c r="C107" s="166" t="n">
        <f aca="false">C103+C106</f>
        <v>0</v>
      </c>
      <c r="D107" s="166" t="n">
        <f aca="false">D103+D106</f>
        <v>0</v>
      </c>
      <c r="E107" s="166" t="n">
        <f aca="false">E103+E106</f>
        <v>0</v>
      </c>
      <c r="F107" s="166" t="n">
        <f aca="false">F103+F106</f>
        <v>0</v>
      </c>
      <c r="G107" s="166" t="n">
        <f aca="false">G103+G106</f>
        <v>0</v>
      </c>
      <c r="H107" s="166" t="n">
        <f aca="false">H103+H106</f>
        <v>0</v>
      </c>
      <c r="I107" s="166" t="n">
        <f aca="false">I103+I106</f>
        <v>0</v>
      </c>
      <c r="J107" s="166" t="n">
        <f aca="false">J103+J106</f>
        <v>0</v>
      </c>
      <c r="K107" s="166" t="n">
        <f aca="false">K103+K106</f>
        <v>0</v>
      </c>
      <c r="L107" s="166" t="n">
        <f aca="false">L103+L106</f>
        <v>12131.8304</v>
      </c>
      <c r="M107" s="166" t="n">
        <f aca="false">M103+M106</f>
        <v>12131.8304</v>
      </c>
      <c r="N107" s="166" t="n">
        <f aca="false">N103+N106</f>
        <v>12131.8304</v>
      </c>
      <c r="O107" s="166" t="n">
        <f aca="false">O103+O106</f>
        <v>12131.8304</v>
      </c>
      <c r="P107" s="166" t="n">
        <f aca="false">P103+P106</f>
        <v>12131.8304</v>
      </c>
      <c r="Q107" s="166" t="n">
        <f aca="false">Q103+Q106</f>
        <v>12131.8304</v>
      </c>
      <c r="R107" s="166" t="n">
        <f aca="false">R103+R106</f>
        <v>16203.6928</v>
      </c>
      <c r="S107" s="166" t="n">
        <f aca="false">S103+S106</f>
        <v>32775.9552</v>
      </c>
      <c r="T107" s="166" t="n">
        <f aca="false">T103+T106</f>
        <v>49348.2176</v>
      </c>
      <c r="U107" s="166" t="n">
        <f aca="false">U103+U106</f>
        <v>65920.4736</v>
      </c>
      <c r="V107" s="166" t="n">
        <f aca="false">V103+V106</f>
        <v>82492.7424</v>
      </c>
      <c r="W107" s="166" t="n">
        <f aca="false">W103+W106</f>
        <v>99064.9984</v>
      </c>
      <c r="X107" s="166" t="n">
        <f aca="false">X103+X106</f>
        <v>115637.2544</v>
      </c>
      <c r="Y107" s="166" t="n">
        <f aca="false">Y103+Y106</f>
        <v>132209.5168</v>
      </c>
      <c r="Z107" s="166" t="n">
        <f aca="false">Z103+Z106</f>
        <v>148781.7856</v>
      </c>
      <c r="AA107" s="166" t="n">
        <f aca="false">AA103+AA106</f>
        <v>165354.0416</v>
      </c>
      <c r="AB107" s="166" t="n">
        <f aca="false">AB103+AB106</f>
        <v>181926.3104</v>
      </c>
      <c r="AC107" s="166" t="n">
        <f aca="false">AC103+AC106</f>
        <v>227330.7904</v>
      </c>
      <c r="AD107" s="166" t="n">
        <f aca="false">AD103+AD106</f>
        <v>170166.8864</v>
      </c>
      <c r="AE107" s="166" t="n">
        <f aca="false">AE103+AE106</f>
        <v>170667.4432</v>
      </c>
      <c r="AF107" s="166" t="n">
        <f aca="false">AF103+AF106</f>
        <v>171167.9872</v>
      </c>
      <c r="AG107" s="166" t="n">
        <f aca="false">AG103+AG106</f>
        <v>171668.5376</v>
      </c>
      <c r="AH107" s="166" t="n">
        <f aca="false">AH103+AH106</f>
        <v>172169.0816</v>
      </c>
      <c r="AI107" s="166" t="n">
        <f aca="false">AI103+AI106</f>
        <v>189241.8944</v>
      </c>
      <c r="AJ107" s="166" t="n">
        <f aca="false">AJ103+AJ106</f>
        <v>173170.1888</v>
      </c>
      <c r="AK107" s="166" t="n">
        <f aca="false">AK103+AK106</f>
        <v>157098.4768</v>
      </c>
      <c r="AL107" s="166" t="n">
        <f aca="false">AL103+AL106</f>
        <v>141026.7648</v>
      </c>
      <c r="AM107" s="166" t="n">
        <f aca="false">AM103+AM106</f>
        <v>124955.0464</v>
      </c>
      <c r="AN107" s="166" t="n">
        <f aca="false">AN103+AN106</f>
        <v>108883.3408</v>
      </c>
      <c r="AO107" s="166" t="n">
        <f aca="false">AO103+AO106</f>
        <v>92811.6288</v>
      </c>
      <c r="AP107" s="166" t="n">
        <f aca="false">AP103+AP106</f>
        <v>76739.9104</v>
      </c>
      <c r="AQ107" s="166" t="n">
        <f aca="false">AQ103+AQ106</f>
        <v>60668.2048</v>
      </c>
      <c r="AR107" s="166" t="n">
        <f aca="false">AR103+AR106</f>
        <v>44596.4928</v>
      </c>
      <c r="AS107" s="166" t="n">
        <f aca="false">AS103+AS106</f>
        <v>96300.064</v>
      </c>
      <c r="AT107" s="166" t="n">
        <f aca="false">AT103+AT106</f>
        <v>79727.808</v>
      </c>
      <c r="AU107" s="166" t="n">
        <f aca="false">AU103+AU106</f>
        <v>47083.84</v>
      </c>
      <c r="AV107" s="166" t="n">
        <f aca="false">AV103+AV106</f>
        <v>46583.2896</v>
      </c>
      <c r="AW107" s="166" t="n">
        <f aca="false">AW103+AW106</f>
        <v>46082.7328</v>
      </c>
      <c r="AX107" s="166" t="n">
        <f aca="false">AX103+AX106</f>
        <v>45582.1888</v>
      </c>
      <c r="AY107" s="166" t="n">
        <f aca="false">AY103+AY106</f>
        <v>45081.6384</v>
      </c>
      <c r="AZ107" s="166" t="n">
        <f aca="false">AZ103+AZ106</f>
        <v>44581.088</v>
      </c>
      <c r="BA107" s="166" t="n">
        <f aca="false">BA103+BA106</f>
        <v>44080.5376</v>
      </c>
      <c r="BB107" s="166" t="n">
        <f aca="false">BB103+BB106</f>
        <v>43579.9872</v>
      </c>
      <c r="BC107" s="166" t="n">
        <f aca="false">BC103+BC106</f>
        <v>43079.4368</v>
      </c>
      <c r="BD107" s="166" t="n">
        <f aca="false">BD103+BD106</f>
        <v>42578.8864</v>
      </c>
      <c r="BE107" s="166" t="n">
        <f aca="false">BE103+BE106</f>
        <v>42078.336</v>
      </c>
      <c r="BF107" s="166" t="n">
        <f aca="false">BF103+BF106</f>
        <v>41577.7856</v>
      </c>
      <c r="BG107" s="166" t="n">
        <f aca="false">BG103+BG106</f>
        <v>41077.2416</v>
      </c>
      <c r="BH107" s="166" t="n">
        <f aca="false">BH103+BH106</f>
        <v>69777.4848</v>
      </c>
      <c r="BI107" s="166" t="n">
        <f aca="false">BI103+BI106</f>
        <v>69276.9344</v>
      </c>
      <c r="BJ107" s="166" t="n">
        <f aca="false">BJ103+BJ106</f>
        <v>136551.6736</v>
      </c>
      <c r="BK107" s="166" t="n">
        <f aca="false">BK103+BK106</f>
        <v>0</v>
      </c>
      <c r="BL107" s="166" t="n">
        <f aca="false">BL103+BL106</f>
        <v>0</v>
      </c>
      <c r="BM107" s="166" t="n">
        <f aca="false">BM103+BM106</f>
        <v>0</v>
      </c>
      <c r="BN107" s="166" t="n">
        <f aca="false">BN103+BN106</f>
        <v>0</v>
      </c>
      <c r="BO107" s="166" t="n">
        <f aca="false">BO103+BO106</f>
        <v>0</v>
      </c>
      <c r="BP107" s="166" t="n">
        <f aca="false">BP103+BP106</f>
        <v>0</v>
      </c>
      <c r="BQ107" s="166" t="n">
        <f aca="false">BQ103+BQ106</f>
        <v>0</v>
      </c>
      <c r="BR107" s="166" t="n">
        <f aca="false">BR103+BR106</f>
        <v>0</v>
      </c>
      <c r="BS107" s="166" t="n">
        <f aca="false">BS103+BS106</f>
        <v>0</v>
      </c>
      <c r="BT107" s="166" t="n">
        <f aca="false">BT103+BT106</f>
        <v>0</v>
      </c>
      <c r="BU107" s="166" t="n">
        <f aca="false">BU103+BU106</f>
        <v>0</v>
      </c>
      <c r="BV107" s="166" t="n">
        <f aca="false">BV103+BV106</f>
        <v>0</v>
      </c>
      <c r="BW107" s="166" t="n">
        <f aca="false">BW103+BW106</f>
        <v>0</v>
      </c>
      <c r="BX107" s="166" t="n">
        <f aca="false">BX103+BX106</f>
        <v>0</v>
      </c>
      <c r="BY107" s="166" t="n">
        <f aca="false">BY103+BY106</f>
        <v>0</v>
      </c>
      <c r="BZ107" s="166" t="n">
        <f aca="false">BZ103+BZ106</f>
        <v>0</v>
      </c>
      <c r="CA107" s="166" t="n">
        <f aca="false">CA103+CA106</f>
        <v>0</v>
      </c>
      <c r="CB107" s="166" t="n">
        <f aca="false">CB103+CB106</f>
        <v>0</v>
      </c>
      <c r="CC107" s="166" t="n">
        <f aca="false">CC103+CC106</f>
        <v>0</v>
      </c>
      <c r="CD107" s="166" t="n">
        <f aca="false">CD103+CD106</f>
        <v>0</v>
      </c>
      <c r="CE107" s="166" t="n">
        <f aca="false">CE103+CE106</f>
        <v>0</v>
      </c>
      <c r="CF107" s="166" t="n">
        <f aca="false">CF103+CF106</f>
        <v>0</v>
      </c>
      <c r="CG107" s="166" t="n">
        <f aca="false">CG103+CG106</f>
        <v>0</v>
      </c>
      <c r="CH107" s="166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67" t="s">
        <v>676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  <c r="CF1" s="110"/>
      <c r="CG1" s="110"/>
      <c r="CH1" s="110"/>
    </row>
    <row r="2" customFormat="false" ht="15" hidden="false" customHeight="true" outlineLevel="0" collapsed="false">
      <c r="A2" s="110"/>
      <c r="B2" s="110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  <c r="AZ2" s="168"/>
      <c r="BA2" s="168"/>
      <c r="BB2" s="168"/>
      <c r="BC2" s="168"/>
      <c r="BD2" s="168"/>
      <c r="BE2" s="168"/>
      <c r="BF2" s="168"/>
      <c r="BG2" s="168"/>
      <c r="BH2" s="168"/>
      <c r="BI2" s="168"/>
      <c r="BJ2" s="168"/>
      <c r="BK2" s="168"/>
      <c r="BL2" s="168"/>
      <c r="BM2" s="168"/>
      <c r="BN2" s="168"/>
      <c r="BO2" s="168"/>
      <c r="BP2" s="168"/>
      <c r="BQ2" s="168"/>
      <c r="BR2" s="168"/>
      <c r="BS2" s="168"/>
      <c r="BT2" s="168"/>
      <c r="BU2" s="168"/>
      <c r="BV2" s="168"/>
      <c r="BW2" s="168"/>
      <c r="BX2" s="168"/>
      <c r="BY2" s="168"/>
      <c r="BZ2" s="168"/>
      <c r="CA2" s="168"/>
      <c r="CB2" s="168"/>
      <c r="CC2" s="168"/>
      <c r="CD2" s="168"/>
      <c r="CE2" s="168"/>
      <c r="CF2" s="168"/>
      <c r="CG2" s="168"/>
      <c r="CH2" s="168"/>
    </row>
    <row r="3" customFormat="false" ht="15" hidden="false" customHeight="true" outlineLevel="0" collapsed="false">
      <c r="A3" s="169"/>
      <c r="B3" s="170" t="s">
        <v>677</v>
      </c>
      <c r="C3" s="170" t="s">
        <v>678</v>
      </c>
      <c r="D3" s="170" t="s">
        <v>679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</row>
    <row r="4" customFormat="false" ht="15" hidden="false" customHeight="true" outlineLevel="0" collapsed="false">
      <c r="A4" s="110"/>
      <c r="B4" s="65"/>
      <c r="C4" s="65"/>
      <c r="D4" s="65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</row>
    <row r="5" customFormat="false" ht="15" hidden="false" customHeight="true" outlineLevel="0" collapsed="false">
      <c r="A5" s="171" t="s">
        <v>49</v>
      </c>
      <c r="B5" s="172"/>
      <c r="C5" s="172"/>
      <c r="D5" s="172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</row>
    <row r="6" customFormat="false" ht="15" hidden="false" customHeight="true" outlineLevel="0" collapsed="false">
      <c r="A6" s="173" t="s">
        <v>680</v>
      </c>
      <c r="B6" s="174" t="n">
        <f aca="false">SUM(Model!C59:CH59)</f>
        <v>1063981</v>
      </c>
      <c r="C6" s="174" t="n">
        <f aca="false">Helpers!B47</f>
        <v>1912475</v>
      </c>
      <c r="D6" s="174" t="n">
        <f aca="false">B6+C6</f>
        <v>2976456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</row>
    <row r="7" customFormat="false" ht="15" hidden="false" customHeight="true" outlineLevel="0" collapsed="false">
      <c r="A7" s="110" t="s">
        <v>681</v>
      </c>
      <c r="B7" s="65" t="n">
        <f aca="false">-Projects!$B$7*Assumptions!$B$47</f>
        <v>-429684.48</v>
      </c>
      <c r="C7" s="65" t="n">
        <v>0</v>
      </c>
      <c r="D7" s="65" t="n">
        <f aca="false">B7+C7</f>
        <v>-429684.48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</row>
    <row r="8" customFormat="false" ht="15" hidden="false" customHeight="true" outlineLevel="0" collapsed="false">
      <c r="A8" s="173" t="s">
        <v>682</v>
      </c>
      <c r="B8" s="174" t="n">
        <f aca="false">-Assumptions!$B$53*Assumptions!$B$48</f>
        <v>-150000</v>
      </c>
      <c r="C8" s="174" t="n">
        <v>0</v>
      </c>
      <c r="D8" s="174" t="n">
        <f aca="false">B8+C8</f>
        <v>-150000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</row>
    <row r="9" customFormat="false" ht="15" hidden="false" customHeight="true" outlineLevel="0" collapsed="false">
      <c r="A9" s="110" t="s">
        <v>549</v>
      </c>
      <c r="B9" s="65" t="n">
        <v>0</v>
      </c>
      <c r="C9" s="65" t="n">
        <v>0</v>
      </c>
      <c r="D9" s="65" t="n">
        <f aca="false">B9+C9</f>
        <v>0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</row>
    <row r="10" customFormat="false" ht="15" hidden="false" customHeight="true" outlineLevel="0" collapsed="false">
      <c r="A10" s="141" t="s">
        <v>683</v>
      </c>
      <c r="B10" s="144" t="n">
        <f aca="false">SUM(B6:B9)</f>
        <v>484296.52</v>
      </c>
      <c r="C10" s="144" t="n">
        <f aca="false">SUM(C6:C9)</f>
        <v>1912475</v>
      </c>
      <c r="D10" s="144" t="n">
        <f aca="false">SUM(D6:D9)</f>
        <v>2396771.52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</row>
    <row r="11" customFormat="false" ht="15" hidden="false" customHeight="true" outlineLevel="0" collapsed="false">
      <c r="A11" s="175"/>
      <c r="B11" s="176"/>
      <c r="C11" s="176"/>
      <c r="D11" s="176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</row>
    <row r="12" customFormat="false" ht="15" hidden="false" customHeight="true" outlineLevel="0" collapsed="false">
      <c r="A12" s="112" t="s">
        <v>684</v>
      </c>
      <c r="B12" s="112"/>
      <c r="C12" s="177"/>
      <c r="D12" s="177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</row>
    <row r="13" customFormat="false" ht="15" hidden="false" customHeight="true" outlineLevel="0" collapsed="false">
      <c r="A13" s="173" t="s">
        <v>680</v>
      </c>
      <c r="B13" s="174" t="n">
        <f aca="false">SUM(Model!C61:CH61)</f>
        <v>292621</v>
      </c>
      <c r="C13" s="174" t="n">
        <f aca="false">Helpers!B48</f>
        <v>2633580</v>
      </c>
      <c r="D13" s="174" t="n">
        <f aca="false">B13+C13</f>
        <v>2926201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</row>
    <row r="14" customFormat="false" ht="15" hidden="false" customHeight="true" outlineLevel="0" collapsed="false">
      <c r="A14" s="178" t="s">
        <v>681</v>
      </c>
      <c r="B14" s="179" t="n">
        <f aca="false">-Projects!$B$14*Assumptions!$B$47</f>
        <v>-413546.32</v>
      </c>
      <c r="C14" s="179" t="n">
        <v>0</v>
      </c>
      <c r="D14" s="179" t="n">
        <f aca="false">B14+C14</f>
        <v>-413546.32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</row>
    <row r="15" customFormat="false" ht="15" hidden="false" customHeight="true" outlineLevel="0" collapsed="false">
      <c r="A15" s="173" t="s">
        <v>682</v>
      </c>
      <c r="B15" s="174" t="n">
        <f aca="false">-Assumptions!$B$55*Assumptions!$B$48</f>
        <v>-150000</v>
      </c>
      <c r="C15" s="174" t="n">
        <v>0</v>
      </c>
      <c r="D15" s="174" t="n">
        <f aca="false">B15+C15</f>
        <v>-150000</v>
      </c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</row>
    <row r="16" customFormat="false" ht="15" hidden="false" customHeight="true" outlineLevel="0" collapsed="false">
      <c r="A16" s="178" t="s">
        <v>549</v>
      </c>
      <c r="B16" s="179" t="n">
        <f aca="false">-SUM(Model!C121:CH121)</f>
        <v>-603840.547005172</v>
      </c>
      <c r="C16" s="179" t="n">
        <f aca="false">-Helpers!F93</f>
        <v>-240125.881206445</v>
      </c>
      <c r="D16" s="179" t="n">
        <f aca="false">B16+C16</f>
        <v>-843966.428211617</v>
      </c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</row>
    <row r="17" customFormat="false" ht="15" hidden="false" customHeight="true" outlineLevel="0" collapsed="false">
      <c r="A17" s="6" t="s">
        <v>683</v>
      </c>
      <c r="B17" s="7" t="n">
        <f aca="false">SUM(B13:B16)</f>
        <v>-874765.867005172</v>
      </c>
      <c r="C17" s="7" t="n">
        <f aca="false">SUM(C13:C16)</f>
        <v>2393454.11879355</v>
      </c>
      <c r="D17" s="7" t="n">
        <f aca="false">SUM(D13:D16)</f>
        <v>1518688.25178838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</row>
    <row r="18" customFormat="false" ht="15" hidden="false" customHeight="true" outlineLevel="0" collapsed="false">
      <c r="A18" s="180"/>
      <c r="B18" s="181"/>
      <c r="C18" s="181"/>
      <c r="D18" s="181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</row>
    <row r="19" customFormat="false" ht="15" hidden="false" customHeight="true" outlineLevel="0" collapsed="false">
      <c r="A19" s="182" t="s">
        <v>54</v>
      </c>
      <c r="B19" s="183"/>
      <c r="C19" s="183"/>
      <c r="D19" s="183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</row>
    <row r="20" customFormat="false" ht="15" hidden="false" customHeight="true" outlineLevel="0" collapsed="false">
      <c r="A20" s="184" t="s">
        <v>680</v>
      </c>
      <c r="B20" s="185" t="n">
        <f aca="false">SUM(Model!C60:CH60)</f>
        <v>1681289</v>
      </c>
      <c r="C20" s="185" t="n">
        <f aca="false">Helpers!B49</f>
        <v>2278136</v>
      </c>
      <c r="D20" s="185" t="n">
        <f aca="false">B20+C20</f>
        <v>3959425</v>
      </c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</row>
    <row r="21" customFormat="false" ht="15" hidden="false" customHeight="true" outlineLevel="0" collapsed="false">
      <c r="A21" s="186" t="s">
        <v>681</v>
      </c>
      <c r="B21" s="187" t="n">
        <f aca="false">-Projects!$B$13*Assumptions!$B$47</f>
        <v>-452667.7</v>
      </c>
      <c r="C21" s="187" t="n">
        <v>0</v>
      </c>
      <c r="D21" s="187" t="n">
        <f aca="false">B21+C21</f>
        <v>-452667.7</v>
      </c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</row>
    <row r="22" customFormat="false" ht="15" hidden="false" customHeight="true" outlineLevel="0" collapsed="false">
      <c r="A22" s="184" t="s">
        <v>682</v>
      </c>
      <c r="B22" s="185" t="n">
        <f aca="false">-Assumptions!$B$54*Assumptions!$B$48</f>
        <v>-150000</v>
      </c>
      <c r="C22" s="185" t="n">
        <v>0</v>
      </c>
      <c r="D22" s="185" t="n">
        <f aca="false">B22+C22</f>
        <v>-150000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</row>
    <row r="23" customFormat="false" ht="15" hidden="false" customHeight="true" outlineLevel="0" collapsed="false">
      <c r="A23" s="110" t="s">
        <v>549</v>
      </c>
      <c r="B23" s="65" t="n">
        <f aca="false">-SUM(Model!C126:CH126)</f>
        <v>-738013.273393521</v>
      </c>
      <c r="C23" s="65" t="n">
        <v>0</v>
      </c>
      <c r="D23" s="65" t="n">
        <f aca="false">B23+C23</f>
        <v>-738013.273393521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</row>
    <row r="24" customFormat="false" ht="15" hidden="false" customHeight="true" outlineLevel="0" collapsed="false">
      <c r="A24" s="146" t="s">
        <v>683</v>
      </c>
      <c r="B24" s="148" t="n">
        <f aca="false">SUM(B20:B23)</f>
        <v>340608.026606479</v>
      </c>
      <c r="C24" s="148" t="n">
        <f aca="false">SUM(C20:C23)</f>
        <v>2278136</v>
      </c>
      <c r="D24" s="148" t="n">
        <f aca="false">SUM(D20:D23)</f>
        <v>2618744.02660648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</row>
    <row r="25" customFormat="false" ht="15" hidden="false" customHeight="true" outlineLevel="0" collapsed="false">
      <c r="A25" s="129"/>
      <c r="B25" s="188"/>
      <c r="C25" s="188"/>
      <c r="D25" s="188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</row>
    <row r="26" customFormat="false" ht="15" hidden="false" customHeight="true" outlineLevel="0" collapsed="false">
      <c r="A26" s="189" t="s">
        <v>685</v>
      </c>
      <c r="B26" s="190"/>
      <c r="C26" s="190"/>
      <c r="D26" s="190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</row>
    <row r="27" customFormat="false" ht="15" hidden="false" customHeight="true" outlineLevel="0" collapsed="false">
      <c r="A27" s="191" t="s">
        <v>686</v>
      </c>
      <c r="B27" s="192" t="n">
        <f aca="false">B6+B13+B20</f>
        <v>3037891</v>
      </c>
      <c r="C27" s="192" t="n">
        <f aca="false">C6+C13+C20</f>
        <v>6824191</v>
      </c>
      <c r="D27" s="192" t="n">
        <f aca="false">D6+D13+D20</f>
        <v>9862082</v>
      </c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</row>
    <row r="28" customFormat="false" ht="15" hidden="false" customHeight="true" outlineLevel="0" collapsed="false">
      <c r="A28" s="110" t="s">
        <v>687</v>
      </c>
      <c r="B28" s="65" t="n">
        <f aca="false">B7+B14+B21</f>
        <v>-1295898.5</v>
      </c>
      <c r="C28" s="65" t="n">
        <f aca="false">C7+C14+C21</f>
        <v>0</v>
      </c>
      <c r="D28" s="65" t="n">
        <f aca="false">D7+D14+D21</f>
        <v>-1295898.5</v>
      </c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</row>
    <row r="29" customFormat="false" ht="15" hidden="false" customHeight="true" outlineLevel="0" collapsed="false">
      <c r="A29" s="193" t="s">
        <v>688</v>
      </c>
      <c r="B29" s="194" t="n">
        <f aca="false">B8+B15+B22</f>
        <v>-450000</v>
      </c>
      <c r="C29" s="194" t="n">
        <f aca="false">C8+C15+C22</f>
        <v>0</v>
      </c>
      <c r="D29" s="194" t="n">
        <f aca="false">D8+D15+D22</f>
        <v>-450000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</row>
    <row r="30" customFormat="false" ht="15" hidden="false" customHeight="true" outlineLevel="0" collapsed="false">
      <c r="A30" s="195" t="s">
        <v>689</v>
      </c>
      <c r="B30" s="196" t="n">
        <f aca="false">B9+B16+B23</f>
        <v>-1341853.82039869</v>
      </c>
      <c r="C30" s="196" t="n">
        <f aca="false">C9+C16+C23</f>
        <v>-240125.881206445</v>
      </c>
      <c r="D30" s="196" t="n">
        <f aca="false">D9+D16+D23</f>
        <v>-1581979.70160514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</row>
    <row r="31" customFormat="false" ht="15" hidden="false" customHeight="true" outlineLevel="0" collapsed="false">
      <c r="A31" s="6" t="s">
        <v>690</v>
      </c>
      <c r="B31" s="7" t="n">
        <f aca="false">B10+B17+B24</f>
        <v>-49861.3203986927</v>
      </c>
      <c r="C31" s="7" t="n">
        <f aca="false">C10+C17+C24</f>
        <v>6584065.11879356</v>
      </c>
      <c r="D31" s="7" t="n">
        <f aca="false">D10+D17+D24</f>
        <v>6534203.79839486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</row>
    <row r="32" customFormat="false" ht="15" hidden="false" customHeight="true" outlineLevel="0" collapsed="false">
      <c r="A32" s="197"/>
      <c r="B32" s="198"/>
      <c r="C32" s="198"/>
      <c r="D32" s="198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</row>
    <row r="33" customFormat="false" ht="15" hidden="false" customHeight="true" outlineLevel="0" collapsed="false">
      <c r="A33" s="129"/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</row>
    <row r="34" customFormat="false" ht="15" hidden="false" customHeight="true" outlineLevel="0" collapsed="false">
      <c r="A34" s="197"/>
      <c r="B34" s="198"/>
      <c r="C34" s="198"/>
      <c r="D34" s="198"/>
    </row>
    <row r="35" customFormat="false" ht="15" hidden="false" customHeight="true" outlineLevel="0" collapsed="false">
      <c r="A35" s="175"/>
      <c r="B35" s="176"/>
      <c r="C35" s="176"/>
      <c r="D35" s="176"/>
    </row>
    <row r="36" customFormat="false" ht="15" hidden="false" customHeight="false" outlineLevel="0" collapsed="false"/>
    <row r="37" customFormat="false" ht="15" hidden="false" customHeight="true" outlineLevel="0" collapsed="false">
      <c r="A37" s="199"/>
    </row>
    <row r="38" customFormat="false" ht="15" hidden="false" customHeight="true" outlineLevel="0" collapsed="false">
      <c r="A38" s="200"/>
    </row>
    <row r="39" customFormat="false" ht="15" hidden="false" customHeight="true" outlineLevel="0" collapsed="false">
      <c r="A39" s="200"/>
    </row>
    <row r="40" customFormat="false" ht="15" hidden="false" customHeight="true" outlineLevel="0" collapsed="false">
      <c r="A40" s="200" t="s">
        <v>691</v>
      </c>
    </row>
    <row r="41" customFormat="false" ht="15" hidden="false" customHeight="true" outlineLevel="0" collapsed="false">
      <c r="A41" s="200" t="s">
        <v>692</v>
      </c>
    </row>
    <row r="42" customFormat="false" ht="15" hidden="false" customHeight="true" outlineLevel="0" collapsed="false">
      <c r="A42" s="200" t="s">
        <v>693</v>
      </c>
    </row>
    <row r="43" customFormat="false" ht="15" hidden="false" customHeight="true" outlineLevel="0" collapsed="false">
      <c r="A43" s="200" t="s">
        <v>694</v>
      </c>
    </row>
    <row r="44" customFormat="false" ht="15" hidden="false" customHeight="true" outlineLevel="0" collapsed="false">
      <c r="A44" s="200" t="s">
        <v>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Aiello</cp:lastModifiedBy>
  <dcterms:modified xsi:type="dcterms:W3CDTF">2026-04-01T12:22:47Z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