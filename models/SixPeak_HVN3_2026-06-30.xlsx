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<sst xmlns="http://schemas.openxmlformats.org/spreadsheetml/2006/main" count="2181" uniqueCount="987">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</sst>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2"/>
      <charset val="1"/>
    </font>
    <font>
      <sz val="10"/>
      <color theme="1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9"/>
      <color rgb="FF2C3A51"/>
      <name val="Cambria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9"/>
      <color rgb="FFBFC7DA"/>
      <name val="Aptos"/>
      <family val="2"/>
      <charset val="1"/>
    </font>
    <font>
      <sz val="11"/>
      <color rgb="FFF8FAFC"/>
      <name val="Calibri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0B1833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9"/>
      <color rgb="FF666666"/>
      <name val="Aptos"/>
      <family val="2"/>
      <charset val="1"/>
    </font>
    <font>
      <sz val="9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2"/>
      <charset val="1"/>
    </font>
    <font>
      <sz val="9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008000"/>
      <name val="Aptos"/>
      <family val="2"/>
      <charset val="1"/>
    </font>
    <font>
      <sz val="10"/>
      <color rgb="FF2D2D2D"/>
      <name val="Aptos"/>
      <family val="2"/>
      <charset val="1"/>
    </font>
    <font>
      <b val="true"/>
      <sz val="12"/>
      <name val="Aptos"/>
      <family val="2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9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i val="true"/>
      <sz val="9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3"/>
      <name val="Aptos"/>
      <family val="2"/>
      <charset val="1"/>
    </font>
    <font>
      <b val="true"/>
      <sz val="9"/>
      <color rgb="FF666666"/>
      <name val="Aptos"/>
      <family val="2"/>
      <charset val="1"/>
    </font>
    <font>
      <sz val="9"/>
      <color rgb="FF888888"/>
      <name val="Aptos"/>
      <family val="2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4"/>
      <color rgb="FF0B1833"/>
      <name val="Aptos"/>
      <family val="0"/>
      <charset val="1"/>
    </font>
    <font>
      <i val="true"/>
      <sz val="9"/>
      <color rgb="FF475569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Reseda, Dickens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Riverton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Moorpark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508302.955946641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425256.97824731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406450.95699648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386093.369268266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516471.030594113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534808.175619569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578735.877814612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520899.631345542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487952.941306926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486722.585459561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485579.549912625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480725.31006668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480725.31006668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480725.31006668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525420.651234667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436029.968898692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436029.968898692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436029.968898692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526121.379332625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526121.379332625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599262.176681375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468218.248098198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520901.510694448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454463.960555698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440044.525115948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509686.521588498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188705.446102017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188705.446102017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404710.7589459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338470.881660714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323141.421076519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306388.542103826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402500.679760547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414475.338933492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445613.611022909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397733.969697001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369814.975650629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368236.482011232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366770.016561985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360542.23560143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360542.23560143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360542.23560143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394063.57905522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327020.89214764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327020.89214764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327020.89214764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394589.122582254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394589.122582254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449444.454801254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351161.984575545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390674.240072545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340846.318901545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330031.794721745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382263.038998185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141528.398823747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141528.398823747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29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customFormat="false" ht="15" hidden="true" customHeight="true" outlineLevel="1" collapsed="false">
      <c r="A13" s="30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0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0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0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0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0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0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0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0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0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0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0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0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0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313939.25166175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409572.44932175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512511.38613675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618651.37008675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722892.16817675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819444.32673675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902380.54796175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966202.38246675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1006452.86988675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1020206.65135675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1006452.86988675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966202.38246675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902380.54796175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819444.32673675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722892.16817675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618651.37008675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512511.38613675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409572.44932175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221743.7335685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0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231977.53316825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302643.28510825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378707.42969325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457136.90774325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534163.03005325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605507.82509325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666791.46486825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713951.00816325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743693.09594325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753856.10767325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743693.09594325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713951.00816325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666791.46486825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605507.82509325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534163.03005325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457136.90774325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378707.42969325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302643.28510825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163851.9682915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0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378029.73543905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493186.38507505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617140.23552405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744948.62469405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870470.11050805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986733.32628405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1086600.92041905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1163451.93884205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1211919.53577405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1228481.14233605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1211919.53577405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1163451.93884205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1086600.92041905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986733.32628405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870470.11050805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744948.62469405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617140.23552405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493186.38507505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267012.5653051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0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0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0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0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0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0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0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0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0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0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0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0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0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0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0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0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0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0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0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0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0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0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0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0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0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0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0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0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customFormat="false" ht="15" hidden="false" customHeight="true" outlineLevel="0" collapsed="false">
      <c r="A57" s="31" t="s">
        <v>51</v>
      </c>
      <c r="B57" s="32" t="n">
        <f aca="false">SUM(B13:B56)</f>
        <v>1242053.19</v>
      </c>
      <c r="C57" s="32" t="n">
        <f aca="false">SUM(C13:C56)</f>
        <v>2710434.48</v>
      </c>
      <c r="D57" s="32" t="n">
        <f aca="false">SUM(D13:D56)</f>
        <v>2402410.43</v>
      </c>
      <c r="E57" s="32" t="n">
        <f aca="false">SUM(E13:E56)</f>
        <v>3312759.91</v>
      </c>
      <c r="F57" s="32" t="n">
        <f aca="false">SUM(F13:F56)</f>
        <v>3939278.23</v>
      </c>
      <c r="G57" s="32" t="n">
        <f aca="false">SUM(G13:G56)</f>
        <v>5584522.73</v>
      </c>
      <c r="H57" s="32" t="n">
        <f aca="false">SUM(H13:H56)</f>
        <v>4383577.44107703</v>
      </c>
      <c r="I57" s="32" t="n">
        <f aca="false">SUM(I13:I56)</f>
        <v>5309098.69845507</v>
      </c>
      <c r="J57" s="32" t="n">
        <f aca="false">SUM(J13:J56)</f>
        <v>5754587.19294553</v>
      </c>
      <c r="K57" s="32" t="n">
        <f aca="false">SUM(K13:K56)</f>
        <v>5898537.70956965</v>
      </c>
      <c r="L57" s="32" t="n">
        <f aca="false">SUM(L13:L56)</f>
        <v>5999391.72911292</v>
      </c>
      <c r="M57" s="32" t="n">
        <f aca="false">SUM(M13:M56)</f>
        <v>5559612.50426345</v>
      </c>
      <c r="N57" s="32" t="n">
        <f aca="false">SUM(N13:N56)</f>
        <v>5667238.85729322</v>
      </c>
      <c r="O57" s="32" t="n">
        <f aca="false">SUM(O13:O56)</f>
        <v>5723594.06095478</v>
      </c>
      <c r="P57" s="32" t="n">
        <f aca="false">SUM(P13:P56)</f>
        <v>5731157.07065786</v>
      </c>
      <c r="Q57" s="32" t="n">
        <f aca="false">SUM(Q13:Q56)</f>
        <v>6563234.4120546</v>
      </c>
      <c r="R57" s="32" t="n">
        <f aca="false">SUM(R13:R56)</f>
        <v>6919820.70178169</v>
      </c>
      <c r="S57" s="32" t="n">
        <f aca="false">SUM(S13:S56)</f>
        <v>7468380.90827314</v>
      </c>
      <c r="T57" s="32" t="n">
        <f aca="false">SUM(T13:T56)</f>
        <v>7203197.63862792</v>
      </c>
      <c r="U57" s="32" t="n">
        <f aca="false">SUM(U13:U56)</f>
        <v>7146900.72363662</v>
      </c>
      <c r="V57" s="32" t="n">
        <f aca="false">SUM(V13:V56)</f>
        <v>7537640.41173967</v>
      </c>
      <c r="W57" s="32" t="n">
        <f aca="false">SUM(W13:W56)</f>
        <v>7850990.14667132</v>
      </c>
      <c r="X57" s="32" t="n">
        <f aca="false">SUM(X13:X56)</f>
        <v>8017196.65576849</v>
      </c>
      <c r="Y57" s="32" t="n">
        <f aca="false">SUM(Y13:Y56)</f>
        <v>8148989.82161639</v>
      </c>
      <c r="Z57" s="32" t="n">
        <f aca="false">SUM(Z13:Z56)</f>
        <v>8167558.90012734</v>
      </c>
      <c r="AA57" s="32" t="n">
        <f aca="false">SUM(AA13:AA56)</f>
        <v>7991165.05649696</v>
      </c>
      <c r="AB57" s="32" t="n">
        <f aca="false">SUM(AB13:AB56)</f>
        <v>7662738.09949787</v>
      </c>
      <c r="AC57" s="32" t="n">
        <f aca="false">SUM(AC13:AC56)</f>
        <v>7405439.42715927</v>
      </c>
      <c r="AD57" s="32" t="n">
        <f aca="false">SUM(AD13:AD56)</f>
        <v>7043503.34047987</v>
      </c>
      <c r="AE57" s="32" t="n">
        <f aca="false">SUM(AE13:AE56)</f>
        <v>7102674.03943672</v>
      </c>
      <c r="AF57" s="32" t="n">
        <f aca="false">SUM(AF13:AF56)</f>
        <v>6687261.82518472</v>
      </c>
      <c r="AG57" s="32" t="n">
        <f aca="false">SUM(AG13:AG56)</f>
        <v>6106132.72807177</v>
      </c>
      <c r="AH57" s="32" t="n">
        <f aca="false">SUM(AH13:AH56)</f>
        <v>5503788.27153826</v>
      </c>
      <c r="AI57" s="32" t="n">
        <f aca="false">SUM(AI13:AI56)</f>
        <v>5008848.94799441</v>
      </c>
      <c r="AJ57" s="32" t="n">
        <f aca="false">SUM(AJ13:AJ56)</f>
        <v>4409428.36945736</v>
      </c>
      <c r="AK57" s="32" t="n">
        <f aca="false">SUM(AK13:AK56)</f>
        <v>3894972.73626371</v>
      </c>
      <c r="AL57" s="32" t="n">
        <f aca="false">SUM(AL13:AL56)</f>
        <v>3152132.58396312</v>
      </c>
      <c r="AM57" s="32" t="n">
        <f aca="false">SUM(AM13:AM56)</f>
        <v>2784122.72612224</v>
      </c>
      <c r="AN57" s="32" t="n">
        <f aca="false">SUM(AN13:AN56)</f>
        <v>2758500.16771824</v>
      </c>
      <c r="AO57" s="32" t="n">
        <f aca="false">SUM(AO13:AO56)</f>
        <v>2717434.98835224</v>
      </c>
      <c r="AP57" s="32" t="n">
        <f aca="false">SUM(AP13:AP56)</f>
        <v>2661368.68946424</v>
      </c>
      <c r="AQ57" s="32" t="n">
        <f aca="false">SUM(AQ13:AQ56)</f>
        <v>2590847.27570024</v>
      </c>
      <c r="AR57" s="32" t="n">
        <f aca="false">SUM(AR13:AR56)</f>
        <v>2506479.90028024</v>
      </c>
      <c r="AS57" s="32" t="n">
        <f aca="false">SUM(AS13:AS56)</f>
        <v>2409088.63497424</v>
      </c>
      <c r="AT57" s="32" t="n">
        <f aca="false">SUM(AT13:AT56)</f>
        <v>2027193.26653074</v>
      </c>
      <c r="AU57" s="32" t="n">
        <f aca="false">SUM(AU13:AU56)</f>
        <v>1724513.72534745</v>
      </c>
      <c r="AV57" s="32" t="n">
        <f aca="false">SUM(AV13:AV56)</f>
        <v>1687294.55654745</v>
      </c>
      <c r="AW57" s="32" t="n">
        <f aca="false">SUM(AW13:AW56)</f>
        <v>1632789.15157145</v>
      </c>
      <c r="AX57" s="32" t="n">
        <f aca="false">SUM(AX13:AX56)</f>
        <v>1562651.69569945</v>
      </c>
      <c r="AY57" s="32" t="n">
        <f aca="false">SUM(AY13:AY56)</f>
        <v>1478825.85663545</v>
      </c>
      <c r="AZ57" s="32" t="n">
        <f aca="false">SUM(AZ13:AZ56)</f>
        <v>1383586.13913945</v>
      </c>
      <c r="BA57" s="32" t="n">
        <f aca="false">SUM(BA13:BA56)</f>
        <v>1279496.53039545</v>
      </c>
      <c r="BB57" s="32" t="n">
        <f aca="false">SUM(BB13:BB56)</f>
        <v>1169079.66295545</v>
      </c>
      <c r="BC57" s="32" t="n">
        <f aca="false">SUM(BC13:BC56)</f>
        <v>1054982.23326745</v>
      </c>
      <c r="BD57" s="32" t="n">
        <f aca="false">SUM(BD13:BD56)</f>
        <v>939685.519251453</v>
      </c>
      <c r="BE57" s="32" t="n">
        <f aca="false">SUM(BE13:BE56)</f>
        <v>825464.025667453</v>
      </c>
      <c r="BF57" s="32" t="n">
        <f aca="false">SUM(BF13:BF56)</f>
        <v>714385.484115453</v>
      </c>
      <c r="BG57" s="32" t="n">
        <f aca="false">SUM(BG13:BG56)</f>
        <v>608145.434507453</v>
      </c>
      <c r="BH57" s="32" t="n">
        <f aca="false">SUM(BH13:BH56)</f>
        <v>259255.013907853</v>
      </c>
      <c r="BI57" s="32" t="n">
        <f aca="false">SUM(BI13:BI56)</f>
        <v>0</v>
      </c>
      <c r="BJ57" s="32" t="n">
        <f aca="false">SUM(BJ13:BJ56)</f>
        <v>0</v>
      </c>
      <c r="BK57" s="32" t="n">
        <f aca="false">SUM(BK13:BK56)</f>
        <v>0</v>
      </c>
      <c r="BL57" s="32" t="n">
        <f aca="false">SUM(BL13:BL56)</f>
        <v>0</v>
      </c>
      <c r="BM57" s="32" t="n">
        <f aca="false">SUM(BM13:BM56)</f>
        <v>0</v>
      </c>
      <c r="BN57" s="32" t="n">
        <f aca="false">SUM(BN13:BN56)</f>
        <v>0</v>
      </c>
      <c r="BO57" s="32" t="n">
        <f aca="false">SUM(BO13:BO56)</f>
        <v>0</v>
      </c>
      <c r="BP57" s="32" t="n">
        <f aca="false">SUM(BP13:BP56)</f>
        <v>0</v>
      </c>
      <c r="BQ57" s="32" t="n">
        <f aca="false">SUM(BQ13:BQ56)</f>
        <v>0</v>
      </c>
      <c r="BR57" s="32" t="n">
        <f aca="false">SUM(BR13:BR56)</f>
        <v>0</v>
      </c>
      <c r="BS57" s="32" t="n">
        <f aca="false">SUM(BS13:BS56)</f>
        <v>0</v>
      </c>
      <c r="BT57" s="32" t="n">
        <f aca="false">SUM(BT13:BT56)</f>
        <v>0</v>
      </c>
      <c r="BU57" s="32" t="n">
        <f aca="false">SUM(BU13:BU56)</f>
        <v>0</v>
      </c>
      <c r="BV57" s="32" t="n">
        <f aca="false">SUM(BV13:BV56)</f>
        <v>0</v>
      </c>
      <c r="BW57" s="32" t="n">
        <f aca="false">SUM(BW13:BW56)</f>
        <v>0</v>
      </c>
      <c r="BX57" s="32" t="n">
        <f aca="false">SUM(BX13:BX56)</f>
        <v>0</v>
      </c>
      <c r="BY57" s="32" t="n">
        <f aca="false">SUM(BY13:BY56)</f>
        <v>0</v>
      </c>
      <c r="BZ57" s="32" t="n">
        <f aca="false">SUM(BZ13:BZ56)</f>
        <v>0</v>
      </c>
      <c r="CA57" s="32" t="n">
        <f aca="false">SUM(CA13:CA56)</f>
        <v>0</v>
      </c>
      <c r="CB57" s="32" t="n">
        <f aca="false">SUM(CB13:CB56)</f>
        <v>0</v>
      </c>
      <c r="CC57" s="32" t="n">
        <f aca="false">SUM(CC13:CC56)</f>
        <v>0</v>
      </c>
      <c r="CD57" s="32" t="n">
        <f aca="false">SUM(CD13:CD56)</f>
        <v>0</v>
      </c>
      <c r="CE57" s="32" t="n">
        <f aca="false">SUM(CE13:CE56)</f>
        <v>0</v>
      </c>
      <c r="CF57" s="32" t="n">
        <f aca="false">SUM(CF13:CF56)</f>
        <v>0</v>
      </c>
      <c r="CG57" s="32" t="n">
        <f aca="false">SUM(CG13:CG56)</f>
        <v>0</v>
      </c>
      <c r="CH57" s="32" t="n">
        <f aca="false">SUM(CH13:CH56)</f>
        <v>0</v>
      </c>
      <c r="CI57" s="32" t="n">
        <f aca="false">SUM(CI13:CI56)</f>
        <v>0</v>
      </c>
      <c r="CJ57" s="32" t="n">
        <f aca="false">SUM(CJ13:CJ56)</f>
        <v>0</v>
      </c>
      <c r="CK57" s="32" t="n">
        <f aca="false">SUM(CK13:CK56)</f>
        <v>0</v>
      </c>
      <c r="CL57" s="32" t="n">
        <f aca="false">SUM(CL13:CL56)</f>
        <v>0</v>
      </c>
      <c r="CM57" s="32" t="n">
        <f aca="false">SUM(CM13:CM56)</f>
        <v>0</v>
      </c>
      <c r="CN57" s="32" t="n">
        <f aca="false">SUM(CN13:CN56)</f>
        <v>0</v>
      </c>
      <c r="CO57" s="32" t="n">
        <f aca="false">SUM(CO13:CO56)</f>
        <v>0</v>
      </c>
      <c r="CP57" s="32" t="n">
        <f aca="false">SUM(CP13:CP56)</f>
        <v>0</v>
      </c>
      <c r="CQ57" s="32" t="n">
        <f aca="false">SUM(CQ13:CQ56)</f>
        <v>0</v>
      </c>
      <c r="CR57" s="32" t="n">
        <f aca="false">SUM(CR13:CR56)</f>
        <v>0</v>
      </c>
      <c r="CS57" s="32" t="n">
        <f aca="false">SUM(CS13:CS56)</f>
        <v>0</v>
      </c>
      <c r="CT57" s="32" t="n">
        <f aca="false">SUM(CT13:CT56)</f>
        <v>0</v>
      </c>
      <c r="CU57" s="32" t="n">
        <f aca="false">SUM(CU13:CU56)</f>
        <v>0</v>
      </c>
      <c r="CV57" s="32" t="n">
        <f aca="false">SUM(CV13:CV56)</f>
        <v>0</v>
      </c>
      <c r="CW57" s="32" t="n">
        <f aca="false">SUM(CW13:CW56)</f>
        <v>0</v>
      </c>
      <c r="CX57" s="32" t="n">
        <f aca="false">SUM(CX13:CX56)</f>
        <v>0</v>
      </c>
      <c r="CY57" s="32" t="n">
        <f aca="false">SUM(CY13:CY56)</f>
        <v>0</v>
      </c>
      <c r="CZ57" s="32" t="n">
        <f aca="false">SUM(CZ13:CZ56)</f>
        <v>0</v>
      </c>
      <c r="DA57" s="32" t="n">
        <f aca="false">SUM(DA13:DA56)</f>
        <v>0</v>
      </c>
      <c r="DB57" s="32" t="n">
        <f aca="false">SUM(DB13:DB56)</f>
        <v>0</v>
      </c>
      <c r="DC57" s="32" t="n">
        <f aca="false">SUM(DC13:DC56)</f>
        <v>0</v>
      </c>
      <c r="DD57" s="32" t="n">
        <f aca="false">SUM(DD13:DD56)</f>
        <v>0</v>
      </c>
      <c r="DE57" s="32" t="n">
        <f aca="false">SUM(DE13:DE56)</f>
        <v>0</v>
      </c>
    </row>
    <row r="58" customFormat="false" ht="15" hidden="false" customHeight="true" outlineLevel="0" collapsed="false">
      <c r="A58" s="31" t="s">
        <v>52</v>
      </c>
      <c r="B58" s="32" t="n">
        <f aca="false">B10+B11+B57</f>
        <v>1453790.79</v>
      </c>
      <c r="C58" s="32" t="n">
        <f aca="false">C10+C11+C57</f>
        <v>3022521.59</v>
      </c>
      <c r="D58" s="32" t="n">
        <f aca="false">D10+D11+D57</f>
        <v>2672216.16</v>
      </c>
      <c r="E58" s="32" t="n">
        <f aca="false">E10+E11+E57</f>
        <v>3692357.9</v>
      </c>
      <c r="F58" s="32" t="n">
        <f aca="false">F10+F11+F57</f>
        <v>4416061.63</v>
      </c>
      <c r="G58" s="32" t="n">
        <f aca="false">G10+G11+G57</f>
        <v>6252262.98</v>
      </c>
      <c r="H58" s="32" t="n">
        <f aca="false">H10+H11+H57</f>
        <v>4933024.14408467</v>
      </c>
      <c r="I58" s="32" t="n">
        <f aca="false">I10+I11+I57</f>
        <v>6151790.74294258</v>
      </c>
      <c r="J58" s="32" t="n">
        <f aca="false">J10+J11+J57</f>
        <v>6687303.96475217</v>
      </c>
      <c r="K58" s="32" t="n">
        <f aca="false">K10+K11+K57</f>
        <v>6811551.42446219</v>
      </c>
      <c r="L58" s="32" t="n">
        <f aca="false">L10+L11+L57</f>
        <v>6884910.27867216</v>
      </c>
      <c r="M58" s="32" t="n">
        <f aca="false">M10+M11+M57</f>
        <v>6352698.84738605</v>
      </c>
      <c r="N58" s="32" t="n">
        <f aca="false">N10+N11+N57</f>
        <v>6430966.71720124</v>
      </c>
      <c r="O58" s="32" t="n">
        <f aca="false">O10+O11+O57</f>
        <v>6453186.43902778</v>
      </c>
      <c r="P58" s="32" t="n">
        <f aca="false">P10+P11+P57</f>
        <v>6423638.98202995</v>
      </c>
      <c r="Q58" s="32" t="n">
        <f aca="false">Q10+Q11+Q57</f>
        <v>7482206.12240926</v>
      </c>
      <c r="R58" s="32" t="n">
        <f aca="false">R10+R11+R57</f>
        <v>7869104.21633475</v>
      </c>
      <c r="S58" s="32" t="n">
        <f aca="false">S10+S11+S57</f>
        <v>8492730.39711067</v>
      </c>
      <c r="T58" s="32" t="n">
        <f aca="false">T10+T11+T57</f>
        <v>8121831.23967047</v>
      </c>
      <c r="U58" s="32" t="n">
        <f aca="false">U10+U11+U57</f>
        <v>8004668.64059418</v>
      </c>
      <c r="V58" s="32" t="n">
        <f aca="false">V10+V11+V57</f>
        <v>8392599.47921047</v>
      </c>
      <c r="W58" s="32" t="n">
        <f aca="false">W10+W11+W57</f>
        <v>8703339.71314593</v>
      </c>
      <c r="X58" s="32" t="n">
        <f aca="false">X10+X11+X57</f>
        <v>8858464.2014366</v>
      </c>
      <c r="Y58" s="32" t="n">
        <f aca="false">Y10+Y11+Y57</f>
        <v>8990257.3672845</v>
      </c>
      <c r="Z58" s="32" t="n">
        <f aca="false">Z10+Z11+Z57</f>
        <v>9008826.44579545</v>
      </c>
      <c r="AA58" s="32" t="n">
        <f aca="false">AA10+AA11+AA57</f>
        <v>8910649.28678685</v>
      </c>
      <c r="AB58" s="32" t="n">
        <f aca="false">AB10+AB11+AB57</f>
        <v>8425788.9605442</v>
      </c>
      <c r="AC58" s="32" t="n">
        <f aca="false">AC10+AC11+AC57</f>
        <v>8168490.2882056</v>
      </c>
      <c r="AD58" s="32" t="n">
        <f aca="false">AD10+AD11+AD57</f>
        <v>7806554.2015262</v>
      </c>
      <c r="AE58" s="32" t="n">
        <f aca="false">AE10+AE11+AE57</f>
        <v>8023384.5413516</v>
      </c>
      <c r="AF58" s="32" t="n">
        <f aca="false">AF10+AF11+AF57</f>
        <v>7607972.3270996</v>
      </c>
      <c r="AG58" s="32" t="n">
        <f aca="false">AG10+AG11+AG57</f>
        <v>7154839.3595544</v>
      </c>
      <c r="AH58" s="32" t="n">
        <f aca="false">AH10+AH11+AH57</f>
        <v>6323168.504212</v>
      </c>
      <c r="AI58" s="32" t="n">
        <f aca="false">AI10+AI11+AI57</f>
        <v>5920424.6987614</v>
      </c>
      <c r="AJ58" s="32" t="n">
        <f aca="false">AJ10+AJ11+AJ57</f>
        <v>5204738.6489146</v>
      </c>
      <c r="AK58" s="32" t="n">
        <f aca="false">AK10+AK11+AK57</f>
        <v>4665049.0561014</v>
      </c>
      <c r="AL58" s="32" t="n">
        <f aca="false">AL10+AL11+AL57</f>
        <v>4044082.1445498</v>
      </c>
      <c r="AM58" s="32" t="n">
        <f aca="false">AM10+AM11+AM57</f>
        <v>3114356.571048</v>
      </c>
      <c r="AN58" s="32" t="n">
        <f aca="false">AN10+AN11+AN57</f>
        <v>3088734.012644</v>
      </c>
      <c r="AO58" s="32" t="n">
        <f aca="false">AO10+AO11+AO57</f>
        <v>3047668.833278</v>
      </c>
      <c r="AP58" s="32" t="n">
        <f aca="false">AP10+AP11+AP57</f>
        <v>2991602.53439</v>
      </c>
      <c r="AQ58" s="32" t="n">
        <f aca="false">AQ10+AQ11+AQ57</f>
        <v>2921081.120626</v>
      </c>
      <c r="AR58" s="32" t="n">
        <f aca="false">AR10+AR11+AR57</f>
        <v>2836713.745206</v>
      </c>
      <c r="AS58" s="32" t="n">
        <f aca="false">AS10+AS11+AS57</f>
        <v>2739322.4799</v>
      </c>
      <c r="AT58" s="32" t="n">
        <f aca="false">AT10+AT11+AT57</f>
        <v>2629912.69681</v>
      </c>
      <c r="AU58" s="32" t="n">
        <f aca="false">AU10+AU11+AU57</f>
        <v>1882173.366216</v>
      </c>
      <c r="AV58" s="32" t="n">
        <f aca="false">AV10+AV11+AV57</f>
        <v>1844954.197416</v>
      </c>
      <c r="AW58" s="32" t="n">
        <f aca="false">AW10+AW11+AW57</f>
        <v>1790448.79244</v>
      </c>
      <c r="AX58" s="32" t="n">
        <f aca="false">AX10+AX11+AX57</f>
        <v>1720311.336568</v>
      </c>
      <c r="AY58" s="32" t="n">
        <f aca="false">AY10+AY11+AY57</f>
        <v>1636485.497504</v>
      </c>
      <c r="AZ58" s="32" t="n">
        <f aca="false">AZ10+AZ11+AZ57</f>
        <v>1541245.780008</v>
      </c>
      <c r="BA58" s="32" t="n">
        <f aca="false">BA10+BA11+BA57</f>
        <v>1437156.171264</v>
      </c>
      <c r="BB58" s="32" t="n">
        <f aca="false">BB10+BB11+BB57</f>
        <v>1326739.303824</v>
      </c>
      <c r="BC58" s="32" t="n">
        <f aca="false">BC10+BC11+BC57</f>
        <v>1212641.874136</v>
      </c>
      <c r="BD58" s="32" t="n">
        <f aca="false">BD10+BD11+BD57</f>
        <v>1097345.16012</v>
      </c>
      <c r="BE58" s="32" t="n">
        <f aca="false">BE10+BE11+BE57</f>
        <v>983123.666536</v>
      </c>
      <c r="BF58" s="32" t="n">
        <f aca="false">BF10+BF11+BF57</f>
        <v>872045.124984</v>
      </c>
      <c r="BG58" s="32" t="n">
        <f aca="false">BG10+BG11+BG57</f>
        <v>765805.075376</v>
      </c>
      <c r="BH58" s="32" t="n">
        <f aca="false">BH10+BH11+BH57</f>
        <v>665850.929832</v>
      </c>
      <c r="BI58" s="32" t="n">
        <f aca="false">BI10+BI11+BI57</f>
        <v>0</v>
      </c>
      <c r="BJ58" s="32" t="n">
        <f aca="false">BJ10+BJ11+BJ57</f>
        <v>0</v>
      </c>
      <c r="BK58" s="32" t="n">
        <f aca="false">BK10+BK11+BK57</f>
        <v>0</v>
      </c>
      <c r="BL58" s="32" t="n">
        <f aca="false">BL10+BL11+BL57</f>
        <v>0</v>
      </c>
      <c r="BM58" s="32" t="n">
        <f aca="false">BM10+BM11+BM57</f>
        <v>0</v>
      </c>
      <c r="BN58" s="32" t="n">
        <f aca="false">BN10+BN11+BN57</f>
        <v>0</v>
      </c>
      <c r="BO58" s="32" t="n">
        <f aca="false">BO10+BO11+BO57</f>
        <v>0</v>
      </c>
      <c r="BP58" s="32" t="n">
        <f aca="false">BP10+BP11+BP57</f>
        <v>0</v>
      </c>
      <c r="BQ58" s="32" t="n">
        <f aca="false">BQ10+BQ11+BQ57</f>
        <v>0</v>
      </c>
      <c r="BR58" s="32" t="n">
        <f aca="false">BR10+BR11+BR57</f>
        <v>0</v>
      </c>
      <c r="BS58" s="32" t="n">
        <f aca="false">BS10+BS11+BS57</f>
        <v>0</v>
      </c>
      <c r="BT58" s="32" t="n">
        <f aca="false">BT10+BT11+BT57</f>
        <v>0</v>
      </c>
      <c r="BU58" s="32" t="n">
        <f aca="false">BU10+BU11+BU57</f>
        <v>0</v>
      </c>
      <c r="BV58" s="32" t="n">
        <f aca="false">BV10+BV11+BV57</f>
        <v>0</v>
      </c>
      <c r="BW58" s="32" t="n">
        <f aca="false">BW10+BW11+BW57</f>
        <v>0</v>
      </c>
      <c r="BX58" s="32" t="n">
        <f aca="false">BX10+BX11+BX57</f>
        <v>0</v>
      </c>
      <c r="BY58" s="32" t="n">
        <f aca="false">BY10+BY11+BY57</f>
        <v>0</v>
      </c>
      <c r="BZ58" s="32" t="n">
        <f aca="false">BZ10+BZ11+BZ57</f>
        <v>0</v>
      </c>
      <c r="CA58" s="32" t="n">
        <f aca="false">CA10+CA11+CA57</f>
        <v>0</v>
      </c>
      <c r="CB58" s="32" t="n">
        <f aca="false">CB10+CB11+CB57</f>
        <v>0</v>
      </c>
      <c r="CC58" s="32" t="n">
        <f aca="false">CC10+CC11+CC57</f>
        <v>0</v>
      </c>
      <c r="CD58" s="32" t="n">
        <f aca="false">CD10+CD11+CD57</f>
        <v>0</v>
      </c>
      <c r="CE58" s="32" t="n">
        <f aca="false">CE10+CE11+CE57</f>
        <v>0</v>
      </c>
      <c r="CF58" s="32" t="n">
        <f aca="false">CF10+CF11+CF57</f>
        <v>0</v>
      </c>
      <c r="CG58" s="32" t="n">
        <f aca="false">CG10+CG11+CG57</f>
        <v>0</v>
      </c>
      <c r="CH58" s="32" t="n">
        <f aca="false">CH10+CH11+CH57</f>
        <v>0</v>
      </c>
      <c r="CI58" s="32" t="n">
        <f aca="false">CI10+CI11+CI57</f>
        <v>0</v>
      </c>
      <c r="CJ58" s="32" t="n">
        <f aca="false">CJ10+CJ11+CJ57</f>
        <v>0</v>
      </c>
      <c r="CK58" s="32" t="n">
        <f aca="false">CK10+CK11+CK57</f>
        <v>0</v>
      </c>
      <c r="CL58" s="32" t="n">
        <f aca="false">CL10+CL11+CL57</f>
        <v>0</v>
      </c>
      <c r="CM58" s="32" t="n">
        <f aca="false">CM10+CM11+CM57</f>
        <v>0</v>
      </c>
      <c r="CN58" s="32" t="n">
        <f aca="false">CN10+CN11+CN57</f>
        <v>0</v>
      </c>
      <c r="CO58" s="32" t="n">
        <f aca="false">CO10+CO11+CO57</f>
        <v>0</v>
      </c>
      <c r="CP58" s="32" t="n">
        <f aca="false">CP10+CP11+CP57</f>
        <v>0</v>
      </c>
      <c r="CQ58" s="32" t="n">
        <f aca="false">CQ10+CQ11+CQ57</f>
        <v>0</v>
      </c>
      <c r="CR58" s="32" t="n">
        <f aca="false">CR10+CR11+CR57</f>
        <v>0</v>
      </c>
      <c r="CS58" s="32" t="n">
        <f aca="false">CS10+CS11+CS57</f>
        <v>0</v>
      </c>
      <c r="CT58" s="32" t="n">
        <f aca="false">CT10+CT11+CT57</f>
        <v>0</v>
      </c>
      <c r="CU58" s="32" t="n">
        <f aca="false">CU10+CU11+CU57</f>
        <v>0</v>
      </c>
      <c r="CV58" s="32" t="n">
        <f aca="false">CV10+CV11+CV57</f>
        <v>0</v>
      </c>
      <c r="CW58" s="32" t="n">
        <f aca="false">CW10+CW11+CW57</f>
        <v>0</v>
      </c>
      <c r="CX58" s="32" t="n">
        <f aca="false">CX10+CX11+CX57</f>
        <v>0</v>
      </c>
      <c r="CY58" s="32" t="n">
        <f aca="false">CY10+CY11+CY57</f>
        <v>0</v>
      </c>
      <c r="CZ58" s="32" t="n">
        <f aca="false">CZ10+CZ11+CZ57</f>
        <v>0</v>
      </c>
      <c r="DA58" s="32" t="n">
        <f aca="false">DA10+DA11+DA57</f>
        <v>0</v>
      </c>
      <c r="DB58" s="32" t="n">
        <f aca="false">DB10+DB11+DB57</f>
        <v>0</v>
      </c>
      <c r="DC58" s="32" t="n">
        <f aca="false">DC10+DC11+DC57</f>
        <v>0</v>
      </c>
      <c r="DD58" s="32" t="n">
        <f aca="false">DD10+DD11+DD57</f>
        <v>0</v>
      </c>
      <c r="DE58" s="32" t="n">
        <f aca="false">DE10+DE11+DE57</f>
        <v>0</v>
      </c>
    </row>
    <row r="59" customFormat="false" ht="15" hidden="false" customHeight="true" outlineLevel="0" collapsed="false">
      <c r="A59" s="29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customFormat="false" ht="15" hidden="true" customHeight="true" outlineLevel="1" collapsed="false">
      <c r="A60" s="30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customFormat="false" ht="15" hidden="true" customHeight="true" outlineLevel="1" collapsed="false">
      <c r="A61" s="30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customFormat="false" ht="15" hidden="true" customHeight="true" outlineLevel="1" collapsed="false">
      <c r="A62" s="30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customFormat="false" ht="15" hidden="true" customHeight="true" outlineLevel="1" collapsed="false">
      <c r="A63" s="30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customFormat="false" ht="15" hidden="true" customHeight="true" outlineLevel="1" collapsed="false">
      <c r="A64" s="30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customFormat="false" ht="15" hidden="true" customHeight="true" outlineLevel="1" collapsed="false">
      <c r="A65" s="30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customFormat="false" ht="15" hidden="true" customHeight="true" outlineLevel="1" collapsed="false">
      <c r="A66" s="30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-266339.274896073</v>
      </c>
      <c r="J66" s="19" t="n">
        <f aca="false">-J19</f>
        <v>-347472.412552273</v>
      </c>
      <c r="K66" s="19" t="n">
        <f aca="false">-K19</f>
        <v>-434803.581384323</v>
      </c>
      <c r="L66" s="19" t="n">
        <f aca="false">-L19</f>
        <v>-524850.449410823</v>
      </c>
      <c r="M66" s="19" t="n">
        <f aca="false">-M19</f>
        <v>-613286.089207123</v>
      </c>
      <c r="N66" s="19" t="n">
        <f aca="false">-N19</f>
        <v>-695198.853426323</v>
      </c>
      <c r="O66" s="19" t="n">
        <f aca="false">-O19</f>
        <v>-765560.150737073</v>
      </c>
      <c r="P66" s="19" t="n">
        <f aca="false">-P19</f>
        <v>-819705.215537423</v>
      </c>
      <c r="Q66" s="19" t="n">
        <f aca="false">-Q19</f>
        <v>-853852.858996823</v>
      </c>
      <c r="R66" s="19" t="n">
        <f aca="false">-R19</f>
        <v>-865521.269889723</v>
      </c>
      <c r="S66" s="19" t="n">
        <f aca="false">-S19</f>
        <v>-853852.858996823</v>
      </c>
      <c r="T66" s="19" t="n">
        <f aca="false">-T19</f>
        <v>-819705.215537423</v>
      </c>
      <c r="U66" s="19" t="n">
        <f aca="false">-U19</f>
        <v>-765560.150737073</v>
      </c>
      <c r="V66" s="19" t="n">
        <f aca="false">-V19</f>
        <v>-695198.853426323</v>
      </c>
      <c r="W66" s="19" t="n">
        <f aca="false">-W19</f>
        <v>-613286.089207123</v>
      </c>
      <c r="X66" s="19" t="n">
        <f aca="false">-X19</f>
        <v>-524850.449410823</v>
      </c>
      <c r="Y66" s="19" t="n">
        <f aca="false">-Y19</f>
        <v>-434803.581384323</v>
      </c>
      <c r="Z66" s="19" t="n">
        <f aca="false">-Z19</f>
        <v>-347472.412552273</v>
      </c>
      <c r="AA66" s="19" t="n">
        <f aca="false">-AA19</f>
        <v>-188122.590274295</v>
      </c>
      <c r="AB66" s="19" t="n">
        <f aca="false">-AB19</f>
        <v>-0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customFormat="false" ht="15" hidden="true" customHeight="true" outlineLevel="1" collapsed="false">
      <c r="A67" s="30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customFormat="false" ht="15" hidden="true" customHeight="true" outlineLevel="1" collapsed="false">
      <c r="A68" s="30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-334505.743043865</v>
      </c>
      <c r="K68" s="19" t="n">
        <f aca="false">-K21</f>
        <v>-416135.954838865</v>
      </c>
      <c r="L68" s="19" t="n">
        <f aca="false">-L21</f>
        <v>-503507.285983865</v>
      </c>
      <c r="M68" s="19" t="n">
        <f aca="false">-M21</f>
        <v>-594727.293433865</v>
      </c>
      <c r="N68" s="19" t="n">
        <f aca="false">-N21</f>
        <v>-687265.631993865</v>
      </c>
      <c r="O68" s="19" t="n">
        <f aca="false">-O21</f>
        <v>-778294.268798865</v>
      </c>
      <c r="P68" s="19" t="n">
        <f aca="false">-P21</f>
        <v>-864623.693098865</v>
      </c>
      <c r="Q68" s="19" t="n">
        <f aca="false">-Q21</f>
        <v>-943000.603928865</v>
      </c>
      <c r="R68" s="19" t="n">
        <f aca="false">-R21</f>
        <v>-1010278.01734886</v>
      </c>
      <c r="S68" s="19" t="n">
        <f aca="false">-S21</f>
        <v>-1063542.84687386</v>
      </c>
      <c r="T68" s="19" t="n">
        <f aca="false">-T21</f>
        <v>-1100477.38135886</v>
      </c>
      <c r="U68" s="19" t="n">
        <f aca="false">-U21</f>
        <v>-1119380.54840386</v>
      </c>
      <c r="V68" s="19" t="n">
        <f aca="false">-V21</f>
        <v>-1119380.54840386</v>
      </c>
      <c r="W68" s="19" t="n">
        <f aca="false">-W21</f>
        <v>-1100477.38135886</v>
      </c>
      <c r="X68" s="19" t="n">
        <f aca="false">-X21</f>
        <v>-1063542.84687386</v>
      </c>
      <c r="Y68" s="19" t="n">
        <f aca="false">-Y21</f>
        <v>-1010278.01734886</v>
      </c>
      <c r="Z68" s="19" t="n">
        <f aca="false">-Z21</f>
        <v>-943000.603928865</v>
      </c>
      <c r="AA68" s="19" t="n">
        <f aca="false">-AA21</f>
        <v>-864623.693098865</v>
      </c>
      <c r="AB68" s="19" t="n">
        <f aca="false">-AB21</f>
        <v>-778294.268798865</v>
      </c>
      <c r="AC68" s="19" t="n">
        <f aca="false">-AC21</f>
        <v>-687265.631993865</v>
      </c>
      <c r="AD68" s="19" t="n">
        <f aca="false">-AD21</f>
        <v>-594727.293433865</v>
      </c>
      <c r="AE68" s="19" t="n">
        <f aca="false">-AE21</f>
        <v>-503507.285983865</v>
      </c>
      <c r="AF68" s="19" t="n">
        <f aca="false">-AF21</f>
        <v>-416135.954838865</v>
      </c>
      <c r="AG68" s="19" t="n">
        <f aca="false">-AG21</f>
        <v>-206509.613476115</v>
      </c>
      <c r="AH68" s="19" t="n">
        <f aca="false">-AH21</f>
        <v>-0</v>
      </c>
      <c r="AI68" s="19" t="n">
        <f aca="false">-AI21</f>
        <v>-0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customFormat="false" ht="15" hidden="true" customHeight="true" outlineLevel="1" collapsed="false">
      <c r="A69" s="30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-0</v>
      </c>
      <c r="O69" s="19" t="n">
        <f aca="false">-O22</f>
        <v>-0</v>
      </c>
      <c r="P69" s="19" t="n">
        <f aca="false">-P22</f>
        <v>-0</v>
      </c>
      <c r="Q69" s="19" t="n">
        <f aca="false">-Q22</f>
        <v>-0</v>
      </c>
      <c r="R69" s="19" t="n">
        <f aca="false">-R22</f>
        <v>-0</v>
      </c>
      <c r="S69" s="19" t="n">
        <f aca="false">-S22</f>
        <v>-0</v>
      </c>
      <c r="T69" s="19" t="n">
        <f aca="false">-T22</f>
        <v>-0</v>
      </c>
      <c r="U69" s="19" t="n">
        <f aca="false">-U22</f>
        <v>-0</v>
      </c>
      <c r="V69" s="19" t="n">
        <f aca="false">-V22</f>
        <v>-0</v>
      </c>
      <c r="W69" s="19" t="n">
        <f aca="false">-W22</f>
        <v>-0</v>
      </c>
      <c r="X69" s="19" t="n">
        <f aca="false">-X22</f>
        <v>-0</v>
      </c>
      <c r="Y69" s="19" t="n">
        <f aca="false">-Y22</f>
        <v>-0</v>
      </c>
      <c r="Z69" s="19" t="n">
        <f aca="false">-Z22</f>
        <v>-0</v>
      </c>
      <c r="AA69" s="19" t="n">
        <f aca="false">-AA22</f>
        <v>-0</v>
      </c>
      <c r="AB69" s="19" t="n">
        <f aca="false">-AB22</f>
        <v>-0</v>
      </c>
      <c r="AC69" s="19" t="n">
        <f aca="false">-AC22</f>
        <v>-0</v>
      </c>
      <c r="AD69" s="19" t="n">
        <f aca="false">-AD22</f>
        <v>-0</v>
      </c>
      <c r="AE69" s="19" t="n">
        <f aca="false">-AE22</f>
        <v>-0</v>
      </c>
      <c r="AF69" s="19" t="n">
        <f aca="false">-AF22</f>
        <v>-0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customFormat="false" ht="15" hidden="true" customHeight="true" outlineLevel="1" collapsed="false">
      <c r="A70" s="30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-0</v>
      </c>
      <c r="O70" s="19" t="n">
        <f aca="false">-O23</f>
        <v>-0</v>
      </c>
      <c r="P70" s="19" t="n">
        <f aca="false">-P23</f>
        <v>-0</v>
      </c>
      <c r="Q70" s="19" t="n">
        <f aca="false">-Q23</f>
        <v>-0</v>
      </c>
      <c r="R70" s="19" t="n">
        <f aca="false">-R23</f>
        <v>-0</v>
      </c>
      <c r="S70" s="19" t="n">
        <f aca="false">-S23</f>
        <v>-0</v>
      </c>
      <c r="T70" s="19" t="n">
        <f aca="false">-T23</f>
        <v>-0</v>
      </c>
      <c r="U70" s="19" t="n">
        <f aca="false">-U23</f>
        <v>-0</v>
      </c>
      <c r="V70" s="19" t="n">
        <f aca="false">-V23</f>
        <v>-0</v>
      </c>
      <c r="W70" s="19" t="n">
        <f aca="false">-W23</f>
        <v>-0</v>
      </c>
      <c r="X70" s="19" t="n">
        <f aca="false">-X23</f>
        <v>-0</v>
      </c>
      <c r="Y70" s="19" t="n">
        <f aca="false">-Y23</f>
        <v>-0</v>
      </c>
      <c r="Z70" s="19" t="n">
        <f aca="false">-Z23</f>
        <v>-0</v>
      </c>
      <c r="AA70" s="19" t="n">
        <f aca="false">-AA23</f>
        <v>-0</v>
      </c>
      <c r="AB70" s="19" t="n">
        <f aca="false">-AB23</f>
        <v>-0</v>
      </c>
      <c r="AC70" s="19" t="n">
        <f aca="false">-AC23</f>
        <v>-0</v>
      </c>
      <c r="AD70" s="19" t="n">
        <f aca="false">-AD23</f>
        <v>-0</v>
      </c>
      <c r="AE70" s="19" t="n">
        <f aca="false">-AE23</f>
        <v>-0</v>
      </c>
      <c r="AF70" s="19" t="n">
        <f aca="false">-AF23</f>
        <v>-0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customFormat="false" ht="15" hidden="true" customHeight="true" outlineLevel="1" collapsed="false">
      <c r="A71" s="30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-556266.059712783</v>
      </c>
      <c r="R71" s="19" t="n">
        <f aca="false">-R24</f>
        <v>-665675.842802783</v>
      </c>
      <c r="S71" s="19" t="n">
        <f aca="false">-S24</f>
        <v>-781966.174932784</v>
      </c>
      <c r="T71" s="19" t="n">
        <f aca="false">-T24</f>
        <v>-903552.719152783</v>
      </c>
      <c r="U71" s="19" t="n">
        <f aca="false">-U24</f>
        <v>-1028579.53789278</v>
      </c>
      <c r="V71" s="19" t="n">
        <f aca="false">-V24</f>
        <v>-1154783.29265278</v>
      </c>
      <c r="W71" s="19" t="n">
        <f aca="false">-W24</f>
        <v>-1279674.31108278</v>
      </c>
      <c r="X71" s="19" t="n">
        <f aca="false">-X24</f>
        <v>-1400536.58698278</v>
      </c>
      <c r="Y71" s="19" t="n">
        <f aca="false">-Y24</f>
        <v>-1514473.04707278</v>
      </c>
      <c r="Z71" s="19" t="n">
        <f aca="false">-Z24</f>
        <v>-1618722.41838278</v>
      </c>
      <c r="AA71" s="19" t="n">
        <f aca="false">-AA24</f>
        <v>-1710478.16117278</v>
      </c>
      <c r="AB71" s="19" t="n">
        <f aca="false">-AB24</f>
        <v>-1787250.60309278</v>
      </c>
      <c r="AC71" s="19" t="n">
        <f aca="false">-AC24</f>
        <v>-1846912.20595278</v>
      </c>
      <c r="AD71" s="19" t="n">
        <f aca="false">-AD24</f>
        <v>-1887652.29895278</v>
      </c>
      <c r="AE71" s="19" t="n">
        <f aca="false">-AE24</f>
        <v>-1908339.21284278</v>
      </c>
      <c r="AF71" s="19" t="n">
        <f aca="false">-AF24</f>
        <v>-1908339.21284278</v>
      </c>
      <c r="AG71" s="19" t="n">
        <f aca="false">-AG24</f>
        <v>-1887652.29895278</v>
      </c>
      <c r="AH71" s="19" t="n">
        <f aca="false">-AH24</f>
        <v>-1846912.20595278</v>
      </c>
      <c r="AI71" s="19" t="n">
        <f aca="false">-AI24</f>
        <v>-1787250.60309278</v>
      </c>
      <c r="AJ71" s="19" t="n">
        <f aca="false">-AJ24</f>
        <v>-1710478.16117278</v>
      </c>
      <c r="AK71" s="19" t="n">
        <f aca="false">-AK24</f>
        <v>-1618722.41838278</v>
      </c>
      <c r="AL71" s="19" t="n">
        <f aca="false">-AL24</f>
        <v>-1514473.04707278</v>
      </c>
      <c r="AM71" s="19" t="n">
        <f aca="false">-AM24</f>
        <v>-1400536.58698278</v>
      </c>
      <c r="AN71" s="19" t="n">
        <f aca="false">-AN24</f>
        <v>-1279674.31108278</v>
      </c>
      <c r="AO71" s="19" t="n">
        <f aca="false">-AO24</f>
        <v>-1154783.29265278</v>
      </c>
      <c r="AP71" s="19" t="n">
        <f aca="false">-AP24</f>
        <v>-1028579.53789278</v>
      </c>
      <c r="AQ71" s="19" t="n">
        <f aca="false">-AQ24</f>
        <v>-903552.719152783</v>
      </c>
      <c r="AR71" s="19" t="n">
        <f aca="false">-AR24</f>
        <v>-781966.174932784</v>
      </c>
      <c r="AS71" s="19" t="n">
        <f aca="false">-AS24</f>
        <v>-665675.842802783</v>
      </c>
      <c r="AT71" s="19" t="n">
        <f aca="false">-AT24</f>
        <v>-283780.474359283</v>
      </c>
      <c r="AU71" s="19" t="n">
        <f aca="false">-AU24</f>
        <v>-0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customFormat="false" ht="15" hidden="true" customHeight="true" outlineLevel="1" collapsed="false">
      <c r="A72" s="30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customFormat="false" ht="15" hidden="true" customHeight="true" outlineLevel="1" collapsed="false">
      <c r="A73" s="30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-313939.25166175</v>
      </c>
      <c r="R73" s="19" t="n">
        <f aca="false">-R26</f>
        <v>-409572.44932175</v>
      </c>
      <c r="S73" s="19" t="n">
        <f aca="false">-S26</f>
        <v>-512511.38613675</v>
      </c>
      <c r="T73" s="19" t="n">
        <f aca="false">-T26</f>
        <v>-618651.37008675</v>
      </c>
      <c r="U73" s="19" t="n">
        <f aca="false">-U26</f>
        <v>-722892.16817675</v>
      </c>
      <c r="V73" s="19" t="n">
        <f aca="false">-V26</f>
        <v>-819444.32673675</v>
      </c>
      <c r="W73" s="19" t="n">
        <f aca="false">-W26</f>
        <v>-902380.54796175</v>
      </c>
      <c r="X73" s="19" t="n">
        <f aca="false">-X26</f>
        <v>-966202.38246675</v>
      </c>
      <c r="Y73" s="19" t="n">
        <f aca="false">-Y26</f>
        <v>-1006452.86988675</v>
      </c>
      <c r="Z73" s="19" t="n">
        <f aca="false">-Z26</f>
        <v>-1020206.65135675</v>
      </c>
      <c r="AA73" s="19" t="n">
        <f aca="false">-AA26</f>
        <v>-1006452.86988675</v>
      </c>
      <c r="AB73" s="19" t="n">
        <f aca="false">-AB26</f>
        <v>-966202.38246675</v>
      </c>
      <c r="AC73" s="19" t="n">
        <f aca="false">-AC26</f>
        <v>-902380.54796175</v>
      </c>
      <c r="AD73" s="19" t="n">
        <f aca="false">-AD26</f>
        <v>-819444.32673675</v>
      </c>
      <c r="AE73" s="19" t="n">
        <f aca="false">-AE26</f>
        <v>-722892.16817675</v>
      </c>
      <c r="AF73" s="19" t="n">
        <f aca="false">-AF26</f>
        <v>-618651.37008675</v>
      </c>
      <c r="AG73" s="19" t="n">
        <f aca="false">-AG26</f>
        <v>-512511.38613675</v>
      </c>
      <c r="AH73" s="19" t="n">
        <f aca="false">-AH26</f>
        <v>-409572.44932175</v>
      </c>
      <c r="AI73" s="19" t="n">
        <f aca="false">-AI26</f>
        <v>-221743.7335685</v>
      </c>
      <c r="AJ73" s="19" t="n">
        <f aca="false">-AJ26</f>
        <v>-0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customFormat="false" ht="15" hidden="true" customHeight="true" outlineLevel="1" collapsed="false">
      <c r="A74" s="30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-231977.53316825</v>
      </c>
      <c r="S74" s="19" t="n">
        <f aca="false">-S27</f>
        <v>-302643.28510825</v>
      </c>
      <c r="T74" s="19" t="n">
        <f aca="false">-T27</f>
        <v>-378707.42969325</v>
      </c>
      <c r="U74" s="19" t="n">
        <f aca="false">-U27</f>
        <v>-457136.90774325</v>
      </c>
      <c r="V74" s="19" t="n">
        <f aca="false">-V27</f>
        <v>-534163.03005325</v>
      </c>
      <c r="W74" s="19" t="n">
        <f aca="false">-W27</f>
        <v>-605507.82509325</v>
      </c>
      <c r="X74" s="19" t="n">
        <f aca="false">-X27</f>
        <v>-666791.46486825</v>
      </c>
      <c r="Y74" s="19" t="n">
        <f aca="false">-Y27</f>
        <v>-713951.00816325</v>
      </c>
      <c r="Z74" s="19" t="n">
        <f aca="false">-Z27</f>
        <v>-743693.09594325</v>
      </c>
      <c r="AA74" s="19" t="n">
        <f aca="false">-AA27</f>
        <v>-753856.10767325</v>
      </c>
      <c r="AB74" s="19" t="n">
        <f aca="false">-AB27</f>
        <v>-743693.09594325</v>
      </c>
      <c r="AC74" s="19" t="n">
        <f aca="false">-AC27</f>
        <v>-713951.00816325</v>
      </c>
      <c r="AD74" s="19" t="n">
        <f aca="false">-AD27</f>
        <v>-666791.46486825</v>
      </c>
      <c r="AE74" s="19" t="n">
        <f aca="false">-AE27</f>
        <v>-605507.82509325</v>
      </c>
      <c r="AF74" s="19" t="n">
        <f aca="false">-AF27</f>
        <v>-534163.03005325</v>
      </c>
      <c r="AG74" s="19" t="n">
        <f aca="false">-AG27</f>
        <v>-457136.90774325</v>
      </c>
      <c r="AH74" s="19" t="n">
        <f aca="false">-AH27</f>
        <v>-378707.42969325</v>
      </c>
      <c r="AI74" s="19" t="n">
        <f aca="false">-AI27</f>
        <v>-302643.28510825</v>
      </c>
      <c r="AJ74" s="19" t="n">
        <f aca="false">-AJ27</f>
        <v>-163851.9682915</v>
      </c>
      <c r="AK74" s="19" t="n">
        <f aca="false">-AK27</f>
        <v>-0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customFormat="false" ht="15" hidden="true" customHeight="true" outlineLevel="1" collapsed="false">
      <c r="A75" s="30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-378029.73543905</v>
      </c>
      <c r="T75" s="19" t="n">
        <f aca="false">-T28</f>
        <v>-493186.38507505</v>
      </c>
      <c r="U75" s="19" t="n">
        <f aca="false">-U28</f>
        <v>-617140.23552405</v>
      </c>
      <c r="V75" s="19" t="n">
        <f aca="false">-V28</f>
        <v>-744948.62469405</v>
      </c>
      <c r="W75" s="19" t="n">
        <f aca="false">-W28</f>
        <v>-870470.11050805</v>
      </c>
      <c r="X75" s="19" t="n">
        <f aca="false">-X28</f>
        <v>-986733.32628405</v>
      </c>
      <c r="Y75" s="19" t="n">
        <f aca="false">-Y28</f>
        <v>-1086600.92041905</v>
      </c>
      <c r="Z75" s="19" t="n">
        <f aca="false">-Z28</f>
        <v>-1163451.93884205</v>
      </c>
      <c r="AA75" s="19" t="n">
        <f aca="false">-AA28</f>
        <v>-1211919.53577405</v>
      </c>
      <c r="AB75" s="19" t="n">
        <f aca="false">-AB28</f>
        <v>-1228481.14233605</v>
      </c>
      <c r="AC75" s="19" t="n">
        <f aca="false">-AC28</f>
        <v>-1211919.53577405</v>
      </c>
      <c r="AD75" s="19" t="n">
        <f aca="false">-AD28</f>
        <v>-1163451.93884205</v>
      </c>
      <c r="AE75" s="19" t="n">
        <f aca="false">-AE28</f>
        <v>-1086600.92041905</v>
      </c>
      <c r="AF75" s="19" t="n">
        <f aca="false">-AF28</f>
        <v>-986733.32628405</v>
      </c>
      <c r="AG75" s="19" t="n">
        <f aca="false">-AG28</f>
        <v>-870470.11050805</v>
      </c>
      <c r="AH75" s="19" t="n">
        <f aca="false">-AH28</f>
        <v>-744948.62469405</v>
      </c>
      <c r="AI75" s="19" t="n">
        <f aca="false">-AI28</f>
        <v>-617140.23552405</v>
      </c>
      <c r="AJ75" s="19" t="n">
        <f aca="false">-AJ28</f>
        <v>-493186.38507505</v>
      </c>
      <c r="AK75" s="19" t="n">
        <f aca="false">-AK28</f>
        <v>-267012.5653051</v>
      </c>
      <c r="AL75" s="19" t="n">
        <f aca="false">-AL28</f>
        <v>-0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customFormat="false" ht="15" hidden="true" customHeight="true" outlineLevel="1" collapsed="false">
      <c r="A76" s="30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-0</v>
      </c>
      <c r="Y76" s="19" t="n">
        <f aca="false">-Y29</f>
        <v>-0</v>
      </c>
      <c r="Z76" s="19" t="n">
        <f aca="false">-Z29</f>
        <v>-0</v>
      </c>
      <c r="AA76" s="19" t="n">
        <f aca="false">-AA29</f>
        <v>-0</v>
      </c>
      <c r="AB76" s="19" t="n">
        <f aca="false">-AB29</f>
        <v>-0</v>
      </c>
      <c r="AC76" s="19" t="n">
        <f aca="false">-AC29</f>
        <v>-0</v>
      </c>
      <c r="AD76" s="19" t="n">
        <f aca="false">-AD29</f>
        <v>-0</v>
      </c>
      <c r="AE76" s="19" t="n">
        <f aca="false">-AE29</f>
        <v>-0</v>
      </c>
      <c r="AF76" s="19" t="n">
        <f aca="false">-AF29</f>
        <v>-0</v>
      </c>
      <c r="AG76" s="19" t="n">
        <f aca="false">-AG29</f>
        <v>-0</v>
      </c>
      <c r="AH76" s="19" t="n">
        <f aca="false">-AH29</f>
        <v>-0</v>
      </c>
      <c r="AI76" s="19" t="n">
        <f aca="false">-AI29</f>
        <v>-0</v>
      </c>
      <c r="AJ76" s="19" t="n">
        <f aca="false">-AJ29</f>
        <v>-0</v>
      </c>
      <c r="AK76" s="19" t="n">
        <f aca="false">-AK29</f>
        <v>-0</v>
      </c>
      <c r="AL76" s="19" t="n">
        <f aca="false">-AL29</f>
        <v>-0</v>
      </c>
      <c r="AM76" s="19" t="n">
        <f aca="false">-AM29</f>
        <v>-0</v>
      </c>
      <c r="AN76" s="19" t="n">
        <f aca="false">-AN29</f>
        <v>-0</v>
      </c>
      <c r="AO76" s="19" t="n">
        <f aca="false">-AO29</f>
        <v>-0</v>
      </c>
      <c r="AP76" s="19" t="n">
        <f aca="false">-AP29</f>
        <v>-0</v>
      </c>
      <c r="AQ76" s="19" t="n">
        <f aca="false">-AQ29</f>
        <v>-0</v>
      </c>
      <c r="AR76" s="19" t="n">
        <f aca="false">-AR29</f>
        <v>-0</v>
      </c>
      <c r="AS76" s="19" t="n">
        <f aca="false">-AS29</f>
        <v>-0</v>
      </c>
      <c r="AT76" s="19" t="n">
        <f aca="false">-AT29</f>
        <v>-0</v>
      </c>
      <c r="AU76" s="19" t="n">
        <f aca="false">-AU29</f>
        <v>-0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customFormat="false" ht="15" hidden="true" customHeight="true" outlineLevel="1" collapsed="false">
      <c r="A77" s="30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-0</v>
      </c>
      <c r="O77" s="19" t="n">
        <f aca="false">-O30</f>
        <v>-0</v>
      </c>
      <c r="P77" s="19" t="n">
        <f aca="false">-P30</f>
        <v>-0</v>
      </c>
      <c r="Q77" s="19" t="n">
        <f aca="false">-Q30</f>
        <v>-0</v>
      </c>
      <c r="R77" s="19" t="n">
        <f aca="false">-R30</f>
        <v>-0</v>
      </c>
      <c r="S77" s="19" t="n">
        <f aca="false">-S30</f>
        <v>-0</v>
      </c>
      <c r="T77" s="19" t="n">
        <f aca="false">-T30</f>
        <v>-0</v>
      </c>
      <c r="U77" s="19" t="n">
        <f aca="false">-U30</f>
        <v>-0</v>
      </c>
      <c r="V77" s="19" t="n">
        <f aca="false">-V30</f>
        <v>-0</v>
      </c>
      <c r="W77" s="19" t="n">
        <f aca="false">-W30</f>
        <v>-0</v>
      </c>
      <c r="X77" s="19" t="n">
        <f aca="false">-X30</f>
        <v>-0</v>
      </c>
      <c r="Y77" s="19" t="n">
        <f aca="false">-Y30</f>
        <v>-0</v>
      </c>
      <c r="Z77" s="19" t="n">
        <f aca="false">-Z30</f>
        <v>-0</v>
      </c>
      <c r="AA77" s="19" t="n">
        <f aca="false">-AA30</f>
        <v>-0</v>
      </c>
      <c r="AB77" s="19" t="n">
        <f aca="false">-AB30</f>
        <v>-0</v>
      </c>
      <c r="AC77" s="19" t="n">
        <f aca="false">-AC30</f>
        <v>-0</v>
      </c>
      <c r="AD77" s="19" t="n">
        <f aca="false">-AD30</f>
        <v>-0</v>
      </c>
      <c r="AE77" s="19" t="n">
        <f aca="false">-AE30</f>
        <v>-0</v>
      </c>
      <c r="AF77" s="19" t="n">
        <f aca="false">-AF30</f>
        <v>-0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customFormat="false" ht="15" hidden="true" customHeight="true" outlineLevel="1" collapsed="false">
      <c r="A78" s="30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customFormat="false" ht="15" hidden="true" customHeight="true" outlineLevel="1" collapsed="false">
      <c r="A79" s="30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customFormat="false" ht="15" hidden="true" customHeight="true" outlineLevel="1" collapsed="false">
      <c r="A80" s="30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customFormat="false" ht="15" hidden="true" customHeight="true" outlineLevel="1" collapsed="false">
      <c r="A81" s="30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customFormat="false" ht="15" hidden="true" customHeight="true" outlineLevel="1" collapsed="false">
      <c r="A82" s="30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customFormat="false" ht="15" hidden="true" customHeight="true" outlineLevel="1" collapsed="false">
      <c r="A83" s="30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customFormat="false" ht="15" hidden="true" customHeight="true" outlineLevel="1" collapsed="false">
      <c r="A84" s="30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customFormat="false" ht="15" hidden="true" customHeight="true" outlineLevel="1" collapsed="false">
      <c r="A85" s="30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customFormat="false" ht="15" hidden="true" customHeight="true" outlineLevel="1" collapsed="false">
      <c r="A86" s="30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customFormat="false" ht="15" hidden="true" customHeight="true" outlineLevel="1" collapsed="false">
      <c r="A87" s="30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customFormat="false" ht="15" hidden="true" customHeight="true" outlineLevel="1" collapsed="false">
      <c r="A88" s="30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customFormat="false" ht="15" hidden="true" customHeight="true" outlineLevel="1" collapsed="false">
      <c r="A89" s="30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customFormat="false" ht="15" hidden="true" customHeight="true" outlineLevel="1" collapsed="false">
      <c r="A90" s="30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customFormat="false" ht="15" hidden="true" customHeight="true" outlineLevel="1" collapsed="false">
      <c r="A91" s="30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customFormat="false" ht="15" hidden="true" customHeight="true" outlineLevel="1" collapsed="false">
      <c r="A92" s="30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customFormat="false" ht="15" hidden="true" customHeight="true" outlineLevel="1" collapsed="false">
      <c r="A93" s="30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customFormat="false" ht="15" hidden="true" customHeight="true" outlineLevel="1" collapsed="false">
      <c r="A94" s="30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customFormat="false" ht="15" hidden="true" customHeight="true" outlineLevel="1" collapsed="false">
      <c r="A95" s="30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customFormat="false" ht="15" hidden="true" customHeight="true" outlineLevel="1" collapsed="false">
      <c r="A96" s="30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customFormat="false" ht="15" hidden="true" customHeight="true" outlineLevel="1" collapsed="false">
      <c r="A97" s="30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customFormat="false" ht="15" hidden="true" customHeight="true" outlineLevel="1" collapsed="false">
      <c r="A98" s="30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customFormat="false" ht="15" hidden="true" customHeight="true" outlineLevel="1" collapsed="false">
      <c r="A99" s="30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customFormat="false" ht="15" hidden="true" customHeight="true" outlineLevel="1" collapsed="false">
      <c r="A100" s="30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customFormat="false" ht="15" hidden="true" customHeight="true" outlineLevel="1" collapsed="false">
      <c r="A101" s="30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customFormat="false" ht="15" hidden="true" customHeight="true" outlineLevel="1" collapsed="false">
      <c r="A102" s="30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customFormat="false" ht="15" hidden="true" customHeight="true" outlineLevel="1" collapsed="false">
      <c r="A103" s="30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customFormat="false" ht="15" hidden="false" customHeight="true" outlineLevel="0" collapsed="false">
      <c r="A104" s="31" t="s">
        <v>54</v>
      </c>
      <c r="B104" s="32" t="n">
        <f aca="false">SUM(B60:B103)</f>
        <v>-1233067.43</v>
      </c>
      <c r="C104" s="32" t="n">
        <f aca="false">SUM(C60:C103)</f>
        <v>-3073522.36</v>
      </c>
      <c r="D104" s="32" t="n">
        <f aca="false">SUM(D60:D103)</f>
        <v>-2078031.64</v>
      </c>
      <c r="E104" s="32" t="n">
        <f aca="false">SUM(E60:E103)</f>
        <v>-3244999.65</v>
      </c>
      <c r="F104" s="32" t="n">
        <f aca="false">SUM(F60:F103)</f>
        <v>-3942274.93</v>
      </c>
      <c r="G104" s="32" t="n">
        <f aca="false">SUM(G60:G103)</f>
        <v>-5600617.85</v>
      </c>
      <c r="H104" s="32" t="n">
        <f aca="false">SUM(H60:H103)</f>
        <v>-4479813.60450137</v>
      </c>
      <c r="I104" s="32" t="n">
        <f aca="false">SUM(I60:I103)</f>
        <v>-5408554.72146914</v>
      </c>
      <c r="J104" s="32" t="n">
        <f aca="false">SUM(J60:J103)</f>
        <v>-5855005.21753296</v>
      </c>
      <c r="K104" s="32" t="n">
        <f aca="false">SUM(K60:K103)</f>
        <v>-5997594.03146888</v>
      </c>
      <c r="L104" s="32" t="n">
        <f aca="false">SUM(L60:L103)</f>
        <v>-6094859.2394789</v>
      </c>
      <c r="M104" s="32" t="n">
        <f aca="false">SUM(M60:M103)</f>
        <v>-5650757.31465852</v>
      </c>
      <c r="N104" s="32" t="n">
        <f aca="false">SUM(N60:N103)</f>
        <v>-5750975.25024879</v>
      </c>
      <c r="O104" s="32" t="n">
        <f aca="false">SUM(O60:O103)</f>
        <v>-5798791.64659307</v>
      </c>
      <c r="P104" s="32" t="n">
        <f aca="false">SUM(P60:P103)</f>
        <v>-5797170.81423745</v>
      </c>
      <c r="Q104" s="32" t="n">
        <f aca="false">SUM(Q60:Q103)</f>
        <v>-6619894.06065802</v>
      </c>
      <c r="R104" s="32" t="n">
        <f aca="false">SUM(R60:R103)</f>
        <v>-6967375.0828217</v>
      </c>
      <c r="S104" s="32" t="n">
        <f aca="false">SUM(S60:S103)</f>
        <v>-7507421.44098252</v>
      </c>
      <c r="T104" s="32" t="n">
        <f aca="false">SUM(T60:T103)</f>
        <v>-7211657.42204263</v>
      </c>
      <c r="U104" s="32" t="n">
        <f aca="false">SUM(U60:U103)</f>
        <v>-7147053.1580469</v>
      </c>
      <c r="V104" s="32" t="n">
        <f aca="false">SUM(V60:V103)</f>
        <v>-7537766.89732083</v>
      </c>
      <c r="W104" s="32" t="n">
        <f aca="false">SUM(W60:W103)</f>
        <v>-7851092.52505279</v>
      </c>
      <c r="X104" s="32" t="n">
        <f aca="false">SUM(X60:X103)</f>
        <v>-8017196.65576849</v>
      </c>
      <c r="Y104" s="32" t="n">
        <f aca="false">SUM(Y60:Y103)</f>
        <v>-8148989.82161639</v>
      </c>
      <c r="Z104" s="32" t="n">
        <f aca="false">SUM(Z60:Z103)</f>
        <v>-8167558.90012734</v>
      </c>
      <c r="AA104" s="32" t="n">
        <f aca="false">SUM(AA60:AA103)</f>
        <v>-7991165.05649696</v>
      </c>
      <c r="AB104" s="32" t="n">
        <f aca="false">SUM(AB60:AB103)</f>
        <v>-7662738.09949787</v>
      </c>
      <c r="AC104" s="32" t="n">
        <f aca="false">SUM(AC60:AC103)</f>
        <v>-7405439.42715927</v>
      </c>
      <c r="AD104" s="32" t="n">
        <f aca="false">SUM(AD60:AD103)</f>
        <v>-7043503.34047987</v>
      </c>
      <c r="AE104" s="32" t="n">
        <f aca="false">SUM(AE60:AE103)</f>
        <v>-7102674.03943672</v>
      </c>
      <c r="AF104" s="32" t="n">
        <f aca="false">SUM(AF60:AF103)</f>
        <v>-6687261.82518472</v>
      </c>
      <c r="AG104" s="32" t="n">
        <f aca="false">SUM(AG60:AG103)</f>
        <v>-6106132.72807177</v>
      </c>
      <c r="AH104" s="32" t="n">
        <f aca="false">SUM(AH60:AH103)</f>
        <v>-5503788.27153826</v>
      </c>
      <c r="AI104" s="32" t="n">
        <f aca="false">SUM(AI60:AI103)</f>
        <v>-5008848.94799441</v>
      </c>
      <c r="AJ104" s="32" t="n">
        <f aca="false">SUM(AJ60:AJ103)</f>
        <v>-4409428.36945736</v>
      </c>
      <c r="AK104" s="32" t="n">
        <f aca="false">SUM(AK60:AK103)</f>
        <v>-3894972.73626371</v>
      </c>
      <c r="AL104" s="32" t="n">
        <f aca="false">SUM(AL60:AL103)</f>
        <v>-3152132.58396312</v>
      </c>
      <c r="AM104" s="32" t="n">
        <f aca="false">SUM(AM60:AM103)</f>
        <v>-2784122.72612224</v>
      </c>
      <c r="AN104" s="32" t="n">
        <f aca="false">SUM(AN60:AN103)</f>
        <v>-2758500.16771824</v>
      </c>
      <c r="AO104" s="32" t="n">
        <f aca="false">SUM(AO60:AO103)</f>
        <v>-2717434.98835224</v>
      </c>
      <c r="AP104" s="32" t="n">
        <f aca="false">SUM(AP60:AP103)</f>
        <v>-2661368.68946424</v>
      </c>
      <c r="AQ104" s="32" t="n">
        <f aca="false">SUM(AQ60:AQ103)</f>
        <v>-2590847.27570024</v>
      </c>
      <c r="AR104" s="32" t="n">
        <f aca="false">SUM(AR60:AR103)</f>
        <v>-2506479.90028024</v>
      </c>
      <c r="AS104" s="32" t="n">
        <f aca="false">SUM(AS60:AS103)</f>
        <v>-2409088.63497424</v>
      </c>
      <c r="AT104" s="32" t="n">
        <f aca="false">SUM(AT60:AT103)</f>
        <v>-2027193.26653074</v>
      </c>
      <c r="AU104" s="32" t="n">
        <f aca="false">SUM(AU60:AU103)</f>
        <v>-1724513.72534745</v>
      </c>
      <c r="AV104" s="32" t="n">
        <f aca="false">SUM(AV60:AV103)</f>
        <v>-1687294.55654745</v>
      </c>
      <c r="AW104" s="32" t="n">
        <f aca="false">SUM(AW60:AW103)</f>
        <v>-1632789.15157145</v>
      </c>
      <c r="AX104" s="32" t="n">
        <f aca="false">SUM(AX60:AX103)</f>
        <v>-1562651.69569945</v>
      </c>
      <c r="AY104" s="32" t="n">
        <f aca="false">SUM(AY60:AY103)</f>
        <v>-1478825.85663545</v>
      </c>
      <c r="AZ104" s="32" t="n">
        <f aca="false">SUM(AZ60:AZ103)</f>
        <v>-1383586.13913945</v>
      </c>
      <c r="BA104" s="32" t="n">
        <f aca="false">SUM(BA60:BA103)</f>
        <v>-1279496.53039545</v>
      </c>
      <c r="BB104" s="32" t="n">
        <f aca="false">SUM(BB60:BB103)</f>
        <v>-1169079.66295545</v>
      </c>
      <c r="BC104" s="32" t="n">
        <f aca="false">SUM(BC60:BC103)</f>
        <v>-1054982.23326745</v>
      </c>
      <c r="BD104" s="32" t="n">
        <f aca="false">SUM(BD60:BD103)</f>
        <v>-939685.519251453</v>
      </c>
      <c r="BE104" s="32" t="n">
        <f aca="false">SUM(BE60:BE103)</f>
        <v>-825464.025667453</v>
      </c>
      <c r="BF104" s="32" t="n">
        <f aca="false">SUM(BF60:BF103)</f>
        <v>-714385.484115453</v>
      </c>
      <c r="BG104" s="32" t="n">
        <f aca="false">SUM(BG60:BG103)</f>
        <v>-608145.434507453</v>
      </c>
      <c r="BH104" s="32" t="n">
        <f aca="false">SUM(BH60:BH103)</f>
        <v>-259255.013907853</v>
      </c>
      <c r="BI104" s="32" t="n">
        <f aca="false">SUM(BI60:BI103)</f>
        <v>0</v>
      </c>
      <c r="BJ104" s="32" t="n">
        <f aca="false">SUM(BJ60:BJ103)</f>
        <v>0</v>
      </c>
      <c r="BK104" s="32" t="n">
        <f aca="false">SUM(BK60:BK103)</f>
        <v>0</v>
      </c>
      <c r="BL104" s="32" t="n">
        <f aca="false">SUM(BL60:BL103)</f>
        <v>0</v>
      </c>
      <c r="BM104" s="32" t="n">
        <f aca="false">SUM(BM60:BM103)</f>
        <v>0</v>
      </c>
      <c r="BN104" s="32" t="n">
        <f aca="false">SUM(BN60:BN103)</f>
        <v>0</v>
      </c>
      <c r="BO104" s="32" t="n">
        <f aca="false">SUM(BO60:BO103)</f>
        <v>0</v>
      </c>
      <c r="BP104" s="32" t="n">
        <f aca="false">SUM(BP60:BP103)</f>
        <v>0</v>
      </c>
      <c r="BQ104" s="32" t="n">
        <f aca="false">SUM(BQ60:BQ103)</f>
        <v>0</v>
      </c>
      <c r="BR104" s="32" t="n">
        <f aca="false">SUM(BR60:BR103)</f>
        <v>0</v>
      </c>
      <c r="BS104" s="32" t="n">
        <f aca="false">SUM(BS60:BS103)</f>
        <v>0</v>
      </c>
      <c r="BT104" s="32" t="n">
        <f aca="false">SUM(BT60:BT103)</f>
        <v>0</v>
      </c>
      <c r="BU104" s="32" t="n">
        <f aca="false">SUM(BU60:BU103)</f>
        <v>0</v>
      </c>
      <c r="BV104" s="32" t="n">
        <f aca="false">SUM(BV60:BV103)</f>
        <v>0</v>
      </c>
      <c r="BW104" s="32" t="n">
        <f aca="false">SUM(BW60:BW103)</f>
        <v>0</v>
      </c>
      <c r="BX104" s="32" t="n">
        <f aca="false">SUM(BX60:BX103)</f>
        <v>0</v>
      </c>
      <c r="BY104" s="32" t="n">
        <f aca="false">SUM(BY60:BY103)</f>
        <v>0</v>
      </c>
      <c r="BZ104" s="32" t="n">
        <f aca="false">SUM(BZ60:BZ103)</f>
        <v>0</v>
      </c>
      <c r="CA104" s="32" t="n">
        <f aca="false">SUM(CA60:CA103)</f>
        <v>0</v>
      </c>
      <c r="CB104" s="32" t="n">
        <f aca="false">SUM(CB60:CB103)</f>
        <v>0</v>
      </c>
      <c r="CC104" s="32" t="n">
        <f aca="false">SUM(CC60:CC103)</f>
        <v>0</v>
      </c>
      <c r="CD104" s="32" t="n">
        <f aca="false">SUM(CD60:CD103)</f>
        <v>0</v>
      </c>
      <c r="CE104" s="32" t="n">
        <f aca="false">SUM(CE60:CE103)</f>
        <v>0</v>
      </c>
      <c r="CF104" s="32" t="n">
        <f aca="false">SUM(CF60:CF103)</f>
        <v>0</v>
      </c>
      <c r="CG104" s="32" t="n">
        <f aca="false">SUM(CG60:CG103)</f>
        <v>0</v>
      </c>
      <c r="CH104" s="32" t="n">
        <f aca="false">SUM(CH60:CH103)</f>
        <v>0</v>
      </c>
      <c r="CI104" s="32" t="n">
        <f aca="false">SUM(CI60:CI103)</f>
        <v>0</v>
      </c>
      <c r="CJ104" s="32" t="n">
        <f aca="false">SUM(CJ60:CJ103)</f>
        <v>0</v>
      </c>
      <c r="CK104" s="32" t="n">
        <f aca="false">SUM(CK60:CK103)</f>
        <v>0</v>
      </c>
      <c r="CL104" s="32" t="n">
        <f aca="false">SUM(CL60:CL103)</f>
        <v>0</v>
      </c>
      <c r="CM104" s="32" t="n">
        <f aca="false">SUM(CM60:CM103)</f>
        <v>0</v>
      </c>
      <c r="CN104" s="32" t="n">
        <f aca="false">SUM(CN60:CN103)</f>
        <v>0</v>
      </c>
      <c r="CO104" s="32" t="n">
        <f aca="false">SUM(CO60:CO103)</f>
        <v>0</v>
      </c>
      <c r="CP104" s="32" t="n">
        <f aca="false">SUM(CP60:CP103)</f>
        <v>0</v>
      </c>
      <c r="CQ104" s="32" t="n">
        <f aca="false">SUM(CQ60:CQ103)</f>
        <v>0</v>
      </c>
      <c r="CR104" s="32" t="n">
        <f aca="false">SUM(CR60:CR103)</f>
        <v>0</v>
      </c>
      <c r="CS104" s="32" t="n">
        <f aca="false">SUM(CS60:CS103)</f>
        <v>0</v>
      </c>
      <c r="CT104" s="32" t="n">
        <f aca="false">SUM(CT60:CT103)</f>
        <v>0</v>
      </c>
      <c r="CU104" s="32" t="n">
        <f aca="false">SUM(CU60:CU103)</f>
        <v>0</v>
      </c>
      <c r="CV104" s="32" t="n">
        <f aca="false">SUM(CV60:CV103)</f>
        <v>0</v>
      </c>
      <c r="CW104" s="32" t="n">
        <f aca="false">SUM(CW60:CW103)</f>
        <v>0</v>
      </c>
      <c r="CX104" s="32" t="n">
        <f aca="false">SUM(CX60:CX103)</f>
        <v>0</v>
      </c>
      <c r="CY104" s="32" t="n">
        <f aca="false">SUM(CY60:CY103)</f>
        <v>0</v>
      </c>
      <c r="CZ104" s="32" t="n">
        <f aca="false">SUM(CZ60:CZ103)</f>
        <v>0</v>
      </c>
      <c r="DA104" s="32" t="n">
        <f aca="false">SUM(DA60:DA103)</f>
        <v>0</v>
      </c>
      <c r="DB104" s="32" t="n">
        <f aca="false">SUM(DB60:DB103)</f>
        <v>0</v>
      </c>
      <c r="DC104" s="32" t="n">
        <f aca="false">SUM(DC60:DC103)</f>
        <v>0</v>
      </c>
      <c r="DD104" s="32" t="n">
        <f aca="false">SUM(DD60:DD103)</f>
        <v>0</v>
      </c>
      <c r="DE104" s="32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3" t="s">
        <v>57</v>
      </c>
      <c r="B107" s="34" t="n">
        <f aca="false">B10+B11+B57+B104+B105+B106</f>
        <v>218756.86</v>
      </c>
      <c r="C107" s="34" t="n">
        <f aca="false">C10+C11+C57+C104+C105+C106</f>
        <v>-51000.77</v>
      </c>
      <c r="D107" s="34" t="n">
        <f aca="false">D10+D11+D57+D104+D105+D106</f>
        <v>594184.52</v>
      </c>
      <c r="E107" s="34" t="n">
        <f aca="false">E10+E11+E57+E104+E105+E106</f>
        <v>447358.25</v>
      </c>
      <c r="F107" s="34" t="n">
        <f aca="false">F10+F11+F57+F104+F105+F106</f>
        <v>473786.7</v>
      </c>
      <c r="G107" s="34" t="n">
        <f aca="false">G10+G11+G57+G104+G105+G106</f>
        <v>651645.13</v>
      </c>
      <c r="H107" s="34" t="n">
        <f aca="false">H10+H11+H57+H104+H105+H106</f>
        <v>453210.539583304</v>
      </c>
      <c r="I107" s="34" t="n">
        <f aca="false">I10+I11+I57+I104+I105+I106</f>
        <v>780640.358165302</v>
      </c>
      <c r="J107" s="34" t="n">
        <f aca="false">J10+J11+J57+J104+J105+J106</f>
        <v>460189.159719214</v>
      </c>
      <c r="K107" s="34" t="n">
        <f aca="false">K10+K11+K57+K104+K105+K106</f>
        <v>813957.392993311</v>
      </c>
      <c r="L107" s="34" t="n">
        <f aca="false">L10+L11+L57+L104+L105+L106</f>
        <v>790051.039193256</v>
      </c>
      <c r="M107" s="34" t="n">
        <f aca="false">M10+M11+M57+M104+M105+M106</f>
        <v>701941.532727534</v>
      </c>
      <c r="N107" s="34" t="n">
        <f aca="false">N10+N11+N57+N104+N105+N106</f>
        <v>679991.466952449</v>
      </c>
      <c r="O107" s="34" t="n">
        <f aca="false">O10+O11+O57+O104+O105+O106</f>
        <v>654394.792434705</v>
      </c>
      <c r="P107" s="34" t="n">
        <f aca="false">P10+P11+P57+P104+P105+P106</f>
        <v>626468.167792499</v>
      </c>
      <c r="Q107" s="34" t="n">
        <f aca="false">Q10+Q11+Q57+Q104+Q105+Q106</f>
        <v>70143.586751235</v>
      </c>
      <c r="R107" s="34" t="n">
        <f aca="false">R10+R11+R57+R104+R105+R106</f>
        <v>901729.133513049</v>
      </c>
      <c r="S107" s="34" t="n">
        <f aca="false">S10+S11+S57+S104+S105+S106</f>
        <v>985308.956128146</v>
      </c>
      <c r="T107" s="34" t="n">
        <f aca="false">T10+T11+T57+T104+T105+T106</f>
        <v>910173.817627836</v>
      </c>
      <c r="U107" s="34" t="n">
        <f aca="false">U10+U11+U57+U104+U105+U106</f>
        <v>857615.482547276</v>
      </c>
      <c r="V107" s="34" t="n">
        <f aca="false">V10+V11+V57+V104+V105+V106</f>
        <v>854832.58188964</v>
      </c>
      <c r="W107" s="34" t="n">
        <f aca="false">W10+W11+W57+W104+W105+W106</f>
        <v>852247.188093135</v>
      </c>
      <c r="X107" s="34" t="n">
        <f aca="false">X10+X11+X57+X104+X105+X106</f>
        <v>841267.545668109</v>
      </c>
      <c r="Y107" s="34" t="n">
        <f aca="false">Y10+Y11+Y57+Y104+Y105+Y106</f>
        <v>841267.54566811</v>
      </c>
      <c r="Z107" s="34" t="n">
        <f aca="false">Z10+Z11+Z57+Z104+Z105+Z106</f>
        <v>841267.54566811</v>
      </c>
      <c r="AA107" s="34" t="n">
        <f aca="false">AA10+AA11+AA57+AA104+AA105+AA106</f>
        <v>919484.230289888</v>
      </c>
      <c r="AB107" s="34" t="n">
        <f aca="false">AB10+AB11+AB57+AB104+AB105+AB106</f>
        <v>763050.861046333</v>
      </c>
      <c r="AC107" s="34" t="n">
        <f aca="false">AC10+AC11+AC57+AC104+AC105+AC106</f>
        <v>763050.861046333</v>
      </c>
      <c r="AD107" s="34" t="n">
        <f aca="false">AD10+AD11+AD57+AD104+AD105+AD106</f>
        <v>763050.861046332</v>
      </c>
      <c r="AE107" s="34" t="n">
        <f aca="false">AE10+AE11+AE57+AE104+AE105+AE106</f>
        <v>197004.441914879</v>
      </c>
      <c r="AF107" s="34" t="n">
        <f aca="false">AF10+AF11+AF57+AF104+AF105+AF106</f>
        <v>920710.501914879</v>
      </c>
      <c r="AG107" s="34" t="n">
        <f aca="false">AG10+AG11+AG57+AG104+AG105+AG106</f>
        <v>1048706.63148263</v>
      </c>
      <c r="AH107" s="34" t="n">
        <f aca="false">AH10+AH11+AH57+AH104+AH105+AH106</f>
        <v>819380.232673744</v>
      </c>
      <c r="AI107" s="34" t="n">
        <f aca="false">AI10+AI11+AI57+AI104+AI105+AI106</f>
        <v>911575.750766994</v>
      </c>
      <c r="AJ107" s="34" t="n">
        <f aca="false">AJ10+AJ11+AJ57+AJ104+AJ105+AJ106</f>
        <v>795310.279457244</v>
      </c>
      <c r="AK107" s="34" t="n">
        <f aca="false">AK10+AK11+AK57+AK104+AK105+AK106</f>
        <v>770076.319837694</v>
      </c>
      <c r="AL107" s="34" t="n">
        <f aca="false">AL10+AL11+AL57+AL104+AL105+AL106</f>
        <v>891949.560586684</v>
      </c>
      <c r="AM107" s="34" t="n">
        <f aca="false">AM10+AM11+AM57+AM104+AM105+AM106</f>
        <v>330233.844925764</v>
      </c>
      <c r="AN107" s="34" t="n">
        <f aca="false">AN10+AN11+AN57+AN104+AN105+AN106</f>
        <v>330233.844925764</v>
      </c>
      <c r="AO107" s="34" t="n">
        <f aca="false">AO10+AO11+AO57+AO104+AO105+AO106</f>
        <v>330233.844925763</v>
      </c>
      <c r="AP107" s="34" t="n">
        <f aca="false">AP10+AP11+AP57+AP104+AP105+AP106</f>
        <v>330233.844925763</v>
      </c>
      <c r="AQ107" s="34" t="n">
        <f aca="false">AQ10+AQ11+AQ57+AQ104+AQ105+AQ106</f>
        <v>330233.844925763</v>
      </c>
      <c r="AR107" s="34" t="n">
        <f aca="false">AR10+AR11+AR57+AR104+AR105+AR106</f>
        <v>330233.844925764</v>
      </c>
      <c r="AS107" s="34" t="n">
        <f aca="false">AS10+AS11+AS57+AS104+AS105+AS106</f>
        <v>330233.844925763</v>
      </c>
      <c r="AT107" s="34" t="n">
        <f aca="false">AT10+AT11+AT57+AT104+AT105+AT106</f>
        <v>602719.430279263</v>
      </c>
      <c r="AU107" s="34" t="n">
        <f aca="false">AU10+AU11+AU57+AU104+AU105+AU106</f>
        <v>157659.640868547</v>
      </c>
      <c r="AV107" s="34" t="n">
        <f aca="false">AV10+AV11+AV57+AV104+AV105+AV106</f>
        <v>157659.640868547</v>
      </c>
      <c r="AW107" s="34" t="n">
        <f aca="false">AW10+AW11+AW57+AW104+AW105+AW106</f>
        <v>157659.640868547</v>
      </c>
      <c r="AX107" s="34" t="n">
        <f aca="false">AX10+AX11+AX57+AX104+AX105+AX106</f>
        <v>157659.640868547</v>
      </c>
      <c r="AY107" s="34" t="n">
        <f aca="false">AY10+AY11+AY57+AY104+AY105+AY106</f>
        <v>157659.640868547</v>
      </c>
      <c r="AZ107" s="34" t="n">
        <f aca="false">AZ10+AZ11+AZ57+AZ104+AZ105+AZ106</f>
        <v>157659.640868547</v>
      </c>
      <c r="BA107" s="34" t="n">
        <f aca="false">BA10+BA11+BA57+BA104+BA105+BA106</f>
        <v>157659.640868547</v>
      </c>
      <c r="BB107" s="34" t="n">
        <f aca="false">BB10+BB11+BB57+BB104+BB105+BB106</f>
        <v>157659.640868547</v>
      </c>
      <c r="BC107" s="34" t="n">
        <f aca="false">BC10+BC11+BC57+BC104+BC105+BC106</f>
        <v>157659.640868547</v>
      </c>
      <c r="BD107" s="34" t="n">
        <f aca="false">BD10+BD11+BD57+BD104+BD105+BD106</f>
        <v>157659.640868547</v>
      </c>
      <c r="BE107" s="34" t="n">
        <f aca="false">BE10+BE11+BE57+BE104+BE105+BE106</f>
        <v>157659.640868547</v>
      </c>
      <c r="BF107" s="34" t="n">
        <f aca="false">BF10+BF11+BF57+BF104+BF105+BF106</f>
        <v>157659.640868547</v>
      </c>
      <c r="BG107" s="34" t="n">
        <f aca="false">BG10+BG11+BG57+BG104+BG105+BG106</f>
        <v>157659.640868547</v>
      </c>
      <c r="BH107" s="34" t="n">
        <f aca="false">BH10+BH11+BH57+BH104+BH105+BH106</f>
        <v>406595.915924147</v>
      </c>
      <c r="BI107" s="34" t="n">
        <f aca="false">BI10+BI11+BI57+BI104+BI105+BI106</f>
        <v>0</v>
      </c>
      <c r="BJ107" s="34" t="n">
        <f aca="false">BJ10+BJ11+BJ57+BJ104+BJ105+BJ106</f>
        <v>0</v>
      </c>
      <c r="BK107" s="34" t="n">
        <f aca="false">BK10+BK11+BK57+BK104+BK105+BK106</f>
        <v>0</v>
      </c>
      <c r="BL107" s="34" t="n">
        <f aca="false">BL10+BL11+BL57+BL104+BL105+BL106</f>
        <v>0</v>
      </c>
      <c r="BM107" s="34" t="n">
        <f aca="false">BM10+BM11+BM57+BM104+BM105+BM106</f>
        <v>0</v>
      </c>
      <c r="BN107" s="34" t="n">
        <f aca="false">BN10+BN11+BN57+BN104+BN105+BN106</f>
        <v>0</v>
      </c>
      <c r="BO107" s="34" t="n">
        <f aca="false">BO10+BO11+BO57+BO104+BO105+BO106</f>
        <v>0</v>
      </c>
      <c r="BP107" s="34" t="n">
        <f aca="false">BP10+BP11+BP57+BP104+BP105+BP106</f>
        <v>0</v>
      </c>
      <c r="BQ107" s="34" t="n">
        <f aca="false">BQ10+BQ11+BQ57+BQ104+BQ105+BQ106</f>
        <v>0</v>
      </c>
      <c r="BR107" s="34" t="n">
        <f aca="false">BR10+BR11+BR57+BR104+BR105+BR106</f>
        <v>0</v>
      </c>
      <c r="BS107" s="34" t="n">
        <f aca="false">BS10+BS11+BS57+BS104+BS105+BS106</f>
        <v>0</v>
      </c>
      <c r="BT107" s="34" t="n">
        <f aca="false">BT10+BT11+BT57+BT104+BT105+BT106</f>
        <v>0</v>
      </c>
      <c r="BU107" s="34" t="n">
        <f aca="false">BU10+BU11+BU57+BU104+BU105+BU106</f>
        <v>0</v>
      </c>
      <c r="BV107" s="34" t="n">
        <f aca="false">BV10+BV11+BV57+BV104+BV105+BV106</f>
        <v>0</v>
      </c>
      <c r="BW107" s="34" t="n">
        <f aca="false">BW10+BW11+BW57+BW104+BW105+BW106</f>
        <v>0</v>
      </c>
      <c r="BX107" s="34" t="n">
        <f aca="false">BX10+BX11+BX57+BX104+BX105+BX106</f>
        <v>0</v>
      </c>
      <c r="BY107" s="34" t="n">
        <f aca="false">BY10+BY11+BY57+BY104+BY105+BY106</f>
        <v>0</v>
      </c>
      <c r="BZ107" s="34" t="n">
        <f aca="false">BZ10+BZ11+BZ57+BZ104+BZ105+BZ106</f>
        <v>0</v>
      </c>
      <c r="CA107" s="34" t="n">
        <f aca="false">CA10+CA11+CA57+CA104+CA105+CA106</f>
        <v>0</v>
      </c>
      <c r="CB107" s="34" t="n">
        <f aca="false">CB10+CB11+CB57+CB104+CB105+CB106</f>
        <v>0</v>
      </c>
      <c r="CC107" s="34" t="n">
        <f aca="false">CC10+CC11+CC57+CC104+CC105+CC106</f>
        <v>0</v>
      </c>
      <c r="CD107" s="34" t="n">
        <f aca="false">CD10+CD11+CD57+CD104+CD105+CD106</f>
        <v>0</v>
      </c>
      <c r="CE107" s="34" t="n">
        <f aca="false">CE10+CE11+CE57+CE104+CE105+CE106</f>
        <v>0</v>
      </c>
      <c r="CF107" s="34" t="n">
        <f aca="false">CF10+CF11+CF57+CF104+CF105+CF106</f>
        <v>0</v>
      </c>
      <c r="CG107" s="34" t="n">
        <f aca="false">CG10+CG11+CG57+CG104+CG105+CG106</f>
        <v>0</v>
      </c>
      <c r="CH107" s="34" t="n">
        <f aca="false">CH10+CH11+CH57+CH104+CH105+CH106</f>
        <v>0</v>
      </c>
      <c r="CI107" s="34" t="n">
        <f aca="false">CI10+CI11+CI57+CI104+CI105+CI106</f>
        <v>0</v>
      </c>
      <c r="CJ107" s="34" t="n">
        <f aca="false">CJ10+CJ11+CJ57+CJ104+CJ105+CJ106</f>
        <v>0</v>
      </c>
      <c r="CK107" s="34" t="n">
        <f aca="false">CK10+CK11+CK57+CK104+CK105+CK106</f>
        <v>0</v>
      </c>
      <c r="CL107" s="34" t="n">
        <f aca="false">CL10+CL11+CL57+CL104+CL105+CL106</f>
        <v>0</v>
      </c>
      <c r="CM107" s="34" t="n">
        <f aca="false">CM10+CM11+CM57+CM104+CM105+CM106</f>
        <v>0</v>
      </c>
      <c r="CN107" s="34" t="n">
        <f aca="false">CN10+CN11+CN57+CN104+CN105+CN106</f>
        <v>0</v>
      </c>
      <c r="CO107" s="34" t="n">
        <f aca="false">CO10+CO11+CO57+CO104+CO105+CO106</f>
        <v>0</v>
      </c>
      <c r="CP107" s="34" t="n">
        <f aca="false">CP10+CP11+CP57+CP104+CP105+CP106</f>
        <v>0</v>
      </c>
      <c r="CQ107" s="34" t="n">
        <f aca="false">CQ10+CQ11+CQ57+CQ104+CQ105+CQ106</f>
        <v>0</v>
      </c>
      <c r="CR107" s="34" t="n">
        <f aca="false">CR10+CR11+CR57+CR104+CR105+CR106</f>
        <v>0</v>
      </c>
      <c r="CS107" s="34" t="n">
        <f aca="false">CS10+CS11+CS57+CS104+CS105+CS106</f>
        <v>0</v>
      </c>
      <c r="CT107" s="34" t="n">
        <f aca="false">CT10+CT11+CT57+CT104+CT105+CT106</f>
        <v>0</v>
      </c>
      <c r="CU107" s="34" t="n">
        <f aca="false">CU10+CU11+CU57+CU104+CU105+CU106</f>
        <v>0</v>
      </c>
      <c r="CV107" s="34" t="n">
        <f aca="false">CV10+CV11+CV57+CV104+CV105+CV106</f>
        <v>0</v>
      </c>
      <c r="CW107" s="34" t="n">
        <f aca="false">CW10+CW11+CW57+CW104+CW105+CW106</f>
        <v>0</v>
      </c>
      <c r="CX107" s="34" t="n">
        <f aca="false">CX10+CX11+CX57+CX104+CX105+CX106</f>
        <v>0</v>
      </c>
      <c r="CY107" s="34" t="n">
        <f aca="false">CY10+CY11+CY57+CY104+CY105+CY106</f>
        <v>0</v>
      </c>
      <c r="CZ107" s="34" t="n">
        <f aca="false">CZ10+CZ11+CZ57+CZ104+CZ105+CZ106</f>
        <v>0</v>
      </c>
      <c r="DA107" s="34" t="n">
        <f aca="false">DA10+DA11+DA57+DA104+DA105+DA106</f>
        <v>0</v>
      </c>
      <c r="DB107" s="34" t="n">
        <f aca="false">DB10+DB11+DB57+DB104+DB105+DB106</f>
        <v>0</v>
      </c>
      <c r="DC107" s="34" t="n">
        <f aca="false">DC10+DC11+DC57+DC104+DC105+DC106</f>
        <v>0</v>
      </c>
      <c r="DD107" s="34" t="n">
        <f aca="false">DD10+DD11+DD57+DD104+DD105+DD106</f>
        <v>0</v>
      </c>
      <c r="DE107" s="34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5" t="n">
        <f aca="false">IFERROR(B107/B58,0)</f>
        <v>0.150473411652305</v>
      </c>
      <c r="C108" s="35" t="n">
        <f aca="false">IFERROR(C107/C58,0)</f>
        <v>-0.0168735833579273</v>
      </c>
      <c r="D108" s="35" t="n">
        <f aca="false">IFERROR(D107/D58,0)</f>
        <v>0.222356457869786</v>
      </c>
      <c r="E108" s="35" t="n">
        <f aca="false">IFERROR(E107/E58,0)</f>
        <v>0.121157878546931</v>
      </c>
      <c r="F108" s="35" t="n">
        <f aca="false">IFERROR(F107/F58,0)</f>
        <v>0.107287157584347</v>
      </c>
      <c r="G108" s="35" t="n">
        <f aca="false">IFERROR(G107/G58,0)</f>
        <v>0.104225483170575</v>
      </c>
      <c r="H108" s="35" t="n">
        <f aca="false">IFERROR(H107/H58,0)</f>
        <v>0.0918727592539278</v>
      </c>
      <c r="I108" s="35" t="n">
        <f aca="false">IFERROR(I107/I58,0)</f>
        <v>0.126896442155622</v>
      </c>
      <c r="J108" s="35" t="n">
        <f aca="false">IFERROR(J107/J58,0)</f>
        <v>0.068815349525729</v>
      </c>
      <c r="K108" s="35" t="n">
        <f aca="false">IFERROR(K107/K58,0)</f>
        <v>0.119496623055676</v>
      </c>
      <c r="L108" s="35" t="n">
        <f aca="false">IFERROR(L107/L58,0)</f>
        <v>0.11475110164335</v>
      </c>
      <c r="M108" s="35" t="n">
        <f aca="false">IFERROR(M107/M58,0)</f>
        <v>0.110495011583362</v>
      </c>
      <c r="N108" s="35" t="n">
        <f aca="false">IFERROR(N107/N58,0)</f>
        <v>0.10573705274102</v>
      </c>
      <c r="O108" s="35" t="n">
        <f aca="false">IFERROR(O107/O58,0)</f>
        <v>0.101406459989601</v>
      </c>
      <c r="P108" s="35" t="n">
        <f aca="false">IFERROR(P107/P58,0)</f>
        <v>0.0975254321647023</v>
      </c>
      <c r="Q108" s="35" t="n">
        <f aca="false">IFERROR(Q107/Q58,0)</f>
        <v>0.00937471991598233</v>
      </c>
      <c r="R108" s="35" t="n">
        <f aca="false">IFERROR(R107/R58,0)</f>
        <v>0.11459107780543</v>
      </c>
      <c r="S108" s="35" t="n">
        <f aca="false">IFERROR(S107/S58,0)</f>
        <v>0.116017924749308</v>
      </c>
      <c r="T108" s="35" t="n">
        <f aca="false">IFERROR(T107/T58,0)</f>
        <v>0.112065098469685</v>
      </c>
      <c r="U108" s="35" t="n">
        <f aca="false">IFERROR(U107/U58,0)</f>
        <v>0.107139410893043</v>
      </c>
      <c r="V108" s="35" t="n">
        <f aca="false">IFERROR(V107/V58,0)</f>
        <v>0.10185551973583</v>
      </c>
      <c r="W108" s="35" t="n">
        <f aca="false">IFERROR(W107/W58,0)</f>
        <v>0.0979218571470744</v>
      </c>
      <c r="X108" s="35" t="n">
        <f aca="false">IFERROR(X107/X58,0)</f>
        <v>0.0949676520148582</v>
      </c>
      <c r="Y108" s="35" t="n">
        <f aca="false">IFERROR(Y107/Y58,0)</f>
        <v>0.0935754685655028</v>
      </c>
      <c r="Z108" s="35" t="n">
        <f aca="false">IFERROR(Z107/Z58,0)</f>
        <v>0.0933825899222137</v>
      </c>
      <c r="AA108" s="35" t="n">
        <f aca="false">IFERROR(AA107/AA58,0)</f>
        <v>0.103189363726092</v>
      </c>
      <c r="AB108" s="35" t="n">
        <f aca="false">IFERROR(AB107/AB58,0)</f>
        <v>0.0905613545057328</v>
      </c>
      <c r="AC108" s="35" t="n">
        <f aca="false">IFERROR(AC107/AC58,0)</f>
        <v>0.0934139399232798</v>
      </c>
      <c r="AD108" s="35" t="n">
        <f aca="false">IFERROR(AD107/AD58,0)</f>
        <v>0.0977449001631416</v>
      </c>
      <c r="AE108" s="35" t="n">
        <f aca="false">IFERROR(AE107/AE58,0)</f>
        <v>0.0245537828705007</v>
      </c>
      <c r="AF108" s="35" t="n">
        <f aca="false">IFERROR(AF107/AF58,0)</f>
        <v>0.121019170723756</v>
      </c>
      <c r="AG108" s="35" t="n">
        <f aca="false">IFERROR(AG107/AG58,0)</f>
        <v>0.146573050599971</v>
      </c>
      <c r="AH108" s="35" t="n">
        <f aca="false">IFERROR(AH107/AH58,0)</f>
        <v>0.129583804721942</v>
      </c>
      <c r="AI108" s="35" t="n">
        <f aca="false">IFERROR(AI107/AI58,0)</f>
        <v>0.153971344481031</v>
      </c>
      <c r="AJ108" s="35" t="n">
        <f aca="false">IFERROR(AJ107/AJ58,0)</f>
        <v>0.152805036545514</v>
      </c>
      <c r="AK108" s="35" t="n">
        <f aca="false">IFERROR(AK107/AK58,0)</f>
        <v>0.16507357384174</v>
      </c>
      <c r="AL108" s="35" t="n">
        <f aca="false">IFERROR(AL107/AL58,0)</f>
        <v>0.220556736659952</v>
      </c>
      <c r="AM108" s="35" t="n">
        <f aca="false">IFERROR(AM107/AM58,0)</f>
        <v>0.106035978023749</v>
      </c>
      <c r="AN108" s="35" t="n">
        <f aca="false">IFERROR(AN107/AN58,0)</f>
        <v>0.106915598291702</v>
      </c>
      <c r="AO108" s="35" t="n">
        <f aca="false">IFERROR(AO107/AO58,0)</f>
        <v>0.108356210267955</v>
      </c>
      <c r="AP108" s="35" t="n">
        <f aca="false">IFERROR(AP107/AP58,0)</f>
        <v>0.110386938481819</v>
      </c>
      <c r="AQ108" s="35" t="n">
        <f aca="false">IFERROR(AQ107/AQ58,0)</f>
        <v>0.113051925396373</v>
      </c>
      <c r="AR108" s="35" t="n">
        <f aca="false">IFERROR(AR107/AR58,0)</f>
        <v>0.116414229487855</v>
      </c>
      <c r="AS108" s="35" t="n">
        <f aca="false">IFERROR(AS107/AS58,0)</f>
        <v>0.120553110248567</v>
      </c>
      <c r="AT108" s="35" t="n">
        <f aca="false">IFERROR(AT107/AT58,0)</f>
        <v>0.229178493647467</v>
      </c>
      <c r="AU108" s="35" t="n">
        <f aca="false">IFERROR(AU107/AU58,0)</f>
        <v>0.0837646752942383</v>
      </c>
      <c r="AV108" s="35" t="n">
        <f aca="false">IFERROR(AV107/AV58,0)</f>
        <v>0.0854545013038053</v>
      </c>
      <c r="AW108" s="35" t="n">
        <f aca="false">IFERROR(AW107/AW58,0)</f>
        <v>0.0880559340955461</v>
      </c>
      <c r="AX108" s="35" t="n">
        <f aca="false">IFERROR(AX107/AX58,0)</f>
        <v>0.0916459930927827</v>
      </c>
      <c r="AY108" s="35" t="n">
        <f aca="false">IFERROR(AY107/AY58,0)</f>
        <v>0.0963403837730382</v>
      </c>
      <c r="AZ108" s="35" t="n">
        <f aca="false">IFERROR(AZ107/AZ58,0)</f>
        <v>0.102293639933099</v>
      </c>
      <c r="BA108" s="35" t="n">
        <f aca="false">IFERROR(BA107/BA58,0)</f>
        <v>0.109702511126458</v>
      </c>
      <c r="BB108" s="35" t="n">
        <f aca="false">IFERROR(BB107/BB58,0)</f>
        <v>0.118832419009621</v>
      </c>
      <c r="BC108" s="35" t="n">
        <f aca="false">IFERROR(BC107/BC58,0)</f>
        <v>0.130013356978026</v>
      </c>
      <c r="BD108" s="35" t="n">
        <f aca="false">IFERROR(BD107/BD58,0)</f>
        <v>0.143673701400666</v>
      </c>
      <c r="BE108" s="35" t="n">
        <f aca="false">IFERROR(BE107/BE58,0)</f>
        <v>0.160366031492309</v>
      </c>
      <c r="BF108" s="35" t="n">
        <f aca="false">IFERROR(BF107/BF58,0)</f>
        <v>0.180792984619276</v>
      </c>
      <c r="BG108" s="35" t="n">
        <f aca="false">IFERROR(BG107/BG58,0)</f>
        <v>0.205874374482486</v>
      </c>
      <c r="BH108" s="35" t="n">
        <f aca="false">IFERROR(BH107/BH58,0)</f>
        <v>0.610641057491253</v>
      </c>
      <c r="BI108" s="35" t="n">
        <f aca="false">IFERROR(BI107/BI58,0)</f>
        <v>0</v>
      </c>
      <c r="BJ108" s="35" t="n">
        <f aca="false">IFERROR(BJ107/BJ58,0)</f>
        <v>0</v>
      </c>
      <c r="BK108" s="35" t="n">
        <f aca="false">IFERROR(BK107/BK58,0)</f>
        <v>0</v>
      </c>
      <c r="BL108" s="35" t="n">
        <f aca="false">IFERROR(BL107/BL58,0)</f>
        <v>0</v>
      </c>
      <c r="BM108" s="35" t="n">
        <f aca="false">IFERROR(BM107/BM58,0)</f>
        <v>0</v>
      </c>
      <c r="BN108" s="35" t="n">
        <f aca="false">IFERROR(BN107/BN58,0)</f>
        <v>0</v>
      </c>
      <c r="BO108" s="35" t="n">
        <f aca="false">IFERROR(BO107/BO58,0)</f>
        <v>0</v>
      </c>
      <c r="BP108" s="35" t="n">
        <f aca="false">IFERROR(BP107/BP58,0)</f>
        <v>0</v>
      </c>
      <c r="BQ108" s="35" t="n">
        <f aca="false">IFERROR(BQ107/BQ58,0)</f>
        <v>0</v>
      </c>
      <c r="BR108" s="35" t="n">
        <f aca="false">IFERROR(BR107/BR58,0)</f>
        <v>0</v>
      </c>
      <c r="BS108" s="35" t="n">
        <f aca="false">IFERROR(BS107/BS58,0)</f>
        <v>0</v>
      </c>
      <c r="BT108" s="35" t="n">
        <f aca="false">IFERROR(BT107/BT58,0)</f>
        <v>0</v>
      </c>
      <c r="BU108" s="35" t="n">
        <f aca="false">IFERROR(BU107/BU58,0)</f>
        <v>0</v>
      </c>
      <c r="BV108" s="35" t="n">
        <f aca="false">IFERROR(BV107/BV58,0)</f>
        <v>0</v>
      </c>
      <c r="BW108" s="35" t="n">
        <f aca="false">IFERROR(BW107/BW58,0)</f>
        <v>0</v>
      </c>
      <c r="BX108" s="35" t="n">
        <f aca="false">IFERROR(BX107/BX58,0)</f>
        <v>0</v>
      </c>
      <c r="BY108" s="35" t="n">
        <f aca="false">IFERROR(BY107/BY58,0)</f>
        <v>0</v>
      </c>
      <c r="BZ108" s="35" t="n">
        <f aca="false">IFERROR(BZ107/BZ58,0)</f>
        <v>0</v>
      </c>
      <c r="CA108" s="35" t="n">
        <f aca="false">IFERROR(CA107/CA58,0)</f>
        <v>0</v>
      </c>
      <c r="CB108" s="35" t="n">
        <f aca="false">IFERROR(CB107/CB58,0)</f>
        <v>0</v>
      </c>
      <c r="CC108" s="35" t="n">
        <f aca="false">IFERROR(CC107/CC58,0)</f>
        <v>0</v>
      </c>
      <c r="CD108" s="35" t="n">
        <f aca="false">IFERROR(CD107/CD58,0)</f>
        <v>0</v>
      </c>
      <c r="CE108" s="35" t="n">
        <f aca="false">IFERROR(CE107/CE58,0)</f>
        <v>0</v>
      </c>
      <c r="CF108" s="35" t="n">
        <f aca="false">IFERROR(CF107/CF58,0)</f>
        <v>0</v>
      </c>
      <c r="CG108" s="35" t="n">
        <f aca="false">IFERROR(CG107/CG58,0)</f>
        <v>0</v>
      </c>
      <c r="CH108" s="35" t="n">
        <f aca="false">IFERROR(CH107/CH58,0)</f>
        <v>0</v>
      </c>
      <c r="CI108" s="35" t="n">
        <f aca="false">IFERROR(CI107/CI58,0)</f>
        <v>0</v>
      </c>
      <c r="CJ108" s="35" t="n">
        <f aca="false">IFERROR(CJ107/CJ58,0)</f>
        <v>0</v>
      </c>
      <c r="CK108" s="35" t="n">
        <f aca="false">IFERROR(CK107/CK58,0)</f>
        <v>0</v>
      </c>
      <c r="CL108" s="35" t="n">
        <f aca="false">IFERROR(CL107/CL58,0)</f>
        <v>0</v>
      </c>
      <c r="CM108" s="35" t="n">
        <f aca="false">IFERROR(CM107/CM58,0)</f>
        <v>0</v>
      </c>
      <c r="CN108" s="35" t="n">
        <f aca="false">IFERROR(CN107/CN58,0)</f>
        <v>0</v>
      </c>
      <c r="CO108" s="35" t="n">
        <f aca="false">IFERROR(CO107/CO58,0)</f>
        <v>0</v>
      </c>
      <c r="CP108" s="35" t="n">
        <f aca="false">IFERROR(CP107/CP58,0)</f>
        <v>0</v>
      </c>
      <c r="CQ108" s="35" t="n">
        <f aca="false">IFERROR(CQ107/CQ58,0)</f>
        <v>0</v>
      </c>
      <c r="CR108" s="35" t="n">
        <f aca="false">IFERROR(CR107/CR58,0)</f>
        <v>0</v>
      </c>
      <c r="CS108" s="35" t="n">
        <f aca="false">IFERROR(CS107/CS58,0)</f>
        <v>0</v>
      </c>
      <c r="CT108" s="35" t="n">
        <f aca="false">IFERROR(CT107/CT58,0)</f>
        <v>0</v>
      </c>
      <c r="CU108" s="35" t="n">
        <f aca="false">IFERROR(CU107/CU58,0)</f>
        <v>0</v>
      </c>
      <c r="CV108" s="35" t="n">
        <f aca="false">IFERROR(CV107/CV58,0)</f>
        <v>0</v>
      </c>
      <c r="CW108" s="35" t="n">
        <f aca="false">IFERROR(CW107/CW58,0)</f>
        <v>0</v>
      </c>
      <c r="CX108" s="35" t="n">
        <f aca="false">IFERROR(CX107/CX58,0)</f>
        <v>0</v>
      </c>
      <c r="CY108" s="35" t="n">
        <f aca="false">IFERROR(CY107/CY58,0)</f>
        <v>0</v>
      </c>
      <c r="CZ108" s="35" t="n">
        <f aca="false">IFERROR(CZ107/CZ58,0)</f>
        <v>0</v>
      </c>
      <c r="DA108" s="35" t="n">
        <f aca="false">IFERROR(DA107/DA58,0)</f>
        <v>0</v>
      </c>
      <c r="DB108" s="35" t="n">
        <f aca="false">IFERROR(DB107/DB58,0)</f>
        <v>0</v>
      </c>
      <c r="DC108" s="35" t="n">
        <f aca="false">IFERROR(DC107/DC58,0)</f>
        <v>0</v>
      </c>
      <c r="DD108" s="35" t="n">
        <f aca="false">IFERROR(DD107/DD58,0)</f>
        <v>0</v>
      </c>
      <c r="DE108" s="35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23" t="s">
        <v>59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7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0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customFormat="false" ht="15" hidden="false" customHeight="true" outlineLevel="0" collapsed="false">
      <c r="A134" s="37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-550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7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-17638.14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7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-1422.33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7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-160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7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-5000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7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-417.6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-26.67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-21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21" t="n">
        <f aca="false">IF(ISBLANK(Actuals!C52),-'BD Commission Detail'!C53,Actuals!C52)</f>
        <v>-0</v>
      </c>
      <c r="C142" s="21" t="n">
        <f aca="false">IF(ISBLANK(Actuals!D52),-'BD Commission Detail'!D53,Actuals!D52)</f>
        <v>-0</v>
      </c>
      <c r="D142" s="21" t="n">
        <f aca="false">IF(ISBLANK(Actuals!E52),-'BD Commission Detail'!E53,Actuals!E52)</f>
        <v>-0</v>
      </c>
      <c r="E142" s="21" t="n">
        <f aca="false">IF(ISBLANK(Actuals!F52),-'BD Commission Detail'!F53,Actuals!F52)</f>
        <v>-0</v>
      </c>
      <c r="F142" s="21" t="n">
        <f aca="false">IF(ISBLANK(Actuals!G52),-'BD Commission Detail'!G53,Actuals!G52)</f>
        <v>-0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0</v>
      </c>
      <c r="P142" s="21" t="n">
        <v>0</v>
      </c>
      <c r="Q142" s="21" t="n">
        <v>0</v>
      </c>
      <c r="R142" s="21" t="n">
        <v>0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0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0</v>
      </c>
      <c r="CV142" s="21" t="n">
        <v>0</v>
      </c>
      <c r="CW142" s="21" t="n">
        <v>0</v>
      </c>
      <c r="CX142" s="21" t="n">
        <v>0</v>
      </c>
      <c r="CY142" s="21" t="n">
        <v>0</v>
      </c>
      <c r="CZ142" s="21" t="n">
        <v>0</v>
      </c>
      <c r="DA142" s="21" t="n">
        <v>0</v>
      </c>
      <c r="DB142" s="21" t="n">
        <v>0</v>
      </c>
      <c r="DC142" s="21" t="n">
        <v>0</v>
      </c>
      <c r="DD142" s="21" t="n">
        <v>0</v>
      </c>
      <c r="DE142" s="21" t="n">
        <v>0</v>
      </c>
    </row>
    <row r="143" customFormat="false" ht="15" hidden="false" customHeight="true" outlineLevel="0" collapsed="false">
      <c r="A143" s="28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-3701.78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1" t="s">
        <v>93</v>
      </c>
      <c r="B144" s="32" t="n">
        <f aca="false">SUM(B110:B143)</f>
        <v>-260601.5</v>
      </c>
      <c r="C144" s="32" t="n">
        <f aca="false">SUM(C110:C143)</f>
        <v>-260308.54</v>
      </c>
      <c r="D144" s="32" t="n">
        <f aca="false">SUM(D110:D143)</f>
        <v>-351937.74</v>
      </c>
      <c r="E144" s="32" t="n">
        <f aca="false">SUM(E110:E143)</f>
        <v>-73431.56</v>
      </c>
      <c r="F144" s="32" t="n">
        <f aca="false">SUM(F110:F143)</f>
        <v>-437914.85</v>
      </c>
      <c r="G144" s="32" t="n">
        <f aca="false">SUM(G110:G143)</f>
        <v>-426674.543333333</v>
      </c>
      <c r="H144" s="32" t="n">
        <f aca="false">SUM(H110:H143)</f>
        <v>-522089.475</v>
      </c>
      <c r="I144" s="32" t="n">
        <f aca="false">SUM(I110:I143)</f>
        <v>-477089.475</v>
      </c>
      <c r="J144" s="32" t="n">
        <f aca="false">SUM(J110:J143)</f>
        <v>-516356.141666667</v>
      </c>
      <c r="K144" s="32" t="n">
        <f aca="false">SUM(K110:K143)</f>
        <v>-492356.141666667</v>
      </c>
      <c r="L144" s="32" t="n">
        <f aca="false">SUM(L110:L143)</f>
        <v>-492356.141666667</v>
      </c>
      <c r="M144" s="32" t="n">
        <f aca="false">SUM(M110:M143)</f>
        <v>-524260.308333333</v>
      </c>
      <c r="N144" s="32" t="n">
        <f aca="false">SUM(N110:N143)</f>
        <v>-504760.308333333</v>
      </c>
      <c r="O144" s="32" t="n">
        <f aca="false">SUM(O110:O143)</f>
        <v>-504760.308333333</v>
      </c>
      <c r="P144" s="32" t="n">
        <f aca="false">SUM(P110:P143)</f>
        <v>-504760.308333333</v>
      </c>
      <c r="Q144" s="32" t="n">
        <f aca="false">SUM(Q110:Q143)</f>
        <v>-552350.847833333</v>
      </c>
      <c r="R144" s="32" t="n">
        <f aca="false">SUM(R110:R143)</f>
        <v>-528350.847833333</v>
      </c>
      <c r="S144" s="32" t="n">
        <f aca="false">SUM(S110:S143)</f>
        <v>-528350.847833333</v>
      </c>
      <c r="T144" s="32" t="n">
        <f aca="false">SUM(T110:T143)</f>
        <v>-528350.847833333</v>
      </c>
      <c r="U144" s="32" t="n">
        <f aca="false">SUM(U110:U143)</f>
        <v>-528350.847833333</v>
      </c>
      <c r="V144" s="32" t="n">
        <f aca="false">SUM(V110:V143)</f>
        <v>-528350.847833333</v>
      </c>
      <c r="W144" s="32" t="n">
        <f aca="false">SUM(W110:W143)</f>
        <v>-528350.847833333</v>
      </c>
      <c r="X144" s="32" t="n">
        <f aca="false">SUM(X110:X143)</f>
        <v>-528350.847833333</v>
      </c>
      <c r="Y144" s="32" t="n">
        <f aca="false">SUM(Y110:Y143)</f>
        <v>-528350.847833333</v>
      </c>
      <c r="Z144" s="32" t="n">
        <f aca="false">SUM(Z110:Z143)</f>
        <v>-528350.847833333</v>
      </c>
      <c r="AA144" s="32" t="n">
        <f aca="false">SUM(AA110:AA143)</f>
        <v>-528350.847833333</v>
      </c>
      <c r="AB144" s="32" t="n">
        <f aca="false">SUM(AB110:AB143)</f>
        <v>-528350.847833333</v>
      </c>
      <c r="AC144" s="32" t="n">
        <f aca="false">SUM(AC110:AC143)</f>
        <v>-536841.198123333</v>
      </c>
      <c r="AD144" s="32" t="n">
        <f aca="false">SUM(AD110:AD143)</f>
        <v>-536841.198123333</v>
      </c>
      <c r="AE144" s="32" t="n">
        <f aca="false">SUM(AE110:AE143)</f>
        <v>-536841.198123333</v>
      </c>
      <c r="AF144" s="32" t="n">
        <f aca="false">SUM(AF110:AF143)</f>
        <v>-536841.198123333</v>
      </c>
      <c r="AG144" s="32" t="n">
        <f aca="false">SUM(AG110:AG143)</f>
        <v>-536841.198123333</v>
      </c>
      <c r="AH144" s="32" t="n">
        <f aca="false">SUM(AH110:AH143)</f>
        <v>-536841.198123333</v>
      </c>
      <c r="AI144" s="32" t="n">
        <f aca="false">SUM(AI110:AI143)</f>
        <v>-536841.198123333</v>
      </c>
      <c r="AJ144" s="32" t="n">
        <f aca="false">SUM(AJ110:AJ143)</f>
        <v>-536841.198123333</v>
      </c>
      <c r="AK144" s="32" t="n">
        <f aca="false">SUM(AK110:AK143)</f>
        <v>-536841.198123333</v>
      </c>
      <c r="AL144" s="32" t="n">
        <f aca="false">SUM(AL110:AL143)</f>
        <v>-536841.198123333</v>
      </c>
      <c r="AM144" s="32" t="n">
        <f aca="false">SUM(AM110:AM143)</f>
        <v>-536841.198123333</v>
      </c>
      <c r="AN144" s="32" t="n">
        <f aca="false">SUM(AN110:AN143)</f>
        <v>-536841.198123333</v>
      </c>
      <c r="AO144" s="32" t="n">
        <f aca="false">SUM(AO110:AO143)</f>
        <v>-545501.355419133</v>
      </c>
      <c r="AP144" s="32" t="n">
        <f aca="false">SUM(AP110:AP143)</f>
        <v>-545501.355419133</v>
      </c>
      <c r="AQ144" s="32" t="n">
        <f aca="false">SUM(AQ110:AQ143)</f>
        <v>-545501.355419133</v>
      </c>
      <c r="AR144" s="32" t="n">
        <f aca="false">SUM(AR110:AR143)</f>
        <v>-545501.355419133</v>
      </c>
      <c r="AS144" s="32" t="n">
        <f aca="false">SUM(AS110:AS143)</f>
        <v>-545501.355419133</v>
      </c>
      <c r="AT144" s="32" t="n">
        <f aca="false">SUM(AT110:AT143)</f>
        <v>-545501.355419133</v>
      </c>
      <c r="AU144" s="32" t="n">
        <f aca="false">SUM(AU110:AU143)</f>
        <v>-545501.355419133</v>
      </c>
      <c r="AV144" s="32" t="n">
        <f aca="false">SUM(AV110:AV143)</f>
        <v>-545501.355419133</v>
      </c>
      <c r="AW144" s="32" t="n">
        <f aca="false">SUM(AW110:AW143)</f>
        <v>-545501.355419133</v>
      </c>
      <c r="AX144" s="32" t="n">
        <f aca="false">SUM(AX110:AX143)</f>
        <v>-545501.355419133</v>
      </c>
      <c r="AY144" s="32" t="n">
        <f aca="false">SUM(AY110:AY143)</f>
        <v>-545501.355419133</v>
      </c>
      <c r="AZ144" s="32" t="n">
        <f aca="false">SUM(AZ110:AZ143)</f>
        <v>-545501.355419133</v>
      </c>
      <c r="BA144" s="32" t="n">
        <f aca="false">SUM(BA110:BA143)</f>
        <v>-554334.715860849</v>
      </c>
      <c r="BB144" s="32" t="n">
        <f aca="false">SUM(BB110:BB143)</f>
        <v>-554334.715860849</v>
      </c>
      <c r="BC144" s="32" t="n">
        <f aca="false">SUM(BC110:BC143)</f>
        <v>-554334.715860849</v>
      </c>
      <c r="BD144" s="32" t="n">
        <f aca="false">SUM(BD110:BD143)</f>
        <v>-554334.715860849</v>
      </c>
      <c r="BE144" s="32" t="n">
        <f aca="false">SUM(BE110:BE143)</f>
        <v>-554334.715860849</v>
      </c>
      <c r="BF144" s="32" t="n">
        <f aca="false">SUM(BF110:BF143)</f>
        <v>-554334.715860849</v>
      </c>
      <c r="BG144" s="32" t="n">
        <f aca="false">SUM(BG110:BG143)</f>
        <v>-554334.715860849</v>
      </c>
      <c r="BH144" s="32" t="n">
        <f aca="false">SUM(BH110:BH143)</f>
        <v>-554334.715860849</v>
      </c>
      <c r="BI144" s="32" t="n">
        <f aca="false">SUM(BI110:BI143)</f>
        <v>-554334.715860849</v>
      </c>
      <c r="BJ144" s="32" t="n">
        <f aca="false">SUM(BJ110:BJ143)</f>
        <v>-554334.715860849</v>
      </c>
      <c r="BK144" s="32" t="n">
        <f aca="false">SUM(BK110:BK143)</f>
        <v>-554334.715860849</v>
      </c>
      <c r="BL144" s="32" t="n">
        <f aca="false">SUM(BL110:BL143)</f>
        <v>-554334.715860849</v>
      </c>
      <c r="BM144" s="32" t="n">
        <f aca="false">SUM(BM110:BM143)</f>
        <v>-563344.7435114</v>
      </c>
      <c r="BN144" s="32" t="n">
        <f aca="false">SUM(BN110:BN143)</f>
        <v>-563344.7435114</v>
      </c>
      <c r="BO144" s="32" t="n">
        <f aca="false">SUM(BO110:BO143)</f>
        <v>-563344.7435114</v>
      </c>
      <c r="BP144" s="32" t="n">
        <f aca="false">SUM(BP110:BP143)</f>
        <v>-563344.7435114</v>
      </c>
      <c r="BQ144" s="32" t="n">
        <f aca="false">SUM(BQ110:BQ143)</f>
        <v>-563344.7435114</v>
      </c>
      <c r="BR144" s="32" t="n">
        <f aca="false">SUM(BR110:BR143)</f>
        <v>-563344.7435114</v>
      </c>
      <c r="BS144" s="32" t="n">
        <f aca="false">SUM(BS110:BS143)</f>
        <v>-563344.7435114</v>
      </c>
      <c r="BT144" s="32" t="n">
        <f aca="false">SUM(BT110:BT143)</f>
        <v>-563344.7435114</v>
      </c>
      <c r="BU144" s="32" t="n">
        <f aca="false">SUM(BU110:BU143)</f>
        <v>-563344.7435114</v>
      </c>
      <c r="BV144" s="32" t="n">
        <f aca="false">SUM(BV110:BV143)</f>
        <v>-563344.7435114</v>
      </c>
      <c r="BW144" s="32" t="n">
        <f aca="false">SUM(BW110:BW143)</f>
        <v>-563344.7435114</v>
      </c>
      <c r="BX144" s="32" t="n">
        <f aca="false">SUM(BX110:BX143)</f>
        <v>-563344.7435114</v>
      </c>
      <c r="BY144" s="32" t="n">
        <f aca="false">SUM(BY110:BY143)</f>
        <v>-572534.971714961</v>
      </c>
      <c r="BZ144" s="32" t="n">
        <f aca="false">SUM(BZ110:BZ143)</f>
        <v>-572534.971714961</v>
      </c>
      <c r="CA144" s="32" t="n">
        <f aca="false">SUM(CA110:CA143)</f>
        <v>-572534.971714961</v>
      </c>
      <c r="CB144" s="32" t="n">
        <f aca="false">SUM(CB110:CB143)</f>
        <v>-572534.971714961</v>
      </c>
      <c r="CC144" s="32" t="n">
        <f aca="false">SUM(CC110:CC143)</f>
        <v>-572534.971714961</v>
      </c>
      <c r="CD144" s="32" t="n">
        <f aca="false">SUM(CD110:CD143)</f>
        <v>-572534.971714961</v>
      </c>
      <c r="CE144" s="32" t="n">
        <f aca="false">SUM(CE110:CE143)</f>
        <v>-572534.971714961</v>
      </c>
      <c r="CF144" s="32" t="n">
        <f aca="false">SUM(CF110:CF143)</f>
        <v>-572534.971714961</v>
      </c>
      <c r="CG144" s="32" t="n">
        <f aca="false">SUM(CG110:CG143)</f>
        <v>-572534.971714961</v>
      </c>
      <c r="CH144" s="32" t="n">
        <f aca="false">SUM(CH110:CH143)</f>
        <v>-572534.971714961</v>
      </c>
      <c r="CI144" s="32" t="n">
        <f aca="false">SUM(CI110:CI143)</f>
        <v>-572534.971714961</v>
      </c>
      <c r="CJ144" s="32" t="n">
        <f aca="false">SUM(CJ110:CJ143)</f>
        <v>-572534.971714961</v>
      </c>
      <c r="CK144" s="32" t="n">
        <f aca="false">SUM(CK110:CK143)</f>
        <v>-581909.004482593</v>
      </c>
      <c r="CL144" s="32" t="n">
        <f aca="false">SUM(CL110:CL143)</f>
        <v>-581909.004482593</v>
      </c>
      <c r="CM144" s="32" t="n">
        <f aca="false">SUM(CM110:CM143)</f>
        <v>-581909.004482593</v>
      </c>
      <c r="CN144" s="32" t="n">
        <f aca="false">SUM(CN110:CN143)</f>
        <v>-581909.004482593</v>
      </c>
      <c r="CO144" s="32" t="n">
        <f aca="false">SUM(CO110:CO143)</f>
        <v>-581909.004482593</v>
      </c>
      <c r="CP144" s="32" t="n">
        <f aca="false">SUM(CP110:CP143)</f>
        <v>-581909.004482593</v>
      </c>
      <c r="CQ144" s="32" t="n">
        <f aca="false">SUM(CQ110:CQ143)</f>
        <v>-581909.004482593</v>
      </c>
      <c r="CR144" s="32" t="n">
        <f aca="false">SUM(CR110:CR143)</f>
        <v>-581909.004482593</v>
      </c>
      <c r="CS144" s="32" t="n">
        <f aca="false">SUM(CS110:CS143)</f>
        <v>-581909.004482593</v>
      </c>
      <c r="CT144" s="32" t="n">
        <f aca="false">SUM(CT110:CT143)</f>
        <v>-526770.895887858</v>
      </c>
      <c r="CU144" s="32" t="n">
        <f aca="false">SUM(CU110:CU143)</f>
        <v>-526770.895887858</v>
      </c>
      <c r="CV144" s="32" t="n">
        <f aca="false">SUM(CV110:CV143)</f>
        <v>-526770.895887858</v>
      </c>
      <c r="CW144" s="32" t="n">
        <f aca="false">SUM(CW110:CW143)</f>
        <v>-535229.647138948</v>
      </c>
      <c r="CX144" s="32" t="n">
        <f aca="false">SUM(CX110:CX143)</f>
        <v>-535229.647138948</v>
      </c>
      <c r="CY144" s="32" t="n">
        <f aca="false">SUM(CY110:CY143)</f>
        <v>-535229.647138948</v>
      </c>
      <c r="CZ144" s="32" t="n">
        <f aca="false">SUM(CZ110:CZ143)</f>
        <v>-535229.647138948</v>
      </c>
      <c r="DA144" s="32" t="n">
        <f aca="false">SUM(DA110:DA143)</f>
        <v>-535229.647138948</v>
      </c>
      <c r="DB144" s="32" t="n">
        <f aca="false">SUM(DB110:DB143)</f>
        <v>-535229.647138948</v>
      </c>
      <c r="DC144" s="32" t="n">
        <f aca="false">SUM(DC110:DC143)</f>
        <v>-535229.647138948</v>
      </c>
      <c r="DD144" s="32" t="n">
        <f aca="false">SUM(DD110:DD143)</f>
        <v>-535229.647138948</v>
      </c>
      <c r="DE144" s="32" t="n">
        <f aca="false">SUM(DE110:DE143)</f>
        <v>-535229.647138948</v>
      </c>
    </row>
    <row r="145" customFormat="false" ht="19.5" hidden="false" customHeight="true" outlineLevel="0" collapsed="false">
      <c r="A145" s="38" t="s">
        <v>94</v>
      </c>
      <c r="B145" s="39" t="n">
        <f aca="false">B107+B144</f>
        <v>-41844.6399999999</v>
      </c>
      <c r="C145" s="39" t="n">
        <f aca="false">C107+C144</f>
        <v>-311309.31</v>
      </c>
      <c r="D145" s="39" t="n">
        <f aca="false">D107+D144</f>
        <v>242246.78</v>
      </c>
      <c r="E145" s="39" t="n">
        <f aca="false">E107+E144</f>
        <v>373926.69</v>
      </c>
      <c r="F145" s="39" t="n">
        <f aca="false">F107+F144</f>
        <v>35871.8500000002</v>
      </c>
      <c r="G145" s="39" t="n">
        <f aca="false">G107+G144</f>
        <v>224970.586666667</v>
      </c>
      <c r="H145" s="39" t="n">
        <f aca="false">H107+H144</f>
        <v>-68878.935416696</v>
      </c>
      <c r="I145" s="39" t="n">
        <f aca="false">I107+I144</f>
        <v>303550.883165302</v>
      </c>
      <c r="J145" s="39" t="n">
        <f aca="false">J107+J144</f>
        <v>-56166.9819474525</v>
      </c>
      <c r="K145" s="39" t="n">
        <f aca="false">K107+K144</f>
        <v>321601.251326644</v>
      </c>
      <c r="L145" s="39" t="n">
        <f aca="false">L107+L144</f>
        <v>297694.897526589</v>
      </c>
      <c r="M145" s="39" t="n">
        <f aca="false">M107+M144</f>
        <v>177681.224394201</v>
      </c>
      <c r="N145" s="39" t="n">
        <f aca="false">N107+N144</f>
        <v>175231.158619115</v>
      </c>
      <c r="O145" s="39" t="n">
        <f aca="false">O107+O144</f>
        <v>149634.484101372</v>
      </c>
      <c r="P145" s="39" t="n">
        <f aca="false">P107+P144</f>
        <v>121707.859459166</v>
      </c>
      <c r="Q145" s="39" t="n">
        <f aca="false">Q107+Q144</f>
        <v>-482207.261082098</v>
      </c>
      <c r="R145" s="39" t="n">
        <f aca="false">R107+R144</f>
        <v>373378.285679716</v>
      </c>
      <c r="S145" s="39" t="n">
        <f aca="false">S107+S144</f>
        <v>456958.108294812</v>
      </c>
      <c r="T145" s="39" t="n">
        <f aca="false">T107+T144</f>
        <v>381822.969794503</v>
      </c>
      <c r="U145" s="39" t="n">
        <f aca="false">U107+U144</f>
        <v>329264.634713942</v>
      </c>
      <c r="V145" s="39" t="n">
        <f aca="false">V107+V144</f>
        <v>326481.734056306</v>
      </c>
      <c r="W145" s="39" t="n">
        <f aca="false">W107+W144</f>
        <v>323896.340259802</v>
      </c>
      <c r="X145" s="39" t="n">
        <f aca="false">X107+X144</f>
        <v>312916.697834776</v>
      </c>
      <c r="Y145" s="39" t="n">
        <f aca="false">Y107+Y144</f>
        <v>312916.697834777</v>
      </c>
      <c r="Z145" s="39" t="n">
        <f aca="false">Z107+Z144</f>
        <v>312916.697834777</v>
      </c>
      <c r="AA145" s="39" t="n">
        <f aca="false">AA107+AA144</f>
        <v>391133.382456554</v>
      </c>
      <c r="AB145" s="39" t="n">
        <f aca="false">AB107+AB144</f>
        <v>234700.013213</v>
      </c>
      <c r="AC145" s="39" t="n">
        <f aca="false">AC107+AC144</f>
        <v>226209.662923</v>
      </c>
      <c r="AD145" s="39" t="n">
        <f aca="false">AD107+AD144</f>
        <v>226209.662922999</v>
      </c>
      <c r="AE145" s="39" t="n">
        <f aca="false">AE107+AE144</f>
        <v>-339836.756208454</v>
      </c>
      <c r="AF145" s="39" t="n">
        <f aca="false">AF107+AF144</f>
        <v>383869.303791546</v>
      </c>
      <c r="AG145" s="39" t="n">
        <f aca="false">AG107+AG144</f>
        <v>511865.433359296</v>
      </c>
      <c r="AH145" s="39" t="n">
        <f aca="false">AH107+AH144</f>
        <v>282539.03455041</v>
      </c>
      <c r="AI145" s="39" t="n">
        <f aca="false">AI107+AI144</f>
        <v>374734.55264366</v>
      </c>
      <c r="AJ145" s="39" t="n">
        <f aca="false">AJ107+AJ144</f>
        <v>258469.081333911</v>
      </c>
      <c r="AK145" s="39" t="n">
        <f aca="false">AK107+AK144</f>
        <v>233235.121714361</v>
      </c>
      <c r="AL145" s="39" t="n">
        <f aca="false">AL107+AL144</f>
        <v>355108.362463351</v>
      </c>
      <c r="AM145" s="39" t="n">
        <f aca="false">AM107+AM144</f>
        <v>-206607.35319757</v>
      </c>
      <c r="AN145" s="39" t="n">
        <f aca="false">AN107+AN144</f>
        <v>-206607.35319757</v>
      </c>
      <c r="AO145" s="39" t="n">
        <f aca="false">AO107+AO144</f>
        <v>-215267.51049337</v>
      </c>
      <c r="AP145" s="39" t="n">
        <f aca="false">AP107+AP144</f>
        <v>-215267.51049337</v>
      </c>
      <c r="AQ145" s="39" t="n">
        <f aca="false">AQ107+AQ144</f>
        <v>-215267.51049337</v>
      </c>
      <c r="AR145" s="39" t="n">
        <f aca="false">AR107+AR144</f>
        <v>-215267.51049337</v>
      </c>
      <c r="AS145" s="39" t="n">
        <f aca="false">AS107+AS144</f>
        <v>-215267.51049337</v>
      </c>
      <c r="AT145" s="39" t="n">
        <f aca="false">AT107+AT144</f>
        <v>57218.0748601297</v>
      </c>
      <c r="AU145" s="39" t="n">
        <f aca="false">AU107+AU144</f>
        <v>-387841.714550587</v>
      </c>
      <c r="AV145" s="39" t="n">
        <f aca="false">AV107+AV144</f>
        <v>-387841.714550587</v>
      </c>
      <c r="AW145" s="39" t="n">
        <f aca="false">AW107+AW144</f>
        <v>-387841.714550587</v>
      </c>
      <c r="AX145" s="39" t="n">
        <f aca="false">AX107+AX144</f>
        <v>-387841.714550587</v>
      </c>
      <c r="AY145" s="39" t="n">
        <f aca="false">AY107+AY144</f>
        <v>-387841.714550587</v>
      </c>
      <c r="AZ145" s="39" t="n">
        <f aca="false">AZ107+AZ144</f>
        <v>-387841.714550587</v>
      </c>
      <c r="BA145" s="39" t="n">
        <f aca="false">BA107+BA144</f>
        <v>-396675.074992303</v>
      </c>
      <c r="BB145" s="39" t="n">
        <f aca="false">BB107+BB144</f>
        <v>-396675.074992303</v>
      </c>
      <c r="BC145" s="39" t="n">
        <f aca="false">BC107+BC144</f>
        <v>-396675.074992303</v>
      </c>
      <c r="BD145" s="39" t="n">
        <f aca="false">BD107+BD144</f>
        <v>-396675.074992303</v>
      </c>
      <c r="BE145" s="39" t="n">
        <f aca="false">BE107+BE144</f>
        <v>-396675.074992303</v>
      </c>
      <c r="BF145" s="39" t="n">
        <f aca="false">BF107+BF144</f>
        <v>-396675.074992303</v>
      </c>
      <c r="BG145" s="39" t="n">
        <f aca="false">BG107+BG144</f>
        <v>-396675.074992303</v>
      </c>
      <c r="BH145" s="39" t="n">
        <f aca="false">BH107+BH144</f>
        <v>-147738.799936703</v>
      </c>
      <c r="BI145" s="39" t="n">
        <f aca="false">BI107+BI144</f>
        <v>-554334.715860849</v>
      </c>
      <c r="BJ145" s="39" t="n">
        <f aca="false">BJ107+BJ144</f>
        <v>-554334.715860849</v>
      </c>
      <c r="BK145" s="39" t="n">
        <f aca="false">BK107+BK144</f>
        <v>-554334.715860849</v>
      </c>
      <c r="BL145" s="39" t="n">
        <f aca="false">BL107+BL144</f>
        <v>-554334.715860849</v>
      </c>
      <c r="BM145" s="39" t="n">
        <f aca="false">BM107+BM144</f>
        <v>-563344.7435114</v>
      </c>
      <c r="BN145" s="39" t="n">
        <f aca="false">BN107+BN144</f>
        <v>-563344.7435114</v>
      </c>
      <c r="BO145" s="39" t="n">
        <f aca="false">BO107+BO144</f>
        <v>-563344.7435114</v>
      </c>
      <c r="BP145" s="39" t="n">
        <f aca="false">BP107+BP144</f>
        <v>-563344.7435114</v>
      </c>
      <c r="BQ145" s="39" t="n">
        <f aca="false">BQ107+BQ144</f>
        <v>-563344.7435114</v>
      </c>
      <c r="BR145" s="39" t="n">
        <f aca="false">BR107+BR144</f>
        <v>-563344.7435114</v>
      </c>
      <c r="BS145" s="39" t="n">
        <f aca="false">BS107+BS144</f>
        <v>-563344.7435114</v>
      </c>
      <c r="BT145" s="39" t="n">
        <f aca="false">BT107+BT144</f>
        <v>-563344.7435114</v>
      </c>
      <c r="BU145" s="39" t="n">
        <f aca="false">BU107+BU144</f>
        <v>-563344.7435114</v>
      </c>
      <c r="BV145" s="39" t="n">
        <f aca="false">BV107+BV144</f>
        <v>-563344.7435114</v>
      </c>
      <c r="BW145" s="39" t="n">
        <f aca="false">BW107+BW144</f>
        <v>-563344.7435114</v>
      </c>
      <c r="BX145" s="39" t="n">
        <f aca="false">BX107+BX144</f>
        <v>-563344.7435114</v>
      </c>
      <c r="BY145" s="39" t="n">
        <f aca="false">BY107+BY144</f>
        <v>-572534.971714961</v>
      </c>
      <c r="BZ145" s="39" t="n">
        <f aca="false">BZ107+BZ144</f>
        <v>-572534.971714961</v>
      </c>
      <c r="CA145" s="39" t="n">
        <f aca="false">CA107+CA144</f>
        <v>-572534.971714961</v>
      </c>
      <c r="CB145" s="39" t="n">
        <f aca="false">CB107+CB144</f>
        <v>-572534.971714961</v>
      </c>
      <c r="CC145" s="39" t="n">
        <f aca="false">CC107+CC144</f>
        <v>-572534.971714961</v>
      </c>
      <c r="CD145" s="39" t="n">
        <f aca="false">CD107+CD144</f>
        <v>-572534.971714961</v>
      </c>
      <c r="CE145" s="39" t="n">
        <f aca="false">CE107+CE144</f>
        <v>-572534.971714961</v>
      </c>
      <c r="CF145" s="39" t="n">
        <f aca="false">CF107+CF144</f>
        <v>-572534.971714961</v>
      </c>
      <c r="CG145" s="39" t="n">
        <f aca="false">CG107+CG144</f>
        <v>-572534.971714961</v>
      </c>
      <c r="CH145" s="39" t="n">
        <f aca="false">CH107+CH144</f>
        <v>-572534.971714961</v>
      </c>
      <c r="CI145" s="39" t="n">
        <f aca="false">CI107+CI144</f>
        <v>-572534.971714961</v>
      </c>
      <c r="CJ145" s="39" t="n">
        <f aca="false">CJ107+CJ144</f>
        <v>-572534.971714961</v>
      </c>
      <c r="CK145" s="39" t="n">
        <f aca="false">CK107+CK144</f>
        <v>-581909.004482593</v>
      </c>
      <c r="CL145" s="39" t="n">
        <f aca="false">CL107+CL144</f>
        <v>-581909.004482593</v>
      </c>
      <c r="CM145" s="39" t="n">
        <f aca="false">CM107+CM144</f>
        <v>-581909.004482593</v>
      </c>
      <c r="CN145" s="39" t="n">
        <f aca="false">CN107+CN144</f>
        <v>-581909.004482593</v>
      </c>
      <c r="CO145" s="39" t="n">
        <f aca="false">CO107+CO144</f>
        <v>-581909.004482593</v>
      </c>
      <c r="CP145" s="39" t="n">
        <f aca="false">CP107+CP144</f>
        <v>-581909.004482593</v>
      </c>
      <c r="CQ145" s="39" t="n">
        <f aca="false">CQ107+CQ144</f>
        <v>-581909.004482593</v>
      </c>
      <c r="CR145" s="39" t="n">
        <f aca="false">CR107+CR144</f>
        <v>-581909.004482593</v>
      </c>
      <c r="CS145" s="39" t="n">
        <f aca="false">CS107+CS144</f>
        <v>-581909.004482593</v>
      </c>
      <c r="CT145" s="39" t="n">
        <f aca="false">CT107+CT144</f>
        <v>-526770.895887858</v>
      </c>
      <c r="CU145" s="39" t="n">
        <f aca="false">CU107+CU144</f>
        <v>-526770.895887858</v>
      </c>
      <c r="CV145" s="39" t="n">
        <f aca="false">CV107+CV144</f>
        <v>-526770.895887858</v>
      </c>
      <c r="CW145" s="39" t="n">
        <f aca="false">CW107+CW144</f>
        <v>-535229.647138948</v>
      </c>
      <c r="CX145" s="39" t="n">
        <f aca="false">CX107+CX144</f>
        <v>-535229.647138948</v>
      </c>
      <c r="CY145" s="39" t="n">
        <f aca="false">CY107+CY144</f>
        <v>-535229.647138948</v>
      </c>
      <c r="CZ145" s="39" t="n">
        <f aca="false">CZ107+CZ144</f>
        <v>-535229.647138948</v>
      </c>
      <c r="DA145" s="39" t="n">
        <f aca="false">DA107+DA144</f>
        <v>-535229.647138948</v>
      </c>
      <c r="DB145" s="39" t="n">
        <f aca="false">DB107+DB144</f>
        <v>-535229.647138948</v>
      </c>
      <c r="DC145" s="39" t="n">
        <f aca="false">DC107+DC144</f>
        <v>-535229.647138948</v>
      </c>
      <c r="DD145" s="39" t="n">
        <f aca="false">DD107+DD144</f>
        <v>-535229.647138948</v>
      </c>
      <c r="DE145" s="39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5" t="n">
        <f aca="false">IFERROR(B145/B58,0)</f>
        <v>-0.0287831236019867</v>
      </c>
      <c r="C146" s="35" t="n">
        <f aca="false">IFERROR(C145/C58,0)</f>
        <v>-0.102996554608564</v>
      </c>
      <c r="D146" s="35" t="n">
        <f aca="false">IFERROR(D145/D58,0)</f>
        <v>0.090653886323328</v>
      </c>
      <c r="E146" s="35" t="n">
        <f aca="false">IFERROR(E145/E58,0)</f>
        <v>0.101270434808067</v>
      </c>
      <c r="F146" s="35" t="n">
        <f aca="false">IFERROR(F145/F58,0)</f>
        <v>0.00812304107268544</v>
      </c>
      <c r="G146" s="35" t="n">
        <f aca="false">IFERROR(G145/G58,0)</f>
        <v>0.0359822655231093</v>
      </c>
      <c r="H146" s="35" t="n">
        <f aca="false">IFERROR(H145/H58,0)</f>
        <v>-0.0139628214670895</v>
      </c>
      <c r="I146" s="35" t="n">
        <f aca="false">IFERROR(I145/I58,0)</f>
        <v>0.0493434994539663</v>
      </c>
      <c r="J146" s="35" t="n">
        <f aca="false">IFERROR(J145/J58,0)</f>
        <v>-0.00839904724587078</v>
      </c>
      <c r="K146" s="35" t="n">
        <f aca="false">IFERROR(K145/K58,0)</f>
        <v>0.0472140972424701</v>
      </c>
      <c r="L146" s="35" t="n">
        <f aca="false">IFERROR(L145/L58,0)</f>
        <v>0.0432387475620094</v>
      </c>
      <c r="M146" s="35" t="n">
        <f aca="false">IFERROR(M145/M58,0)</f>
        <v>0.0279694077529444</v>
      </c>
      <c r="N146" s="35" t="n">
        <f aca="false">IFERROR(N145/N58,0)</f>
        <v>0.0272480276021979</v>
      </c>
      <c r="O146" s="35" t="n">
        <f aca="false">IFERROR(O145/O58,0)</f>
        <v>0.0231876896034505</v>
      </c>
      <c r="P146" s="35" t="n">
        <f aca="false">IFERROR(P145/P58,0)</f>
        <v>0.0189468710492047</v>
      </c>
      <c r="Q146" s="35" t="n">
        <f aca="false">IFERROR(Q145/Q58,0)</f>
        <v>-0.064447203564452</v>
      </c>
      <c r="R146" s="35" t="n">
        <f aca="false">IFERROR(R145/R58,0)</f>
        <v>0.0474486390591517</v>
      </c>
      <c r="S146" s="35" t="n">
        <f aca="false">IFERROR(S145/S58,0)</f>
        <v>0.0538057947124137</v>
      </c>
      <c r="T146" s="35" t="n">
        <f aca="false">IFERROR(T145/T58,0)</f>
        <v>0.047011930995256</v>
      </c>
      <c r="U146" s="35" t="n">
        <f aca="false">IFERROR(U145/U58,0)</f>
        <v>0.0411340743131</v>
      </c>
      <c r="V146" s="35" t="n">
        <f aca="false">IFERROR(V145/V58,0)</f>
        <v>0.0389011455705759</v>
      </c>
      <c r="W146" s="35" t="n">
        <f aca="false">IFERROR(W145/W58,0)</f>
        <v>0.0372151784183</v>
      </c>
      <c r="X146" s="35" t="n">
        <f aca="false">IFERROR(X145/X58,0)</f>
        <v>0.035324034812268</v>
      </c>
      <c r="Y146" s="35" t="n">
        <f aca="false">IFERROR(Y145/Y58,0)</f>
        <v>0.0348062002066236</v>
      </c>
      <c r="Z146" s="35" t="n">
        <f aca="false">IFERROR(Z145/Z58,0)</f>
        <v>0.0347344573366512</v>
      </c>
      <c r="AA146" s="35" t="n">
        <f aca="false">IFERROR(AA145/AA58,0)</f>
        <v>0.0438950484827796</v>
      </c>
      <c r="AB146" s="35" t="n">
        <f aca="false">IFERROR(AB145/AB58,0)</f>
        <v>0.0278549598514797</v>
      </c>
      <c r="AC146" s="35" t="n">
        <f aca="false">IFERROR(AC145/AC58,0)</f>
        <v>0.0276929585445699</v>
      </c>
      <c r="AD146" s="35" t="n">
        <f aca="false">IFERROR(AD145/AD58,0)</f>
        <v>0.0289768900699843</v>
      </c>
      <c r="AE146" s="35" t="n">
        <f aca="false">IFERROR(AE145/AE58,0)</f>
        <v>-0.0423557856982891</v>
      </c>
      <c r="AF146" s="35" t="n">
        <f aca="false">IFERROR(AF145/AF58,0)</f>
        <v>0.0504561908597122</v>
      </c>
      <c r="AG146" s="35" t="n">
        <f aca="false">IFERROR(AG145/AG58,0)</f>
        <v>0.0715411496521949</v>
      </c>
      <c r="AH146" s="35" t="n">
        <f aca="false">IFERROR(AH145/AH58,0)</f>
        <v>0.0446831417448713</v>
      </c>
      <c r="AI146" s="35" t="n">
        <f aca="false">IFERROR(AI145/AI58,0)</f>
        <v>0.0632952147372228</v>
      </c>
      <c r="AJ146" s="35" t="n">
        <f aca="false">IFERROR(AJ145/AJ58,0)</f>
        <v>0.0496603381589222</v>
      </c>
      <c r="AK146" s="35" t="n">
        <f aca="false">IFERROR(AK145/AK58,0)</f>
        <v>0.0499962849070823</v>
      </c>
      <c r="AL146" s="35" t="n">
        <f aca="false">IFERROR(AL145/AL58,0)</f>
        <v>0.0878093841248822</v>
      </c>
      <c r="AM146" s="35" t="n">
        <f aca="false">IFERROR(AM145/AM58,0)</f>
        <v>-0.0663403012738664</v>
      </c>
      <c r="AN146" s="35" t="n">
        <f aca="false">IFERROR(AN145/AN58,0)</f>
        <v>-0.066890626499985</v>
      </c>
      <c r="AO146" s="35" t="n">
        <f aca="false">IFERROR(AO145/AO58,0)</f>
        <v>-0.0706334980175105</v>
      </c>
      <c r="AP146" s="35" t="n">
        <f aca="false">IFERROR(AP145/AP58,0)</f>
        <v>-0.0719572563596802</v>
      </c>
      <c r="AQ146" s="35" t="n">
        <f aca="false">IFERROR(AQ145/AQ58,0)</f>
        <v>-0.0736944650298645</v>
      </c>
      <c r="AR146" s="35" t="n">
        <f aca="false">IFERROR(AR145/AR58,0)</f>
        <v>-0.0758862295701032</v>
      </c>
      <c r="AS146" s="35" t="n">
        <f aca="false">IFERROR(AS145/AS58,0)</f>
        <v>-0.0785842163793832</v>
      </c>
      <c r="AT146" s="35" t="n">
        <f aca="false">IFERROR(AT145/AT58,0)</f>
        <v>0.0217566442146667</v>
      </c>
      <c r="AU146" s="35" t="n">
        <f aca="false">IFERROR(AU145/AU58,0)</f>
        <v>-0.206060568867957</v>
      </c>
      <c r="AV146" s="35" t="n">
        <f aca="false">IFERROR(AV145/AV58,0)</f>
        <v>-0.210217530112015</v>
      </c>
      <c r="AW146" s="35" t="n">
        <f aca="false">IFERROR(AW145/AW58,0)</f>
        <v>-0.216617038246618</v>
      </c>
      <c r="AX146" s="35" t="n">
        <f aca="false">IFERROR(AX145/AX58,0)</f>
        <v>-0.225448560563651</v>
      </c>
      <c r="AY146" s="35" t="n">
        <f aca="false">IFERROR(AY145/AY58,0)</f>
        <v>-0.23699673180247</v>
      </c>
      <c r="AZ146" s="35" t="n">
        <f aca="false">IFERROR(AZ145/AZ58,0)</f>
        <v>-0.251641704121048</v>
      </c>
      <c r="BA146" s="35" t="n">
        <f aca="false">IFERROR(BA145/BA58,0)</f>
        <v>-0.276013896696711</v>
      </c>
      <c r="BB146" s="35" t="n">
        <f aca="false">IFERROR(BB145/BB58,0)</f>
        <v>-0.298984942896456</v>
      </c>
      <c r="BC146" s="35" t="n">
        <f aca="false">IFERROR(BC145/BC58,0)</f>
        <v>-0.327116425263585</v>
      </c>
      <c r="BD146" s="35" t="n">
        <f aca="false">IFERROR(BD145/BD58,0)</f>
        <v>-0.361486148031057</v>
      </c>
      <c r="BE146" s="35" t="n">
        <f aca="false">IFERROR(BE145/BE58,0)</f>
        <v>-0.403484412484924</v>
      </c>
      <c r="BF146" s="35" t="n">
        <f aca="false">IFERROR(BF145/BF58,0)</f>
        <v>-0.454879069474278</v>
      </c>
      <c r="BG146" s="35" t="n">
        <f aca="false">IFERROR(BG145/BG58,0)</f>
        <v>-0.517984390215148</v>
      </c>
      <c r="BH146" s="35" t="n">
        <f aca="false">IFERROR(BH145/BH58,0)</f>
        <v>-0.221879693062798</v>
      </c>
      <c r="BI146" s="35" t="n">
        <f aca="false">IFERROR(BI145/BI58,0)</f>
        <v>0</v>
      </c>
      <c r="BJ146" s="35" t="n">
        <f aca="false">IFERROR(BJ145/BJ58,0)</f>
        <v>0</v>
      </c>
      <c r="BK146" s="35" t="n">
        <f aca="false">IFERROR(BK145/BK58,0)</f>
        <v>0</v>
      </c>
      <c r="BL146" s="35" t="n">
        <f aca="false">IFERROR(BL145/BL58,0)</f>
        <v>0</v>
      </c>
      <c r="BM146" s="35" t="n">
        <f aca="false">IFERROR(BM145/BM58,0)</f>
        <v>0</v>
      </c>
      <c r="BN146" s="35" t="n">
        <f aca="false">IFERROR(BN145/BN58,0)</f>
        <v>0</v>
      </c>
      <c r="BO146" s="35" t="n">
        <f aca="false">IFERROR(BO145/BO58,0)</f>
        <v>0</v>
      </c>
      <c r="BP146" s="35" t="n">
        <f aca="false">IFERROR(BP145/BP58,0)</f>
        <v>0</v>
      </c>
      <c r="BQ146" s="35" t="n">
        <f aca="false">IFERROR(BQ145/BQ58,0)</f>
        <v>0</v>
      </c>
      <c r="BR146" s="35" t="n">
        <f aca="false">IFERROR(BR145/BR58,0)</f>
        <v>0</v>
      </c>
      <c r="BS146" s="35" t="n">
        <f aca="false">IFERROR(BS145/BS58,0)</f>
        <v>0</v>
      </c>
      <c r="BT146" s="35" t="n">
        <f aca="false">IFERROR(BT145/BT58,0)</f>
        <v>0</v>
      </c>
      <c r="BU146" s="35" t="n">
        <f aca="false">IFERROR(BU145/BU58,0)</f>
        <v>0</v>
      </c>
      <c r="BV146" s="35" t="n">
        <f aca="false">IFERROR(BV145/BV58,0)</f>
        <v>0</v>
      </c>
      <c r="BW146" s="35" t="n">
        <f aca="false">IFERROR(BW145/BW58,0)</f>
        <v>0</v>
      </c>
      <c r="BX146" s="35" t="n">
        <f aca="false">IFERROR(BX145/BX58,0)</f>
        <v>0</v>
      </c>
      <c r="BY146" s="35" t="n">
        <f aca="false">IFERROR(BY145/BY58,0)</f>
        <v>0</v>
      </c>
      <c r="BZ146" s="35" t="n">
        <f aca="false">IFERROR(BZ145/BZ58,0)</f>
        <v>0</v>
      </c>
      <c r="CA146" s="35" t="n">
        <f aca="false">IFERROR(CA145/CA58,0)</f>
        <v>0</v>
      </c>
      <c r="CB146" s="35" t="n">
        <f aca="false">IFERROR(CB145/CB58,0)</f>
        <v>0</v>
      </c>
      <c r="CC146" s="35" t="n">
        <f aca="false">IFERROR(CC145/CC58,0)</f>
        <v>0</v>
      </c>
      <c r="CD146" s="35" t="n">
        <f aca="false">IFERROR(CD145/CD58,0)</f>
        <v>0</v>
      </c>
      <c r="CE146" s="35" t="n">
        <f aca="false">IFERROR(CE145/CE58,0)</f>
        <v>0</v>
      </c>
      <c r="CF146" s="35" t="n">
        <f aca="false">IFERROR(CF145/CF58,0)</f>
        <v>0</v>
      </c>
      <c r="CG146" s="35" t="n">
        <f aca="false">IFERROR(CG145/CG58,0)</f>
        <v>0</v>
      </c>
      <c r="CH146" s="35" t="n">
        <f aca="false">IFERROR(CH145/CH58,0)</f>
        <v>0</v>
      </c>
      <c r="CI146" s="35" t="n">
        <f aca="false">IFERROR(CI145/CI58,0)</f>
        <v>0</v>
      </c>
      <c r="CJ146" s="35" t="n">
        <f aca="false">IFERROR(CJ145/CJ58,0)</f>
        <v>0</v>
      </c>
      <c r="CK146" s="35" t="n">
        <f aca="false">IFERROR(CK145/CK58,0)</f>
        <v>0</v>
      </c>
      <c r="CL146" s="35" t="n">
        <f aca="false">IFERROR(CL145/CL58,0)</f>
        <v>0</v>
      </c>
      <c r="CM146" s="35" t="n">
        <f aca="false">IFERROR(CM145/CM58,0)</f>
        <v>0</v>
      </c>
      <c r="CN146" s="35" t="n">
        <f aca="false">IFERROR(CN145/CN58,0)</f>
        <v>0</v>
      </c>
      <c r="CO146" s="35" t="n">
        <f aca="false">IFERROR(CO145/CO58,0)</f>
        <v>0</v>
      </c>
      <c r="CP146" s="35" t="n">
        <f aca="false">IFERROR(CP145/CP58,0)</f>
        <v>0</v>
      </c>
      <c r="CQ146" s="35" t="n">
        <f aca="false">IFERROR(CQ145/CQ58,0)</f>
        <v>0</v>
      </c>
      <c r="CR146" s="35" t="n">
        <f aca="false">IFERROR(CR145/CR58,0)</f>
        <v>0</v>
      </c>
      <c r="CS146" s="35" t="n">
        <f aca="false">IFERROR(CS145/CS58,0)</f>
        <v>0</v>
      </c>
      <c r="CT146" s="35" t="n">
        <f aca="false">IFERROR(CT145/CT58,0)</f>
        <v>0</v>
      </c>
      <c r="CU146" s="35" t="n">
        <f aca="false">IFERROR(CU145/CU58,0)</f>
        <v>0</v>
      </c>
      <c r="CV146" s="35" t="n">
        <f aca="false">IFERROR(CV145/CV58,0)</f>
        <v>0</v>
      </c>
      <c r="CW146" s="35" t="n">
        <f aca="false">IFERROR(CW145/CW58,0)</f>
        <v>0</v>
      </c>
      <c r="CX146" s="35" t="n">
        <f aca="false">IFERROR(CX145/CX58,0)</f>
        <v>0</v>
      </c>
      <c r="CY146" s="35" t="n">
        <f aca="false">IFERROR(CY145/CY58,0)</f>
        <v>0</v>
      </c>
      <c r="CZ146" s="35" t="n">
        <f aca="false">IFERROR(CZ145/CZ58,0)</f>
        <v>0</v>
      </c>
      <c r="DA146" s="35" t="n">
        <f aca="false">IFERROR(DA145/DA58,0)</f>
        <v>0</v>
      </c>
      <c r="DB146" s="35" t="n">
        <f aca="false">IFERROR(DB145/DB58,0)</f>
        <v>0</v>
      </c>
      <c r="DC146" s="35" t="n">
        <f aca="false">IFERROR(DC145/DC58,0)</f>
        <v>0</v>
      </c>
      <c r="DD146" s="35" t="n">
        <f aca="false">IFERROR(DD145/DD58,0)</f>
        <v>0</v>
      </c>
      <c r="DE146" s="35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23" t="s">
        <v>96</v>
      </c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0</v>
      </c>
      <c r="O156" s="13" t="n">
        <f aca="false">IF(ISBLANK(Actuals!P71),IF(AND(Projects!$G$11="Yes",11&gt;=Projects!$C$11,11&lt;Projects!$C$11+Projects!$D$11),6315.79,0),Actuals!P71)</f>
        <v>0</v>
      </c>
      <c r="P156" s="13" t="n">
        <f aca="false">IF(ISBLANK(Actuals!Q71),IF(AND(Projects!$G$11="Yes",12&gt;=Projects!$C$11,12&lt;Projects!$C$11+Projects!$D$11),6315.79,0),Actuals!Q71)</f>
        <v>0</v>
      </c>
      <c r="Q156" s="13" t="n">
        <f aca="false">IF(ISBLANK(Actuals!R71),IF(AND(Projects!$G$11="Yes",13&gt;=Projects!$C$11,13&lt;Projects!$C$11+Projects!$D$11),6315.79,0),Actuals!R71)</f>
        <v>0</v>
      </c>
      <c r="R156" s="13" t="n">
        <f aca="false">IF(ISBLANK(Actuals!S71),IF(AND(Projects!$G$11="Yes",14&gt;=Projects!$C$11,14&lt;Projects!$C$11+Projects!$D$11),6315.79,0),Actuals!S71)</f>
        <v>0</v>
      </c>
      <c r="S156" s="13" t="n">
        <f aca="false">IF(ISBLANK(Actuals!T71),IF(AND(Projects!$G$11="Yes",15&gt;=Projects!$C$11,15&lt;Projects!$C$11+Projects!$D$11),6315.79,0),Actuals!T71)</f>
        <v>0</v>
      </c>
      <c r="T156" s="13" t="n">
        <f aca="false">IF(ISBLANK(Actuals!U71),IF(AND(Projects!$G$11="Yes",16&gt;=Projects!$C$11,16&lt;Projects!$C$11+Projects!$D$11),6315.79,0),Actuals!U71)</f>
        <v>0</v>
      </c>
      <c r="U156" s="13" t="n">
        <f aca="false">IF(ISBLANK(Actuals!V71),IF(AND(Projects!$G$11="Yes",17&gt;=Projects!$C$11,17&lt;Projects!$C$11+Projects!$D$11),6315.79,0),Actuals!V71)</f>
        <v>0</v>
      </c>
      <c r="V156" s="13" t="n">
        <f aca="false">IF(ISBLANK(Actuals!W71),IF(AND(Projects!$G$11="Yes",18&gt;=Projects!$C$11,18&lt;Projects!$C$11+Projects!$D$11),6315.79,0),Actuals!W71)</f>
        <v>0</v>
      </c>
      <c r="W156" s="13" t="n">
        <f aca="false">IF(ISBLANK(Actuals!X71),IF(AND(Projects!$G$11="Yes",19&gt;=Projects!$C$11,19&lt;Projects!$C$11+Projects!$D$11),6315.79,0),Actuals!X71)</f>
        <v>0</v>
      </c>
      <c r="X156" s="13" t="n">
        <f aca="false">IF(ISBLANK(Actuals!Y71),IF(AND(Projects!$G$11="Yes",20&gt;=Projects!$C$11,20&lt;Projects!$C$11+Projects!$D$11),6315.79,0),Actuals!Y71)</f>
        <v>0</v>
      </c>
      <c r="Y156" s="13" t="n">
        <f aca="false">IF(ISBLANK(Actuals!Z71),IF(AND(Projects!$G$11="Yes",21&gt;=Projects!$C$11,21&lt;Projects!$C$11+Projects!$D$11),6315.79,0),Actuals!Z71)</f>
        <v>0</v>
      </c>
      <c r="Z156" s="13" t="n">
        <f aca="false">IF(ISBLANK(Actuals!AA71),IF(AND(Projects!$G$11="Yes",22&gt;=Projects!$C$11,22&lt;Projects!$C$11+Projects!$D$11),6315.79,0),Actuals!AA71)</f>
        <v>0</v>
      </c>
      <c r="AA156" s="13" t="n">
        <f aca="false">IF(ISBLANK(Actuals!AB71),IF(AND(Projects!$G$11="Yes",23&gt;=Projects!$C$11,23&lt;Projects!$C$11+Projects!$D$11),6315.79,0),Actuals!AB71)</f>
        <v>0</v>
      </c>
      <c r="AB156" s="13" t="n">
        <f aca="false">IF(ISBLANK(Actuals!AC71),IF(AND(Projects!$G$11="Yes",24&gt;=Projects!$C$11,24&lt;Projects!$C$11+Projects!$D$11),6315.79,0),Actuals!AC71)</f>
        <v>0</v>
      </c>
      <c r="AC156" s="13" t="n">
        <f aca="false">IF(ISBLANK(Actuals!AD71),IF(AND(Projects!$G$11="Yes",25&gt;=Projects!$C$11,25&lt;Projects!$C$11+Projects!$D$11),6315.79,0),Actuals!AD71)</f>
        <v>0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0</v>
      </c>
      <c r="O157" s="13" t="n">
        <f aca="false">IF(ISBLANK(Actuals!P72),IF(AND(Projects!$G$11="Yes",11&gt;=Projects!$C$11,11&lt;Projects!$C$11+Projects!$D$11),6315.79,0),Actuals!P72)</f>
        <v>0</v>
      </c>
      <c r="P157" s="13" t="n">
        <f aca="false">IF(ISBLANK(Actuals!Q72),IF(AND(Projects!$G$11="Yes",12&gt;=Projects!$C$11,12&lt;Projects!$C$11+Projects!$D$11),6315.79,0),Actuals!Q72)</f>
        <v>0</v>
      </c>
      <c r="Q157" s="13" t="n">
        <f aca="false">IF(ISBLANK(Actuals!R72),IF(AND(Projects!$G$11="Yes",13&gt;=Projects!$C$11,13&lt;Projects!$C$11+Projects!$D$11),6315.79,0),Actuals!R72)</f>
        <v>0</v>
      </c>
      <c r="R157" s="13" t="n">
        <f aca="false">IF(ISBLANK(Actuals!S72),IF(AND(Projects!$G$11="Yes",14&gt;=Projects!$C$11,14&lt;Projects!$C$11+Projects!$D$11),6315.79,0),Actuals!S72)</f>
        <v>0</v>
      </c>
      <c r="S157" s="13" t="n">
        <f aca="false">IF(ISBLANK(Actuals!T72),IF(AND(Projects!$G$11="Yes",15&gt;=Projects!$C$11,15&lt;Projects!$C$11+Projects!$D$11),6315.79,0),Actuals!T72)</f>
        <v>0</v>
      </c>
      <c r="T157" s="13" t="n">
        <f aca="false">IF(ISBLANK(Actuals!U72),IF(AND(Projects!$G$11="Yes",16&gt;=Projects!$C$11,16&lt;Projects!$C$11+Projects!$D$11),6315.79,0),Actuals!U72)</f>
        <v>0</v>
      </c>
      <c r="U157" s="13" t="n">
        <f aca="false">IF(ISBLANK(Actuals!V72),IF(AND(Projects!$G$11="Yes",17&gt;=Projects!$C$11,17&lt;Projects!$C$11+Projects!$D$11),6315.79,0),Actuals!V72)</f>
        <v>0</v>
      </c>
      <c r="V157" s="13" t="n">
        <f aca="false">IF(ISBLANK(Actuals!W72),IF(AND(Projects!$G$11="Yes",18&gt;=Projects!$C$11,18&lt;Projects!$C$11+Projects!$D$11),6315.79,0),Actuals!W72)</f>
        <v>0</v>
      </c>
      <c r="W157" s="13" t="n">
        <f aca="false">IF(ISBLANK(Actuals!X72),IF(AND(Projects!$G$11="Yes",19&gt;=Projects!$C$11,19&lt;Projects!$C$11+Projects!$D$11),6315.79,0),Actuals!X72)</f>
        <v>0</v>
      </c>
      <c r="X157" s="13" t="n">
        <f aca="false">IF(ISBLANK(Actuals!Y72),IF(AND(Projects!$G$11="Yes",20&gt;=Projects!$C$11,20&lt;Projects!$C$11+Projects!$D$11),6315.79,0),Actuals!Y72)</f>
        <v>0</v>
      </c>
      <c r="Y157" s="13" t="n">
        <f aca="false">IF(ISBLANK(Actuals!Z72),IF(AND(Projects!$G$11="Yes",21&gt;=Projects!$C$11,21&lt;Projects!$C$11+Projects!$D$11),6315.79,0),Actuals!Z72)</f>
        <v>0</v>
      </c>
      <c r="Z157" s="13" t="n">
        <f aca="false">IF(ISBLANK(Actuals!AA72),IF(AND(Projects!$G$11="Yes",22&gt;=Projects!$C$11,22&lt;Projects!$C$11+Projects!$D$11),6315.79,0),Actuals!AA72)</f>
        <v>0</v>
      </c>
      <c r="AA157" s="13" t="n">
        <f aca="false">IF(ISBLANK(Actuals!AB72),IF(AND(Projects!$G$11="Yes",23&gt;=Projects!$C$11,23&lt;Projects!$C$11+Projects!$D$11),6315.79,0),Actuals!AB72)</f>
        <v>0</v>
      </c>
      <c r="AB157" s="13" t="n">
        <f aca="false">IF(ISBLANK(Actuals!AC72),IF(AND(Projects!$G$11="Yes",24&gt;=Projects!$C$11,24&lt;Projects!$C$11+Projects!$D$11),6315.79,0),Actuals!AC72)</f>
        <v>0</v>
      </c>
      <c r="AC157" s="13" t="n">
        <f aca="false">IF(ISBLANK(Actuals!AD72),IF(AND(Projects!$G$11="Yes",25&gt;=Projects!$C$11,25&lt;Projects!$C$11+Projects!$D$11),6315.79,0),Actuals!AD72)</f>
        <v>0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0</v>
      </c>
      <c r="O159" s="13" t="n">
        <f aca="false">IF(ISBLANK(Actuals!P74),IF(AND(Projects!$G$12="Yes",11&gt;=Projects!$C$12,11&lt;Projects!$C$12+Projects!$D$12),6315.79,0),Actuals!P74)</f>
        <v>0</v>
      </c>
      <c r="P159" s="13" t="n">
        <f aca="false">IF(ISBLANK(Actuals!Q74),IF(AND(Projects!$G$12="Yes",12&gt;=Projects!$C$12,12&lt;Projects!$C$12+Projects!$D$12),6315.79,0),Actuals!Q74)</f>
        <v>0</v>
      </c>
      <c r="Q159" s="13" t="n">
        <f aca="false">IF(ISBLANK(Actuals!R74),IF(AND(Projects!$G$12="Yes",13&gt;=Projects!$C$12,13&lt;Projects!$C$12+Projects!$D$12),6315.79,0),Actuals!R74)</f>
        <v>0</v>
      </c>
      <c r="R159" s="13" t="n">
        <f aca="false">IF(ISBLANK(Actuals!S74),IF(AND(Projects!$G$12="Yes",14&gt;=Projects!$C$12,14&lt;Projects!$C$12+Projects!$D$12),6315.79,0),Actuals!S74)</f>
        <v>0</v>
      </c>
      <c r="S159" s="13" t="n">
        <f aca="false">IF(ISBLANK(Actuals!T74),IF(AND(Projects!$G$12="Yes",15&gt;=Projects!$C$12,15&lt;Projects!$C$12+Projects!$D$12),6315.79,0),Actuals!T74)</f>
        <v>0</v>
      </c>
      <c r="T159" s="13" t="n">
        <f aca="false">IF(ISBLANK(Actuals!U74),IF(AND(Projects!$G$12="Yes",16&gt;=Projects!$C$12,16&lt;Projects!$C$12+Projects!$D$12),6315.79,0),Actuals!U74)</f>
        <v>0</v>
      </c>
      <c r="U159" s="13" t="n">
        <f aca="false">IF(ISBLANK(Actuals!V74),IF(AND(Projects!$G$12="Yes",17&gt;=Projects!$C$12,17&lt;Projects!$C$12+Projects!$D$12),6315.79,0),Actuals!V74)</f>
        <v>0</v>
      </c>
      <c r="V159" s="13" t="n">
        <f aca="false">IF(ISBLANK(Actuals!W74),IF(AND(Projects!$G$12="Yes",18&gt;=Projects!$C$12,18&lt;Projects!$C$12+Projects!$D$12),6315.79,0),Actuals!W74)</f>
        <v>0</v>
      </c>
      <c r="W159" s="13" t="n">
        <f aca="false">IF(ISBLANK(Actuals!X74),IF(AND(Projects!$G$12="Yes",19&gt;=Projects!$C$12,19&lt;Projects!$C$12+Projects!$D$12),6315.79,0),Actuals!X74)</f>
        <v>0</v>
      </c>
      <c r="X159" s="13" t="n">
        <f aca="false">IF(ISBLANK(Actuals!Y74),IF(AND(Projects!$G$12="Yes",20&gt;=Projects!$C$12,20&lt;Projects!$C$12+Projects!$D$12),6315.79,0),Actuals!Y74)</f>
        <v>0</v>
      </c>
      <c r="Y159" s="13" t="n">
        <f aca="false">IF(ISBLANK(Actuals!Z74),IF(AND(Projects!$G$12="Yes",21&gt;=Projects!$C$12,21&lt;Projects!$C$12+Projects!$D$12),6315.79,0),Actuals!Z74)</f>
        <v>0</v>
      </c>
      <c r="Z159" s="13" t="n">
        <f aca="false">IF(ISBLANK(Actuals!AA74),IF(AND(Projects!$G$12="Yes",22&gt;=Projects!$C$12,22&lt;Projects!$C$12+Projects!$D$12),6315.79,0),Actuals!AA74)</f>
        <v>0</v>
      </c>
      <c r="AA159" s="13" t="n">
        <f aca="false">IF(ISBLANK(Actuals!AB74),IF(AND(Projects!$G$12="Yes",23&gt;=Projects!$C$12,23&lt;Projects!$C$12+Projects!$D$12),6315.79,0),Actuals!AB74)</f>
        <v>0</v>
      </c>
      <c r="AB159" s="13" t="n">
        <f aca="false">IF(ISBLANK(Actuals!AC74),IF(AND(Projects!$G$12="Yes",24&gt;=Projects!$C$12,24&lt;Projects!$C$12+Projects!$D$12),6315.79,0),Actuals!AC74)</f>
        <v>0</v>
      </c>
      <c r="AC159" s="13" t="n">
        <f aca="false">IF(ISBLANK(Actuals!AD74),IF(AND(Projects!$G$12="Yes",25&gt;=Projects!$C$12,25&lt;Projects!$C$12+Projects!$D$12),6315.79,0),Actuals!AD74)</f>
        <v>0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0</v>
      </c>
      <c r="O160" s="13" t="n">
        <f aca="false">IF(ISBLANK(Actuals!P75),IF(AND(Projects!$G$12="Yes",11&gt;=Projects!$C$12,11&lt;Projects!$C$12+Projects!$D$12),4736.84,0),Actuals!P75)</f>
        <v>0</v>
      </c>
      <c r="P160" s="13" t="n">
        <f aca="false">IF(ISBLANK(Actuals!Q75),IF(AND(Projects!$G$12="Yes",12&gt;=Projects!$C$12,12&lt;Projects!$C$12+Projects!$D$12),4736.84,0),Actuals!Q75)</f>
        <v>0</v>
      </c>
      <c r="Q160" s="13" t="n">
        <f aca="false">IF(ISBLANK(Actuals!R75),IF(AND(Projects!$G$12="Yes",13&gt;=Projects!$C$12,13&lt;Projects!$C$12+Projects!$D$12),4736.84,0),Actuals!R75)</f>
        <v>0</v>
      </c>
      <c r="R160" s="13" t="n">
        <f aca="false">IF(ISBLANK(Actuals!S75),IF(AND(Projects!$G$12="Yes",14&gt;=Projects!$C$12,14&lt;Projects!$C$12+Projects!$D$12),4736.84,0),Actuals!S75)</f>
        <v>0</v>
      </c>
      <c r="S160" s="13" t="n">
        <f aca="false">IF(ISBLANK(Actuals!T75),IF(AND(Projects!$G$12="Yes",15&gt;=Projects!$C$12,15&lt;Projects!$C$12+Projects!$D$12),4736.84,0),Actuals!T75)</f>
        <v>0</v>
      </c>
      <c r="T160" s="13" t="n">
        <f aca="false">IF(ISBLANK(Actuals!U75),IF(AND(Projects!$G$12="Yes",16&gt;=Projects!$C$12,16&lt;Projects!$C$12+Projects!$D$12),4736.84,0),Actuals!U75)</f>
        <v>0</v>
      </c>
      <c r="U160" s="13" t="n">
        <f aca="false">IF(ISBLANK(Actuals!V75),IF(AND(Projects!$G$12="Yes",17&gt;=Projects!$C$12,17&lt;Projects!$C$12+Projects!$D$12),4736.84,0),Actuals!V75)</f>
        <v>0</v>
      </c>
      <c r="V160" s="13" t="n">
        <f aca="false">IF(ISBLANK(Actuals!W75),IF(AND(Projects!$G$12="Yes",18&gt;=Projects!$C$12,18&lt;Projects!$C$12+Projects!$D$12),4736.84,0),Actuals!W75)</f>
        <v>0</v>
      </c>
      <c r="W160" s="13" t="n">
        <f aca="false">IF(ISBLANK(Actuals!X75),IF(AND(Projects!$G$12="Yes",19&gt;=Projects!$C$12,19&lt;Projects!$C$12+Projects!$D$12),4736.84,0),Actuals!X75)</f>
        <v>0</v>
      </c>
      <c r="X160" s="13" t="n">
        <f aca="false">IF(ISBLANK(Actuals!Y75),IF(AND(Projects!$G$12="Yes",20&gt;=Projects!$C$12,20&lt;Projects!$C$12+Projects!$D$12),4736.84,0),Actuals!Y75)</f>
        <v>0</v>
      </c>
      <c r="Y160" s="13" t="n">
        <f aca="false">IF(ISBLANK(Actuals!Z75),IF(AND(Projects!$G$12="Yes",21&gt;=Projects!$C$12,21&lt;Projects!$C$12+Projects!$D$12),4736.84,0),Actuals!Z75)</f>
        <v>0</v>
      </c>
      <c r="Z160" s="13" t="n">
        <f aca="false">IF(ISBLANK(Actuals!AA75),IF(AND(Projects!$G$12="Yes",22&gt;=Projects!$C$12,22&lt;Projects!$C$12+Projects!$D$12),4736.84,0),Actuals!AA75)</f>
        <v>0</v>
      </c>
      <c r="AA160" s="13" t="n">
        <f aca="false">IF(ISBLANK(Actuals!AB75),IF(AND(Projects!$G$12="Yes",23&gt;=Projects!$C$12,23&lt;Projects!$C$12+Projects!$D$12),4736.84,0),Actuals!AB75)</f>
        <v>0</v>
      </c>
      <c r="AB160" s="13" t="n">
        <f aca="false">IF(ISBLANK(Actuals!AC75),IF(AND(Projects!$G$12="Yes",24&gt;=Projects!$C$12,24&lt;Projects!$C$12+Projects!$D$12),4736.84,0),Actuals!AC75)</f>
        <v>0</v>
      </c>
      <c r="AC160" s="13" t="n">
        <f aca="false">IF(ISBLANK(Actuals!AD75),IF(AND(Projects!$G$12="Yes",25&gt;=Projects!$C$12,25&lt;Projects!$C$12+Projects!$D$12),4736.84,0),Actuals!AD75)</f>
        <v>0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0</v>
      </c>
      <c r="R165" s="13" t="n">
        <f aca="false">IF(ISBLANK(Actuals!S80),IF(Uplifters!$B$2="Yes",Uplifters!P107,0),Actuals!S80)</f>
        <v>0</v>
      </c>
      <c r="S165" s="13" t="n">
        <f aca="false">IF(ISBLANK(Actuals!T80),IF(Uplifters!$B$2="Yes",Uplifters!Q107,0),Actuals!T80)</f>
        <v>0</v>
      </c>
      <c r="T165" s="13" t="n">
        <f aca="false">IF(ISBLANK(Actuals!U80),IF(Uplifters!$B$2="Yes",Uplifters!R107,0),Actuals!U80)</f>
        <v>0</v>
      </c>
      <c r="U165" s="13" t="n">
        <f aca="false">IF(ISBLANK(Actuals!V80),IF(Uplifters!$B$2="Yes",Uplifters!S107,0),Actuals!V80)</f>
        <v>0</v>
      </c>
      <c r="V165" s="13" t="n">
        <f aca="false">IF(ISBLANK(Actuals!W80),IF(Uplifters!$B$2="Yes",Uplifters!T107,0),Actuals!W80)</f>
        <v>0</v>
      </c>
      <c r="W165" s="13" t="n">
        <f aca="false">IF(ISBLANK(Actuals!X80),IF(Uplifters!$B$2="Yes",Uplifters!U107,0),Actuals!X80)</f>
        <v>0</v>
      </c>
      <c r="X165" s="13" t="n">
        <f aca="false">IF(ISBLANK(Actuals!Y80),IF(Uplifters!$B$2="Yes",Uplifters!V107,0),Actuals!Y80)</f>
        <v>0</v>
      </c>
      <c r="Y165" s="13" t="n">
        <f aca="false">IF(ISBLANK(Actuals!Z80),IF(Uplifters!$B$2="Yes",Uplifters!W107,0),Actuals!Z80)</f>
        <v>0</v>
      </c>
      <c r="Z165" s="13" t="n">
        <f aca="false">IF(ISBLANK(Actuals!AA80),IF(Uplifters!$B$2="Yes",Uplifters!X107,0),Actuals!AA80)</f>
        <v>0</v>
      </c>
      <c r="AA165" s="13" t="n">
        <f aca="false">IF(ISBLANK(Actuals!AB80),IF(Uplifters!$B$2="Yes",Uplifters!Y107,0),Actuals!AB80)</f>
        <v>0</v>
      </c>
      <c r="AB165" s="13" t="n">
        <f aca="false">IF(ISBLANK(Actuals!AC80),IF(Uplifters!$B$2="Yes",Uplifters!Z107,0),Actuals!AC80)</f>
        <v>0</v>
      </c>
      <c r="AC165" s="13" t="n">
        <f aca="false">IF(ISBLANK(Actuals!AD80),IF(Uplifters!$B$2="Yes",Uplifters!AA107,0),Actuals!AD80)</f>
        <v>0</v>
      </c>
      <c r="AD165" s="13" t="n">
        <f aca="false">IF(ISBLANK(Actuals!AE80),IF(Uplifters!$B$2="Yes",Uplifters!AB107,0),Actuals!AE80)</f>
        <v>0</v>
      </c>
      <c r="AE165" s="13" t="n">
        <f aca="false">IF(ISBLANK(Actuals!AF80),IF(Uplifters!$B$2="Yes",Uplifters!AC107,0),Actuals!AF80)</f>
        <v>0</v>
      </c>
      <c r="AF165" s="13" t="n">
        <f aca="false">IF(ISBLANK(Actuals!AG80),IF(Uplifters!$B$2="Yes",Uplifters!AD107,0),Actuals!AG80)</f>
        <v>0</v>
      </c>
      <c r="AG165" s="13" t="n">
        <f aca="false">IF(ISBLANK(Actuals!AH80),IF(Uplifters!$B$2="Yes",Uplifters!AE107,0),Actuals!AH80)</f>
        <v>0</v>
      </c>
      <c r="AH165" s="13" t="n">
        <f aca="false">IF(ISBLANK(Actuals!AI80),IF(Uplifters!$B$2="Yes",Uplifters!AF107,0),Actuals!AI80)</f>
        <v>0</v>
      </c>
      <c r="AI165" s="13" t="n">
        <f aca="false">IF(ISBLANK(Actuals!AJ80),IF(Uplifters!$B$2="Yes",Uplifters!AG107,0),Actuals!AJ80)</f>
        <v>0</v>
      </c>
      <c r="AJ165" s="13" t="n">
        <f aca="false">IF(ISBLANK(Actuals!AK80),IF(Uplifters!$B$2="Yes",Uplifters!AH107,0),Actuals!AK80)</f>
        <v>0</v>
      </c>
      <c r="AK165" s="13" t="n">
        <f aca="false">IF(ISBLANK(Actuals!AL80),IF(Uplifters!$B$2="Yes",Uplifters!AI107,0),Actuals!AL80)</f>
        <v>0</v>
      </c>
      <c r="AL165" s="13" t="n">
        <f aca="false">IF(ISBLANK(Actuals!AM80),IF(Uplifters!$B$2="Yes",Uplifters!AJ107,0),Actuals!AM80)</f>
        <v>0</v>
      </c>
      <c r="AM165" s="13" t="n">
        <f aca="false">IF(ISBLANK(Actuals!AN80),IF(Uplifters!$B$2="Yes",Uplifters!AK107,0),Actuals!AN80)</f>
        <v>0</v>
      </c>
      <c r="AN165" s="13" t="n">
        <f aca="false">IF(ISBLANK(Actuals!AO80),IF(Uplifters!$B$2="Yes",Uplifters!AL107,0),Actuals!AO80)</f>
        <v>0</v>
      </c>
      <c r="AO165" s="13" t="n">
        <f aca="false">IF(ISBLANK(Actuals!AP80),IF(Uplifters!$B$2="Yes",Uplifters!AM107,0),Actuals!AP80)</f>
        <v>0</v>
      </c>
      <c r="AP165" s="13" t="n">
        <f aca="false">IF(ISBLANK(Actuals!AQ80),IF(Uplifters!$B$2="Yes",Uplifters!AN107,0),Actuals!AQ80)</f>
        <v>0</v>
      </c>
      <c r="AQ165" s="13" t="n">
        <f aca="false">IF(ISBLANK(Actuals!AR80),IF(Uplifters!$B$2="Yes",Uplifters!AO107,0),Actuals!AR80)</f>
        <v>0</v>
      </c>
      <c r="AR165" s="13" t="n">
        <f aca="false">IF(ISBLANK(Actuals!AS80),IF(Uplifters!$B$2="Yes",Uplifters!AP107,0),Actuals!AS80)</f>
        <v>0</v>
      </c>
      <c r="AS165" s="13" t="n">
        <f aca="false">IF(ISBLANK(Actuals!AT80),IF(Uplifters!$B$2="Yes",Uplifters!AQ107,0),Actuals!AT80)</f>
        <v>0</v>
      </c>
      <c r="AT165" s="13" t="n">
        <f aca="false">IF(ISBLANK(Actuals!AU80),IF(Uplifters!$B$2="Yes",Uplifters!AR107,0),Actuals!AU80)</f>
        <v>0</v>
      </c>
      <c r="AU165" s="13" t="n">
        <f aca="false">IF(ISBLANK(Actuals!AV80),IF(Uplifters!$B$2="Yes",Uplifters!AS107,0),Actuals!AV80)</f>
        <v>0</v>
      </c>
      <c r="AV165" s="13" t="n">
        <f aca="false">IF(ISBLANK(Actuals!AW80),IF(Uplifters!$B$2="Yes",Uplifters!AT107,0),Actuals!AW80)</f>
        <v>0</v>
      </c>
      <c r="AW165" s="13" t="n">
        <f aca="false">IF(ISBLANK(Actuals!AX80),IF(Uplifters!$B$2="Yes",Uplifters!AU107,0),Actuals!AX80)</f>
        <v>0</v>
      </c>
      <c r="AX165" s="13" t="n">
        <f aca="false">IF(ISBLANK(Actuals!AY80),IF(Uplifters!$B$2="Yes",Uplifters!AV107,0),Actuals!AY80)</f>
        <v>0</v>
      </c>
      <c r="AY165" s="13" t="n">
        <f aca="false">IF(ISBLANK(Actuals!AZ80),IF(Uplifters!$B$2="Yes",Uplifters!AW107,0),Actuals!AZ80)</f>
        <v>0</v>
      </c>
      <c r="AZ165" s="13" t="n">
        <f aca="false">IF(ISBLANK(Actuals!BA80),IF(Uplifters!$B$2="Yes",Uplifters!AX107,0),Actuals!BA80)</f>
        <v>0</v>
      </c>
      <c r="BA165" s="13" t="n">
        <f aca="false">IF(ISBLANK(Actuals!BB80),IF(Uplifters!$B$2="Yes",Uplifters!AY107,0),Actuals!BB80)</f>
        <v>0</v>
      </c>
      <c r="BB165" s="13" t="n">
        <f aca="false">IF(ISBLANK(Actuals!BC80),IF(Uplifters!$B$2="Yes",Uplifters!AZ107,0),Actuals!BC80)</f>
        <v>0</v>
      </c>
      <c r="BC165" s="13" t="n">
        <f aca="false">IF(ISBLANK(Actuals!BD80),IF(Uplifters!$B$2="Yes",Uplifters!BA107,0),Actuals!BD80)</f>
        <v>0</v>
      </c>
      <c r="BD165" s="13" t="n">
        <f aca="false">IF(ISBLANK(Actuals!BE80),IF(Uplifters!$B$2="Yes",Uplifters!BB107,0),Actuals!BE80)</f>
        <v>0</v>
      </c>
      <c r="BE165" s="13" t="n">
        <f aca="false">IF(ISBLANK(Actuals!BF80),IF(Uplifters!$B$2="Yes",Uplifters!BC107,0),Actuals!BF80)</f>
        <v>0</v>
      </c>
      <c r="BF165" s="13" t="n">
        <f aca="false">IF(ISBLANK(Actuals!BG80),IF(Uplifters!$B$2="Yes",Uplifters!BD107,0),Actuals!BG80)</f>
        <v>0</v>
      </c>
      <c r="BG165" s="13" t="n">
        <f aca="false">IF(ISBLANK(Actuals!BH80),IF(Uplifters!$B$2="Yes",Uplifters!BE107,0),Actuals!BH80)</f>
        <v>0</v>
      </c>
      <c r="BH165" s="13" t="n">
        <f aca="false">IF(ISBLANK(Actuals!BI80),IF(Uplifters!$B$2="Yes",Uplifters!BF107,0),Actuals!BI80)</f>
        <v>0</v>
      </c>
      <c r="BI165" s="13" t="n">
        <f aca="false">IF(ISBLANK(Actuals!BJ80),IF(Uplifters!$B$2="Yes",Uplifters!BG107,0),Actuals!BJ80)</f>
        <v>0</v>
      </c>
      <c r="BJ165" s="13" t="n">
        <f aca="false">IF(ISBLANK(Actuals!BK80),IF(Uplifters!$B$2="Yes",Uplifters!BH107,0),Actuals!BK80)</f>
        <v>0</v>
      </c>
      <c r="BK165" s="13" t="n">
        <f aca="false">IF(ISBLANK(Actuals!BL80),IF(Uplifters!$B$2="Yes",Uplifters!BI107,0),Actuals!BL80)</f>
        <v>0</v>
      </c>
      <c r="BL165" s="13" t="n">
        <f aca="false">IF(ISBLANK(Actuals!BM80),IF(Uplifters!$B$2="Yes",Uplifters!BJ107,0),Actuals!BM80)</f>
        <v>0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1" t="s">
        <v>116</v>
      </c>
      <c r="B168" s="32" t="n">
        <f aca="false">SUM(B148:B167)</f>
        <v>34114.58</v>
      </c>
      <c r="C168" s="32" t="n">
        <f aca="false">SUM(C148:C167)</f>
        <v>34114.58</v>
      </c>
      <c r="D168" s="32" t="n">
        <f aca="false">SUM(D148:D167)</f>
        <v>34114.58</v>
      </c>
      <c r="E168" s="32" t="n">
        <f aca="false">SUM(E148:E167)</f>
        <v>43614.58</v>
      </c>
      <c r="F168" s="32" t="n">
        <f aca="false">SUM(F148:F167)</f>
        <v>43614.58</v>
      </c>
      <c r="G168" s="32" t="n">
        <f aca="false">SUM(G148:G167)</f>
        <v>342614.58</v>
      </c>
      <c r="H168" s="32" t="n">
        <f aca="false">SUM(H148:H167)</f>
        <v>46039.2228571429</v>
      </c>
      <c r="I168" s="32" t="n">
        <f aca="false">SUM(I148:I167)</f>
        <v>52636.2228571429</v>
      </c>
      <c r="J168" s="32" t="n">
        <f aca="false">SUM(J148:J167)</f>
        <v>55552.8928571429</v>
      </c>
      <c r="K168" s="32" t="n">
        <f aca="false">SUM(K148:K167)</f>
        <v>55552.8928571429</v>
      </c>
      <c r="L168" s="32" t="n">
        <f aca="false">SUM(L148:L167)</f>
        <v>46177.8928571429</v>
      </c>
      <c r="M168" s="32" t="n">
        <f aca="false">SUM(M148:M167)</f>
        <v>43427.8928571429</v>
      </c>
      <c r="N168" s="32" t="n">
        <f aca="false">SUM(N148:N167)</f>
        <v>64302.8928571429</v>
      </c>
      <c r="O168" s="32" t="n">
        <f aca="false">SUM(O148:O167)</f>
        <v>51445.75</v>
      </c>
      <c r="P168" s="32" t="n">
        <f aca="false">SUM(P148:P167)</f>
        <v>52695.75</v>
      </c>
      <c r="Q168" s="32" t="n">
        <f aca="false">SUM(Q148:Q167)</f>
        <v>52695.75</v>
      </c>
      <c r="R168" s="32" t="n">
        <f aca="false">SUM(R148:R167)</f>
        <v>52695.75</v>
      </c>
      <c r="S168" s="32" t="n">
        <f aca="false">SUM(S148:S167)</f>
        <v>52695.75</v>
      </c>
      <c r="T168" s="32" t="n">
        <f aca="false">SUM(T148:T167)</f>
        <v>24789.5</v>
      </c>
      <c r="U168" s="32" t="n">
        <f aca="false">SUM(U148:U167)</f>
        <v>28789.5</v>
      </c>
      <c r="V168" s="32" t="n">
        <f aca="false">SUM(V148:V167)</f>
        <v>28789.5</v>
      </c>
      <c r="W168" s="32" t="n">
        <f aca="false">SUM(W148:W167)</f>
        <v>28789.5</v>
      </c>
      <c r="X168" s="32" t="n">
        <f aca="false">SUM(X148:X167)</f>
        <v>27442.5</v>
      </c>
      <c r="Y168" s="32" t="n">
        <f aca="false">SUM(Y148:Y167)</f>
        <v>142192.5</v>
      </c>
      <c r="Z168" s="32" t="n">
        <f aca="false">SUM(Z148:Z167)</f>
        <v>2442.5</v>
      </c>
      <c r="AA168" s="32" t="n">
        <f aca="false">SUM(AA148:AA167)</f>
        <v>2442.5</v>
      </c>
      <c r="AB168" s="32" t="n">
        <f aca="false">SUM(AB148:AB167)</f>
        <v>59817.5</v>
      </c>
      <c r="AC168" s="32" t="n">
        <f aca="false">SUM(AC148:AC167)</f>
        <v>3692.5</v>
      </c>
      <c r="AD168" s="32" t="n">
        <f aca="false">SUM(AD148:AD167)</f>
        <v>3692.5</v>
      </c>
      <c r="AE168" s="32" t="n">
        <f aca="false">SUM(AE148:AE167)</f>
        <v>61067.5</v>
      </c>
      <c r="AF168" s="32" t="n">
        <f aca="false">SUM(AF148:AF167)</f>
        <v>-307.5</v>
      </c>
      <c r="AG168" s="32" t="n">
        <f aca="false">SUM(AG148:AG167)</f>
        <v>3692.5</v>
      </c>
      <c r="AH168" s="32" t="n">
        <f aca="false">SUM(AH148:AH167)</f>
        <v>3692.5</v>
      </c>
      <c r="AI168" s="32" t="n">
        <f aca="false">SUM(AI148:AI167)</f>
        <v>-5807.5</v>
      </c>
      <c r="AJ168" s="32" t="n">
        <f aca="false">SUM(AJ148:AJ167)</f>
        <v>-5807.5</v>
      </c>
      <c r="AK168" s="32" t="n">
        <f aca="false">SUM(AK148:AK167)</f>
        <v>-5807.5</v>
      </c>
      <c r="AL168" s="32" t="n">
        <f aca="false">SUM(AL148:AL167)</f>
        <v>-5807.5</v>
      </c>
      <c r="AM168" s="32" t="n">
        <f aca="false">SUM(AM148:AM167)</f>
        <v>-7057.5</v>
      </c>
      <c r="AN168" s="32" t="n">
        <f aca="false">SUM(AN148:AN167)</f>
        <v>-7057.5</v>
      </c>
      <c r="AO168" s="32" t="n">
        <f aca="false">SUM(AO148:AO167)</f>
        <v>-7057.5</v>
      </c>
      <c r="AP168" s="32" t="n">
        <f aca="false">SUM(AP148:AP167)</f>
        <v>-7057.5</v>
      </c>
      <c r="AQ168" s="32" t="n">
        <f aca="false">SUM(AQ148:AQ167)</f>
        <v>-7057.5</v>
      </c>
      <c r="AR168" s="32" t="n">
        <f aca="false">SUM(AR148:AR167)</f>
        <v>-11057.5</v>
      </c>
      <c r="AS168" s="32" t="n">
        <f aca="false">SUM(AS148:AS167)</f>
        <v>-7057.5</v>
      </c>
      <c r="AT168" s="32" t="n">
        <f aca="false">SUM(AT148:AT167)</f>
        <v>81683</v>
      </c>
      <c r="AU168" s="32" t="n">
        <f aca="false">SUM(AU148:AU167)</f>
        <v>0</v>
      </c>
      <c r="AV168" s="32" t="n">
        <f aca="false">SUM(AV148:AV167)</f>
        <v>0</v>
      </c>
      <c r="AW168" s="32" t="n">
        <f aca="false">SUM(AW148:AW167)</f>
        <v>81682</v>
      </c>
      <c r="AX168" s="32" t="n">
        <f aca="false">SUM(AX148:AX167)</f>
        <v>0</v>
      </c>
      <c r="AY168" s="32" t="n">
        <f aca="false">SUM(AY148:AY167)</f>
        <v>0</v>
      </c>
      <c r="AZ168" s="32" t="n">
        <f aca="false">SUM(AZ148:AZ167)</f>
        <v>81682</v>
      </c>
      <c r="BA168" s="32" t="n">
        <f aca="false">SUM(BA148:BA167)</f>
        <v>0</v>
      </c>
      <c r="BB168" s="32" t="n">
        <f aca="false">SUM(BB148:BB167)</f>
        <v>0</v>
      </c>
      <c r="BC168" s="32" t="n">
        <f aca="false">SUM(BC148:BC167)</f>
        <v>933521</v>
      </c>
      <c r="BD168" s="32" t="n">
        <f aca="false">SUM(BD148:BD167)</f>
        <v>0</v>
      </c>
      <c r="BE168" s="32" t="n">
        <f aca="false">SUM(BE148:BE167)</f>
        <v>0</v>
      </c>
      <c r="BF168" s="32" t="n">
        <f aca="false">SUM(BF148:BF167)</f>
        <v>130878</v>
      </c>
      <c r="BG168" s="32" t="n">
        <f aca="false">SUM(BG148:BG167)</f>
        <v>0</v>
      </c>
      <c r="BH168" s="32" t="n">
        <f aca="false">SUM(BH148:BH167)</f>
        <v>0</v>
      </c>
      <c r="BI168" s="32" t="n">
        <f aca="false">SUM(BI148:BI167)</f>
        <v>130876</v>
      </c>
      <c r="BJ168" s="32" t="n">
        <f aca="false">SUM(BJ148:BJ167)</f>
        <v>0</v>
      </c>
      <c r="BK168" s="32" t="n">
        <f aca="false">SUM(BK148:BK167)</f>
        <v>0</v>
      </c>
      <c r="BL168" s="32" t="n">
        <f aca="false">SUM(BL148:BL167)</f>
        <v>130876</v>
      </c>
      <c r="BM168" s="32" t="n">
        <f aca="false">SUM(BM148:BM167)</f>
        <v>0</v>
      </c>
      <c r="BN168" s="32" t="n">
        <f aca="false">SUM(BN148:BN167)</f>
        <v>0</v>
      </c>
      <c r="BO168" s="32" t="n">
        <f aca="false">SUM(BO148:BO167)</f>
        <v>130876</v>
      </c>
      <c r="BP168" s="32" t="n">
        <f aca="false">SUM(BP148:BP167)</f>
        <v>0</v>
      </c>
      <c r="BQ168" s="32" t="n">
        <f aca="false">SUM(BQ148:BQ167)</f>
        <v>0</v>
      </c>
      <c r="BR168" s="32" t="n">
        <f aca="false">SUM(BR148:BR167)</f>
        <v>142406</v>
      </c>
      <c r="BS168" s="32" t="n">
        <f aca="false">SUM(BS148:BS167)</f>
        <v>0</v>
      </c>
      <c r="BT168" s="32" t="n">
        <f aca="false">SUM(BT148:BT167)</f>
        <v>0</v>
      </c>
      <c r="BU168" s="32" t="n">
        <f aca="false">SUM(BU148:BU167)</f>
        <v>142402</v>
      </c>
      <c r="BV168" s="32" t="n">
        <f aca="false">SUM(BV148:BV167)</f>
        <v>0</v>
      </c>
      <c r="BW168" s="32" t="n">
        <f aca="false">SUM(BW148:BW167)</f>
        <v>0</v>
      </c>
      <c r="BX168" s="32" t="n">
        <f aca="false">SUM(BX148:BX167)</f>
        <v>142402</v>
      </c>
      <c r="BY168" s="32" t="n">
        <f aca="false">SUM(BY148:BY167)</f>
        <v>0</v>
      </c>
      <c r="BZ168" s="32" t="n">
        <f aca="false">SUM(BZ148:BZ167)</f>
        <v>0</v>
      </c>
      <c r="CA168" s="32" t="n">
        <f aca="false">SUM(CA148:CA167)</f>
        <v>215558</v>
      </c>
      <c r="CB168" s="32" t="n">
        <f aca="false">SUM(CB148:CB167)</f>
        <v>0</v>
      </c>
      <c r="CC168" s="32" t="n">
        <f aca="false">SUM(CC148:CC167)</f>
        <v>0</v>
      </c>
      <c r="CD168" s="32" t="n">
        <f aca="false">SUM(CD148:CD167)</f>
        <v>231017</v>
      </c>
      <c r="CE168" s="32" t="n">
        <f aca="false">SUM(CE148:CE167)</f>
        <v>0</v>
      </c>
      <c r="CF168" s="32" t="n">
        <f aca="false">SUM(CF148:CF167)</f>
        <v>0</v>
      </c>
      <c r="CG168" s="32" t="n">
        <f aca="false">SUM(CG148:CG167)</f>
        <v>231016</v>
      </c>
      <c r="CH168" s="32" t="n">
        <f aca="false">SUM(CH148:CH167)</f>
        <v>0</v>
      </c>
      <c r="CI168" s="32" t="n">
        <f aca="false">SUM(CI148:CI167)</f>
        <v>0</v>
      </c>
      <c r="CJ168" s="32" t="n">
        <f aca="false">SUM(CJ148:CJ167)</f>
        <v>231016</v>
      </c>
      <c r="CK168" s="32" t="n">
        <f aca="false">SUM(CK148:CK167)</f>
        <v>231016</v>
      </c>
      <c r="CL168" s="32" t="n">
        <f aca="false">SUM(CL148:CL167)</f>
        <v>231016</v>
      </c>
      <c r="CM168" s="32" t="n">
        <f aca="false">SUM(CM148:CM167)</f>
        <v>231016</v>
      </c>
      <c r="CN168" s="32" t="n">
        <f aca="false">SUM(CN148:CN167)</f>
        <v>231016</v>
      </c>
      <c r="CO168" s="32" t="n">
        <f aca="false">SUM(CO148:CO167)</f>
        <v>231016</v>
      </c>
      <c r="CP168" s="32" t="n">
        <f aca="false">SUM(CP148:CP167)</f>
        <v>231016</v>
      </c>
      <c r="CQ168" s="32" t="n">
        <f aca="false">SUM(CQ148:CQ167)</f>
        <v>231016</v>
      </c>
      <c r="CR168" s="32" t="n">
        <f aca="false">SUM(CR148:CR167)</f>
        <v>231016</v>
      </c>
      <c r="CS168" s="32" t="n">
        <f aca="false">SUM(CS148:CS167)</f>
        <v>231016</v>
      </c>
      <c r="CT168" s="32" t="n">
        <f aca="false">SUM(CT148:CT167)</f>
        <v>231016</v>
      </c>
      <c r="CU168" s="32" t="n">
        <f aca="false">SUM(CU148:CU167)</f>
        <v>231016</v>
      </c>
      <c r="CV168" s="32" t="n">
        <f aca="false">SUM(CV148:CV167)</f>
        <v>231016</v>
      </c>
      <c r="CW168" s="32" t="n">
        <f aca="false">SUM(CW148:CW167)</f>
        <v>231016</v>
      </c>
      <c r="CX168" s="32" t="n">
        <f aca="false">SUM(CX148:CX167)</f>
        <v>231016</v>
      </c>
      <c r="CY168" s="32" t="n">
        <f aca="false">SUM(CY148:CY167)</f>
        <v>231016</v>
      </c>
      <c r="CZ168" s="32" t="n">
        <f aca="false">SUM(CZ148:CZ167)</f>
        <v>231016</v>
      </c>
      <c r="DA168" s="32" t="n">
        <f aca="false">SUM(DA148:DA167)</f>
        <v>231016</v>
      </c>
      <c r="DB168" s="32" t="n">
        <f aca="false">SUM(DB148:DB167)</f>
        <v>231016</v>
      </c>
      <c r="DC168" s="32" t="n">
        <f aca="false">SUM(DC148:DC167)</f>
        <v>231016</v>
      </c>
      <c r="DD168" s="32" t="n">
        <f aca="false">SUM(DD148:DD167)</f>
        <v>231016</v>
      </c>
      <c r="DE168" s="32" t="n">
        <f aca="false">SUM(DE148:DE167)</f>
        <v>231016</v>
      </c>
    </row>
    <row r="169" customFormat="false" ht="15" hidden="false" customHeight="true" outlineLevel="0" collapsed="false">
      <c r="A169" s="23" t="s">
        <v>117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</row>
    <row r="170" customFormat="false" ht="15" hidden="false" customHeight="true" outlineLevel="0" collapsed="false">
      <c r="A170" s="37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37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37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37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37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37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37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37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37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37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37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37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37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37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37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37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37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37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37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37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37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37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1" t="s">
        <v>132</v>
      </c>
      <c r="B199" s="32" t="n">
        <f aca="false">SUM(B170:B198)</f>
        <v>-198827.72</v>
      </c>
      <c r="C199" s="32" t="n">
        <f aca="false">SUM(C170:C198)</f>
        <v>-192502</v>
      </c>
      <c r="D199" s="32" t="n">
        <f aca="false">SUM(D170:D198)</f>
        <v>-255024.1</v>
      </c>
      <c r="E199" s="32" t="n">
        <f aca="false">SUM(E170:E198)</f>
        <v>-195904.72</v>
      </c>
      <c r="F199" s="32" t="n">
        <f aca="false">SUM(F170:F198)</f>
        <v>-250029.52</v>
      </c>
      <c r="G199" s="32" t="n">
        <f aca="false">SUM(G170:G198)</f>
        <v>-201582.47</v>
      </c>
      <c r="H199" s="32" t="n">
        <f aca="false">SUM(H170:H198)</f>
        <v>-78090.0916666667</v>
      </c>
      <c r="I199" s="32" t="n">
        <f aca="false">SUM(I170:I198)</f>
        <v>-78090.0916666667</v>
      </c>
      <c r="J199" s="32" t="n">
        <f aca="false">SUM(J170:J198)</f>
        <v>-78090.0916666667</v>
      </c>
      <c r="K199" s="32" t="n">
        <f aca="false">SUM(K170:K198)</f>
        <v>-78090.0916666667</v>
      </c>
      <c r="L199" s="32" t="n">
        <f aca="false">SUM(L170:L198)</f>
        <v>-78090.0916666667</v>
      </c>
      <c r="M199" s="32" t="n">
        <f aca="false">SUM(M170:M198)</f>
        <v>-78090.0916666667</v>
      </c>
      <c r="N199" s="32" t="n">
        <f aca="false">SUM(N170:N198)</f>
        <v>-78090.0916666667</v>
      </c>
      <c r="O199" s="32" t="n">
        <f aca="false">SUM(O170:O198)</f>
        <v>-78090.0916666667</v>
      </c>
      <c r="P199" s="32" t="n">
        <f aca="false">SUM(P170:P198)</f>
        <v>-78090.0916666667</v>
      </c>
      <c r="Q199" s="32" t="n">
        <f aca="false">SUM(Q170:Q198)</f>
        <v>-79651.8935</v>
      </c>
      <c r="R199" s="32" t="n">
        <f aca="false">SUM(R170:R198)</f>
        <v>-79651.8935</v>
      </c>
      <c r="S199" s="32" t="n">
        <f aca="false">SUM(S170:S198)</f>
        <v>-79651.8935</v>
      </c>
      <c r="T199" s="32" t="n">
        <f aca="false">SUM(T170:T198)</f>
        <v>-79651.8935</v>
      </c>
      <c r="U199" s="32" t="n">
        <f aca="false">SUM(U170:U198)</f>
        <v>-79651.8935</v>
      </c>
      <c r="V199" s="32" t="n">
        <f aca="false">SUM(V170:V198)</f>
        <v>-79651.8935</v>
      </c>
      <c r="W199" s="32" t="n">
        <f aca="false">SUM(W170:W198)</f>
        <v>-79651.8935</v>
      </c>
      <c r="X199" s="32" t="n">
        <f aca="false">SUM(X170:X198)</f>
        <v>-79651.8935</v>
      </c>
      <c r="Y199" s="32" t="n">
        <f aca="false">SUM(Y170:Y198)</f>
        <v>-79651.8935</v>
      </c>
      <c r="Z199" s="32" t="n">
        <f aca="false">SUM(Z170:Z198)</f>
        <v>-79651.8935</v>
      </c>
      <c r="AA199" s="32" t="n">
        <f aca="false">SUM(AA170:AA198)</f>
        <v>-79651.8935</v>
      </c>
      <c r="AB199" s="32" t="n">
        <f aca="false">SUM(AB170:AB198)</f>
        <v>-79651.8935</v>
      </c>
      <c r="AC199" s="32" t="n">
        <f aca="false">SUM(AC170:AC198)</f>
        <v>-81244.93137</v>
      </c>
      <c r="AD199" s="32" t="n">
        <f aca="false">SUM(AD170:AD198)</f>
        <v>-81244.93137</v>
      </c>
      <c r="AE199" s="32" t="n">
        <f aca="false">SUM(AE170:AE198)</f>
        <v>-81244.93137</v>
      </c>
      <c r="AF199" s="32" t="n">
        <f aca="false">SUM(AF170:AF198)</f>
        <v>-81244.93137</v>
      </c>
      <c r="AG199" s="32" t="n">
        <f aca="false">SUM(AG170:AG198)</f>
        <v>-81244.93137</v>
      </c>
      <c r="AH199" s="32" t="n">
        <f aca="false">SUM(AH170:AH198)</f>
        <v>-81244.93137</v>
      </c>
      <c r="AI199" s="32" t="n">
        <f aca="false">SUM(AI170:AI198)</f>
        <v>-81244.93137</v>
      </c>
      <c r="AJ199" s="32" t="n">
        <f aca="false">SUM(AJ170:AJ198)</f>
        <v>-81244.93137</v>
      </c>
      <c r="AK199" s="32" t="n">
        <f aca="false">SUM(AK170:AK198)</f>
        <v>-81244.93137</v>
      </c>
      <c r="AL199" s="32" t="n">
        <f aca="false">SUM(AL170:AL198)</f>
        <v>-81244.93137</v>
      </c>
      <c r="AM199" s="32" t="n">
        <f aca="false">SUM(AM170:AM198)</f>
        <v>-81244.93137</v>
      </c>
      <c r="AN199" s="32" t="n">
        <f aca="false">SUM(AN170:AN198)</f>
        <v>-81244.93137</v>
      </c>
      <c r="AO199" s="32" t="n">
        <f aca="false">SUM(AO170:AO198)</f>
        <v>-82869.8299974</v>
      </c>
      <c r="AP199" s="32" t="n">
        <f aca="false">SUM(AP170:AP198)</f>
        <v>-82869.8299974</v>
      </c>
      <c r="AQ199" s="32" t="n">
        <f aca="false">SUM(AQ170:AQ198)</f>
        <v>-82869.8299974</v>
      </c>
      <c r="AR199" s="32" t="n">
        <f aca="false">SUM(AR170:AR198)</f>
        <v>-82869.8299974</v>
      </c>
      <c r="AS199" s="32" t="n">
        <f aca="false">SUM(AS170:AS198)</f>
        <v>-82869.8299974</v>
      </c>
      <c r="AT199" s="32" t="n">
        <f aca="false">SUM(AT170:AT198)</f>
        <v>-164552.8299974</v>
      </c>
      <c r="AU199" s="32" t="n">
        <f aca="false">SUM(AU170:AU198)</f>
        <v>-82869.8299974</v>
      </c>
      <c r="AV199" s="32" t="n">
        <f aca="false">SUM(AV170:AV198)</f>
        <v>-82869.8299974</v>
      </c>
      <c r="AW199" s="32" t="n">
        <f aca="false">SUM(AW170:AW198)</f>
        <v>-164551.8299974</v>
      </c>
      <c r="AX199" s="32" t="n">
        <f aca="false">SUM(AX170:AX198)</f>
        <v>-82869.8299974</v>
      </c>
      <c r="AY199" s="32" t="n">
        <f aca="false">SUM(AY170:AY198)</f>
        <v>-82869.8299974</v>
      </c>
      <c r="AZ199" s="32" t="n">
        <f aca="false">SUM(AZ170:AZ198)</f>
        <v>-164551.8299974</v>
      </c>
      <c r="BA199" s="32" t="n">
        <f aca="false">SUM(BA170:BA198)</f>
        <v>-84527.226597348</v>
      </c>
      <c r="BB199" s="32" t="n">
        <f aca="false">SUM(BB170:BB198)</f>
        <v>-84527.226597348</v>
      </c>
      <c r="BC199" s="32" t="n">
        <f aca="false">SUM(BC170:BC198)</f>
        <v>-1018048.22659735</v>
      </c>
      <c r="BD199" s="32" t="n">
        <f aca="false">SUM(BD170:BD198)</f>
        <v>-84527.226597348</v>
      </c>
      <c r="BE199" s="32" t="n">
        <f aca="false">SUM(BE170:BE198)</f>
        <v>-84527.226597348</v>
      </c>
      <c r="BF199" s="32" t="n">
        <f aca="false">SUM(BF170:BF198)</f>
        <v>-215405.226597348</v>
      </c>
      <c r="BG199" s="32" t="n">
        <f aca="false">SUM(BG170:BG198)</f>
        <v>-84527.226597348</v>
      </c>
      <c r="BH199" s="32" t="n">
        <f aca="false">SUM(BH170:BH198)</f>
        <v>-84527.226597348</v>
      </c>
      <c r="BI199" s="32" t="n">
        <f aca="false">SUM(BI170:BI198)</f>
        <v>-215403.226597348</v>
      </c>
      <c r="BJ199" s="32" t="n">
        <f aca="false">SUM(BJ170:BJ198)</f>
        <v>-84527.226597348</v>
      </c>
      <c r="BK199" s="32" t="n">
        <f aca="false">SUM(BK170:BK198)</f>
        <v>-84527.226597348</v>
      </c>
      <c r="BL199" s="32" t="n">
        <f aca="false">SUM(BL170:BL198)</f>
        <v>-215403.226597348</v>
      </c>
      <c r="BM199" s="32" t="n">
        <f aca="false">SUM(BM170:BM198)</f>
        <v>-86217.771129295</v>
      </c>
      <c r="BN199" s="32" t="n">
        <f aca="false">SUM(BN170:BN198)</f>
        <v>-86217.771129295</v>
      </c>
      <c r="BO199" s="32" t="n">
        <f aca="false">SUM(BO170:BO198)</f>
        <v>-217093.771129295</v>
      </c>
      <c r="BP199" s="32" t="n">
        <f aca="false">SUM(BP170:BP198)</f>
        <v>-86217.771129295</v>
      </c>
      <c r="BQ199" s="32" t="n">
        <f aca="false">SUM(BQ170:BQ198)</f>
        <v>-86217.771129295</v>
      </c>
      <c r="BR199" s="32" t="n">
        <f aca="false">SUM(BR170:BR198)</f>
        <v>-175373.421129295</v>
      </c>
      <c r="BS199" s="32" t="n">
        <f aca="false">SUM(BS170:BS198)</f>
        <v>-86217.771129295</v>
      </c>
      <c r="BT199" s="32" t="n">
        <f aca="false">SUM(BT170:BT198)</f>
        <v>-86217.771129295</v>
      </c>
      <c r="BU199" s="32" t="n">
        <f aca="false">SUM(BU170:BU198)</f>
        <v>-160857.771129295</v>
      </c>
      <c r="BV199" s="32" t="n">
        <f aca="false">SUM(BV170:BV198)</f>
        <v>-86217.771129295</v>
      </c>
      <c r="BW199" s="32" t="n">
        <f aca="false">SUM(BW170:BW198)</f>
        <v>-86217.771129295</v>
      </c>
      <c r="BX199" s="32" t="n">
        <f aca="false">SUM(BX170:BX198)</f>
        <v>-160857.771129295</v>
      </c>
      <c r="BY199" s="32" t="n">
        <f aca="false">SUM(BY170:BY198)</f>
        <v>-87942.1265518809</v>
      </c>
      <c r="BZ199" s="32" t="n">
        <f aca="false">SUM(BZ170:BZ198)</f>
        <v>-87942.1265518809</v>
      </c>
      <c r="CA199" s="32" t="n">
        <f aca="false">SUM(CA170:CA198)</f>
        <v>-235738.126551881</v>
      </c>
      <c r="CB199" s="32" t="n">
        <f aca="false">SUM(CB170:CB198)</f>
        <v>-87942.1265518809</v>
      </c>
      <c r="CC199" s="32" t="n">
        <f aca="false">SUM(CC170:CC198)</f>
        <v>-87942.1265518809</v>
      </c>
      <c r="CD199" s="32" t="n">
        <f aca="false">SUM(CD170:CD198)</f>
        <v>-242460.126551881</v>
      </c>
      <c r="CE199" s="32" t="n">
        <f aca="false">SUM(CE170:CE198)</f>
        <v>-87942.1265518809</v>
      </c>
      <c r="CF199" s="32" t="n">
        <f aca="false">SUM(CF170:CF198)</f>
        <v>-87942.1265518809</v>
      </c>
      <c r="CG199" s="32" t="n">
        <f aca="false">SUM(CG170:CG198)</f>
        <v>-242459.126551881</v>
      </c>
      <c r="CH199" s="32" t="n">
        <f aca="false">SUM(CH170:CH198)</f>
        <v>-87942.1265518809</v>
      </c>
      <c r="CI199" s="32" t="n">
        <f aca="false">SUM(CI170:CI198)</f>
        <v>-87942.1265518809</v>
      </c>
      <c r="CJ199" s="32" t="n">
        <f aca="false">SUM(CJ170:CJ198)</f>
        <v>-235851.099945402</v>
      </c>
      <c r="CK199" s="32" t="n">
        <f aca="false">SUM(CK170:CK198)</f>
        <v>-162855.969082918</v>
      </c>
      <c r="CL199" s="32" t="n">
        <f aca="false">SUM(CL170:CL198)</f>
        <v>-162855.969082918</v>
      </c>
      <c r="CM199" s="32" t="n">
        <f aca="false">SUM(CM170:CM198)</f>
        <v>-162855.969082918</v>
      </c>
      <c r="CN199" s="32" t="n">
        <f aca="false">SUM(CN170:CN198)</f>
        <v>-162855.969082918</v>
      </c>
      <c r="CO199" s="32" t="n">
        <f aca="false">SUM(CO170:CO198)</f>
        <v>-162855.969082918</v>
      </c>
      <c r="CP199" s="32" t="n">
        <f aca="false">SUM(CP170:CP198)</f>
        <v>-162855.969082918</v>
      </c>
      <c r="CQ199" s="32" t="n">
        <f aca="false">SUM(CQ170:CQ198)</f>
        <v>-162855.969082918</v>
      </c>
      <c r="CR199" s="32" t="n">
        <f aca="false">SUM(CR170:CR198)</f>
        <v>-162855.969082918</v>
      </c>
      <c r="CS199" s="32" t="n">
        <f aca="false">SUM(CS170:CS198)</f>
        <v>-162855.969082918</v>
      </c>
      <c r="CT199" s="32" t="n">
        <f aca="false">SUM(CT170:CT198)</f>
        <v>-160947.475708022</v>
      </c>
      <c r="CU199" s="32" t="n">
        <f aca="false">SUM(CU170:CU198)</f>
        <v>-160947.475708022</v>
      </c>
      <c r="CV199" s="32" t="n">
        <f aca="false">SUM(CV170:CV198)</f>
        <v>-160947.475708022</v>
      </c>
      <c r="CW199" s="32" t="n">
        <f aca="false">SUM(CW170:CW198)</f>
        <v>-106995.17415859</v>
      </c>
      <c r="CX199" s="32" t="n">
        <f aca="false">SUM(CX170:CX198)</f>
        <v>-89548.3252221825</v>
      </c>
      <c r="CY199" s="32" t="n">
        <f aca="false">SUM(CY170:CY198)</f>
        <v>-89548.3252221825</v>
      </c>
      <c r="CZ199" s="32" t="n">
        <f aca="false">SUM(CZ170:CZ198)</f>
        <v>-89548.3252221825</v>
      </c>
      <c r="DA199" s="32" t="n">
        <f aca="false">SUM(DA170:DA198)</f>
        <v>-89548.3252221825</v>
      </c>
      <c r="DB199" s="32" t="n">
        <f aca="false">SUM(DB170:DB198)</f>
        <v>-89548.3252221825</v>
      </c>
      <c r="DC199" s="32" t="n">
        <f aca="false">SUM(DC170:DC198)</f>
        <v>-89548.3252221825</v>
      </c>
      <c r="DD199" s="32" t="n">
        <f aca="false">SUM(DD170:DD198)</f>
        <v>-89548.3252221825</v>
      </c>
      <c r="DE199" s="32" t="n">
        <f aca="false">SUM(DE170:DE198)</f>
        <v>-89548.3252221825</v>
      </c>
    </row>
    <row r="200" customFormat="false" ht="19.5" hidden="false" customHeight="true" outlineLevel="0" collapsed="false">
      <c r="A200" s="38" t="s">
        <v>133</v>
      </c>
      <c r="B200" s="39" t="n">
        <f aca="false">B168+B199</f>
        <v>-164713.14</v>
      </c>
      <c r="C200" s="39" t="n">
        <f aca="false">C168+C199</f>
        <v>-158387.42</v>
      </c>
      <c r="D200" s="39" t="n">
        <f aca="false">D168+D199</f>
        <v>-220909.52</v>
      </c>
      <c r="E200" s="39" t="n">
        <f aca="false">E168+E199</f>
        <v>-152290.14</v>
      </c>
      <c r="F200" s="39" t="n">
        <f aca="false">F168+F199</f>
        <v>-206414.94</v>
      </c>
      <c r="G200" s="39" t="n">
        <f aca="false">G168+G199</f>
        <v>141032.11</v>
      </c>
      <c r="H200" s="39" t="n">
        <f aca="false">H168+H199</f>
        <v>-32050.8688095238</v>
      </c>
      <c r="I200" s="39" t="n">
        <f aca="false">I168+I199</f>
        <v>-25453.8688095238</v>
      </c>
      <c r="J200" s="39" t="n">
        <f aca="false">J168+J199</f>
        <v>-22537.1988095238</v>
      </c>
      <c r="K200" s="39" t="n">
        <f aca="false">K168+K199</f>
        <v>-22537.1988095238</v>
      </c>
      <c r="L200" s="39" t="n">
        <f aca="false">L168+L199</f>
        <v>-31912.1988095238</v>
      </c>
      <c r="M200" s="39" t="n">
        <f aca="false">M168+M199</f>
        <v>-34662.1988095238</v>
      </c>
      <c r="N200" s="39" t="n">
        <f aca="false">N168+N199</f>
        <v>-13787.1988095238</v>
      </c>
      <c r="O200" s="39" t="n">
        <f aca="false">O168+O199</f>
        <v>-26644.3416666667</v>
      </c>
      <c r="P200" s="39" t="n">
        <f aca="false">P168+P199</f>
        <v>-25394.3416666667</v>
      </c>
      <c r="Q200" s="39" t="n">
        <f aca="false">Q168+Q199</f>
        <v>-26956.1435</v>
      </c>
      <c r="R200" s="39" t="n">
        <f aca="false">R168+R199</f>
        <v>-26956.1435</v>
      </c>
      <c r="S200" s="39" t="n">
        <f aca="false">S168+S199</f>
        <v>-26956.1435</v>
      </c>
      <c r="T200" s="39" t="n">
        <f aca="false">T168+T199</f>
        <v>-54862.3935</v>
      </c>
      <c r="U200" s="39" t="n">
        <f aca="false">U168+U199</f>
        <v>-50862.3935</v>
      </c>
      <c r="V200" s="39" t="n">
        <f aca="false">V168+V199</f>
        <v>-50862.3935</v>
      </c>
      <c r="W200" s="39" t="n">
        <f aca="false">W168+W199</f>
        <v>-50862.3935</v>
      </c>
      <c r="X200" s="39" t="n">
        <f aca="false">X168+X199</f>
        <v>-52209.3935</v>
      </c>
      <c r="Y200" s="39" t="n">
        <f aca="false">Y168+Y199</f>
        <v>62540.6065</v>
      </c>
      <c r="Z200" s="39" t="n">
        <f aca="false">Z168+Z199</f>
        <v>-77209.3935</v>
      </c>
      <c r="AA200" s="39" t="n">
        <f aca="false">AA168+AA199</f>
        <v>-77209.3935</v>
      </c>
      <c r="AB200" s="39" t="n">
        <f aca="false">AB168+AB199</f>
        <v>-19834.3935</v>
      </c>
      <c r="AC200" s="39" t="n">
        <f aca="false">AC168+AC199</f>
        <v>-77552.43137</v>
      </c>
      <c r="AD200" s="39" t="n">
        <f aca="false">AD168+AD199</f>
        <v>-77552.43137</v>
      </c>
      <c r="AE200" s="39" t="n">
        <f aca="false">AE168+AE199</f>
        <v>-20177.43137</v>
      </c>
      <c r="AF200" s="39" t="n">
        <f aca="false">AF168+AF199</f>
        <v>-81552.43137</v>
      </c>
      <c r="AG200" s="39" t="n">
        <f aca="false">AG168+AG199</f>
        <v>-77552.43137</v>
      </c>
      <c r="AH200" s="39" t="n">
        <f aca="false">AH168+AH199</f>
        <v>-77552.43137</v>
      </c>
      <c r="AI200" s="39" t="n">
        <f aca="false">AI168+AI199</f>
        <v>-87052.43137</v>
      </c>
      <c r="AJ200" s="39" t="n">
        <f aca="false">AJ168+AJ199</f>
        <v>-87052.43137</v>
      </c>
      <c r="AK200" s="39" t="n">
        <f aca="false">AK168+AK199</f>
        <v>-87052.43137</v>
      </c>
      <c r="AL200" s="39" t="n">
        <f aca="false">AL168+AL199</f>
        <v>-87052.43137</v>
      </c>
      <c r="AM200" s="39" t="n">
        <f aca="false">AM168+AM199</f>
        <v>-88302.43137</v>
      </c>
      <c r="AN200" s="39" t="n">
        <f aca="false">AN168+AN199</f>
        <v>-88302.43137</v>
      </c>
      <c r="AO200" s="39" t="n">
        <f aca="false">AO168+AO199</f>
        <v>-89927.3299974</v>
      </c>
      <c r="AP200" s="39" t="n">
        <f aca="false">AP168+AP199</f>
        <v>-89927.3299974</v>
      </c>
      <c r="AQ200" s="39" t="n">
        <f aca="false">AQ168+AQ199</f>
        <v>-89927.3299974</v>
      </c>
      <c r="AR200" s="39" t="n">
        <f aca="false">AR168+AR199</f>
        <v>-93927.3299974</v>
      </c>
      <c r="AS200" s="39" t="n">
        <f aca="false">AS168+AS199</f>
        <v>-89927.3299974</v>
      </c>
      <c r="AT200" s="39" t="n">
        <f aca="false">AT168+AT199</f>
        <v>-82869.8299974</v>
      </c>
      <c r="AU200" s="39" t="n">
        <f aca="false">AU168+AU199</f>
        <v>-82869.8299974</v>
      </c>
      <c r="AV200" s="39" t="n">
        <f aca="false">AV168+AV199</f>
        <v>-82869.8299974</v>
      </c>
      <c r="AW200" s="39" t="n">
        <f aca="false">AW168+AW199</f>
        <v>-82869.8299974</v>
      </c>
      <c r="AX200" s="39" t="n">
        <f aca="false">AX168+AX199</f>
        <v>-82869.8299974</v>
      </c>
      <c r="AY200" s="39" t="n">
        <f aca="false">AY168+AY199</f>
        <v>-82869.8299974</v>
      </c>
      <c r="AZ200" s="39" t="n">
        <f aca="false">AZ168+AZ199</f>
        <v>-82869.8299974</v>
      </c>
      <c r="BA200" s="39" t="n">
        <f aca="false">BA168+BA199</f>
        <v>-84527.226597348</v>
      </c>
      <c r="BB200" s="39" t="n">
        <f aca="false">BB168+BB199</f>
        <v>-84527.226597348</v>
      </c>
      <c r="BC200" s="39" t="n">
        <f aca="false">BC168+BC199</f>
        <v>-84527.226597348</v>
      </c>
      <c r="BD200" s="39" t="n">
        <f aca="false">BD168+BD199</f>
        <v>-84527.226597348</v>
      </c>
      <c r="BE200" s="39" t="n">
        <f aca="false">BE168+BE199</f>
        <v>-84527.226597348</v>
      </c>
      <c r="BF200" s="39" t="n">
        <f aca="false">BF168+BF199</f>
        <v>-84527.226597348</v>
      </c>
      <c r="BG200" s="39" t="n">
        <f aca="false">BG168+BG199</f>
        <v>-84527.226597348</v>
      </c>
      <c r="BH200" s="39" t="n">
        <f aca="false">BH168+BH199</f>
        <v>-84527.226597348</v>
      </c>
      <c r="BI200" s="39" t="n">
        <f aca="false">BI168+BI199</f>
        <v>-84527.226597348</v>
      </c>
      <c r="BJ200" s="39" t="n">
        <f aca="false">BJ168+BJ199</f>
        <v>-84527.226597348</v>
      </c>
      <c r="BK200" s="39" t="n">
        <f aca="false">BK168+BK199</f>
        <v>-84527.226597348</v>
      </c>
      <c r="BL200" s="39" t="n">
        <f aca="false">BL168+BL199</f>
        <v>-84527.226597348</v>
      </c>
      <c r="BM200" s="39" t="n">
        <f aca="false">BM168+BM199</f>
        <v>-86217.771129295</v>
      </c>
      <c r="BN200" s="39" t="n">
        <f aca="false">BN168+BN199</f>
        <v>-86217.771129295</v>
      </c>
      <c r="BO200" s="39" t="n">
        <f aca="false">BO168+BO199</f>
        <v>-86217.771129295</v>
      </c>
      <c r="BP200" s="39" t="n">
        <f aca="false">BP168+BP199</f>
        <v>-86217.771129295</v>
      </c>
      <c r="BQ200" s="39" t="n">
        <f aca="false">BQ168+BQ199</f>
        <v>-86217.771129295</v>
      </c>
      <c r="BR200" s="39" t="n">
        <f aca="false">BR168+BR199</f>
        <v>-32967.421129295</v>
      </c>
      <c r="BS200" s="39" t="n">
        <f aca="false">BS168+BS199</f>
        <v>-86217.771129295</v>
      </c>
      <c r="BT200" s="39" t="n">
        <f aca="false">BT168+BT199</f>
        <v>-86217.771129295</v>
      </c>
      <c r="BU200" s="39" t="n">
        <f aca="false">BU168+BU199</f>
        <v>-18455.771129295</v>
      </c>
      <c r="BV200" s="39" t="n">
        <f aca="false">BV168+BV199</f>
        <v>-86217.771129295</v>
      </c>
      <c r="BW200" s="39" t="n">
        <f aca="false">BW168+BW199</f>
        <v>-86217.771129295</v>
      </c>
      <c r="BX200" s="39" t="n">
        <f aca="false">BX168+BX199</f>
        <v>-18455.771129295</v>
      </c>
      <c r="BY200" s="39" t="n">
        <f aca="false">BY168+BY199</f>
        <v>-87942.1265518809</v>
      </c>
      <c r="BZ200" s="39" t="n">
        <f aca="false">BZ168+BZ199</f>
        <v>-87942.1265518809</v>
      </c>
      <c r="CA200" s="39" t="n">
        <f aca="false">CA168+CA199</f>
        <v>-20180.1265518809</v>
      </c>
      <c r="CB200" s="39" t="n">
        <f aca="false">CB168+CB199</f>
        <v>-87942.1265518809</v>
      </c>
      <c r="CC200" s="39" t="n">
        <f aca="false">CC168+CC199</f>
        <v>-87942.1265518809</v>
      </c>
      <c r="CD200" s="39" t="n">
        <f aca="false">CD168+CD199</f>
        <v>-11443.1265518809</v>
      </c>
      <c r="CE200" s="39" t="n">
        <f aca="false">CE168+CE199</f>
        <v>-87942.1265518809</v>
      </c>
      <c r="CF200" s="39" t="n">
        <f aca="false">CF168+CF199</f>
        <v>-87942.1265518809</v>
      </c>
      <c r="CG200" s="39" t="n">
        <f aca="false">CG168+CG199</f>
        <v>-11443.1265518809</v>
      </c>
      <c r="CH200" s="39" t="n">
        <f aca="false">CH168+CH199</f>
        <v>-87942.1265518809</v>
      </c>
      <c r="CI200" s="39" t="n">
        <f aca="false">CI168+CI199</f>
        <v>-87942.1265518809</v>
      </c>
      <c r="CJ200" s="39" t="n">
        <f aca="false">CJ168+CJ199</f>
        <v>-4835.09994540163</v>
      </c>
      <c r="CK200" s="39" t="n">
        <f aca="false">CK168+CK199</f>
        <v>68160.0309170815</v>
      </c>
      <c r="CL200" s="39" t="n">
        <f aca="false">CL168+CL199</f>
        <v>68160.0309170815</v>
      </c>
      <c r="CM200" s="39" t="n">
        <f aca="false">CM168+CM199</f>
        <v>68160.0309170815</v>
      </c>
      <c r="CN200" s="39" t="n">
        <f aca="false">CN168+CN199</f>
        <v>68160.0309170815</v>
      </c>
      <c r="CO200" s="39" t="n">
        <f aca="false">CO168+CO199</f>
        <v>68160.0309170815</v>
      </c>
      <c r="CP200" s="39" t="n">
        <f aca="false">CP168+CP199</f>
        <v>68160.0309170815</v>
      </c>
      <c r="CQ200" s="39" t="n">
        <f aca="false">CQ168+CQ199</f>
        <v>68160.0309170815</v>
      </c>
      <c r="CR200" s="39" t="n">
        <f aca="false">CR168+CR199</f>
        <v>68160.0309170815</v>
      </c>
      <c r="CS200" s="39" t="n">
        <f aca="false">CS168+CS199</f>
        <v>68160.0309170815</v>
      </c>
      <c r="CT200" s="39" t="n">
        <f aca="false">CT168+CT199</f>
        <v>70068.524291978</v>
      </c>
      <c r="CU200" s="39" t="n">
        <f aca="false">CU168+CU199</f>
        <v>70068.524291978</v>
      </c>
      <c r="CV200" s="39" t="n">
        <f aca="false">CV168+CV199</f>
        <v>70068.524291978</v>
      </c>
      <c r="CW200" s="39" t="n">
        <f aca="false">CW168+CW199</f>
        <v>124020.82584141</v>
      </c>
      <c r="CX200" s="39" t="n">
        <f aca="false">CX168+CX199</f>
        <v>141467.674777818</v>
      </c>
      <c r="CY200" s="39" t="n">
        <f aca="false">CY168+CY199</f>
        <v>141467.674777818</v>
      </c>
      <c r="CZ200" s="39" t="n">
        <f aca="false">CZ168+CZ199</f>
        <v>141467.674777818</v>
      </c>
      <c r="DA200" s="39" t="n">
        <f aca="false">DA168+DA199</f>
        <v>141467.674777818</v>
      </c>
      <c r="DB200" s="39" t="n">
        <f aca="false">DB168+DB199</f>
        <v>141467.674777818</v>
      </c>
      <c r="DC200" s="39" t="n">
        <f aca="false">DC168+DC199</f>
        <v>141467.674777818</v>
      </c>
      <c r="DD200" s="39" t="n">
        <f aca="false">DD168+DD199</f>
        <v>141467.674777818</v>
      </c>
      <c r="DE200" s="39" t="n">
        <f aca="false">DE168+DE199</f>
        <v>141467.674777818</v>
      </c>
    </row>
    <row r="201" customFormat="false" ht="15" hidden="false" customHeight="true" outlineLevel="0" collapsed="false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0" t="s">
        <v>134</v>
      </c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</row>
    <row r="203" customFormat="false" ht="15" hidden="false" customHeight="true" outlineLevel="0" collapsed="false">
      <c r="A203" s="42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813957.392993311</v>
      </c>
      <c r="L203" s="13" t="n">
        <f aca="false">L107</f>
        <v>790051.039193256</v>
      </c>
      <c r="M203" s="13" t="n">
        <f aca="false">M107</f>
        <v>701941.532727534</v>
      </c>
      <c r="N203" s="13" t="n">
        <f aca="false">N107</f>
        <v>679991.466952449</v>
      </c>
      <c r="O203" s="13" t="n">
        <f aca="false">O107</f>
        <v>654394.792434705</v>
      </c>
      <c r="P203" s="13" t="n">
        <f aca="false">P107</f>
        <v>626468.167792499</v>
      </c>
      <c r="Q203" s="13" t="n">
        <f aca="false">Q107</f>
        <v>70143.586751235</v>
      </c>
      <c r="R203" s="13" t="n">
        <f aca="false">R107</f>
        <v>901729.133513049</v>
      </c>
      <c r="S203" s="13" t="n">
        <f aca="false">S107</f>
        <v>985308.956128146</v>
      </c>
      <c r="T203" s="13" t="n">
        <f aca="false">T107</f>
        <v>910173.817627836</v>
      </c>
      <c r="U203" s="13" t="n">
        <f aca="false">U107</f>
        <v>857615.482547276</v>
      </c>
      <c r="V203" s="13" t="n">
        <f aca="false">V107</f>
        <v>854832.58188964</v>
      </c>
      <c r="W203" s="13" t="n">
        <f aca="false">W107</f>
        <v>852247.188093135</v>
      </c>
      <c r="X203" s="13" t="n">
        <f aca="false">X107</f>
        <v>841267.545668109</v>
      </c>
      <c r="Y203" s="13" t="n">
        <f aca="false">Y107</f>
        <v>841267.54566811</v>
      </c>
      <c r="Z203" s="13" t="n">
        <f aca="false">Z107</f>
        <v>841267.54566811</v>
      </c>
      <c r="AA203" s="13" t="n">
        <f aca="false">AA107</f>
        <v>919484.230289888</v>
      </c>
      <c r="AB203" s="13" t="n">
        <f aca="false">AB107</f>
        <v>763050.861046333</v>
      </c>
      <c r="AC203" s="13" t="n">
        <f aca="false">AC107</f>
        <v>763050.861046333</v>
      </c>
      <c r="AD203" s="13" t="n">
        <f aca="false">AD107</f>
        <v>763050.861046332</v>
      </c>
      <c r="AE203" s="13" t="n">
        <f aca="false">AE107</f>
        <v>197004.441914879</v>
      </c>
      <c r="AF203" s="13" t="n">
        <f aca="false">AF107</f>
        <v>920710.501914879</v>
      </c>
      <c r="AG203" s="13" t="n">
        <f aca="false">AG107</f>
        <v>1048706.63148263</v>
      </c>
      <c r="AH203" s="13" t="n">
        <f aca="false">AH107</f>
        <v>819380.232673744</v>
      </c>
      <c r="AI203" s="13" t="n">
        <f aca="false">AI107</f>
        <v>911575.750766994</v>
      </c>
      <c r="AJ203" s="13" t="n">
        <f aca="false">AJ107</f>
        <v>795310.279457244</v>
      </c>
      <c r="AK203" s="13" t="n">
        <f aca="false">AK107</f>
        <v>770076.319837694</v>
      </c>
      <c r="AL203" s="13" t="n">
        <f aca="false">AL107</f>
        <v>891949.560586684</v>
      </c>
      <c r="AM203" s="13" t="n">
        <f aca="false">AM107</f>
        <v>330233.844925764</v>
      </c>
      <c r="AN203" s="13" t="n">
        <f aca="false">AN107</f>
        <v>330233.844925764</v>
      </c>
      <c r="AO203" s="13" t="n">
        <f aca="false">AO107</f>
        <v>330233.844925763</v>
      </c>
      <c r="AP203" s="13" t="n">
        <f aca="false">AP107</f>
        <v>330233.844925763</v>
      </c>
      <c r="AQ203" s="13" t="n">
        <f aca="false">AQ107</f>
        <v>330233.844925763</v>
      </c>
      <c r="AR203" s="13" t="n">
        <f aca="false">AR107</f>
        <v>330233.844925764</v>
      </c>
      <c r="AS203" s="13" t="n">
        <f aca="false">AS107</f>
        <v>330233.844925763</v>
      </c>
      <c r="AT203" s="13" t="n">
        <f aca="false">AT107</f>
        <v>602719.430279263</v>
      </c>
      <c r="AU203" s="13" t="n">
        <f aca="false">AU107</f>
        <v>157659.640868547</v>
      </c>
      <c r="AV203" s="13" t="n">
        <f aca="false">AV107</f>
        <v>157659.640868547</v>
      </c>
      <c r="AW203" s="13" t="n">
        <f aca="false">AW107</f>
        <v>157659.640868547</v>
      </c>
      <c r="AX203" s="13" t="n">
        <f aca="false">AX107</f>
        <v>157659.640868547</v>
      </c>
      <c r="AY203" s="13" t="n">
        <f aca="false">AY107</f>
        <v>157659.640868547</v>
      </c>
      <c r="AZ203" s="13" t="n">
        <f aca="false">AZ107</f>
        <v>157659.640868547</v>
      </c>
      <c r="BA203" s="13" t="n">
        <f aca="false">BA107</f>
        <v>157659.640868547</v>
      </c>
      <c r="BB203" s="13" t="n">
        <f aca="false">BB107</f>
        <v>157659.640868547</v>
      </c>
      <c r="BC203" s="13" t="n">
        <f aca="false">BC107</f>
        <v>157659.640868547</v>
      </c>
      <c r="BD203" s="13" t="n">
        <f aca="false">BD107</f>
        <v>157659.640868547</v>
      </c>
      <c r="BE203" s="13" t="n">
        <f aca="false">BE107</f>
        <v>157659.640868547</v>
      </c>
      <c r="BF203" s="13" t="n">
        <f aca="false">BF107</f>
        <v>157659.640868547</v>
      </c>
      <c r="BG203" s="13" t="n">
        <f aca="false">BG107</f>
        <v>157659.640868547</v>
      </c>
      <c r="BH203" s="13" t="n">
        <f aca="false">BH107</f>
        <v>406595.915924147</v>
      </c>
      <c r="BI203" s="13" t="n">
        <f aca="false">BI107</f>
        <v>0</v>
      </c>
      <c r="BJ203" s="13" t="n">
        <f aca="false">BJ107</f>
        <v>0</v>
      </c>
      <c r="BK203" s="13" t="n">
        <f aca="false">BK107</f>
        <v>0</v>
      </c>
      <c r="BL203" s="13" t="n">
        <f aca="false">BL107</f>
        <v>0</v>
      </c>
      <c r="BM203" s="13" t="n">
        <f aca="false">BM107</f>
        <v>0</v>
      </c>
      <c r="BN203" s="13" t="n">
        <f aca="false">BN107</f>
        <v>0</v>
      </c>
      <c r="BO203" s="13" t="n">
        <f aca="false">BO107</f>
        <v>0</v>
      </c>
      <c r="BP203" s="13" t="n">
        <f aca="false">BP107</f>
        <v>0</v>
      </c>
      <c r="BQ203" s="13" t="n">
        <f aca="false">BQ107</f>
        <v>0</v>
      </c>
      <c r="BR203" s="13" t="n">
        <f aca="false">BR107</f>
        <v>0</v>
      </c>
      <c r="BS203" s="13" t="n">
        <f aca="false">BS107</f>
        <v>0</v>
      </c>
      <c r="BT203" s="13" t="n">
        <f aca="false">BT107</f>
        <v>0</v>
      </c>
      <c r="BU203" s="13" t="n">
        <f aca="false">BU107</f>
        <v>0</v>
      </c>
      <c r="BV203" s="13" t="n">
        <f aca="false">BV107</f>
        <v>0</v>
      </c>
      <c r="BW203" s="13" t="n">
        <f aca="false">BW107</f>
        <v>0</v>
      </c>
      <c r="BX203" s="13" t="n">
        <f aca="false">BX107</f>
        <v>0</v>
      </c>
      <c r="BY203" s="13" t="n">
        <f aca="false">BY107</f>
        <v>0</v>
      </c>
      <c r="BZ203" s="13" t="n">
        <f aca="false">BZ107</f>
        <v>0</v>
      </c>
      <c r="CA203" s="13" t="n">
        <f aca="false">CA107</f>
        <v>0</v>
      </c>
      <c r="CB203" s="13" t="n">
        <f aca="false">CB107</f>
        <v>0</v>
      </c>
      <c r="CC203" s="13" t="n">
        <f aca="false">CC107</f>
        <v>0</v>
      </c>
      <c r="CD203" s="13" t="n">
        <f aca="false">CD107</f>
        <v>0</v>
      </c>
      <c r="CE203" s="13" t="n">
        <f aca="false">CE107</f>
        <v>0</v>
      </c>
      <c r="CF203" s="13" t="n">
        <f aca="false">CF107</f>
        <v>0</v>
      </c>
      <c r="CG203" s="13" t="n">
        <f aca="false">CG107</f>
        <v>0</v>
      </c>
      <c r="CH203" s="13" t="n">
        <f aca="false">CH107</f>
        <v>0</v>
      </c>
      <c r="CI203" s="13" t="n">
        <f aca="false">CI107</f>
        <v>0</v>
      </c>
      <c r="CJ203" s="13" t="n">
        <f aca="false">CJ107</f>
        <v>0</v>
      </c>
      <c r="CK203" s="13" t="n">
        <f aca="false">CK107</f>
        <v>0</v>
      </c>
      <c r="CL203" s="13" t="n">
        <f aca="false">CL107</f>
        <v>0</v>
      </c>
      <c r="CM203" s="13" t="n">
        <f aca="false">CM107</f>
        <v>0</v>
      </c>
      <c r="CN203" s="13" t="n">
        <f aca="false">CN107</f>
        <v>0</v>
      </c>
      <c r="CO203" s="13" t="n">
        <f aca="false">CO107</f>
        <v>0</v>
      </c>
      <c r="CP203" s="13" t="n">
        <f aca="false">CP107</f>
        <v>0</v>
      </c>
      <c r="CQ203" s="13" t="n">
        <f aca="false">CQ107</f>
        <v>0</v>
      </c>
      <c r="CR203" s="13" t="n">
        <f aca="false">CR107</f>
        <v>0</v>
      </c>
      <c r="CS203" s="13" t="n">
        <f aca="false">CS107</f>
        <v>0</v>
      </c>
      <c r="CT203" s="13" t="n">
        <f aca="false">CT107</f>
        <v>0</v>
      </c>
      <c r="CU203" s="13" t="n">
        <f aca="false">CU107</f>
        <v>0</v>
      </c>
      <c r="CV203" s="13" t="n">
        <f aca="false">CV107</f>
        <v>0</v>
      </c>
      <c r="CW203" s="13" t="n">
        <f aca="false">CW107</f>
        <v>0</v>
      </c>
      <c r="CX203" s="13" t="n">
        <f aca="false">CX107</f>
        <v>0</v>
      </c>
      <c r="CY203" s="13" t="n">
        <f aca="false">CY107</f>
        <v>0</v>
      </c>
      <c r="CZ203" s="13" t="n">
        <f aca="false">CZ107</f>
        <v>0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2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64302.8928571429</v>
      </c>
      <c r="O204" s="13" t="n">
        <f aca="false">O168</f>
        <v>51445.75</v>
      </c>
      <c r="P204" s="13" t="n">
        <f aca="false">P168</f>
        <v>52695.75</v>
      </c>
      <c r="Q204" s="13" t="n">
        <f aca="false">Q168</f>
        <v>52695.75</v>
      </c>
      <c r="R204" s="13" t="n">
        <f aca="false">R168</f>
        <v>52695.75</v>
      </c>
      <c r="S204" s="13" t="n">
        <f aca="false">S168</f>
        <v>52695.75</v>
      </c>
      <c r="T204" s="13" t="n">
        <f aca="false">T168</f>
        <v>24789.5</v>
      </c>
      <c r="U204" s="13" t="n">
        <f aca="false">U168</f>
        <v>28789.5</v>
      </c>
      <c r="V204" s="13" t="n">
        <f aca="false">V168</f>
        <v>28789.5</v>
      </c>
      <c r="W204" s="13" t="n">
        <f aca="false">W168</f>
        <v>28789.5</v>
      </c>
      <c r="X204" s="13" t="n">
        <f aca="false">X168</f>
        <v>27442.5</v>
      </c>
      <c r="Y204" s="13" t="n">
        <f aca="false">Y168</f>
        <v>142192.5</v>
      </c>
      <c r="Z204" s="13" t="n">
        <f aca="false">Z168</f>
        <v>2442.5</v>
      </c>
      <c r="AA204" s="13" t="n">
        <f aca="false">AA168</f>
        <v>2442.5</v>
      </c>
      <c r="AB204" s="13" t="n">
        <f aca="false">AB168</f>
        <v>59817.5</v>
      </c>
      <c r="AC204" s="13" t="n">
        <f aca="false">AC168</f>
        <v>3692.5</v>
      </c>
      <c r="AD204" s="13" t="n">
        <f aca="false">AD168</f>
        <v>3692.5</v>
      </c>
      <c r="AE204" s="13" t="n">
        <f aca="false">AE168</f>
        <v>61067.5</v>
      </c>
      <c r="AF204" s="13" t="n">
        <f aca="false">AF168</f>
        <v>-307.5</v>
      </c>
      <c r="AG204" s="13" t="n">
        <f aca="false">AG168</f>
        <v>3692.5</v>
      </c>
      <c r="AH204" s="13" t="n">
        <f aca="false">AH168</f>
        <v>3692.5</v>
      </c>
      <c r="AI204" s="13" t="n">
        <f aca="false">AI168</f>
        <v>-5807.5</v>
      </c>
      <c r="AJ204" s="13" t="n">
        <f aca="false">AJ168</f>
        <v>-5807.5</v>
      </c>
      <c r="AK204" s="13" t="n">
        <f aca="false">AK168</f>
        <v>-5807.5</v>
      </c>
      <c r="AL204" s="13" t="n">
        <f aca="false">AL168</f>
        <v>-5807.5</v>
      </c>
      <c r="AM204" s="13" t="n">
        <f aca="false">AM168</f>
        <v>-7057.5</v>
      </c>
      <c r="AN204" s="13" t="n">
        <f aca="false">AN168</f>
        <v>-7057.5</v>
      </c>
      <c r="AO204" s="13" t="n">
        <f aca="false">AO168</f>
        <v>-7057.5</v>
      </c>
      <c r="AP204" s="13" t="n">
        <f aca="false">AP168</f>
        <v>-7057.5</v>
      </c>
      <c r="AQ204" s="13" t="n">
        <f aca="false">AQ168</f>
        <v>-7057.5</v>
      </c>
      <c r="AR204" s="13" t="n">
        <f aca="false">AR168</f>
        <v>-11057.5</v>
      </c>
      <c r="AS204" s="13" t="n">
        <f aca="false">AS168</f>
        <v>-7057.5</v>
      </c>
      <c r="AT204" s="13" t="n">
        <f aca="false">AT168</f>
        <v>81683</v>
      </c>
      <c r="AU204" s="13" t="n">
        <f aca="false">AU168</f>
        <v>0</v>
      </c>
      <c r="AV204" s="13" t="n">
        <f aca="false">AV168</f>
        <v>0</v>
      </c>
      <c r="AW204" s="13" t="n">
        <f aca="false">AW168</f>
        <v>81682</v>
      </c>
      <c r="AX204" s="13" t="n">
        <f aca="false">AX168</f>
        <v>0</v>
      </c>
      <c r="AY204" s="13" t="n">
        <f aca="false">AY168</f>
        <v>0</v>
      </c>
      <c r="AZ204" s="13" t="n">
        <f aca="false">AZ168</f>
        <v>81682</v>
      </c>
      <c r="BA204" s="13" t="n">
        <f aca="false">BA168</f>
        <v>0</v>
      </c>
      <c r="BB204" s="13" t="n">
        <f aca="false">BB168</f>
        <v>0</v>
      </c>
      <c r="BC204" s="13" t="n">
        <f aca="false">BC168</f>
        <v>933521</v>
      </c>
      <c r="BD204" s="13" t="n">
        <f aca="false">BD168</f>
        <v>0</v>
      </c>
      <c r="BE204" s="13" t="n">
        <f aca="false">BE168</f>
        <v>0</v>
      </c>
      <c r="BF204" s="13" t="n">
        <f aca="false">BF168</f>
        <v>130878</v>
      </c>
      <c r="BG204" s="13" t="n">
        <f aca="false">BG168</f>
        <v>0</v>
      </c>
      <c r="BH204" s="13" t="n">
        <f aca="false">BH168</f>
        <v>0</v>
      </c>
      <c r="BI204" s="13" t="n">
        <f aca="false">BI168</f>
        <v>130876</v>
      </c>
      <c r="BJ204" s="13" t="n">
        <f aca="false">BJ168</f>
        <v>0</v>
      </c>
      <c r="BK204" s="13" t="n">
        <f aca="false">BK168</f>
        <v>0</v>
      </c>
      <c r="BL204" s="13" t="n">
        <f aca="false">BL168</f>
        <v>130876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3" t="s">
        <v>135</v>
      </c>
      <c r="B205" s="32" t="n">
        <f aca="false">B203+B204</f>
        <v>252871.44</v>
      </c>
      <c r="C205" s="32" t="n">
        <f aca="false">C203+C204</f>
        <v>-16886.19</v>
      </c>
      <c r="D205" s="32" t="n">
        <f aca="false">D203+D204</f>
        <v>628299.1</v>
      </c>
      <c r="E205" s="32" t="n">
        <f aca="false">E203+E204</f>
        <v>490972.830000001</v>
      </c>
      <c r="F205" s="32" t="n">
        <f aca="false">F203+F204</f>
        <v>517401.28</v>
      </c>
      <c r="G205" s="32" t="n">
        <f aca="false">G203+G204</f>
        <v>994259.71</v>
      </c>
      <c r="H205" s="32" t="n">
        <f aca="false">H203+H204</f>
        <v>499249.762440447</v>
      </c>
      <c r="I205" s="32" t="n">
        <f aca="false">I203+I204</f>
        <v>833276.581022445</v>
      </c>
      <c r="J205" s="32" t="n">
        <f aca="false">J203+J204</f>
        <v>515742.052576357</v>
      </c>
      <c r="K205" s="32" t="n">
        <f aca="false">K203+K204</f>
        <v>869510.285850453</v>
      </c>
      <c r="L205" s="32" t="n">
        <f aca="false">L203+L204</f>
        <v>836228.932050399</v>
      </c>
      <c r="M205" s="32" t="n">
        <f aca="false">M203+M204</f>
        <v>745369.425584677</v>
      </c>
      <c r="N205" s="32" t="n">
        <f aca="false">N203+N204</f>
        <v>744294.359809592</v>
      </c>
      <c r="O205" s="32" t="n">
        <f aca="false">O203+O204</f>
        <v>705840.542434705</v>
      </c>
      <c r="P205" s="32" t="n">
        <f aca="false">P203+P204</f>
        <v>679163.917792499</v>
      </c>
      <c r="Q205" s="32" t="n">
        <f aca="false">Q203+Q204</f>
        <v>122839.336751235</v>
      </c>
      <c r="R205" s="32" t="n">
        <f aca="false">R203+R204</f>
        <v>954424.883513049</v>
      </c>
      <c r="S205" s="32" t="n">
        <f aca="false">S203+S204</f>
        <v>1038004.70612815</v>
      </c>
      <c r="T205" s="32" t="n">
        <f aca="false">T203+T204</f>
        <v>934963.317627836</v>
      </c>
      <c r="U205" s="32" t="n">
        <f aca="false">U203+U204</f>
        <v>886404.982547276</v>
      </c>
      <c r="V205" s="32" t="n">
        <f aca="false">V203+V204</f>
        <v>883622.08188964</v>
      </c>
      <c r="W205" s="32" t="n">
        <f aca="false">W203+W204</f>
        <v>881036.688093135</v>
      </c>
      <c r="X205" s="32" t="n">
        <f aca="false">X203+X204</f>
        <v>868710.045668109</v>
      </c>
      <c r="Y205" s="32" t="n">
        <f aca="false">Y203+Y204</f>
        <v>983460.04566811</v>
      </c>
      <c r="Z205" s="32" t="n">
        <f aca="false">Z203+Z204</f>
        <v>843710.04566811</v>
      </c>
      <c r="AA205" s="32" t="n">
        <f aca="false">AA203+AA204</f>
        <v>921926.730289888</v>
      </c>
      <c r="AB205" s="32" t="n">
        <f aca="false">AB203+AB204</f>
        <v>822868.361046333</v>
      </c>
      <c r="AC205" s="32" t="n">
        <f aca="false">AC203+AC204</f>
        <v>766743.361046333</v>
      </c>
      <c r="AD205" s="32" t="n">
        <f aca="false">AD203+AD204</f>
        <v>766743.361046332</v>
      </c>
      <c r="AE205" s="32" t="n">
        <f aca="false">AE203+AE204</f>
        <v>258071.941914879</v>
      </c>
      <c r="AF205" s="32" t="n">
        <f aca="false">AF203+AF204</f>
        <v>920403.001914879</v>
      </c>
      <c r="AG205" s="32" t="n">
        <f aca="false">AG203+AG204</f>
        <v>1052399.13148263</v>
      </c>
      <c r="AH205" s="32" t="n">
        <f aca="false">AH203+AH204</f>
        <v>823072.732673744</v>
      </c>
      <c r="AI205" s="32" t="n">
        <f aca="false">AI203+AI204</f>
        <v>905768.250766994</v>
      </c>
      <c r="AJ205" s="32" t="n">
        <f aca="false">AJ203+AJ204</f>
        <v>789502.779457244</v>
      </c>
      <c r="AK205" s="32" t="n">
        <f aca="false">AK203+AK204</f>
        <v>764268.819837694</v>
      </c>
      <c r="AL205" s="32" t="n">
        <f aca="false">AL203+AL204</f>
        <v>886142.060586684</v>
      </c>
      <c r="AM205" s="32" t="n">
        <f aca="false">AM203+AM204</f>
        <v>323176.344925764</v>
      </c>
      <c r="AN205" s="32" t="n">
        <f aca="false">AN203+AN204</f>
        <v>323176.344925764</v>
      </c>
      <c r="AO205" s="32" t="n">
        <f aca="false">AO203+AO204</f>
        <v>323176.344925763</v>
      </c>
      <c r="AP205" s="32" t="n">
        <f aca="false">AP203+AP204</f>
        <v>323176.344925763</v>
      </c>
      <c r="AQ205" s="32" t="n">
        <f aca="false">AQ203+AQ204</f>
        <v>323176.344925763</v>
      </c>
      <c r="AR205" s="32" t="n">
        <f aca="false">AR203+AR204</f>
        <v>319176.344925764</v>
      </c>
      <c r="AS205" s="32" t="n">
        <f aca="false">AS203+AS204</f>
        <v>323176.344925763</v>
      </c>
      <c r="AT205" s="32" t="n">
        <f aca="false">AT203+AT204</f>
        <v>684402.430279263</v>
      </c>
      <c r="AU205" s="32" t="n">
        <f aca="false">AU203+AU204</f>
        <v>157659.640868547</v>
      </c>
      <c r="AV205" s="32" t="n">
        <f aca="false">AV203+AV204</f>
        <v>157659.640868547</v>
      </c>
      <c r="AW205" s="32" t="n">
        <f aca="false">AW203+AW204</f>
        <v>239341.640868547</v>
      </c>
      <c r="AX205" s="32" t="n">
        <f aca="false">AX203+AX204</f>
        <v>157659.640868547</v>
      </c>
      <c r="AY205" s="32" t="n">
        <f aca="false">AY203+AY204</f>
        <v>157659.640868547</v>
      </c>
      <c r="AZ205" s="32" t="n">
        <f aca="false">AZ203+AZ204</f>
        <v>239341.640868547</v>
      </c>
      <c r="BA205" s="32" t="n">
        <f aca="false">BA203+BA204</f>
        <v>157659.640868547</v>
      </c>
      <c r="BB205" s="32" t="n">
        <f aca="false">BB203+BB204</f>
        <v>157659.640868547</v>
      </c>
      <c r="BC205" s="32" t="n">
        <f aca="false">BC203+BC204</f>
        <v>1091180.64086855</v>
      </c>
      <c r="BD205" s="32" t="n">
        <f aca="false">BD203+BD204</f>
        <v>157659.640868547</v>
      </c>
      <c r="BE205" s="32" t="n">
        <f aca="false">BE203+BE204</f>
        <v>157659.640868547</v>
      </c>
      <c r="BF205" s="32" t="n">
        <f aca="false">BF203+BF204</f>
        <v>288537.640868547</v>
      </c>
      <c r="BG205" s="32" t="n">
        <f aca="false">BG203+BG204</f>
        <v>157659.640868547</v>
      </c>
      <c r="BH205" s="32" t="n">
        <f aca="false">BH203+BH204</f>
        <v>406595.915924147</v>
      </c>
      <c r="BI205" s="32" t="n">
        <f aca="false">BI203+BI204</f>
        <v>130876</v>
      </c>
      <c r="BJ205" s="32" t="n">
        <f aca="false">BJ203+BJ204</f>
        <v>0</v>
      </c>
      <c r="BK205" s="32" t="n">
        <f aca="false">BK203+BK204</f>
        <v>0</v>
      </c>
      <c r="BL205" s="32" t="n">
        <f aca="false">BL203+BL204</f>
        <v>130876</v>
      </c>
      <c r="BM205" s="32" t="n">
        <f aca="false">BM203+BM204</f>
        <v>0</v>
      </c>
      <c r="BN205" s="32" t="n">
        <f aca="false">BN203+BN204</f>
        <v>0</v>
      </c>
      <c r="BO205" s="32" t="n">
        <f aca="false">BO203+BO204</f>
        <v>130876</v>
      </c>
      <c r="BP205" s="32" t="n">
        <f aca="false">BP203+BP204</f>
        <v>0</v>
      </c>
      <c r="BQ205" s="32" t="n">
        <f aca="false">BQ203+BQ204</f>
        <v>0</v>
      </c>
      <c r="BR205" s="32" t="n">
        <f aca="false">BR203+BR204</f>
        <v>142406</v>
      </c>
      <c r="BS205" s="32" t="n">
        <f aca="false">BS203+BS204</f>
        <v>0</v>
      </c>
      <c r="BT205" s="32" t="n">
        <f aca="false">BT203+BT204</f>
        <v>0</v>
      </c>
      <c r="BU205" s="32" t="n">
        <f aca="false">BU203+BU204</f>
        <v>142402</v>
      </c>
      <c r="BV205" s="32" t="n">
        <f aca="false">BV203+BV204</f>
        <v>0</v>
      </c>
      <c r="BW205" s="32" t="n">
        <f aca="false">BW203+BW204</f>
        <v>0</v>
      </c>
      <c r="BX205" s="32" t="n">
        <f aca="false">BX203+BX204</f>
        <v>142402</v>
      </c>
      <c r="BY205" s="32" t="n">
        <f aca="false">BY203+BY204</f>
        <v>0</v>
      </c>
      <c r="BZ205" s="32" t="n">
        <f aca="false">BZ203+BZ204</f>
        <v>0</v>
      </c>
      <c r="CA205" s="32" t="n">
        <f aca="false">CA203+CA204</f>
        <v>215558</v>
      </c>
      <c r="CB205" s="32" t="n">
        <f aca="false">CB203+CB204</f>
        <v>0</v>
      </c>
      <c r="CC205" s="32" t="n">
        <f aca="false">CC203+CC204</f>
        <v>0</v>
      </c>
      <c r="CD205" s="32" t="n">
        <f aca="false">CD203+CD204</f>
        <v>231017</v>
      </c>
      <c r="CE205" s="32" t="n">
        <f aca="false">CE203+CE204</f>
        <v>0</v>
      </c>
      <c r="CF205" s="32" t="n">
        <f aca="false">CF203+CF204</f>
        <v>0</v>
      </c>
      <c r="CG205" s="32" t="n">
        <f aca="false">CG203+CG204</f>
        <v>231016</v>
      </c>
      <c r="CH205" s="32" t="n">
        <f aca="false">CH203+CH204</f>
        <v>0</v>
      </c>
      <c r="CI205" s="32" t="n">
        <f aca="false">CI203+CI204</f>
        <v>0</v>
      </c>
      <c r="CJ205" s="32" t="n">
        <f aca="false">CJ203+CJ204</f>
        <v>231016</v>
      </c>
      <c r="CK205" s="32" t="n">
        <f aca="false">CK203+CK204</f>
        <v>231016</v>
      </c>
      <c r="CL205" s="32" t="n">
        <f aca="false">CL203+CL204</f>
        <v>231016</v>
      </c>
      <c r="CM205" s="32" t="n">
        <f aca="false">CM203+CM204</f>
        <v>231016</v>
      </c>
      <c r="CN205" s="32" t="n">
        <f aca="false">CN203+CN204</f>
        <v>231016</v>
      </c>
      <c r="CO205" s="32" t="n">
        <f aca="false">CO203+CO204</f>
        <v>231016</v>
      </c>
      <c r="CP205" s="32" t="n">
        <f aca="false">CP203+CP204</f>
        <v>231016</v>
      </c>
      <c r="CQ205" s="32" t="n">
        <f aca="false">CQ203+CQ204</f>
        <v>231016</v>
      </c>
      <c r="CR205" s="32" t="n">
        <f aca="false">CR203+CR204</f>
        <v>231016</v>
      </c>
      <c r="CS205" s="32" t="n">
        <f aca="false">CS203+CS204</f>
        <v>231016</v>
      </c>
      <c r="CT205" s="32" t="n">
        <f aca="false">CT203+CT204</f>
        <v>231016</v>
      </c>
      <c r="CU205" s="32" t="n">
        <f aca="false">CU203+CU204</f>
        <v>231016</v>
      </c>
      <c r="CV205" s="32" t="n">
        <f aca="false">CV203+CV204</f>
        <v>231016</v>
      </c>
      <c r="CW205" s="32" t="n">
        <f aca="false">CW203+CW204</f>
        <v>231016</v>
      </c>
      <c r="CX205" s="32" t="n">
        <f aca="false">CX203+CX204</f>
        <v>231016</v>
      </c>
      <c r="CY205" s="32" t="n">
        <f aca="false">CY203+CY204</f>
        <v>231016</v>
      </c>
      <c r="CZ205" s="32" t="n">
        <f aca="false">CZ203+CZ204</f>
        <v>231016</v>
      </c>
      <c r="DA205" s="32" t="n">
        <f aca="false">DA203+DA204</f>
        <v>231016</v>
      </c>
      <c r="DB205" s="32" t="n">
        <f aca="false">DB203+DB204</f>
        <v>231016</v>
      </c>
      <c r="DC205" s="32" t="n">
        <f aca="false">DC203+DC204</f>
        <v>231016</v>
      </c>
      <c r="DD205" s="32" t="n">
        <f aca="false">DD203+DD204</f>
        <v>231016</v>
      </c>
      <c r="DE205" s="32" t="n">
        <f aca="false">DE203+DE204</f>
        <v>231016</v>
      </c>
    </row>
    <row r="206" customFormat="false" ht="15" hidden="false" customHeight="true" outlineLevel="0" collapsed="false">
      <c r="A206" s="42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-536841.198123333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-536841.198123333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-536841.198123333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-536841.198123333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-545501.355419133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-545501.355419133</v>
      </c>
      <c r="AT206" s="13" t="n">
        <f aca="false">AT144</f>
        <v>-545501.355419133</v>
      </c>
      <c r="AU206" s="13" t="n">
        <f aca="false">AU144</f>
        <v>-545501.355419133</v>
      </c>
      <c r="AV206" s="13" t="n">
        <f aca="false">AV144</f>
        <v>-545501.355419133</v>
      </c>
      <c r="AW206" s="13" t="n">
        <f aca="false">AW144</f>
        <v>-545501.355419133</v>
      </c>
      <c r="AX206" s="13" t="n">
        <f aca="false">AX144</f>
        <v>-545501.355419133</v>
      </c>
      <c r="AY206" s="13" t="n">
        <f aca="false">AY144</f>
        <v>-545501.355419133</v>
      </c>
      <c r="AZ206" s="13" t="n">
        <f aca="false">AZ144</f>
        <v>-545501.355419133</v>
      </c>
      <c r="BA206" s="13" t="n">
        <f aca="false">BA144</f>
        <v>-554334.715860849</v>
      </c>
      <c r="BB206" s="13" t="n">
        <f aca="false">BB144</f>
        <v>-554334.715860849</v>
      </c>
      <c r="BC206" s="13" t="n">
        <f aca="false">BC144</f>
        <v>-554334.715860849</v>
      </c>
      <c r="BD206" s="13" t="n">
        <f aca="false">BD144</f>
        <v>-554334.715860849</v>
      </c>
      <c r="BE206" s="13" t="n">
        <f aca="false">BE144</f>
        <v>-554334.715860849</v>
      </c>
      <c r="BF206" s="13" t="n">
        <f aca="false">BF144</f>
        <v>-554334.715860849</v>
      </c>
      <c r="BG206" s="13" t="n">
        <f aca="false">BG144</f>
        <v>-554334.715860849</v>
      </c>
      <c r="BH206" s="13" t="n">
        <f aca="false">BH144</f>
        <v>-554334.715860849</v>
      </c>
      <c r="BI206" s="13" t="n">
        <f aca="false">BI144</f>
        <v>-554334.715860849</v>
      </c>
      <c r="BJ206" s="13" t="n">
        <f aca="false">BJ144</f>
        <v>-554334.715860849</v>
      </c>
      <c r="BK206" s="13" t="n">
        <f aca="false">BK144</f>
        <v>-554334.715860849</v>
      </c>
      <c r="BL206" s="13" t="n">
        <f aca="false">BL144</f>
        <v>-554334.715860849</v>
      </c>
      <c r="BM206" s="13" t="n">
        <f aca="false">BM144</f>
        <v>-563344.7435114</v>
      </c>
      <c r="BN206" s="13" t="n">
        <f aca="false">BN144</f>
        <v>-563344.7435114</v>
      </c>
      <c r="BO206" s="13" t="n">
        <f aca="false">BO144</f>
        <v>-563344.7435114</v>
      </c>
      <c r="BP206" s="13" t="n">
        <f aca="false">BP144</f>
        <v>-563344.7435114</v>
      </c>
      <c r="BQ206" s="13" t="n">
        <f aca="false">BQ144</f>
        <v>-563344.7435114</v>
      </c>
      <c r="BR206" s="13" t="n">
        <f aca="false">BR144</f>
        <v>-563344.7435114</v>
      </c>
      <c r="BS206" s="13" t="n">
        <f aca="false">BS144</f>
        <v>-563344.7435114</v>
      </c>
      <c r="BT206" s="13" t="n">
        <f aca="false">BT144</f>
        <v>-563344.7435114</v>
      </c>
      <c r="BU206" s="13" t="n">
        <f aca="false">BU144</f>
        <v>-563344.7435114</v>
      </c>
      <c r="BV206" s="13" t="n">
        <f aca="false">BV144</f>
        <v>-563344.7435114</v>
      </c>
      <c r="BW206" s="13" t="n">
        <f aca="false">BW144</f>
        <v>-563344.7435114</v>
      </c>
      <c r="BX206" s="13" t="n">
        <f aca="false">BX144</f>
        <v>-563344.7435114</v>
      </c>
      <c r="BY206" s="13" t="n">
        <f aca="false">BY144</f>
        <v>-572534.971714961</v>
      </c>
      <c r="BZ206" s="13" t="n">
        <f aca="false">BZ144</f>
        <v>-572534.971714961</v>
      </c>
      <c r="CA206" s="13" t="n">
        <f aca="false">CA144</f>
        <v>-572534.971714961</v>
      </c>
      <c r="CB206" s="13" t="n">
        <f aca="false">CB144</f>
        <v>-572534.971714961</v>
      </c>
      <c r="CC206" s="13" t="n">
        <f aca="false">CC144</f>
        <v>-572534.971714961</v>
      </c>
      <c r="CD206" s="13" t="n">
        <f aca="false">CD144</f>
        <v>-572534.971714961</v>
      </c>
      <c r="CE206" s="13" t="n">
        <f aca="false">CE144</f>
        <v>-572534.971714961</v>
      </c>
      <c r="CF206" s="13" t="n">
        <f aca="false">CF144</f>
        <v>-572534.971714961</v>
      </c>
      <c r="CG206" s="13" t="n">
        <f aca="false">CG144</f>
        <v>-572534.971714961</v>
      </c>
      <c r="CH206" s="13" t="n">
        <f aca="false">CH144</f>
        <v>-572534.971714961</v>
      </c>
      <c r="CI206" s="13" t="n">
        <f aca="false">CI144</f>
        <v>-572534.971714961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-581909.004482593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-535229.647138948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2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-78090.0916666667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3" t="s">
        <v>136</v>
      </c>
      <c r="B208" s="32" t="n">
        <f aca="false">B206+B207</f>
        <v>-459429.22</v>
      </c>
      <c r="C208" s="32" t="n">
        <f aca="false">C206+C207</f>
        <v>-452810.54</v>
      </c>
      <c r="D208" s="32" t="n">
        <f aca="false">D206+D207</f>
        <v>-606961.84</v>
      </c>
      <c r="E208" s="32" t="n">
        <f aca="false">E206+E207</f>
        <v>-269336.28</v>
      </c>
      <c r="F208" s="32" t="n">
        <f aca="false">F206+F207</f>
        <v>-687944.37</v>
      </c>
      <c r="G208" s="32" t="n">
        <f aca="false">G206+G207</f>
        <v>-628257.013333333</v>
      </c>
      <c r="H208" s="32" t="n">
        <f aca="false">H206+H207</f>
        <v>-600179.566666667</v>
      </c>
      <c r="I208" s="32" t="n">
        <f aca="false">I206+I207</f>
        <v>-555179.566666667</v>
      </c>
      <c r="J208" s="32" t="n">
        <f aca="false">J206+J207</f>
        <v>-594446.233333333</v>
      </c>
      <c r="K208" s="32" t="n">
        <f aca="false">K206+K207</f>
        <v>-570446.233333333</v>
      </c>
      <c r="L208" s="32" t="n">
        <f aca="false">L206+L207</f>
        <v>-570446.233333333</v>
      </c>
      <c r="M208" s="32" t="n">
        <f aca="false">M206+M207</f>
        <v>-602350.4</v>
      </c>
      <c r="N208" s="32" t="n">
        <f aca="false">N206+N207</f>
        <v>-582850.4</v>
      </c>
      <c r="O208" s="32" t="n">
        <f aca="false">O206+O207</f>
        <v>-582850.4</v>
      </c>
      <c r="P208" s="32" t="n">
        <f aca="false">P206+P207</f>
        <v>-582850.4</v>
      </c>
      <c r="Q208" s="32" t="n">
        <f aca="false">Q206+Q207</f>
        <v>-632002.741333333</v>
      </c>
      <c r="R208" s="32" t="n">
        <f aca="false">R206+R207</f>
        <v>-608002.741333333</v>
      </c>
      <c r="S208" s="32" t="n">
        <f aca="false">S206+S207</f>
        <v>-608002.741333333</v>
      </c>
      <c r="T208" s="32" t="n">
        <f aca="false">T206+T207</f>
        <v>-608002.741333333</v>
      </c>
      <c r="U208" s="32" t="n">
        <f aca="false">U206+U207</f>
        <v>-608002.741333333</v>
      </c>
      <c r="V208" s="32" t="n">
        <f aca="false">V206+V207</f>
        <v>-608002.741333333</v>
      </c>
      <c r="W208" s="32" t="n">
        <f aca="false">W206+W207</f>
        <v>-608002.741333333</v>
      </c>
      <c r="X208" s="32" t="n">
        <f aca="false">X206+X207</f>
        <v>-608002.741333333</v>
      </c>
      <c r="Y208" s="32" t="n">
        <f aca="false">Y206+Y207</f>
        <v>-608002.741333333</v>
      </c>
      <c r="Z208" s="32" t="n">
        <f aca="false">Z206+Z207</f>
        <v>-608002.741333333</v>
      </c>
      <c r="AA208" s="32" t="n">
        <f aca="false">AA206+AA207</f>
        <v>-608002.741333333</v>
      </c>
      <c r="AB208" s="32" t="n">
        <f aca="false">AB206+AB207</f>
        <v>-608002.741333333</v>
      </c>
      <c r="AC208" s="32" t="n">
        <f aca="false">AC206+AC207</f>
        <v>-618086.129493333</v>
      </c>
      <c r="AD208" s="32" t="n">
        <f aca="false">AD206+AD207</f>
        <v>-618086.129493333</v>
      </c>
      <c r="AE208" s="32" t="n">
        <f aca="false">AE206+AE207</f>
        <v>-618086.129493333</v>
      </c>
      <c r="AF208" s="32" t="n">
        <f aca="false">AF206+AF207</f>
        <v>-618086.129493333</v>
      </c>
      <c r="AG208" s="32" t="n">
        <f aca="false">AG206+AG207</f>
        <v>-618086.129493333</v>
      </c>
      <c r="AH208" s="32" t="n">
        <f aca="false">AH206+AH207</f>
        <v>-618086.129493333</v>
      </c>
      <c r="AI208" s="32" t="n">
        <f aca="false">AI206+AI207</f>
        <v>-618086.129493333</v>
      </c>
      <c r="AJ208" s="32" t="n">
        <f aca="false">AJ206+AJ207</f>
        <v>-618086.129493333</v>
      </c>
      <c r="AK208" s="32" t="n">
        <f aca="false">AK206+AK207</f>
        <v>-618086.129493333</v>
      </c>
      <c r="AL208" s="32" t="n">
        <f aca="false">AL206+AL207</f>
        <v>-618086.129493333</v>
      </c>
      <c r="AM208" s="32" t="n">
        <f aca="false">AM206+AM207</f>
        <v>-618086.129493333</v>
      </c>
      <c r="AN208" s="32" t="n">
        <f aca="false">AN206+AN207</f>
        <v>-618086.129493333</v>
      </c>
      <c r="AO208" s="32" t="n">
        <f aca="false">AO206+AO207</f>
        <v>-628371.185416533</v>
      </c>
      <c r="AP208" s="32" t="n">
        <f aca="false">AP206+AP207</f>
        <v>-628371.185416533</v>
      </c>
      <c r="AQ208" s="32" t="n">
        <f aca="false">AQ206+AQ207</f>
        <v>-628371.185416533</v>
      </c>
      <c r="AR208" s="32" t="n">
        <f aca="false">AR206+AR207</f>
        <v>-628371.185416533</v>
      </c>
      <c r="AS208" s="32" t="n">
        <f aca="false">AS206+AS207</f>
        <v>-628371.185416533</v>
      </c>
      <c r="AT208" s="32" t="n">
        <f aca="false">AT206+AT207</f>
        <v>-710054.185416533</v>
      </c>
      <c r="AU208" s="32" t="n">
        <f aca="false">AU206+AU207</f>
        <v>-628371.185416533</v>
      </c>
      <c r="AV208" s="32" t="n">
        <f aca="false">AV206+AV207</f>
        <v>-628371.185416533</v>
      </c>
      <c r="AW208" s="32" t="n">
        <f aca="false">AW206+AW207</f>
        <v>-710053.185416533</v>
      </c>
      <c r="AX208" s="32" t="n">
        <f aca="false">AX206+AX207</f>
        <v>-628371.185416533</v>
      </c>
      <c r="AY208" s="32" t="n">
        <f aca="false">AY206+AY207</f>
        <v>-628371.185416533</v>
      </c>
      <c r="AZ208" s="32" t="n">
        <f aca="false">AZ206+AZ207</f>
        <v>-710053.185416533</v>
      </c>
      <c r="BA208" s="32" t="n">
        <f aca="false">BA206+BA207</f>
        <v>-638861.942458197</v>
      </c>
      <c r="BB208" s="32" t="n">
        <f aca="false">BB206+BB207</f>
        <v>-638861.942458197</v>
      </c>
      <c r="BC208" s="32" t="n">
        <f aca="false">BC206+BC207</f>
        <v>-1572382.9424582</v>
      </c>
      <c r="BD208" s="32" t="n">
        <f aca="false">BD206+BD207</f>
        <v>-638861.942458197</v>
      </c>
      <c r="BE208" s="32" t="n">
        <f aca="false">BE206+BE207</f>
        <v>-638861.942458197</v>
      </c>
      <c r="BF208" s="32" t="n">
        <f aca="false">BF206+BF207</f>
        <v>-769739.942458197</v>
      </c>
      <c r="BG208" s="32" t="n">
        <f aca="false">BG206+BG207</f>
        <v>-638861.942458197</v>
      </c>
      <c r="BH208" s="32" t="n">
        <f aca="false">BH206+BH207</f>
        <v>-638861.942458197</v>
      </c>
      <c r="BI208" s="32" t="n">
        <f aca="false">BI206+BI207</f>
        <v>-769737.942458197</v>
      </c>
      <c r="BJ208" s="32" t="n">
        <f aca="false">BJ206+BJ207</f>
        <v>-638861.942458197</v>
      </c>
      <c r="BK208" s="32" t="n">
        <f aca="false">BK206+BK207</f>
        <v>-638861.942458197</v>
      </c>
      <c r="BL208" s="32" t="n">
        <f aca="false">BL206+BL207</f>
        <v>-769737.942458197</v>
      </c>
      <c r="BM208" s="32" t="n">
        <f aca="false">BM206+BM207</f>
        <v>-649562.514640695</v>
      </c>
      <c r="BN208" s="32" t="n">
        <f aca="false">BN206+BN207</f>
        <v>-649562.514640695</v>
      </c>
      <c r="BO208" s="32" t="n">
        <f aca="false">BO206+BO207</f>
        <v>-780438.514640695</v>
      </c>
      <c r="BP208" s="32" t="n">
        <f aca="false">BP206+BP207</f>
        <v>-649562.514640695</v>
      </c>
      <c r="BQ208" s="32" t="n">
        <f aca="false">BQ206+BQ207</f>
        <v>-649562.514640695</v>
      </c>
      <c r="BR208" s="32" t="n">
        <f aca="false">BR206+BR207</f>
        <v>-738718.164640695</v>
      </c>
      <c r="BS208" s="32" t="n">
        <f aca="false">BS206+BS207</f>
        <v>-649562.514640695</v>
      </c>
      <c r="BT208" s="32" t="n">
        <f aca="false">BT206+BT207</f>
        <v>-649562.514640695</v>
      </c>
      <c r="BU208" s="32" t="n">
        <f aca="false">BU206+BU207</f>
        <v>-724202.514640695</v>
      </c>
      <c r="BV208" s="32" t="n">
        <f aca="false">BV206+BV207</f>
        <v>-649562.514640695</v>
      </c>
      <c r="BW208" s="32" t="n">
        <f aca="false">BW206+BW207</f>
        <v>-649562.514640695</v>
      </c>
      <c r="BX208" s="32" t="n">
        <f aca="false">BX206+BX207</f>
        <v>-724202.514640695</v>
      </c>
      <c r="BY208" s="32" t="n">
        <f aca="false">BY206+BY207</f>
        <v>-660477.098266842</v>
      </c>
      <c r="BZ208" s="32" t="n">
        <f aca="false">BZ206+BZ207</f>
        <v>-660477.098266842</v>
      </c>
      <c r="CA208" s="32" t="n">
        <f aca="false">CA206+CA207</f>
        <v>-808273.098266842</v>
      </c>
      <c r="CB208" s="32" t="n">
        <f aca="false">CB206+CB207</f>
        <v>-660477.098266842</v>
      </c>
      <c r="CC208" s="32" t="n">
        <f aca="false">CC206+CC207</f>
        <v>-660477.098266842</v>
      </c>
      <c r="CD208" s="32" t="n">
        <f aca="false">CD206+CD207</f>
        <v>-814995.098266842</v>
      </c>
      <c r="CE208" s="32" t="n">
        <f aca="false">CE206+CE207</f>
        <v>-660477.098266842</v>
      </c>
      <c r="CF208" s="32" t="n">
        <f aca="false">CF206+CF207</f>
        <v>-660477.098266842</v>
      </c>
      <c r="CG208" s="32" t="n">
        <f aca="false">CG206+CG207</f>
        <v>-814994.098266842</v>
      </c>
      <c r="CH208" s="32" t="n">
        <f aca="false">CH206+CH207</f>
        <v>-660477.098266842</v>
      </c>
      <c r="CI208" s="32" t="n">
        <f aca="false">CI206+CI207</f>
        <v>-660477.098266842</v>
      </c>
      <c r="CJ208" s="32" t="n">
        <f aca="false">CJ206+CJ207</f>
        <v>-808386.071660363</v>
      </c>
      <c r="CK208" s="32" t="n">
        <f aca="false">CK206+CK207</f>
        <v>-744764.973565512</v>
      </c>
      <c r="CL208" s="32" t="n">
        <f aca="false">CL206+CL207</f>
        <v>-744764.973565512</v>
      </c>
      <c r="CM208" s="32" t="n">
        <f aca="false">CM206+CM207</f>
        <v>-744764.973565512</v>
      </c>
      <c r="CN208" s="32" t="n">
        <f aca="false">CN206+CN207</f>
        <v>-744764.973565512</v>
      </c>
      <c r="CO208" s="32" t="n">
        <f aca="false">CO206+CO207</f>
        <v>-744764.973565512</v>
      </c>
      <c r="CP208" s="32" t="n">
        <f aca="false">CP206+CP207</f>
        <v>-744764.973565512</v>
      </c>
      <c r="CQ208" s="32" t="n">
        <f aca="false">CQ206+CQ207</f>
        <v>-744764.973565512</v>
      </c>
      <c r="CR208" s="32" t="n">
        <f aca="false">CR206+CR207</f>
        <v>-744764.973565512</v>
      </c>
      <c r="CS208" s="32" t="n">
        <f aca="false">CS206+CS207</f>
        <v>-744764.973565512</v>
      </c>
      <c r="CT208" s="32" t="n">
        <f aca="false">CT206+CT207</f>
        <v>-687718.37159588</v>
      </c>
      <c r="CU208" s="32" t="n">
        <f aca="false">CU206+CU207</f>
        <v>-687718.37159588</v>
      </c>
      <c r="CV208" s="32" t="n">
        <f aca="false">CV206+CV207</f>
        <v>-687718.37159588</v>
      </c>
      <c r="CW208" s="32" t="n">
        <f aca="false">CW206+CW207</f>
        <v>-642224.821297538</v>
      </c>
      <c r="CX208" s="32" t="n">
        <f aca="false">CX206+CX207</f>
        <v>-624777.972361131</v>
      </c>
      <c r="CY208" s="32" t="n">
        <f aca="false">CY206+CY207</f>
        <v>-624777.972361131</v>
      </c>
      <c r="CZ208" s="32" t="n">
        <f aca="false">CZ206+CZ207</f>
        <v>-624777.972361131</v>
      </c>
      <c r="DA208" s="32" t="n">
        <f aca="false">DA206+DA207</f>
        <v>-624777.972361131</v>
      </c>
      <c r="DB208" s="32" t="n">
        <f aca="false">DB206+DB207</f>
        <v>-624777.972361131</v>
      </c>
      <c r="DC208" s="32" t="n">
        <f aca="false">DC206+DC207</f>
        <v>-624777.972361131</v>
      </c>
      <c r="DD208" s="32" t="n">
        <f aca="false">DD206+DD207</f>
        <v>-624777.972361131</v>
      </c>
      <c r="DE208" s="32" t="n">
        <f aca="false">DE206+DE207</f>
        <v>-624777.972361131</v>
      </c>
    </row>
    <row r="209" customFormat="false" ht="19.5" hidden="false" customHeight="true" outlineLevel="0" collapsed="false">
      <c r="A209" s="44" t="s">
        <v>137</v>
      </c>
      <c r="B209" s="39" t="n">
        <f aca="false">B205+B208</f>
        <v>-206557.78</v>
      </c>
      <c r="C209" s="39" t="n">
        <f aca="false">C205+C208</f>
        <v>-469696.73</v>
      </c>
      <c r="D209" s="39" t="n">
        <f aca="false">D205+D208</f>
        <v>21337.26</v>
      </c>
      <c r="E209" s="39" t="n">
        <f aca="false">E205+E208</f>
        <v>221636.55</v>
      </c>
      <c r="F209" s="39" t="n">
        <f aca="false">F205+F208</f>
        <v>-170543.09</v>
      </c>
      <c r="G209" s="39" t="n">
        <f aca="false">G205+G208</f>
        <v>366002.696666667</v>
      </c>
      <c r="H209" s="39" t="n">
        <f aca="false">H205+H208</f>
        <v>-100929.80422622</v>
      </c>
      <c r="I209" s="39" t="n">
        <f aca="false">I205+I208</f>
        <v>278097.014355778</v>
      </c>
      <c r="J209" s="39" t="n">
        <f aca="false">J205+J208</f>
        <v>-78704.1807569764</v>
      </c>
      <c r="K209" s="39" t="n">
        <f aca="false">K205+K208</f>
        <v>299064.05251712</v>
      </c>
      <c r="L209" s="39" t="n">
        <f aca="false">L205+L208</f>
        <v>265782.698717065</v>
      </c>
      <c r="M209" s="39" t="n">
        <f aca="false">M205+M208</f>
        <v>143019.025584677</v>
      </c>
      <c r="N209" s="39" t="n">
        <f aca="false">N205+N208</f>
        <v>161443.959809592</v>
      </c>
      <c r="O209" s="39" t="n">
        <f aca="false">O205+O208</f>
        <v>122990.142434705</v>
      </c>
      <c r="P209" s="39" t="n">
        <f aca="false">P205+P208</f>
        <v>96313.517792499</v>
      </c>
      <c r="Q209" s="39" t="n">
        <f aca="false">Q205+Q208</f>
        <v>-509163.404582098</v>
      </c>
      <c r="R209" s="39" t="n">
        <f aca="false">R205+R208</f>
        <v>346422.142179716</v>
      </c>
      <c r="S209" s="39" t="n">
        <f aca="false">S205+S208</f>
        <v>430001.964794812</v>
      </c>
      <c r="T209" s="39" t="n">
        <f aca="false">T205+T208</f>
        <v>326960.576294503</v>
      </c>
      <c r="U209" s="39" t="n">
        <f aca="false">U205+U208</f>
        <v>278402.241213942</v>
      </c>
      <c r="V209" s="39" t="n">
        <f aca="false">V205+V208</f>
        <v>275619.340556306</v>
      </c>
      <c r="W209" s="39" t="n">
        <f aca="false">W205+W208</f>
        <v>273033.946759802</v>
      </c>
      <c r="X209" s="39" t="n">
        <f aca="false">X205+X208</f>
        <v>260707.304334776</v>
      </c>
      <c r="Y209" s="39" t="n">
        <f aca="false">Y205+Y208</f>
        <v>375457.304334777</v>
      </c>
      <c r="Z209" s="39" t="n">
        <f aca="false">Z205+Z208</f>
        <v>235707.304334777</v>
      </c>
      <c r="AA209" s="39" t="n">
        <f aca="false">AA205+AA208</f>
        <v>313923.988956554</v>
      </c>
      <c r="AB209" s="39" t="n">
        <f aca="false">AB205+AB208</f>
        <v>214865.619713</v>
      </c>
      <c r="AC209" s="39" t="n">
        <f aca="false">AC205+AC208</f>
        <v>148657.231553</v>
      </c>
      <c r="AD209" s="39" t="n">
        <f aca="false">AD205+AD208</f>
        <v>148657.231552999</v>
      </c>
      <c r="AE209" s="39" t="n">
        <f aca="false">AE205+AE208</f>
        <v>-360014.187578454</v>
      </c>
      <c r="AF209" s="39" t="n">
        <f aca="false">AF205+AF208</f>
        <v>302316.872421546</v>
      </c>
      <c r="AG209" s="39" t="n">
        <f aca="false">AG205+AG208</f>
        <v>434313.001989296</v>
      </c>
      <c r="AH209" s="39" t="n">
        <f aca="false">AH205+AH208</f>
        <v>204986.60318041</v>
      </c>
      <c r="AI209" s="39" t="n">
        <f aca="false">AI205+AI208</f>
        <v>287682.12127366</v>
      </c>
      <c r="AJ209" s="39" t="n">
        <f aca="false">AJ205+AJ208</f>
        <v>171416.649963911</v>
      </c>
      <c r="AK209" s="39" t="n">
        <f aca="false">AK205+AK208</f>
        <v>146182.690344361</v>
      </c>
      <c r="AL209" s="39" t="n">
        <f aca="false">AL205+AL208</f>
        <v>268055.931093351</v>
      </c>
      <c r="AM209" s="39" t="n">
        <f aca="false">AM205+AM208</f>
        <v>-294909.78456757</v>
      </c>
      <c r="AN209" s="39" t="n">
        <f aca="false">AN205+AN208</f>
        <v>-294909.78456757</v>
      </c>
      <c r="AO209" s="39" t="n">
        <f aca="false">AO205+AO208</f>
        <v>-305194.84049077</v>
      </c>
      <c r="AP209" s="39" t="n">
        <f aca="false">AP205+AP208</f>
        <v>-305194.84049077</v>
      </c>
      <c r="AQ209" s="39" t="n">
        <f aca="false">AQ205+AQ208</f>
        <v>-305194.84049077</v>
      </c>
      <c r="AR209" s="39" t="n">
        <f aca="false">AR205+AR208</f>
        <v>-309194.84049077</v>
      </c>
      <c r="AS209" s="39" t="n">
        <f aca="false">AS205+AS208</f>
        <v>-305194.84049077</v>
      </c>
      <c r="AT209" s="39" t="n">
        <f aca="false">AT205+AT208</f>
        <v>-25651.7551372703</v>
      </c>
      <c r="AU209" s="39" t="n">
        <f aca="false">AU205+AU208</f>
        <v>-470711.544547987</v>
      </c>
      <c r="AV209" s="39" t="n">
        <f aca="false">AV205+AV208</f>
        <v>-470711.544547987</v>
      </c>
      <c r="AW209" s="39" t="n">
        <f aca="false">AW205+AW208</f>
        <v>-470711.544547987</v>
      </c>
      <c r="AX209" s="39" t="n">
        <f aca="false">AX205+AX208</f>
        <v>-470711.544547987</v>
      </c>
      <c r="AY209" s="39" t="n">
        <f aca="false">AY205+AY208</f>
        <v>-470711.544547987</v>
      </c>
      <c r="AZ209" s="39" t="n">
        <f aca="false">AZ205+AZ208</f>
        <v>-470711.544547987</v>
      </c>
      <c r="BA209" s="39" t="n">
        <f aca="false">BA205+BA208</f>
        <v>-481202.301589651</v>
      </c>
      <c r="BB209" s="39" t="n">
        <f aca="false">BB205+BB208</f>
        <v>-481202.301589651</v>
      </c>
      <c r="BC209" s="39" t="n">
        <f aca="false">BC205+BC208</f>
        <v>-481202.301589651</v>
      </c>
      <c r="BD209" s="39" t="n">
        <f aca="false">BD205+BD208</f>
        <v>-481202.301589651</v>
      </c>
      <c r="BE209" s="39" t="n">
        <f aca="false">BE205+BE208</f>
        <v>-481202.301589651</v>
      </c>
      <c r="BF209" s="39" t="n">
        <f aca="false">BF205+BF208</f>
        <v>-481202.301589651</v>
      </c>
      <c r="BG209" s="39" t="n">
        <f aca="false">BG205+BG208</f>
        <v>-481202.301589651</v>
      </c>
      <c r="BH209" s="39" t="n">
        <f aca="false">BH205+BH208</f>
        <v>-232266.026534051</v>
      </c>
      <c r="BI209" s="39" t="n">
        <f aca="false">BI205+BI208</f>
        <v>-638861.942458197</v>
      </c>
      <c r="BJ209" s="39" t="n">
        <f aca="false">BJ205+BJ208</f>
        <v>-638861.942458197</v>
      </c>
      <c r="BK209" s="39" t="n">
        <f aca="false">BK205+BK208</f>
        <v>-638861.942458197</v>
      </c>
      <c r="BL209" s="39" t="n">
        <f aca="false">BL205+BL208</f>
        <v>-638861.942458197</v>
      </c>
      <c r="BM209" s="39" t="n">
        <f aca="false">BM205+BM208</f>
        <v>-649562.514640695</v>
      </c>
      <c r="BN209" s="39" t="n">
        <f aca="false">BN205+BN208</f>
        <v>-649562.514640695</v>
      </c>
      <c r="BO209" s="39" t="n">
        <f aca="false">BO205+BO208</f>
        <v>-649562.514640695</v>
      </c>
      <c r="BP209" s="39" t="n">
        <f aca="false">BP205+BP208</f>
        <v>-649562.514640695</v>
      </c>
      <c r="BQ209" s="39" t="n">
        <f aca="false">BQ205+BQ208</f>
        <v>-649562.514640695</v>
      </c>
      <c r="BR209" s="39" t="n">
        <f aca="false">BR205+BR208</f>
        <v>-596312.164640695</v>
      </c>
      <c r="BS209" s="39" t="n">
        <f aca="false">BS205+BS208</f>
        <v>-649562.514640695</v>
      </c>
      <c r="BT209" s="39" t="n">
        <f aca="false">BT205+BT208</f>
        <v>-649562.514640695</v>
      </c>
      <c r="BU209" s="39" t="n">
        <f aca="false">BU205+BU208</f>
        <v>-581800.514640695</v>
      </c>
      <c r="BV209" s="39" t="n">
        <f aca="false">BV205+BV208</f>
        <v>-649562.514640695</v>
      </c>
      <c r="BW209" s="39" t="n">
        <f aca="false">BW205+BW208</f>
        <v>-649562.514640695</v>
      </c>
      <c r="BX209" s="39" t="n">
        <f aca="false">BX205+BX208</f>
        <v>-581800.514640695</v>
      </c>
      <c r="BY209" s="39" t="n">
        <f aca="false">BY205+BY208</f>
        <v>-660477.098266842</v>
      </c>
      <c r="BZ209" s="39" t="n">
        <f aca="false">BZ205+BZ208</f>
        <v>-660477.098266842</v>
      </c>
      <c r="CA209" s="39" t="n">
        <f aca="false">CA205+CA208</f>
        <v>-592715.098266842</v>
      </c>
      <c r="CB209" s="39" t="n">
        <f aca="false">CB205+CB208</f>
        <v>-660477.098266842</v>
      </c>
      <c r="CC209" s="39" t="n">
        <f aca="false">CC205+CC208</f>
        <v>-660477.098266842</v>
      </c>
      <c r="CD209" s="39" t="n">
        <f aca="false">CD205+CD208</f>
        <v>-583978.098266842</v>
      </c>
      <c r="CE209" s="39" t="n">
        <f aca="false">CE205+CE208</f>
        <v>-660477.098266842</v>
      </c>
      <c r="CF209" s="39" t="n">
        <f aca="false">CF205+CF208</f>
        <v>-660477.098266842</v>
      </c>
      <c r="CG209" s="39" t="n">
        <f aca="false">CG205+CG208</f>
        <v>-583978.098266842</v>
      </c>
      <c r="CH209" s="39" t="n">
        <f aca="false">CH205+CH208</f>
        <v>-660477.098266842</v>
      </c>
      <c r="CI209" s="39" t="n">
        <f aca="false">CI205+CI208</f>
        <v>-660477.098266842</v>
      </c>
      <c r="CJ209" s="39" t="n">
        <f aca="false">CJ205+CJ208</f>
        <v>-577370.071660363</v>
      </c>
      <c r="CK209" s="39" t="n">
        <f aca="false">CK205+CK208</f>
        <v>-513748.973565512</v>
      </c>
      <c r="CL209" s="39" t="n">
        <f aca="false">CL205+CL208</f>
        <v>-513748.973565512</v>
      </c>
      <c r="CM209" s="39" t="n">
        <f aca="false">CM205+CM208</f>
        <v>-513748.973565512</v>
      </c>
      <c r="CN209" s="39" t="n">
        <f aca="false">CN205+CN208</f>
        <v>-513748.973565512</v>
      </c>
      <c r="CO209" s="39" t="n">
        <f aca="false">CO205+CO208</f>
        <v>-513748.973565512</v>
      </c>
      <c r="CP209" s="39" t="n">
        <f aca="false">CP205+CP208</f>
        <v>-513748.973565512</v>
      </c>
      <c r="CQ209" s="39" t="n">
        <f aca="false">CQ205+CQ208</f>
        <v>-513748.973565512</v>
      </c>
      <c r="CR209" s="39" t="n">
        <f aca="false">CR205+CR208</f>
        <v>-513748.973565512</v>
      </c>
      <c r="CS209" s="39" t="n">
        <f aca="false">CS205+CS208</f>
        <v>-513748.973565512</v>
      </c>
      <c r="CT209" s="39" t="n">
        <f aca="false">CT205+CT208</f>
        <v>-456702.37159588</v>
      </c>
      <c r="CU209" s="39" t="n">
        <f aca="false">CU205+CU208</f>
        <v>-456702.37159588</v>
      </c>
      <c r="CV209" s="39" t="n">
        <f aca="false">CV205+CV208</f>
        <v>-456702.37159588</v>
      </c>
      <c r="CW209" s="39" t="n">
        <f aca="false">CW205+CW208</f>
        <v>-411208.821297538</v>
      </c>
      <c r="CX209" s="39" t="n">
        <f aca="false">CX205+CX208</f>
        <v>-393761.972361131</v>
      </c>
      <c r="CY209" s="39" t="n">
        <f aca="false">CY205+CY208</f>
        <v>-393761.972361131</v>
      </c>
      <c r="CZ209" s="39" t="n">
        <f aca="false">CZ205+CZ208</f>
        <v>-393761.972361131</v>
      </c>
      <c r="DA209" s="39" t="n">
        <f aca="false">DA205+DA208</f>
        <v>-393761.972361131</v>
      </c>
      <c r="DB209" s="39" t="n">
        <f aca="false">DB205+DB208</f>
        <v>-393761.972361131</v>
      </c>
      <c r="DC209" s="39" t="n">
        <f aca="false">DC205+DC208</f>
        <v>-393761.972361131</v>
      </c>
      <c r="DD209" s="39" t="n">
        <f aca="false">DD205+DD208</f>
        <v>-393761.972361131</v>
      </c>
      <c r="DE209" s="39" t="n">
        <f aca="false">DE205+DE208</f>
        <v>-393761.972361131</v>
      </c>
    </row>
    <row r="210" customFormat="false" ht="19.5" hidden="false" customHeight="true" outlineLevel="0" collapsed="false">
      <c r="A210" s="45" t="s">
        <v>138</v>
      </c>
      <c r="B210" s="35" t="n">
        <f aca="false">IFERROR(IF(OR(B205&lt;=0,B209/B205&lt;0,B209/B205&gt;1),0,B209/B205),0)</f>
        <v>0</v>
      </c>
      <c r="C210" s="35" t="n">
        <f aca="false">IFERROR(IF(OR(C205&lt;=0,C209/C205&lt;0,C209/C205&gt;1),0,C209/C205),0)</f>
        <v>0</v>
      </c>
      <c r="D210" s="35" t="n">
        <f aca="false">IFERROR(IF(OR(D205&lt;=0,D209/D205&lt;0,D209/D205&gt;1),0,D209/D205),0)</f>
        <v>0.0339603542325622</v>
      </c>
      <c r="E210" s="35" t="n">
        <f aca="false">IFERROR(IF(OR(E205&lt;=0,E209/E205&lt;0,E209/E205&gt;1),0,E209/E205),0)</f>
        <v>0.451423248818066</v>
      </c>
      <c r="F210" s="35" t="n">
        <f aca="false">IFERROR(IF(OR(F205&lt;=0,F209/F205&lt;0,F209/F205&gt;1),0,F209/F205),0)</f>
        <v>0</v>
      </c>
      <c r="G210" s="35" t="n">
        <f aca="false">IFERROR(IF(OR(G205&lt;=0,G209/G205&lt;0,G209/G205&gt;1),0,G209/G205),0)</f>
        <v>0.368115788043616</v>
      </c>
      <c r="H210" s="35" t="n">
        <f aca="false">IFERROR(IF(OR(H205&lt;=0,H209/H205&lt;0,H209/H205&gt;1),0,H209/H205),0)</f>
        <v>0</v>
      </c>
      <c r="I210" s="35" t="n">
        <f aca="false">IFERROR(IF(OR(I205&lt;=0,I209/I205&lt;0,I209/I205&gt;1),0,I209/I205),0)</f>
        <v>0.333739145788243</v>
      </c>
      <c r="J210" s="35" t="n">
        <f aca="false">IFERROR(IF(OR(J205&lt;=0,J209/J205&lt;0,J209/J205&gt;1),0,J209/J205),0)</f>
        <v>0</v>
      </c>
      <c r="K210" s="35" t="n">
        <f aca="false">IFERROR(IF(OR(K205&lt;=0,K209/K205&lt;0,K209/K205&gt;1),0,K209/K205),0)</f>
        <v>0.34394538786233</v>
      </c>
      <c r="L210" s="35" t="n">
        <f aca="false">IFERROR(IF(OR(L205&lt;=0,L209/L205&lt;0,L209/L205&gt;1),0,L209/L205),0)</f>
        <v>0.317834851833429</v>
      </c>
      <c r="M210" s="35" t="n">
        <f aca="false">IFERROR(IF(OR(M205&lt;=0,M209/M205&lt;0,M209/M205&gt;1),0,M209/M205),0)</f>
        <v>0.19187669989615</v>
      </c>
      <c r="N210" s="35" t="n">
        <f aca="false">IFERROR(IF(OR(N205&lt;=0,N209/N205&lt;0,N209/N205&gt;1),0,N209/N205),0)</f>
        <v>0.216908750794367</v>
      </c>
      <c r="O210" s="35" t="n">
        <f aca="false">IFERROR(IF(OR(O205&lt;=0,O209/O205&lt;0,O209/O205&gt;1),0,O209/O205),0)</f>
        <v>0.174246355997726</v>
      </c>
      <c r="P210" s="35" t="n">
        <f aca="false">IFERROR(IF(OR(P205&lt;=0,P209/P205&lt;0,P209/P205&gt;1),0,P209/P205),0)</f>
        <v>0.141811888513673</v>
      </c>
      <c r="Q210" s="35" t="n">
        <f aca="false">IFERROR(IF(OR(Q205&lt;=0,Q209/Q205&lt;0,Q209/Q205&gt;1),0,Q209/Q205),0)</f>
        <v>0</v>
      </c>
      <c r="R210" s="35" t="n">
        <f aca="false">IFERROR(IF(OR(R205&lt;=0,R209/R205&lt;0,R209/R205&gt;1),0,R209/R205),0)</f>
        <v>0.362964281593963</v>
      </c>
      <c r="S210" s="35" t="n">
        <f aca="false">IFERROR(IF(OR(S205&lt;=0,S209/S205&lt;0,S209/S205&gt;1),0,S209/S205),0)</f>
        <v>0.414258203509269</v>
      </c>
      <c r="T210" s="35" t="n">
        <f aca="false">IFERROR(IF(OR(T205&lt;=0,T209/T205&lt;0,T209/T205&gt;1),0,T209/T205),0)</f>
        <v>0.349704175693286</v>
      </c>
      <c r="U210" s="35" t="n">
        <f aca="false">IFERROR(IF(OR(U205&lt;=0,U209/U205&lt;0,U209/U205&gt;1),0,U209/U205),0)</f>
        <v>0.314080185350373</v>
      </c>
      <c r="V210" s="35" t="n">
        <f aca="false">IFERROR(IF(OR(V205&lt;=0,V209/V205&lt;0,V209/V205&gt;1),0,V209/V205),0)</f>
        <v>0.311919932972804</v>
      </c>
      <c r="W210" s="35" t="n">
        <f aca="false">IFERROR(IF(OR(W205&lt;=0,W209/W205&lt;0,W209/W205&gt;1),0,W209/W205),0)</f>
        <v>0.309900768548857</v>
      </c>
      <c r="X210" s="35" t="n">
        <f aca="false">IFERROR(IF(OR(X205&lt;=0,X209/X205&lt;0,X209/X205&gt;1),0,X209/X205),0)</f>
        <v>0.300108540973842</v>
      </c>
      <c r="Y210" s="35" t="n">
        <f aca="false">IFERROR(IF(OR(Y205&lt;=0,Y209/Y205&lt;0,Y209/Y205&gt;1),0,Y209/Y205),0)</f>
        <v>0.381771792345373</v>
      </c>
      <c r="Z210" s="35" t="n">
        <f aca="false">IFERROR(IF(OR(Z205&lt;=0,Z209/Z205&lt;0,Z209/Z205&gt;1),0,Z209/Z205),0)</f>
        <v>0.279370034225593</v>
      </c>
      <c r="AA210" s="35" t="n">
        <f aca="false">IFERROR(IF(OR(AA205&lt;=0,AA209/AA205&lt;0,AA209/AA205&gt;1),0,AA209/AA205),0)</f>
        <v>0.340508609461671</v>
      </c>
      <c r="AB210" s="35" t="n">
        <f aca="false">IFERROR(IF(OR(AB205&lt;=0,AB209/AB205&lt;0,AB209/AB205&gt;1),0,AB209/AB205),0)</f>
        <v>0.26111785296956</v>
      </c>
      <c r="AC210" s="35" t="n">
        <f aca="false">IFERROR(IF(OR(AC205&lt;=0,AC209/AC205&lt;0,AC209/AC205&gt;1),0,AC209/AC205),0)</f>
        <v>0.193881341665789</v>
      </c>
      <c r="AD210" s="35" t="n">
        <f aca="false">IFERROR(IF(OR(AD205&lt;=0,AD209/AD205&lt;0,AD209/AD205&gt;1),0,AD209/AD205),0)</f>
        <v>0.193881341665788</v>
      </c>
      <c r="AE210" s="35" t="n">
        <f aca="false">IFERROR(IF(OR(AE205&lt;=0,AE209/AE205&lt;0,AE209/AE205&gt;1),0,AE209/AE205),0)</f>
        <v>0</v>
      </c>
      <c r="AF210" s="35" t="n">
        <f aca="false">IFERROR(IF(OR(AF205&lt;=0,AF209/AF205&lt;0,AF209/AF205&gt;1),0,AF209/AF205),0)</f>
        <v>0.328461415045998</v>
      </c>
      <c r="AG210" s="35" t="n">
        <f aca="false">IFERROR(IF(OR(AG205&lt;=0,AG209/AG205&lt;0,AG209/AG205&gt;1),0,AG209/AG205),0)</f>
        <v>0.412688483862042</v>
      </c>
      <c r="AH210" s="35" t="n">
        <f aca="false">IFERROR(IF(OR(AH205&lt;=0,AH209/AH205&lt;0,AH209/AH205&gt;1),0,AH209/AH205),0)</f>
        <v>0.249050412002489</v>
      </c>
      <c r="AI210" s="35" t="n">
        <f aca="false">IFERROR(IF(OR(AI205&lt;=0,AI209/AI205&lt;0,AI209/AI205&gt;1),0,AI209/AI205),0)</f>
        <v>0.317611178168427</v>
      </c>
      <c r="AJ210" s="35" t="n">
        <f aca="false">IFERROR(IF(OR(AJ205&lt;=0,AJ209/AJ205&lt;0,AJ209/AJ205&gt;1),0,AJ209/AJ205),0)</f>
        <v>0.217119754894028</v>
      </c>
      <c r="AK210" s="35" t="n">
        <f aca="false">IFERROR(IF(OR(AK205&lt;=0,AK209/AK205&lt;0,AK209/AK205&gt;1),0,AK209/AK205),0)</f>
        <v>0.191271299508732</v>
      </c>
      <c r="AL210" s="35" t="n">
        <f aca="false">IFERROR(IF(OR(AL205&lt;=0,AL209/AL205&lt;0,AL209/AL205&gt;1),0,AL209/AL205),0)</f>
        <v>0.302497695364872</v>
      </c>
      <c r="AM210" s="35" t="n">
        <f aca="false">IFERROR(IF(OR(AM205&lt;=0,AM209/AM205&lt;0,AM209/AM205&gt;1),0,AM209/AM205),0)</f>
        <v>0</v>
      </c>
      <c r="AN210" s="35" t="n">
        <f aca="false">IFERROR(IF(OR(AN205&lt;=0,AN209/AN205&lt;0,AN209/AN205&gt;1),0,AN209/AN205),0)</f>
        <v>0</v>
      </c>
      <c r="AO210" s="35" t="n">
        <f aca="false">IFERROR(IF(OR(AO205&lt;=0,AO209/AO205&lt;0,AO209/AO205&gt;1),0,AO209/AO205),0)</f>
        <v>0</v>
      </c>
      <c r="AP210" s="35" t="n">
        <f aca="false">IFERROR(IF(OR(AP205&lt;=0,AP209/AP205&lt;0,AP209/AP205&gt;1),0,AP209/AP205),0)</f>
        <v>0</v>
      </c>
      <c r="AQ210" s="35" t="n">
        <f aca="false">IFERROR(IF(OR(AQ205&lt;=0,AQ209/AQ205&lt;0,AQ209/AQ205&gt;1),0,AQ209/AQ205),0)</f>
        <v>0</v>
      </c>
      <c r="AR210" s="35" t="n">
        <f aca="false">IFERROR(IF(OR(AR205&lt;=0,AR209/AR205&lt;0,AR209/AR205&gt;1),0,AR209/AR205),0)</f>
        <v>0</v>
      </c>
      <c r="AS210" s="35" t="n">
        <f aca="false">IFERROR(IF(OR(AS205&lt;=0,AS209/AS205&lt;0,AS209/AS205&gt;1),0,AS209/AS205),0)</f>
        <v>0</v>
      </c>
      <c r="AT210" s="35" t="n">
        <f aca="false">IFERROR(IF(OR(AT205&lt;=0,AT209/AT205&lt;0,AT209/AT205&gt;1),0,AT209/AT205),0)</f>
        <v>0</v>
      </c>
      <c r="AU210" s="35" t="n">
        <f aca="false">IFERROR(IF(OR(AU205&lt;=0,AU209/AU205&lt;0,AU209/AU205&gt;1),0,AU209/AU205),0)</f>
        <v>0</v>
      </c>
      <c r="AV210" s="35" t="n">
        <f aca="false">IFERROR(IF(OR(AV205&lt;=0,AV209/AV205&lt;0,AV209/AV205&gt;1),0,AV209/AV205),0)</f>
        <v>0</v>
      </c>
      <c r="AW210" s="35" t="n">
        <f aca="false">IFERROR(IF(OR(AW205&lt;=0,AW209/AW205&lt;0,AW209/AW205&gt;1),0,AW209/AW205),0)</f>
        <v>0</v>
      </c>
      <c r="AX210" s="35" t="n">
        <f aca="false">IFERROR(IF(OR(AX205&lt;=0,AX209/AX205&lt;0,AX209/AX205&gt;1),0,AX209/AX205),0)</f>
        <v>0</v>
      </c>
      <c r="AY210" s="35" t="n">
        <f aca="false">IFERROR(IF(OR(AY205&lt;=0,AY209/AY205&lt;0,AY209/AY205&gt;1),0,AY209/AY205),0)</f>
        <v>0</v>
      </c>
      <c r="AZ210" s="35" t="n">
        <f aca="false">IFERROR(IF(OR(AZ205&lt;=0,AZ209/AZ205&lt;0,AZ209/AZ205&gt;1),0,AZ209/AZ205),0)</f>
        <v>0</v>
      </c>
      <c r="BA210" s="35" t="n">
        <f aca="false">IFERROR(IF(OR(BA205&lt;=0,BA209/BA205&lt;0,BA209/BA205&gt;1),0,BA209/BA205),0)</f>
        <v>0</v>
      </c>
      <c r="BB210" s="35" t="n">
        <f aca="false">IFERROR(IF(OR(BB205&lt;=0,BB209/BB205&lt;0,BB209/BB205&gt;1),0,BB209/BB205),0)</f>
        <v>0</v>
      </c>
      <c r="BC210" s="35" t="n">
        <f aca="false">IFERROR(IF(OR(BC205&lt;=0,BC209/BC205&lt;0,BC209/BC205&gt;1),0,BC209/BC205),0)</f>
        <v>0</v>
      </c>
      <c r="BD210" s="35" t="n">
        <f aca="false">IFERROR(IF(OR(BD205&lt;=0,BD209/BD205&lt;0,BD209/BD205&gt;1),0,BD209/BD205),0)</f>
        <v>0</v>
      </c>
      <c r="BE210" s="35" t="n">
        <f aca="false">IFERROR(IF(OR(BE205&lt;=0,BE209/BE205&lt;0,BE209/BE205&gt;1),0,BE209/BE205),0)</f>
        <v>0</v>
      </c>
      <c r="BF210" s="35" t="n">
        <f aca="false">IFERROR(IF(OR(BF205&lt;=0,BF209/BF205&lt;0,BF209/BF205&gt;1),0,BF209/BF205),0)</f>
        <v>0</v>
      </c>
      <c r="BG210" s="35" t="n">
        <f aca="false">IFERROR(IF(OR(BG205&lt;=0,BG209/BG205&lt;0,BG209/BG205&gt;1),0,BG209/BG205),0)</f>
        <v>0</v>
      </c>
      <c r="BH210" s="35" t="n">
        <f aca="false">IFERROR(IF(OR(BH205&lt;=0,BH209/BH205&lt;0,BH209/BH205&gt;1),0,BH209/BH205),0)</f>
        <v>0</v>
      </c>
      <c r="BI210" s="35" t="n">
        <f aca="false">IFERROR(IF(OR(BI205&lt;=0,BI209/BI205&lt;0,BI209/BI205&gt;1),0,BI209/BI205),0)</f>
        <v>0</v>
      </c>
      <c r="BJ210" s="35" t="n">
        <f aca="false">IFERROR(IF(OR(BJ205&lt;=0,BJ209/BJ205&lt;0,BJ209/BJ205&gt;1),0,BJ209/BJ205),0)</f>
        <v>0</v>
      </c>
      <c r="BK210" s="35" t="n">
        <f aca="false">IFERROR(IF(OR(BK205&lt;=0,BK209/BK205&lt;0,BK209/BK205&gt;1),0,BK209/BK205),0)</f>
        <v>0</v>
      </c>
      <c r="BL210" s="35" t="n">
        <f aca="false">IFERROR(IF(OR(BL205&lt;=0,BL209/BL205&lt;0,BL209/BL205&gt;1),0,BL209/BL205),0)</f>
        <v>0</v>
      </c>
      <c r="BM210" s="35" t="n">
        <f aca="false">IFERROR(IF(OR(BM205&lt;=0,BM209/BM205&lt;0,BM209/BM205&gt;1),0,BM209/BM205),0)</f>
        <v>0</v>
      </c>
      <c r="BN210" s="35" t="n">
        <f aca="false">IFERROR(IF(OR(BN205&lt;=0,BN209/BN205&lt;0,BN209/BN205&gt;1),0,BN209/BN205),0)</f>
        <v>0</v>
      </c>
      <c r="BO210" s="35" t="n">
        <f aca="false">IFERROR(IF(OR(BO205&lt;=0,BO209/BO205&lt;0,BO209/BO205&gt;1),0,BO209/BO205),0)</f>
        <v>0</v>
      </c>
      <c r="BP210" s="35" t="n">
        <f aca="false">IFERROR(IF(OR(BP205&lt;=0,BP209/BP205&lt;0,BP209/BP205&gt;1),0,BP209/BP205),0)</f>
        <v>0</v>
      </c>
      <c r="BQ210" s="35" t="n">
        <f aca="false">IFERROR(IF(OR(BQ205&lt;=0,BQ209/BQ205&lt;0,BQ209/BQ205&gt;1),0,BQ209/BQ205),0)</f>
        <v>0</v>
      </c>
      <c r="BR210" s="35" t="n">
        <f aca="false">IFERROR(IF(OR(BR205&lt;=0,BR209/BR205&lt;0,BR209/BR205&gt;1),0,BR209/BR205),0)</f>
        <v>0</v>
      </c>
      <c r="BS210" s="35" t="n">
        <f aca="false">IFERROR(IF(OR(BS205&lt;=0,BS209/BS205&lt;0,BS209/BS205&gt;1),0,BS209/BS205),0)</f>
        <v>0</v>
      </c>
      <c r="BT210" s="35" t="n">
        <f aca="false">IFERROR(IF(OR(BT205&lt;=0,BT209/BT205&lt;0,BT209/BT205&gt;1),0,BT209/BT205),0)</f>
        <v>0</v>
      </c>
      <c r="BU210" s="35" t="n">
        <f aca="false">IFERROR(IF(OR(BU205&lt;=0,BU209/BU205&lt;0,BU209/BU205&gt;1),0,BU209/BU205),0)</f>
        <v>0</v>
      </c>
      <c r="BV210" s="35" t="n">
        <f aca="false">IFERROR(IF(OR(BV205&lt;=0,BV209/BV205&lt;0,BV209/BV205&gt;1),0,BV209/BV205),0)</f>
        <v>0</v>
      </c>
      <c r="BW210" s="35" t="n">
        <f aca="false">IFERROR(IF(OR(BW205&lt;=0,BW209/BW205&lt;0,BW209/BW205&gt;1),0,BW209/BW205),0)</f>
        <v>0</v>
      </c>
      <c r="BX210" s="35" t="n">
        <f aca="false">IFERROR(IF(OR(BX205&lt;=0,BX209/BX205&lt;0,BX209/BX205&gt;1),0,BX209/BX205),0)</f>
        <v>0</v>
      </c>
      <c r="BY210" s="35" t="n">
        <f aca="false">IFERROR(IF(OR(BY205&lt;=0,BY209/BY205&lt;0,BY209/BY205&gt;1),0,BY209/BY205),0)</f>
        <v>0</v>
      </c>
      <c r="BZ210" s="35" t="n">
        <f aca="false">IFERROR(IF(OR(BZ205&lt;=0,BZ209/BZ205&lt;0,BZ209/BZ205&gt;1),0,BZ209/BZ205),0)</f>
        <v>0</v>
      </c>
      <c r="CA210" s="35" t="n">
        <f aca="false">IFERROR(IF(OR(CA205&lt;=0,CA209/CA205&lt;0,CA209/CA205&gt;1),0,CA209/CA205),0)</f>
        <v>0</v>
      </c>
      <c r="CB210" s="35" t="n">
        <f aca="false">IFERROR(IF(OR(CB205&lt;=0,CB209/CB205&lt;0,CB209/CB205&gt;1),0,CB209/CB205),0)</f>
        <v>0</v>
      </c>
      <c r="CC210" s="35" t="n">
        <f aca="false">IFERROR(IF(OR(CC205&lt;=0,CC209/CC205&lt;0,CC209/CC205&gt;1),0,CC209/CC205),0)</f>
        <v>0</v>
      </c>
      <c r="CD210" s="35" t="n">
        <f aca="false">IFERROR(IF(OR(CD205&lt;=0,CD209/CD205&lt;0,CD209/CD205&gt;1),0,CD209/CD205),0)</f>
        <v>0</v>
      </c>
      <c r="CE210" s="35" t="n">
        <f aca="false">IFERROR(IF(OR(CE205&lt;=0,CE209/CE205&lt;0,CE209/CE205&gt;1),0,CE209/CE205),0)</f>
        <v>0</v>
      </c>
      <c r="CF210" s="35" t="n">
        <f aca="false">IFERROR(IF(OR(CF205&lt;=0,CF209/CF205&lt;0,CF209/CF205&gt;1),0,CF209/CF205),0)</f>
        <v>0</v>
      </c>
      <c r="CG210" s="35" t="n">
        <f aca="false">IFERROR(IF(OR(CG205&lt;=0,CG209/CG205&lt;0,CG209/CG205&gt;1),0,CG209/CG205),0)</f>
        <v>0</v>
      </c>
      <c r="CH210" s="35" t="n">
        <f aca="false">IFERROR(IF(OR(CH205&lt;=0,CH209/CH205&lt;0,CH209/CH205&gt;1),0,CH209/CH205),0)</f>
        <v>0</v>
      </c>
      <c r="CI210" s="35" t="n">
        <f aca="false">IFERROR(IF(OR(CI205&lt;=0,CI209/CI205&lt;0,CI209/CI205&gt;1),0,CI209/CI205),0)</f>
        <v>0</v>
      </c>
      <c r="CJ210" s="35" t="n">
        <f aca="false">IFERROR(IF(OR(CJ205&lt;=0,CJ209/CJ205&lt;0,CJ209/CJ205&gt;1),0,CJ209/CJ205),0)</f>
        <v>0</v>
      </c>
      <c r="CK210" s="35" t="n">
        <f aca="false">IFERROR(IF(OR(CK205&lt;=0,CK209/CK205&lt;0,CK209/CK205&gt;1),0,CK209/CK205),0)</f>
        <v>0</v>
      </c>
      <c r="CL210" s="35" t="n">
        <f aca="false">IFERROR(IF(OR(CL205&lt;=0,CL209/CL205&lt;0,CL209/CL205&gt;1),0,CL209/CL205),0)</f>
        <v>0</v>
      </c>
      <c r="CM210" s="35" t="n">
        <f aca="false">IFERROR(IF(OR(CM205&lt;=0,CM209/CM205&lt;0,CM209/CM205&gt;1),0,CM209/CM205),0)</f>
        <v>0</v>
      </c>
      <c r="CN210" s="35" t="n">
        <f aca="false">IFERROR(IF(OR(CN205&lt;=0,CN209/CN205&lt;0,CN209/CN205&gt;1),0,CN209/CN205),0)</f>
        <v>0</v>
      </c>
      <c r="CO210" s="35" t="n">
        <f aca="false">IFERROR(IF(OR(CO205&lt;=0,CO209/CO205&lt;0,CO209/CO205&gt;1),0,CO209/CO205),0)</f>
        <v>0</v>
      </c>
      <c r="CP210" s="35" t="n">
        <f aca="false">IFERROR(IF(OR(CP205&lt;=0,CP209/CP205&lt;0,CP209/CP205&gt;1),0,CP209/CP205),0)</f>
        <v>0</v>
      </c>
      <c r="CQ210" s="35" t="n">
        <f aca="false">IFERROR(IF(OR(CQ205&lt;=0,CQ209/CQ205&lt;0,CQ209/CQ205&gt;1),0,CQ209/CQ205),0)</f>
        <v>0</v>
      </c>
      <c r="CR210" s="35" t="n">
        <f aca="false">IFERROR(IF(OR(CR205&lt;=0,CR209/CR205&lt;0,CR209/CR205&gt;1),0,CR209/CR205),0)</f>
        <v>0</v>
      </c>
      <c r="CS210" s="35" t="n">
        <f aca="false">IFERROR(IF(OR(CS205&lt;=0,CS209/CS205&lt;0,CS209/CS205&gt;1),0,CS209/CS205),0)</f>
        <v>0</v>
      </c>
      <c r="CT210" s="35" t="n">
        <f aca="false">IFERROR(IF(OR(CT205&lt;=0,CT209/CT205&lt;0,CT209/CT205&gt;1),0,CT209/CT205),0)</f>
        <v>0</v>
      </c>
      <c r="CU210" s="35" t="n">
        <f aca="false">IFERROR(IF(OR(CU205&lt;=0,CU209/CU205&lt;0,CU209/CU205&gt;1),0,CU209/CU205),0)</f>
        <v>0</v>
      </c>
      <c r="CV210" s="35" t="n">
        <f aca="false">IFERROR(IF(OR(CV205&lt;=0,CV209/CV205&lt;0,CV209/CV205&gt;1),0,CV209/CV205),0)</f>
        <v>0</v>
      </c>
      <c r="CW210" s="35" t="n">
        <f aca="false">IFERROR(IF(OR(CW205&lt;=0,CW209/CW205&lt;0,CW209/CW205&gt;1),0,CW209/CW205),0)</f>
        <v>0</v>
      </c>
      <c r="CX210" s="35" t="n">
        <f aca="false">IFERROR(IF(OR(CX205&lt;=0,CX209/CX205&lt;0,CX209/CX205&gt;1),0,CX209/CX205),0)</f>
        <v>0</v>
      </c>
      <c r="CY210" s="35" t="n">
        <f aca="false">IFERROR(IF(OR(CY205&lt;=0,CY209/CY205&lt;0,CY209/CY205&gt;1),0,CY209/CY205),0)</f>
        <v>0</v>
      </c>
      <c r="CZ210" s="35" t="n">
        <f aca="false">IFERROR(IF(OR(CZ205&lt;=0,CZ209/CZ205&lt;0,CZ209/CZ205&gt;1),0,CZ209/CZ205),0)</f>
        <v>0</v>
      </c>
      <c r="DA210" s="35" t="n">
        <f aca="false">IFERROR(IF(OR(DA205&lt;=0,DA209/DA205&lt;0,DA209/DA205&gt;1),0,DA209/DA205),0)</f>
        <v>0</v>
      </c>
      <c r="DB210" s="35" t="n">
        <f aca="false">IFERROR(IF(OR(DB205&lt;=0,DB209/DB205&lt;0,DB209/DB205&gt;1),0,DB209/DB205),0)</f>
        <v>0</v>
      </c>
      <c r="DC210" s="35" t="n">
        <f aca="false">IFERROR(IF(OR(DC205&lt;=0,DC209/DC205&lt;0,DC209/DC205&gt;1),0,DC209/DC205),0)</f>
        <v>0</v>
      </c>
      <c r="DD210" s="35" t="n">
        <f aca="false">IFERROR(IF(OR(DD205&lt;=0,DD209/DD205&lt;0,DD209/DD205&gt;1),0,DD209/DD205),0)</f>
        <v>0</v>
      </c>
      <c r="DE210" s="35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46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</row>
    <row r="212" customFormat="false" ht="15" hidden="false" customHeight="true" outlineLevel="0" collapsed="false">
      <c r="A212" s="42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140743.98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-142506.22</v>
      </c>
      <c r="L212" s="13" t="n">
        <f aca="false">ROUND(L209-('Original Budget'!M57+'Original Budget'!M114),2)</f>
        <v>-197413.51</v>
      </c>
      <c r="M212" s="13" t="n">
        <f aca="false">ROUND(M209-('Original Budget'!N57+'Original Budget'!N114),2)</f>
        <v>-67802.1</v>
      </c>
      <c r="N212" s="13" t="n">
        <f aca="false">ROUND(N209-('Original Budget'!O57+'Original Budget'!O114),2)</f>
        <v>-49377.17</v>
      </c>
      <c r="O212" s="13" t="n">
        <f aca="false">ROUND(O209-('Original Budget'!P57+'Original Budget'!P114),2)</f>
        <v>-87830.98</v>
      </c>
      <c r="P212" s="13" t="n">
        <f aca="false">ROUND(P209-('Original Budget'!Q57+'Original Budget'!Q114),2)</f>
        <v>-114507.61</v>
      </c>
      <c r="Q212" s="13" t="n">
        <f aca="false">ROUND(Q209-('Original Budget'!R57+'Original Budget'!R114),2)</f>
        <v>-50951.67</v>
      </c>
      <c r="R212" s="13" t="n">
        <f aca="false">ROUND(R209-('Original Budget'!S57+'Original Budget'!S114),2)</f>
        <v>-11534.6</v>
      </c>
      <c r="S212" s="13" t="n">
        <f aca="false">ROUND(S209-('Original Budget'!T57+'Original Budget'!T114),2)</f>
        <v>-86616.65</v>
      </c>
      <c r="T212" s="13" t="n">
        <f aca="false">ROUND(T209-('Original Budget'!U57+'Original Budget'!U114),2)</f>
        <v>72428.66</v>
      </c>
      <c r="U212" s="13" t="n">
        <f aca="false">ROUND(U209-('Original Budget'!V57+'Original Budget'!V114),2)</f>
        <v>289549.07</v>
      </c>
      <c r="V212" s="13" t="n">
        <f aca="false">ROUND(V209-('Original Budget'!W57+'Original Budget'!W114),2)</f>
        <v>286766.17</v>
      </c>
      <c r="W212" s="13" t="n">
        <f aca="false">ROUND(W209-('Original Budget'!X57+'Original Budget'!X114),2)</f>
        <v>262370.48</v>
      </c>
      <c r="X212" s="13" t="n">
        <f aca="false">ROUND(X209-('Original Budget'!Y57+'Original Budget'!Y114),2)</f>
        <v>293664.44</v>
      </c>
      <c r="Y212" s="13" t="n">
        <f aca="false">ROUND(Y209-('Original Budget'!Z57+'Original Budget'!Z114),2)</f>
        <v>351039.44</v>
      </c>
      <c r="Z212" s="13" t="n">
        <f aca="false">ROUND(Z209-('Original Budget'!AA57+'Original Budget'!AA114),2)</f>
        <v>268664.44</v>
      </c>
      <c r="AA212" s="13" t="n">
        <f aca="false">ROUND(AA209-('Original Budget'!AB57+'Original Budget'!AB114),2)</f>
        <v>346881.13</v>
      </c>
      <c r="AB212" s="13" t="n">
        <f aca="false">ROUND(AB209-('Original Budget'!AC57+'Original Budget'!AC114),2)</f>
        <v>190447.76</v>
      </c>
      <c r="AC212" s="13" t="n">
        <f aca="false">ROUND(AC209-('Original Budget'!AD57+'Original Budget'!AD114),2)</f>
        <v>109968.72</v>
      </c>
      <c r="AD212" s="13" t="n">
        <f aca="false">ROUND(AD209-('Original Budget'!AE57+'Original Budget'!AE114),2)</f>
        <v>274010.75</v>
      </c>
      <c r="AE212" s="13" t="n">
        <f aca="false">ROUND(AE209-('Original Budget'!AF57+'Original Budget'!AF114),2)</f>
        <v>274010.75</v>
      </c>
      <c r="AF212" s="13" t="n">
        <f aca="false">ROUND(AF209-('Original Budget'!AG57+'Original Budget'!AG114),2)</f>
        <v>270010.75</v>
      </c>
      <c r="AG212" s="13" t="n">
        <f aca="false">ROUND(AG209-('Original Budget'!AH57+'Original Budget'!AH114),2)</f>
        <v>402006.88</v>
      </c>
      <c r="AH212" s="13" t="n">
        <f aca="false">ROUND(AH209-('Original Budget'!AI57+'Original Budget'!AI114),2)</f>
        <v>172680.48</v>
      </c>
      <c r="AI212" s="13" t="n">
        <f aca="false">ROUND(AI209-('Original Budget'!AJ57+'Original Budget'!AJ114),2)</f>
        <v>136879.87</v>
      </c>
      <c r="AJ212" s="13" t="n">
        <f aca="false">ROUND(AJ209-('Original Budget'!AK57+'Original Budget'!AK114),2)</f>
        <v>249940.79</v>
      </c>
      <c r="AK212" s="13" t="n">
        <f aca="false">ROUND(AK209-('Original Budget'!AL57+'Original Budget'!AL114),2)</f>
        <v>-33943.89</v>
      </c>
      <c r="AL212" s="13" t="n">
        <f aca="false">ROUND(AL209-('Original Budget'!AM57+'Original Budget'!AM114),2)</f>
        <v>510392.2</v>
      </c>
      <c r="AM212" s="13" t="n">
        <f aca="false">ROUND(AM209-('Original Budget'!AN57+'Original Budget'!AN114),2)</f>
        <v>-52573.52</v>
      </c>
      <c r="AN212" s="13" t="n">
        <f aca="false">ROUND(AN209-('Original Budget'!AO57+'Original Budget'!AO114),2)</f>
        <v>-147952.58</v>
      </c>
      <c r="AO212" s="13" t="n">
        <f aca="false">ROUND(AO209-('Original Budget'!AP57+'Original Budget'!AP114),2)</f>
        <v>8131.04</v>
      </c>
      <c r="AP212" s="13" t="n">
        <f aca="false">ROUND(AP209-('Original Budget'!AQ57+'Original Budget'!AQ114),2)</f>
        <v>8131.04</v>
      </c>
      <c r="AQ212" s="13" t="n">
        <f aca="false">ROUND(AQ209-('Original Budget'!AR57+'Original Budget'!AR114),2)</f>
        <v>8131.04</v>
      </c>
      <c r="AR212" s="13" t="n">
        <f aca="false">ROUND(AR209-('Original Budget'!AS57+'Original Budget'!AS114),2)</f>
        <v>4131.04</v>
      </c>
      <c r="AS212" s="13" t="n">
        <f aca="false">ROUND(AS209-('Original Budget'!AT57+'Original Budget'!AT114),2)</f>
        <v>8131.04</v>
      </c>
      <c r="AT212" s="13" t="n">
        <f aca="false">ROUND(AT209-('Original Budget'!AU57+'Original Budget'!AU114),2)</f>
        <v>15188.54</v>
      </c>
      <c r="AU212" s="13" t="n">
        <f aca="false">ROUND(AU209-('Original Budget'!AV57+'Original Budget'!AV114),2)</f>
        <v>15188.54</v>
      </c>
      <c r="AV212" s="13" t="n">
        <f aca="false">ROUND(AV209-('Original Budget'!AW57+'Original Budget'!AW114),2)</f>
        <v>15188.54</v>
      </c>
      <c r="AW212" s="13" t="n">
        <f aca="false">ROUND(AW209-('Original Budget'!AX57+'Original Budget'!AX114),2)</f>
        <v>15188.54</v>
      </c>
      <c r="AX212" s="13" t="n">
        <f aca="false">ROUND(AX209-('Original Budget'!AY57+'Original Budget'!AY114),2)</f>
        <v>15188.54</v>
      </c>
      <c r="AY212" s="13" t="n">
        <f aca="false">ROUND(AY209-('Original Budget'!AZ57+'Original Budget'!AZ114),2)</f>
        <v>15188.54</v>
      </c>
      <c r="AZ212" s="13" t="n">
        <f aca="false">ROUND(AZ209-('Original Budget'!BA57+'Original Budget'!BA114),2)</f>
        <v>15188.54</v>
      </c>
      <c r="BA212" s="13" t="n">
        <f aca="false">ROUND(BA209-('Original Budget'!BB57+'Original Budget'!BB114),2)</f>
        <v>15492.31</v>
      </c>
      <c r="BB212" s="13" t="n">
        <f aca="false">ROUND(BB209-('Original Budget'!BC57+'Original Budget'!BC114),2)</f>
        <v>15492.31</v>
      </c>
      <c r="BC212" s="13" t="n">
        <f aca="false">ROUND(BC209-('Original Budget'!BD57+'Original Budget'!BD114),2)</f>
        <v>15492.31</v>
      </c>
      <c r="BD212" s="13" t="n">
        <f aca="false">ROUND(BD209-('Original Budget'!BE57+'Original Budget'!BE114),2)</f>
        <v>15492.31</v>
      </c>
      <c r="BE212" s="13" t="n">
        <f aca="false">ROUND(BE209-('Original Budget'!BF57+'Original Budget'!BF114),2)</f>
        <v>15492.31</v>
      </c>
      <c r="BF212" s="13" t="n">
        <f aca="false">ROUND(BF209-('Original Budget'!BG57+'Original Budget'!BG114),2)</f>
        <v>15492.31</v>
      </c>
      <c r="BG212" s="13" t="n">
        <f aca="false">ROUND(BG209-('Original Budget'!BH57+'Original Budget'!BH114),2)</f>
        <v>15492.31</v>
      </c>
      <c r="BH212" s="13" t="n">
        <f aca="false">ROUND(BH209-('Original Budget'!BI57+'Original Budget'!BI114),2)</f>
        <v>15492.31</v>
      </c>
      <c r="BI212" s="13" t="n">
        <f aca="false">ROUND(BI209-('Original Budget'!BJ57+'Original Budget'!BJ114),2)</f>
        <v>15492.31</v>
      </c>
      <c r="BJ212" s="13" t="n">
        <f aca="false">ROUND(BJ209-('Original Budget'!BK57+'Original Budget'!BK114),2)</f>
        <v>15492.31</v>
      </c>
      <c r="BK212" s="13" t="n">
        <f aca="false">ROUND(BK209-('Original Budget'!BL57+'Original Budget'!BL114),2)</f>
        <v>15492.31</v>
      </c>
      <c r="BL212" s="13" t="n">
        <f aca="false">ROUND(BL209-('Original Budget'!BM57+'Original Budget'!BM114),2)</f>
        <v>15492.31</v>
      </c>
      <c r="BM212" s="13" t="n">
        <f aca="false">ROUND(BM209-('Original Budget'!BN57+'Original Budget'!BN114),2)</f>
        <v>15802.16</v>
      </c>
      <c r="BN212" s="13" t="n">
        <f aca="false">ROUND(BN209-('Original Budget'!BO57+'Original Budget'!BO114),2)</f>
        <v>15802.16</v>
      </c>
      <c r="BO212" s="13" t="n">
        <f aca="false">ROUND(BO209-('Original Budget'!BP57+'Original Budget'!BP114),2)</f>
        <v>15802.16</v>
      </c>
      <c r="BP212" s="13" t="n">
        <f aca="false">ROUND(BP209-('Original Budget'!BQ57+'Original Budget'!BQ114),2)</f>
        <v>15802.16</v>
      </c>
      <c r="BQ212" s="13" t="n">
        <f aca="false">ROUND(BQ209-('Original Budget'!BR57+'Original Budget'!BR114),2)</f>
        <v>15802.16</v>
      </c>
      <c r="BR212" s="13" t="n">
        <f aca="false">ROUND(BR209-('Original Budget'!BS57+'Original Budget'!BS114),2)</f>
        <v>17538.99</v>
      </c>
      <c r="BS212" s="13" t="n">
        <f aca="false">ROUND(BS209-('Original Budget'!BT57+'Original Budget'!BT114),2)</f>
        <v>15802.16</v>
      </c>
      <c r="BT212" s="13" t="n">
        <f aca="false">ROUND(BT209-('Original Budget'!BU57+'Original Budget'!BU114),2)</f>
        <v>15802.16</v>
      </c>
      <c r="BU212" s="13" t="n">
        <f aca="false">ROUND(BU209-('Original Budget'!BV57+'Original Budget'!BV114),2)</f>
        <v>15802.16</v>
      </c>
      <c r="BV212" s="13" t="n">
        <f aca="false">ROUND(BV209-('Original Budget'!BW57+'Original Budget'!BW114),2)</f>
        <v>15802.16</v>
      </c>
      <c r="BW212" s="13" t="n">
        <f aca="false">ROUND(BW209-('Original Budget'!BX57+'Original Budget'!BX114),2)</f>
        <v>15802.16</v>
      </c>
      <c r="BX212" s="13" t="n">
        <f aca="false">ROUND(BX209-('Original Budget'!BY57+'Original Budget'!BY114),2)</f>
        <v>15802.16</v>
      </c>
      <c r="BY212" s="13" t="n">
        <f aca="false">ROUND(BY209-('Original Budget'!BZ57+'Original Budget'!BZ114),2)</f>
        <v>16118.2</v>
      </c>
      <c r="BZ212" s="13" t="n">
        <f aca="false">ROUND(BZ209-('Original Budget'!CA57+'Original Budget'!CA114),2)</f>
        <v>16118.2</v>
      </c>
      <c r="CA212" s="13" t="n">
        <f aca="false">ROUND(CA209-('Original Budget'!CB57+'Original Budget'!CB114),2)</f>
        <v>16118.2</v>
      </c>
      <c r="CB212" s="13" t="n">
        <f aca="false">ROUND(CB209-('Original Budget'!CC57+'Original Budget'!CC114),2)</f>
        <v>16118.2</v>
      </c>
      <c r="CC212" s="13" t="n">
        <f aca="false">ROUND(CC209-('Original Budget'!CD57+'Original Budget'!CD114),2)</f>
        <v>16118.2</v>
      </c>
      <c r="CD212" s="13" t="n">
        <f aca="false">ROUND(CD209-('Original Budget'!CE57+'Original Budget'!CE114),2)</f>
        <v>16118.2</v>
      </c>
      <c r="CE212" s="13" t="n">
        <f aca="false">ROUND(CE209-('Original Budget'!CF57+'Original Budget'!CF114),2)</f>
        <v>16118.2</v>
      </c>
      <c r="CF212" s="13" t="n">
        <f aca="false">ROUND(CF209-('Original Budget'!CG57+'Original Budget'!CG114),2)</f>
        <v>16118.2</v>
      </c>
      <c r="CG212" s="13" t="n">
        <f aca="false">ROUND(CG209-('Original Budget'!CH57+'Original Budget'!CH114),2)</f>
        <v>16118.2</v>
      </c>
      <c r="CH212" s="13" t="n">
        <f aca="false">ROUND(CH209-('Original Budget'!CI57+'Original Budget'!CI114),2)</f>
        <v>16118.2</v>
      </c>
      <c r="CI212" s="13" t="n">
        <f aca="false">ROUND(CI209-('Original Budget'!CJ57+'Original Budget'!CJ114),2)</f>
        <v>16118.2</v>
      </c>
      <c r="CJ212" s="13" t="n">
        <f aca="false">ROUND(CJ209-('Original Budget'!CK57+'Original Budget'!CK114),2)</f>
        <v>16118.2</v>
      </c>
      <c r="CK212" s="13" t="n">
        <f aca="false">ROUND(CK209-('Original Budget'!CL57+'Original Budget'!CL114),2)</f>
        <v>16440.56</v>
      </c>
      <c r="CL212" s="13" t="n">
        <f aca="false">ROUND(CL209-('Original Budget'!CM57+'Original Budget'!CM114),2)</f>
        <v>16440.56</v>
      </c>
      <c r="CM212" s="13" t="n">
        <f aca="false">ROUND(CM209-('Original Budget'!CN57+'Original Budget'!CN114),2)</f>
        <v>16440.56</v>
      </c>
      <c r="CN212" s="13" t="n">
        <f aca="false">ROUND(CN209-('Original Budget'!CO57+'Original Budget'!CO114),2)</f>
        <v>16440.56</v>
      </c>
      <c r="CO212" s="13" t="n">
        <f aca="false">ROUND(CO209-('Original Budget'!CP57+'Original Budget'!CP114),2)</f>
        <v>16440.56</v>
      </c>
      <c r="CP212" s="13" t="n">
        <f aca="false">ROUND(CP209-('Original Budget'!CQ57+'Original Budget'!CQ114),2)</f>
        <v>16440.56</v>
      </c>
      <c r="CQ212" s="13" t="n">
        <f aca="false">ROUND(CQ209-('Original Budget'!CR57+'Original Budget'!CR114),2)</f>
        <v>16440.56</v>
      </c>
      <c r="CR212" s="13" t="n">
        <f aca="false">ROUND(CR209-('Original Budget'!CS57+'Original Budget'!CS114),2)</f>
        <v>16440.56</v>
      </c>
      <c r="CS212" s="13" t="n">
        <f aca="false">ROUND(CS209-('Original Budget'!CT57+'Original Budget'!CT114),2)</f>
        <v>16440.56</v>
      </c>
      <c r="CT212" s="13" t="n">
        <f aca="false">ROUND(CT209-('Original Budget'!CU57+'Original Budget'!CU114),2)</f>
        <v>14358.57</v>
      </c>
      <c r="CU212" s="13" t="n">
        <f aca="false">ROUND(CU209-('Original Budget'!CV57+'Original Budget'!CV114),2)</f>
        <v>14358.57</v>
      </c>
      <c r="CV212" s="13" t="n">
        <f aca="false">ROUND(CV209-('Original Budget'!CW57+'Original Budget'!CW114),2)</f>
        <v>14358.57</v>
      </c>
      <c r="CW212" s="13" t="n">
        <f aca="false">ROUND(CW209-('Original Budget'!CX57+'Original Budget'!CX114),2)</f>
        <v>14645.74</v>
      </c>
      <c r="CX212" s="13" t="n">
        <f aca="false">ROUND(CX209-('Original Budget'!CY57+'Original Budget'!CY114),2)</f>
        <v>14645.74</v>
      </c>
      <c r="CY212" s="13" t="n">
        <f aca="false">ROUND(CY209-('Original Budget'!CZ57+'Original Budget'!CZ114),2)</f>
        <v>14645.74</v>
      </c>
      <c r="CZ212" s="13" t="n">
        <f aca="false">ROUND(CZ209-('Original Budget'!DA57+'Original Budget'!DA114),2)</f>
        <v>14645.74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5" hidden="false" customHeight="true" outlineLevel="0" collapsed="false">
      <c r="A214" s="47" t="s">
        <v>140</v>
      </c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48" t="s">
        <v>144</v>
      </c>
      <c r="B218" s="49"/>
      <c r="C218" s="49"/>
      <c r="D218" s="49"/>
      <c r="E218" s="49" t="n">
        <f aca="false">MAX(0,E215+E216+E217)</f>
        <v>1615485</v>
      </c>
      <c r="F218" s="49" t="n">
        <f aca="false">MAX(0,F215+F216+F217)</f>
        <v>1615485</v>
      </c>
      <c r="G218" s="49" t="n">
        <f aca="false">MAX(0,G215+G216+G217)</f>
        <v>1676065.6875</v>
      </c>
      <c r="H218" s="49" t="n">
        <f aca="false">MAX(0,H215+H216+H217)</f>
        <v>1676065.6875</v>
      </c>
      <c r="I218" s="49" t="n">
        <f aca="false">MAX(0,I215+I216+I217)</f>
        <v>1676065.6875</v>
      </c>
      <c r="J218" s="49" t="n">
        <f aca="false">MAX(0,J215+J216+J217)</f>
        <v>1738918.15078125</v>
      </c>
      <c r="K218" s="49" t="n">
        <f aca="false">MAX(0,K215+K216+K217)</f>
        <v>1738918.15078125</v>
      </c>
      <c r="L218" s="49" t="n">
        <f aca="false">MAX(0,L215+L216+L217)</f>
        <v>1738918.15078125</v>
      </c>
      <c r="M218" s="49" t="n">
        <f aca="false">MAX(0,M215+M216+M217)</f>
        <v>1804127.58143555</v>
      </c>
      <c r="N218" s="49" t="n">
        <f aca="false">MAX(0,N215+N216+N217)</f>
        <v>1692127.58143555</v>
      </c>
      <c r="O218" s="49" t="n">
        <f aca="false">MAX(0,O215+O216+O217)</f>
        <v>1580127.58143555</v>
      </c>
      <c r="P218" s="49" t="n">
        <f aca="false">MAX(0,P215+P216+P217)</f>
        <v>1527382.36573938</v>
      </c>
      <c r="Q218" s="49" t="n">
        <f aca="false">MAX(0,Q215+Q216+Q217)</f>
        <v>1415382.36573938</v>
      </c>
      <c r="R218" s="49" t="n">
        <f aca="false">MAX(0,R215+R216+R217)</f>
        <v>1303382.36573938</v>
      </c>
      <c r="S218" s="49" t="n">
        <f aca="false">MAX(0,S215+S216+S217)</f>
        <v>1240259.20445461</v>
      </c>
      <c r="T218" s="49" t="n">
        <f aca="false">MAX(0,T215+T216+T217)</f>
        <v>1128259.20445461</v>
      </c>
      <c r="U218" s="49" t="n">
        <f aca="false">MAX(0,U215+U216+U217)</f>
        <v>1016259.20445461</v>
      </c>
      <c r="V218" s="49" t="n">
        <f aca="false">MAX(0,V215+V216+V217)</f>
        <v>942368.924621655</v>
      </c>
      <c r="W218" s="49" t="n">
        <f aca="false">MAX(0,W215+W216+W217)</f>
        <v>830368.924621655</v>
      </c>
      <c r="X218" s="49" t="n">
        <f aca="false">MAX(0,X215+X216+X217)</f>
        <v>718368.924621655</v>
      </c>
      <c r="Y218" s="49" t="n">
        <f aca="false">MAX(0,Y215+Y216+Y217)</f>
        <v>633307.759294967</v>
      </c>
      <c r="Z218" s="49" t="n">
        <f aca="false">MAX(0,Z215+Z216+Z217)</f>
        <v>521307.759294967</v>
      </c>
      <c r="AA218" s="49" t="n">
        <f aca="false">MAX(0,AA215+AA216+AA217)</f>
        <v>409307.759294967</v>
      </c>
      <c r="AB218" s="49" t="n">
        <f aca="false">MAX(0,AB215+AB216+AB217)</f>
        <v>312656.800268528</v>
      </c>
      <c r="AC218" s="49" t="n">
        <f aca="false">MAX(0,AC215+AC216+AC217)</f>
        <v>200656.800268528</v>
      </c>
      <c r="AD218" s="49" t="n">
        <f aca="false">MAX(0,AD215+AD216+AD217)</f>
        <v>88656.8002685279</v>
      </c>
      <c r="AE218" s="49" t="n">
        <f aca="false">MAX(0,AE215+AE216+AE217)</f>
        <v>0</v>
      </c>
      <c r="AF218" s="49" t="n">
        <f aca="false">MAX(0,AF215+AF216+AF217)</f>
        <v>0</v>
      </c>
      <c r="AG218" s="49" t="n">
        <f aca="false">MAX(0,AG215+AG216+AG217)</f>
        <v>0</v>
      </c>
      <c r="AH218" s="49" t="n">
        <f aca="false">MAX(0,AH215+AH216+AH217)</f>
        <v>0</v>
      </c>
      <c r="AI218" s="49" t="n">
        <f aca="false">MAX(0,AI215+AI216+AI217)</f>
        <v>0</v>
      </c>
      <c r="AJ218" s="49" t="n">
        <f aca="false">MAX(0,AJ215+AJ216+AJ217)</f>
        <v>0</v>
      </c>
      <c r="AK218" s="49" t="n">
        <f aca="false">MAX(0,AK215+AK216+AK217)</f>
        <v>0</v>
      </c>
      <c r="AL218" s="49" t="n">
        <f aca="false">MAX(0,AL215+AL216+AL217)</f>
        <v>0</v>
      </c>
      <c r="AM218" s="49" t="n">
        <f aca="false">MAX(0,AM215+AM216+AM217)</f>
        <v>0</v>
      </c>
      <c r="AN218" s="49" t="n">
        <f aca="false">MAX(0,AN215+AN216+AN217)</f>
        <v>0</v>
      </c>
      <c r="AO218" s="49" t="n">
        <f aca="false">MAX(0,AO215+AO216+AO217)</f>
        <v>0</v>
      </c>
      <c r="AP218" s="49" t="n">
        <f aca="false">MAX(0,AP215+AP216+AP217)</f>
        <v>0</v>
      </c>
      <c r="AQ218" s="49" t="n">
        <f aca="false">MAX(0,AQ215+AQ216+AQ217)</f>
        <v>0</v>
      </c>
      <c r="AR218" s="49" t="n">
        <f aca="false">MAX(0,AR215+AR216+AR217)</f>
        <v>0</v>
      </c>
      <c r="AS218" s="49" t="n">
        <f aca="false">MAX(0,AS215+AS216+AS217)</f>
        <v>0</v>
      </c>
      <c r="AT218" s="49" t="n">
        <f aca="false">MAX(0,AT215+AT216+AT217)</f>
        <v>0</v>
      </c>
      <c r="AU218" s="49" t="n">
        <f aca="false">MAX(0,AU215+AU216+AU217)</f>
        <v>0</v>
      </c>
      <c r="AV218" s="49" t="n">
        <f aca="false">MAX(0,AV215+AV216+AV217)</f>
        <v>0</v>
      </c>
      <c r="AW218" s="49" t="n">
        <f aca="false">MAX(0,AW215+AW216+AW217)</f>
        <v>0</v>
      </c>
      <c r="AX218" s="49" t="n">
        <f aca="false">MAX(0,AX215+AX216+AX217)</f>
        <v>0</v>
      </c>
      <c r="AY218" s="49" t="n">
        <f aca="false">MAX(0,AY215+AY216+AY217)</f>
        <v>0</v>
      </c>
      <c r="AZ218" s="49" t="n">
        <f aca="false">MAX(0,AZ215+AZ216+AZ217)</f>
        <v>0</v>
      </c>
      <c r="BA218" s="49" t="n">
        <f aca="false">MAX(0,BA215+BA216+BA217)</f>
        <v>0</v>
      </c>
      <c r="BB218" s="49" t="n">
        <f aca="false">MAX(0,BB215+BB216+BB217)</f>
        <v>0</v>
      </c>
      <c r="BC218" s="49" t="n">
        <f aca="false">MAX(0,BC215+BC216+BC217)</f>
        <v>0</v>
      </c>
      <c r="BD218" s="49" t="n">
        <f aca="false">MAX(0,BD215+BD216+BD217)</f>
        <v>0</v>
      </c>
      <c r="BE218" s="49" t="n">
        <f aca="false">MAX(0,BE215+BE216+BE217)</f>
        <v>0</v>
      </c>
      <c r="BF218" s="49" t="n">
        <f aca="false">MAX(0,BF215+BF216+BF217)</f>
        <v>0</v>
      </c>
      <c r="BG218" s="49" t="n">
        <f aca="false">MAX(0,BG215+BG216+BG217)</f>
        <v>0</v>
      </c>
      <c r="BH218" s="49" t="n">
        <f aca="false">MAX(0,BH215+BH216+BH217)</f>
        <v>0</v>
      </c>
      <c r="BI218" s="49" t="n">
        <f aca="false">MAX(0,BI215+BI216+BI217)</f>
        <v>0</v>
      </c>
      <c r="BJ218" s="49" t="n">
        <f aca="false">MAX(0,BJ215+BJ216+BJ217)</f>
        <v>0</v>
      </c>
      <c r="BK218" s="49" t="n">
        <f aca="false">MAX(0,BK215+BK216+BK217)</f>
        <v>0</v>
      </c>
      <c r="BL218" s="49" t="n">
        <f aca="false">MAX(0,BL215+BL216+BL217)</f>
        <v>0</v>
      </c>
      <c r="BM218" s="49" t="n">
        <f aca="false">MAX(0,BM215+BM216+BM217)</f>
        <v>0</v>
      </c>
      <c r="BN218" s="49" t="n">
        <f aca="false">MAX(0,BN215+BN216+BN217)</f>
        <v>0</v>
      </c>
      <c r="BO218" s="49" t="n">
        <f aca="false">MAX(0,BO215+BO216+BO217)</f>
        <v>0</v>
      </c>
      <c r="BP218" s="49" t="n">
        <f aca="false">MAX(0,BP215+BP216+BP217)</f>
        <v>0</v>
      </c>
      <c r="BQ218" s="49" t="n">
        <f aca="false">MAX(0,BQ215+BQ216+BQ217)</f>
        <v>0</v>
      </c>
      <c r="BR218" s="49" t="n">
        <f aca="false">MAX(0,BR215+BR216+BR217)</f>
        <v>0</v>
      </c>
      <c r="BS218" s="49" t="n">
        <f aca="false">MAX(0,BS215+BS216+BS217)</f>
        <v>0</v>
      </c>
      <c r="BT218" s="49" t="n">
        <f aca="false">MAX(0,BT215+BT216+BT217)</f>
        <v>0</v>
      </c>
      <c r="BU218" s="49" t="n">
        <f aca="false">MAX(0,BU215+BU216+BU217)</f>
        <v>0</v>
      </c>
      <c r="BV218" s="49" t="n">
        <f aca="false">MAX(0,BV215+BV216+BV217)</f>
        <v>0</v>
      </c>
      <c r="BW218" s="49" t="n">
        <f aca="false">MAX(0,BW215+BW216+BW217)</f>
        <v>0</v>
      </c>
      <c r="BX218" s="49" t="n">
        <f aca="false">MAX(0,BX215+BX216+BX217)</f>
        <v>0</v>
      </c>
      <c r="BY218" s="49" t="n">
        <f aca="false">MAX(0,BY215+BY216+BY217)</f>
        <v>0</v>
      </c>
      <c r="BZ218" s="49" t="n">
        <f aca="false">MAX(0,BZ215+BZ216+BZ217)</f>
        <v>0</v>
      </c>
      <c r="CA218" s="49" t="n">
        <f aca="false">MAX(0,CA215+CA216+CA217)</f>
        <v>0</v>
      </c>
      <c r="CB218" s="49" t="n">
        <f aca="false">MAX(0,CB215+CB216+CB217)</f>
        <v>0</v>
      </c>
      <c r="CC218" s="49" t="n">
        <f aca="false">MAX(0,CC215+CC216+CC217)</f>
        <v>0</v>
      </c>
      <c r="CD218" s="49" t="n">
        <f aca="false">MAX(0,CD215+CD216+CD217)</f>
        <v>0</v>
      </c>
      <c r="CE218" s="49" t="n">
        <f aca="false">MAX(0,CE215+CE216+CE217)</f>
        <v>0</v>
      </c>
      <c r="CF218" s="49" t="n">
        <f aca="false">MAX(0,CF215+CF216+CF217)</f>
        <v>0</v>
      </c>
      <c r="CG218" s="49" t="n">
        <f aca="false">MAX(0,CG215+CG216+CG217)</f>
        <v>0</v>
      </c>
      <c r="CH218" s="49" t="n">
        <f aca="false">MAX(0,CH215+CH216+CH217)</f>
        <v>0</v>
      </c>
      <c r="CI218" s="49" t="n">
        <f aca="false">MAX(0,CI215+CI216+CI217)</f>
        <v>0</v>
      </c>
      <c r="CJ218" s="49" t="n">
        <f aca="false">MAX(0,CJ215+CJ216+CJ217)</f>
        <v>0</v>
      </c>
      <c r="CK218" s="49" t="n">
        <f aca="false">MAX(0,CK215+CK216+CK217)</f>
        <v>0</v>
      </c>
      <c r="CL218" s="49" t="n">
        <f aca="false">MAX(0,CL215+CL216+CL217)</f>
        <v>0</v>
      </c>
      <c r="CM218" s="49" t="n">
        <f aca="false">MAX(0,CM215+CM216+CM217)</f>
        <v>0</v>
      </c>
      <c r="CN218" s="49" t="n">
        <f aca="false">MAX(0,CN215+CN216+CN217)</f>
        <v>0</v>
      </c>
      <c r="CO218" s="49" t="n">
        <f aca="false">MAX(0,CO215+CO216+CO217)</f>
        <v>0</v>
      </c>
      <c r="CP218" s="49" t="n">
        <f aca="false">MAX(0,CP215+CP216+CP217)</f>
        <v>0</v>
      </c>
      <c r="CQ218" s="49" t="n">
        <f aca="false">MAX(0,CQ215+CQ216+CQ217)</f>
        <v>0</v>
      </c>
      <c r="CR218" s="49" t="n">
        <f aca="false">MAX(0,CR215+CR216+CR217)</f>
        <v>0</v>
      </c>
      <c r="CS218" s="49" t="n">
        <f aca="false">MAX(0,CS215+CS216+CS217)</f>
        <v>0</v>
      </c>
      <c r="CT218" s="49" t="n">
        <f aca="false">MAX(0,CT215+CT216+CT217)</f>
        <v>0</v>
      </c>
      <c r="CU218" s="49" t="n">
        <f aca="false">MAX(0,CU215+CU216+CU217)</f>
        <v>0</v>
      </c>
      <c r="CV218" s="49" t="n">
        <f aca="false">MAX(0,CV215+CV216+CV217)</f>
        <v>0</v>
      </c>
      <c r="CW218" s="49" t="n">
        <f aca="false">MAX(0,CW215+CW216+CW217)</f>
        <v>0</v>
      </c>
      <c r="CX218" s="49" t="n">
        <f aca="false">MAX(0,CX215+CX216+CX217)</f>
        <v>0</v>
      </c>
      <c r="CY218" s="49" t="n">
        <f aca="false">MAX(0,CY215+CY216+CY217)</f>
        <v>0</v>
      </c>
      <c r="CZ218" s="49" t="n">
        <f aca="false">MAX(0,CZ215+CZ216+CZ217)</f>
        <v>0</v>
      </c>
      <c r="DA218" s="49" t="n">
        <f aca="false">MAX(0,DA215+DA216+DA217)</f>
        <v>0</v>
      </c>
      <c r="DB218" s="49" t="n">
        <f aca="false">MAX(0,DB215+DB216+DB217)</f>
        <v>0</v>
      </c>
      <c r="DC218" s="49" t="n">
        <f aca="false">MAX(0,DC215+DC216+DC217)</f>
        <v>0</v>
      </c>
      <c r="DD218" s="49" t="n">
        <f aca="false">MAX(0,DD215+DD216+DD217)</f>
        <v>0</v>
      </c>
      <c r="DE218" s="49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47" t="s">
        <v>145</v>
      </c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500000</v>
      </c>
      <c r="BA222" s="13" t="n">
        <f aca="false">AZ224</f>
        <v>500000</v>
      </c>
      <c r="BB222" s="13" t="n">
        <f aca="false">BA224</f>
        <v>500000</v>
      </c>
      <c r="BC222" s="13" t="n">
        <f aca="false">BB224</f>
        <v>500000</v>
      </c>
      <c r="BD222" s="13" t="n">
        <f aca="false">BC224</f>
        <v>500000</v>
      </c>
      <c r="BE222" s="13" t="n">
        <f aca="false">BD224</f>
        <v>500000</v>
      </c>
      <c r="BF222" s="13" t="n">
        <f aca="false">BE224</f>
        <v>500000</v>
      </c>
      <c r="BG222" s="13" t="n">
        <f aca="false">BF224</f>
        <v>500000</v>
      </c>
      <c r="BH222" s="13" t="n">
        <f aca="false">BG224</f>
        <v>500000</v>
      </c>
      <c r="BI222" s="13" t="n">
        <f aca="false">BH224</f>
        <v>500000</v>
      </c>
      <c r="BJ222" s="13" t="n">
        <f aca="false">BI224</f>
        <v>500000</v>
      </c>
      <c r="BK222" s="13" t="n">
        <f aca="false">BJ224</f>
        <v>500000</v>
      </c>
      <c r="BL222" s="13" t="n">
        <f aca="false">BK224</f>
        <v>500000</v>
      </c>
      <c r="BM222" s="13" t="n">
        <f aca="false">BL224</f>
        <v>500000</v>
      </c>
      <c r="BN222" s="13" t="n">
        <f aca="false">BM224</f>
        <v>500000</v>
      </c>
      <c r="BO222" s="13" t="n">
        <f aca="false">BN224</f>
        <v>500000</v>
      </c>
      <c r="BP222" s="13" t="n">
        <f aca="false">BO224</f>
        <v>500000</v>
      </c>
      <c r="BQ222" s="13" t="n">
        <f aca="false">BP224</f>
        <v>500000</v>
      </c>
      <c r="BR222" s="13" t="n">
        <f aca="false">BQ224</f>
        <v>500000</v>
      </c>
      <c r="BS222" s="13" t="n">
        <f aca="false">BR224</f>
        <v>500000</v>
      </c>
      <c r="BT222" s="13" t="n">
        <f aca="false">BS224</f>
        <v>500000</v>
      </c>
      <c r="BU222" s="13" t="n">
        <f aca="false">BT224</f>
        <v>500000</v>
      </c>
      <c r="BV222" s="13" t="n">
        <f aca="false">BU224</f>
        <v>500000</v>
      </c>
      <c r="BW222" s="13" t="n">
        <f aca="false">BV224</f>
        <v>500000</v>
      </c>
      <c r="BX222" s="13" t="n">
        <f aca="false">BW224</f>
        <v>500000</v>
      </c>
      <c r="BY222" s="13" t="n">
        <f aca="false">BX224</f>
        <v>500000</v>
      </c>
      <c r="BZ222" s="13" t="n">
        <f aca="false">BY224</f>
        <v>500000</v>
      </c>
      <c r="CA222" s="13" t="n">
        <f aca="false">BZ224</f>
        <v>500000</v>
      </c>
      <c r="CB222" s="13" t="n">
        <f aca="false">CA224</f>
        <v>500000</v>
      </c>
      <c r="CC222" s="13" t="n">
        <f aca="false">CB224</f>
        <v>500000</v>
      </c>
      <c r="CD222" s="13" t="n">
        <f aca="false">CC224</f>
        <v>500000</v>
      </c>
      <c r="CE222" s="13" t="n">
        <f aca="false">CD224</f>
        <v>500000</v>
      </c>
      <c r="CF222" s="13" t="n">
        <f aca="false">CE224</f>
        <v>500000</v>
      </c>
      <c r="CG222" s="13" t="n">
        <f aca="false">CF224</f>
        <v>500000</v>
      </c>
      <c r="CH222" s="13" t="n">
        <f aca="false">CG224</f>
        <v>500000</v>
      </c>
      <c r="CI222" s="13" t="n">
        <f aca="false">CH224</f>
        <v>500000</v>
      </c>
      <c r="CJ222" s="13" t="n">
        <f aca="false">CI224</f>
        <v>500000</v>
      </c>
      <c r="CK222" s="13" t="n">
        <f aca="false">CJ224</f>
        <v>500000</v>
      </c>
      <c r="CL222" s="13" t="n">
        <f aca="false">CK224</f>
        <v>500000</v>
      </c>
      <c r="CM222" s="13" t="n">
        <f aca="false">CL224</f>
        <v>500000</v>
      </c>
      <c r="CN222" s="13" t="n">
        <f aca="false">CM224</f>
        <v>500000</v>
      </c>
      <c r="CO222" s="13" t="n">
        <f aca="false">CN224</f>
        <v>500000</v>
      </c>
      <c r="CP222" s="13" t="n">
        <f aca="false">CO224</f>
        <v>500000</v>
      </c>
      <c r="CQ222" s="13" t="n">
        <f aca="false">CP224</f>
        <v>500000</v>
      </c>
      <c r="CR222" s="13" t="n">
        <f aca="false">CQ224</f>
        <v>500000</v>
      </c>
      <c r="CS222" s="13" t="n">
        <f aca="false">CR224</f>
        <v>500000</v>
      </c>
      <c r="CT222" s="13" t="n">
        <f aca="false">CS224</f>
        <v>500000</v>
      </c>
      <c r="CU222" s="13" t="n">
        <f aca="false">CT224</f>
        <v>500000</v>
      </c>
      <c r="CV222" s="13" t="n">
        <f aca="false">CU224</f>
        <v>500000</v>
      </c>
      <c r="CW222" s="13" t="n">
        <f aca="false">CV224</f>
        <v>500000</v>
      </c>
      <c r="CX222" s="13" t="n">
        <f aca="false">CW224</f>
        <v>500000</v>
      </c>
      <c r="CY222" s="13" t="n">
        <f aca="false">CX224</f>
        <v>500000</v>
      </c>
      <c r="CZ222" s="13" t="n">
        <f aca="false">CY224</f>
        <v>500000</v>
      </c>
      <c r="DA222" s="13" t="n">
        <f aca="false">CZ224</f>
        <v>500000</v>
      </c>
      <c r="DB222" s="13" t="n">
        <f aca="false">DA224</f>
        <v>500000</v>
      </c>
      <c r="DC222" s="13" t="n">
        <f aca="false">DB224</f>
        <v>500000</v>
      </c>
      <c r="DD222" s="13" t="n">
        <f aca="false">DC224</f>
        <v>500000</v>
      </c>
      <c r="DE222" s="13" t="n">
        <f aca="false">DD224</f>
        <v>500000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48" t="s">
        <v>144</v>
      </c>
      <c r="B224" s="49"/>
      <c r="C224" s="49"/>
      <c r="D224" s="49"/>
      <c r="E224" s="49" t="n">
        <f aca="false">MAX(0,E222+E223)</f>
        <v>1000000</v>
      </c>
      <c r="F224" s="49" t="n">
        <f aca="false">MAX(0,F222+F223)</f>
        <v>1000000</v>
      </c>
      <c r="G224" s="49" t="n">
        <f aca="false">MAX(0,G222+G223)</f>
        <v>1000000</v>
      </c>
      <c r="H224" s="49" t="n">
        <f aca="false">MAX(0,H222+H223)</f>
        <v>1000000</v>
      </c>
      <c r="I224" s="49" t="n">
        <f aca="false">MAX(0,I222+I223)</f>
        <v>1000000</v>
      </c>
      <c r="J224" s="49" t="n">
        <f aca="false">MAX(0,J222+J223)</f>
        <v>1000000</v>
      </c>
      <c r="K224" s="49" t="n">
        <f aca="false">MAX(0,K222+K223)</f>
        <v>1000000</v>
      </c>
      <c r="L224" s="49" t="n">
        <f aca="false">MAX(0,L222+L223)</f>
        <v>1000000</v>
      </c>
      <c r="M224" s="49" t="n">
        <f aca="false">MAX(0,M222+M223)</f>
        <v>1000000</v>
      </c>
      <c r="N224" s="49" t="n">
        <f aca="false">MAX(0,N222+N223)</f>
        <v>1000000</v>
      </c>
      <c r="O224" s="49" t="n">
        <f aca="false">MAX(0,O222+O223)</f>
        <v>1000000</v>
      </c>
      <c r="P224" s="49" t="n">
        <f aca="false">MAX(0,P222+P223)</f>
        <v>1000000</v>
      </c>
      <c r="Q224" s="49" t="n">
        <f aca="false">MAX(0,Q222+Q223)</f>
        <v>1000000</v>
      </c>
      <c r="R224" s="49" t="n">
        <f aca="false">MAX(0,R222+R223)</f>
        <v>1000000</v>
      </c>
      <c r="S224" s="49" t="n">
        <f aca="false">MAX(0,S222+S223)</f>
        <v>1000000</v>
      </c>
      <c r="T224" s="49" t="n">
        <f aca="false">MAX(0,T222+T223)</f>
        <v>1000000</v>
      </c>
      <c r="U224" s="49" t="n">
        <f aca="false">MAX(0,U222+U223)</f>
        <v>1000000</v>
      </c>
      <c r="V224" s="49" t="n">
        <f aca="false">MAX(0,V222+V223)</f>
        <v>1000000</v>
      </c>
      <c r="W224" s="49" t="n">
        <f aca="false">MAX(0,W222+W223)</f>
        <v>1000000</v>
      </c>
      <c r="X224" s="49" t="n">
        <f aca="false">MAX(0,X222+X223)</f>
        <v>1000000</v>
      </c>
      <c r="Y224" s="49" t="n">
        <f aca="false">MAX(0,Y222+Y223)</f>
        <v>1000000</v>
      </c>
      <c r="Z224" s="49" t="n">
        <f aca="false">MAX(0,Z222+Z223)</f>
        <v>1000000</v>
      </c>
      <c r="AA224" s="49" t="n">
        <f aca="false">MAX(0,AA222+AA223)</f>
        <v>750000</v>
      </c>
      <c r="AB224" s="49" t="n">
        <f aca="false">MAX(0,AB222+AB223)</f>
        <v>750000</v>
      </c>
      <c r="AC224" s="49" t="n">
        <f aca="false">MAX(0,AC222+AC223)</f>
        <v>750000</v>
      </c>
      <c r="AD224" s="49" t="n">
        <f aca="false">MAX(0,AD222+AD223)</f>
        <v>750000</v>
      </c>
      <c r="AE224" s="49" t="n">
        <f aca="false">MAX(0,AE222+AE223)</f>
        <v>750000</v>
      </c>
      <c r="AF224" s="49" t="n">
        <f aca="false">MAX(0,AF222+AF223)</f>
        <v>750000</v>
      </c>
      <c r="AG224" s="49" t="n">
        <f aca="false">MAX(0,AG222+AG223)</f>
        <v>750000</v>
      </c>
      <c r="AH224" s="49" t="n">
        <f aca="false">MAX(0,AH222+AH223)</f>
        <v>750000</v>
      </c>
      <c r="AI224" s="49" t="n">
        <f aca="false">MAX(0,AI222+AI223)</f>
        <v>750000</v>
      </c>
      <c r="AJ224" s="49" t="n">
        <f aca="false">MAX(0,AJ222+AJ223)</f>
        <v>750000</v>
      </c>
      <c r="AK224" s="49" t="n">
        <f aca="false">MAX(0,AK222+AK223)</f>
        <v>750000</v>
      </c>
      <c r="AL224" s="49" t="n">
        <f aca="false">MAX(0,AL222+AL223)</f>
        <v>750000</v>
      </c>
      <c r="AM224" s="49" t="n">
        <f aca="false">MAX(0,AM222+AM223)</f>
        <v>500000</v>
      </c>
      <c r="AN224" s="49" t="n">
        <f aca="false">MAX(0,AN222+AN223)</f>
        <v>500000</v>
      </c>
      <c r="AO224" s="49" t="n">
        <f aca="false">MAX(0,AO222+AO223)</f>
        <v>500000</v>
      </c>
      <c r="AP224" s="49" t="n">
        <f aca="false">MAX(0,AP222+AP223)</f>
        <v>500000</v>
      </c>
      <c r="AQ224" s="49" t="n">
        <f aca="false">MAX(0,AQ222+AQ223)</f>
        <v>500000</v>
      </c>
      <c r="AR224" s="49" t="n">
        <f aca="false">MAX(0,AR222+AR223)</f>
        <v>500000</v>
      </c>
      <c r="AS224" s="49" t="n">
        <f aca="false">MAX(0,AS222+AS223)</f>
        <v>500000</v>
      </c>
      <c r="AT224" s="49" t="n">
        <f aca="false">MAX(0,AT222+AT223)</f>
        <v>500000</v>
      </c>
      <c r="AU224" s="49" t="n">
        <f aca="false">MAX(0,AU222+AU223)</f>
        <v>500000</v>
      </c>
      <c r="AV224" s="49" t="n">
        <f aca="false">MAX(0,AV222+AV223)</f>
        <v>500000</v>
      </c>
      <c r="AW224" s="49" t="n">
        <f aca="false">MAX(0,AW222+AW223)</f>
        <v>500000</v>
      </c>
      <c r="AX224" s="49" t="n">
        <f aca="false">MAX(0,AX222+AX223)</f>
        <v>500000</v>
      </c>
      <c r="AY224" s="49" t="n">
        <f aca="false">MAX(0,AY222+AY223)</f>
        <v>500000</v>
      </c>
      <c r="AZ224" s="49" t="n">
        <f aca="false">MAX(0,AZ222+AZ223)</f>
        <v>500000</v>
      </c>
      <c r="BA224" s="49" t="n">
        <f aca="false">MAX(0,BA222+BA223)</f>
        <v>500000</v>
      </c>
      <c r="BB224" s="49" t="n">
        <f aca="false">MAX(0,BB222+BB223)</f>
        <v>500000</v>
      </c>
      <c r="BC224" s="49" t="n">
        <f aca="false">MAX(0,BC222+BC223)</f>
        <v>500000</v>
      </c>
      <c r="BD224" s="49" t="n">
        <f aca="false">MAX(0,BD222+BD223)</f>
        <v>500000</v>
      </c>
      <c r="BE224" s="49" t="n">
        <f aca="false">MAX(0,BE222+BE223)</f>
        <v>500000</v>
      </c>
      <c r="BF224" s="49" t="n">
        <f aca="false">MAX(0,BF222+BF223)</f>
        <v>500000</v>
      </c>
      <c r="BG224" s="49" t="n">
        <f aca="false">MAX(0,BG222+BG223)</f>
        <v>500000</v>
      </c>
      <c r="BH224" s="49" t="n">
        <f aca="false">MAX(0,BH222+BH223)</f>
        <v>500000</v>
      </c>
      <c r="BI224" s="49" t="n">
        <f aca="false">MAX(0,BI222+BI223)</f>
        <v>500000</v>
      </c>
      <c r="BJ224" s="49" t="n">
        <f aca="false">MAX(0,BJ222+BJ223)</f>
        <v>500000</v>
      </c>
      <c r="BK224" s="49" t="n">
        <f aca="false">MAX(0,BK222+BK223)</f>
        <v>500000</v>
      </c>
      <c r="BL224" s="49" t="n">
        <f aca="false">MAX(0,BL222+BL223)</f>
        <v>500000</v>
      </c>
      <c r="BM224" s="49" t="n">
        <f aca="false">MAX(0,BM222+BM223)</f>
        <v>500000</v>
      </c>
      <c r="BN224" s="49" t="n">
        <f aca="false">MAX(0,BN222+BN223)</f>
        <v>500000</v>
      </c>
      <c r="BO224" s="49" t="n">
        <f aca="false">MAX(0,BO222+BO223)</f>
        <v>500000</v>
      </c>
      <c r="BP224" s="49" t="n">
        <f aca="false">MAX(0,BP222+BP223)</f>
        <v>500000</v>
      </c>
      <c r="BQ224" s="49" t="n">
        <f aca="false">MAX(0,BQ222+BQ223)</f>
        <v>500000</v>
      </c>
      <c r="BR224" s="49" t="n">
        <f aca="false">MAX(0,BR222+BR223)</f>
        <v>500000</v>
      </c>
      <c r="BS224" s="49" t="n">
        <f aca="false">MAX(0,BS222+BS223)</f>
        <v>500000</v>
      </c>
      <c r="BT224" s="49" t="n">
        <f aca="false">MAX(0,BT222+BT223)</f>
        <v>500000</v>
      </c>
      <c r="BU224" s="49" t="n">
        <f aca="false">MAX(0,BU222+BU223)</f>
        <v>500000</v>
      </c>
      <c r="BV224" s="49" t="n">
        <f aca="false">MAX(0,BV222+BV223)</f>
        <v>500000</v>
      </c>
      <c r="BW224" s="49" t="n">
        <f aca="false">MAX(0,BW222+BW223)</f>
        <v>500000</v>
      </c>
      <c r="BX224" s="49" t="n">
        <f aca="false">MAX(0,BX222+BX223)</f>
        <v>500000</v>
      </c>
      <c r="BY224" s="49" t="n">
        <f aca="false">MAX(0,BY222+BY223)</f>
        <v>500000</v>
      </c>
      <c r="BZ224" s="49" t="n">
        <f aca="false">MAX(0,BZ222+BZ223)</f>
        <v>500000</v>
      </c>
      <c r="CA224" s="49" t="n">
        <f aca="false">MAX(0,CA222+CA223)</f>
        <v>500000</v>
      </c>
      <c r="CB224" s="49" t="n">
        <f aca="false">MAX(0,CB222+CB223)</f>
        <v>500000</v>
      </c>
      <c r="CC224" s="49" t="n">
        <f aca="false">MAX(0,CC222+CC223)</f>
        <v>500000</v>
      </c>
      <c r="CD224" s="49" t="n">
        <f aca="false">MAX(0,CD222+CD223)</f>
        <v>500000</v>
      </c>
      <c r="CE224" s="49" t="n">
        <f aca="false">MAX(0,CE222+CE223)</f>
        <v>500000</v>
      </c>
      <c r="CF224" s="49" t="n">
        <f aca="false">MAX(0,CF222+CF223)</f>
        <v>500000</v>
      </c>
      <c r="CG224" s="49" t="n">
        <f aca="false">MAX(0,CG222+CG223)</f>
        <v>500000</v>
      </c>
      <c r="CH224" s="49" t="n">
        <f aca="false">MAX(0,CH222+CH223)</f>
        <v>500000</v>
      </c>
      <c r="CI224" s="49" t="n">
        <f aca="false">MAX(0,CI222+CI223)</f>
        <v>500000</v>
      </c>
      <c r="CJ224" s="49" t="n">
        <f aca="false">MAX(0,CJ222+CJ223)</f>
        <v>500000</v>
      </c>
      <c r="CK224" s="49" t="n">
        <f aca="false">MAX(0,CK222+CK223)</f>
        <v>500000</v>
      </c>
      <c r="CL224" s="49" t="n">
        <f aca="false">MAX(0,CL222+CL223)</f>
        <v>500000</v>
      </c>
      <c r="CM224" s="49" t="n">
        <f aca="false">MAX(0,CM222+CM223)</f>
        <v>500000</v>
      </c>
      <c r="CN224" s="49" t="n">
        <f aca="false">MAX(0,CN222+CN223)</f>
        <v>500000</v>
      </c>
      <c r="CO224" s="49" t="n">
        <f aca="false">MAX(0,CO222+CO223)</f>
        <v>500000</v>
      </c>
      <c r="CP224" s="49" t="n">
        <f aca="false">MAX(0,CP222+CP223)</f>
        <v>500000</v>
      </c>
      <c r="CQ224" s="49" t="n">
        <f aca="false">MAX(0,CQ222+CQ223)</f>
        <v>500000</v>
      </c>
      <c r="CR224" s="49" t="n">
        <f aca="false">MAX(0,CR222+CR223)</f>
        <v>500000</v>
      </c>
      <c r="CS224" s="49" t="n">
        <f aca="false">MAX(0,CS222+CS223)</f>
        <v>500000</v>
      </c>
      <c r="CT224" s="49" t="n">
        <f aca="false">MAX(0,CT222+CT223)</f>
        <v>500000</v>
      </c>
      <c r="CU224" s="49" t="n">
        <f aca="false">MAX(0,CU222+CU223)</f>
        <v>500000</v>
      </c>
      <c r="CV224" s="49" t="n">
        <f aca="false">MAX(0,CV222+CV223)</f>
        <v>500000</v>
      </c>
      <c r="CW224" s="49" t="n">
        <f aca="false">MAX(0,CW222+CW223)</f>
        <v>500000</v>
      </c>
      <c r="CX224" s="49" t="n">
        <f aca="false">MAX(0,CX222+CX223)</f>
        <v>500000</v>
      </c>
      <c r="CY224" s="49" t="n">
        <f aca="false">MAX(0,CY222+CY223)</f>
        <v>500000</v>
      </c>
      <c r="CZ224" s="49" t="n">
        <f aca="false">MAX(0,CZ222+CZ223)</f>
        <v>500000</v>
      </c>
      <c r="DA224" s="49" t="n">
        <f aca="false">MAX(0,DA222+DA223)</f>
        <v>500000</v>
      </c>
      <c r="DB224" s="49" t="n">
        <f aca="false">MAX(0,DB222+DB223)</f>
        <v>500000</v>
      </c>
      <c r="DC224" s="49" t="n">
        <f aca="false">MAX(0,DC222+DC223)</f>
        <v>500000</v>
      </c>
      <c r="DD224" s="49" t="n">
        <f aca="false">MAX(0,DD222+DD223)</f>
        <v>500000</v>
      </c>
      <c r="DE224" s="49" t="n">
        <f aca="false">MAX(0,DE222+DE223)</f>
        <v>500000</v>
      </c>
    </row>
    <row r="225" customFormat="false" ht="15" hidden="false" customHeight="true" outlineLevel="0" collapsed="false">
      <c r="A225" s="50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</row>
    <row r="226" customFormat="false" ht="15" hidden="false" customHeight="true" outlineLevel="0" collapsed="false">
      <c r="A226" s="52" t="s">
        <v>147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3"/>
      <c r="CT226" s="53"/>
      <c r="CU226" s="53"/>
      <c r="CV226" s="53"/>
      <c r="CW226" s="53"/>
      <c r="CX226" s="53"/>
      <c r="CY226" s="53"/>
      <c r="CZ226" s="53"/>
      <c r="DA226" s="53"/>
      <c r="DB226" s="53"/>
      <c r="DC226" s="53"/>
      <c r="DD226" s="53"/>
      <c r="DE226" s="53"/>
    </row>
    <row r="227" customFormat="false" ht="15" hidden="false" customHeight="true" outlineLevel="0" collapsed="false">
      <c r="A227" s="28" t="s">
        <v>148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customFormat="false" ht="15" hidden="false" customHeight="true" outlineLevel="0" collapsed="false">
      <c r="A230" s="54" t="s">
        <v>151</v>
      </c>
      <c r="B230" s="55"/>
      <c r="C230" s="55"/>
      <c r="D230" s="55"/>
      <c r="E230" s="55" t="n">
        <v>0</v>
      </c>
      <c r="F230" s="55" t="n">
        <v>0</v>
      </c>
      <c r="G230" s="55" t="n">
        <v>0</v>
      </c>
      <c r="H230" s="55" t="n">
        <v>0</v>
      </c>
      <c r="I230" s="55" t="n">
        <v>0</v>
      </c>
      <c r="J230" s="55" t="n">
        <v>0</v>
      </c>
      <c r="K230" s="55" t="n">
        <v>0</v>
      </c>
      <c r="L230" s="55" t="n">
        <v>0</v>
      </c>
      <c r="M230" s="55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55" t="n">
        <v>0</v>
      </c>
      <c r="V230" s="55" t="n">
        <v>0</v>
      </c>
      <c r="W230" s="55" t="n">
        <v>0</v>
      </c>
      <c r="X230" s="55" t="n">
        <v>0</v>
      </c>
      <c r="Y230" s="55" t="n">
        <v>0</v>
      </c>
      <c r="Z230" s="55" t="n">
        <v>0</v>
      </c>
      <c r="AA230" s="55" t="n">
        <v>0</v>
      </c>
      <c r="AB230" s="55" t="n">
        <v>0</v>
      </c>
      <c r="AC230" s="55" t="n">
        <v>0</v>
      </c>
      <c r="AD230" s="55" t="n">
        <v>0</v>
      </c>
      <c r="AE230" s="55" t="n">
        <v>0</v>
      </c>
      <c r="AF230" s="55" t="n">
        <v>0</v>
      </c>
      <c r="AG230" s="55" t="n">
        <v>0</v>
      </c>
      <c r="AH230" s="55" t="n">
        <v>0</v>
      </c>
      <c r="AI230" s="55" t="n">
        <v>0</v>
      </c>
      <c r="AJ230" s="55" t="n">
        <v>0</v>
      </c>
      <c r="AK230" s="55" t="n">
        <v>0</v>
      </c>
      <c r="AL230" s="55" t="n">
        <v>0</v>
      </c>
      <c r="AM230" s="55" t="n">
        <v>0</v>
      </c>
      <c r="AN230" s="55" t="n">
        <v>0</v>
      </c>
      <c r="AO230" s="55" t="n">
        <v>0</v>
      </c>
      <c r="AP230" s="55" t="n">
        <v>0</v>
      </c>
      <c r="AQ230" s="55" t="n">
        <v>0</v>
      </c>
      <c r="AR230" s="55" t="n">
        <v>0</v>
      </c>
      <c r="AS230" s="55" t="n">
        <v>0</v>
      </c>
      <c r="AT230" s="55" t="n">
        <v>0</v>
      </c>
      <c r="AU230" s="55" t="n">
        <v>0</v>
      </c>
      <c r="AV230" s="55" t="n">
        <v>0</v>
      </c>
      <c r="AW230" s="55" t="n">
        <v>0</v>
      </c>
      <c r="AX230" s="55" t="n">
        <v>0</v>
      </c>
      <c r="AY230" s="55" t="n">
        <v>0</v>
      </c>
      <c r="AZ230" s="55" t="n">
        <v>0</v>
      </c>
      <c r="BA230" s="55" t="n">
        <v>0</v>
      </c>
      <c r="BB230" s="55" t="n">
        <v>0</v>
      </c>
      <c r="BC230" s="55" t="n">
        <v>0</v>
      </c>
      <c r="BD230" s="55" t="n">
        <v>0</v>
      </c>
      <c r="BE230" s="55" t="n">
        <v>0</v>
      </c>
      <c r="BF230" s="55" t="n">
        <v>0</v>
      </c>
      <c r="BG230" s="55" t="n">
        <v>0</v>
      </c>
      <c r="BH230" s="55" t="n">
        <v>0</v>
      </c>
      <c r="BI230" s="55" t="n">
        <v>0</v>
      </c>
      <c r="BJ230" s="55" t="n">
        <v>0</v>
      </c>
      <c r="BK230" s="55" t="n">
        <v>0</v>
      </c>
      <c r="BL230" s="55" t="n">
        <v>0</v>
      </c>
      <c r="BM230" s="55" t="n">
        <v>0</v>
      </c>
      <c r="BN230" s="55" t="n">
        <v>0</v>
      </c>
      <c r="BO230" s="55" t="n">
        <v>0</v>
      </c>
      <c r="BP230" s="55" t="n">
        <v>0</v>
      </c>
      <c r="BQ230" s="55" t="n">
        <v>0</v>
      </c>
      <c r="BR230" s="55" t="n">
        <v>0</v>
      </c>
      <c r="BS230" s="55" t="n">
        <v>0</v>
      </c>
      <c r="BT230" s="55" t="n">
        <v>0</v>
      </c>
      <c r="BU230" s="55" t="n">
        <v>0</v>
      </c>
      <c r="BV230" s="55" t="n">
        <v>0</v>
      </c>
      <c r="BW230" s="55" t="n">
        <v>0</v>
      </c>
      <c r="BX230" s="55" t="n">
        <v>0</v>
      </c>
      <c r="BY230" s="55" t="n">
        <v>0</v>
      </c>
      <c r="BZ230" s="55" t="n">
        <v>0</v>
      </c>
      <c r="CA230" s="55" t="n">
        <v>0</v>
      </c>
      <c r="CB230" s="55" t="n">
        <v>0</v>
      </c>
      <c r="CC230" s="55" t="n">
        <v>0</v>
      </c>
      <c r="CD230" s="55" t="n">
        <v>0</v>
      </c>
      <c r="CE230" s="55" t="n">
        <v>0</v>
      </c>
      <c r="CF230" s="55" t="n">
        <v>0</v>
      </c>
      <c r="CG230" s="55" t="n">
        <v>0</v>
      </c>
      <c r="CH230" s="55" t="n">
        <v>0</v>
      </c>
      <c r="CI230" s="55" t="n">
        <v>0</v>
      </c>
      <c r="CJ230" s="55" t="n">
        <v>0</v>
      </c>
      <c r="CK230" s="55" t="n">
        <v>0</v>
      </c>
      <c r="CL230" s="55" t="n">
        <v>0</v>
      </c>
      <c r="CM230" s="55" t="n">
        <v>0</v>
      </c>
      <c r="CN230" s="55" t="n">
        <v>0</v>
      </c>
      <c r="CO230" s="55" t="n">
        <v>0</v>
      </c>
      <c r="CP230" s="55" t="n">
        <v>0</v>
      </c>
      <c r="CQ230" s="55" t="n">
        <v>0</v>
      </c>
      <c r="CR230" s="55" t="n">
        <v>0</v>
      </c>
      <c r="CS230" s="55" t="n">
        <v>0</v>
      </c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</row>
    <row r="231" customFormat="false" ht="15" hidden="false" customHeight="true" outlineLevel="0" collapsed="false">
      <c r="A231" s="56" t="s">
        <v>152</v>
      </c>
      <c r="B231" s="57"/>
      <c r="C231" s="57"/>
      <c r="D231" s="57"/>
      <c r="E231" s="57" t="n">
        <f aca="false">MAX(0,E227+E228+E229+E230)</f>
        <v>0</v>
      </c>
      <c r="F231" s="57" t="n">
        <f aca="false">MAX(0,F227+F228+F229+F230)</f>
        <v>0</v>
      </c>
      <c r="G231" s="57" t="n">
        <f aca="false">MAX(0,G227+G228+G229+G230)</f>
        <v>0</v>
      </c>
      <c r="H231" s="57" t="n">
        <f aca="false">MAX(0,H227+H228+H229+H230)</f>
        <v>0</v>
      </c>
      <c r="I231" s="57" t="n">
        <f aca="false">MAX(0,I227+I228+I229+I230)</f>
        <v>0</v>
      </c>
      <c r="J231" s="57" t="n">
        <f aca="false">MAX(0,J227+J228+J229+J230)</f>
        <v>0</v>
      </c>
      <c r="K231" s="57" t="n">
        <f aca="false">MAX(0,K227+K228+K229+K230)</f>
        <v>0</v>
      </c>
      <c r="L231" s="57" t="n">
        <f aca="false">MAX(0,L227+L228+L229+L230)</f>
        <v>0</v>
      </c>
      <c r="M231" s="57" t="n">
        <f aca="false">MAX(0,M227+M228+M229+M230)</f>
        <v>0</v>
      </c>
      <c r="N231" s="57" t="n">
        <f aca="false">MAX(0,N227+N228+N229+N230)</f>
        <v>0</v>
      </c>
      <c r="O231" s="57" t="n">
        <f aca="false">MAX(0,O227+O228+O229+O230)</f>
        <v>0</v>
      </c>
      <c r="P231" s="57" t="n">
        <f aca="false">MAX(0,P227+P228+P229+P230)</f>
        <v>0</v>
      </c>
      <c r="Q231" s="57" t="n">
        <f aca="false">MAX(0,Q227+Q228+Q229+Q230)</f>
        <v>0</v>
      </c>
      <c r="R231" s="57" t="n">
        <f aca="false">MAX(0,R227+R228+R229+R230)</f>
        <v>0</v>
      </c>
      <c r="S231" s="57" t="n">
        <f aca="false">MAX(0,S227+S228+S229+S230)</f>
        <v>0</v>
      </c>
      <c r="T231" s="57" t="n">
        <f aca="false">MAX(0,T227+T228+T229+T230)</f>
        <v>0</v>
      </c>
      <c r="U231" s="57" t="n">
        <f aca="false">MAX(0,U227+U228+U229+U230)</f>
        <v>0</v>
      </c>
      <c r="V231" s="57" t="n">
        <f aca="false">MAX(0,V227+V228+V229+V230)</f>
        <v>0</v>
      </c>
      <c r="W231" s="57" t="n">
        <f aca="false">MAX(0,W227+W228+W229+W230)</f>
        <v>0</v>
      </c>
      <c r="X231" s="57" t="n">
        <f aca="false">MAX(0,X227+X228+X229+X230)</f>
        <v>0</v>
      </c>
      <c r="Y231" s="57" t="n">
        <f aca="false">MAX(0,Y227+Y228+Y229+Y230)</f>
        <v>0</v>
      </c>
      <c r="Z231" s="57" t="n">
        <f aca="false">MAX(0,Z227+Z228+Z229+Z230)</f>
        <v>0</v>
      </c>
      <c r="AA231" s="57" t="n">
        <f aca="false">MAX(0,AA227+AA228+AA229+AA230)</f>
        <v>0</v>
      </c>
      <c r="AB231" s="57" t="n">
        <f aca="false">MAX(0,AB227+AB228+AB229+AB230)</f>
        <v>0</v>
      </c>
      <c r="AC231" s="57" t="n">
        <f aca="false">MAX(0,AC227+AC228+AC229+AC230)</f>
        <v>0</v>
      </c>
      <c r="AD231" s="57" t="n">
        <f aca="false">MAX(0,AD227+AD228+AD229+AD230)</f>
        <v>0</v>
      </c>
      <c r="AE231" s="57" t="n">
        <f aca="false">MAX(0,AE227+AE228+AE229+AE230)</f>
        <v>0</v>
      </c>
      <c r="AF231" s="57" t="n">
        <f aca="false">MAX(0,AF227+AF228+AF229+AF230)</f>
        <v>0</v>
      </c>
      <c r="AG231" s="57" t="n">
        <f aca="false">MAX(0,AG227+AG228+AG229+AG230)</f>
        <v>0</v>
      </c>
      <c r="AH231" s="57" t="n">
        <f aca="false">MAX(0,AH227+AH228+AH229+AH230)</f>
        <v>0</v>
      </c>
      <c r="AI231" s="57" t="n">
        <f aca="false">MAX(0,AI227+AI228+AI229+AI230)</f>
        <v>0</v>
      </c>
      <c r="AJ231" s="57" t="n">
        <f aca="false">MAX(0,AJ227+AJ228+AJ229+AJ230)</f>
        <v>0</v>
      </c>
      <c r="AK231" s="57" t="n">
        <f aca="false">MAX(0,AK227+AK228+AK229+AK230)</f>
        <v>0</v>
      </c>
      <c r="AL231" s="57" t="n">
        <f aca="false">MAX(0,AL227+AL228+AL229+AL230)</f>
        <v>0</v>
      </c>
      <c r="AM231" s="57" t="n">
        <f aca="false">MAX(0,AM227+AM228+AM229+AM230)</f>
        <v>0</v>
      </c>
      <c r="AN231" s="57" t="n">
        <f aca="false">MAX(0,AN227+AN228+AN229+AN230)</f>
        <v>0</v>
      </c>
      <c r="AO231" s="57" t="n">
        <f aca="false">MAX(0,AO227+AO228+AO229+AO230)</f>
        <v>0</v>
      </c>
      <c r="AP231" s="57" t="n">
        <f aca="false">MAX(0,AP227+AP228+AP229+AP230)</f>
        <v>0</v>
      </c>
      <c r="AQ231" s="57" t="n">
        <f aca="false">MAX(0,AQ227+AQ228+AQ229+AQ230)</f>
        <v>0</v>
      </c>
      <c r="AR231" s="57" t="n">
        <f aca="false">MAX(0,AR227+AR228+AR229+AR230)</f>
        <v>0</v>
      </c>
      <c r="AS231" s="57" t="n">
        <f aca="false">MAX(0,AS227+AS228+AS229+AS230)</f>
        <v>0</v>
      </c>
      <c r="AT231" s="57" t="n">
        <f aca="false">MAX(0,AT227+AT228+AT229+AT230)</f>
        <v>0</v>
      </c>
      <c r="AU231" s="57" t="n">
        <f aca="false">MAX(0,AU227+AU228+AU229+AU230)</f>
        <v>0</v>
      </c>
      <c r="AV231" s="57" t="n">
        <f aca="false">MAX(0,AV227+AV228+AV229+AV230)</f>
        <v>0</v>
      </c>
      <c r="AW231" s="57" t="n">
        <f aca="false">MAX(0,AW227+AW228+AW229+AW230)</f>
        <v>0</v>
      </c>
      <c r="AX231" s="57" t="n">
        <f aca="false">MAX(0,AX227+AX228+AX229+AX230)</f>
        <v>0</v>
      </c>
      <c r="AY231" s="57" t="n">
        <f aca="false">MAX(0,AY227+AY228+AY229+AY230)</f>
        <v>0</v>
      </c>
      <c r="AZ231" s="57" t="n">
        <f aca="false">MAX(0,AZ227+AZ228+AZ229+AZ230)</f>
        <v>0</v>
      </c>
      <c r="BA231" s="57" t="n">
        <f aca="false">MAX(0,BA227+BA228+BA229+BA230)</f>
        <v>0</v>
      </c>
      <c r="BB231" s="57" t="n">
        <f aca="false">MAX(0,BB227+BB228+BB229+BB230)</f>
        <v>0</v>
      </c>
      <c r="BC231" s="57" t="n">
        <f aca="false">MAX(0,BC227+BC228+BC229+BC230)</f>
        <v>0</v>
      </c>
      <c r="BD231" s="57" t="n">
        <f aca="false">MAX(0,BD227+BD228+BD229+BD230)</f>
        <v>0</v>
      </c>
      <c r="BE231" s="57" t="n">
        <f aca="false">MAX(0,BE227+BE228+BE229+BE230)</f>
        <v>0</v>
      </c>
      <c r="BF231" s="57" t="n">
        <f aca="false">MAX(0,BF227+BF228+BF229+BF230)</f>
        <v>0</v>
      </c>
      <c r="BG231" s="57" t="n">
        <f aca="false">MAX(0,BG227+BG228+BG229+BG230)</f>
        <v>0</v>
      </c>
      <c r="BH231" s="57" t="n">
        <f aca="false">MAX(0,BH227+BH228+BH229+BH230)</f>
        <v>0</v>
      </c>
      <c r="BI231" s="57" t="n">
        <f aca="false">MAX(0,BI227+BI228+BI229+BI230)</f>
        <v>0</v>
      </c>
      <c r="BJ231" s="57" t="n">
        <f aca="false">MAX(0,BJ227+BJ228+BJ229+BJ230)</f>
        <v>0</v>
      </c>
      <c r="BK231" s="57" t="n">
        <f aca="false">MAX(0,BK227+BK228+BK229+BK230)</f>
        <v>0</v>
      </c>
      <c r="BL231" s="57" t="n">
        <f aca="false">MAX(0,BL227+BL228+BL229+BL230)</f>
        <v>0</v>
      </c>
      <c r="BM231" s="57" t="n">
        <f aca="false">MAX(0,BM227+BM228+BM229+BM230)</f>
        <v>0</v>
      </c>
      <c r="BN231" s="57" t="n">
        <f aca="false">MAX(0,BN227+BN228+BN229+BN230)</f>
        <v>0</v>
      </c>
      <c r="BO231" s="57" t="n">
        <f aca="false">MAX(0,BO227+BO228+BO229+BO230)</f>
        <v>0</v>
      </c>
      <c r="BP231" s="57" t="n">
        <f aca="false">MAX(0,BP227+BP228+BP229+BP230)</f>
        <v>0</v>
      </c>
      <c r="BQ231" s="57" t="n">
        <f aca="false">MAX(0,BQ227+BQ228+BQ229+BQ230)</f>
        <v>0</v>
      </c>
      <c r="BR231" s="57" t="n">
        <f aca="false">MAX(0,BR227+BR228+BR229+BR230)</f>
        <v>0</v>
      </c>
      <c r="BS231" s="57" t="n">
        <f aca="false">MAX(0,BS227+BS228+BS229+BS230)</f>
        <v>0</v>
      </c>
      <c r="BT231" s="57" t="n">
        <f aca="false">MAX(0,BT227+BT228+BT229+BT230)</f>
        <v>0</v>
      </c>
      <c r="BU231" s="57" t="n">
        <f aca="false">MAX(0,BU227+BU228+BU229+BU230)</f>
        <v>0</v>
      </c>
      <c r="BV231" s="57" t="n">
        <f aca="false">MAX(0,BV227+BV228+BV229+BV230)</f>
        <v>0</v>
      </c>
      <c r="BW231" s="57" t="n">
        <f aca="false">MAX(0,BW227+BW228+BW229+BW230)</f>
        <v>0</v>
      </c>
      <c r="BX231" s="57" t="n">
        <f aca="false">MAX(0,BX227+BX228+BX229+BX230)</f>
        <v>0</v>
      </c>
      <c r="BY231" s="57" t="n">
        <f aca="false">MAX(0,BY227+BY228+BY229+BY230)</f>
        <v>0</v>
      </c>
      <c r="BZ231" s="57" t="n">
        <f aca="false">MAX(0,BZ227+BZ228+BZ229+BZ230)</f>
        <v>0</v>
      </c>
      <c r="CA231" s="57" t="n">
        <f aca="false">MAX(0,CA227+CA228+CA229+CA230)</f>
        <v>0</v>
      </c>
      <c r="CB231" s="57" t="n">
        <f aca="false">MAX(0,CB227+CB228+CB229+CB230)</f>
        <v>0</v>
      </c>
      <c r="CC231" s="57" t="n">
        <f aca="false">MAX(0,CC227+CC228+CC229+CC230)</f>
        <v>0</v>
      </c>
      <c r="CD231" s="57" t="n">
        <f aca="false">MAX(0,CD227+CD228+CD229+CD230)</f>
        <v>0</v>
      </c>
      <c r="CE231" s="57" t="n">
        <f aca="false">MAX(0,CE227+CE228+CE229+CE230)</f>
        <v>0</v>
      </c>
      <c r="CF231" s="57" t="n">
        <f aca="false">MAX(0,CF227+CF228+CF229+CF230)</f>
        <v>0</v>
      </c>
      <c r="CG231" s="57" t="n">
        <f aca="false">MAX(0,CG227+CG228+CG229+CG230)</f>
        <v>0</v>
      </c>
      <c r="CH231" s="57" t="n">
        <f aca="false">MAX(0,CH227+CH228+CH229+CH230)</f>
        <v>0</v>
      </c>
      <c r="CI231" s="57" t="n">
        <f aca="false">MAX(0,CI227+CI228+CI229+CI230)</f>
        <v>0</v>
      </c>
      <c r="CJ231" s="57" t="n">
        <f aca="false">MAX(0,CJ227+CJ228+CJ229+CJ230)</f>
        <v>0</v>
      </c>
      <c r="CK231" s="57" t="n">
        <f aca="false">MAX(0,CK227+CK228+CK229+CK230)</f>
        <v>0</v>
      </c>
      <c r="CL231" s="57" t="n">
        <f aca="false">MAX(0,CL227+CL228+CL229+CL230)</f>
        <v>0</v>
      </c>
      <c r="CM231" s="57" t="n">
        <f aca="false">MAX(0,CM227+CM228+CM229+CM230)</f>
        <v>0</v>
      </c>
      <c r="CN231" s="57" t="n">
        <f aca="false">MAX(0,CN227+CN228+CN229+CN230)</f>
        <v>0</v>
      </c>
      <c r="CO231" s="57" t="n">
        <f aca="false">MAX(0,CO227+CO228+CO229+CO230)</f>
        <v>0</v>
      </c>
      <c r="CP231" s="57" t="n">
        <f aca="false">MAX(0,CP227+CP228+CP229+CP230)</f>
        <v>0</v>
      </c>
      <c r="CQ231" s="57" t="n">
        <f aca="false">MAX(0,CQ227+CQ228+CQ229+CQ230)</f>
        <v>0</v>
      </c>
      <c r="CR231" s="57" t="n">
        <f aca="false">MAX(0,CR227+CR228+CR229+CR230)</f>
        <v>0</v>
      </c>
      <c r="CS231" s="57" t="n">
        <f aca="false">MAX(0,CS227+CS228+CS229+CS230)</f>
        <v>0</v>
      </c>
      <c r="CT231" s="57" t="n">
        <f aca="false">MAX(0,CT227+CT228+CT229+CT230)</f>
        <v>0</v>
      </c>
      <c r="CU231" s="57" t="n">
        <f aca="false">MAX(0,CU227+CU228+CU229+CU230)</f>
        <v>0</v>
      </c>
      <c r="CV231" s="57" t="n">
        <f aca="false">MAX(0,CV227+CV228+CV229+CV230)</f>
        <v>0</v>
      </c>
      <c r="CW231" s="57" t="n">
        <f aca="false">MAX(0,CW227+CW228+CW229+CW230)</f>
        <v>0</v>
      </c>
      <c r="CX231" s="57" t="n">
        <f aca="false">MAX(0,CX227+CX228+CX229+CX230)</f>
        <v>0</v>
      </c>
      <c r="CY231" s="57" t="n">
        <f aca="false">MAX(0,CY227+CY228+CY229+CY230)</f>
        <v>0</v>
      </c>
      <c r="CZ231" s="57" t="n">
        <f aca="false">MAX(0,CZ227+CZ228+CZ229+CZ230)</f>
        <v>0</v>
      </c>
      <c r="DA231" s="57" t="n">
        <f aca="false">MAX(0,DA227+DA228+DA229+DA230)</f>
        <v>0</v>
      </c>
      <c r="DB231" s="57" t="n">
        <f aca="false">MAX(0,DB227+DB228+DB229+DB230)</f>
        <v>0</v>
      </c>
      <c r="DC231" s="57" t="n">
        <f aca="false">MAX(0,DC227+DC228+DC229+DC230)</f>
        <v>0</v>
      </c>
      <c r="DD231" s="57" t="n">
        <f aca="false">MAX(0,DD227+DD228+DD229+DD230)</f>
        <v>0</v>
      </c>
      <c r="DE231" s="57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customFormat="false" ht="15" hidden="false" customHeight="true" outlineLevel="0" collapsed="false">
      <c r="A235" s="54" t="s">
        <v>156</v>
      </c>
      <c r="B235" s="55"/>
      <c r="C235" s="55"/>
      <c r="D235" s="55"/>
      <c r="E235" s="55" t="n">
        <v>0</v>
      </c>
      <c r="F235" s="55" t="n">
        <v>0</v>
      </c>
      <c r="G235" s="55" t="n">
        <v>0</v>
      </c>
      <c r="H235" s="55" t="n">
        <v>0</v>
      </c>
      <c r="I235" s="55" t="n">
        <v>0</v>
      </c>
      <c r="J235" s="55" t="n">
        <v>0</v>
      </c>
      <c r="K235" s="55" t="n">
        <v>0</v>
      </c>
      <c r="L235" s="55" t="n">
        <v>0</v>
      </c>
      <c r="M235" s="55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55" t="n">
        <v>0</v>
      </c>
      <c r="V235" s="55" t="n">
        <v>0</v>
      </c>
      <c r="W235" s="55" t="n">
        <v>0</v>
      </c>
      <c r="X235" s="55" t="n">
        <v>0</v>
      </c>
      <c r="Y235" s="55" t="n">
        <v>0</v>
      </c>
      <c r="Z235" s="55" t="n">
        <v>0</v>
      </c>
      <c r="AA235" s="55" t="n">
        <v>0</v>
      </c>
      <c r="AB235" s="55" t="n">
        <v>0</v>
      </c>
      <c r="AC235" s="55" t="n">
        <v>0</v>
      </c>
      <c r="AD235" s="55" t="n">
        <v>0</v>
      </c>
      <c r="AE235" s="55" t="n">
        <v>0</v>
      </c>
      <c r="AF235" s="55" t="n">
        <v>0</v>
      </c>
      <c r="AG235" s="55" t="n">
        <v>0</v>
      </c>
      <c r="AH235" s="55" t="n">
        <v>0</v>
      </c>
      <c r="AI235" s="55" t="n">
        <v>0</v>
      </c>
      <c r="AJ235" s="55" t="n">
        <v>0</v>
      </c>
      <c r="AK235" s="55" t="n">
        <v>0</v>
      </c>
      <c r="AL235" s="55" t="n">
        <v>0</v>
      </c>
      <c r="AM235" s="55" t="n">
        <v>0</v>
      </c>
      <c r="AN235" s="55" t="n">
        <v>0</v>
      </c>
      <c r="AO235" s="55" t="n">
        <v>0</v>
      </c>
      <c r="AP235" s="55" t="n">
        <v>0</v>
      </c>
      <c r="AQ235" s="55" t="n">
        <v>0</v>
      </c>
      <c r="AR235" s="55" t="n">
        <v>0</v>
      </c>
      <c r="AS235" s="55" t="n">
        <v>0</v>
      </c>
      <c r="AT235" s="55" t="n">
        <v>0</v>
      </c>
      <c r="AU235" s="55" t="n">
        <v>0</v>
      </c>
      <c r="AV235" s="55" t="n">
        <v>0</v>
      </c>
      <c r="AW235" s="55" t="n">
        <v>0</v>
      </c>
      <c r="AX235" s="55" t="n">
        <v>0</v>
      </c>
      <c r="AY235" s="55" t="n">
        <v>0</v>
      </c>
      <c r="AZ235" s="55" t="n">
        <v>0</v>
      </c>
      <c r="BA235" s="55" t="n">
        <v>0</v>
      </c>
      <c r="BB235" s="55" t="n">
        <v>0</v>
      </c>
      <c r="BC235" s="55" t="n">
        <v>0</v>
      </c>
      <c r="BD235" s="55" t="n">
        <v>0</v>
      </c>
      <c r="BE235" s="55" t="n">
        <v>0</v>
      </c>
      <c r="BF235" s="55" t="n">
        <v>0</v>
      </c>
      <c r="BG235" s="55" t="n">
        <v>0</v>
      </c>
      <c r="BH235" s="55" t="n">
        <v>0</v>
      </c>
      <c r="BI235" s="55" t="n">
        <v>0</v>
      </c>
      <c r="BJ235" s="55" t="n">
        <v>0</v>
      </c>
      <c r="BK235" s="55" t="n">
        <v>0</v>
      </c>
      <c r="BL235" s="55" t="n">
        <v>0</v>
      </c>
      <c r="BM235" s="55" t="n">
        <v>0</v>
      </c>
      <c r="BN235" s="55" t="n">
        <v>0</v>
      </c>
      <c r="BO235" s="55" t="n">
        <v>0</v>
      </c>
      <c r="BP235" s="55" t="n">
        <v>0</v>
      </c>
      <c r="BQ235" s="55" t="n">
        <v>0</v>
      </c>
      <c r="BR235" s="55" t="n">
        <v>0</v>
      </c>
      <c r="BS235" s="55" t="n">
        <v>0</v>
      </c>
      <c r="BT235" s="55" t="n">
        <v>0</v>
      </c>
      <c r="BU235" s="55" t="n">
        <v>0</v>
      </c>
      <c r="BV235" s="55" t="n">
        <v>0</v>
      </c>
      <c r="BW235" s="55" t="n">
        <v>0</v>
      </c>
      <c r="BX235" s="55" t="n">
        <v>0</v>
      </c>
      <c r="BY235" s="55" t="n">
        <v>0</v>
      </c>
      <c r="BZ235" s="55" t="n">
        <v>0</v>
      </c>
      <c r="CA235" s="55" t="n">
        <v>0</v>
      </c>
      <c r="CB235" s="55" t="n">
        <v>0</v>
      </c>
      <c r="CC235" s="55" t="n">
        <v>0</v>
      </c>
      <c r="CD235" s="55" t="n">
        <v>0</v>
      </c>
      <c r="CE235" s="55" t="n">
        <v>0</v>
      </c>
      <c r="CF235" s="55" t="n">
        <v>0</v>
      </c>
      <c r="CG235" s="55" t="n">
        <v>0</v>
      </c>
      <c r="CH235" s="55" t="n">
        <v>0</v>
      </c>
      <c r="CI235" s="55" t="n">
        <v>0</v>
      </c>
      <c r="CJ235" s="55" t="n">
        <v>0</v>
      </c>
      <c r="CK235" s="55" t="n">
        <v>0</v>
      </c>
      <c r="CL235" s="55" t="n">
        <v>0</v>
      </c>
      <c r="CM235" s="55" t="n">
        <v>0</v>
      </c>
      <c r="CN235" s="55" t="n">
        <v>0</v>
      </c>
      <c r="CO235" s="55" t="n">
        <v>0</v>
      </c>
      <c r="CP235" s="55" t="n">
        <v>0</v>
      </c>
      <c r="CQ235" s="55" t="n">
        <v>0</v>
      </c>
      <c r="CR235" s="55" t="n">
        <v>0</v>
      </c>
      <c r="CS235" s="55" t="n">
        <v>0</v>
      </c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</row>
    <row r="236" customFormat="false" ht="15" hidden="false" customHeight="true" outlineLevel="0" collapsed="false">
      <c r="A236" s="56" t="s">
        <v>157</v>
      </c>
      <c r="B236" s="57"/>
      <c r="C236" s="57"/>
      <c r="D236" s="57"/>
      <c r="E236" s="57" t="n">
        <f aca="false">MAX(0,E232+E233+E234+E235)</f>
        <v>0</v>
      </c>
      <c r="F236" s="57" t="n">
        <f aca="false">MAX(0,F232+F233+F234+F235)</f>
        <v>0</v>
      </c>
      <c r="G236" s="57" t="n">
        <f aca="false">MAX(0,G232+G233+G234+G235)</f>
        <v>0</v>
      </c>
      <c r="H236" s="57" t="n">
        <f aca="false">MAX(0,H232+H233+H234+H235)</f>
        <v>0</v>
      </c>
      <c r="I236" s="57" t="n">
        <f aca="false">MAX(0,I232+I233+I234+I235)</f>
        <v>0</v>
      </c>
      <c r="J236" s="57" t="n">
        <f aca="false">MAX(0,J232+J233+J234+J235)</f>
        <v>0</v>
      </c>
      <c r="K236" s="57" t="n">
        <f aca="false">MAX(0,K232+K233+K234+K235)</f>
        <v>0</v>
      </c>
      <c r="L236" s="57" t="n">
        <f aca="false">MAX(0,L232+L233+L234+L235)</f>
        <v>0</v>
      </c>
      <c r="M236" s="57" t="n">
        <f aca="false">MAX(0,M232+M233+M234+M235)</f>
        <v>0</v>
      </c>
      <c r="N236" s="57" t="n">
        <f aca="false">MAX(0,N232+N233+N234+N235)</f>
        <v>0</v>
      </c>
      <c r="O236" s="57" t="n">
        <f aca="false">MAX(0,O232+O233+O234+O235)</f>
        <v>0</v>
      </c>
      <c r="P236" s="57" t="n">
        <f aca="false">MAX(0,P232+P233+P234+P235)</f>
        <v>0</v>
      </c>
      <c r="Q236" s="57" t="n">
        <f aca="false">MAX(0,Q232+Q233+Q234+Q235)</f>
        <v>0</v>
      </c>
      <c r="R236" s="57" t="n">
        <f aca="false">MAX(0,R232+R233+R234+R235)</f>
        <v>0</v>
      </c>
      <c r="S236" s="57" t="n">
        <f aca="false">MAX(0,S232+S233+S234+S235)</f>
        <v>0</v>
      </c>
      <c r="T236" s="57" t="n">
        <f aca="false">MAX(0,T232+T233+T234+T235)</f>
        <v>0</v>
      </c>
      <c r="U236" s="57" t="n">
        <f aca="false">MAX(0,U232+U233+U234+U235)</f>
        <v>0</v>
      </c>
      <c r="V236" s="57" t="n">
        <f aca="false">MAX(0,V232+V233+V234+V235)</f>
        <v>0</v>
      </c>
      <c r="W236" s="57" t="n">
        <f aca="false">MAX(0,W232+W233+W234+W235)</f>
        <v>0</v>
      </c>
      <c r="X236" s="57" t="n">
        <f aca="false">MAX(0,X232+X233+X234+X235)</f>
        <v>0</v>
      </c>
      <c r="Y236" s="57" t="n">
        <f aca="false">MAX(0,Y232+Y233+Y234+Y235)</f>
        <v>0</v>
      </c>
      <c r="Z236" s="57" t="n">
        <f aca="false">MAX(0,Z232+Z233+Z234+Z235)</f>
        <v>0</v>
      </c>
      <c r="AA236" s="57" t="n">
        <f aca="false">MAX(0,AA232+AA233+AA234+AA235)</f>
        <v>0</v>
      </c>
      <c r="AB236" s="57" t="n">
        <f aca="false">MAX(0,AB232+AB233+AB234+AB235)</f>
        <v>0</v>
      </c>
      <c r="AC236" s="57" t="n">
        <f aca="false">MAX(0,AC232+AC233+AC234+AC235)</f>
        <v>0</v>
      </c>
      <c r="AD236" s="57" t="n">
        <f aca="false">MAX(0,AD232+AD233+AD234+AD235)</f>
        <v>0</v>
      </c>
      <c r="AE236" s="57" t="n">
        <f aca="false">MAX(0,AE232+AE233+AE234+AE235)</f>
        <v>0</v>
      </c>
      <c r="AF236" s="57" t="n">
        <f aca="false">MAX(0,AF232+AF233+AF234+AF235)</f>
        <v>0</v>
      </c>
      <c r="AG236" s="57" t="n">
        <f aca="false">MAX(0,AG232+AG233+AG234+AG235)</f>
        <v>0</v>
      </c>
      <c r="AH236" s="57" t="n">
        <f aca="false">MAX(0,AH232+AH233+AH234+AH235)</f>
        <v>0</v>
      </c>
      <c r="AI236" s="57" t="n">
        <f aca="false">MAX(0,AI232+AI233+AI234+AI235)</f>
        <v>0</v>
      </c>
      <c r="AJ236" s="57" t="n">
        <f aca="false">MAX(0,AJ232+AJ233+AJ234+AJ235)</f>
        <v>0</v>
      </c>
      <c r="AK236" s="57" t="n">
        <f aca="false">MAX(0,AK232+AK233+AK234+AK235)</f>
        <v>0</v>
      </c>
      <c r="AL236" s="57" t="n">
        <f aca="false">MAX(0,AL232+AL233+AL234+AL235)</f>
        <v>0</v>
      </c>
      <c r="AM236" s="57" t="n">
        <f aca="false">MAX(0,AM232+AM233+AM234+AM235)</f>
        <v>0</v>
      </c>
      <c r="AN236" s="57" t="n">
        <f aca="false">MAX(0,AN232+AN233+AN234+AN235)</f>
        <v>0</v>
      </c>
      <c r="AO236" s="57" t="n">
        <f aca="false">MAX(0,AO232+AO233+AO234+AO235)</f>
        <v>0</v>
      </c>
      <c r="AP236" s="57" t="n">
        <f aca="false">MAX(0,AP232+AP233+AP234+AP235)</f>
        <v>0</v>
      </c>
      <c r="AQ236" s="57" t="n">
        <f aca="false">MAX(0,AQ232+AQ233+AQ234+AQ235)</f>
        <v>0</v>
      </c>
      <c r="AR236" s="57" t="n">
        <f aca="false">MAX(0,AR232+AR233+AR234+AR235)</f>
        <v>0</v>
      </c>
      <c r="AS236" s="57" t="n">
        <f aca="false">MAX(0,AS232+AS233+AS234+AS235)</f>
        <v>0</v>
      </c>
      <c r="AT236" s="57" t="n">
        <f aca="false">MAX(0,AT232+AT233+AT234+AT235)</f>
        <v>0</v>
      </c>
      <c r="AU236" s="57" t="n">
        <f aca="false">MAX(0,AU232+AU233+AU234+AU235)</f>
        <v>0</v>
      </c>
      <c r="AV236" s="57" t="n">
        <f aca="false">MAX(0,AV232+AV233+AV234+AV235)</f>
        <v>0</v>
      </c>
      <c r="AW236" s="57" t="n">
        <f aca="false">MAX(0,AW232+AW233+AW234+AW235)</f>
        <v>0</v>
      </c>
      <c r="AX236" s="57" t="n">
        <f aca="false">MAX(0,AX232+AX233+AX234+AX235)</f>
        <v>0</v>
      </c>
      <c r="AY236" s="57" t="n">
        <f aca="false">MAX(0,AY232+AY233+AY234+AY235)</f>
        <v>0</v>
      </c>
      <c r="AZ236" s="57" t="n">
        <f aca="false">MAX(0,AZ232+AZ233+AZ234+AZ235)</f>
        <v>0</v>
      </c>
      <c r="BA236" s="57" t="n">
        <f aca="false">MAX(0,BA232+BA233+BA234+BA235)</f>
        <v>0</v>
      </c>
      <c r="BB236" s="57" t="n">
        <f aca="false">MAX(0,BB232+BB233+BB234+BB235)</f>
        <v>0</v>
      </c>
      <c r="BC236" s="57" t="n">
        <f aca="false">MAX(0,BC232+BC233+BC234+BC235)</f>
        <v>0</v>
      </c>
      <c r="BD236" s="57" t="n">
        <f aca="false">MAX(0,BD232+BD233+BD234+BD235)</f>
        <v>0</v>
      </c>
      <c r="BE236" s="57" t="n">
        <f aca="false">MAX(0,BE232+BE233+BE234+BE235)</f>
        <v>0</v>
      </c>
      <c r="BF236" s="57" t="n">
        <f aca="false">MAX(0,BF232+BF233+BF234+BF235)</f>
        <v>0</v>
      </c>
      <c r="BG236" s="57" t="n">
        <f aca="false">MAX(0,BG232+BG233+BG234+BG235)</f>
        <v>0</v>
      </c>
      <c r="BH236" s="57" t="n">
        <f aca="false">MAX(0,BH232+BH233+BH234+BH235)</f>
        <v>0</v>
      </c>
      <c r="BI236" s="57" t="n">
        <f aca="false">MAX(0,BI232+BI233+BI234+BI235)</f>
        <v>0</v>
      </c>
      <c r="BJ236" s="57" t="n">
        <f aca="false">MAX(0,BJ232+BJ233+BJ234+BJ235)</f>
        <v>0</v>
      </c>
      <c r="BK236" s="57" t="n">
        <f aca="false">MAX(0,BK232+BK233+BK234+BK235)</f>
        <v>0</v>
      </c>
      <c r="BL236" s="57" t="n">
        <f aca="false">MAX(0,BL232+BL233+BL234+BL235)</f>
        <v>0</v>
      </c>
      <c r="BM236" s="57" t="n">
        <f aca="false">MAX(0,BM232+BM233+BM234+BM235)</f>
        <v>0</v>
      </c>
      <c r="BN236" s="57" t="n">
        <f aca="false">MAX(0,BN232+BN233+BN234+BN235)</f>
        <v>0</v>
      </c>
      <c r="BO236" s="57" t="n">
        <f aca="false">MAX(0,BO232+BO233+BO234+BO235)</f>
        <v>0</v>
      </c>
      <c r="BP236" s="57" t="n">
        <f aca="false">MAX(0,BP232+BP233+BP234+BP235)</f>
        <v>0</v>
      </c>
      <c r="BQ236" s="57" t="n">
        <f aca="false">MAX(0,BQ232+BQ233+BQ234+BQ235)</f>
        <v>0</v>
      </c>
      <c r="BR236" s="57" t="n">
        <f aca="false">MAX(0,BR232+BR233+BR234+BR235)</f>
        <v>0</v>
      </c>
      <c r="BS236" s="57" t="n">
        <f aca="false">MAX(0,BS232+BS233+BS234+BS235)</f>
        <v>0</v>
      </c>
      <c r="BT236" s="57" t="n">
        <f aca="false">MAX(0,BT232+BT233+BT234+BT235)</f>
        <v>0</v>
      </c>
      <c r="BU236" s="57" t="n">
        <f aca="false">MAX(0,BU232+BU233+BU234+BU235)</f>
        <v>0</v>
      </c>
      <c r="BV236" s="57" t="n">
        <f aca="false">MAX(0,BV232+BV233+BV234+BV235)</f>
        <v>0</v>
      </c>
      <c r="BW236" s="57" t="n">
        <f aca="false">MAX(0,BW232+BW233+BW234+BW235)</f>
        <v>0</v>
      </c>
      <c r="BX236" s="57" t="n">
        <f aca="false">MAX(0,BX232+BX233+BX234+BX235)</f>
        <v>0</v>
      </c>
      <c r="BY236" s="57" t="n">
        <f aca="false">MAX(0,BY232+BY233+BY234+BY235)</f>
        <v>0</v>
      </c>
      <c r="BZ236" s="57" t="n">
        <f aca="false">MAX(0,BZ232+BZ233+BZ234+BZ235)</f>
        <v>0</v>
      </c>
      <c r="CA236" s="57" t="n">
        <f aca="false">MAX(0,CA232+CA233+CA234+CA235)</f>
        <v>0</v>
      </c>
      <c r="CB236" s="57" t="n">
        <f aca="false">MAX(0,CB232+CB233+CB234+CB235)</f>
        <v>0</v>
      </c>
      <c r="CC236" s="57" t="n">
        <f aca="false">MAX(0,CC232+CC233+CC234+CC235)</f>
        <v>0</v>
      </c>
      <c r="CD236" s="57" t="n">
        <f aca="false">MAX(0,CD232+CD233+CD234+CD235)</f>
        <v>0</v>
      </c>
      <c r="CE236" s="57" t="n">
        <f aca="false">MAX(0,CE232+CE233+CE234+CE235)</f>
        <v>0</v>
      </c>
      <c r="CF236" s="57" t="n">
        <f aca="false">MAX(0,CF232+CF233+CF234+CF235)</f>
        <v>0</v>
      </c>
      <c r="CG236" s="57" t="n">
        <f aca="false">MAX(0,CG232+CG233+CG234+CG235)</f>
        <v>0</v>
      </c>
      <c r="CH236" s="57" t="n">
        <f aca="false">MAX(0,CH232+CH233+CH234+CH235)</f>
        <v>0</v>
      </c>
      <c r="CI236" s="57" t="n">
        <f aca="false">MAX(0,CI232+CI233+CI234+CI235)</f>
        <v>0</v>
      </c>
      <c r="CJ236" s="57" t="n">
        <f aca="false">MAX(0,CJ232+CJ233+CJ234+CJ235)</f>
        <v>0</v>
      </c>
      <c r="CK236" s="57" t="n">
        <f aca="false">MAX(0,CK232+CK233+CK234+CK235)</f>
        <v>0</v>
      </c>
      <c r="CL236" s="57" t="n">
        <f aca="false">MAX(0,CL232+CL233+CL234+CL235)</f>
        <v>0</v>
      </c>
      <c r="CM236" s="57" t="n">
        <f aca="false">MAX(0,CM232+CM233+CM234+CM235)</f>
        <v>0</v>
      </c>
      <c r="CN236" s="57" t="n">
        <f aca="false">MAX(0,CN232+CN233+CN234+CN235)</f>
        <v>0</v>
      </c>
      <c r="CO236" s="57" t="n">
        <f aca="false">MAX(0,CO232+CO233+CO234+CO235)</f>
        <v>0</v>
      </c>
      <c r="CP236" s="57" t="n">
        <f aca="false">MAX(0,CP232+CP233+CP234+CP235)</f>
        <v>0</v>
      </c>
      <c r="CQ236" s="57" t="n">
        <f aca="false">MAX(0,CQ232+CQ233+CQ234+CQ235)</f>
        <v>0</v>
      </c>
      <c r="CR236" s="57" t="n">
        <f aca="false">MAX(0,CR232+CR233+CR234+CR235)</f>
        <v>0</v>
      </c>
      <c r="CS236" s="57" t="n">
        <f aca="false">MAX(0,CS232+CS233+CS234+CS235)</f>
        <v>0</v>
      </c>
      <c r="CT236" s="57" t="n">
        <f aca="false">MAX(0,CT232+CT233+CT234+CT235)</f>
        <v>0</v>
      </c>
      <c r="CU236" s="57" t="n">
        <f aca="false">MAX(0,CU232+CU233+CU234+CU235)</f>
        <v>0</v>
      </c>
      <c r="CV236" s="57" t="n">
        <f aca="false">MAX(0,CV232+CV233+CV234+CV235)</f>
        <v>0</v>
      </c>
      <c r="CW236" s="57" t="n">
        <f aca="false">MAX(0,CW232+CW233+CW234+CW235)</f>
        <v>0</v>
      </c>
      <c r="CX236" s="57" t="n">
        <f aca="false">MAX(0,CX232+CX233+CX234+CX235)</f>
        <v>0</v>
      </c>
      <c r="CY236" s="57" t="n">
        <f aca="false">MAX(0,CY232+CY233+CY234+CY235)</f>
        <v>0</v>
      </c>
      <c r="CZ236" s="57" t="n">
        <f aca="false">MAX(0,CZ232+CZ233+CZ234+CZ235)</f>
        <v>0</v>
      </c>
      <c r="DA236" s="57" t="n">
        <f aca="false">MAX(0,DA232+DA233+DA234+DA235)</f>
        <v>0</v>
      </c>
      <c r="DB236" s="57" t="n">
        <f aca="false">MAX(0,DB232+DB233+DB234+DB235)</f>
        <v>0</v>
      </c>
      <c r="DC236" s="57" t="n">
        <f aca="false">MAX(0,DC232+DC233+DC234+DC235)</f>
        <v>0</v>
      </c>
      <c r="DD236" s="57" t="n">
        <f aca="false">MAX(0,DD232+DD233+DD234+DD235)</f>
        <v>0</v>
      </c>
      <c r="DE236" s="57" t="n">
        <f aca="false">MAX(0,DE232+DE233+DE234+DE235)</f>
        <v>0</v>
      </c>
    </row>
    <row r="237" customFormat="false" ht="15" hidden="false" customHeight="true" outlineLevel="0" collapsed="false">
      <c r="A237" s="58" t="s">
        <v>158</v>
      </c>
      <c r="B237" s="59"/>
      <c r="C237" s="59"/>
      <c r="D237" s="59"/>
      <c r="E237" s="59" t="n">
        <f aca="false">IF(Projects!$G$14="Yes",Assumptions!$B$75,0)</f>
        <v>264927.15</v>
      </c>
      <c r="F237" s="59" t="n">
        <f aca="false">E241</f>
        <v>264927.15</v>
      </c>
      <c r="G237" s="59" t="n">
        <f aca="false">IF(Projects!$G$14="Yes",F241+176618.1,F241)</f>
        <v>441545.25</v>
      </c>
      <c r="H237" s="59" t="n">
        <f aca="false">G241</f>
        <v>458103.196875</v>
      </c>
      <c r="I237" s="59" t="n">
        <f aca="false">H241</f>
        <v>458103.196875</v>
      </c>
      <c r="J237" s="59" t="n">
        <f aca="false">IF(Projects!$G$14="Yes",I241+176618.1,I241)</f>
        <v>634721.296875</v>
      </c>
      <c r="K237" s="59" t="n">
        <f aca="false">J241</f>
        <v>658523.345507813</v>
      </c>
      <c r="L237" s="59" t="n">
        <f aca="false">K241</f>
        <v>658523.345507813</v>
      </c>
      <c r="M237" s="59" t="n">
        <f aca="false">L241</f>
        <v>658523.345507813</v>
      </c>
      <c r="N237" s="59" t="n">
        <f aca="false">IF(Projects!$G$14="Yes",M241+88309.05,M241)</f>
        <v>771527.020964355</v>
      </c>
      <c r="O237" s="59" t="n">
        <f aca="false">N241</f>
        <v>771527.020964355</v>
      </c>
      <c r="P237" s="59" t="n">
        <f aca="false">O241</f>
        <v>771527.020964355</v>
      </c>
      <c r="Q237" s="59" t="n">
        <f aca="false">P241</f>
        <v>800459.284250519</v>
      </c>
      <c r="R237" s="59" t="n">
        <f aca="false">Q241</f>
        <v>800459.284250519</v>
      </c>
      <c r="S237" s="59" t="n">
        <f aca="false">IF(Projects!$G$14="Yes",R241+88309.05,R241)</f>
        <v>888768.334250519</v>
      </c>
      <c r="T237" s="59" t="n">
        <f aca="false">S241</f>
        <v>922097.146784913</v>
      </c>
      <c r="U237" s="59" t="n">
        <f aca="false">T241</f>
        <v>922097.146784913</v>
      </c>
      <c r="V237" s="59" t="n">
        <f aca="false">U241</f>
        <v>922097.146784913</v>
      </c>
      <c r="W237" s="59" t="n">
        <f aca="false">V241</f>
        <v>956675.789789348</v>
      </c>
      <c r="X237" s="59" t="n">
        <f aca="false">W241</f>
        <v>956675.789789348</v>
      </c>
      <c r="Y237" s="59" t="n">
        <f aca="false">IF(Projects!$G$14="Yes",X241+88309.05,X241)</f>
        <v>1044984.83978935</v>
      </c>
      <c r="Z237" s="59" t="n">
        <f aca="false">Y241</f>
        <v>1084171.77128145</v>
      </c>
      <c r="AA237" s="59" t="n">
        <f aca="false">Z241</f>
        <v>1084171.77128145</v>
      </c>
      <c r="AB237" s="59" t="n">
        <f aca="false">AA241</f>
        <v>1084171.77128145</v>
      </c>
      <c r="AC237" s="59" t="n">
        <f aca="false">AB241</f>
        <v>1124828.2127045</v>
      </c>
      <c r="AD237" s="59" t="n">
        <f aca="false">AC241</f>
        <v>1124828.2127045</v>
      </c>
      <c r="AE237" s="59" t="n">
        <f aca="false">IF(Projects!$G$14="Yes",AD241+Assumptions!$B$76,AD241)</f>
        <v>2007918.7127045</v>
      </c>
      <c r="AF237" s="59" t="n">
        <f aca="false">AE241</f>
        <v>283215.664430921</v>
      </c>
      <c r="AG237" s="59" t="n">
        <f aca="false">AF241</f>
        <v>283215.664430921</v>
      </c>
      <c r="AH237" s="59" t="n">
        <f aca="false">AG241</f>
        <v>283215.664430921</v>
      </c>
      <c r="AI237" s="59" t="n">
        <f aca="false">AH241</f>
        <v>293836.251847081</v>
      </c>
      <c r="AJ237" s="59" t="n">
        <f aca="false">AI241</f>
        <v>293836.251847081</v>
      </c>
      <c r="AK237" s="59" t="n">
        <f aca="false">AJ241</f>
        <v>293836.251847081</v>
      </c>
      <c r="AL237" s="59" t="n">
        <f aca="false">AK241</f>
        <v>304855.111291347</v>
      </c>
      <c r="AM237" s="59" t="n">
        <f aca="false">AL241</f>
        <v>304855.111291347</v>
      </c>
      <c r="AN237" s="59" t="n">
        <f aca="false">AM241</f>
        <v>304855.111291347</v>
      </c>
      <c r="AO237" s="59" t="n">
        <f aca="false">AN241</f>
        <v>316287.177964772</v>
      </c>
      <c r="AP237" s="59" t="n">
        <f aca="false">AO241</f>
        <v>316287.177964772</v>
      </c>
      <c r="AQ237" s="59" t="n">
        <f aca="false">AP241</f>
        <v>316287.177964772</v>
      </c>
      <c r="AR237" s="59" t="n">
        <f aca="false">AQ241</f>
        <v>328147.947138451</v>
      </c>
      <c r="AS237" s="59" t="n">
        <f aca="false">AR241</f>
        <v>328147.947138451</v>
      </c>
      <c r="AT237" s="59" t="n">
        <f aca="false">AS241</f>
        <v>328147.947138451</v>
      </c>
      <c r="AU237" s="59" t="n">
        <f aca="false">AT241</f>
        <v>340453.495156143</v>
      </c>
      <c r="AV237" s="59" t="n">
        <f aca="false">AU241</f>
        <v>340453.495156143</v>
      </c>
      <c r="AW237" s="59" t="n">
        <f aca="false">AV241</f>
        <v>340453.495156143</v>
      </c>
      <c r="AX237" s="59" t="n">
        <f aca="false">AW241</f>
        <v>353220.501224498</v>
      </c>
      <c r="AY237" s="59" t="n">
        <f aca="false">AX241</f>
        <v>353220.501224498</v>
      </c>
      <c r="AZ237" s="59" t="n">
        <f aca="false">AY241</f>
        <v>353220.501224498</v>
      </c>
      <c r="BA237" s="59" t="n">
        <f aca="false">AZ241</f>
        <v>366466.270020417</v>
      </c>
      <c r="BB237" s="59" t="n">
        <f aca="false">BA241</f>
        <v>366466.270020417</v>
      </c>
      <c r="BC237" s="59" t="n">
        <f aca="false">BB241</f>
        <v>366466.270020417</v>
      </c>
      <c r="BD237" s="59" t="n">
        <f aca="false">BC241</f>
        <v>380208.755146183</v>
      </c>
      <c r="BE237" s="59" t="n">
        <f aca="false">BD241</f>
        <v>380208.755146183</v>
      </c>
      <c r="BF237" s="59" t="n">
        <f aca="false">BE241</f>
        <v>380208.755146183</v>
      </c>
      <c r="BG237" s="59" t="n">
        <f aca="false">BF241</f>
        <v>394466.583464164</v>
      </c>
      <c r="BH237" s="59" t="n">
        <f aca="false">BG241</f>
        <v>394466.583464164</v>
      </c>
      <c r="BI237" s="59" t="n">
        <f aca="false">BH241</f>
        <v>394466.583464164</v>
      </c>
      <c r="BJ237" s="59" t="n">
        <f aca="false">BI241</f>
        <v>409259.080344071</v>
      </c>
      <c r="BK237" s="59" t="n">
        <f aca="false">BJ241</f>
        <v>409259.080344071</v>
      </c>
      <c r="BL237" s="59" t="n">
        <f aca="false">BK241</f>
        <v>409259.080344071</v>
      </c>
      <c r="BM237" s="59" t="n">
        <f aca="false">BL241</f>
        <v>424606.295856973</v>
      </c>
      <c r="BN237" s="59" t="n">
        <f aca="false">BM241</f>
        <v>424606.295856973</v>
      </c>
      <c r="BO237" s="59" t="n">
        <f aca="false">BN241</f>
        <v>424606.295856973</v>
      </c>
      <c r="BP237" s="59" t="n">
        <f aca="false">BO241</f>
        <v>440529.03195161</v>
      </c>
      <c r="BQ237" s="59" t="n">
        <f aca="false">BP241</f>
        <v>440529.03195161</v>
      </c>
      <c r="BR237" s="59" t="n">
        <f aca="false">BQ241</f>
        <v>440529.03195161</v>
      </c>
      <c r="BS237" s="59" t="n">
        <f aca="false">BR241</f>
        <v>457048.870649795</v>
      </c>
      <c r="BT237" s="59" t="n">
        <f aca="false">BS241</f>
        <v>457048.870649795</v>
      </c>
      <c r="BU237" s="59" t="n">
        <f aca="false">BT241</f>
        <v>457048.870649795</v>
      </c>
      <c r="BV237" s="59" t="n">
        <f aca="false">BU241</f>
        <v>474188.203299162</v>
      </c>
      <c r="BW237" s="59" t="n">
        <f aca="false">BV241</f>
        <v>474188.203299162</v>
      </c>
      <c r="BX237" s="59" t="n">
        <f aca="false">BW241</f>
        <v>474188.203299162</v>
      </c>
      <c r="BY237" s="59" t="n">
        <f aca="false">BX241</f>
        <v>491970.260922881</v>
      </c>
      <c r="BZ237" s="59" t="n">
        <f aca="false">BY241</f>
        <v>491970.260922881</v>
      </c>
      <c r="CA237" s="59" t="n">
        <f aca="false">BZ241</f>
        <v>491970.260922881</v>
      </c>
      <c r="CB237" s="59" t="n">
        <f aca="false">CA241</f>
        <v>510419.145707489</v>
      </c>
      <c r="CC237" s="59" t="n">
        <f aca="false">CB241</f>
        <v>510419.145707489</v>
      </c>
      <c r="CD237" s="59" t="n">
        <f aca="false">CC241</f>
        <v>510419.145707489</v>
      </c>
      <c r="CE237" s="59" t="n">
        <f aca="false">CD241</f>
        <v>529559.86367152</v>
      </c>
      <c r="CF237" s="59" t="n">
        <f aca="false">CE241</f>
        <v>529559.86367152</v>
      </c>
      <c r="CG237" s="59" t="n">
        <f aca="false">CF241</f>
        <v>529559.86367152</v>
      </c>
      <c r="CH237" s="59" t="n">
        <f aca="false">CG241</f>
        <v>549418.358559202</v>
      </c>
      <c r="CI237" s="59" t="n">
        <f aca="false">CH241</f>
        <v>549418.358559202</v>
      </c>
      <c r="CJ237" s="59" t="n">
        <f aca="false">CI241</f>
        <v>549418.358559202</v>
      </c>
      <c r="CK237" s="59" t="n">
        <f aca="false">CJ241</f>
        <v>570021.547005172</v>
      </c>
      <c r="CL237" s="59" t="n">
        <f aca="false">CK241</f>
        <v>570021.547005172</v>
      </c>
      <c r="CM237" s="59" t="n">
        <f aca="false">CL241</f>
        <v>570021.547005172</v>
      </c>
      <c r="CN237" s="59" t="n">
        <f aca="false">CM241</f>
        <v>591397.355017866</v>
      </c>
      <c r="CO237" s="59" t="n">
        <f aca="false">CN241</f>
        <v>569702.675017866</v>
      </c>
      <c r="CP237" s="59" t="n">
        <f aca="false">CO241</f>
        <v>496547.675017866</v>
      </c>
      <c r="CQ237" s="59" t="n">
        <f aca="false">CP241</f>
        <v>442013.212831036</v>
      </c>
      <c r="CR237" s="59" t="n">
        <f aca="false">CQ241</f>
        <v>368858.212831036</v>
      </c>
      <c r="CS237" s="59" t="n">
        <f aca="false">CR241</f>
        <v>295703.212831036</v>
      </c>
      <c r="CT237" s="59" t="n">
        <f aca="false">CS241</f>
        <v>233637.0833122</v>
      </c>
      <c r="CU237" s="59" t="n">
        <f aca="false">CT241</f>
        <v>160482.0833122</v>
      </c>
      <c r="CV237" s="59" t="n">
        <f aca="false">CU241</f>
        <v>87327.0833121997</v>
      </c>
      <c r="CW237" s="59" t="n">
        <f aca="false">CV241</f>
        <v>17446.8489364072</v>
      </c>
      <c r="CX237" s="59" t="n">
        <f aca="false">CW241</f>
        <v>0</v>
      </c>
      <c r="CY237" s="59" t="n">
        <f aca="false">CX241</f>
        <v>0</v>
      </c>
      <c r="CZ237" s="59" t="n">
        <f aca="false">CY241</f>
        <v>0</v>
      </c>
      <c r="DA237" s="59" t="n">
        <f aca="false">CZ241</f>
        <v>0</v>
      </c>
      <c r="DB237" s="59" t="n">
        <f aca="false">DA241</f>
        <v>0</v>
      </c>
      <c r="DC237" s="59" t="n">
        <f aca="false">DB241</f>
        <v>0</v>
      </c>
      <c r="DD237" s="59" t="n">
        <f aca="false">DC241</f>
        <v>0</v>
      </c>
      <c r="DE237" s="59" t="n">
        <f aca="false">DD241</f>
        <v>0</v>
      </c>
    </row>
    <row r="238" customFormat="false" ht="15" hidden="false" customHeight="true" outlineLevel="0" collapsed="false">
      <c r="A238" s="58" t="s">
        <v>159</v>
      </c>
      <c r="B238" s="59"/>
      <c r="C238" s="59"/>
      <c r="D238" s="59"/>
      <c r="E238" s="59" t="n">
        <f aca="false">IF(AND(MOD(1,3)=0,E237&gt;0),E237*Assumptions!$B$59,0)</f>
        <v>0</v>
      </c>
      <c r="F238" s="59" t="n">
        <f aca="false">IF(AND(MOD(2,3)=0,F237&gt;0),F237*Assumptions!$B$59,0)</f>
        <v>0</v>
      </c>
      <c r="G238" s="59" t="n">
        <f aca="false">IF(AND(MOD(3,3)=0,G237&gt;0),G237*Assumptions!$B$59,0)</f>
        <v>16557.946875</v>
      </c>
      <c r="H238" s="59" t="n">
        <f aca="false">IF(AND(MOD(4,3)=0,H237&gt;0),H237*Assumptions!$B$59,0)</f>
        <v>0</v>
      </c>
      <c r="I238" s="59" t="n">
        <f aca="false">IF(AND(MOD(5,3)=0,I237&gt;0),I237*Assumptions!$B$59,0)</f>
        <v>0</v>
      </c>
      <c r="J238" s="59" t="n">
        <f aca="false">IF(AND(MOD(6,3)=0,J237&gt;0),J237*Assumptions!$B$59,0)</f>
        <v>23802.0486328125</v>
      </c>
      <c r="K238" s="59" t="n">
        <f aca="false">IF(AND(MOD(7,3)=0,K237&gt;0),K237*Assumptions!$B$59,0)</f>
        <v>0</v>
      </c>
      <c r="L238" s="59" t="n">
        <f aca="false">IF(AND(MOD(8,3)=0,L237&gt;0),L237*Assumptions!$B$59,0)</f>
        <v>0</v>
      </c>
      <c r="M238" s="59" t="n">
        <f aca="false">IF(AND(MOD(9,3)=0,M237&gt;0),M237*Assumptions!$B$59,0)</f>
        <v>24694.625456543</v>
      </c>
      <c r="N238" s="59" t="n">
        <f aca="false">IF(AND(MOD(10,3)=0,N237&gt;0),N237*Assumptions!$B$59,0)</f>
        <v>0</v>
      </c>
      <c r="O238" s="59" t="n">
        <f aca="false">IF(AND(MOD(11,3)=0,O237&gt;0),O237*Assumptions!$B$59,0)</f>
        <v>0</v>
      </c>
      <c r="P238" s="59" t="n">
        <f aca="false">IF(AND(MOD(12,3)=0,P237&gt;0),P237*Assumptions!$B$59,0)</f>
        <v>28932.2632861633</v>
      </c>
      <c r="Q238" s="59" t="n">
        <f aca="false">IF(AND(MOD(13,3)=0,Q237&gt;0),Q237*Assumptions!$B$59,0)</f>
        <v>0</v>
      </c>
      <c r="R238" s="59" t="n">
        <f aca="false">IF(AND(MOD(14,3)=0,R237&gt;0),R237*Assumptions!$B$59,0)</f>
        <v>0</v>
      </c>
      <c r="S238" s="59" t="n">
        <f aca="false">IF(AND(MOD(15,3)=0,S237&gt;0),S237*Assumptions!$B$59,0)</f>
        <v>33328.8125343945</v>
      </c>
      <c r="T238" s="59" t="n">
        <f aca="false">IF(AND(MOD(16,3)=0,T237&gt;0),T237*Assumptions!$B$59,0)</f>
        <v>0</v>
      </c>
      <c r="U238" s="59" t="n">
        <f aca="false">IF(AND(MOD(17,3)=0,U237&gt;0),U237*Assumptions!$B$59,0)</f>
        <v>0</v>
      </c>
      <c r="V238" s="59" t="n">
        <f aca="false">IF(AND(MOD(18,3)=0,V237&gt;0),V237*Assumptions!$B$59,0)</f>
        <v>34578.6430044343</v>
      </c>
      <c r="W238" s="59" t="n">
        <f aca="false">IF(AND(MOD(19,3)=0,W237&gt;0),W237*Assumptions!$B$59,0)</f>
        <v>0</v>
      </c>
      <c r="X238" s="59" t="n">
        <f aca="false">IF(AND(MOD(20,3)=0,X237&gt;0),X237*Assumptions!$B$59,0)</f>
        <v>0</v>
      </c>
      <c r="Y238" s="59" t="n">
        <f aca="false">IF(AND(MOD(21,3)=0,Y237&gt;0),Y237*Assumptions!$B$59,0)</f>
        <v>39186.9314921005</v>
      </c>
      <c r="Z238" s="59" t="n">
        <f aca="false">IF(AND(MOD(22,3)=0,Z237&gt;0),Z237*Assumptions!$B$59,0)</f>
        <v>0</v>
      </c>
      <c r="AA238" s="59" t="n">
        <f aca="false">IF(AND(MOD(23,3)=0,AA237&gt;0),AA237*Assumptions!$B$59,0)</f>
        <v>0</v>
      </c>
      <c r="AB238" s="59" t="n">
        <f aca="false">IF(AND(MOD(24,3)=0,AB237&gt;0),AB237*Assumptions!$B$59,0)</f>
        <v>40656.4414230543</v>
      </c>
      <c r="AC238" s="59" t="n">
        <f aca="false">IF(AND(MOD(25,3)=0,AC237&gt;0),AC237*Assumptions!$B$59,0)</f>
        <v>0</v>
      </c>
      <c r="AD238" s="59" t="n">
        <f aca="false">IF(AND(MOD(26,3)=0,AD237&gt;0),AD237*Assumptions!$B$59,0)</f>
        <v>0</v>
      </c>
      <c r="AE238" s="59" t="n">
        <f aca="false">IF(AND(MOD(27,3)=0,AE237&gt;0),AE237*Assumptions!$B$59,0)</f>
        <v>75296.9517264189</v>
      </c>
      <c r="AF238" s="59" t="n">
        <f aca="false">IF(AND(MOD(28,3)=0,AF237&gt;0),AF237*Assumptions!$B$59,0)</f>
        <v>0</v>
      </c>
      <c r="AG238" s="59" t="n">
        <f aca="false">IF(AND(MOD(29,3)=0,AG237&gt;0),AG237*Assumptions!$B$59,0)</f>
        <v>0</v>
      </c>
      <c r="AH238" s="59" t="n">
        <f aca="false">IF(AND(MOD(30,3)=0,AH237&gt;0),AH237*Assumptions!$B$59,0)</f>
        <v>10620.5874161596</v>
      </c>
      <c r="AI238" s="59" t="n">
        <f aca="false">IF(AND(MOD(31,3)=0,AI237&gt;0),AI237*Assumptions!$B$59,0)</f>
        <v>0</v>
      </c>
      <c r="AJ238" s="59" t="n">
        <f aca="false">IF(AND(MOD(32,3)=0,AJ237&gt;0),AJ237*Assumptions!$B$59,0)</f>
        <v>0</v>
      </c>
      <c r="AK238" s="59" t="n">
        <f aca="false">IF(AND(MOD(33,3)=0,AK237&gt;0),AK237*Assumptions!$B$59,0)</f>
        <v>11018.8594442655</v>
      </c>
      <c r="AL238" s="59" t="n">
        <f aca="false">IF(AND(MOD(34,3)=0,AL237&gt;0),AL237*Assumptions!$B$59,0)</f>
        <v>0</v>
      </c>
      <c r="AM238" s="59" t="n">
        <f aca="false">IF(AND(MOD(35,3)=0,AM237&gt;0),AM237*Assumptions!$B$59,0)</f>
        <v>0</v>
      </c>
      <c r="AN238" s="59" t="n">
        <f aca="false">IF(AND(MOD(36,3)=0,AN237&gt;0),AN237*Assumptions!$B$59,0)</f>
        <v>11432.0666734255</v>
      </c>
      <c r="AO238" s="59" t="n">
        <f aca="false">IF(AND(MOD(37,3)=0,AO237&gt;0),AO237*Assumptions!$B$59,0)</f>
        <v>0</v>
      </c>
      <c r="AP238" s="59" t="n">
        <f aca="false">IF(AND(MOD(38,3)=0,AP237&gt;0),AP237*Assumptions!$B$59,0)</f>
        <v>0</v>
      </c>
      <c r="AQ238" s="59" t="n">
        <f aca="false">IF(AND(MOD(39,3)=0,AQ237&gt;0),AQ237*Assumptions!$B$59,0)</f>
        <v>11860.769173679</v>
      </c>
      <c r="AR238" s="59" t="n">
        <f aca="false">IF(AND(MOD(40,3)=0,AR237&gt;0),AR237*Assumptions!$B$59,0)</f>
        <v>0</v>
      </c>
      <c r="AS238" s="59" t="n">
        <f aca="false">IF(AND(MOD(41,3)=0,AS237&gt;0),AS237*Assumptions!$B$59,0)</f>
        <v>0</v>
      </c>
      <c r="AT238" s="59" t="n">
        <f aca="false">IF(AND(MOD(42,3)=0,AT237&gt;0),AT237*Assumptions!$B$59,0)</f>
        <v>12305.5480176919</v>
      </c>
      <c r="AU238" s="59" t="n">
        <f aca="false">IF(AND(MOD(43,3)=0,AU237&gt;0),AU237*Assumptions!$B$59,0)</f>
        <v>0</v>
      </c>
      <c r="AV238" s="59" t="n">
        <f aca="false">IF(AND(MOD(44,3)=0,AV237&gt;0),AV237*Assumptions!$B$59,0)</f>
        <v>0</v>
      </c>
      <c r="AW238" s="59" t="n">
        <f aca="false">IF(AND(MOD(45,3)=0,AW237&gt;0),AW237*Assumptions!$B$59,0)</f>
        <v>12767.0060683554</v>
      </c>
      <c r="AX238" s="59" t="n">
        <f aca="false">IF(AND(MOD(46,3)=0,AX237&gt;0),AX237*Assumptions!$B$59,0)</f>
        <v>0</v>
      </c>
      <c r="AY238" s="59" t="n">
        <f aca="false">IF(AND(MOD(47,3)=0,AY237&gt;0),AY237*Assumptions!$B$59,0)</f>
        <v>0</v>
      </c>
      <c r="AZ238" s="59" t="n">
        <f aca="false">IF(AND(MOD(48,3)=0,AZ237&gt;0),AZ237*Assumptions!$B$59,0)</f>
        <v>13245.7687959187</v>
      </c>
      <c r="BA238" s="59" t="n">
        <f aca="false">IF(AND(MOD(49,3)=0,BA237&gt;0),BA237*Assumptions!$B$59,0)</f>
        <v>0</v>
      </c>
      <c r="BB238" s="59" t="n">
        <f aca="false">IF(AND(MOD(50,3)=0,BB237&gt;0),BB237*Assumptions!$B$59,0)</f>
        <v>0</v>
      </c>
      <c r="BC238" s="59" t="n">
        <f aca="false">IF(AND(MOD(51,3)=0,BC237&gt;0),BC237*Assumptions!$B$59,0)</f>
        <v>13742.4851257656</v>
      </c>
      <c r="BD238" s="59" t="n">
        <f aca="false">IF(AND(MOD(52,3)=0,BD237&gt;0),BD237*Assumptions!$B$59,0)</f>
        <v>0</v>
      </c>
      <c r="BE238" s="59" t="n">
        <f aca="false">IF(AND(MOD(53,3)=0,BE237&gt;0),BE237*Assumptions!$B$59,0)</f>
        <v>0</v>
      </c>
      <c r="BF238" s="59" t="n">
        <f aca="false">IF(AND(MOD(54,3)=0,BF237&gt;0),BF237*Assumptions!$B$59,0)</f>
        <v>14257.8283179818</v>
      </c>
      <c r="BG238" s="59" t="n">
        <f aca="false">IF(AND(MOD(55,3)=0,BG237&gt;0),BG237*Assumptions!$B$59,0)</f>
        <v>0</v>
      </c>
      <c r="BH238" s="59" t="n">
        <f aca="false">IF(AND(MOD(56,3)=0,BH237&gt;0),BH237*Assumptions!$B$59,0)</f>
        <v>0</v>
      </c>
      <c r="BI238" s="59" t="n">
        <f aca="false">IF(AND(MOD(57,3)=0,BI237&gt;0),BI237*Assumptions!$B$59,0)</f>
        <v>14792.4968799062</v>
      </c>
      <c r="BJ238" s="59" t="n">
        <f aca="false">IF(AND(MOD(58,3)=0,BJ237&gt;0),BJ237*Assumptions!$B$59,0)</f>
        <v>0</v>
      </c>
      <c r="BK238" s="59" t="n">
        <f aca="false">IF(AND(MOD(59,3)=0,BK237&gt;0),BK237*Assumptions!$B$59,0)</f>
        <v>0</v>
      </c>
      <c r="BL238" s="59" t="n">
        <f aca="false">IF(AND(MOD(60,3)=0,BL237&gt;0),BL237*Assumptions!$B$59,0)</f>
        <v>15347.2155129026</v>
      </c>
      <c r="BM238" s="59" t="n">
        <f aca="false">IF(AND(MOD(61,3)=0,BM237&gt;0),BM237*Assumptions!$B$59,0)</f>
        <v>0</v>
      </c>
      <c r="BN238" s="59" t="n">
        <f aca="false">IF(AND(MOD(62,3)=0,BN237&gt;0),BN237*Assumptions!$B$59,0)</f>
        <v>0</v>
      </c>
      <c r="BO238" s="59" t="n">
        <f aca="false">IF(AND(MOD(63,3)=0,BO237&gt;0),BO237*Assumptions!$B$59,0)</f>
        <v>15922.7360946365</v>
      </c>
      <c r="BP238" s="59" t="n">
        <f aca="false">IF(AND(MOD(64,3)=0,BP237&gt;0),BP237*Assumptions!$B$59,0)</f>
        <v>0</v>
      </c>
      <c r="BQ238" s="59" t="n">
        <f aca="false">IF(AND(MOD(65,3)=0,BQ237&gt;0),BQ237*Assumptions!$B$59,0)</f>
        <v>0</v>
      </c>
      <c r="BR238" s="59" t="n">
        <f aca="false">IF(AND(MOD(66,3)=0,BR237&gt;0),BR237*Assumptions!$B$59,0)</f>
        <v>16519.8386981854</v>
      </c>
      <c r="BS238" s="59" t="n">
        <f aca="false">IF(AND(MOD(67,3)=0,BS237&gt;0),BS237*Assumptions!$B$59,0)</f>
        <v>0</v>
      </c>
      <c r="BT238" s="59" t="n">
        <f aca="false">IF(AND(MOD(68,3)=0,BT237&gt;0),BT237*Assumptions!$B$59,0)</f>
        <v>0</v>
      </c>
      <c r="BU238" s="59" t="n">
        <f aca="false">IF(AND(MOD(69,3)=0,BU237&gt;0),BU237*Assumptions!$B$59,0)</f>
        <v>17139.3326493673</v>
      </c>
      <c r="BV238" s="59" t="n">
        <f aca="false">IF(AND(MOD(70,3)=0,BV237&gt;0),BV237*Assumptions!$B$59,0)</f>
        <v>0</v>
      </c>
      <c r="BW238" s="59" t="n">
        <f aca="false">IF(AND(MOD(71,3)=0,BW237&gt;0),BW237*Assumptions!$B$59,0)</f>
        <v>0</v>
      </c>
      <c r="BX238" s="59" t="n">
        <f aca="false">IF(AND(MOD(72,3)=0,BX237&gt;0),BX237*Assumptions!$B$59,0)</f>
        <v>17782.0576237186</v>
      </c>
      <c r="BY238" s="59" t="n">
        <f aca="false">IF(AND(MOD(73,3)=0,BY237&gt;0),BY237*Assumptions!$B$59,0)</f>
        <v>0</v>
      </c>
      <c r="BZ238" s="59" t="n">
        <f aca="false">IF(AND(MOD(74,3)=0,BZ237&gt;0),BZ237*Assumptions!$B$59,0)</f>
        <v>0</v>
      </c>
      <c r="CA238" s="59" t="n">
        <f aca="false">IF(AND(MOD(75,3)=0,CA237&gt;0),CA237*Assumptions!$B$59,0)</f>
        <v>18448.884784608</v>
      </c>
      <c r="CB238" s="59" t="n">
        <f aca="false">IF(AND(MOD(76,3)=0,CB237&gt;0),CB237*Assumptions!$B$59,0)</f>
        <v>0</v>
      </c>
      <c r="CC238" s="59" t="n">
        <f aca="false">IF(AND(MOD(77,3)=0,CC237&gt;0),CC237*Assumptions!$B$59,0)</f>
        <v>0</v>
      </c>
      <c r="CD238" s="59" t="n">
        <f aca="false">IF(AND(MOD(78,3)=0,CD237&gt;0),CD237*Assumptions!$B$59,0)</f>
        <v>19140.7179640308</v>
      </c>
      <c r="CE238" s="59" t="n">
        <f aca="false">IF(AND(MOD(79,3)=0,CE237&gt;0),CE237*Assumptions!$B$59,0)</f>
        <v>0</v>
      </c>
      <c r="CF238" s="59" t="n">
        <f aca="false">IF(AND(MOD(80,3)=0,CF237&gt;0),CF237*Assumptions!$B$59,0)</f>
        <v>0</v>
      </c>
      <c r="CG238" s="59" t="n">
        <f aca="false">IF(AND(MOD(81,3)=0,CG237&gt;0),CG237*Assumptions!$B$59,0)</f>
        <v>19858.494887682</v>
      </c>
      <c r="CH238" s="59" t="n">
        <f aca="false">IF(AND(MOD(82,3)=0,CH237&gt;0),CH237*Assumptions!$B$59,0)</f>
        <v>0</v>
      </c>
      <c r="CI238" s="59" t="n">
        <f aca="false">IF(AND(MOD(83,3)=0,CI237&gt;0),CI237*Assumptions!$B$59,0)</f>
        <v>0</v>
      </c>
      <c r="CJ238" s="59" t="n">
        <f aca="false">IF(AND(MOD(84,3)=0,CJ237&gt;0),CJ237*Assumptions!$B$59,0)</f>
        <v>20603.1884459701</v>
      </c>
      <c r="CK238" s="59" t="n">
        <f aca="false">IF(AND(MOD(85,3)=0,CK237&gt;0),CK237*Assumptions!$B$59,0)</f>
        <v>0</v>
      </c>
      <c r="CL238" s="59" t="n">
        <f aca="false">IF(AND(MOD(86,3)=0,CL237&gt;0),CL237*Assumptions!$B$59,0)</f>
        <v>0</v>
      </c>
      <c r="CM238" s="59" t="n">
        <f aca="false">IF(AND(MOD(87,3)=0,CM237&gt;0),CM237*Assumptions!$B$59,0)</f>
        <v>21375.8080126939</v>
      </c>
      <c r="CN238" s="59" t="n">
        <f aca="false">IF(AND(MOD(88,3)=0,CN237&gt;0),CN237*Assumptions!$B$59,0)</f>
        <v>0</v>
      </c>
      <c r="CO238" s="59" t="n">
        <f aca="false">IF(AND(MOD(89,3)=0,CO237&gt;0),CO237*Assumptions!$B$59,0)</f>
        <v>0</v>
      </c>
      <c r="CP238" s="59" t="n">
        <f aca="false">IF(AND(MOD(90,3)=0,CP237&gt;0),CP237*Assumptions!$B$59,0)</f>
        <v>18620.53781317</v>
      </c>
      <c r="CQ238" s="59" t="n">
        <f aca="false">IF(AND(MOD(91,3)=0,CQ237&gt;0),CQ237*Assumptions!$B$59,0)</f>
        <v>0</v>
      </c>
      <c r="CR238" s="59" t="n">
        <f aca="false">IF(AND(MOD(92,3)=0,CR237&gt;0),CR237*Assumptions!$B$59,0)</f>
        <v>0</v>
      </c>
      <c r="CS238" s="59" t="n">
        <f aca="false">IF(AND(MOD(93,3)=0,CS237&gt;0),CS237*Assumptions!$B$59,0)</f>
        <v>11088.8704811638</v>
      </c>
      <c r="CT238" s="59" t="n">
        <f aca="false">IF(AND(MOD(94,3)=0,CT237&gt;0),CT237*Assumptions!$B$59,0)</f>
        <v>0</v>
      </c>
      <c r="CU238" s="59" t="n">
        <f aca="false">IF(AND(MOD(95,3)=0,CU237&gt;0),CU237*Assumptions!$B$59,0)</f>
        <v>0</v>
      </c>
      <c r="CV238" s="59" t="n">
        <f aca="false">IF(AND(MOD(96,3)=0,CV237&gt;0),CV237*Assumptions!$B$59,0)</f>
        <v>3274.76562420749</v>
      </c>
      <c r="CW238" s="59" t="n">
        <f aca="false">IF(AND(MOD(97,3)=0,CW237&gt;0),CW237*Assumptions!$B$59,0)</f>
        <v>0</v>
      </c>
      <c r="CX238" s="59" t="n">
        <f aca="false">IF(AND(MOD(98,3)=0,CX237&gt;0),CX237*Assumptions!$B$59,0)</f>
        <v>0</v>
      </c>
      <c r="CY238" s="59" t="n">
        <f aca="false">IF(AND(MOD(99,3)=0,CY237&gt;0),CY237*Assumptions!$B$59,0)</f>
        <v>0</v>
      </c>
      <c r="CZ238" s="59" t="n">
        <f aca="false">IF(AND(MOD(100,3)=0,CZ237&gt;0),CZ237*Assumptions!$B$59,0)</f>
        <v>0</v>
      </c>
      <c r="DA238" s="59" t="n">
        <f aca="false">IF(AND(MOD(101,3)=0,DA237&gt;0),DA237*Assumptions!$B$59,0)</f>
        <v>0</v>
      </c>
      <c r="DB238" s="59" t="n">
        <f aca="false">IF(AND(MOD(102,3)=0,DB237&gt;0),DB237*Assumptions!$B$59,0)</f>
        <v>0</v>
      </c>
      <c r="DC238" s="59" t="n">
        <f aca="false">IF(AND(MOD(103,3)=0,DC237&gt;0),DC237*Assumptions!$B$59,0)</f>
        <v>0</v>
      </c>
      <c r="DD238" s="59" t="n">
        <f aca="false">IF(AND(MOD(104,3)=0,DD237&gt;0),DD237*Assumptions!$B$59,0)</f>
        <v>0</v>
      </c>
      <c r="DE238" s="59" t="n">
        <f aca="false">IF(AND(MOD(105,3)=0,DE237&gt;0),DE237*Assumptions!$B$59,0)</f>
        <v>0</v>
      </c>
    </row>
    <row r="239" customFormat="false" ht="15" hidden="false" customHeight="true" outlineLevel="0" collapsed="false">
      <c r="A239" s="58" t="s">
        <v>160</v>
      </c>
      <c r="B239" s="59"/>
      <c r="C239" s="59"/>
      <c r="D239" s="59"/>
      <c r="E239" s="59" t="n">
        <v>0</v>
      </c>
      <c r="F239" s="59" t="n">
        <v>0</v>
      </c>
      <c r="G239" s="59" t="n">
        <v>0</v>
      </c>
      <c r="H239" s="59" t="n">
        <v>0</v>
      </c>
      <c r="I239" s="59" t="n">
        <v>0</v>
      </c>
      <c r="J239" s="59" t="n">
        <v>0</v>
      </c>
      <c r="K239" s="59" t="n">
        <v>0</v>
      </c>
      <c r="L239" s="59" t="n">
        <v>0</v>
      </c>
      <c r="M239" s="59" t="n">
        <v>0</v>
      </c>
      <c r="N239" s="59" t="n">
        <v>0</v>
      </c>
      <c r="O239" s="59" t="n">
        <v>0</v>
      </c>
      <c r="P239" s="59" t="n">
        <v>0</v>
      </c>
      <c r="Q239" s="59" t="n">
        <v>0</v>
      </c>
      <c r="R239" s="59" t="n">
        <v>0</v>
      </c>
      <c r="S239" s="59" t="n">
        <v>0</v>
      </c>
      <c r="T239" s="59" t="n">
        <v>0</v>
      </c>
      <c r="U239" s="59" t="n">
        <v>0</v>
      </c>
      <c r="V239" s="59" t="n">
        <v>0</v>
      </c>
      <c r="W239" s="59" t="n">
        <v>0</v>
      </c>
      <c r="X239" s="59" t="n">
        <v>0</v>
      </c>
      <c r="Y239" s="59" t="n">
        <v>0</v>
      </c>
      <c r="Z239" s="59" t="n">
        <v>0</v>
      </c>
      <c r="AA239" s="59" t="n">
        <v>0</v>
      </c>
      <c r="AB239" s="59" t="n">
        <v>0</v>
      </c>
      <c r="AC239" s="59" t="n">
        <v>0</v>
      </c>
      <c r="AD239" s="59" t="n">
        <v>0</v>
      </c>
      <c r="AE239" s="59" t="n">
        <f aca="false">IF(Projects!$G$14="Yes",Assumptions!$B$77,0)</f>
        <v>-1800000</v>
      </c>
      <c r="AF239" s="59" t="n">
        <v>0</v>
      </c>
      <c r="AG239" s="59" t="n">
        <v>0</v>
      </c>
      <c r="AH239" s="59" t="n">
        <v>0</v>
      </c>
      <c r="AI239" s="59" t="n">
        <v>0</v>
      </c>
      <c r="AJ239" s="59" t="n">
        <v>0</v>
      </c>
      <c r="AK239" s="59" t="n">
        <v>0</v>
      </c>
      <c r="AL239" s="59" t="n">
        <v>0</v>
      </c>
      <c r="AM239" s="59" t="n">
        <v>0</v>
      </c>
      <c r="AN239" s="59" t="n">
        <v>0</v>
      </c>
      <c r="AO239" s="59" t="n">
        <v>0</v>
      </c>
      <c r="AP239" s="59" t="n">
        <v>0</v>
      </c>
      <c r="AQ239" s="59" t="n">
        <v>0</v>
      </c>
      <c r="AR239" s="59" t="n">
        <v>0</v>
      </c>
      <c r="AS239" s="59" t="n">
        <v>0</v>
      </c>
      <c r="AT239" s="59" t="n">
        <v>0</v>
      </c>
      <c r="AU239" s="59" t="n">
        <v>0</v>
      </c>
      <c r="AV239" s="59" t="n">
        <v>0</v>
      </c>
      <c r="AW239" s="59" t="n">
        <v>0</v>
      </c>
      <c r="AX239" s="59" t="n">
        <v>0</v>
      </c>
      <c r="AY239" s="59" t="n">
        <v>0</v>
      </c>
      <c r="AZ239" s="59" t="n">
        <v>0</v>
      </c>
      <c r="BA239" s="59" t="n">
        <v>0</v>
      </c>
      <c r="BB239" s="59" t="n">
        <v>0</v>
      </c>
      <c r="BC239" s="59" t="n">
        <v>0</v>
      </c>
      <c r="BD239" s="59" t="n">
        <v>0</v>
      </c>
      <c r="BE239" s="59" t="n">
        <v>0</v>
      </c>
      <c r="BF239" s="59" t="n">
        <v>0</v>
      </c>
      <c r="BG239" s="59" t="n">
        <v>0</v>
      </c>
      <c r="BH239" s="59" t="n">
        <v>0</v>
      </c>
      <c r="BI239" s="59" t="n">
        <v>0</v>
      </c>
      <c r="BJ239" s="59" t="n">
        <v>0</v>
      </c>
      <c r="BK239" s="59" t="n">
        <v>0</v>
      </c>
      <c r="BL239" s="59" t="n">
        <v>0</v>
      </c>
      <c r="BM239" s="59" t="n">
        <v>0</v>
      </c>
      <c r="BN239" s="59" t="n">
        <v>0</v>
      </c>
      <c r="BO239" s="59" t="n">
        <v>0</v>
      </c>
      <c r="BP239" s="59" t="n">
        <v>0</v>
      </c>
      <c r="BQ239" s="59" t="n">
        <v>0</v>
      </c>
      <c r="BR239" s="59" t="n">
        <v>0</v>
      </c>
      <c r="BS239" s="59" t="n">
        <v>0</v>
      </c>
      <c r="BT239" s="59" t="n">
        <v>0</v>
      </c>
      <c r="BU239" s="59" t="n">
        <v>0</v>
      </c>
      <c r="BV239" s="59" t="n">
        <v>0</v>
      </c>
      <c r="BW239" s="59" t="n">
        <v>0</v>
      </c>
      <c r="BX239" s="59" t="n">
        <v>0</v>
      </c>
      <c r="BY239" s="59" t="n">
        <v>0</v>
      </c>
      <c r="BZ239" s="59" t="n">
        <v>0</v>
      </c>
      <c r="CA239" s="59" t="n">
        <v>0</v>
      </c>
      <c r="CB239" s="59" t="n">
        <v>0</v>
      </c>
      <c r="CC239" s="59" t="n">
        <v>0</v>
      </c>
      <c r="CD239" s="59" t="n">
        <v>0</v>
      </c>
      <c r="CE239" s="59" t="n">
        <v>0</v>
      </c>
      <c r="CF239" s="59" t="n">
        <v>0</v>
      </c>
      <c r="CG239" s="59" t="n">
        <v>0</v>
      </c>
      <c r="CH239" s="59" t="n">
        <v>0</v>
      </c>
      <c r="CI239" s="59" t="n">
        <v>0</v>
      </c>
      <c r="CJ239" s="59" t="n">
        <v>0</v>
      </c>
      <c r="CK239" s="59" t="n">
        <v>0</v>
      </c>
      <c r="CL239" s="59" t="n">
        <v>0</v>
      </c>
      <c r="CM239" s="59" t="n">
        <v>0</v>
      </c>
      <c r="CN239" s="59" t="n">
        <v>0</v>
      </c>
      <c r="CO239" s="59" t="n">
        <v>0</v>
      </c>
      <c r="CP239" s="59" t="n">
        <v>0</v>
      </c>
      <c r="CQ239" s="59" t="n">
        <v>0</v>
      </c>
      <c r="CR239" s="59" t="n">
        <v>0</v>
      </c>
      <c r="CS239" s="59" t="n">
        <v>0</v>
      </c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</row>
    <row r="240" customFormat="false" ht="15" hidden="false" customHeight="true" outlineLevel="0" collapsed="false">
      <c r="A240" s="60" t="s">
        <v>161</v>
      </c>
      <c r="B240" s="61"/>
      <c r="C240" s="61"/>
      <c r="D240" s="61"/>
      <c r="E240" s="61" t="n">
        <f aca="false">-MIN(E237+E238+E239,MAX(0,E164-Helpers!C26))</f>
        <v>-0</v>
      </c>
      <c r="F240" s="61" t="n">
        <f aca="false">-MIN(F237+F238+F239,MAX(0,F164-Helpers!D26))</f>
        <v>-0</v>
      </c>
      <c r="G240" s="61" t="n">
        <f aca="false">-MIN(G237+G238+G239,MAX(0,G164-Helpers!E26))</f>
        <v>-0</v>
      </c>
      <c r="H240" s="61" t="n">
        <f aca="false">-MIN(H237+H238+H239,MAX(0,H164-Helpers!F26))</f>
        <v>-0</v>
      </c>
      <c r="I240" s="61" t="n">
        <f aca="false">-MIN(I237+I238+I239,MAX(0,I164-Helpers!G26))</f>
        <v>-0</v>
      </c>
      <c r="J240" s="61" t="n">
        <f aca="false">-MIN(J237+J238+J239,MAX(0,J164-Helpers!H26))</f>
        <v>-0</v>
      </c>
      <c r="K240" s="61" t="n">
        <f aca="false">-MIN(K237+K238+K239,MAX(0,K164-Helpers!I26))</f>
        <v>-0</v>
      </c>
      <c r="L240" s="61" t="n">
        <f aca="false">-MIN(L237+L238+L239,MAX(0,L164-Helpers!J26))</f>
        <v>-0</v>
      </c>
      <c r="M240" s="61" t="n">
        <f aca="false">-MIN(M237+M238+M239,MAX(0,M164-Helpers!K26))</f>
        <v>-0</v>
      </c>
      <c r="N240" s="61" t="n">
        <f aca="false">-MIN(N237+N238+N239,MAX(0,N164-Helpers!L26))</f>
        <v>-0</v>
      </c>
      <c r="O240" s="61" t="n">
        <f aca="false">-MIN(O237+O238+O239,MAX(0,O164-Helpers!M26))</f>
        <v>-0</v>
      </c>
      <c r="P240" s="61" t="n">
        <f aca="false">-MIN(P237+P238+P239,MAX(0,P164-Helpers!N26))</f>
        <v>-0</v>
      </c>
      <c r="Q240" s="61" t="n">
        <f aca="false">-MIN(Q237+Q238+Q239,MAX(0,Q164-Helpers!O26))</f>
        <v>-0</v>
      </c>
      <c r="R240" s="61" t="n">
        <f aca="false">-MIN(R237+R238+R239,MAX(0,R164-Helpers!P26))</f>
        <v>-0</v>
      </c>
      <c r="S240" s="61" t="n">
        <f aca="false">-MIN(S237+S238+S239,MAX(0,S164-Helpers!Q26))</f>
        <v>-0</v>
      </c>
      <c r="T240" s="61" t="n">
        <f aca="false">-MIN(T237+T238+T239,MAX(0,T164-Helpers!R26))</f>
        <v>-0</v>
      </c>
      <c r="U240" s="61" t="n">
        <f aca="false">-MIN(U237+U238+U239,MAX(0,U164-Helpers!S26))</f>
        <v>-0</v>
      </c>
      <c r="V240" s="61" t="n">
        <f aca="false">-MIN(V237+V238+V239,MAX(0,V164-Helpers!T26))</f>
        <v>-0</v>
      </c>
      <c r="W240" s="61" t="n">
        <f aca="false">-MIN(W237+W238+W239,MAX(0,W164-Helpers!U26))</f>
        <v>-0</v>
      </c>
      <c r="X240" s="61" t="n">
        <f aca="false">-MIN(X237+X238+X239,MAX(0,X164-Helpers!V26))</f>
        <v>-0</v>
      </c>
      <c r="Y240" s="61" t="n">
        <f aca="false">-MIN(Y237+Y238+Y239,MAX(0,Y164-Helpers!W26))</f>
        <v>-0</v>
      </c>
      <c r="Z240" s="61" t="n">
        <f aca="false">-MIN(Z237+Z238+Z239,MAX(0,Z164-Helpers!X26))</f>
        <v>-0</v>
      </c>
      <c r="AA240" s="61" t="n">
        <f aca="false">-MIN(AA237+AA238+AA239,MAX(0,AA164-Helpers!Y26))</f>
        <v>-0</v>
      </c>
      <c r="AB240" s="61" t="n">
        <f aca="false">-MIN(AB237+AB238+AB239,MAX(0,AB164-Helpers!Z26))</f>
        <v>-0</v>
      </c>
      <c r="AC240" s="61" t="n">
        <f aca="false">-MIN(AC237+AC238+AC239,MAX(0,AC164-Helpers!AA26))</f>
        <v>-0</v>
      </c>
      <c r="AD240" s="61" t="n">
        <f aca="false">-MIN(AD237+AD238+AD239,MAX(0,AD164-Helpers!AB26))</f>
        <v>-0</v>
      </c>
      <c r="AE240" s="61" t="n">
        <f aca="false">-MIN(AE237+AE238+AE239,MAX(0,AE164-Helpers!AC26))</f>
        <v>-0</v>
      </c>
      <c r="AF240" s="61" t="n">
        <f aca="false">-MIN(AF237+AF238+AF239,MAX(0,AF164-Helpers!AD26))</f>
        <v>-0</v>
      </c>
      <c r="AG240" s="61" t="n">
        <f aca="false">-MIN(AG237+AG238+AG239,MAX(0,AG164-Helpers!AE26))</f>
        <v>-0</v>
      </c>
      <c r="AH240" s="61" t="n">
        <f aca="false">-MIN(AH237+AH238+AH239,MAX(0,AH164-Helpers!AF26))</f>
        <v>-0</v>
      </c>
      <c r="AI240" s="61" t="n">
        <f aca="false">-MIN(AI237+AI238+AI239,MAX(0,AI164-Helpers!AG26))</f>
        <v>-0</v>
      </c>
      <c r="AJ240" s="61" t="n">
        <f aca="false">-MIN(AJ237+AJ238+AJ239,MAX(0,AJ164-Helpers!AH26))</f>
        <v>-0</v>
      </c>
      <c r="AK240" s="61" t="n">
        <f aca="false">-MIN(AK237+AK238+AK239,MAX(0,AK164-Helpers!AI26))</f>
        <v>-0</v>
      </c>
      <c r="AL240" s="61" t="n">
        <f aca="false">-MIN(AL237+AL238+AL239,MAX(0,AL164-Helpers!AJ26))</f>
        <v>-0</v>
      </c>
      <c r="AM240" s="61" t="n">
        <f aca="false">-MIN(AM237+AM238+AM239,MAX(0,AM164-Helpers!AK26))</f>
        <v>-0</v>
      </c>
      <c r="AN240" s="61" t="n">
        <f aca="false">-MIN(AN237+AN238+AN239,MAX(0,AN164-Helpers!AL26))</f>
        <v>-0</v>
      </c>
      <c r="AO240" s="61" t="n">
        <f aca="false">-MIN(AO237+AO238+AO239,MAX(0,AO164-Helpers!AM26))</f>
        <v>-0</v>
      </c>
      <c r="AP240" s="61" t="n">
        <f aca="false">-MIN(AP237+AP238+AP239,MAX(0,AP164-Helpers!AN26))</f>
        <v>-0</v>
      </c>
      <c r="AQ240" s="61" t="n">
        <f aca="false">-MIN(AQ237+AQ238+AQ239,MAX(0,AQ164-Helpers!AO26))</f>
        <v>-0</v>
      </c>
      <c r="AR240" s="61" t="n">
        <f aca="false">-MIN(AR237+AR238+AR239,MAX(0,AR164-Helpers!AP26))</f>
        <v>-0</v>
      </c>
      <c r="AS240" s="61" t="n">
        <f aca="false">-MIN(AS237+AS238+AS239,MAX(0,AS164-Helpers!AQ26))</f>
        <v>-0</v>
      </c>
      <c r="AT240" s="61" t="n">
        <f aca="false">-MIN(AT237+AT238+AT239,MAX(0,AT164-Helpers!AR26))</f>
        <v>-0</v>
      </c>
      <c r="AU240" s="61" t="n">
        <f aca="false">-MIN(AU237+AU238+AU239,MAX(0,AU164-Helpers!AS26))</f>
        <v>-0</v>
      </c>
      <c r="AV240" s="61" t="n">
        <f aca="false">-MIN(AV237+AV238+AV239,MAX(0,AV164-Helpers!AT26))</f>
        <v>-0</v>
      </c>
      <c r="AW240" s="61" t="n">
        <f aca="false">-MIN(AW237+AW238+AW239,MAX(0,AW164-Helpers!AU26))</f>
        <v>-0</v>
      </c>
      <c r="AX240" s="61" t="n">
        <f aca="false">-MIN(AX237+AX238+AX239,MAX(0,AX164-Helpers!AV26))</f>
        <v>-0</v>
      </c>
      <c r="AY240" s="61" t="n">
        <f aca="false">-MIN(AY237+AY238+AY239,MAX(0,AY164-Helpers!AW26))</f>
        <v>-0</v>
      </c>
      <c r="AZ240" s="61" t="n">
        <f aca="false">-MIN(AZ237+AZ238+AZ239,MAX(0,AZ164-Helpers!AX26))</f>
        <v>-0</v>
      </c>
      <c r="BA240" s="61" t="n">
        <f aca="false">-MIN(BA237+BA238+BA239,MAX(0,BA164-Helpers!AY26))</f>
        <v>-0</v>
      </c>
      <c r="BB240" s="61" t="n">
        <f aca="false">-MIN(BB237+BB238+BB239,MAX(0,BB164-Helpers!AZ26))</f>
        <v>-0</v>
      </c>
      <c r="BC240" s="61" t="n">
        <f aca="false">-MIN(BC237+BC238+BC239,MAX(0,BC164-Helpers!BA26))</f>
        <v>-0</v>
      </c>
      <c r="BD240" s="61" t="n">
        <f aca="false">-MIN(BD237+BD238+BD239,MAX(0,BD164-Helpers!BB26))</f>
        <v>-0</v>
      </c>
      <c r="BE240" s="61" t="n">
        <f aca="false">-MIN(BE237+BE238+BE239,MAX(0,BE164-Helpers!BC26))</f>
        <v>-0</v>
      </c>
      <c r="BF240" s="61" t="n">
        <f aca="false">-MIN(BF237+BF238+BF239,MAX(0,BF164-Helpers!BD26))</f>
        <v>-0</v>
      </c>
      <c r="BG240" s="61" t="n">
        <f aca="false">-MIN(BG237+BG238+BG239,MAX(0,BG164-Helpers!BE26))</f>
        <v>-0</v>
      </c>
      <c r="BH240" s="61" t="n">
        <f aca="false">-MIN(BH237+BH238+BH239,MAX(0,BH164-Helpers!BF26))</f>
        <v>-0</v>
      </c>
      <c r="BI240" s="61" t="n">
        <f aca="false">-MIN(BI237+BI238+BI239,MAX(0,BI164-Helpers!BG26))</f>
        <v>-0</v>
      </c>
      <c r="BJ240" s="61" t="n">
        <f aca="false">-MIN(BJ237+BJ238+BJ239,MAX(0,BJ164-Helpers!BH26))</f>
        <v>-0</v>
      </c>
      <c r="BK240" s="61" t="n">
        <f aca="false">-MIN(BK237+BK238+BK239,MAX(0,BK164-Helpers!BI26))</f>
        <v>-0</v>
      </c>
      <c r="BL240" s="61" t="n">
        <f aca="false">-MIN(BL237+BL238+BL239,MAX(0,BL164-Helpers!BJ26))</f>
        <v>-0</v>
      </c>
      <c r="BM240" s="61" t="n">
        <f aca="false">-MIN(BM237+BM238+BM239,MAX(0,BM164-Helpers!BK26))</f>
        <v>-0</v>
      </c>
      <c r="BN240" s="61" t="n">
        <f aca="false">-MIN(BN237+BN238+BN239,MAX(0,BN164-Helpers!BL26))</f>
        <v>-0</v>
      </c>
      <c r="BO240" s="61" t="n">
        <f aca="false">-MIN(BO237+BO238+BO239,MAX(0,BO164-Helpers!BM26))</f>
        <v>-0</v>
      </c>
      <c r="BP240" s="61" t="n">
        <f aca="false">-MIN(BP237+BP238+BP239,MAX(0,BP164-Helpers!BN26))</f>
        <v>-0</v>
      </c>
      <c r="BQ240" s="61" t="n">
        <f aca="false">-MIN(BQ237+BQ238+BQ239,MAX(0,BQ164-Helpers!BO26))</f>
        <v>-0</v>
      </c>
      <c r="BR240" s="61" t="n">
        <f aca="false">-MIN(BR237+BR238+BR239,MAX(0,BR164-Helpers!BP26))</f>
        <v>-0</v>
      </c>
      <c r="BS240" s="61" t="n">
        <f aca="false">-MIN(BS237+BS238+BS239,MAX(0,BS164-Helpers!BQ26))</f>
        <v>-0</v>
      </c>
      <c r="BT240" s="61" t="n">
        <f aca="false">-MIN(BT237+BT238+BT239,MAX(0,BT164-Helpers!BR26))</f>
        <v>-0</v>
      </c>
      <c r="BU240" s="61" t="n">
        <f aca="false">-MIN(BU237+BU238+BU239,MAX(0,BU164-Helpers!BS26))</f>
        <v>-0</v>
      </c>
      <c r="BV240" s="61" t="n">
        <f aca="false">-MIN(BV237+BV238+BV239,MAX(0,BV164-Helpers!BT26))</f>
        <v>-0</v>
      </c>
      <c r="BW240" s="61" t="n">
        <f aca="false">-MIN(BW237+BW238+BW239,MAX(0,BW164-Helpers!BU26))</f>
        <v>-0</v>
      </c>
      <c r="BX240" s="61" t="n">
        <f aca="false">-MIN(BX237+BX238+BX239,MAX(0,BX164-Helpers!BV26))</f>
        <v>-0</v>
      </c>
      <c r="BY240" s="61" t="n">
        <f aca="false">-MIN(BY237+BY238+BY239,MAX(0,BY164-Helpers!BW26))</f>
        <v>-0</v>
      </c>
      <c r="BZ240" s="61" t="n">
        <f aca="false">-MIN(BZ237+BZ238+BZ239,MAX(0,BZ164-Helpers!BX26))</f>
        <v>-0</v>
      </c>
      <c r="CA240" s="61" t="n">
        <f aca="false">-MIN(CA237+CA238+CA239,MAX(0,CA164-Helpers!BY26))</f>
        <v>-0</v>
      </c>
      <c r="CB240" s="61" t="n">
        <f aca="false">-MIN(CB237+CB238+CB239,MAX(0,CB164-Helpers!BZ26))</f>
        <v>-0</v>
      </c>
      <c r="CC240" s="61" t="n">
        <f aca="false">-MIN(CC237+CC238+CC239,MAX(0,CC164-Helpers!CA26))</f>
        <v>-0</v>
      </c>
      <c r="CD240" s="61" t="n">
        <f aca="false">-MIN(CD237+CD238+CD239,MAX(0,CD164-Helpers!CB26))</f>
        <v>-0</v>
      </c>
      <c r="CE240" s="61" t="n">
        <f aca="false">-MIN(CE237+CE238+CE239,MAX(0,CE164-Helpers!CC26))</f>
        <v>-0</v>
      </c>
      <c r="CF240" s="61" t="n">
        <f aca="false">-MIN(CF237+CF238+CF239,MAX(0,CF164-Helpers!CD26))</f>
        <v>-0</v>
      </c>
      <c r="CG240" s="61" t="n">
        <f aca="false">-MIN(CG237+CG238+CG239,MAX(0,CG164-Helpers!CE26))</f>
        <v>-0</v>
      </c>
      <c r="CH240" s="61" t="n">
        <f aca="false">-MIN(CH237+CH238+CH239,MAX(0,CH164-Helpers!CF26))</f>
        <v>-0</v>
      </c>
      <c r="CI240" s="61" t="n">
        <f aca="false">-MIN(CI237+CI238+CI239,MAX(0,CI164-Helpers!CG26))</f>
        <v>-0</v>
      </c>
      <c r="CJ240" s="61" t="n">
        <f aca="false">-MIN(CJ237+CJ238+CJ239,MAX(0,CJ164-Helpers!CH26))</f>
        <v>-0</v>
      </c>
      <c r="CK240" s="61" t="n">
        <f aca="false">-MIN(CK237+CK238+CK239,MAX(0,CK164-Helpers!CI26))</f>
        <v>-0</v>
      </c>
      <c r="CL240" s="61" t="n">
        <f aca="false">-MIN(CL237+CL238+CL239,MAX(0,CL164-Helpers!CJ26))</f>
        <v>-0</v>
      </c>
      <c r="CM240" s="61" t="n">
        <f aca="false">-MIN(CM237+CM238+CM239,MAX(0,CM164-Helpers!CK26))</f>
        <v>-0</v>
      </c>
      <c r="CN240" s="61" t="n">
        <f aca="false">-MIN(CN237+CN238+CN239,MAX(0,CN164-Helpers!CL26))</f>
        <v>-21694.6799999999</v>
      </c>
      <c r="CO240" s="61" t="n">
        <f aca="false">-MIN(CO237+CO238+CO239,MAX(0,CO164-Helpers!CM26))</f>
        <v>-73155</v>
      </c>
      <c r="CP240" s="61" t="n">
        <f aca="false">-MIN(CP237+CP238+CP239,MAX(0,CP164-Helpers!CN26))</f>
        <v>-73155</v>
      </c>
      <c r="CQ240" s="61" t="n">
        <f aca="false">-MIN(CQ237+CQ238+CQ239,MAX(0,CQ164-Helpers!CO26))</f>
        <v>-73155</v>
      </c>
      <c r="CR240" s="61" t="n">
        <f aca="false">-MIN(CR237+CR238+CR239,MAX(0,CR164-Helpers!CP26))</f>
        <v>-73155</v>
      </c>
      <c r="CS240" s="61" t="n">
        <f aca="false">-MIN(CS237+CS238+CS239,MAX(0,CS164-Helpers!CQ26))</f>
        <v>-73155</v>
      </c>
      <c r="CT240" s="61" t="n">
        <f aca="false">-MIN(CT237+CT238+CT239,MAX(0,CT164-Helpers!CR26))</f>
        <v>-73155</v>
      </c>
      <c r="CU240" s="61" t="n">
        <f aca="false">-MIN(CU237+CU238+CU239,MAX(0,CU164-Helpers!CS26))</f>
        <v>-73155</v>
      </c>
      <c r="CV240" s="61" t="n">
        <f aca="false">-MIN(CV237+CV238+CV239,MAX(0,CV164-Helpers!CT26))</f>
        <v>-73155</v>
      </c>
      <c r="CW240" s="61" t="n">
        <f aca="false">-MIN(CW237+CW238+CW239,MAX(0,CW164-Helpers!CU26))</f>
        <v>-17446.8489364072</v>
      </c>
      <c r="CX240" s="61" t="n">
        <f aca="false">-MIN(CX237+CX238+CX239,MAX(0,CX164-Helpers!CV26))</f>
        <v>-0</v>
      </c>
      <c r="CY240" s="61" t="n">
        <f aca="false">-MIN(CY237+CY238+CY239,MAX(0,CY164-Helpers!CW26))</f>
        <v>-0</v>
      </c>
      <c r="CZ240" s="61" t="n">
        <f aca="false">-MIN(CZ237+CZ238+CZ239,MAX(0,CZ164-Helpers!CX26))</f>
        <v>-0</v>
      </c>
      <c r="DA240" s="61" t="n">
        <f aca="false">-MIN(DA237+DA238+DA239,MAX(0,DA164-Helpers!CY26))</f>
        <v>-0</v>
      </c>
      <c r="DB240" s="61" t="n">
        <f aca="false">-MIN(DB237+DB238+DB239,MAX(0,DB164-Helpers!CZ26))</f>
        <v>-0</v>
      </c>
      <c r="DC240" s="61" t="n">
        <f aca="false">-MIN(DC237+DC238+DC239,MAX(0,DC164-Helpers!DA26))</f>
        <v>-0</v>
      </c>
      <c r="DD240" s="61" t="n">
        <f aca="false">-MIN(DD237+DD238+DD239,MAX(0,DD164-Helpers!DB26))</f>
        <v>-0</v>
      </c>
      <c r="DE240" s="61" t="n">
        <f aca="false">-MIN(DE237+DE238+DE239,MAX(0,DE164-Helpers!DC26))</f>
        <v>-0</v>
      </c>
    </row>
    <row r="241" customFormat="false" ht="15" hidden="false" customHeight="true" outlineLevel="0" collapsed="false">
      <c r="A241" s="56" t="s">
        <v>162</v>
      </c>
      <c r="B241" s="57"/>
      <c r="C241" s="57"/>
      <c r="D241" s="57"/>
      <c r="E241" s="57" t="n">
        <f aca="false">MAX(0,E237+E238+E239+E240)</f>
        <v>264927.15</v>
      </c>
      <c r="F241" s="57" t="n">
        <f aca="false">MAX(0,F237+F238+F239+F240)</f>
        <v>264927.15</v>
      </c>
      <c r="G241" s="57" t="n">
        <f aca="false">MAX(0,G237+G238+G239+G240)</f>
        <v>458103.196875</v>
      </c>
      <c r="H241" s="57" t="n">
        <f aca="false">MAX(0,H237+H238+H239+H240)</f>
        <v>458103.196875</v>
      </c>
      <c r="I241" s="57" t="n">
        <f aca="false">MAX(0,I237+I238+I239+I240)</f>
        <v>458103.196875</v>
      </c>
      <c r="J241" s="57" t="n">
        <f aca="false">MAX(0,J237+J238+J239+J240)</f>
        <v>658523.345507813</v>
      </c>
      <c r="K241" s="57" t="n">
        <f aca="false">MAX(0,K237+K238+K239+K240)</f>
        <v>658523.345507813</v>
      </c>
      <c r="L241" s="57" t="n">
        <f aca="false">MAX(0,L237+L238+L239+L240)</f>
        <v>658523.345507813</v>
      </c>
      <c r="M241" s="57" t="n">
        <f aca="false">MAX(0,M237+M238+M239+M240)</f>
        <v>683217.970964355</v>
      </c>
      <c r="N241" s="57" t="n">
        <f aca="false">MAX(0,N237+N238+N239+N240)</f>
        <v>771527.020964355</v>
      </c>
      <c r="O241" s="57" t="n">
        <f aca="false">MAX(0,O237+O238+O239+O240)</f>
        <v>771527.020964355</v>
      </c>
      <c r="P241" s="57" t="n">
        <f aca="false">MAX(0,P237+P238+P239+P240)</f>
        <v>800459.284250519</v>
      </c>
      <c r="Q241" s="57" t="n">
        <f aca="false">MAX(0,Q237+Q238+Q239+Q240)</f>
        <v>800459.284250519</v>
      </c>
      <c r="R241" s="57" t="n">
        <f aca="false">MAX(0,R237+R238+R239+R240)</f>
        <v>800459.284250519</v>
      </c>
      <c r="S241" s="57" t="n">
        <f aca="false">MAX(0,S237+S238+S239+S240)</f>
        <v>922097.146784913</v>
      </c>
      <c r="T241" s="57" t="n">
        <f aca="false">MAX(0,T237+T238+T239+T240)</f>
        <v>922097.146784913</v>
      </c>
      <c r="U241" s="57" t="n">
        <f aca="false">MAX(0,U237+U238+U239+U240)</f>
        <v>922097.146784913</v>
      </c>
      <c r="V241" s="57" t="n">
        <f aca="false">MAX(0,V237+V238+V239+V240)</f>
        <v>956675.789789348</v>
      </c>
      <c r="W241" s="57" t="n">
        <f aca="false">MAX(0,W237+W238+W239+W240)</f>
        <v>956675.789789348</v>
      </c>
      <c r="X241" s="57" t="n">
        <f aca="false">MAX(0,X237+X238+X239+X240)</f>
        <v>956675.789789348</v>
      </c>
      <c r="Y241" s="57" t="n">
        <f aca="false">MAX(0,Y237+Y238+Y239+Y240)</f>
        <v>1084171.77128145</v>
      </c>
      <c r="Z241" s="57" t="n">
        <f aca="false">MAX(0,Z237+Z238+Z239+Z240)</f>
        <v>1084171.77128145</v>
      </c>
      <c r="AA241" s="57" t="n">
        <f aca="false">MAX(0,AA237+AA238+AA239+AA240)</f>
        <v>1084171.77128145</v>
      </c>
      <c r="AB241" s="57" t="n">
        <f aca="false">MAX(0,AB237+AB238+AB239+AB240)</f>
        <v>1124828.2127045</v>
      </c>
      <c r="AC241" s="57" t="n">
        <f aca="false">MAX(0,AC237+AC238+AC239+AC240)</f>
        <v>1124828.2127045</v>
      </c>
      <c r="AD241" s="57" t="n">
        <f aca="false">MAX(0,AD237+AD238+AD239+AD240)</f>
        <v>1124828.2127045</v>
      </c>
      <c r="AE241" s="57" t="n">
        <f aca="false">MAX(0,AE237+AE238+AE239+AE240)</f>
        <v>283215.664430921</v>
      </c>
      <c r="AF241" s="57" t="n">
        <f aca="false">MAX(0,AF237+AF238+AF239+AF240)</f>
        <v>283215.664430921</v>
      </c>
      <c r="AG241" s="57" t="n">
        <f aca="false">MAX(0,AG237+AG238+AG239+AG240)</f>
        <v>283215.664430921</v>
      </c>
      <c r="AH241" s="57" t="n">
        <f aca="false">MAX(0,AH237+AH238+AH239+AH240)</f>
        <v>293836.251847081</v>
      </c>
      <c r="AI241" s="57" t="n">
        <f aca="false">MAX(0,AI237+AI238+AI239+AI240)</f>
        <v>293836.251847081</v>
      </c>
      <c r="AJ241" s="57" t="n">
        <f aca="false">MAX(0,AJ237+AJ238+AJ239+AJ240)</f>
        <v>293836.251847081</v>
      </c>
      <c r="AK241" s="57" t="n">
        <f aca="false">MAX(0,AK237+AK238+AK239+AK240)</f>
        <v>304855.111291347</v>
      </c>
      <c r="AL241" s="57" t="n">
        <f aca="false">MAX(0,AL237+AL238+AL239+AL240)</f>
        <v>304855.111291347</v>
      </c>
      <c r="AM241" s="57" t="n">
        <f aca="false">MAX(0,AM237+AM238+AM239+AM240)</f>
        <v>304855.111291347</v>
      </c>
      <c r="AN241" s="57" t="n">
        <f aca="false">MAX(0,AN237+AN238+AN239+AN240)</f>
        <v>316287.177964772</v>
      </c>
      <c r="AO241" s="57" t="n">
        <f aca="false">MAX(0,AO237+AO238+AO239+AO240)</f>
        <v>316287.177964772</v>
      </c>
      <c r="AP241" s="57" t="n">
        <f aca="false">MAX(0,AP237+AP238+AP239+AP240)</f>
        <v>316287.177964772</v>
      </c>
      <c r="AQ241" s="57" t="n">
        <f aca="false">MAX(0,AQ237+AQ238+AQ239+AQ240)</f>
        <v>328147.947138451</v>
      </c>
      <c r="AR241" s="57" t="n">
        <f aca="false">MAX(0,AR237+AR238+AR239+AR240)</f>
        <v>328147.947138451</v>
      </c>
      <c r="AS241" s="57" t="n">
        <f aca="false">MAX(0,AS237+AS238+AS239+AS240)</f>
        <v>328147.947138451</v>
      </c>
      <c r="AT241" s="57" t="n">
        <f aca="false">MAX(0,AT237+AT238+AT239+AT240)</f>
        <v>340453.495156143</v>
      </c>
      <c r="AU241" s="57" t="n">
        <f aca="false">MAX(0,AU237+AU238+AU239+AU240)</f>
        <v>340453.495156143</v>
      </c>
      <c r="AV241" s="57" t="n">
        <f aca="false">MAX(0,AV237+AV238+AV239+AV240)</f>
        <v>340453.495156143</v>
      </c>
      <c r="AW241" s="57" t="n">
        <f aca="false">MAX(0,AW237+AW238+AW239+AW240)</f>
        <v>353220.501224498</v>
      </c>
      <c r="AX241" s="57" t="n">
        <f aca="false">MAX(0,AX237+AX238+AX239+AX240)</f>
        <v>353220.501224498</v>
      </c>
      <c r="AY241" s="57" t="n">
        <f aca="false">MAX(0,AY237+AY238+AY239+AY240)</f>
        <v>353220.501224498</v>
      </c>
      <c r="AZ241" s="57" t="n">
        <f aca="false">MAX(0,AZ237+AZ238+AZ239+AZ240)</f>
        <v>366466.270020417</v>
      </c>
      <c r="BA241" s="57" t="n">
        <f aca="false">MAX(0,BA237+BA238+BA239+BA240)</f>
        <v>366466.270020417</v>
      </c>
      <c r="BB241" s="57" t="n">
        <f aca="false">MAX(0,BB237+BB238+BB239+BB240)</f>
        <v>366466.270020417</v>
      </c>
      <c r="BC241" s="57" t="n">
        <f aca="false">MAX(0,BC237+BC238+BC239+BC240)</f>
        <v>380208.755146183</v>
      </c>
      <c r="BD241" s="57" t="n">
        <f aca="false">MAX(0,BD237+BD238+BD239+BD240)</f>
        <v>380208.755146183</v>
      </c>
      <c r="BE241" s="57" t="n">
        <f aca="false">MAX(0,BE237+BE238+BE239+BE240)</f>
        <v>380208.755146183</v>
      </c>
      <c r="BF241" s="57" t="n">
        <f aca="false">MAX(0,BF237+BF238+BF239+BF240)</f>
        <v>394466.583464164</v>
      </c>
      <c r="BG241" s="57" t="n">
        <f aca="false">MAX(0,BG237+BG238+BG239+BG240)</f>
        <v>394466.583464164</v>
      </c>
      <c r="BH241" s="57" t="n">
        <f aca="false">MAX(0,BH237+BH238+BH239+BH240)</f>
        <v>394466.583464164</v>
      </c>
      <c r="BI241" s="57" t="n">
        <f aca="false">MAX(0,BI237+BI238+BI239+BI240)</f>
        <v>409259.080344071</v>
      </c>
      <c r="BJ241" s="57" t="n">
        <f aca="false">MAX(0,BJ237+BJ238+BJ239+BJ240)</f>
        <v>409259.080344071</v>
      </c>
      <c r="BK241" s="57" t="n">
        <f aca="false">MAX(0,BK237+BK238+BK239+BK240)</f>
        <v>409259.080344071</v>
      </c>
      <c r="BL241" s="57" t="n">
        <f aca="false">MAX(0,BL237+BL238+BL239+BL240)</f>
        <v>424606.295856973</v>
      </c>
      <c r="BM241" s="57" t="n">
        <f aca="false">MAX(0,BM237+BM238+BM239+BM240)</f>
        <v>424606.295856973</v>
      </c>
      <c r="BN241" s="57" t="n">
        <f aca="false">MAX(0,BN237+BN238+BN239+BN240)</f>
        <v>424606.295856973</v>
      </c>
      <c r="BO241" s="57" t="n">
        <f aca="false">MAX(0,BO237+BO238+BO239+BO240)</f>
        <v>440529.03195161</v>
      </c>
      <c r="BP241" s="57" t="n">
        <f aca="false">MAX(0,BP237+BP238+BP239+BP240)</f>
        <v>440529.03195161</v>
      </c>
      <c r="BQ241" s="57" t="n">
        <f aca="false">MAX(0,BQ237+BQ238+BQ239+BQ240)</f>
        <v>440529.03195161</v>
      </c>
      <c r="BR241" s="57" t="n">
        <f aca="false">MAX(0,BR237+BR238+BR239+BR240)</f>
        <v>457048.870649795</v>
      </c>
      <c r="BS241" s="57" t="n">
        <f aca="false">MAX(0,BS237+BS238+BS239+BS240)</f>
        <v>457048.870649795</v>
      </c>
      <c r="BT241" s="57" t="n">
        <f aca="false">MAX(0,BT237+BT238+BT239+BT240)</f>
        <v>457048.870649795</v>
      </c>
      <c r="BU241" s="57" t="n">
        <f aca="false">MAX(0,BU237+BU238+BU239+BU240)</f>
        <v>474188.203299162</v>
      </c>
      <c r="BV241" s="57" t="n">
        <f aca="false">MAX(0,BV237+BV238+BV239+BV240)</f>
        <v>474188.203299162</v>
      </c>
      <c r="BW241" s="57" t="n">
        <f aca="false">MAX(0,BW237+BW238+BW239+BW240)</f>
        <v>474188.203299162</v>
      </c>
      <c r="BX241" s="57" t="n">
        <f aca="false">MAX(0,BX237+BX238+BX239+BX240)</f>
        <v>491970.260922881</v>
      </c>
      <c r="BY241" s="57" t="n">
        <f aca="false">MAX(0,BY237+BY238+BY239+BY240)</f>
        <v>491970.260922881</v>
      </c>
      <c r="BZ241" s="57" t="n">
        <f aca="false">MAX(0,BZ237+BZ238+BZ239+BZ240)</f>
        <v>491970.260922881</v>
      </c>
      <c r="CA241" s="57" t="n">
        <f aca="false">MAX(0,CA237+CA238+CA239+CA240)</f>
        <v>510419.145707489</v>
      </c>
      <c r="CB241" s="57" t="n">
        <f aca="false">MAX(0,CB237+CB238+CB239+CB240)</f>
        <v>510419.145707489</v>
      </c>
      <c r="CC241" s="57" t="n">
        <f aca="false">MAX(0,CC237+CC238+CC239+CC240)</f>
        <v>510419.145707489</v>
      </c>
      <c r="CD241" s="57" t="n">
        <f aca="false">MAX(0,CD237+CD238+CD239+CD240)</f>
        <v>529559.86367152</v>
      </c>
      <c r="CE241" s="57" t="n">
        <f aca="false">MAX(0,CE237+CE238+CE239+CE240)</f>
        <v>529559.86367152</v>
      </c>
      <c r="CF241" s="57" t="n">
        <f aca="false">MAX(0,CF237+CF238+CF239+CF240)</f>
        <v>529559.86367152</v>
      </c>
      <c r="CG241" s="57" t="n">
        <f aca="false">MAX(0,CG237+CG238+CG239+CG240)</f>
        <v>549418.358559202</v>
      </c>
      <c r="CH241" s="57" t="n">
        <f aca="false">MAX(0,CH237+CH238+CH239+CH240)</f>
        <v>549418.358559202</v>
      </c>
      <c r="CI241" s="57" t="n">
        <f aca="false">MAX(0,CI237+CI238+CI239+CI240)</f>
        <v>549418.358559202</v>
      </c>
      <c r="CJ241" s="57" t="n">
        <f aca="false">MAX(0,CJ237+CJ238+CJ239+CJ240)</f>
        <v>570021.547005172</v>
      </c>
      <c r="CK241" s="57" t="n">
        <f aca="false">MAX(0,CK237+CK238+CK239+CK240)</f>
        <v>570021.547005172</v>
      </c>
      <c r="CL241" s="57" t="n">
        <f aca="false">MAX(0,CL237+CL238+CL239+CL240)</f>
        <v>570021.547005172</v>
      </c>
      <c r="CM241" s="57" t="n">
        <f aca="false">MAX(0,CM237+CM238+CM239+CM240)</f>
        <v>591397.355017866</v>
      </c>
      <c r="CN241" s="57" t="n">
        <f aca="false">MAX(0,CN237+CN238+CN239+CN240)</f>
        <v>569702.675017866</v>
      </c>
      <c r="CO241" s="57" t="n">
        <f aca="false">MAX(0,CO237+CO238+CO239+CO240)</f>
        <v>496547.675017866</v>
      </c>
      <c r="CP241" s="57" t="n">
        <f aca="false">MAX(0,CP237+CP238+CP239+CP240)</f>
        <v>442013.212831036</v>
      </c>
      <c r="CQ241" s="57" t="n">
        <f aca="false">MAX(0,CQ237+CQ238+CQ239+CQ240)</f>
        <v>368858.212831036</v>
      </c>
      <c r="CR241" s="57" t="n">
        <f aca="false">MAX(0,CR237+CR238+CR239+CR240)</f>
        <v>295703.212831036</v>
      </c>
      <c r="CS241" s="57" t="n">
        <f aca="false">MAX(0,CS237+CS238+CS239+CS240)</f>
        <v>233637.0833122</v>
      </c>
      <c r="CT241" s="57" t="n">
        <f aca="false">MAX(0,CT237+CT238+CT239+CT240)</f>
        <v>160482.0833122</v>
      </c>
      <c r="CU241" s="57" t="n">
        <f aca="false">MAX(0,CU237+CU238+CU239+CU240)</f>
        <v>87327.0833121997</v>
      </c>
      <c r="CV241" s="57" t="n">
        <f aca="false">MAX(0,CV237+CV238+CV239+CV240)</f>
        <v>17446.8489364072</v>
      </c>
      <c r="CW241" s="57" t="n">
        <f aca="false">MAX(0,CW237+CW238+CW239+CW240)</f>
        <v>0</v>
      </c>
      <c r="CX241" s="57" t="n">
        <f aca="false">MAX(0,CX237+CX238+CX239+CX240)</f>
        <v>0</v>
      </c>
      <c r="CY241" s="57" t="n">
        <f aca="false">MAX(0,CY237+CY238+CY239+CY240)</f>
        <v>0</v>
      </c>
      <c r="CZ241" s="57" t="n">
        <f aca="false">MAX(0,CZ237+CZ238+CZ239+CZ240)</f>
        <v>0</v>
      </c>
      <c r="DA241" s="57" t="n">
        <f aca="false">MAX(0,DA237+DA238+DA239+DA240)</f>
        <v>0</v>
      </c>
      <c r="DB241" s="57" t="n">
        <f aca="false">MAX(0,DB237+DB238+DB239+DB240)</f>
        <v>0</v>
      </c>
      <c r="DC241" s="57" t="n">
        <f aca="false">MAX(0,DC237+DC238+DC239+DC240)</f>
        <v>0</v>
      </c>
      <c r="DD241" s="57" t="n">
        <f aca="false">MAX(0,DD237+DD238+DD239+DD240)</f>
        <v>0</v>
      </c>
      <c r="DE241" s="57" t="n">
        <f aca="false">MAX(0,DE237+DE238+DE239+DE240)</f>
        <v>0</v>
      </c>
    </row>
    <row r="242" customFormat="false" ht="15" hidden="false" customHeight="true" outlineLevel="0" collapsed="false">
      <c r="A242" s="58" t="s">
        <v>163</v>
      </c>
      <c r="B242" s="59"/>
      <c r="C242" s="59"/>
      <c r="D242" s="59"/>
      <c r="E242" s="59" t="n">
        <f aca="false">IF(Projects!$G$13="Yes",Assumptions!$B$71,0)</f>
        <v>1134000</v>
      </c>
      <c r="F242" s="59" t="n">
        <f aca="false">E246+IF(AND(Projects!$G$13="Yes",2&lt;=Assumptions!$B$73),Assumptions!$B$72,0)</f>
        <v>1184000</v>
      </c>
      <c r="G242" s="59" t="n">
        <f aca="false">F246+IF(AND(Projects!$G$13="Yes",3&lt;=Assumptions!$B$73),Assumptions!$B$72,0)</f>
        <v>1234000</v>
      </c>
      <c r="H242" s="59" t="n">
        <f aca="false">G246+IF(AND(Projects!$G$13="Yes",4&lt;=Assumptions!$B$73),Assumptions!$B$72,0)</f>
        <v>1330275</v>
      </c>
      <c r="I242" s="59" t="n">
        <f aca="false">H246+IF(AND(Projects!$G$13="Yes",5&lt;=Assumptions!$B$73),Assumptions!$B$72,0)</f>
        <v>1380275</v>
      </c>
      <c r="J242" s="59" t="n">
        <f aca="false">I246+IF(AND(Projects!$G$13="Yes",6&lt;=Assumptions!$B$73),Assumptions!$B$72,0)</f>
        <v>1430275</v>
      </c>
      <c r="K242" s="59" t="n">
        <f aca="false">J246+IF(AND(Projects!$G$13="Yes",7&lt;=Assumptions!$B$73),Assumptions!$B$72,0)</f>
        <v>1533910.3125</v>
      </c>
      <c r="L242" s="59" t="n">
        <f aca="false">K246+IF(AND(Projects!$G$13="Yes",8&lt;=Assumptions!$B$73),Assumptions!$B$72,0)</f>
        <v>1583910.3125</v>
      </c>
      <c r="M242" s="59" t="n">
        <f aca="false">L246+IF(AND(Projects!$G$13="Yes",9&lt;=Assumptions!$B$73),Assumptions!$B$72,0)</f>
        <v>1633910.3125</v>
      </c>
      <c r="N242" s="59" t="n">
        <f aca="false">M246+IF(AND(Projects!$G$13="Yes",10&lt;=Assumptions!$B$73),Assumptions!$B$72,0)</f>
        <v>1745181.94921875</v>
      </c>
      <c r="O242" s="59" t="n">
        <f aca="false">N246+IF(AND(Projects!$G$13="Yes",11&lt;=Assumptions!$B$73),Assumptions!$B$72,0)</f>
        <v>1795181.94921875</v>
      </c>
      <c r="P242" s="59" t="n">
        <f aca="false">O246+IF(AND(Projects!$G$13="Yes",12&lt;=Assumptions!$B$73),Assumptions!$B$72,0)</f>
        <v>1845181.94921875</v>
      </c>
      <c r="Q242" s="59" t="n">
        <f aca="false">P246+IF(AND(Projects!$G$13="Yes",13&lt;=Assumptions!$B$73),Assumptions!$B$72,0)</f>
        <v>1964376.27231445</v>
      </c>
      <c r="R242" s="59" t="n">
        <f aca="false">Q246+IF(AND(Projects!$G$13="Yes",14&lt;=Assumptions!$B$73),Assumptions!$B$72,0)</f>
        <v>564376.272314453</v>
      </c>
      <c r="S242" s="59" t="n">
        <f aca="false">R246+IF(AND(Projects!$G$13="Yes",15&lt;=Assumptions!$B$73),Assumptions!$B$72,0)</f>
        <v>564376.272314453</v>
      </c>
      <c r="T242" s="59" t="n">
        <f aca="false">S246+IF(AND(Projects!$G$13="Yes",16&lt;=Assumptions!$B$73),Assumptions!$B$72,0)</f>
        <v>585540.382526245</v>
      </c>
      <c r="U242" s="59" t="n">
        <f aca="false">T246+IF(AND(Projects!$G$13="Yes",17&lt;=Assumptions!$B$73),Assumptions!$B$72,0)</f>
        <v>585540.382526245</v>
      </c>
      <c r="V242" s="59" t="n">
        <f aca="false">U246+IF(AND(Projects!$G$13="Yes",18&lt;=Assumptions!$B$73),Assumptions!$B$72,0)</f>
        <v>585540.382526245</v>
      </c>
      <c r="W242" s="59" t="n">
        <f aca="false">V246+IF(AND(Projects!$G$13="Yes",19&lt;=Assumptions!$B$73),Assumptions!$B$72,0)</f>
        <v>607498.146870979</v>
      </c>
      <c r="X242" s="59" t="n">
        <f aca="false">W246+IF(AND(Projects!$G$13="Yes",20&lt;=Assumptions!$B$73),Assumptions!$B$72,0)</f>
        <v>607498.146870979</v>
      </c>
      <c r="Y242" s="59" t="n">
        <f aca="false">X246+IF(AND(Projects!$G$13="Yes",21&lt;=Assumptions!$B$73),Assumptions!$B$72,0)</f>
        <v>607498.146870979</v>
      </c>
      <c r="Z242" s="59" t="n">
        <f aca="false">Y246+IF(AND(Projects!$G$13="Yes",22&lt;=Assumptions!$B$73),Assumptions!$B$72,0)</f>
        <v>630279.327378641</v>
      </c>
      <c r="AA242" s="59" t="n">
        <f aca="false">Z246+IF(AND(Projects!$G$13="Yes",23&lt;=Assumptions!$B$73),Assumptions!$B$72,0)</f>
        <v>630279.327378641</v>
      </c>
      <c r="AB242" s="59" t="n">
        <f aca="false">AA246+IF(AND(Projects!$G$13="Yes",24&lt;=Assumptions!$B$73),Assumptions!$B$72,0)</f>
        <v>630279.327378641</v>
      </c>
      <c r="AC242" s="59" t="n">
        <f aca="false">AB246+IF(AND(Projects!$G$13="Yes",25&lt;=Assumptions!$B$73),Assumptions!$B$72,0)</f>
        <v>653914.80215534</v>
      </c>
      <c r="AD242" s="59" t="n">
        <f aca="false">AC246+IF(AND(Projects!$G$13="Yes",26&lt;=Assumptions!$B$73),Assumptions!$B$72,0)</f>
        <v>653914.80215534</v>
      </c>
      <c r="AE242" s="59" t="n">
        <f aca="false">AD246+IF(AND(Projects!$G$13="Yes",27&lt;=Assumptions!$B$73),Assumptions!$B$72,0)</f>
        <v>653914.80215534</v>
      </c>
      <c r="AF242" s="59" t="n">
        <f aca="false">AE246+IF(AND(Projects!$G$13="Yes",28&lt;=Assumptions!$B$73),Assumptions!$B$72,0)</f>
        <v>678436.607236165</v>
      </c>
      <c r="AG242" s="59" t="n">
        <f aca="false">AF246+IF(AND(Projects!$G$13="Yes",29&lt;=Assumptions!$B$73),Assumptions!$B$72,0)</f>
        <v>678436.607236165</v>
      </c>
      <c r="AH242" s="59" t="n">
        <f aca="false">AG246+IF(AND(Projects!$G$13="Yes",30&lt;=Assumptions!$B$73),Assumptions!$B$72,0)</f>
        <v>678436.607236165</v>
      </c>
      <c r="AI242" s="59" t="n">
        <f aca="false">AH246+IF(AND(Projects!$G$13="Yes",31&lt;=Assumptions!$B$73),Assumptions!$B$72,0)</f>
        <v>703877.980007521</v>
      </c>
      <c r="AJ242" s="59" t="n">
        <f aca="false">AI246+IF(AND(Projects!$G$13="Yes",32&lt;=Assumptions!$B$73),Assumptions!$B$72,0)</f>
        <v>703877.980007521</v>
      </c>
      <c r="AK242" s="59" t="n">
        <f aca="false">AJ246+IF(AND(Projects!$G$13="Yes",33&lt;=Assumptions!$B$73),Assumptions!$B$72,0)</f>
        <v>703877.980007521</v>
      </c>
      <c r="AL242" s="59" t="n">
        <f aca="false">AK246+IF(AND(Projects!$G$13="Yes",34&lt;=Assumptions!$B$73),Assumptions!$B$72,0)</f>
        <v>730273.404257803</v>
      </c>
      <c r="AM242" s="59" t="n">
        <f aca="false">AL246+IF(AND(Projects!$G$13="Yes",35&lt;=Assumptions!$B$73),Assumptions!$B$72,0)</f>
        <v>730273.404257803</v>
      </c>
      <c r="AN242" s="59" t="n">
        <f aca="false">AM246+IF(AND(Projects!$G$13="Yes",36&lt;=Assumptions!$B$73),Assumptions!$B$72,0)</f>
        <v>730273.404257803</v>
      </c>
      <c r="AO242" s="59" t="n">
        <f aca="false">AN246+IF(AND(Projects!$G$13="Yes",37&lt;=Assumptions!$B$73),Assumptions!$B$72,0)</f>
        <v>757658.656917471</v>
      </c>
      <c r="AP242" s="59" t="n">
        <f aca="false">AO246+IF(AND(Projects!$G$13="Yes",38&lt;=Assumptions!$B$73),Assumptions!$B$72,0)</f>
        <v>757658.656917471</v>
      </c>
      <c r="AQ242" s="59" t="n">
        <f aca="false">AP246+IF(AND(Projects!$G$13="Yes",39&lt;=Assumptions!$B$73),Assumptions!$B$72,0)</f>
        <v>757658.656917471</v>
      </c>
      <c r="AR242" s="59" t="n">
        <f aca="false">AQ246+IF(AND(Projects!$G$13="Yes",40&lt;=Assumptions!$B$73),Assumptions!$B$72,0)</f>
        <v>786070.856551876</v>
      </c>
      <c r="AS242" s="59" t="n">
        <f aca="false">AR246+IF(AND(Projects!$G$13="Yes",41&lt;=Assumptions!$B$73),Assumptions!$B$72,0)</f>
        <v>786070.856551876</v>
      </c>
      <c r="AT242" s="59" t="n">
        <f aca="false">AS246+IF(AND(Projects!$G$13="Yes",42&lt;=Assumptions!$B$73),Assumptions!$B$72,0)</f>
        <v>786070.856551876</v>
      </c>
      <c r="AU242" s="59" t="n">
        <f aca="false">AT246+IF(AND(Projects!$G$13="Yes",43&lt;=Assumptions!$B$73),Assumptions!$B$72,0)</f>
        <v>815548.513672571</v>
      </c>
      <c r="AV242" s="59" t="n">
        <f aca="false">AU246+IF(AND(Projects!$G$13="Yes",44&lt;=Assumptions!$B$73),Assumptions!$B$72,0)</f>
        <v>815548.513672571</v>
      </c>
      <c r="AW242" s="59" t="n">
        <f aca="false">AV246+IF(AND(Projects!$G$13="Yes",45&lt;=Assumptions!$B$73),Assumptions!$B$72,0)</f>
        <v>815548.513672571</v>
      </c>
      <c r="AX242" s="59" t="n">
        <f aca="false">AW246+IF(AND(Projects!$G$13="Yes",46&lt;=Assumptions!$B$73),Assumptions!$B$72,0)</f>
        <v>846131.582935293</v>
      </c>
      <c r="AY242" s="59" t="n">
        <f aca="false">AX246+IF(AND(Projects!$G$13="Yes",47&lt;=Assumptions!$B$73),Assumptions!$B$72,0)</f>
        <v>846131.582935293</v>
      </c>
      <c r="AZ242" s="59" t="n">
        <f aca="false">AY246+IF(AND(Projects!$G$13="Yes",48&lt;=Assumptions!$B$73),Assumptions!$B$72,0)</f>
        <v>846131.582935293</v>
      </c>
      <c r="BA242" s="59" t="n">
        <f aca="false">AZ246+IF(AND(Projects!$G$13="Yes",49&lt;=Assumptions!$B$73),Assumptions!$B$72,0)</f>
        <v>877861.517295366</v>
      </c>
      <c r="BB242" s="59" t="n">
        <f aca="false">BA246+IF(AND(Projects!$G$13="Yes",50&lt;=Assumptions!$B$73),Assumptions!$B$72,0)</f>
        <v>877861.517295366</v>
      </c>
      <c r="BC242" s="59" t="n">
        <f aca="false">BB246+IF(AND(Projects!$G$13="Yes",51&lt;=Assumptions!$B$73),Assumptions!$B$72,0)</f>
        <v>877861.517295366</v>
      </c>
      <c r="BD242" s="59" t="n">
        <f aca="false">BC246+IF(AND(Projects!$G$13="Yes",52&lt;=Assumptions!$B$73),Assumptions!$B$72,0)</f>
        <v>661610.024193943</v>
      </c>
      <c r="BE242" s="59" t="n">
        <f aca="false">BD246+IF(AND(Projects!$G$13="Yes",53&lt;=Assumptions!$B$73),Assumptions!$B$72,0)</f>
        <v>661610.024193943</v>
      </c>
      <c r="BF242" s="59" t="n">
        <f aca="false">BE246+IF(AND(Projects!$G$13="Yes",54&lt;=Assumptions!$B$73),Assumptions!$B$72,0)</f>
        <v>661610.024193943</v>
      </c>
      <c r="BG242" s="59" t="n">
        <f aca="false">BF246+IF(AND(Projects!$G$13="Yes",55&lt;=Assumptions!$B$73),Assumptions!$B$72,0)</f>
        <v>614720.400101215</v>
      </c>
      <c r="BH242" s="59" t="n">
        <f aca="false">BG246+IF(AND(Projects!$G$13="Yes",56&lt;=Assumptions!$B$73),Assumptions!$B$72,0)</f>
        <v>614720.400101215</v>
      </c>
      <c r="BI242" s="59" t="n">
        <f aca="false">BH246+IF(AND(Projects!$G$13="Yes",57&lt;=Assumptions!$B$73),Assumptions!$B$72,0)</f>
        <v>614720.400101215</v>
      </c>
      <c r="BJ242" s="59" t="n">
        <f aca="false">BI246+IF(AND(Projects!$G$13="Yes",58&lt;=Assumptions!$B$73),Assumptions!$B$72,0)</f>
        <v>566072.415105011</v>
      </c>
      <c r="BK242" s="59" t="n">
        <f aca="false">BJ246+IF(AND(Projects!$G$13="Yes",59&lt;=Assumptions!$B$73),Assumptions!$B$72,0)</f>
        <v>566072.415105011</v>
      </c>
      <c r="BL242" s="59" t="n">
        <f aca="false">BK246+IF(AND(Projects!$G$13="Yes",60&lt;=Assumptions!$B$73),Assumptions!$B$72,0)</f>
        <v>566072.415105011</v>
      </c>
      <c r="BM242" s="59" t="n">
        <f aca="false">BL246+IF(AND(Projects!$G$13="Yes",61&lt;=Assumptions!$B$73),Assumptions!$B$72,0)</f>
        <v>515600.130671449</v>
      </c>
      <c r="BN242" s="59" t="n">
        <f aca="false">BM246+IF(AND(Projects!$G$13="Yes",62&lt;=Assumptions!$B$73),Assumptions!$B$72,0)</f>
        <v>515600.130671449</v>
      </c>
      <c r="BO242" s="59" t="n">
        <f aca="false">BN246+IF(AND(Projects!$G$13="Yes",63&lt;=Assumptions!$B$73),Assumptions!$B$72,0)</f>
        <v>515600.130671449</v>
      </c>
      <c r="BP242" s="59" t="n">
        <f aca="false">BO246+IF(AND(Projects!$G$13="Yes",64&lt;=Assumptions!$B$73),Assumptions!$B$72,0)</f>
        <v>463235.135571628</v>
      </c>
      <c r="BQ242" s="59" t="n">
        <f aca="false">BP246+IF(AND(Projects!$G$13="Yes",65&lt;=Assumptions!$B$73),Assumptions!$B$72,0)</f>
        <v>463235.135571628</v>
      </c>
      <c r="BR242" s="59" t="n">
        <f aca="false">BQ246+IF(AND(Projects!$G$13="Yes",66&lt;=Assumptions!$B$73),Assumptions!$B$72,0)</f>
        <v>463235.135571628</v>
      </c>
      <c r="BS242" s="59" t="n">
        <f aca="false">BR246+IF(AND(Projects!$G$13="Yes",67&lt;=Assumptions!$B$73),Assumptions!$B$72,0)</f>
        <v>405963.453155564</v>
      </c>
      <c r="BT242" s="59" t="n">
        <f aca="false">BS246+IF(AND(Projects!$G$13="Yes",68&lt;=Assumptions!$B$73),Assumptions!$B$72,0)</f>
        <v>405963.453155564</v>
      </c>
      <c r="BU242" s="59" t="n">
        <f aca="false">BT246+IF(AND(Projects!$G$13="Yes",69&lt;=Assumptions!$B$73),Assumptions!$B$72,0)</f>
        <v>405963.453155564</v>
      </c>
      <c r="BV242" s="59" t="n">
        <f aca="false">BU246+IF(AND(Projects!$G$13="Yes",70&lt;=Assumptions!$B$73),Assumptions!$B$72,0)</f>
        <v>346547.082648898</v>
      </c>
      <c r="BW242" s="59" t="n">
        <f aca="false">BV246+IF(AND(Projects!$G$13="Yes",71&lt;=Assumptions!$B$73),Assumptions!$B$72,0)</f>
        <v>346547.082648898</v>
      </c>
      <c r="BX242" s="59" t="n">
        <f aca="false">BW246+IF(AND(Projects!$G$13="Yes",72&lt;=Assumptions!$B$73),Assumptions!$B$72,0)</f>
        <v>346547.082648898</v>
      </c>
      <c r="BY242" s="59" t="n">
        <f aca="false">BX246+IF(AND(Projects!$G$13="Yes",73&lt;=Assumptions!$B$73),Assumptions!$B$72,0)</f>
        <v>284902.598248232</v>
      </c>
      <c r="BZ242" s="59" t="n">
        <f aca="false">BY246+IF(AND(Projects!$G$13="Yes",74&lt;=Assumptions!$B$73),Assumptions!$B$72,0)</f>
        <v>284902.598248232</v>
      </c>
      <c r="CA242" s="59" t="n">
        <f aca="false">BZ246+IF(AND(Projects!$G$13="Yes",75&lt;=Assumptions!$B$73),Assumptions!$B$72,0)</f>
        <v>284902.598248232</v>
      </c>
      <c r="CB242" s="59" t="n">
        <f aca="false">CA246+IF(AND(Projects!$G$13="Yes",76&lt;=Assumptions!$B$73),Assumptions!$B$72,0)</f>
        <v>220946.44568254</v>
      </c>
      <c r="CC242" s="59" t="n">
        <f aca="false">CB246+IF(AND(Projects!$G$13="Yes",77&lt;=Assumptions!$B$73),Assumptions!$B$72,0)</f>
        <v>220946.44568254</v>
      </c>
      <c r="CD242" s="59" t="n">
        <f aca="false">CC246+IF(AND(Projects!$G$13="Yes",78&lt;=Assumptions!$B$73),Assumptions!$B$72,0)</f>
        <v>220946.44568254</v>
      </c>
      <c r="CE242" s="59" t="n">
        <f aca="false">CD246+IF(AND(Projects!$G$13="Yes",79&lt;=Assumptions!$B$73),Assumptions!$B$72,0)</f>
        <v>147868.937395636</v>
      </c>
      <c r="CF242" s="59" t="n">
        <f aca="false">CE246+IF(AND(Projects!$G$13="Yes",80&lt;=Assumptions!$B$73),Assumptions!$B$72,0)</f>
        <v>147868.937395636</v>
      </c>
      <c r="CG242" s="59" t="n">
        <f aca="false">CF246+IF(AND(Projects!$G$13="Yes",81&lt;=Assumptions!$B$73),Assumptions!$B$72,0)</f>
        <v>147868.937395636</v>
      </c>
      <c r="CH242" s="59" t="n">
        <f aca="false">CG246+IF(AND(Projects!$G$13="Yes",82&lt;=Assumptions!$B$73),Assumptions!$B$72,0)</f>
        <v>72052.0225479718</v>
      </c>
      <c r="CI242" s="59" t="n">
        <f aca="false">CH246+IF(AND(Projects!$G$13="Yes",83&lt;=Assumptions!$B$73),Assumptions!$B$72,0)</f>
        <v>72052.0225479718</v>
      </c>
      <c r="CJ242" s="59" t="n">
        <f aca="false">CI246+IF(AND(Projects!$G$13="Yes",84&lt;=Assumptions!$B$73),Assumptions!$B$72,0)</f>
        <v>72052.0225479718</v>
      </c>
      <c r="CK242" s="59" t="n">
        <f aca="false">CJ246+IF(AND(Projects!$G$13="Yes",85&lt;=Assumptions!$B$73),Assumptions!$B$72,0)</f>
        <v>0</v>
      </c>
      <c r="CL242" s="59" t="n">
        <f aca="false">CK246+IF(AND(Projects!$G$13="Yes",86&lt;=Assumptions!$B$73),Assumptions!$B$72,0)</f>
        <v>0</v>
      </c>
      <c r="CM242" s="59" t="n">
        <f aca="false">CL246+IF(AND(Projects!$G$13="Yes",87&lt;=Assumptions!$B$73),Assumptions!$B$72,0)</f>
        <v>0</v>
      </c>
      <c r="CN242" s="59" t="n">
        <f aca="false">CM246+IF(AND(Projects!$G$13="Yes",88&lt;=Assumptions!$B$73),Assumptions!$B$72,0)</f>
        <v>0</v>
      </c>
      <c r="CO242" s="59" t="n">
        <f aca="false">CN246+IF(AND(Projects!$G$13="Yes",89&lt;=Assumptions!$B$73),Assumptions!$B$72,0)</f>
        <v>0</v>
      </c>
      <c r="CP242" s="59" t="n">
        <f aca="false">CO246+IF(AND(Projects!$G$13="Yes",90&lt;=Assumptions!$B$73),Assumptions!$B$72,0)</f>
        <v>0</v>
      </c>
      <c r="CQ242" s="59" t="n">
        <f aca="false">CP246+IF(AND(Projects!$G$13="Yes",91&lt;=Assumptions!$B$73),Assumptions!$B$72,0)</f>
        <v>0</v>
      </c>
      <c r="CR242" s="59" t="n">
        <f aca="false">CQ246+IF(AND(Projects!$G$13="Yes",92&lt;=Assumptions!$B$73),Assumptions!$B$72,0)</f>
        <v>0</v>
      </c>
      <c r="CS242" s="59" t="n">
        <f aca="false">CR246+IF(AND(Projects!$G$13="Yes",93&lt;=Assumptions!$B$73),Assumptions!$B$72,0)</f>
        <v>0</v>
      </c>
      <c r="CT242" s="59" t="n">
        <f aca="false">CS246+IF(AND(Projects!$G$13="Yes",94&lt;=Assumptions!$B$73),Assumptions!$B$72,0)</f>
        <v>0</v>
      </c>
      <c r="CU242" s="59" t="n">
        <f aca="false">CT246+IF(AND(Projects!$G$13="Yes",95&lt;=Assumptions!$B$73),Assumptions!$B$72,0)</f>
        <v>0</v>
      </c>
      <c r="CV242" s="59" t="n">
        <f aca="false">CU246+IF(AND(Projects!$G$13="Yes",96&lt;=Assumptions!$B$73),Assumptions!$B$72,0)</f>
        <v>0</v>
      </c>
      <c r="CW242" s="59" t="n">
        <f aca="false">CV246+IF(AND(Projects!$G$13="Yes",97&lt;=Assumptions!$B$73),Assumptions!$B$72,0)</f>
        <v>0</v>
      </c>
      <c r="CX242" s="59" t="n">
        <f aca="false">CW246+IF(AND(Projects!$G$13="Yes",98&lt;=Assumptions!$B$73),Assumptions!$B$72,0)</f>
        <v>0</v>
      </c>
      <c r="CY242" s="59" t="n">
        <f aca="false">CX246+IF(AND(Projects!$G$13="Yes",99&lt;=Assumptions!$B$73),Assumptions!$B$72,0)</f>
        <v>0</v>
      </c>
      <c r="CZ242" s="59" t="n">
        <f aca="false">CY246+IF(AND(Projects!$G$13="Yes",100&lt;=Assumptions!$B$73),Assumptions!$B$72,0)</f>
        <v>0</v>
      </c>
      <c r="DA242" s="59" t="n">
        <f aca="false">CZ246+IF(AND(Projects!$G$13="Yes",101&lt;=Assumptions!$B$73),Assumptions!$B$72,0)</f>
        <v>0</v>
      </c>
      <c r="DB242" s="59" t="n">
        <f aca="false">DA246+IF(AND(Projects!$G$13="Yes",102&lt;=Assumptions!$B$73),Assumptions!$B$72,0)</f>
        <v>0</v>
      </c>
      <c r="DC242" s="59" t="n">
        <f aca="false">DB246+IF(AND(Projects!$G$13="Yes",103&lt;=Assumptions!$B$73),Assumptions!$B$72,0)</f>
        <v>0</v>
      </c>
      <c r="DD242" s="59" t="n">
        <f aca="false">DC246+IF(AND(Projects!$G$13="Yes",104&lt;=Assumptions!$B$73),Assumptions!$B$72,0)</f>
        <v>0</v>
      </c>
      <c r="DE242" s="59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58" t="s">
        <v>164</v>
      </c>
      <c r="B243" s="59"/>
      <c r="C243" s="59"/>
      <c r="D243" s="59"/>
      <c r="E243" s="59" t="n">
        <f aca="false">IF(AND(MOD(1,3)=0,E242&gt;0),E242*Assumptions!$B$59,0)</f>
        <v>0</v>
      </c>
      <c r="F243" s="59" t="n">
        <f aca="false">IF(AND(MOD(2,3)=0,F242&gt;0),F242*Assumptions!$B$59,0)</f>
        <v>0</v>
      </c>
      <c r="G243" s="59" t="n">
        <f aca="false">IF(AND(MOD(3,3)=0,G242&gt;0),G242*Assumptions!$B$59,0)</f>
        <v>46275</v>
      </c>
      <c r="H243" s="59" t="n">
        <f aca="false">IF(AND(MOD(4,3)=0,H242&gt;0),H242*Assumptions!$B$59,0)</f>
        <v>0</v>
      </c>
      <c r="I243" s="59" t="n">
        <f aca="false">IF(AND(MOD(5,3)=0,I242&gt;0),I242*Assumptions!$B$59,0)</f>
        <v>0</v>
      </c>
      <c r="J243" s="59" t="n">
        <f aca="false">IF(AND(MOD(6,3)=0,J242&gt;0),J242*Assumptions!$B$59,0)</f>
        <v>53635.3125</v>
      </c>
      <c r="K243" s="59" t="n">
        <f aca="false">IF(AND(MOD(7,3)=0,K242&gt;0),K242*Assumptions!$B$59,0)</f>
        <v>0</v>
      </c>
      <c r="L243" s="59" t="n">
        <f aca="false">IF(AND(MOD(8,3)=0,L242&gt;0),L242*Assumptions!$B$59,0)</f>
        <v>0</v>
      </c>
      <c r="M243" s="59" t="n">
        <f aca="false">IF(AND(MOD(9,3)=0,M242&gt;0),M242*Assumptions!$B$59,0)</f>
        <v>61271.63671875</v>
      </c>
      <c r="N243" s="59" t="n">
        <f aca="false">IF(AND(MOD(10,3)=0,N242&gt;0),N242*Assumptions!$B$59,0)</f>
        <v>0</v>
      </c>
      <c r="O243" s="59" t="n">
        <f aca="false">IF(AND(MOD(11,3)=0,O242&gt;0),O242*Assumptions!$B$59,0)</f>
        <v>0</v>
      </c>
      <c r="P243" s="59" t="n">
        <f aca="false">IF(AND(MOD(12,3)=0,P242&gt;0),P242*Assumptions!$B$59,0)</f>
        <v>69194.3230957031</v>
      </c>
      <c r="Q243" s="59" t="n">
        <f aca="false">IF(AND(MOD(13,3)=0,Q242&gt;0),Q242*Assumptions!$B$59,0)</f>
        <v>0</v>
      </c>
      <c r="R243" s="59" t="n">
        <f aca="false">IF(AND(MOD(14,3)=0,R242&gt;0),R242*Assumptions!$B$59,0)</f>
        <v>0</v>
      </c>
      <c r="S243" s="59" t="n">
        <f aca="false">IF(AND(MOD(15,3)=0,S242&gt;0),S242*Assumptions!$B$59,0)</f>
        <v>21164.110211792</v>
      </c>
      <c r="T243" s="59" t="n">
        <f aca="false">IF(AND(MOD(16,3)=0,T242&gt;0),T242*Assumptions!$B$59,0)</f>
        <v>0</v>
      </c>
      <c r="U243" s="59" t="n">
        <f aca="false">IF(AND(MOD(17,3)=0,U242&gt;0),U242*Assumptions!$B$59,0)</f>
        <v>0</v>
      </c>
      <c r="V243" s="59" t="n">
        <f aca="false">IF(AND(MOD(18,3)=0,V242&gt;0),V242*Assumptions!$B$59,0)</f>
        <v>21957.7643447342</v>
      </c>
      <c r="W243" s="59" t="n">
        <f aca="false">IF(AND(MOD(19,3)=0,W242&gt;0),W242*Assumptions!$B$59,0)</f>
        <v>0</v>
      </c>
      <c r="X243" s="59" t="n">
        <f aca="false">IF(AND(MOD(20,3)=0,X242&gt;0),X242*Assumptions!$B$59,0)</f>
        <v>0</v>
      </c>
      <c r="Y243" s="59" t="n">
        <f aca="false">IF(AND(MOD(21,3)=0,Y242&gt;0),Y242*Assumptions!$B$59,0)</f>
        <v>22781.1805076617</v>
      </c>
      <c r="Z243" s="59" t="n">
        <f aca="false">IF(AND(MOD(22,3)=0,Z242&gt;0),Z242*Assumptions!$B$59,0)</f>
        <v>0</v>
      </c>
      <c r="AA243" s="59" t="n">
        <f aca="false">IF(AND(MOD(23,3)=0,AA242&gt;0),AA242*Assumptions!$B$59,0)</f>
        <v>0</v>
      </c>
      <c r="AB243" s="59" t="n">
        <f aca="false">IF(AND(MOD(24,3)=0,AB242&gt;0),AB242*Assumptions!$B$59,0)</f>
        <v>23635.474776699</v>
      </c>
      <c r="AC243" s="59" t="n">
        <f aca="false">IF(AND(MOD(25,3)=0,AC242&gt;0),AC242*Assumptions!$B$59,0)</f>
        <v>0</v>
      </c>
      <c r="AD243" s="59" t="n">
        <f aca="false">IF(AND(MOD(26,3)=0,AD242&gt;0),AD242*Assumptions!$B$59,0)</f>
        <v>0</v>
      </c>
      <c r="AE243" s="59" t="n">
        <f aca="false">IF(AND(MOD(27,3)=0,AE242&gt;0),AE242*Assumptions!$B$59,0)</f>
        <v>24521.8050808252</v>
      </c>
      <c r="AF243" s="59" t="n">
        <f aca="false">IF(AND(MOD(28,3)=0,AF242&gt;0),AF242*Assumptions!$B$59,0)</f>
        <v>0</v>
      </c>
      <c r="AG243" s="59" t="n">
        <f aca="false">IF(AND(MOD(29,3)=0,AG242&gt;0),AG242*Assumptions!$B$59,0)</f>
        <v>0</v>
      </c>
      <c r="AH243" s="59" t="n">
        <f aca="false">IF(AND(MOD(30,3)=0,AH242&gt;0),AH242*Assumptions!$B$59,0)</f>
        <v>25441.3727713562</v>
      </c>
      <c r="AI243" s="59" t="n">
        <f aca="false">IF(AND(MOD(31,3)=0,AI242&gt;0),AI242*Assumptions!$B$59,0)</f>
        <v>0</v>
      </c>
      <c r="AJ243" s="59" t="n">
        <f aca="false">IF(AND(MOD(32,3)=0,AJ242&gt;0),AJ242*Assumptions!$B$59,0)</f>
        <v>0</v>
      </c>
      <c r="AK243" s="59" t="n">
        <f aca="false">IF(AND(MOD(33,3)=0,AK242&gt;0),AK242*Assumptions!$B$59,0)</f>
        <v>26395.424250282</v>
      </c>
      <c r="AL243" s="59" t="n">
        <f aca="false">IF(AND(MOD(34,3)=0,AL242&gt;0),AL242*Assumptions!$B$59,0)</f>
        <v>0</v>
      </c>
      <c r="AM243" s="59" t="n">
        <f aca="false">IF(AND(MOD(35,3)=0,AM242&gt;0),AM242*Assumptions!$B$59,0)</f>
        <v>0</v>
      </c>
      <c r="AN243" s="59" t="n">
        <f aca="false">IF(AND(MOD(36,3)=0,AN242&gt;0),AN242*Assumptions!$B$59,0)</f>
        <v>27385.2526596676</v>
      </c>
      <c r="AO243" s="59" t="n">
        <f aca="false">IF(AND(MOD(37,3)=0,AO242&gt;0),AO242*Assumptions!$B$59,0)</f>
        <v>0</v>
      </c>
      <c r="AP243" s="59" t="n">
        <f aca="false">IF(AND(MOD(38,3)=0,AP242&gt;0),AP242*Assumptions!$B$59,0)</f>
        <v>0</v>
      </c>
      <c r="AQ243" s="59" t="n">
        <f aca="false">IF(AND(MOD(39,3)=0,AQ242&gt;0),AQ242*Assumptions!$B$59,0)</f>
        <v>28412.1996344052</v>
      </c>
      <c r="AR243" s="59" t="n">
        <f aca="false">IF(AND(MOD(40,3)=0,AR242&gt;0),AR242*Assumptions!$B$59,0)</f>
        <v>0</v>
      </c>
      <c r="AS243" s="59" t="n">
        <f aca="false">IF(AND(MOD(41,3)=0,AS242&gt;0),AS242*Assumptions!$B$59,0)</f>
        <v>0</v>
      </c>
      <c r="AT243" s="59" t="n">
        <f aca="false">IF(AND(MOD(42,3)=0,AT242&gt;0),AT242*Assumptions!$B$59,0)</f>
        <v>29477.6571206954</v>
      </c>
      <c r="AU243" s="59" t="n">
        <f aca="false">IF(AND(MOD(43,3)=0,AU242&gt;0),AU242*Assumptions!$B$59,0)</f>
        <v>0</v>
      </c>
      <c r="AV243" s="59" t="n">
        <f aca="false">IF(AND(MOD(44,3)=0,AV242&gt;0),AV242*Assumptions!$B$59,0)</f>
        <v>0</v>
      </c>
      <c r="AW243" s="59" t="n">
        <f aca="false">IF(AND(MOD(45,3)=0,AW242&gt;0),AW242*Assumptions!$B$59,0)</f>
        <v>30583.0692627214</v>
      </c>
      <c r="AX243" s="59" t="n">
        <f aca="false">IF(AND(MOD(46,3)=0,AX242&gt;0),AX242*Assumptions!$B$59,0)</f>
        <v>0</v>
      </c>
      <c r="AY243" s="59" t="n">
        <f aca="false">IF(AND(MOD(47,3)=0,AY242&gt;0),AY242*Assumptions!$B$59,0)</f>
        <v>0</v>
      </c>
      <c r="AZ243" s="59" t="n">
        <f aca="false">IF(AND(MOD(48,3)=0,AZ242&gt;0),AZ242*Assumptions!$B$59,0)</f>
        <v>31729.9343600735</v>
      </c>
      <c r="BA243" s="59" t="n">
        <f aca="false">IF(AND(MOD(49,3)=0,BA242&gt;0),BA242*Assumptions!$B$59,0)</f>
        <v>0</v>
      </c>
      <c r="BB243" s="59" t="n">
        <f aca="false">IF(AND(MOD(50,3)=0,BB242&gt;0),BB242*Assumptions!$B$59,0)</f>
        <v>0</v>
      </c>
      <c r="BC243" s="59" t="n">
        <f aca="false">IF(AND(MOD(51,3)=0,BC242&gt;0),BC242*Assumptions!$B$59,0)</f>
        <v>32919.8068985762</v>
      </c>
      <c r="BD243" s="59" t="n">
        <f aca="false">IF(AND(MOD(52,3)=0,BD242&gt;0),BD242*Assumptions!$B$59,0)</f>
        <v>0</v>
      </c>
      <c r="BE243" s="59" t="n">
        <f aca="false">IF(AND(MOD(53,3)=0,BE242&gt;0),BE242*Assumptions!$B$59,0)</f>
        <v>0</v>
      </c>
      <c r="BF243" s="59" t="n">
        <f aca="false">IF(AND(MOD(54,3)=0,BF242&gt;0),BF242*Assumptions!$B$59,0)</f>
        <v>24810.3759072728</v>
      </c>
      <c r="BG243" s="59" t="n">
        <f aca="false">IF(AND(MOD(55,3)=0,BG242&gt;0),BG242*Assumptions!$B$59,0)</f>
        <v>0</v>
      </c>
      <c r="BH243" s="59" t="n">
        <f aca="false">IF(AND(MOD(56,3)=0,BH242&gt;0),BH242*Assumptions!$B$59,0)</f>
        <v>0</v>
      </c>
      <c r="BI243" s="59" t="n">
        <f aca="false">IF(AND(MOD(57,3)=0,BI242&gt;0),BI242*Assumptions!$B$59,0)</f>
        <v>23052.0150037956</v>
      </c>
      <c r="BJ243" s="59" t="n">
        <f aca="false">IF(AND(MOD(58,3)=0,BJ242&gt;0),BJ242*Assumptions!$B$59,0)</f>
        <v>0</v>
      </c>
      <c r="BK243" s="59" t="n">
        <f aca="false">IF(AND(MOD(59,3)=0,BK242&gt;0),BK242*Assumptions!$B$59,0)</f>
        <v>0</v>
      </c>
      <c r="BL243" s="59" t="n">
        <f aca="false">IF(AND(MOD(60,3)=0,BL242&gt;0),BL242*Assumptions!$B$59,0)</f>
        <v>21227.7155664379</v>
      </c>
      <c r="BM243" s="59" t="n">
        <f aca="false">IF(AND(MOD(61,3)=0,BM242&gt;0),BM242*Assumptions!$B$59,0)</f>
        <v>0</v>
      </c>
      <c r="BN243" s="59" t="n">
        <f aca="false">IF(AND(MOD(62,3)=0,BN242&gt;0),BN242*Assumptions!$B$59,0)</f>
        <v>0</v>
      </c>
      <c r="BO243" s="59" t="n">
        <f aca="false">IF(AND(MOD(63,3)=0,BO242&gt;0),BO242*Assumptions!$B$59,0)</f>
        <v>19335.0049001793</v>
      </c>
      <c r="BP243" s="59" t="n">
        <f aca="false">IF(AND(MOD(64,3)=0,BP242&gt;0),BP242*Assumptions!$B$59,0)</f>
        <v>0</v>
      </c>
      <c r="BQ243" s="59" t="n">
        <f aca="false">IF(AND(MOD(65,3)=0,BQ242&gt;0),BQ242*Assumptions!$B$59,0)</f>
        <v>0</v>
      </c>
      <c r="BR243" s="59" t="n">
        <f aca="false">IF(AND(MOD(66,3)=0,BR242&gt;0),BR242*Assumptions!$B$59,0)</f>
        <v>17371.3175839361</v>
      </c>
      <c r="BS243" s="59" t="n">
        <f aca="false">IF(AND(MOD(67,3)=0,BS242&gt;0),BS242*Assumptions!$B$59,0)</f>
        <v>0</v>
      </c>
      <c r="BT243" s="59" t="n">
        <f aca="false">IF(AND(MOD(68,3)=0,BT242&gt;0),BT242*Assumptions!$B$59,0)</f>
        <v>0</v>
      </c>
      <c r="BU243" s="59" t="n">
        <f aca="false">IF(AND(MOD(69,3)=0,BU242&gt;0),BU242*Assumptions!$B$59,0)</f>
        <v>15223.6294933337</v>
      </c>
      <c r="BV243" s="59" t="n">
        <f aca="false">IF(AND(MOD(70,3)=0,BV242&gt;0),BV242*Assumptions!$B$59,0)</f>
        <v>0</v>
      </c>
      <c r="BW243" s="59" t="n">
        <f aca="false">IF(AND(MOD(71,3)=0,BW242&gt;0),BW242*Assumptions!$B$59,0)</f>
        <v>0</v>
      </c>
      <c r="BX243" s="59" t="n">
        <f aca="false">IF(AND(MOD(72,3)=0,BX242&gt;0),BX242*Assumptions!$B$59,0)</f>
        <v>12995.5155993337</v>
      </c>
      <c r="BY243" s="59" t="n">
        <f aca="false">IF(AND(MOD(73,3)=0,BY242&gt;0),BY242*Assumptions!$B$59,0)</f>
        <v>0</v>
      </c>
      <c r="BZ243" s="59" t="n">
        <f aca="false">IF(AND(MOD(74,3)=0,BZ242&gt;0),BZ242*Assumptions!$B$59,0)</f>
        <v>0</v>
      </c>
      <c r="CA243" s="59" t="n">
        <f aca="false">IF(AND(MOD(75,3)=0,CA242&gt;0),CA242*Assumptions!$B$59,0)</f>
        <v>10683.8474343087</v>
      </c>
      <c r="CB243" s="59" t="n">
        <f aca="false">IF(AND(MOD(76,3)=0,CB242&gt;0),CB242*Assumptions!$B$59,0)</f>
        <v>0</v>
      </c>
      <c r="CC243" s="59" t="n">
        <f aca="false">IF(AND(MOD(77,3)=0,CC242&gt;0),CC242*Assumptions!$B$59,0)</f>
        <v>0</v>
      </c>
      <c r="CD243" s="59" t="n">
        <f aca="false">IF(AND(MOD(78,3)=0,CD242&gt;0),CD242*Assumptions!$B$59,0)</f>
        <v>8285.49171309526</v>
      </c>
      <c r="CE243" s="59" t="n">
        <f aca="false">IF(AND(MOD(79,3)=0,CE242&gt;0),CE242*Assumptions!$B$59,0)</f>
        <v>0</v>
      </c>
      <c r="CF243" s="59" t="n">
        <f aca="false">IF(AND(MOD(80,3)=0,CF242&gt;0),CF242*Assumptions!$B$59,0)</f>
        <v>0</v>
      </c>
      <c r="CG243" s="59" t="n">
        <f aca="false">IF(AND(MOD(81,3)=0,CG242&gt;0),CG242*Assumptions!$B$59,0)</f>
        <v>5545.08515233633</v>
      </c>
      <c r="CH243" s="59" t="n">
        <f aca="false">IF(AND(MOD(82,3)=0,CH242&gt;0),CH242*Assumptions!$B$59,0)</f>
        <v>0</v>
      </c>
      <c r="CI243" s="59" t="n">
        <f aca="false">IF(AND(MOD(83,3)=0,CI242&gt;0),CI242*Assumptions!$B$59,0)</f>
        <v>0</v>
      </c>
      <c r="CJ243" s="59" t="n">
        <f aca="false">IF(AND(MOD(84,3)=0,CJ242&gt;0),CJ242*Assumptions!$B$59,0)</f>
        <v>2701.95084554894</v>
      </c>
      <c r="CK243" s="59" t="n">
        <f aca="false">IF(AND(MOD(85,3)=0,CK242&gt;0),CK242*Assumptions!$B$59,0)</f>
        <v>0</v>
      </c>
      <c r="CL243" s="59" t="n">
        <f aca="false">IF(AND(MOD(86,3)=0,CL242&gt;0),CL242*Assumptions!$B$59,0)</f>
        <v>0</v>
      </c>
      <c r="CM243" s="59" t="n">
        <f aca="false">IF(AND(MOD(87,3)=0,CM242&gt;0),CM242*Assumptions!$B$59,0)</f>
        <v>0</v>
      </c>
      <c r="CN243" s="59" t="n">
        <f aca="false">IF(AND(MOD(88,3)=0,CN242&gt;0),CN242*Assumptions!$B$59,0)</f>
        <v>0</v>
      </c>
      <c r="CO243" s="59" t="n">
        <f aca="false">IF(AND(MOD(89,3)=0,CO242&gt;0),CO242*Assumptions!$B$59,0)</f>
        <v>0</v>
      </c>
      <c r="CP243" s="59" t="n">
        <f aca="false">IF(AND(MOD(90,3)=0,CP242&gt;0),CP242*Assumptions!$B$59,0)</f>
        <v>0</v>
      </c>
      <c r="CQ243" s="59" t="n">
        <f aca="false">IF(AND(MOD(91,3)=0,CQ242&gt;0),CQ242*Assumptions!$B$59,0)</f>
        <v>0</v>
      </c>
      <c r="CR243" s="59" t="n">
        <f aca="false">IF(AND(MOD(92,3)=0,CR242&gt;0),CR242*Assumptions!$B$59,0)</f>
        <v>0</v>
      </c>
      <c r="CS243" s="59" t="n">
        <f aca="false">IF(AND(MOD(93,3)=0,CS242&gt;0),CS242*Assumptions!$B$59,0)</f>
        <v>0</v>
      </c>
      <c r="CT243" s="59" t="n">
        <f aca="false">IF(AND(MOD(94,3)=0,CT242&gt;0),CT242*Assumptions!$B$59,0)</f>
        <v>0</v>
      </c>
      <c r="CU243" s="59" t="n">
        <f aca="false">IF(AND(MOD(95,3)=0,CU242&gt;0),CU242*Assumptions!$B$59,0)</f>
        <v>0</v>
      </c>
      <c r="CV243" s="59" t="n">
        <f aca="false">IF(AND(MOD(96,3)=0,CV242&gt;0),CV242*Assumptions!$B$59,0)</f>
        <v>0</v>
      </c>
      <c r="CW243" s="59" t="n">
        <f aca="false">IF(AND(MOD(97,3)=0,CW242&gt;0),CW242*Assumptions!$B$59,0)</f>
        <v>0</v>
      </c>
      <c r="CX243" s="59" t="n">
        <f aca="false">IF(AND(MOD(98,3)=0,CX242&gt;0),CX242*Assumptions!$B$59,0)</f>
        <v>0</v>
      </c>
      <c r="CY243" s="59" t="n">
        <f aca="false">IF(AND(MOD(99,3)=0,CY242&gt;0),CY242*Assumptions!$B$59,0)</f>
        <v>0</v>
      </c>
      <c r="CZ243" s="59" t="n">
        <f aca="false">IF(AND(MOD(100,3)=0,CZ242&gt;0),CZ242*Assumptions!$B$59,0)</f>
        <v>0</v>
      </c>
      <c r="DA243" s="59" t="n">
        <f aca="false">IF(AND(MOD(101,3)=0,DA242&gt;0),DA242*Assumptions!$B$59,0)</f>
        <v>0</v>
      </c>
      <c r="DB243" s="59" t="n">
        <f aca="false">IF(AND(MOD(102,3)=0,DB242&gt;0),DB242*Assumptions!$B$59,0)</f>
        <v>0</v>
      </c>
      <c r="DC243" s="59" t="n">
        <f aca="false">IF(AND(MOD(103,3)=0,DC242&gt;0),DC242*Assumptions!$B$59,0)</f>
        <v>0</v>
      </c>
      <c r="DD243" s="59" t="n">
        <f aca="false">IF(AND(MOD(104,3)=0,DD242&gt;0),DD242*Assumptions!$B$59,0)</f>
        <v>0</v>
      </c>
      <c r="DE243" s="59" t="n">
        <f aca="false">IF(AND(MOD(105,3)=0,DE242&gt;0),DE242*Assumptions!$B$59,0)</f>
        <v>0</v>
      </c>
    </row>
    <row r="244" customFormat="false" ht="15" hidden="false" customHeight="true" outlineLevel="0" collapsed="false">
      <c r="A244" s="58" t="s">
        <v>165</v>
      </c>
      <c r="B244" s="59"/>
      <c r="C244" s="59"/>
      <c r="D244" s="59"/>
      <c r="E244" s="59" t="n">
        <v>0</v>
      </c>
      <c r="F244" s="59" t="n">
        <v>0</v>
      </c>
      <c r="G244" s="59" t="n">
        <v>0</v>
      </c>
      <c r="H244" s="59" t="n">
        <v>0</v>
      </c>
      <c r="I244" s="59" t="n">
        <v>0</v>
      </c>
      <c r="J244" s="59" t="n">
        <v>0</v>
      </c>
      <c r="K244" s="59" t="n">
        <v>0</v>
      </c>
      <c r="L244" s="59" t="n">
        <v>0</v>
      </c>
      <c r="M244" s="59" t="n">
        <v>0</v>
      </c>
      <c r="N244" s="59" t="n">
        <v>0</v>
      </c>
      <c r="O244" s="59" t="n">
        <v>0</v>
      </c>
      <c r="P244" s="59" t="n">
        <v>0</v>
      </c>
      <c r="Q244" s="59" t="n">
        <f aca="false">IF(Projects!$G$13="Yes",Assumptions!$B$74,0)</f>
        <v>-1450000</v>
      </c>
      <c r="R244" s="59" t="n">
        <v>0</v>
      </c>
      <c r="S244" s="59" t="n">
        <v>0</v>
      </c>
      <c r="T244" s="59" t="n">
        <v>0</v>
      </c>
      <c r="U244" s="59" t="n">
        <v>0</v>
      </c>
      <c r="V244" s="59" t="n">
        <v>0</v>
      </c>
      <c r="W244" s="59" t="n">
        <v>0</v>
      </c>
      <c r="X244" s="59" t="n">
        <v>0</v>
      </c>
      <c r="Y244" s="59" t="n">
        <v>0</v>
      </c>
      <c r="Z244" s="59" t="n">
        <v>0</v>
      </c>
      <c r="AA244" s="59" t="n">
        <v>0</v>
      </c>
      <c r="AB244" s="59" t="n">
        <v>0</v>
      </c>
      <c r="AC244" s="59" t="n">
        <v>0</v>
      </c>
      <c r="AD244" s="59" t="n">
        <v>0</v>
      </c>
      <c r="AE244" s="59" t="n">
        <v>0</v>
      </c>
      <c r="AF244" s="59" t="n">
        <v>0</v>
      </c>
      <c r="AG244" s="59" t="n">
        <v>0</v>
      </c>
      <c r="AH244" s="59" t="n">
        <v>0</v>
      </c>
      <c r="AI244" s="59" t="n">
        <v>0</v>
      </c>
      <c r="AJ244" s="59" t="n">
        <v>0</v>
      </c>
      <c r="AK244" s="59" t="n">
        <v>0</v>
      </c>
      <c r="AL244" s="59" t="n">
        <v>0</v>
      </c>
      <c r="AM244" s="59" t="n">
        <v>0</v>
      </c>
      <c r="AN244" s="59" t="n">
        <v>0</v>
      </c>
      <c r="AO244" s="59" t="n">
        <v>0</v>
      </c>
      <c r="AP244" s="59" t="n">
        <v>0</v>
      </c>
      <c r="AQ244" s="59" t="n">
        <v>0</v>
      </c>
      <c r="AR244" s="59" t="n">
        <v>0</v>
      </c>
      <c r="AS244" s="59" t="n">
        <v>0</v>
      </c>
      <c r="AT244" s="59" t="n">
        <v>0</v>
      </c>
      <c r="AU244" s="59" t="n">
        <v>0</v>
      </c>
      <c r="AV244" s="59" t="n">
        <v>0</v>
      </c>
      <c r="AW244" s="59" t="n">
        <v>0</v>
      </c>
      <c r="AX244" s="59" t="n">
        <v>0</v>
      </c>
      <c r="AY244" s="59" t="n">
        <v>0</v>
      </c>
      <c r="AZ244" s="59" t="n">
        <v>0</v>
      </c>
      <c r="BA244" s="59" t="n">
        <v>0</v>
      </c>
      <c r="BB244" s="59" t="n">
        <v>0</v>
      </c>
      <c r="BC244" s="59" t="n">
        <v>0</v>
      </c>
      <c r="BD244" s="59" t="n">
        <v>0</v>
      </c>
      <c r="BE244" s="59" t="n">
        <v>0</v>
      </c>
      <c r="BF244" s="59" t="n">
        <v>0</v>
      </c>
      <c r="BG244" s="59" t="n">
        <v>0</v>
      </c>
      <c r="BH244" s="59" t="n">
        <v>0</v>
      </c>
      <c r="BI244" s="59" t="n">
        <v>0</v>
      </c>
      <c r="BJ244" s="59" t="n">
        <v>0</v>
      </c>
      <c r="BK244" s="59" t="n">
        <v>0</v>
      </c>
      <c r="BL244" s="59" t="n">
        <v>0</v>
      </c>
      <c r="BM244" s="59" t="n">
        <v>0</v>
      </c>
      <c r="BN244" s="59" t="n">
        <v>0</v>
      </c>
      <c r="BO244" s="59" t="n">
        <v>0</v>
      </c>
      <c r="BP244" s="59" t="n">
        <v>0</v>
      </c>
      <c r="BQ244" s="59" t="n">
        <v>0</v>
      </c>
      <c r="BR244" s="59" t="n">
        <v>0</v>
      </c>
      <c r="BS244" s="59" t="n">
        <v>0</v>
      </c>
      <c r="BT244" s="59" t="n">
        <v>0</v>
      </c>
      <c r="BU244" s="59" t="n">
        <v>0</v>
      </c>
      <c r="BV244" s="59" t="n">
        <v>0</v>
      </c>
      <c r="BW244" s="59" t="n">
        <v>0</v>
      </c>
      <c r="BX244" s="59" t="n">
        <v>0</v>
      </c>
      <c r="BY244" s="59" t="n">
        <v>0</v>
      </c>
      <c r="BZ244" s="59" t="n">
        <v>0</v>
      </c>
      <c r="CA244" s="59" t="n">
        <v>0</v>
      </c>
      <c r="CB244" s="59" t="n">
        <v>0</v>
      </c>
      <c r="CC244" s="59" t="n">
        <v>0</v>
      </c>
      <c r="CD244" s="59" t="n">
        <v>0</v>
      </c>
      <c r="CE244" s="59" t="n">
        <v>0</v>
      </c>
      <c r="CF244" s="59" t="n">
        <v>0</v>
      </c>
      <c r="CG244" s="59" t="n">
        <v>0</v>
      </c>
      <c r="CH244" s="59" t="n">
        <v>0</v>
      </c>
      <c r="CI244" s="59" t="n">
        <v>0</v>
      </c>
      <c r="CJ244" s="59" t="n">
        <v>0</v>
      </c>
      <c r="CK244" s="59" t="n">
        <v>0</v>
      </c>
      <c r="CL244" s="59" t="n">
        <v>0</v>
      </c>
      <c r="CM244" s="59" t="n">
        <v>0</v>
      </c>
      <c r="CN244" s="59" t="n">
        <v>0</v>
      </c>
      <c r="CO244" s="59" t="n">
        <v>0</v>
      </c>
      <c r="CP244" s="59" t="n">
        <v>0</v>
      </c>
      <c r="CQ244" s="59" t="n">
        <v>0</v>
      </c>
      <c r="CR244" s="59" t="n">
        <v>0</v>
      </c>
      <c r="CS244" s="59" t="n">
        <v>0</v>
      </c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</row>
    <row r="245" customFormat="false" ht="15" hidden="false" customHeight="true" outlineLevel="0" collapsed="false">
      <c r="A245" s="60" t="s">
        <v>166</v>
      </c>
      <c r="B245" s="61"/>
      <c r="C245" s="61"/>
      <c r="D245" s="61"/>
      <c r="E245" s="61" t="n">
        <f aca="false">-MIN(E242+E243+E244,MAX(0,E163-Helpers!C23))</f>
        <v>-0</v>
      </c>
      <c r="F245" s="61" t="n">
        <f aca="false">-MIN(F242+F243+F244,MAX(0,F163-Helpers!D23))</f>
        <v>-0</v>
      </c>
      <c r="G245" s="61" t="n">
        <f aca="false">-MIN(G242+G243+G244,MAX(0,G163-Helpers!E23))</f>
        <v>-0</v>
      </c>
      <c r="H245" s="61" t="n">
        <f aca="false">-MIN(H242+H243+H244,MAX(0,H163-Helpers!F23))</f>
        <v>-0</v>
      </c>
      <c r="I245" s="61" t="n">
        <f aca="false">-MIN(I242+I243+I244,MAX(0,I163-Helpers!G23))</f>
        <v>-0</v>
      </c>
      <c r="J245" s="61" t="n">
        <f aca="false">-MIN(J242+J243+J244,MAX(0,J163-Helpers!H23))</f>
        <v>-0</v>
      </c>
      <c r="K245" s="61" t="n">
        <f aca="false">-MIN(K242+K243+K244,MAX(0,K163-Helpers!I23))</f>
        <v>-0</v>
      </c>
      <c r="L245" s="61" t="n">
        <f aca="false">-MIN(L242+L243+L244,MAX(0,L163-Helpers!J23))</f>
        <v>-0</v>
      </c>
      <c r="M245" s="61" t="n">
        <f aca="false">-MIN(M242+M243+M244,MAX(0,M163-Helpers!K23))</f>
        <v>-0</v>
      </c>
      <c r="N245" s="61" t="n">
        <f aca="false">-MIN(N242+N243+N244,MAX(0,N163-Helpers!L23))</f>
        <v>-0</v>
      </c>
      <c r="O245" s="61" t="n">
        <f aca="false">-MIN(O242+O243+O244,MAX(0,O163-Helpers!M23))</f>
        <v>-0</v>
      </c>
      <c r="P245" s="61" t="n">
        <f aca="false">-MIN(P242+P243+P244,MAX(0,P163-Helpers!N23))</f>
        <v>-0</v>
      </c>
      <c r="Q245" s="61" t="n">
        <f aca="false">-MIN(Q242+Q243+Q244,MAX(0,Q163-Helpers!O23))</f>
        <v>-0</v>
      </c>
      <c r="R245" s="61" t="n">
        <f aca="false">-MIN(R242+R243+R244,MAX(0,R163-Helpers!P23))</f>
        <v>-0</v>
      </c>
      <c r="S245" s="61" t="n">
        <f aca="false">-MIN(S242+S243+S244,MAX(0,S163-Helpers!Q23))</f>
        <v>-0</v>
      </c>
      <c r="T245" s="61" t="n">
        <f aca="false">-MIN(T242+T243+T244,MAX(0,T163-Helpers!R23))</f>
        <v>-0</v>
      </c>
      <c r="U245" s="61" t="n">
        <f aca="false">-MIN(U242+U243+U244,MAX(0,U163-Helpers!S23))</f>
        <v>-0</v>
      </c>
      <c r="V245" s="61" t="n">
        <f aca="false">-MIN(V242+V243+V244,MAX(0,V163-Helpers!T23))</f>
        <v>-0</v>
      </c>
      <c r="W245" s="61" t="n">
        <f aca="false">-MIN(W242+W243+W244,MAX(0,W163-Helpers!U23))</f>
        <v>-0</v>
      </c>
      <c r="X245" s="61" t="n">
        <f aca="false">-MIN(X242+X243+X244,MAX(0,X163-Helpers!V23))</f>
        <v>-0</v>
      </c>
      <c r="Y245" s="61" t="n">
        <f aca="false">-MIN(Y242+Y243+Y244,MAX(0,Y163-Helpers!W23))</f>
        <v>-0</v>
      </c>
      <c r="Z245" s="61" t="n">
        <f aca="false">-MIN(Z242+Z243+Z244,MAX(0,Z163-Helpers!X23))</f>
        <v>-0</v>
      </c>
      <c r="AA245" s="61" t="n">
        <f aca="false">-MIN(AA242+AA243+AA244,MAX(0,AA163-Helpers!Y23))</f>
        <v>-0</v>
      </c>
      <c r="AB245" s="61" t="n">
        <f aca="false">-MIN(AB242+AB243+AB244,MAX(0,AB163-Helpers!Z23))</f>
        <v>-0</v>
      </c>
      <c r="AC245" s="61" t="n">
        <f aca="false">-MIN(AC242+AC243+AC244,MAX(0,AC163-Helpers!AA23))</f>
        <v>-0</v>
      </c>
      <c r="AD245" s="61" t="n">
        <f aca="false">-MIN(AD242+AD243+AD244,MAX(0,AD163-Helpers!AB23))</f>
        <v>-0</v>
      </c>
      <c r="AE245" s="61" t="n">
        <f aca="false">-MIN(AE242+AE243+AE244,MAX(0,AE163-Helpers!AC23))</f>
        <v>-0</v>
      </c>
      <c r="AF245" s="61" t="n">
        <f aca="false">-MIN(AF242+AF243+AF244,MAX(0,AF163-Helpers!AD23))</f>
        <v>-0</v>
      </c>
      <c r="AG245" s="61" t="n">
        <f aca="false">-MIN(AG242+AG243+AG244,MAX(0,AG163-Helpers!AE23))</f>
        <v>-0</v>
      </c>
      <c r="AH245" s="61" t="n">
        <f aca="false">-MIN(AH242+AH243+AH244,MAX(0,AH163-Helpers!AF23))</f>
        <v>-0</v>
      </c>
      <c r="AI245" s="61" t="n">
        <f aca="false">-MIN(AI242+AI243+AI244,MAX(0,AI163-Helpers!AG23))</f>
        <v>-0</v>
      </c>
      <c r="AJ245" s="61" t="n">
        <f aca="false">-MIN(AJ242+AJ243+AJ244,MAX(0,AJ163-Helpers!AH23))</f>
        <v>-0</v>
      </c>
      <c r="AK245" s="61" t="n">
        <f aca="false">-MIN(AK242+AK243+AK244,MAX(0,AK163-Helpers!AI23))</f>
        <v>-0</v>
      </c>
      <c r="AL245" s="61" t="n">
        <f aca="false">-MIN(AL242+AL243+AL244,MAX(0,AL163-Helpers!AJ23))</f>
        <v>-0</v>
      </c>
      <c r="AM245" s="61" t="n">
        <f aca="false">-MIN(AM242+AM243+AM244,MAX(0,AM163-Helpers!AK23))</f>
        <v>-0</v>
      </c>
      <c r="AN245" s="61" t="n">
        <f aca="false">-MIN(AN242+AN243+AN244,MAX(0,AN163-Helpers!AL23))</f>
        <v>-0</v>
      </c>
      <c r="AO245" s="61" t="n">
        <f aca="false">-MIN(AO242+AO243+AO244,MAX(0,AO163-Helpers!AM23))</f>
        <v>-0</v>
      </c>
      <c r="AP245" s="61" t="n">
        <f aca="false">-MIN(AP242+AP243+AP244,MAX(0,AP163-Helpers!AN23))</f>
        <v>-0</v>
      </c>
      <c r="AQ245" s="61" t="n">
        <f aca="false">-MIN(AQ242+AQ243+AQ244,MAX(0,AQ163-Helpers!AO23))</f>
        <v>-0</v>
      </c>
      <c r="AR245" s="61" t="n">
        <f aca="false">-MIN(AR242+AR243+AR244,MAX(0,AR163-Helpers!AP23))</f>
        <v>-0</v>
      </c>
      <c r="AS245" s="61" t="n">
        <f aca="false">-MIN(AS242+AS243+AS244,MAX(0,AS163-Helpers!AQ23))</f>
        <v>-0</v>
      </c>
      <c r="AT245" s="61" t="n">
        <f aca="false">-MIN(AT242+AT243+AT244,MAX(0,AT163-Helpers!AR23))</f>
        <v>-0</v>
      </c>
      <c r="AU245" s="61" t="n">
        <f aca="false">-MIN(AU242+AU243+AU244,MAX(0,AU163-Helpers!AS23))</f>
        <v>-0</v>
      </c>
      <c r="AV245" s="61" t="n">
        <f aca="false">-MIN(AV242+AV243+AV244,MAX(0,AV163-Helpers!AT23))</f>
        <v>-0</v>
      </c>
      <c r="AW245" s="61" t="n">
        <f aca="false">-MIN(AW242+AW243+AW244,MAX(0,AW163-Helpers!AU23))</f>
        <v>-0</v>
      </c>
      <c r="AX245" s="61" t="n">
        <f aca="false">-MIN(AX242+AX243+AX244,MAX(0,AX163-Helpers!AV23))</f>
        <v>-0</v>
      </c>
      <c r="AY245" s="61" t="n">
        <f aca="false">-MIN(AY242+AY243+AY244,MAX(0,AY163-Helpers!AW23))</f>
        <v>-0</v>
      </c>
      <c r="AZ245" s="61" t="n">
        <f aca="false">-MIN(AZ242+AZ243+AZ244,MAX(0,AZ163-Helpers!AX23))</f>
        <v>-0</v>
      </c>
      <c r="BA245" s="61" t="n">
        <f aca="false">-MIN(BA242+BA243+BA244,MAX(0,BA163-Helpers!AY23))</f>
        <v>-0</v>
      </c>
      <c r="BB245" s="61" t="n">
        <f aca="false">-MIN(BB242+BB243+BB244,MAX(0,BB163-Helpers!AZ23))</f>
        <v>-0</v>
      </c>
      <c r="BC245" s="61" t="n">
        <f aca="false">-MIN(BC242+BC243+BC244,MAX(0,BC163-Helpers!BA23))</f>
        <v>-249171.3</v>
      </c>
      <c r="BD245" s="61" t="n">
        <f aca="false">-MIN(BD242+BD243+BD244,MAX(0,BD163-Helpers!BB23))</f>
        <v>-0</v>
      </c>
      <c r="BE245" s="61" t="n">
        <f aca="false">-MIN(BE242+BE243+BE244,MAX(0,BE163-Helpers!BC23))</f>
        <v>-0</v>
      </c>
      <c r="BF245" s="61" t="n">
        <f aca="false">-MIN(BF242+BF243+BF244,MAX(0,BF163-Helpers!BD23))</f>
        <v>-71700</v>
      </c>
      <c r="BG245" s="61" t="n">
        <f aca="false">-MIN(BG242+BG243+BG244,MAX(0,BG163-Helpers!BE23))</f>
        <v>-0</v>
      </c>
      <c r="BH245" s="61" t="n">
        <f aca="false">-MIN(BH242+BH243+BH244,MAX(0,BH163-Helpers!BF23))</f>
        <v>-0</v>
      </c>
      <c r="BI245" s="61" t="n">
        <f aca="false">-MIN(BI242+BI243+BI244,MAX(0,BI163-Helpers!BG23))</f>
        <v>-71700</v>
      </c>
      <c r="BJ245" s="61" t="n">
        <f aca="false">-MIN(BJ242+BJ243+BJ244,MAX(0,BJ163-Helpers!BH23))</f>
        <v>-0</v>
      </c>
      <c r="BK245" s="61" t="n">
        <f aca="false">-MIN(BK242+BK243+BK244,MAX(0,BK163-Helpers!BI23))</f>
        <v>-0</v>
      </c>
      <c r="BL245" s="61" t="n">
        <f aca="false">-MIN(BL242+BL243+BL244,MAX(0,BL163-Helpers!BJ23))</f>
        <v>-71700</v>
      </c>
      <c r="BM245" s="61" t="n">
        <f aca="false">-MIN(BM242+BM243+BM244,MAX(0,BM163-Helpers!BK23))</f>
        <v>-0</v>
      </c>
      <c r="BN245" s="61" t="n">
        <f aca="false">-MIN(BN242+BN243+BN244,MAX(0,BN163-Helpers!BL23))</f>
        <v>-0</v>
      </c>
      <c r="BO245" s="61" t="n">
        <f aca="false">-MIN(BO242+BO243+BO244,MAX(0,BO163-Helpers!BM23))</f>
        <v>-71700</v>
      </c>
      <c r="BP245" s="61" t="n">
        <f aca="false">-MIN(BP242+BP243+BP244,MAX(0,BP163-Helpers!BN23))</f>
        <v>-0</v>
      </c>
      <c r="BQ245" s="61" t="n">
        <f aca="false">-MIN(BQ242+BQ243+BQ244,MAX(0,BQ163-Helpers!BO23))</f>
        <v>-0</v>
      </c>
      <c r="BR245" s="61" t="n">
        <f aca="false">-MIN(BR242+BR243+BR244,MAX(0,BR163-Helpers!BP23))</f>
        <v>-74643</v>
      </c>
      <c r="BS245" s="61" t="n">
        <f aca="false">-MIN(BS242+BS243+BS244,MAX(0,BS163-Helpers!BQ23))</f>
        <v>-0</v>
      </c>
      <c r="BT245" s="61" t="n">
        <f aca="false">-MIN(BT242+BT243+BT244,MAX(0,BT163-Helpers!BR23))</f>
        <v>-0</v>
      </c>
      <c r="BU245" s="61" t="n">
        <f aca="false">-MIN(BU242+BU243+BU244,MAX(0,BU163-Helpers!BS23))</f>
        <v>-74640</v>
      </c>
      <c r="BV245" s="61" t="n">
        <f aca="false">-MIN(BV242+BV243+BV244,MAX(0,BV163-Helpers!BT23))</f>
        <v>-0</v>
      </c>
      <c r="BW245" s="61" t="n">
        <f aca="false">-MIN(BW242+BW243+BW244,MAX(0,BW163-Helpers!BU23))</f>
        <v>-0</v>
      </c>
      <c r="BX245" s="61" t="n">
        <f aca="false">-MIN(BX242+BX243+BX244,MAX(0,BX163-Helpers!BV23))</f>
        <v>-74640</v>
      </c>
      <c r="BY245" s="61" t="n">
        <f aca="false">-MIN(BY242+BY243+BY244,MAX(0,BY163-Helpers!BW23))</f>
        <v>-0</v>
      </c>
      <c r="BZ245" s="61" t="n">
        <f aca="false">-MIN(BZ242+BZ243+BZ244,MAX(0,BZ163-Helpers!BX23))</f>
        <v>-0</v>
      </c>
      <c r="CA245" s="61" t="n">
        <f aca="false">-MIN(CA242+CA243+CA244,MAX(0,CA163-Helpers!BY23))</f>
        <v>-74640</v>
      </c>
      <c r="CB245" s="61" t="n">
        <f aca="false">-MIN(CB242+CB243+CB244,MAX(0,CB163-Helpers!BZ23))</f>
        <v>-0</v>
      </c>
      <c r="CC245" s="61" t="n">
        <f aca="false">-MIN(CC242+CC243+CC244,MAX(0,CC163-Helpers!CA23))</f>
        <v>-0</v>
      </c>
      <c r="CD245" s="61" t="n">
        <f aca="false">-MIN(CD242+CD243+CD244,MAX(0,CD163-Helpers!CB23))</f>
        <v>-81363</v>
      </c>
      <c r="CE245" s="61" t="n">
        <f aca="false">-MIN(CE242+CE243+CE244,MAX(0,CE163-Helpers!CC23))</f>
        <v>-0</v>
      </c>
      <c r="CF245" s="61" t="n">
        <f aca="false">-MIN(CF242+CF243+CF244,MAX(0,CF163-Helpers!CD23))</f>
        <v>-0</v>
      </c>
      <c r="CG245" s="61" t="n">
        <f aca="false">-MIN(CG242+CG243+CG244,MAX(0,CG163-Helpers!CE23))</f>
        <v>-81362</v>
      </c>
      <c r="CH245" s="61" t="n">
        <f aca="false">-MIN(CH242+CH243+CH244,MAX(0,CH163-Helpers!CF23))</f>
        <v>-0</v>
      </c>
      <c r="CI245" s="61" t="n">
        <f aca="false">-MIN(CI242+CI243+CI244,MAX(0,CI163-Helpers!CG23))</f>
        <v>-0</v>
      </c>
      <c r="CJ245" s="61" t="n">
        <f aca="false">-MIN(CJ242+CJ243+CJ244,MAX(0,CJ163-Helpers!CH23))</f>
        <v>-74753.9733935208</v>
      </c>
      <c r="CK245" s="61" t="n">
        <f aca="false">-MIN(CK242+CK243+CK244,MAX(0,CK163-Helpers!CI23))</f>
        <v>-0</v>
      </c>
      <c r="CL245" s="61" t="n">
        <f aca="false">-MIN(CL242+CL243+CL244,MAX(0,CL163-Helpers!CJ23))</f>
        <v>-0</v>
      </c>
      <c r="CM245" s="61" t="n">
        <f aca="false">-MIN(CM242+CM243+CM244,MAX(0,CM163-Helpers!CK23))</f>
        <v>-0</v>
      </c>
      <c r="CN245" s="61" t="n">
        <f aca="false">-MIN(CN242+CN243+CN244,MAX(0,CN163-Helpers!CL23))</f>
        <v>-0</v>
      </c>
      <c r="CO245" s="61" t="n">
        <f aca="false">-MIN(CO242+CO243+CO244,MAX(0,CO163-Helpers!CM23))</f>
        <v>-0</v>
      </c>
      <c r="CP245" s="61" t="n">
        <f aca="false">-MIN(CP242+CP243+CP244,MAX(0,CP163-Helpers!CN23))</f>
        <v>-0</v>
      </c>
      <c r="CQ245" s="61" t="n">
        <f aca="false">-MIN(CQ242+CQ243+CQ244,MAX(0,CQ163-Helpers!CO23))</f>
        <v>-0</v>
      </c>
      <c r="CR245" s="61" t="n">
        <f aca="false">-MIN(CR242+CR243+CR244,MAX(0,CR163-Helpers!CP23))</f>
        <v>-0</v>
      </c>
      <c r="CS245" s="61" t="n">
        <f aca="false">-MIN(CS242+CS243+CS244,MAX(0,CS163-Helpers!CQ23))</f>
        <v>-0</v>
      </c>
      <c r="CT245" s="61" t="n">
        <f aca="false">-MIN(CT242+CT243+CT244,MAX(0,CT163-Helpers!CR23))</f>
        <v>-0</v>
      </c>
      <c r="CU245" s="61" t="n">
        <f aca="false">-MIN(CU242+CU243+CU244,MAX(0,CU163-Helpers!CS23))</f>
        <v>-0</v>
      </c>
      <c r="CV245" s="61" t="n">
        <f aca="false">-MIN(CV242+CV243+CV244,MAX(0,CV163-Helpers!CT23))</f>
        <v>-0</v>
      </c>
      <c r="CW245" s="61" t="n">
        <f aca="false">-MIN(CW242+CW243+CW244,MAX(0,CW163-Helpers!CU23))</f>
        <v>-0</v>
      </c>
      <c r="CX245" s="61" t="n">
        <f aca="false">-MIN(CX242+CX243+CX244,MAX(0,CX163-Helpers!CV23))</f>
        <v>-0</v>
      </c>
      <c r="CY245" s="61" t="n">
        <f aca="false">-MIN(CY242+CY243+CY244,MAX(0,CY163-Helpers!CW23))</f>
        <v>-0</v>
      </c>
      <c r="CZ245" s="61" t="n">
        <f aca="false">-MIN(CZ242+CZ243+CZ244,MAX(0,CZ163-Helpers!CX23))</f>
        <v>-0</v>
      </c>
      <c r="DA245" s="61" t="n">
        <f aca="false">-MIN(DA242+DA243+DA244,MAX(0,DA163-Helpers!CY23))</f>
        <v>-0</v>
      </c>
      <c r="DB245" s="61" t="n">
        <f aca="false">-MIN(DB242+DB243+DB244,MAX(0,DB163-Helpers!CZ23))</f>
        <v>-0</v>
      </c>
      <c r="DC245" s="61" t="n">
        <f aca="false">-MIN(DC242+DC243+DC244,MAX(0,DC163-Helpers!DA23))</f>
        <v>-0</v>
      </c>
      <c r="DD245" s="61" t="n">
        <f aca="false">-MIN(DD242+DD243+DD244,MAX(0,DD163-Helpers!DB23))</f>
        <v>-0</v>
      </c>
      <c r="DE245" s="61" t="n">
        <f aca="false">-MIN(DE242+DE243+DE244,MAX(0,DE163-Helpers!DC23))</f>
        <v>-0</v>
      </c>
    </row>
    <row r="246" customFormat="false" ht="15" hidden="false" customHeight="true" outlineLevel="0" collapsed="false">
      <c r="A246" s="62" t="s">
        <v>167</v>
      </c>
      <c r="B246" s="63"/>
      <c r="C246" s="63"/>
      <c r="D246" s="63"/>
      <c r="E246" s="63" t="n">
        <f aca="false">MAX(0,E242+E243+E244+E245)</f>
        <v>1134000</v>
      </c>
      <c r="F246" s="63" t="n">
        <f aca="false">MAX(0,F242+F243+F244+F245)</f>
        <v>1184000</v>
      </c>
      <c r="G246" s="63" t="n">
        <f aca="false">MAX(0,G242+G243+G244+G245)</f>
        <v>1280275</v>
      </c>
      <c r="H246" s="63" t="n">
        <f aca="false">MAX(0,H242+H243+H244+H245)</f>
        <v>1330275</v>
      </c>
      <c r="I246" s="63" t="n">
        <f aca="false">MAX(0,I242+I243+I244+I245)</f>
        <v>1380275</v>
      </c>
      <c r="J246" s="63" t="n">
        <f aca="false">MAX(0,J242+J243+J244+J245)</f>
        <v>1483910.3125</v>
      </c>
      <c r="K246" s="63" t="n">
        <f aca="false">MAX(0,K242+K243+K244+K245)</f>
        <v>1533910.3125</v>
      </c>
      <c r="L246" s="63" t="n">
        <f aca="false">MAX(0,L242+L243+L244+L245)</f>
        <v>1583910.3125</v>
      </c>
      <c r="M246" s="63" t="n">
        <f aca="false">MAX(0,M242+M243+M244+M245)</f>
        <v>1695181.94921875</v>
      </c>
      <c r="N246" s="63" t="n">
        <f aca="false">MAX(0,N242+N243+N244+N245)</f>
        <v>1745181.94921875</v>
      </c>
      <c r="O246" s="63" t="n">
        <f aca="false">MAX(0,O242+O243+O244+O245)</f>
        <v>1795181.94921875</v>
      </c>
      <c r="P246" s="63" t="n">
        <f aca="false">MAX(0,P242+P243+P244+P245)</f>
        <v>1914376.27231445</v>
      </c>
      <c r="Q246" s="63" t="n">
        <f aca="false">MAX(0,Q242+Q243+Q244+Q245)</f>
        <v>514376.272314453</v>
      </c>
      <c r="R246" s="63" t="n">
        <f aca="false">MAX(0,R242+R243+R244+R245)</f>
        <v>564376.272314453</v>
      </c>
      <c r="S246" s="63" t="n">
        <f aca="false">MAX(0,S242+S243+S244+S245)</f>
        <v>585540.382526245</v>
      </c>
      <c r="T246" s="63" t="n">
        <f aca="false">MAX(0,T242+T243+T244+T245)</f>
        <v>585540.382526245</v>
      </c>
      <c r="U246" s="63" t="n">
        <f aca="false">MAX(0,U242+U243+U244+U245)</f>
        <v>585540.382526245</v>
      </c>
      <c r="V246" s="63" t="n">
        <f aca="false">MAX(0,V242+V243+V244+V245)</f>
        <v>607498.146870979</v>
      </c>
      <c r="W246" s="63" t="n">
        <f aca="false">MAX(0,W242+W243+W244+W245)</f>
        <v>607498.146870979</v>
      </c>
      <c r="X246" s="63" t="n">
        <f aca="false">MAX(0,X242+X243+X244+X245)</f>
        <v>607498.146870979</v>
      </c>
      <c r="Y246" s="63" t="n">
        <f aca="false">MAX(0,Y242+Y243+Y244+Y245)</f>
        <v>630279.327378641</v>
      </c>
      <c r="Z246" s="63" t="n">
        <f aca="false">MAX(0,Z242+Z243+Z244+Z245)</f>
        <v>630279.327378641</v>
      </c>
      <c r="AA246" s="63" t="n">
        <f aca="false">MAX(0,AA242+AA243+AA244+AA245)</f>
        <v>630279.327378641</v>
      </c>
      <c r="AB246" s="63" t="n">
        <f aca="false">MAX(0,AB242+AB243+AB244+AB245)</f>
        <v>653914.80215534</v>
      </c>
      <c r="AC246" s="63" t="n">
        <f aca="false">MAX(0,AC242+AC243+AC244+AC245)</f>
        <v>653914.80215534</v>
      </c>
      <c r="AD246" s="63" t="n">
        <f aca="false">MAX(0,AD242+AD243+AD244+AD245)</f>
        <v>653914.80215534</v>
      </c>
      <c r="AE246" s="63" t="n">
        <f aca="false">MAX(0,AE242+AE243+AE244+AE245)</f>
        <v>678436.607236165</v>
      </c>
      <c r="AF246" s="63" t="n">
        <f aca="false">MAX(0,AF242+AF243+AF244+AF245)</f>
        <v>678436.607236165</v>
      </c>
      <c r="AG246" s="63" t="n">
        <f aca="false">MAX(0,AG242+AG243+AG244+AG245)</f>
        <v>678436.607236165</v>
      </c>
      <c r="AH246" s="63" t="n">
        <f aca="false">MAX(0,AH242+AH243+AH244+AH245)</f>
        <v>703877.980007521</v>
      </c>
      <c r="AI246" s="63" t="n">
        <f aca="false">MAX(0,AI242+AI243+AI244+AI245)</f>
        <v>703877.980007521</v>
      </c>
      <c r="AJ246" s="63" t="n">
        <f aca="false">MAX(0,AJ242+AJ243+AJ244+AJ245)</f>
        <v>703877.980007521</v>
      </c>
      <c r="AK246" s="63" t="n">
        <f aca="false">MAX(0,AK242+AK243+AK244+AK245)</f>
        <v>730273.404257803</v>
      </c>
      <c r="AL246" s="63" t="n">
        <f aca="false">MAX(0,AL242+AL243+AL244+AL245)</f>
        <v>730273.404257803</v>
      </c>
      <c r="AM246" s="63" t="n">
        <f aca="false">MAX(0,AM242+AM243+AM244+AM245)</f>
        <v>730273.404257803</v>
      </c>
      <c r="AN246" s="63" t="n">
        <f aca="false">MAX(0,AN242+AN243+AN244+AN245)</f>
        <v>757658.656917471</v>
      </c>
      <c r="AO246" s="63" t="n">
        <f aca="false">MAX(0,AO242+AO243+AO244+AO245)</f>
        <v>757658.656917471</v>
      </c>
      <c r="AP246" s="63" t="n">
        <f aca="false">MAX(0,AP242+AP243+AP244+AP245)</f>
        <v>757658.656917471</v>
      </c>
      <c r="AQ246" s="63" t="n">
        <f aca="false">MAX(0,AQ242+AQ243+AQ244+AQ245)</f>
        <v>786070.856551876</v>
      </c>
      <c r="AR246" s="63" t="n">
        <f aca="false">MAX(0,AR242+AR243+AR244+AR245)</f>
        <v>786070.856551876</v>
      </c>
      <c r="AS246" s="63" t="n">
        <f aca="false">MAX(0,AS242+AS243+AS244+AS245)</f>
        <v>786070.856551876</v>
      </c>
      <c r="AT246" s="63" t="n">
        <f aca="false">MAX(0,AT242+AT243+AT244+AT245)</f>
        <v>815548.513672571</v>
      </c>
      <c r="AU246" s="63" t="n">
        <f aca="false">MAX(0,AU242+AU243+AU244+AU245)</f>
        <v>815548.513672571</v>
      </c>
      <c r="AV246" s="63" t="n">
        <f aca="false">MAX(0,AV242+AV243+AV244+AV245)</f>
        <v>815548.513672571</v>
      </c>
      <c r="AW246" s="63" t="n">
        <f aca="false">MAX(0,AW242+AW243+AW244+AW245)</f>
        <v>846131.582935293</v>
      </c>
      <c r="AX246" s="63" t="n">
        <f aca="false">MAX(0,AX242+AX243+AX244+AX245)</f>
        <v>846131.582935293</v>
      </c>
      <c r="AY246" s="63" t="n">
        <f aca="false">MAX(0,AY242+AY243+AY244+AY245)</f>
        <v>846131.582935293</v>
      </c>
      <c r="AZ246" s="63" t="n">
        <f aca="false">MAX(0,AZ242+AZ243+AZ244+AZ245)</f>
        <v>877861.517295366</v>
      </c>
      <c r="BA246" s="63" t="n">
        <f aca="false">MAX(0,BA242+BA243+BA244+BA245)</f>
        <v>877861.517295366</v>
      </c>
      <c r="BB246" s="63" t="n">
        <f aca="false">MAX(0,BB242+BB243+BB244+BB245)</f>
        <v>877861.517295366</v>
      </c>
      <c r="BC246" s="63" t="n">
        <f aca="false">MAX(0,BC242+BC243+BC244+BC245)</f>
        <v>661610.024193943</v>
      </c>
      <c r="BD246" s="63" t="n">
        <f aca="false">MAX(0,BD242+BD243+BD244+BD245)</f>
        <v>661610.024193943</v>
      </c>
      <c r="BE246" s="63" t="n">
        <f aca="false">MAX(0,BE242+BE243+BE244+BE245)</f>
        <v>661610.024193943</v>
      </c>
      <c r="BF246" s="63" t="n">
        <f aca="false">MAX(0,BF242+BF243+BF244+BF245)</f>
        <v>614720.400101215</v>
      </c>
      <c r="BG246" s="63" t="n">
        <f aca="false">MAX(0,BG242+BG243+BG244+BG245)</f>
        <v>614720.400101215</v>
      </c>
      <c r="BH246" s="63" t="n">
        <f aca="false">MAX(0,BH242+BH243+BH244+BH245)</f>
        <v>614720.400101215</v>
      </c>
      <c r="BI246" s="63" t="n">
        <f aca="false">MAX(0,BI242+BI243+BI244+BI245)</f>
        <v>566072.415105011</v>
      </c>
      <c r="BJ246" s="63" t="n">
        <f aca="false">MAX(0,BJ242+BJ243+BJ244+BJ245)</f>
        <v>566072.415105011</v>
      </c>
      <c r="BK246" s="63" t="n">
        <f aca="false">MAX(0,BK242+BK243+BK244+BK245)</f>
        <v>566072.415105011</v>
      </c>
      <c r="BL246" s="63" t="n">
        <f aca="false">MAX(0,BL242+BL243+BL244+BL245)</f>
        <v>515600.130671449</v>
      </c>
      <c r="BM246" s="63" t="n">
        <f aca="false">MAX(0,BM242+BM243+BM244+BM245)</f>
        <v>515600.130671449</v>
      </c>
      <c r="BN246" s="63" t="n">
        <f aca="false">MAX(0,BN242+BN243+BN244+BN245)</f>
        <v>515600.130671449</v>
      </c>
      <c r="BO246" s="63" t="n">
        <f aca="false">MAX(0,BO242+BO243+BO244+BO245)</f>
        <v>463235.135571628</v>
      </c>
      <c r="BP246" s="63" t="n">
        <f aca="false">MAX(0,BP242+BP243+BP244+BP245)</f>
        <v>463235.135571628</v>
      </c>
      <c r="BQ246" s="63" t="n">
        <f aca="false">MAX(0,BQ242+BQ243+BQ244+BQ245)</f>
        <v>463235.135571628</v>
      </c>
      <c r="BR246" s="63" t="n">
        <f aca="false">MAX(0,BR242+BR243+BR244+BR245)</f>
        <v>405963.453155564</v>
      </c>
      <c r="BS246" s="63" t="n">
        <f aca="false">MAX(0,BS242+BS243+BS244+BS245)</f>
        <v>405963.453155564</v>
      </c>
      <c r="BT246" s="63" t="n">
        <f aca="false">MAX(0,BT242+BT243+BT244+BT245)</f>
        <v>405963.453155564</v>
      </c>
      <c r="BU246" s="63" t="n">
        <f aca="false">MAX(0,BU242+BU243+BU244+BU245)</f>
        <v>346547.082648898</v>
      </c>
      <c r="BV246" s="63" t="n">
        <f aca="false">MAX(0,BV242+BV243+BV244+BV245)</f>
        <v>346547.082648898</v>
      </c>
      <c r="BW246" s="63" t="n">
        <f aca="false">MAX(0,BW242+BW243+BW244+BW245)</f>
        <v>346547.082648898</v>
      </c>
      <c r="BX246" s="63" t="n">
        <f aca="false">MAX(0,BX242+BX243+BX244+BX245)</f>
        <v>284902.598248232</v>
      </c>
      <c r="BY246" s="63" t="n">
        <f aca="false">MAX(0,BY242+BY243+BY244+BY245)</f>
        <v>284902.598248232</v>
      </c>
      <c r="BZ246" s="63" t="n">
        <f aca="false">MAX(0,BZ242+BZ243+BZ244+BZ245)</f>
        <v>284902.598248232</v>
      </c>
      <c r="CA246" s="63" t="n">
        <f aca="false">MAX(0,CA242+CA243+CA244+CA245)</f>
        <v>220946.44568254</v>
      </c>
      <c r="CB246" s="63" t="n">
        <f aca="false">MAX(0,CB242+CB243+CB244+CB245)</f>
        <v>220946.44568254</v>
      </c>
      <c r="CC246" s="63" t="n">
        <f aca="false">MAX(0,CC242+CC243+CC244+CC245)</f>
        <v>220946.44568254</v>
      </c>
      <c r="CD246" s="63" t="n">
        <f aca="false">MAX(0,CD242+CD243+CD244+CD245)</f>
        <v>147868.937395636</v>
      </c>
      <c r="CE246" s="63" t="n">
        <f aca="false">MAX(0,CE242+CE243+CE244+CE245)</f>
        <v>147868.937395636</v>
      </c>
      <c r="CF246" s="63" t="n">
        <f aca="false">MAX(0,CF242+CF243+CF244+CF245)</f>
        <v>147868.937395636</v>
      </c>
      <c r="CG246" s="63" t="n">
        <f aca="false">MAX(0,CG242+CG243+CG244+CG245)</f>
        <v>72052.0225479718</v>
      </c>
      <c r="CH246" s="63" t="n">
        <f aca="false">MAX(0,CH242+CH243+CH244+CH245)</f>
        <v>72052.0225479718</v>
      </c>
      <c r="CI246" s="63" t="n">
        <f aca="false">MAX(0,CI242+CI243+CI244+CI245)</f>
        <v>72052.0225479718</v>
      </c>
      <c r="CJ246" s="63" t="n">
        <f aca="false">MAX(0,CJ242+CJ243+CJ244+CJ245)</f>
        <v>0</v>
      </c>
      <c r="CK246" s="63" t="n">
        <f aca="false">MAX(0,CK242+CK243+CK244+CK245)</f>
        <v>0</v>
      </c>
      <c r="CL246" s="63" t="n">
        <f aca="false">MAX(0,CL242+CL243+CL244+CL245)</f>
        <v>0</v>
      </c>
      <c r="CM246" s="63" t="n">
        <f aca="false">MAX(0,CM242+CM243+CM244+CM245)</f>
        <v>0</v>
      </c>
      <c r="CN246" s="63" t="n">
        <f aca="false">MAX(0,CN242+CN243+CN244+CN245)</f>
        <v>0</v>
      </c>
      <c r="CO246" s="63" t="n">
        <f aca="false">MAX(0,CO242+CO243+CO244+CO245)</f>
        <v>0</v>
      </c>
      <c r="CP246" s="63" t="n">
        <f aca="false">MAX(0,CP242+CP243+CP244+CP245)</f>
        <v>0</v>
      </c>
      <c r="CQ246" s="63" t="n">
        <f aca="false">MAX(0,CQ242+CQ243+CQ244+CQ245)</f>
        <v>0</v>
      </c>
      <c r="CR246" s="63" t="n">
        <f aca="false">MAX(0,CR242+CR243+CR244+CR245)</f>
        <v>0</v>
      </c>
      <c r="CS246" s="63" t="n">
        <f aca="false">MAX(0,CS242+CS243+CS244+CS245)</f>
        <v>0</v>
      </c>
      <c r="CT246" s="63" t="n">
        <f aca="false">MAX(0,CT242+CT243+CT244+CT245)</f>
        <v>0</v>
      </c>
      <c r="CU246" s="63" t="n">
        <f aca="false">MAX(0,CU242+CU243+CU244+CU245)</f>
        <v>0</v>
      </c>
      <c r="CV246" s="63" t="n">
        <f aca="false">MAX(0,CV242+CV243+CV244+CV245)</f>
        <v>0</v>
      </c>
      <c r="CW246" s="63" t="n">
        <f aca="false">MAX(0,CW242+CW243+CW244+CW245)</f>
        <v>0</v>
      </c>
      <c r="CX246" s="63" t="n">
        <f aca="false">MAX(0,CX242+CX243+CX244+CX245)</f>
        <v>0</v>
      </c>
      <c r="CY246" s="63" t="n">
        <f aca="false">MAX(0,CY242+CY243+CY244+CY245)</f>
        <v>0</v>
      </c>
      <c r="CZ246" s="63" t="n">
        <f aca="false">MAX(0,CZ242+CZ243+CZ244+CZ245)</f>
        <v>0</v>
      </c>
      <c r="DA246" s="63" t="n">
        <f aca="false">MAX(0,DA242+DA243+DA244+DA245)</f>
        <v>0</v>
      </c>
      <c r="DB246" s="63" t="n">
        <f aca="false">MAX(0,DB242+DB243+DB244+DB245)</f>
        <v>0</v>
      </c>
      <c r="DC246" s="63" t="n">
        <f aca="false">MAX(0,DC242+DC243+DC244+DC245)</f>
        <v>0</v>
      </c>
      <c r="DD246" s="63" t="n">
        <f aca="false">MAX(0,DD242+DD243+DD244+DD245)</f>
        <v>0</v>
      </c>
      <c r="DE246" s="63" t="n">
        <f aca="false">MAX(0,DE242+DE243+DE244+DE245)</f>
        <v>0</v>
      </c>
    </row>
    <row r="247" customFormat="false" ht="15" hidden="false" customHeight="true" outlineLevel="0" collapsed="false">
      <c r="A247" s="64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</row>
    <row r="248" customFormat="false" ht="15" hidden="false" customHeight="true" outlineLevel="0" collapsed="false">
      <c r="A248" s="66" t="s">
        <v>168</v>
      </c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1" t="s">
        <v>169</v>
      </c>
      <c r="B257" s="32"/>
      <c r="C257" s="32"/>
      <c r="D257" s="32"/>
      <c r="E257" s="32" t="n">
        <f aca="false">SUM(E249:E256)</f>
        <v>24716840.3468768</v>
      </c>
      <c r="F257" s="32" t="n">
        <f aca="false">SUM(F249:F256)</f>
        <v>22881539.1765735</v>
      </c>
      <c r="G257" s="32" t="n">
        <f aca="false">SUM(G249:G256)</f>
        <v>20879271.9124362</v>
      </c>
      <c r="H257" s="32" t="n">
        <f aca="false">SUM(H249:H256)</f>
        <v>18748519.382739</v>
      </c>
      <c r="I257" s="32" t="n">
        <f aca="false">SUM(I249:I256)</f>
        <v>85209726.4902737</v>
      </c>
      <c r="J257" s="32" t="n">
        <f aca="false">SUM(J249:J256)</f>
        <v>101937181.31251</v>
      </c>
      <c r="K257" s="32" t="n">
        <f aca="false">SUM(K249:K256)</f>
        <v>96996144.7242823</v>
      </c>
      <c r="L257" s="32" t="n">
        <f aca="false">SUM(L249:L256)</f>
        <v>91681082.9143191</v>
      </c>
      <c r="M257" s="32" t="n">
        <f aca="false">SUM(M249:M256)</f>
        <v>86032873.6923599</v>
      </c>
      <c r="N257" s="32" t="n">
        <f aca="false">SUM(N249:N256)</f>
        <v>80101823.0905101</v>
      </c>
      <c r="O257" s="32" t="n">
        <f aca="false">SUM(O249:O256)</f>
        <v>73947441.6447125</v>
      </c>
      <c r="P257" s="32" t="n">
        <f aca="false">SUM(P249:P256)</f>
        <v>67637608.6570949</v>
      </c>
      <c r="Q257" s="32" t="n">
        <f aca="false">SUM(Q249:Q256)</f>
        <v>105785143.86028</v>
      </c>
      <c r="R257" s="32" t="n">
        <f aca="false">SUM(R249:R256)</f>
        <v>98555966.9128809</v>
      </c>
      <c r="S257" s="32" t="n">
        <f aca="false">SUM(S249:S256)</f>
        <v>91292205.3562169</v>
      </c>
      <c r="T257" s="32" t="n">
        <f aca="false">SUM(T249:T256)</f>
        <v>84715364.4189166</v>
      </c>
      <c r="U257" s="32" t="n">
        <f aca="false">SUM(U249:U256)</f>
        <v>78104625.7757824</v>
      </c>
      <c r="V257" s="32" t="n">
        <f aca="false">SUM(V249:V256)</f>
        <v>71551790.5201989</v>
      </c>
      <c r="W257" s="32" t="n">
        <f aca="false">SUM(W249:W256)</f>
        <v>65138900.841349</v>
      </c>
      <c r="X257" s="32" t="n">
        <f aca="false">SUM(X249:X256)</f>
        <v>58934829.9178404</v>
      </c>
      <c r="Y257" s="32" t="n">
        <f aca="false">SUM(Y249:Y256)</f>
        <v>52993542.7870939</v>
      </c>
      <c r="Z257" s="32" t="n">
        <f aca="false">SUM(Z249:Z256)</f>
        <v>47353337.6640295</v>
      </c>
      <c r="AA257" s="32" t="n">
        <f aca="false">SUM(AA249:AA256)</f>
        <v>42038064.2069706</v>
      </c>
      <c r="AB257" s="32" t="n">
        <f aca="false">SUM(AB249:AB256)</f>
        <v>37330862.9276114</v>
      </c>
      <c r="AC257" s="32" t="n">
        <f aca="false">SUM(AC249:AC256)</f>
        <v>33343145.6939488</v>
      </c>
      <c r="AD257" s="32" t="n">
        <f aca="false">SUM(AD249:AD256)</f>
        <v>29531296.0450086</v>
      </c>
      <c r="AE257" s="32" t="n">
        <f aca="false">SUM(AE249:AE256)</f>
        <v>66599470.497915</v>
      </c>
      <c r="AF257" s="32" t="n">
        <f aca="false">SUM(AF249:AF256)</f>
        <v>62415627.7269484</v>
      </c>
      <c r="AG257" s="32" t="n">
        <f aca="false">SUM(AG249:AG256)</f>
        <v>59062951.931266</v>
      </c>
      <c r="AH257" s="32" t="n">
        <f aca="false">SUM(AH249:AH256)</f>
        <v>55679909.273142</v>
      </c>
      <c r="AI257" s="32" t="n">
        <f aca="false">SUM(AI249:AI256)</f>
        <v>52281905.5481236</v>
      </c>
      <c r="AJ257" s="32" t="n">
        <f aca="false">SUM(AJ249:AJ256)</f>
        <v>48883886.762018</v>
      </c>
      <c r="AK257" s="32" t="n">
        <f aca="false">SUM(AK249:AK256)</f>
        <v>45500358.0697596</v>
      </c>
      <c r="AL257" s="32" t="n">
        <f aca="false">SUM(AL249:AL256)</f>
        <v>42145314.4364748</v>
      </c>
      <c r="AM257" s="32" t="n">
        <f aca="false">SUM(AM249:AM256)</f>
        <v>39031015.21347</v>
      </c>
      <c r="AN257" s="32" t="n">
        <f aca="false">SUM(AN249:AN256)</f>
        <v>35942281.200826</v>
      </c>
      <c r="AO257" s="32" t="n">
        <f aca="false">SUM(AO249:AO256)</f>
        <v>32894612.367548</v>
      </c>
      <c r="AP257" s="32" t="n">
        <f aca="false">SUM(AP249:AP256)</f>
        <v>29903009.833158</v>
      </c>
      <c r="AQ257" s="32" t="n">
        <f aca="false">SUM(AQ249:AQ256)</f>
        <v>26981928.712532</v>
      </c>
      <c r="AR257" s="32" t="n">
        <f aca="false">SUM(AR249:AR256)</f>
        <v>24145214.967326</v>
      </c>
      <c r="AS257" s="32" t="n">
        <f aca="false">SUM(AS249:AS256)</f>
        <v>21405892.487426</v>
      </c>
      <c r="AT257" s="32" t="n">
        <f aca="false">SUM(AT249:AT256)</f>
        <v>18775979.790616</v>
      </c>
      <c r="AU257" s="32" t="n">
        <f aca="false">SUM(AU249:AU256)</f>
        <v>16893987.49148</v>
      </c>
      <c r="AV257" s="32" t="n">
        <f aca="false">SUM(AV249:AV256)</f>
        <v>15049033.294064</v>
      </c>
      <c r="AW257" s="32" t="n">
        <f aca="false">SUM(AW249:AW256)</f>
        <v>13258584.501624</v>
      </c>
      <c r="AX257" s="32" t="n">
        <f aca="false">SUM(AX249:AX256)</f>
        <v>11538273.165056</v>
      </c>
      <c r="AY257" s="32" t="n">
        <f aca="false">SUM(AY249:AY256)</f>
        <v>9901787.667552</v>
      </c>
      <c r="AZ257" s="32" t="n">
        <f aca="false">SUM(AZ249:AZ256)</f>
        <v>8360541.887544</v>
      </c>
      <c r="BA257" s="32" t="n">
        <f aca="false">SUM(BA249:BA256)</f>
        <v>6923385.71628</v>
      </c>
      <c r="BB257" s="32" t="n">
        <f aca="false">SUM(BB249:BB256)</f>
        <v>5596646.412456</v>
      </c>
      <c r="BC257" s="32" t="n">
        <f aca="false">SUM(BC249:BC256)</f>
        <v>4384004.53832</v>
      </c>
      <c r="BD257" s="32" t="n">
        <f aca="false">SUM(BD249:BD256)</f>
        <v>3286659.3782</v>
      </c>
      <c r="BE257" s="32" t="n">
        <f aca="false">SUM(BE249:BE256)</f>
        <v>2303535.711664</v>
      </c>
      <c r="BF257" s="32" t="n">
        <f aca="false">SUM(BF249:BF256)</f>
        <v>1431490.58668</v>
      </c>
      <c r="BG257" s="32" t="n">
        <f aca="false">SUM(BG249:BG256)</f>
        <v>665685.511304001</v>
      </c>
      <c r="BH257" s="32" t="n">
        <f aca="false">SUM(BH249:BH256)</f>
        <v>-165.418527995574</v>
      </c>
      <c r="BI257" s="32" t="n">
        <f aca="false">SUM(BI249:BI256)</f>
        <v>0</v>
      </c>
      <c r="BJ257" s="32" t="n">
        <f aca="false">SUM(BJ249:BJ256)</f>
        <v>0</v>
      </c>
      <c r="BK257" s="32" t="n">
        <f aca="false">SUM(BK249:BK256)</f>
        <v>0</v>
      </c>
      <c r="BL257" s="32" t="n">
        <f aca="false">SUM(BL249:BL256)</f>
        <v>0</v>
      </c>
      <c r="BM257" s="32" t="n">
        <f aca="false">SUM(BM249:BM256)</f>
        <v>0</v>
      </c>
      <c r="BN257" s="32" t="n">
        <f aca="false">SUM(BN249:BN256)</f>
        <v>0</v>
      </c>
      <c r="BO257" s="32" t="n">
        <f aca="false">SUM(BO249:BO256)</f>
        <v>0</v>
      </c>
      <c r="BP257" s="32" t="n">
        <f aca="false">SUM(BP249:BP256)</f>
        <v>0</v>
      </c>
      <c r="BQ257" s="32" t="n">
        <f aca="false">SUM(BQ249:BQ256)</f>
        <v>0</v>
      </c>
      <c r="BR257" s="32" t="n">
        <f aca="false">SUM(BR249:BR256)</f>
        <v>0</v>
      </c>
      <c r="BS257" s="32" t="n">
        <f aca="false">SUM(BS249:BS256)</f>
        <v>0</v>
      </c>
      <c r="BT257" s="32" t="n">
        <f aca="false">SUM(BT249:BT256)</f>
        <v>0</v>
      </c>
      <c r="BU257" s="32" t="n">
        <f aca="false">SUM(BU249:BU256)</f>
        <v>0</v>
      </c>
      <c r="BV257" s="32" t="n">
        <f aca="false">SUM(BV249:BV256)</f>
        <v>0</v>
      </c>
      <c r="BW257" s="32" t="n">
        <f aca="false">SUM(BW249:BW256)</f>
        <v>0</v>
      </c>
      <c r="BX257" s="32" t="n">
        <f aca="false">SUM(BX249:BX256)</f>
        <v>0</v>
      </c>
      <c r="BY257" s="32" t="n">
        <f aca="false">SUM(BY249:BY256)</f>
        <v>0</v>
      </c>
      <c r="BZ257" s="32" t="n">
        <f aca="false">SUM(BZ249:BZ256)</f>
        <v>0</v>
      </c>
      <c r="CA257" s="32" t="n">
        <f aca="false">SUM(CA249:CA256)</f>
        <v>0</v>
      </c>
      <c r="CB257" s="32" t="n">
        <f aca="false">SUM(CB249:CB256)</f>
        <v>0</v>
      </c>
      <c r="CC257" s="32" t="n">
        <f aca="false">SUM(CC249:CC256)</f>
        <v>0</v>
      </c>
      <c r="CD257" s="32" t="n">
        <f aca="false">SUM(CD249:CD256)</f>
        <v>0</v>
      </c>
      <c r="CE257" s="32" t="n">
        <f aca="false">SUM(CE249:CE256)</f>
        <v>0</v>
      </c>
      <c r="CF257" s="32" t="n">
        <f aca="false">SUM(CF249:CF256)</f>
        <v>0</v>
      </c>
      <c r="CG257" s="32" t="n">
        <f aca="false">SUM(CG249:CG256)</f>
        <v>0</v>
      </c>
      <c r="CH257" s="32" t="n">
        <f aca="false">SUM(CH249:CH256)</f>
        <v>0</v>
      </c>
      <c r="CI257" s="32" t="n">
        <f aca="false">SUM(CI249:CI256)</f>
        <v>0</v>
      </c>
      <c r="CJ257" s="32" t="n">
        <f aca="false">SUM(CJ249:CJ256)</f>
        <v>0</v>
      </c>
      <c r="CK257" s="32" t="n">
        <f aca="false">SUM(CK249:CK256)</f>
        <v>0</v>
      </c>
      <c r="CL257" s="32" t="n">
        <f aca="false">SUM(CL249:CL256)</f>
        <v>0</v>
      </c>
      <c r="CM257" s="32" t="n">
        <f aca="false">SUM(CM249:CM256)</f>
        <v>0</v>
      </c>
      <c r="CN257" s="32" t="n">
        <f aca="false">SUM(CN249:CN256)</f>
        <v>0</v>
      </c>
      <c r="CO257" s="32" t="n">
        <f aca="false">SUM(CO249:CO256)</f>
        <v>0</v>
      </c>
      <c r="CP257" s="32" t="n">
        <f aca="false">SUM(CP249:CP256)</f>
        <v>0</v>
      </c>
      <c r="CQ257" s="32" t="n">
        <f aca="false">SUM(CQ249:CQ256)</f>
        <v>0</v>
      </c>
      <c r="CR257" s="32" t="n">
        <f aca="false">SUM(CR249:CR256)</f>
        <v>0</v>
      </c>
      <c r="CS257" s="32" t="n">
        <f aca="false">SUM(CS249:CS256)</f>
        <v>0</v>
      </c>
      <c r="CT257" s="32" t="n">
        <f aca="false">SUM(CT249:CT256)</f>
        <v>0</v>
      </c>
      <c r="CU257" s="32" t="n">
        <f aca="false">SUM(CU249:CU256)</f>
        <v>0</v>
      </c>
      <c r="CV257" s="32" t="n">
        <f aca="false">SUM(CV249:CV256)</f>
        <v>0</v>
      </c>
      <c r="CW257" s="32" t="n">
        <f aca="false">SUM(CW249:CW256)</f>
        <v>0</v>
      </c>
      <c r="CX257" s="32" t="n">
        <f aca="false">SUM(CX249:CX256)</f>
        <v>0</v>
      </c>
      <c r="CY257" s="32" t="n">
        <f aca="false">SUM(CY249:CY256)</f>
        <v>0</v>
      </c>
      <c r="CZ257" s="32" t="n">
        <f aca="false">SUM(CZ249:CZ256)</f>
        <v>0</v>
      </c>
      <c r="DA257" s="32" t="n">
        <f aca="false">SUM(DA249:DA256)</f>
        <v>0</v>
      </c>
      <c r="DB257" s="32" t="n">
        <f aca="false">SUM(DB249:DB256)</f>
        <v>0</v>
      </c>
      <c r="DC257" s="32" t="n">
        <f aca="false">SUM(DC249:DC256)</f>
        <v>0</v>
      </c>
      <c r="DD257" s="32" t="n">
        <f aca="false">SUM(DD249:DD256)</f>
        <v>0</v>
      </c>
      <c r="DE257" s="32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47" t="s">
        <v>170</v>
      </c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</row>
    <row r="260" customFormat="false" ht="15" hidden="false" customHeight="true" outlineLevel="0" collapsed="false">
      <c r="A260" s="68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  <c r="CS260" s="69"/>
      <c r="CT260" s="69"/>
      <c r="CU260" s="69"/>
      <c r="CV260" s="69"/>
      <c r="CW260" s="69"/>
      <c r="CX260" s="69"/>
      <c r="CY260" s="69"/>
      <c r="CZ260" s="69"/>
      <c r="DA260" s="69"/>
      <c r="DB260" s="69"/>
      <c r="DC260" s="69"/>
      <c r="DD260" s="69"/>
      <c r="DE260" s="69"/>
    </row>
    <row r="261" customFormat="false" ht="15" hidden="false" customHeight="true" outlineLevel="0" collapsed="false">
      <c r="A261" s="23" t="s">
        <v>171</v>
      </c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859674.49242477</v>
      </c>
      <c r="M262" s="13" t="n">
        <f aca="false">L270</f>
        <v>1214190.37377345</v>
      </c>
      <c r="N262" s="13" t="n">
        <f aca="false">M270</f>
        <v>1440326.78747725</v>
      </c>
      <c r="O262" s="13" t="n">
        <f aca="false">N270</f>
        <v>1599321.61887604</v>
      </c>
      <c r="P262" s="13" t="n">
        <f aca="false">O270</f>
        <v>1738073.15859151</v>
      </c>
      <c r="Q262" s="13" t="n">
        <f aca="false">P270</f>
        <v>1853083.54712428</v>
      </c>
      <c r="R262" s="13" t="n">
        <f aca="false">Q270</f>
        <v>1881252.28156571</v>
      </c>
      <c r="S262" s="13" t="n">
        <f aca="false">R270</f>
        <v>1375580.84475596</v>
      </c>
      <c r="T262" s="13" t="n">
        <f aca="false">S270</f>
        <v>1913969.6144938</v>
      </c>
      <c r="U262" s="13" t="n">
        <f aca="false">T270</f>
        <v>2462448.82573648</v>
      </c>
      <c r="V262" s="13" t="n">
        <f aca="false">U270</f>
        <v>2801383.39968311</v>
      </c>
      <c r="W262" s="13" t="n">
        <f aca="false">V270</f>
        <v>3087900.08102351</v>
      </c>
      <c r="X262" s="13" t="n">
        <f aca="false">W270</f>
        <v>3401866.29025609</v>
      </c>
      <c r="Y262" s="13" t="n">
        <f aca="false">X270</f>
        <v>3683699.25323248</v>
      </c>
      <c r="Z262" s="13" t="n">
        <f aca="false">Y270</f>
        <v>3954552.57378385</v>
      </c>
      <c r="AA262" s="13" t="n">
        <f aca="false">Z270</f>
        <v>4225405.89433523</v>
      </c>
      <c r="AB262" s="13" t="n">
        <f aca="false">AA270</f>
        <v>4570565.06527729</v>
      </c>
      <c r="AC262" s="13" t="n">
        <f aca="false">AB270</f>
        <v>4923545.90468152</v>
      </c>
      <c r="AD262" s="13" t="n">
        <f aca="false">AC270</f>
        <v>5111603.02455221</v>
      </c>
      <c r="AE262" s="13" t="n">
        <f aca="false">AD270</f>
        <v>5299660.14442289</v>
      </c>
      <c r="AF262" s="13" t="n">
        <f aca="false">AE270</f>
        <v>5479834.28225014</v>
      </c>
      <c r="AG262" s="13" t="n">
        <f aca="false">AF270</f>
        <v>5093962.00094594</v>
      </c>
      <c r="AH262" s="13" t="n">
        <f aca="false">AG270</f>
        <v>5553392.10273111</v>
      </c>
      <c r="AI262" s="13" t="n">
        <f aca="false">AH270</f>
        <v>6024288.52445672</v>
      </c>
      <c r="AJ262" s="13" t="n">
        <f aca="false">AI270</f>
        <v>6353444.28956203</v>
      </c>
      <c r="AK262" s="13" t="n">
        <f aca="false">AJ270</f>
        <v>6756538.89310958</v>
      </c>
      <c r="AL262" s="13" t="n">
        <f aca="false">AK270</f>
        <v>7087521.32858555</v>
      </c>
      <c r="AM262" s="13" t="n">
        <f aca="false">AL270</f>
        <v>7620066.55328747</v>
      </c>
      <c r="AN262" s="13" t="n">
        <f aca="false">AM270</f>
        <v>7958663.22350453</v>
      </c>
      <c r="AO262" s="13" t="n">
        <f aca="false">AN270</f>
        <v>7735544.17806067</v>
      </c>
      <c r="AP262" s="13" t="n">
        <f aca="false">AO270</f>
        <v>7503764.97532102</v>
      </c>
      <c r="AQ262" s="13" t="n">
        <f aca="false">AP270</f>
        <v>7271985.77258136</v>
      </c>
      <c r="AR262" s="13" t="n">
        <f aca="false">AQ270</f>
        <v>7040206.5698417</v>
      </c>
      <c r="AS262" s="13" t="n">
        <f aca="false">AR270</f>
        <v>6808427.36710204</v>
      </c>
      <c r="AT262" s="13" t="n">
        <f aca="false">AS270</f>
        <v>6576648.16436238</v>
      </c>
      <c r="AU262" s="13" t="n">
        <f aca="false">AT270</f>
        <v>6603730.26770855</v>
      </c>
      <c r="AV262" s="13" t="n">
        <f aca="false">AU270</f>
        <v>6653065.36052525</v>
      </c>
      <c r="AW262" s="13" t="n">
        <f aca="false">AV270</f>
        <v>6257340.66393124</v>
      </c>
      <c r="AX262" s="13" t="n">
        <f aca="false">AW270</f>
        <v>5861615.96733723</v>
      </c>
      <c r="AY262" s="13" t="n">
        <f aca="false">AX270</f>
        <v>5465891.27074321</v>
      </c>
      <c r="AZ262" s="13" t="n">
        <f aca="false">AY270</f>
        <v>5070166.5741492</v>
      </c>
      <c r="BA262" s="13" t="n">
        <f aca="false">AZ270</f>
        <v>4674441.87755518</v>
      </c>
      <c r="BB262" s="13" t="n">
        <f aca="false">BA270</f>
        <v>4269883.82051945</v>
      </c>
      <c r="BC262" s="13" t="n">
        <f aca="false">BB270</f>
        <v>3865325.76348372</v>
      </c>
      <c r="BD262" s="13" t="n">
        <f aca="false">BC270</f>
        <v>3460767.70644799</v>
      </c>
      <c r="BE262" s="13" t="n">
        <f aca="false">BD270</f>
        <v>3056209.64941226</v>
      </c>
      <c r="BF262" s="13" t="n">
        <f aca="false">BE270</f>
        <v>2651651.59237653</v>
      </c>
      <c r="BG262" s="13" t="n">
        <f aca="false">BF270</f>
        <v>2247093.5353408</v>
      </c>
      <c r="BH262" s="13" t="n">
        <f aca="false">BG270</f>
        <v>1842535.47830507</v>
      </c>
      <c r="BI262" s="13" t="n">
        <f aca="false">BH270</f>
        <v>1674466.88257216</v>
      </c>
      <c r="BJ262" s="13" t="n">
        <f aca="false">BI270</f>
        <v>1526728.08263546</v>
      </c>
      <c r="BK262" s="13" t="n">
        <f aca="false">BJ270</f>
        <v>972393.366774611</v>
      </c>
      <c r="BL262" s="13" t="n">
        <f aca="false">BK270</f>
        <v>418058.650913762</v>
      </c>
      <c r="BM262" s="13" t="n">
        <f aca="false">BL270</f>
        <v>-136276.064947087</v>
      </c>
      <c r="BN262" s="13" t="n">
        <f aca="false">BM270</f>
        <v>-699620.808458487</v>
      </c>
      <c r="BO262" s="13" t="n">
        <f aca="false">BN270</f>
        <v>-1262965.55196989</v>
      </c>
      <c r="BP262" s="13" t="n">
        <f aca="false">BO270</f>
        <v>-1826310.29548129</v>
      </c>
      <c r="BQ262" s="13" t="n">
        <f aca="false">BP270</f>
        <v>-2389655.03899269</v>
      </c>
      <c r="BR262" s="13" t="n">
        <f aca="false">BQ270</f>
        <v>-2952999.78250409</v>
      </c>
      <c r="BS262" s="13" t="n">
        <f aca="false">BR270</f>
        <v>-3516344.52601549</v>
      </c>
      <c r="BT262" s="13" t="n">
        <f aca="false">BS270</f>
        <v>-4079689.26952689</v>
      </c>
      <c r="BU262" s="13" t="n">
        <f aca="false">BT270</f>
        <v>-4643034.01303828</v>
      </c>
      <c r="BV262" s="13" t="n">
        <f aca="false">BU270</f>
        <v>-5206378.75654968</v>
      </c>
      <c r="BW262" s="13" t="n">
        <f aca="false">BV270</f>
        <v>-5769723.50006108</v>
      </c>
      <c r="BX262" s="13" t="n">
        <f aca="false">BW270</f>
        <v>-6333068.24357248</v>
      </c>
      <c r="BY262" s="13" t="n">
        <f aca="false">BX270</f>
        <v>-6896412.98708388</v>
      </c>
      <c r="BZ262" s="13" t="n">
        <f aca="false">BY270</f>
        <v>-7468947.95879884</v>
      </c>
      <c r="CA262" s="13" t="n">
        <f aca="false">BZ270</f>
        <v>-8041482.9305138</v>
      </c>
      <c r="CB262" s="13" t="n">
        <f aca="false">CA270</f>
        <v>-8614017.90222876</v>
      </c>
      <c r="CC262" s="13" t="n">
        <f aca="false">CB270</f>
        <v>-9186552.87394372</v>
      </c>
      <c r="CD262" s="13" t="n">
        <f aca="false">CC270</f>
        <v>-9759087.84565868</v>
      </c>
      <c r="CE262" s="13" t="n">
        <f aca="false">CD270</f>
        <v>-10331622.8173736</v>
      </c>
      <c r="CF262" s="13" t="n">
        <f aca="false">CE270</f>
        <v>-10904157.7890886</v>
      </c>
      <c r="CG262" s="13" t="n">
        <f aca="false">CF270</f>
        <v>-11476692.7608036</v>
      </c>
      <c r="CH262" s="13" t="n">
        <f aca="false">CG270</f>
        <v>-12049227.7325185</v>
      </c>
      <c r="CI262" s="13" t="n">
        <f aca="false">CH270</f>
        <v>-12621762.7042335</v>
      </c>
      <c r="CJ262" s="13" t="n">
        <f aca="false">CI270</f>
        <v>-13194297.6759484</v>
      </c>
      <c r="CK262" s="13" t="n">
        <f aca="false">CJ270</f>
        <v>-13766832.6476634</v>
      </c>
      <c r="CL262" s="13" t="n">
        <f aca="false">CK270</f>
        <v>-14348741.652146</v>
      </c>
      <c r="CM262" s="13" t="n">
        <f aca="false">CL270</f>
        <v>-14930650.6566286</v>
      </c>
      <c r="CN262" s="13" t="n">
        <f aca="false">CM270</f>
        <v>-15512559.6611112</v>
      </c>
      <c r="CO262" s="13" t="n">
        <f aca="false">CN270</f>
        <v>-16094468.6655938</v>
      </c>
      <c r="CP262" s="13" t="n">
        <f aca="false">CO270</f>
        <v>-16676377.6700764</v>
      </c>
      <c r="CQ262" s="13" t="n">
        <f aca="false">CP270</f>
        <v>-17258286.674559</v>
      </c>
      <c r="CR262" s="13" t="n">
        <f aca="false">CQ270</f>
        <v>-17840195.6790416</v>
      </c>
      <c r="CS262" s="13" t="n">
        <f aca="false">CR270</f>
        <v>-18422104.6835242</v>
      </c>
      <c r="CT262" s="13" t="n">
        <f aca="false">CS270</f>
        <v>-19004013.6880067</v>
      </c>
      <c r="CU262" s="13" t="n">
        <f aca="false">CT270</f>
        <v>-19530784.5838946</v>
      </c>
      <c r="CV262" s="13" t="n">
        <f aca="false">CU270</f>
        <v>-20057555.4797825</v>
      </c>
      <c r="CW262" s="13" t="n">
        <f aca="false">CV270</f>
        <v>-20584326.3756703</v>
      </c>
      <c r="CX262" s="13" t="n">
        <f aca="false">CW270</f>
        <v>-21119556.0228093</v>
      </c>
      <c r="CY262" s="13" t="n">
        <f aca="false">CX270</f>
        <v>-21654785.6699482</v>
      </c>
      <c r="CZ262" s="13" t="n">
        <f aca="false">CY270</f>
        <v>-22190015.3170872</v>
      </c>
      <c r="DA262" s="13" t="n">
        <f aca="false">CZ270</f>
        <v>-22725244.9642261</v>
      </c>
      <c r="DB262" s="13" t="n">
        <f aca="false">DA270</f>
        <v>-23260474.6113651</v>
      </c>
      <c r="DC262" s="13" t="n">
        <f aca="false">DB270</f>
        <v>-23795704.258504</v>
      </c>
      <c r="DD262" s="13" t="n">
        <f aca="false">DC270</f>
        <v>-24330933.905643</v>
      </c>
      <c r="DE262" s="13" t="n">
        <f aca="false">DD270</f>
        <v>-24866163.5527819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321601.251326644</v>
      </c>
      <c r="L263" s="13" t="n">
        <f aca="false">L145</f>
        <v>297694.897526589</v>
      </c>
      <c r="M263" s="13" t="n">
        <f aca="false">M145</f>
        <v>177681.224394201</v>
      </c>
      <c r="N263" s="13" t="n">
        <f aca="false">N145</f>
        <v>175231.158619115</v>
      </c>
      <c r="O263" s="13" t="n">
        <f aca="false">O145</f>
        <v>149634.484101372</v>
      </c>
      <c r="P263" s="13" t="n">
        <f aca="false">P145</f>
        <v>121707.859459166</v>
      </c>
      <c r="Q263" s="13" t="n">
        <f aca="false">Q145</f>
        <v>-482207.261082098</v>
      </c>
      <c r="R263" s="13" t="n">
        <f aca="false">R145</f>
        <v>373378.285679716</v>
      </c>
      <c r="S263" s="13" t="n">
        <f aca="false">S145</f>
        <v>456958.108294812</v>
      </c>
      <c r="T263" s="13" t="n">
        <f aca="false">T145</f>
        <v>381822.969794503</v>
      </c>
      <c r="U263" s="13" t="n">
        <f aca="false">U145</f>
        <v>329264.634713942</v>
      </c>
      <c r="V263" s="13" t="n">
        <f aca="false">V145</f>
        <v>326481.734056306</v>
      </c>
      <c r="W263" s="13" t="n">
        <f aca="false">W145</f>
        <v>323896.340259802</v>
      </c>
      <c r="X263" s="13" t="n">
        <f aca="false">X145</f>
        <v>312916.697834776</v>
      </c>
      <c r="Y263" s="13" t="n">
        <f aca="false">Y145</f>
        <v>312916.697834777</v>
      </c>
      <c r="Z263" s="13" t="n">
        <f aca="false">Z145</f>
        <v>312916.697834777</v>
      </c>
      <c r="AA263" s="13" t="n">
        <f aca="false">AA145</f>
        <v>391133.382456554</v>
      </c>
      <c r="AB263" s="13" t="n">
        <f aca="false">AB145</f>
        <v>234700.013213</v>
      </c>
      <c r="AC263" s="13" t="n">
        <f aca="false">AC145</f>
        <v>226209.662923</v>
      </c>
      <c r="AD263" s="13" t="n">
        <f aca="false">AD145</f>
        <v>226209.662922999</v>
      </c>
      <c r="AE263" s="13" t="n">
        <f aca="false">AE145</f>
        <v>-339836.756208454</v>
      </c>
      <c r="AF263" s="13" t="n">
        <f aca="false">AF145</f>
        <v>383869.303791546</v>
      </c>
      <c r="AG263" s="13" t="n">
        <f aca="false">AG145</f>
        <v>511865.433359296</v>
      </c>
      <c r="AH263" s="13" t="n">
        <f aca="false">AH145</f>
        <v>282539.03455041</v>
      </c>
      <c r="AI263" s="13" t="n">
        <f aca="false">AI145</f>
        <v>374734.55264366</v>
      </c>
      <c r="AJ263" s="13" t="n">
        <f aca="false">AJ145</f>
        <v>258469.081333911</v>
      </c>
      <c r="AK263" s="13" t="n">
        <f aca="false">AK145</f>
        <v>233235.121714361</v>
      </c>
      <c r="AL263" s="13" t="n">
        <f aca="false">AL145</f>
        <v>355108.362463351</v>
      </c>
      <c r="AM263" s="13" t="n">
        <f aca="false">AM145</f>
        <v>-206607.35319757</v>
      </c>
      <c r="AN263" s="13" t="n">
        <f aca="false">AN145</f>
        <v>-206607.35319757</v>
      </c>
      <c r="AO263" s="13" t="n">
        <f aca="false">AO145</f>
        <v>-215267.51049337</v>
      </c>
      <c r="AP263" s="13" t="n">
        <f aca="false">AP145</f>
        <v>-215267.51049337</v>
      </c>
      <c r="AQ263" s="13" t="n">
        <f aca="false">AQ145</f>
        <v>-215267.51049337</v>
      </c>
      <c r="AR263" s="13" t="n">
        <f aca="false">AR145</f>
        <v>-215267.51049337</v>
      </c>
      <c r="AS263" s="13" t="n">
        <f aca="false">AS145</f>
        <v>-215267.51049337</v>
      </c>
      <c r="AT263" s="13" t="n">
        <f aca="false">AT145</f>
        <v>57218.0748601297</v>
      </c>
      <c r="AU263" s="13" t="n">
        <f aca="false">AU145</f>
        <v>-387841.714550587</v>
      </c>
      <c r="AV263" s="13" t="n">
        <f aca="false">AV145</f>
        <v>-387841.714550587</v>
      </c>
      <c r="AW263" s="13" t="n">
        <f aca="false">AW145</f>
        <v>-387841.714550587</v>
      </c>
      <c r="AX263" s="13" t="n">
        <f aca="false">AX145</f>
        <v>-387841.714550587</v>
      </c>
      <c r="AY263" s="13" t="n">
        <f aca="false">AY145</f>
        <v>-387841.714550587</v>
      </c>
      <c r="AZ263" s="13" t="n">
        <f aca="false">AZ145</f>
        <v>-387841.714550587</v>
      </c>
      <c r="BA263" s="13" t="n">
        <f aca="false">BA145</f>
        <v>-396675.074992303</v>
      </c>
      <c r="BB263" s="13" t="n">
        <f aca="false">BB145</f>
        <v>-396675.074992303</v>
      </c>
      <c r="BC263" s="13" t="n">
        <f aca="false">BC145</f>
        <v>-396675.074992303</v>
      </c>
      <c r="BD263" s="13" t="n">
        <f aca="false">BD145</f>
        <v>-396675.074992303</v>
      </c>
      <c r="BE263" s="13" t="n">
        <f aca="false">BE145</f>
        <v>-396675.074992303</v>
      </c>
      <c r="BF263" s="13" t="n">
        <f aca="false">BF145</f>
        <v>-396675.074992303</v>
      </c>
      <c r="BG263" s="13" t="n">
        <f aca="false">BG145</f>
        <v>-396675.074992303</v>
      </c>
      <c r="BH263" s="13" t="n">
        <f aca="false">BH145</f>
        <v>-147738.799936703</v>
      </c>
      <c r="BI263" s="13" t="n">
        <f aca="false">BI145</f>
        <v>-554334.715860849</v>
      </c>
      <c r="BJ263" s="13" t="n">
        <f aca="false">BJ145</f>
        <v>-554334.715860849</v>
      </c>
      <c r="BK263" s="13" t="n">
        <f aca="false">BK145</f>
        <v>-554334.715860849</v>
      </c>
      <c r="BL263" s="13" t="n">
        <f aca="false">BL145</f>
        <v>-554334.715860849</v>
      </c>
      <c r="BM263" s="13" t="n">
        <f aca="false">BM145</f>
        <v>-563344.7435114</v>
      </c>
      <c r="BN263" s="13" t="n">
        <f aca="false">BN145</f>
        <v>-563344.7435114</v>
      </c>
      <c r="BO263" s="13" t="n">
        <f aca="false">BO145</f>
        <v>-563344.7435114</v>
      </c>
      <c r="BP263" s="13" t="n">
        <f aca="false">BP145</f>
        <v>-563344.7435114</v>
      </c>
      <c r="BQ263" s="13" t="n">
        <f aca="false">BQ145</f>
        <v>-563344.7435114</v>
      </c>
      <c r="BR263" s="13" t="n">
        <f aca="false">BR145</f>
        <v>-563344.7435114</v>
      </c>
      <c r="BS263" s="13" t="n">
        <f aca="false">BS145</f>
        <v>-563344.7435114</v>
      </c>
      <c r="BT263" s="13" t="n">
        <f aca="false">BT145</f>
        <v>-563344.7435114</v>
      </c>
      <c r="BU263" s="13" t="n">
        <f aca="false">BU145</f>
        <v>-563344.7435114</v>
      </c>
      <c r="BV263" s="13" t="n">
        <f aca="false">BV145</f>
        <v>-563344.7435114</v>
      </c>
      <c r="BW263" s="13" t="n">
        <f aca="false">BW145</f>
        <v>-563344.7435114</v>
      </c>
      <c r="BX263" s="13" t="n">
        <f aca="false">BX145</f>
        <v>-563344.7435114</v>
      </c>
      <c r="BY263" s="13" t="n">
        <f aca="false">BY145</f>
        <v>-572534.971714961</v>
      </c>
      <c r="BZ263" s="13" t="n">
        <f aca="false">BZ145</f>
        <v>-572534.971714961</v>
      </c>
      <c r="CA263" s="13" t="n">
        <f aca="false">CA145</f>
        <v>-572534.971714961</v>
      </c>
      <c r="CB263" s="13" t="n">
        <f aca="false">CB145</f>
        <v>-572534.971714961</v>
      </c>
      <c r="CC263" s="13" t="n">
        <f aca="false">CC145</f>
        <v>-572534.971714961</v>
      </c>
      <c r="CD263" s="13" t="n">
        <f aca="false">CD145</f>
        <v>-572534.971714961</v>
      </c>
      <c r="CE263" s="13" t="n">
        <f aca="false">CE145</f>
        <v>-572534.971714961</v>
      </c>
      <c r="CF263" s="13" t="n">
        <f aca="false">CF145</f>
        <v>-572534.971714961</v>
      </c>
      <c r="CG263" s="13" t="n">
        <f aca="false">CG145</f>
        <v>-572534.971714961</v>
      </c>
      <c r="CH263" s="13" t="n">
        <f aca="false">CH145</f>
        <v>-572534.971714961</v>
      </c>
      <c r="CI263" s="13" t="n">
        <f aca="false">CI145</f>
        <v>-572534.971714961</v>
      </c>
      <c r="CJ263" s="13" t="n">
        <f aca="false">CJ145</f>
        <v>-572534.971714961</v>
      </c>
      <c r="CK263" s="13" t="n">
        <f aca="false">CK145</f>
        <v>-581909.004482593</v>
      </c>
      <c r="CL263" s="13" t="n">
        <f aca="false">CL145</f>
        <v>-581909.004482593</v>
      </c>
      <c r="CM263" s="13" t="n">
        <f aca="false">CM145</f>
        <v>-581909.004482593</v>
      </c>
      <c r="CN263" s="13" t="n">
        <f aca="false">CN145</f>
        <v>-581909.004482593</v>
      </c>
      <c r="CO263" s="13" t="n">
        <f aca="false">CO145</f>
        <v>-581909.004482593</v>
      </c>
      <c r="CP263" s="13" t="n">
        <f aca="false">CP145</f>
        <v>-581909.004482593</v>
      </c>
      <c r="CQ263" s="13" t="n">
        <f aca="false">CQ145</f>
        <v>-581909.004482593</v>
      </c>
      <c r="CR263" s="13" t="n">
        <f aca="false">CR145</f>
        <v>-581909.004482593</v>
      </c>
      <c r="CS263" s="13" t="n">
        <f aca="false">CS145</f>
        <v>-581909.004482593</v>
      </c>
      <c r="CT263" s="13" t="n">
        <f aca="false">CT145</f>
        <v>-526770.895887858</v>
      </c>
      <c r="CU263" s="13" t="n">
        <f aca="false">CU145</f>
        <v>-526770.895887858</v>
      </c>
      <c r="CV263" s="13" t="n">
        <f aca="false">CV145</f>
        <v>-526770.895887858</v>
      </c>
      <c r="CW263" s="13" t="n">
        <f aca="false">CW145</f>
        <v>-535229.647138948</v>
      </c>
      <c r="CX263" s="13" t="n">
        <f aca="false">CX145</f>
        <v>-535229.647138948</v>
      </c>
      <c r="CY263" s="13" t="n">
        <f aca="false">CY145</f>
        <v>-535229.647138948</v>
      </c>
      <c r="CZ263" s="13" t="n">
        <f aca="false">CZ145</f>
        <v>-535229.647138948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-353768.233274096</v>
      </c>
      <c r="L266" s="13" t="n">
        <f aca="false">K107-L107</f>
        <v>23906.3538000546</v>
      </c>
      <c r="M266" s="13" t="n">
        <f aca="false">L107-M107</f>
        <v>88109.5064657219</v>
      </c>
      <c r="N266" s="13" t="n">
        <f aca="false">M107-N107</f>
        <v>21950.0657750852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556324.581041264</v>
      </c>
      <c r="R266" s="13" t="n">
        <f aca="false">Q107-R107</f>
        <v>-831585.546761814</v>
      </c>
      <c r="S266" s="13" t="n">
        <f aca="false">R107-S107</f>
        <v>-83579.8226150964</v>
      </c>
      <c r="T266" s="13" t="n">
        <f aca="false">S107-T107</f>
        <v>75135.1385003096</v>
      </c>
      <c r="U266" s="13" t="n">
        <f aca="false">T107-U107</f>
        <v>52558.3350805603</v>
      </c>
      <c r="V266" s="13" t="n">
        <f aca="false">U107-V107</f>
        <v>2782.90065763611</v>
      </c>
      <c r="W266" s="13" t="n">
        <f aca="false">V107-W107</f>
        <v>2585.39379650448</v>
      </c>
      <c r="X266" s="13" t="n">
        <f aca="false">W107-X107</f>
        <v>10979.6424250258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156433.369243555</v>
      </c>
      <c r="AC266" s="13" t="n">
        <f aca="false">AB107-AC107</f>
        <v>0</v>
      </c>
      <c r="AD266" s="13" t="n">
        <f aca="false">AC107-AD107</f>
        <v>0</v>
      </c>
      <c r="AE266" s="13" t="n">
        <f aca="false">AD107-AE107</f>
        <v>566046.419131453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-92195.5180932498</v>
      </c>
      <c r="AJ266" s="13" t="n">
        <f aca="false">AI107-AJ107</f>
        <v>116265.471309749</v>
      </c>
      <c r="AK266" s="13" t="n">
        <f aca="false">AJ107-AK107</f>
        <v>25233.95961955</v>
      </c>
      <c r="AL266" s="13" t="n">
        <f aca="false">AK107-AL107</f>
        <v>-121873.24074899</v>
      </c>
      <c r="AM266" s="13" t="n">
        <f aca="false">AL107-AM107</f>
        <v>561715.71566092</v>
      </c>
      <c r="AN266" s="13" t="n">
        <f aca="false">AM107-AN107</f>
        <v>0</v>
      </c>
      <c r="AO266" s="13" t="n">
        <f aca="false">AN107-AO107</f>
        <v>0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0</v>
      </c>
      <c r="AS266" s="13" t="n">
        <f aca="false">AR107-AS107</f>
        <v>0</v>
      </c>
      <c r="AT266" s="13" t="n">
        <f aca="false">AS107-AT107</f>
        <v>-272485.5853535</v>
      </c>
      <c r="AU266" s="13" t="n">
        <f aca="false">AT107-AU107</f>
        <v>445059.789410716</v>
      </c>
      <c r="AV266" s="13" t="n">
        <f aca="false">AU107-AV107</f>
        <v>0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0</v>
      </c>
      <c r="BA266" s="13" t="n">
        <f aca="false">AZ107-BA107</f>
        <v>0</v>
      </c>
      <c r="BB266" s="13" t="n">
        <f aca="false">BA107-BB107</f>
        <v>0</v>
      </c>
      <c r="BC266" s="13" t="n">
        <f aca="false">BB107-BC107</f>
        <v>0</v>
      </c>
      <c r="BD266" s="13" t="n">
        <f aca="false">BC107-BD107</f>
        <v>0</v>
      </c>
      <c r="BE266" s="13" t="n">
        <f aca="false">BD107-BE107</f>
        <v>0</v>
      </c>
      <c r="BF266" s="13" t="n">
        <f aca="false">BE107-BF107</f>
        <v>0</v>
      </c>
      <c r="BG266" s="13" t="n">
        <f aca="false">BF107-BG107</f>
        <v>0</v>
      </c>
      <c r="BH266" s="13" t="n">
        <f aca="false">BG107-BH107</f>
        <v>-248936.2750556</v>
      </c>
      <c r="BI266" s="13" t="n">
        <f aca="false">BH107-BI107</f>
        <v>406595.915924147</v>
      </c>
      <c r="BJ266" s="13" t="n">
        <f aca="false">BI107-BJ107</f>
        <v>0</v>
      </c>
      <c r="BK266" s="13" t="n">
        <f aca="false">BJ107-BK107</f>
        <v>0</v>
      </c>
      <c r="BL266" s="13" t="n">
        <f aca="false">BK107-BL107</f>
        <v>0</v>
      </c>
      <c r="BM266" s="13" t="n">
        <f aca="false">BL107-BM107</f>
        <v>0</v>
      </c>
      <c r="BN266" s="13" t="n">
        <f aca="false">BM107-BN107</f>
        <v>0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0</v>
      </c>
      <c r="BS266" s="13" t="n">
        <f aca="false">BR107-BS107</f>
        <v>0</v>
      </c>
      <c r="BT266" s="13" t="n">
        <f aca="false">BS107-BT107</f>
        <v>0</v>
      </c>
      <c r="BU266" s="13" t="n">
        <f aca="false">BT107-BU107</f>
        <v>0</v>
      </c>
      <c r="BV266" s="13" t="n">
        <f aca="false">BU107-BV107</f>
        <v>0</v>
      </c>
      <c r="BW266" s="13" t="n">
        <f aca="false">BV107-BW107</f>
        <v>0</v>
      </c>
      <c r="BX266" s="13" t="n">
        <f aca="false">BW107-BX107</f>
        <v>0</v>
      </c>
      <c r="BY266" s="13" t="n">
        <f aca="false">BX107-BY107</f>
        <v>0</v>
      </c>
      <c r="BZ266" s="13" t="n">
        <f aca="false">BY107-BZ107</f>
        <v>0</v>
      </c>
      <c r="CA266" s="13" t="n">
        <f aca="false">BZ107-CA107</f>
        <v>0</v>
      </c>
      <c r="CB266" s="13" t="n">
        <f aca="false">CA107-CB107</f>
        <v>0</v>
      </c>
      <c r="CC266" s="13" t="n">
        <f aca="false">CB107-CC107</f>
        <v>0</v>
      </c>
      <c r="CD266" s="13" t="n">
        <f aca="false">CC107-CD107</f>
        <v>0</v>
      </c>
      <c r="CE266" s="13" t="n">
        <f aca="false">CD107-CE107</f>
        <v>0</v>
      </c>
      <c r="CF266" s="13" t="n">
        <f aca="false">CE107-CF107</f>
        <v>0</v>
      </c>
      <c r="CG266" s="13" t="n">
        <f aca="false">CF107-CG107</f>
        <v>0</v>
      </c>
      <c r="CH266" s="13" t="n">
        <f aca="false">CG107-CH107</f>
        <v>0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0</v>
      </c>
      <c r="CM266" s="13" t="n">
        <f aca="false">CL107-CM107</f>
        <v>0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0</v>
      </c>
      <c r="CS266" s="13" t="n">
        <f aca="false">CR107-CS107</f>
        <v>0</v>
      </c>
      <c r="CT266" s="13" t="n">
        <f aca="false">CS107-CT107</f>
        <v>0</v>
      </c>
      <c r="CU266" s="13" t="n">
        <f aca="false">CT107-CU107</f>
        <v>0</v>
      </c>
      <c r="CV266" s="13" t="n">
        <f aca="false">CU107-CV107</f>
        <v>0</v>
      </c>
      <c r="CW266" s="13" t="n">
        <f aca="false">CV107-CW107</f>
        <v>0</v>
      </c>
      <c r="CX266" s="13" t="n">
        <f aca="false">CW107-CX107</f>
        <v>0</v>
      </c>
      <c r="CY266" s="13" t="n">
        <f aca="false">CX107-CY107</f>
        <v>0</v>
      </c>
      <c r="CZ266" s="13" t="n">
        <f aca="false">CY107-CZ107</f>
        <v>0</v>
      </c>
      <c r="DA266" s="13" t="n">
        <f aca="false">CZ107-DA107</f>
        <v>0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-45650.6857446271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-38186.3929954012</v>
      </c>
      <c r="O268" s="13" t="n">
        <f aca="false">-0.05*(O10+O11)</f>
        <v>-36479.61890365</v>
      </c>
      <c r="P268" s="13" t="n">
        <f aca="false">-0.05*(P10+P11)</f>
        <v>-34624.0955686046</v>
      </c>
      <c r="Q268" s="13" t="n">
        <f aca="false">-0.05*(Q10+Q11)</f>
        <v>-45948.585517733</v>
      </c>
      <c r="R268" s="13" t="n">
        <f aca="false">-0.05*(R10+R11)</f>
        <v>-47464.175727653</v>
      </c>
      <c r="S268" s="13" t="n">
        <f aca="false">-0.05*(S10+S11)</f>
        <v>-51217.4744418761</v>
      </c>
      <c r="T268" s="13" t="n">
        <f aca="false">-0.05*(T10+T11)</f>
        <v>-45931.6800521272</v>
      </c>
      <c r="U268" s="13" t="n">
        <f aca="false">-0.05*(U10+U11)</f>
        <v>-42888.3958478778</v>
      </c>
      <c r="V268" s="13" t="n">
        <f aca="false">-0.05*(V10+V11)</f>
        <v>-42747.9533735397</v>
      </c>
      <c r="W268" s="13" t="n">
        <f aca="false">-0.05*(W10+W11)</f>
        <v>-42617.4783237305</v>
      </c>
      <c r="X268" s="13" t="n">
        <f aca="false">-0.05*(X10+X11)</f>
        <v>-42063.3772834055</v>
      </c>
      <c r="Y268" s="13" t="n">
        <f aca="false">-0.05*(Y10+Y11)</f>
        <v>-42063.3772834055</v>
      </c>
      <c r="Z268" s="13" t="n">
        <f aca="false">-0.05*(Z10+Z11)</f>
        <v>-42063.3772834055</v>
      </c>
      <c r="AA268" s="13" t="n">
        <f aca="false">-0.05*(AA10+AA11)</f>
        <v>-45974.2115144944</v>
      </c>
      <c r="AB268" s="13" t="n">
        <f aca="false">-0.05*(AB10+AB11)</f>
        <v>-38152.5430523166</v>
      </c>
      <c r="AC268" s="13" t="n">
        <f aca="false">-0.05*(AC10+AC11)</f>
        <v>-38152.5430523166</v>
      </c>
      <c r="AD268" s="13" t="n">
        <f aca="false">-0.05*(AD10+AD11)</f>
        <v>-38152.5430523166</v>
      </c>
      <c r="AE268" s="13" t="n">
        <f aca="false">-0.05*(AE10+AE11)</f>
        <v>-46035.525095744</v>
      </c>
      <c r="AF268" s="13" t="n">
        <f aca="false">-0.05*(AF10+AF11)</f>
        <v>-46035.525095744</v>
      </c>
      <c r="AG268" s="13" t="n">
        <f aca="false">-0.05*(AG10+AG11)</f>
        <v>-52435.3315741315</v>
      </c>
      <c r="AH268" s="13" t="n">
        <f aca="false">-0.05*(AH10+AH11)</f>
        <v>-40969.0116336872</v>
      </c>
      <c r="AI268" s="13" t="n">
        <f aca="false">-0.05*(AI10+AI11)</f>
        <v>-45578.7875383497</v>
      </c>
      <c r="AJ268" s="13" t="n">
        <f aca="false">-0.05*(AJ10+AJ11)</f>
        <v>-39765.5139728622</v>
      </c>
      <c r="AK268" s="13" t="n">
        <f aca="false">-0.05*(AK10+AK11)</f>
        <v>-38503.8159918847</v>
      </c>
      <c r="AL268" s="13" t="n">
        <f aca="false">-0.05*(AL10+AL11)</f>
        <v>-44597.4780293342</v>
      </c>
      <c r="AM268" s="13" t="n">
        <f aca="false">-0.05*(AM10+AM11)</f>
        <v>-16511.6922462882</v>
      </c>
      <c r="AN268" s="13" t="n">
        <f aca="false">-0.05*(AN10+AN11)</f>
        <v>-16511.6922462882</v>
      </c>
      <c r="AO268" s="13" t="n">
        <f aca="false">-0.05*(AO10+AO11)</f>
        <v>-16511.6922462882</v>
      </c>
      <c r="AP268" s="13" t="n">
        <f aca="false">-0.05*(AP10+AP11)</f>
        <v>-16511.6922462882</v>
      </c>
      <c r="AQ268" s="13" t="n">
        <f aca="false">-0.05*(AQ10+AQ11)</f>
        <v>-16511.6922462882</v>
      </c>
      <c r="AR268" s="13" t="n">
        <f aca="false">-0.05*(AR10+AR11)</f>
        <v>-16511.6922462882</v>
      </c>
      <c r="AS268" s="13" t="n">
        <f aca="false">-0.05*(AS10+AS11)</f>
        <v>-16511.6922462882</v>
      </c>
      <c r="AT268" s="13" t="n">
        <f aca="false">-0.05*(AT10+AT11)</f>
        <v>-30135.9715139632</v>
      </c>
      <c r="AU268" s="13" t="n">
        <f aca="false">-0.05*(AU10+AU11)</f>
        <v>-7882.98204342733</v>
      </c>
      <c r="AV268" s="13" t="n">
        <f aca="false">-0.05*(AV10+AV11)</f>
        <v>-7882.98204342733</v>
      </c>
      <c r="AW268" s="13" t="n">
        <f aca="false">-0.05*(AW10+AW11)</f>
        <v>-7882.98204342733</v>
      </c>
      <c r="AX268" s="13" t="n">
        <f aca="false">-0.05*(AX10+AX11)</f>
        <v>-7882.98204342733</v>
      </c>
      <c r="AY268" s="13" t="n">
        <f aca="false">-0.05*(AY10+AY11)</f>
        <v>-7882.98204342733</v>
      </c>
      <c r="AZ268" s="13" t="n">
        <f aca="false">-0.05*(AZ10+AZ11)</f>
        <v>-7882.98204342733</v>
      </c>
      <c r="BA268" s="13" t="n">
        <f aca="false">-0.05*(BA10+BA11)</f>
        <v>-7882.98204342733</v>
      </c>
      <c r="BB268" s="13" t="n">
        <f aca="false">-0.05*(BB10+BB11)</f>
        <v>-7882.98204342733</v>
      </c>
      <c r="BC268" s="13" t="n">
        <f aca="false">-0.05*(BC10+BC11)</f>
        <v>-7882.98204342733</v>
      </c>
      <c r="BD268" s="13" t="n">
        <f aca="false">-0.05*(BD10+BD11)</f>
        <v>-7882.98204342733</v>
      </c>
      <c r="BE268" s="13" t="n">
        <f aca="false">-0.05*(BE10+BE11)</f>
        <v>-7882.98204342733</v>
      </c>
      <c r="BF268" s="13" t="n">
        <f aca="false">-0.05*(BF10+BF11)</f>
        <v>-7882.98204342733</v>
      </c>
      <c r="BG268" s="13" t="n">
        <f aca="false">-0.05*(BG10+BG11)</f>
        <v>-7882.98204342733</v>
      </c>
      <c r="BH268" s="13" t="n">
        <f aca="false">-0.05*(BH10+BH11)</f>
        <v>-20329.7957962073</v>
      </c>
      <c r="BI268" s="13" t="n">
        <f aca="false">-0.05*(BI10+BI11)</f>
        <v>-0</v>
      </c>
      <c r="BJ268" s="13" t="n">
        <f aca="false">-0.05*(BJ10+BJ11)</f>
        <v>-0</v>
      </c>
      <c r="BK268" s="13" t="n">
        <f aca="false">-0.05*(BK10+BK11)</f>
        <v>-0</v>
      </c>
      <c r="BL268" s="13" t="n">
        <f aca="false">-0.05*(BL10+BL11)</f>
        <v>-0</v>
      </c>
      <c r="BM268" s="13" t="n">
        <f aca="false">-0.05*(BM10+BM11)</f>
        <v>-0</v>
      </c>
      <c r="BN268" s="13" t="n">
        <f aca="false">-0.05*(BN10+BN11)</f>
        <v>-0</v>
      </c>
      <c r="BO268" s="13" t="n">
        <f aca="false">-0.05*(BO10+BO11)</f>
        <v>-0</v>
      </c>
      <c r="BP268" s="13" t="n">
        <f aca="false">-0.05*(BP10+BP11)</f>
        <v>-0</v>
      </c>
      <c r="BQ268" s="13" t="n">
        <f aca="false">-0.05*(BQ10+BQ11)</f>
        <v>-0</v>
      </c>
      <c r="BR268" s="13" t="n">
        <f aca="false">-0.05*(BR10+BR11)</f>
        <v>-0</v>
      </c>
      <c r="BS268" s="13" t="n">
        <f aca="false">-0.05*(BS10+BS11)</f>
        <v>-0</v>
      </c>
      <c r="BT268" s="13" t="n">
        <f aca="false">-0.05*(BT10+BT11)</f>
        <v>-0</v>
      </c>
      <c r="BU268" s="13" t="n">
        <f aca="false">-0.05*(BU10+BU11)</f>
        <v>-0</v>
      </c>
      <c r="BV268" s="13" t="n">
        <f aca="false">-0.05*(BV10+BV11)</f>
        <v>-0</v>
      </c>
      <c r="BW268" s="13" t="n">
        <f aca="false">-0.05*(BW10+BW11)</f>
        <v>-0</v>
      </c>
      <c r="BX268" s="13" t="n">
        <f aca="false">-0.05*(BX10+BX11)</f>
        <v>-0</v>
      </c>
      <c r="BY268" s="13" t="n">
        <f aca="false">-0.05*(BY10+BY11)</f>
        <v>-0</v>
      </c>
      <c r="BZ268" s="13" t="n">
        <f aca="false">-0.05*(BZ10+BZ11)</f>
        <v>-0</v>
      </c>
      <c r="CA268" s="13" t="n">
        <f aca="false">-0.05*(CA10+CA11)</f>
        <v>-0</v>
      </c>
      <c r="CB268" s="13" t="n">
        <f aca="false">-0.05*(CB10+CB11)</f>
        <v>-0</v>
      </c>
      <c r="CC268" s="13" t="n">
        <f aca="false">-0.05*(CC10+CC11)</f>
        <v>-0</v>
      </c>
      <c r="CD268" s="13" t="n">
        <f aca="false">-0.05*(CD10+CD11)</f>
        <v>-0</v>
      </c>
      <c r="CE268" s="13" t="n">
        <f aca="false">-0.05*(CE10+CE11)</f>
        <v>-0</v>
      </c>
      <c r="CF268" s="13" t="n">
        <f aca="false">-0.05*(CF10+CF11)</f>
        <v>-0</v>
      </c>
      <c r="CG268" s="13" t="n">
        <f aca="false">-0.05*(CG10+CG11)</f>
        <v>-0</v>
      </c>
      <c r="CH268" s="13" t="n">
        <f aca="false">-0.05*(CH10+CH11)</f>
        <v>-0</v>
      </c>
      <c r="CI268" s="13" t="n">
        <f aca="false">-0.05*(CI10+CI11)</f>
        <v>-0</v>
      </c>
      <c r="CJ268" s="13" t="n">
        <f aca="false">-0.05*(CJ10+CJ11)</f>
        <v>-0</v>
      </c>
      <c r="CK268" s="13" t="n">
        <f aca="false">-0.05*(CK10+CK11)</f>
        <v>-0</v>
      </c>
      <c r="CL268" s="13" t="n">
        <f aca="false">-0.05*(CL10+CL11)</f>
        <v>-0</v>
      </c>
      <c r="CM268" s="13" t="n">
        <f aca="false">-0.05*(CM10+CM11)</f>
        <v>-0</v>
      </c>
      <c r="CN268" s="13" t="n">
        <f aca="false">-0.05*(CN10+CN11)</f>
        <v>-0</v>
      </c>
      <c r="CO268" s="13" t="n">
        <f aca="false">-0.05*(CO10+CO11)</f>
        <v>-0</v>
      </c>
      <c r="CP268" s="13" t="n">
        <f aca="false">-0.05*(CP10+CP11)</f>
        <v>-0</v>
      </c>
      <c r="CQ268" s="13" t="n">
        <f aca="false">-0.05*(CQ10+CQ11)</f>
        <v>-0</v>
      </c>
      <c r="CR268" s="13" t="n">
        <f aca="false">-0.05*(CR10+CR11)</f>
        <v>-0</v>
      </c>
      <c r="CS268" s="13" t="n">
        <f aca="false">-0.05*(CS10+CS11)</f>
        <v>-0</v>
      </c>
      <c r="CT268" s="13" t="n">
        <f aca="false">-0.05*(CT10+CT11)</f>
        <v>-0</v>
      </c>
      <c r="CU268" s="13" t="n">
        <f aca="false">-0.05*(CU10+CU11)</f>
        <v>-0</v>
      </c>
      <c r="CV268" s="13" t="n">
        <f aca="false">-0.05*(CV10+CV11)</f>
        <v>-0</v>
      </c>
      <c r="CW268" s="13" t="n">
        <f aca="false">-0.05*(CW10+CW11)</f>
        <v>-0</v>
      </c>
      <c r="CX268" s="13" t="n">
        <f aca="false">-0.05*(CX10+CX11)</f>
        <v>-0</v>
      </c>
      <c r="CY268" s="13" t="n">
        <f aca="false">-0.05*(CY10+CY11)</f>
        <v>-0</v>
      </c>
      <c r="CZ268" s="13" t="n">
        <f aca="false">-0.05*(CZ10+CZ11)</f>
        <v>-0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92195.51809325</v>
      </c>
      <c r="AJ269" s="13" t="n">
        <f aca="false">SUMIFS(Retention!$E$2:$E$44,Retention!$F$2:$F$44,AJ$3)</f>
        <v>68125.56487675</v>
      </c>
      <c r="AK269" s="13" t="n">
        <f aca="false">SUMIFS(Retention!$E$2:$E$44,Retention!$F$2:$F$44,AK$3)</f>
        <v>111017.17013395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272485.5853535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0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0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0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0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0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0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0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0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0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0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0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0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0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0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0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0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0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0" t="s">
        <v>180</v>
      </c>
      <c r="B270" s="71"/>
      <c r="C270" s="71"/>
      <c r="D270" s="71"/>
      <c r="E270" s="71"/>
      <c r="F270" s="71"/>
      <c r="G270" s="71"/>
      <c r="H270" s="71" t="n">
        <f aca="false">SUM(H262:H269)</f>
        <v>785857.319849618</v>
      </c>
      <c r="I270" s="71" t="n">
        <f aca="false">SUM(I262:I269)</f>
        <v>719843.782208546</v>
      </c>
      <c r="J270" s="71" t="n">
        <f aca="false">SUM(J262:J269)</f>
        <v>937492.16011685</v>
      </c>
      <c r="K270" s="71" t="n">
        <f aca="false">SUM(K262:K269)</f>
        <v>859674.49242477</v>
      </c>
      <c r="L270" s="71" t="n">
        <f aca="false">SUM(L262:L269)</f>
        <v>1214190.37377345</v>
      </c>
      <c r="M270" s="71" t="n">
        <f aca="false">SUM(M262:M269)</f>
        <v>1440326.78747725</v>
      </c>
      <c r="N270" s="71" t="n">
        <f aca="false">SUM(N262:N269)</f>
        <v>1599321.61887604</v>
      </c>
      <c r="O270" s="71" t="n">
        <f aca="false">SUM(O262:O269)</f>
        <v>1738073.15859151</v>
      </c>
      <c r="P270" s="71" t="n">
        <f aca="false">SUM(P262:P269)</f>
        <v>1853083.54712428</v>
      </c>
      <c r="Q270" s="71" t="n">
        <f aca="false">SUM(Q262:Q269)</f>
        <v>1881252.28156571</v>
      </c>
      <c r="R270" s="71" t="n">
        <f aca="false">SUM(R262:R269)</f>
        <v>1375580.84475596</v>
      </c>
      <c r="S270" s="71" t="n">
        <f aca="false">SUM(S262:S269)</f>
        <v>1913969.6144938</v>
      </c>
      <c r="T270" s="71" t="n">
        <f aca="false">SUM(T262:T269)</f>
        <v>2462448.82573648</v>
      </c>
      <c r="U270" s="71" t="n">
        <f aca="false">SUM(U262:U269)</f>
        <v>2801383.39968311</v>
      </c>
      <c r="V270" s="71" t="n">
        <f aca="false">SUM(V262:V269)</f>
        <v>3087900.08102351</v>
      </c>
      <c r="W270" s="71" t="n">
        <f aca="false">SUM(W262:W269)</f>
        <v>3401866.29025609</v>
      </c>
      <c r="X270" s="71" t="n">
        <f aca="false">SUM(X262:X269)</f>
        <v>3683699.25323248</v>
      </c>
      <c r="Y270" s="71" t="n">
        <f aca="false">SUM(Y262:Y269)</f>
        <v>3954552.57378385</v>
      </c>
      <c r="Z270" s="71" t="n">
        <f aca="false">SUM(Z262:Z269)</f>
        <v>4225405.89433523</v>
      </c>
      <c r="AA270" s="71" t="n">
        <f aca="false">SUM(AA262:AA269)</f>
        <v>4570565.06527729</v>
      </c>
      <c r="AB270" s="71" t="n">
        <f aca="false">SUM(AB262:AB269)</f>
        <v>4923545.90468152</v>
      </c>
      <c r="AC270" s="71" t="n">
        <f aca="false">SUM(AC262:AC269)</f>
        <v>5111603.02455221</v>
      </c>
      <c r="AD270" s="71" t="n">
        <f aca="false">SUM(AD262:AD269)</f>
        <v>5299660.14442289</v>
      </c>
      <c r="AE270" s="71" t="n">
        <f aca="false">SUM(AE262:AE269)</f>
        <v>5479834.28225014</v>
      </c>
      <c r="AF270" s="71" t="n">
        <f aca="false">SUM(AF262:AF269)</f>
        <v>5093962.00094594</v>
      </c>
      <c r="AG270" s="71" t="n">
        <f aca="false">SUM(AG262:AG269)</f>
        <v>5553392.10273111</v>
      </c>
      <c r="AH270" s="71" t="n">
        <f aca="false">SUM(AH262:AH269)</f>
        <v>6024288.52445672</v>
      </c>
      <c r="AI270" s="71" t="n">
        <f aca="false">SUM(AI262:AI269)</f>
        <v>6353444.28956203</v>
      </c>
      <c r="AJ270" s="71" t="n">
        <f aca="false">SUM(AJ262:AJ269)</f>
        <v>6756538.89310958</v>
      </c>
      <c r="AK270" s="71" t="n">
        <f aca="false">SUM(AK262:AK269)</f>
        <v>7087521.32858555</v>
      </c>
      <c r="AL270" s="71" t="n">
        <f aca="false">SUM(AL262:AL269)</f>
        <v>7620066.55328747</v>
      </c>
      <c r="AM270" s="71" t="n">
        <f aca="false">SUM(AM262:AM269)</f>
        <v>7958663.22350453</v>
      </c>
      <c r="AN270" s="71" t="n">
        <f aca="false">SUM(AN262:AN269)</f>
        <v>7735544.17806067</v>
      </c>
      <c r="AO270" s="71" t="n">
        <f aca="false">SUM(AO262:AO269)</f>
        <v>7503764.97532102</v>
      </c>
      <c r="AP270" s="71" t="n">
        <f aca="false">SUM(AP262:AP269)</f>
        <v>7271985.77258136</v>
      </c>
      <c r="AQ270" s="71" t="n">
        <f aca="false">SUM(AQ262:AQ269)</f>
        <v>7040206.5698417</v>
      </c>
      <c r="AR270" s="71" t="n">
        <f aca="false">SUM(AR262:AR269)</f>
        <v>6808427.36710204</v>
      </c>
      <c r="AS270" s="71" t="n">
        <f aca="false">SUM(AS262:AS269)</f>
        <v>6576648.16436238</v>
      </c>
      <c r="AT270" s="71" t="n">
        <f aca="false">SUM(AT262:AT269)</f>
        <v>6603730.26770855</v>
      </c>
      <c r="AU270" s="71" t="n">
        <f aca="false">SUM(AU262:AU269)</f>
        <v>6653065.36052525</v>
      </c>
      <c r="AV270" s="71" t="n">
        <f aca="false">SUM(AV262:AV269)</f>
        <v>6257340.66393124</v>
      </c>
      <c r="AW270" s="71" t="n">
        <f aca="false">SUM(AW262:AW269)</f>
        <v>5861615.96733723</v>
      </c>
      <c r="AX270" s="71" t="n">
        <f aca="false">SUM(AX262:AX269)</f>
        <v>5465891.27074321</v>
      </c>
      <c r="AY270" s="71" t="n">
        <f aca="false">SUM(AY262:AY269)</f>
        <v>5070166.5741492</v>
      </c>
      <c r="AZ270" s="71" t="n">
        <f aca="false">SUM(AZ262:AZ269)</f>
        <v>4674441.87755518</v>
      </c>
      <c r="BA270" s="71" t="n">
        <f aca="false">SUM(BA262:BA269)</f>
        <v>4269883.82051945</v>
      </c>
      <c r="BB270" s="71" t="n">
        <f aca="false">SUM(BB262:BB269)</f>
        <v>3865325.76348372</v>
      </c>
      <c r="BC270" s="71" t="n">
        <f aca="false">SUM(BC262:BC269)</f>
        <v>3460767.70644799</v>
      </c>
      <c r="BD270" s="71" t="n">
        <f aca="false">SUM(BD262:BD269)</f>
        <v>3056209.64941226</v>
      </c>
      <c r="BE270" s="71" t="n">
        <f aca="false">SUM(BE262:BE269)</f>
        <v>2651651.59237653</v>
      </c>
      <c r="BF270" s="71" t="n">
        <f aca="false">SUM(BF262:BF269)</f>
        <v>2247093.5353408</v>
      </c>
      <c r="BG270" s="71" t="n">
        <f aca="false">SUM(BG262:BG269)</f>
        <v>1842535.47830507</v>
      </c>
      <c r="BH270" s="71" t="n">
        <f aca="false">SUM(BH262:BH269)</f>
        <v>1674466.88257216</v>
      </c>
      <c r="BI270" s="71" t="n">
        <f aca="false">SUM(BI262:BI269)</f>
        <v>1526728.08263546</v>
      </c>
      <c r="BJ270" s="71" t="n">
        <f aca="false">SUM(BJ262:BJ269)</f>
        <v>972393.366774611</v>
      </c>
      <c r="BK270" s="71" t="n">
        <f aca="false">SUM(BK262:BK269)</f>
        <v>418058.650913762</v>
      </c>
      <c r="BL270" s="71" t="n">
        <f aca="false">SUM(BL262:BL269)</f>
        <v>-136276.064947087</v>
      </c>
      <c r="BM270" s="71" t="n">
        <f aca="false">SUM(BM262:BM269)</f>
        <v>-699620.808458487</v>
      </c>
      <c r="BN270" s="71" t="n">
        <f aca="false">SUM(BN262:BN269)</f>
        <v>-1262965.55196989</v>
      </c>
      <c r="BO270" s="71" t="n">
        <f aca="false">SUM(BO262:BO269)</f>
        <v>-1826310.29548129</v>
      </c>
      <c r="BP270" s="71" t="n">
        <f aca="false">SUM(BP262:BP269)</f>
        <v>-2389655.03899269</v>
      </c>
      <c r="BQ270" s="71" t="n">
        <f aca="false">SUM(BQ262:BQ269)</f>
        <v>-2952999.78250409</v>
      </c>
      <c r="BR270" s="71" t="n">
        <f aca="false">SUM(BR262:BR269)</f>
        <v>-3516344.52601549</v>
      </c>
      <c r="BS270" s="71" t="n">
        <f aca="false">SUM(BS262:BS269)</f>
        <v>-4079689.26952689</v>
      </c>
      <c r="BT270" s="71" t="n">
        <f aca="false">SUM(BT262:BT269)</f>
        <v>-4643034.01303828</v>
      </c>
      <c r="BU270" s="71" t="n">
        <f aca="false">SUM(BU262:BU269)</f>
        <v>-5206378.75654968</v>
      </c>
      <c r="BV270" s="71" t="n">
        <f aca="false">SUM(BV262:BV269)</f>
        <v>-5769723.50006108</v>
      </c>
      <c r="BW270" s="71" t="n">
        <f aca="false">SUM(BW262:BW269)</f>
        <v>-6333068.24357248</v>
      </c>
      <c r="BX270" s="71" t="n">
        <f aca="false">SUM(BX262:BX269)</f>
        <v>-6896412.98708388</v>
      </c>
      <c r="BY270" s="71" t="n">
        <f aca="false">SUM(BY262:BY269)</f>
        <v>-7468947.95879884</v>
      </c>
      <c r="BZ270" s="71" t="n">
        <f aca="false">SUM(BZ262:BZ269)</f>
        <v>-8041482.9305138</v>
      </c>
      <c r="CA270" s="71" t="n">
        <f aca="false">SUM(CA262:CA269)</f>
        <v>-8614017.90222876</v>
      </c>
      <c r="CB270" s="71" t="n">
        <f aca="false">SUM(CB262:CB269)</f>
        <v>-9186552.87394372</v>
      </c>
      <c r="CC270" s="71" t="n">
        <f aca="false">SUM(CC262:CC269)</f>
        <v>-9759087.84565868</v>
      </c>
      <c r="CD270" s="71" t="n">
        <f aca="false">SUM(CD262:CD269)</f>
        <v>-10331622.8173736</v>
      </c>
      <c r="CE270" s="71" t="n">
        <f aca="false">SUM(CE262:CE269)</f>
        <v>-10904157.7890886</v>
      </c>
      <c r="CF270" s="71" t="n">
        <f aca="false">SUM(CF262:CF269)</f>
        <v>-11476692.7608036</v>
      </c>
      <c r="CG270" s="71" t="n">
        <f aca="false">SUM(CG262:CG269)</f>
        <v>-12049227.7325185</v>
      </c>
      <c r="CH270" s="71" t="n">
        <f aca="false">SUM(CH262:CH269)</f>
        <v>-12621762.7042335</v>
      </c>
      <c r="CI270" s="71" t="n">
        <f aca="false">SUM(CI262:CI269)</f>
        <v>-13194297.6759484</v>
      </c>
      <c r="CJ270" s="71" t="n">
        <f aca="false">SUM(CJ262:CJ269)</f>
        <v>-13766832.6476634</v>
      </c>
      <c r="CK270" s="71" t="n">
        <f aca="false">SUM(CK262:CK269)</f>
        <v>-14348741.652146</v>
      </c>
      <c r="CL270" s="71" t="n">
        <f aca="false">SUM(CL262:CL269)</f>
        <v>-14930650.6566286</v>
      </c>
      <c r="CM270" s="71" t="n">
        <f aca="false">SUM(CM262:CM269)</f>
        <v>-15512559.6611112</v>
      </c>
      <c r="CN270" s="71" t="n">
        <f aca="false">SUM(CN262:CN269)</f>
        <v>-16094468.6655938</v>
      </c>
      <c r="CO270" s="71" t="n">
        <f aca="false">SUM(CO262:CO269)</f>
        <v>-16676377.6700764</v>
      </c>
      <c r="CP270" s="71" t="n">
        <f aca="false">SUM(CP262:CP269)</f>
        <v>-17258286.674559</v>
      </c>
      <c r="CQ270" s="71" t="n">
        <f aca="false">SUM(CQ262:CQ269)</f>
        <v>-17840195.6790416</v>
      </c>
      <c r="CR270" s="71" t="n">
        <f aca="false">SUM(CR262:CR269)</f>
        <v>-18422104.6835242</v>
      </c>
      <c r="CS270" s="71" t="n">
        <f aca="false">SUM(CS262:CS269)</f>
        <v>-19004013.6880067</v>
      </c>
      <c r="CT270" s="71" t="n">
        <f aca="false">SUM(CT262:CT269)</f>
        <v>-19530784.5838946</v>
      </c>
      <c r="CU270" s="71" t="n">
        <f aca="false">SUM(CU262:CU269)</f>
        <v>-20057555.4797825</v>
      </c>
      <c r="CV270" s="71" t="n">
        <f aca="false">SUM(CV262:CV269)</f>
        <v>-20584326.3756703</v>
      </c>
      <c r="CW270" s="71" t="n">
        <f aca="false">SUM(CW262:CW269)</f>
        <v>-21119556.0228093</v>
      </c>
      <c r="CX270" s="71" t="n">
        <f aca="false">SUM(CX262:CX269)</f>
        <v>-21654785.6699482</v>
      </c>
      <c r="CY270" s="71" t="n">
        <f aca="false">SUM(CY262:CY269)</f>
        <v>-22190015.3170872</v>
      </c>
      <c r="CZ270" s="71" t="n">
        <f aca="false">SUM(CZ262:CZ269)</f>
        <v>-22725244.9642261</v>
      </c>
      <c r="DA270" s="71" t="n">
        <f aca="false">SUM(DA262:DA269)</f>
        <v>-23260474.6113651</v>
      </c>
      <c r="DB270" s="71" t="n">
        <f aca="false">SUM(DB262:DB269)</f>
        <v>-23795704.258504</v>
      </c>
      <c r="DC270" s="71" t="n">
        <f aca="false">SUM(DC262:DC269)</f>
        <v>-24330933.905643</v>
      </c>
      <c r="DD270" s="71" t="n">
        <f aca="false">SUM(DD262:DD269)</f>
        <v>-24866163.5527819</v>
      </c>
      <c r="DE270" s="71" t="n">
        <f aca="false">SUM(DE262:DE269)</f>
        <v>-25401393.1999209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23" t="s">
        <v>181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107863.262380952</v>
      </c>
      <c r="K273" s="13" t="n">
        <f aca="false">J278</f>
        <v>85326.0635714286</v>
      </c>
      <c r="L273" s="13" t="n">
        <f aca="false">K278</f>
        <v>62788.8647619047</v>
      </c>
      <c r="M273" s="13" t="n">
        <f aca="false">L278</f>
        <v>30876.6659523809</v>
      </c>
      <c r="N273" s="13" t="n">
        <f aca="false">M278</f>
        <v>-3785.53285714291</v>
      </c>
      <c r="O273" s="13" t="n">
        <f aca="false">N278</f>
        <v>-129572.731666667</v>
      </c>
      <c r="P273" s="13" t="n">
        <f aca="false">O278</f>
        <v>-268217.073333333</v>
      </c>
      <c r="Q273" s="13" t="n">
        <f aca="false">P278</f>
        <v>-405611.415</v>
      </c>
      <c r="R273" s="13" t="n">
        <f aca="false">Q278</f>
        <v>-544567.5585</v>
      </c>
      <c r="S273" s="13" t="n">
        <f aca="false">R278</f>
        <v>-683523.702</v>
      </c>
      <c r="T273" s="13" t="n">
        <f aca="false">S278</f>
        <v>-822479.8455</v>
      </c>
      <c r="U273" s="13" t="n">
        <f aca="false">T278</f>
        <v>-989342.239</v>
      </c>
      <c r="V273" s="13" t="n">
        <f aca="false">U278</f>
        <v>-1152204.6325</v>
      </c>
      <c r="W273" s="13" t="n">
        <f aca="false">V278</f>
        <v>-1315067.026</v>
      </c>
      <c r="X273" s="13" t="n">
        <f aca="false">W278</f>
        <v>-1477929.4195</v>
      </c>
      <c r="Y273" s="13" t="n">
        <f aca="false">X278</f>
        <v>-1642138.813</v>
      </c>
      <c r="Z273" s="13" t="n">
        <f aca="false">Y278</f>
        <v>-1691598.2065</v>
      </c>
      <c r="AA273" s="13" t="n">
        <f aca="false">Z278</f>
        <v>-1880807.6</v>
      </c>
      <c r="AB273" s="13" t="n">
        <f aca="false">AA278</f>
        <v>-2320016.9935</v>
      </c>
      <c r="AC273" s="13" t="n">
        <f aca="false">AB278</f>
        <v>-2451851.387</v>
      </c>
      <c r="AD273" s="13" t="n">
        <f aca="false">AC278</f>
        <v>-2641403.81837</v>
      </c>
      <c r="AE273" s="13" t="n">
        <f aca="false">AD278</f>
        <v>-2830956.24974</v>
      </c>
      <c r="AF273" s="13" t="n">
        <f aca="false">AE278</f>
        <v>-2943115.1113886</v>
      </c>
      <c r="AG273" s="13" t="n">
        <f aca="false">AF278</f>
        <v>-3024667.5427586</v>
      </c>
      <c r="AH273" s="13" t="n">
        <f aca="false">AG278</f>
        <v>-3102219.9741286</v>
      </c>
      <c r="AI273" s="13" t="n">
        <f aca="false">AH278</f>
        <v>-3179772.4054986</v>
      </c>
      <c r="AJ273" s="13" t="n">
        <f aca="false">AI278</f>
        <v>-3266824.8368686</v>
      </c>
      <c r="AK273" s="13" t="n">
        <f aca="false">AJ278</f>
        <v>-3353877.2682386</v>
      </c>
      <c r="AL273" s="13" t="n">
        <f aca="false">AK278</f>
        <v>-3440929.6996086</v>
      </c>
      <c r="AM273" s="13" t="n">
        <f aca="false">AL278</f>
        <v>-3527982.1309786</v>
      </c>
      <c r="AN273" s="13" t="n">
        <f aca="false">AM278</f>
        <v>-3866284.5623486</v>
      </c>
      <c r="AO273" s="13" t="n">
        <f aca="false">AN278</f>
        <v>-3954586.9937186</v>
      </c>
      <c r="AP273" s="13" t="n">
        <f aca="false">AO278</f>
        <v>-4044514.323716</v>
      </c>
      <c r="AQ273" s="13" t="n">
        <f aca="false">AP278</f>
        <v>-4134441.6537134</v>
      </c>
      <c r="AR273" s="13" t="n">
        <f aca="false">AQ278</f>
        <v>-4224368.9837108</v>
      </c>
      <c r="AS273" s="13" t="n">
        <f aca="false">AR278</f>
        <v>-4318296.3137082</v>
      </c>
      <c r="AT273" s="13" t="n">
        <f aca="false">AS278</f>
        <v>-4408223.6437056</v>
      </c>
      <c r="AU273" s="13" t="n">
        <f aca="false">AT278</f>
        <v>-4491093.473703</v>
      </c>
      <c r="AV273" s="13" t="n">
        <f aca="false">AU278</f>
        <v>-4573963.3037004</v>
      </c>
      <c r="AW273" s="13" t="n">
        <f aca="false">AV278</f>
        <v>-4656833.1336978</v>
      </c>
      <c r="AX273" s="13" t="n">
        <f aca="false">AW278</f>
        <v>-4739702.9636952</v>
      </c>
      <c r="AY273" s="13" t="n">
        <f aca="false">AX278</f>
        <v>-4822572.7936926</v>
      </c>
      <c r="AZ273" s="13" t="n">
        <f aca="false">AY278</f>
        <v>-4905442.62369</v>
      </c>
      <c r="BA273" s="13" t="n">
        <f aca="false">AZ278</f>
        <v>-4988312.4536874</v>
      </c>
      <c r="BB273" s="13" t="n">
        <f aca="false">BA278</f>
        <v>-5072839.68028474</v>
      </c>
      <c r="BC273" s="13" t="n">
        <f aca="false">BB278</f>
        <v>-5157366.90688209</v>
      </c>
      <c r="BD273" s="13" t="n">
        <f aca="false">BC278</f>
        <v>-5241894.13347944</v>
      </c>
      <c r="BE273" s="13" t="n">
        <f aca="false">BD278</f>
        <v>-5326421.36007679</v>
      </c>
      <c r="BF273" s="13" t="n">
        <f aca="false">BE278</f>
        <v>-5410948.58667414</v>
      </c>
      <c r="BG273" s="13" t="n">
        <f aca="false">BF278</f>
        <v>-5495475.81327148</v>
      </c>
      <c r="BH273" s="13" t="n">
        <f aca="false">BG278</f>
        <v>-5580003.03986883</v>
      </c>
      <c r="BI273" s="13" t="n">
        <f aca="false">BH278</f>
        <v>-5664530.26646618</v>
      </c>
      <c r="BJ273" s="13" t="n">
        <f aca="false">BI278</f>
        <v>-5749057.49306353</v>
      </c>
      <c r="BK273" s="13" t="n">
        <f aca="false">BJ278</f>
        <v>-5833584.71966088</v>
      </c>
      <c r="BL273" s="13" t="n">
        <f aca="false">BK278</f>
        <v>-5918111.94625823</v>
      </c>
      <c r="BM273" s="13" t="n">
        <f aca="false">BL278</f>
        <v>-6002639.17285557</v>
      </c>
      <c r="BN273" s="13" t="n">
        <f aca="false">BM278</f>
        <v>-6088856.94398487</v>
      </c>
      <c r="BO273" s="13" t="n">
        <f aca="false">BN278</f>
        <v>-6175074.71511416</v>
      </c>
      <c r="BP273" s="13" t="n">
        <f aca="false">BO278</f>
        <v>-6261292.48624346</v>
      </c>
      <c r="BQ273" s="13" t="n">
        <f aca="false">BP278</f>
        <v>-6347510.25737276</v>
      </c>
      <c r="BR273" s="13" t="n">
        <f aca="false">BQ278</f>
        <v>-6433728.02850205</v>
      </c>
      <c r="BS273" s="13" t="n">
        <f aca="false">BR278</f>
        <v>-6466695.44963134</v>
      </c>
      <c r="BT273" s="13" t="n">
        <f aca="false">BS278</f>
        <v>-6552913.22076064</v>
      </c>
      <c r="BU273" s="13" t="n">
        <f aca="false">BT278</f>
        <v>-6639130.99188994</v>
      </c>
      <c r="BV273" s="13" t="n">
        <f aca="false">BU278</f>
        <v>-6657586.76301923</v>
      </c>
      <c r="BW273" s="13" t="n">
        <f aca="false">BV278</f>
        <v>-6743804.53414853</v>
      </c>
      <c r="BX273" s="13" t="n">
        <f aca="false">BW278</f>
        <v>-6830022.30527782</v>
      </c>
      <c r="BY273" s="13" t="n">
        <f aca="false">BX278</f>
        <v>-6848478.07640712</v>
      </c>
      <c r="BZ273" s="13" t="n">
        <f aca="false">BY278</f>
        <v>-6936420.202959</v>
      </c>
      <c r="CA273" s="13" t="n">
        <f aca="false">BZ278</f>
        <v>-7024362.32951088</v>
      </c>
      <c r="CB273" s="13" t="n">
        <f aca="false">CA278</f>
        <v>-7044542.45606276</v>
      </c>
      <c r="CC273" s="13" t="n">
        <f aca="false">CB278</f>
        <v>-7132484.58261464</v>
      </c>
      <c r="CD273" s="13" t="n">
        <f aca="false">CC278</f>
        <v>-7220426.70916652</v>
      </c>
      <c r="CE273" s="13" t="n">
        <f aca="false">CD278</f>
        <v>-7231869.8357184</v>
      </c>
      <c r="CF273" s="13" t="n">
        <f aca="false">CE278</f>
        <v>-7319811.96227028</v>
      </c>
      <c r="CG273" s="13" t="n">
        <f aca="false">CF278</f>
        <v>-7407754.08882216</v>
      </c>
      <c r="CH273" s="13" t="n">
        <f aca="false">CG278</f>
        <v>-7419197.21537404</v>
      </c>
      <c r="CI273" s="13" t="n">
        <f aca="false">CH278</f>
        <v>-7507139.34192592</v>
      </c>
      <c r="CJ273" s="13" t="n">
        <f aca="false">CI278</f>
        <v>-7595081.4684778</v>
      </c>
      <c r="CK273" s="13" t="n">
        <f aca="false">CJ278</f>
        <v>-7599916.5684232</v>
      </c>
      <c r="CL273" s="13" t="n">
        <f aca="false">CK278</f>
        <v>-7531756.53750612</v>
      </c>
      <c r="CM273" s="13" t="n">
        <f aca="false">CL278</f>
        <v>-7463596.50658904</v>
      </c>
      <c r="CN273" s="13" t="n">
        <f aca="false">CM278</f>
        <v>-7395436.47567196</v>
      </c>
      <c r="CO273" s="13" t="n">
        <f aca="false">CN278</f>
        <v>-7327276.44475488</v>
      </c>
      <c r="CP273" s="13" t="n">
        <f aca="false">CO278</f>
        <v>-7259116.41383779</v>
      </c>
      <c r="CQ273" s="13" t="n">
        <f aca="false">CP278</f>
        <v>-7190956.38292071</v>
      </c>
      <c r="CR273" s="13" t="n">
        <f aca="false">CQ278</f>
        <v>-7122796.35200363</v>
      </c>
      <c r="CS273" s="13" t="n">
        <f aca="false">CR278</f>
        <v>-7054636.32108655</v>
      </c>
      <c r="CT273" s="13" t="n">
        <f aca="false">CS278</f>
        <v>-6986476.29016947</v>
      </c>
      <c r="CU273" s="13" t="n">
        <f aca="false">CT278</f>
        <v>-6916407.76587749</v>
      </c>
      <c r="CV273" s="13" t="n">
        <f aca="false">CU278</f>
        <v>-6846339.24158551</v>
      </c>
      <c r="CW273" s="13" t="n">
        <f aca="false">CV278</f>
        <v>-6776270.71729353</v>
      </c>
      <c r="CX273" s="13" t="n">
        <f aca="false">CW278</f>
        <v>-6652249.89145212</v>
      </c>
      <c r="CY273" s="13" t="n">
        <f aca="false">CX278</f>
        <v>-6510782.2166743</v>
      </c>
      <c r="CZ273" s="13" t="n">
        <f aca="false">CY278</f>
        <v>-6369314.54189649</v>
      </c>
      <c r="DA273" s="13" t="n">
        <f aca="false">CZ278</f>
        <v>-6227846.86711867</v>
      </c>
      <c r="DB273" s="13" t="n">
        <f aca="false">DA278</f>
        <v>-6086379.19234085</v>
      </c>
      <c r="DC273" s="13" t="n">
        <f aca="false">DB278</f>
        <v>-5944911.51756303</v>
      </c>
      <c r="DD273" s="13" t="n">
        <f aca="false">DC278</f>
        <v>-5803443.84278521</v>
      </c>
      <c r="DE273" s="13" t="n">
        <f aca="false">DD278</f>
        <v>-5661976.1680074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-25453.8688095238</v>
      </c>
      <c r="J274" s="13" t="n">
        <f aca="false">J200</f>
        <v>-22537.1988095238</v>
      </c>
      <c r="K274" s="13" t="n">
        <f aca="false">K200</f>
        <v>-22537.1988095238</v>
      </c>
      <c r="L274" s="13" t="n">
        <f aca="false">L200</f>
        <v>-31912.1988095238</v>
      </c>
      <c r="M274" s="13" t="n">
        <f aca="false">M200</f>
        <v>-34662.1988095238</v>
      </c>
      <c r="N274" s="13" t="n">
        <f aca="false">N200</f>
        <v>-13787.1988095238</v>
      </c>
      <c r="O274" s="13" t="n">
        <f aca="false">O200</f>
        <v>-26644.3416666667</v>
      </c>
      <c r="P274" s="13" t="n">
        <f aca="false">P200</f>
        <v>-25394.3416666667</v>
      </c>
      <c r="Q274" s="13" t="n">
        <f aca="false">Q200</f>
        <v>-26956.1435</v>
      </c>
      <c r="R274" s="13" t="n">
        <f aca="false">R200</f>
        <v>-26956.1435</v>
      </c>
      <c r="S274" s="13" t="n">
        <f aca="false">S200</f>
        <v>-26956.1435</v>
      </c>
      <c r="T274" s="13" t="n">
        <f aca="false">T200</f>
        <v>-54862.3935</v>
      </c>
      <c r="U274" s="13" t="n">
        <f aca="false">U200</f>
        <v>-50862.3935</v>
      </c>
      <c r="V274" s="13" t="n">
        <f aca="false">V200</f>
        <v>-50862.3935</v>
      </c>
      <c r="W274" s="13" t="n">
        <f aca="false">W200</f>
        <v>-50862.3935</v>
      </c>
      <c r="X274" s="13" t="n">
        <f aca="false">X200</f>
        <v>-52209.3935</v>
      </c>
      <c r="Y274" s="13" t="n">
        <f aca="false">Y200</f>
        <v>62540.6065</v>
      </c>
      <c r="Z274" s="13" t="n">
        <f aca="false">Z200</f>
        <v>-77209.3935</v>
      </c>
      <c r="AA274" s="13" t="n">
        <f aca="false">AA200</f>
        <v>-77209.3935</v>
      </c>
      <c r="AB274" s="13" t="n">
        <f aca="false">AB200</f>
        <v>-19834.3935</v>
      </c>
      <c r="AC274" s="13" t="n">
        <f aca="false">AC200</f>
        <v>-77552.43137</v>
      </c>
      <c r="AD274" s="13" t="n">
        <f aca="false">AD200</f>
        <v>-77552.43137</v>
      </c>
      <c r="AE274" s="13" t="n">
        <f aca="false">AE200</f>
        <v>-20177.43137</v>
      </c>
      <c r="AF274" s="13" t="n">
        <f aca="false">AF200</f>
        <v>-81552.43137</v>
      </c>
      <c r="AG274" s="13" t="n">
        <f aca="false">AG200</f>
        <v>-77552.43137</v>
      </c>
      <c r="AH274" s="13" t="n">
        <f aca="false">AH200</f>
        <v>-77552.43137</v>
      </c>
      <c r="AI274" s="13" t="n">
        <f aca="false">AI200</f>
        <v>-87052.43137</v>
      </c>
      <c r="AJ274" s="13" t="n">
        <f aca="false">AJ200</f>
        <v>-87052.43137</v>
      </c>
      <c r="AK274" s="13" t="n">
        <f aca="false">AK200</f>
        <v>-87052.43137</v>
      </c>
      <c r="AL274" s="13" t="n">
        <f aca="false">AL200</f>
        <v>-87052.43137</v>
      </c>
      <c r="AM274" s="13" t="n">
        <f aca="false">AM200</f>
        <v>-88302.43137</v>
      </c>
      <c r="AN274" s="13" t="n">
        <f aca="false">AN200</f>
        <v>-88302.43137</v>
      </c>
      <c r="AO274" s="13" t="n">
        <f aca="false">AO200</f>
        <v>-89927.3299974</v>
      </c>
      <c r="AP274" s="13" t="n">
        <f aca="false">AP200</f>
        <v>-89927.3299974</v>
      </c>
      <c r="AQ274" s="13" t="n">
        <f aca="false">AQ200</f>
        <v>-89927.3299974</v>
      </c>
      <c r="AR274" s="13" t="n">
        <f aca="false">AR200</f>
        <v>-93927.3299974</v>
      </c>
      <c r="AS274" s="13" t="n">
        <f aca="false">AS200</f>
        <v>-89927.3299974</v>
      </c>
      <c r="AT274" s="13" t="n">
        <f aca="false">AT200</f>
        <v>-82869.8299974</v>
      </c>
      <c r="AU274" s="13" t="n">
        <f aca="false">AU200</f>
        <v>-82869.8299974</v>
      </c>
      <c r="AV274" s="13" t="n">
        <f aca="false">AV200</f>
        <v>-82869.8299974</v>
      </c>
      <c r="AW274" s="13" t="n">
        <f aca="false">AW200</f>
        <v>-82869.8299974</v>
      </c>
      <c r="AX274" s="13" t="n">
        <f aca="false">AX200</f>
        <v>-82869.8299974</v>
      </c>
      <c r="AY274" s="13" t="n">
        <f aca="false">AY200</f>
        <v>-82869.8299974</v>
      </c>
      <c r="AZ274" s="13" t="n">
        <f aca="false">AZ200</f>
        <v>-82869.8299974</v>
      </c>
      <c r="BA274" s="13" t="n">
        <f aca="false">BA200</f>
        <v>-84527.226597348</v>
      </c>
      <c r="BB274" s="13" t="n">
        <f aca="false">BB200</f>
        <v>-84527.226597348</v>
      </c>
      <c r="BC274" s="13" t="n">
        <f aca="false">BC200</f>
        <v>-84527.226597348</v>
      </c>
      <c r="BD274" s="13" t="n">
        <f aca="false">BD200</f>
        <v>-84527.226597348</v>
      </c>
      <c r="BE274" s="13" t="n">
        <f aca="false">BE200</f>
        <v>-84527.226597348</v>
      </c>
      <c r="BF274" s="13" t="n">
        <f aca="false">BF200</f>
        <v>-84527.226597348</v>
      </c>
      <c r="BG274" s="13" t="n">
        <f aca="false">BG200</f>
        <v>-84527.226597348</v>
      </c>
      <c r="BH274" s="13" t="n">
        <f aca="false">BH200</f>
        <v>-84527.226597348</v>
      </c>
      <c r="BI274" s="13" t="n">
        <f aca="false">BI200</f>
        <v>-84527.226597348</v>
      </c>
      <c r="BJ274" s="13" t="n">
        <f aca="false">BJ200</f>
        <v>-84527.226597348</v>
      </c>
      <c r="BK274" s="13" t="n">
        <f aca="false">BK200</f>
        <v>-84527.226597348</v>
      </c>
      <c r="BL274" s="13" t="n">
        <f aca="false">BL200</f>
        <v>-84527.226597348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0" t="s">
        <v>187</v>
      </c>
      <c r="B278" s="71"/>
      <c r="C278" s="71"/>
      <c r="D278" s="71"/>
      <c r="E278" s="71"/>
      <c r="F278" s="71"/>
      <c r="G278" s="71"/>
      <c r="H278" s="71" t="n">
        <f aca="false">H273+H274+H275+H276+H277</f>
        <v>133317.131190476</v>
      </c>
      <c r="I278" s="71" t="n">
        <f aca="false">I273+I274+I275+I276+I277</f>
        <v>107863.262380952</v>
      </c>
      <c r="J278" s="71" t="n">
        <f aca="false">J273+J274+J275+J276+J277</f>
        <v>85326.0635714286</v>
      </c>
      <c r="K278" s="71" t="n">
        <f aca="false">K273+K274+K275+K276+K277</f>
        <v>62788.8647619047</v>
      </c>
      <c r="L278" s="71" t="n">
        <f aca="false">L273+L274+L275+L276+L277</f>
        <v>30876.6659523809</v>
      </c>
      <c r="M278" s="71" t="n">
        <f aca="false">M273+M274+M275+M276+M277</f>
        <v>-3785.53285714291</v>
      </c>
      <c r="N278" s="71" t="n">
        <f aca="false">N273+N274+N275+N276+N277</f>
        <v>-129572.731666667</v>
      </c>
      <c r="O278" s="71" t="n">
        <f aca="false">O273+O274+O275+O276+O277</f>
        <v>-268217.073333333</v>
      </c>
      <c r="P278" s="71" t="n">
        <f aca="false">P273+P274+P275+P276+P277</f>
        <v>-405611.415</v>
      </c>
      <c r="Q278" s="71" t="n">
        <f aca="false">Q273+Q274+Q275+Q276+Q277</f>
        <v>-544567.5585</v>
      </c>
      <c r="R278" s="71" t="n">
        <f aca="false">R273+R274+R275+R276+R277</f>
        <v>-683523.702</v>
      </c>
      <c r="S278" s="71" t="n">
        <f aca="false">S273+S274+S275+S276+S277</f>
        <v>-822479.8455</v>
      </c>
      <c r="T278" s="71" t="n">
        <f aca="false">T273+T274+T275+T276+T277</f>
        <v>-989342.239</v>
      </c>
      <c r="U278" s="71" t="n">
        <f aca="false">U273+U274+U275+U276+U277</f>
        <v>-1152204.6325</v>
      </c>
      <c r="V278" s="71" t="n">
        <f aca="false">V273+V274+V275+V276+V277</f>
        <v>-1315067.026</v>
      </c>
      <c r="W278" s="71" t="n">
        <f aca="false">W273+W274+W275+W276+W277</f>
        <v>-1477929.4195</v>
      </c>
      <c r="X278" s="71" t="n">
        <f aca="false">X273+X274+X275+X276+X277</f>
        <v>-1642138.813</v>
      </c>
      <c r="Y278" s="71" t="n">
        <f aca="false">Y273+Y274+Y275+Y276+Y277</f>
        <v>-1691598.2065</v>
      </c>
      <c r="Z278" s="71" t="n">
        <f aca="false">Z273+Z274+Z275+Z276+Z277</f>
        <v>-1880807.6</v>
      </c>
      <c r="AA278" s="71" t="n">
        <f aca="false">AA273+AA274+AA275+AA276+AA277</f>
        <v>-2320016.9935</v>
      </c>
      <c r="AB278" s="71" t="n">
        <f aca="false">AB273+AB274+AB275+AB276+AB277</f>
        <v>-2451851.387</v>
      </c>
      <c r="AC278" s="71" t="n">
        <f aca="false">AC273+AC274+AC275+AC276+AC277</f>
        <v>-2641403.81837</v>
      </c>
      <c r="AD278" s="71" t="n">
        <f aca="false">AD273+AD274+AD275+AD276+AD277</f>
        <v>-2830956.24974</v>
      </c>
      <c r="AE278" s="71" t="n">
        <f aca="false">AE273+AE274+AE275+AE276+AE277</f>
        <v>-2943115.1113886</v>
      </c>
      <c r="AF278" s="71" t="n">
        <f aca="false">AF273+AF274+AF275+AF276+AF277</f>
        <v>-3024667.5427586</v>
      </c>
      <c r="AG278" s="71" t="n">
        <f aca="false">AG273+AG274+AG275+AG276+AG277</f>
        <v>-3102219.9741286</v>
      </c>
      <c r="AH278" s="71" t="n">
        <f aca="false">AH273+AH274+AH275+AH276+AH277</f>
        <v>-3179772.4054986</v>
      </c>
      <c r="AI278" s="71" t="n">
        <f aca="false">AI273+AI274+AI275+AI276+AI277</f>
        <v>-3266824.8368686</v>
      </c>
      <c r="AJ278" s="71" t="n">
        <f aca="false">AJ273+AJ274+AJ275+AJ276+AJ277</f>
        <v>-3353877.2682386</v>
      </c>
      <c r="AK278" s="71" t="n">
        <f aca="false">AK273+AK274+AK275+AK276+AK277</f>
        <v>-3440929.6996086</v>
      </c>
      <c r="AL278" s="71" t="n">
        <f aca="false">AL273+AL274+AL275+AL276+AL277</f>
        <v>-3527982.1309786</v>
      </c>
      <c r="AM278" s="71" t="n">
        <f aca="false">AM273+AM274+AM275+AM276+AM277</f>
        <v>-3866284.5623486</v>
      </c>
      <c r="AN278" s="71" t="n">
        <f aca="false">AN273+AN274+AN275+AN276+AN277</f>
        <v>-3954586.9937186</v>
      </c>
      <c r="AO278" s="71" t="n">
        <f aca="false">AO273+AO274+AO275+AO276+AO277</f>
        <v>-4044514.323716</v>
      </c>
      <c r="AP278" s="71" t="n">
        <f aca="false">AP273+AP274+AP275+AP276+AP277</f>
        <v>-4134441.6537134</v>
      </c>
      <c r="AQ278" s="71" t="n">
        <f aca="false">AQ273+AQ274+AQ275+AQ276+AQ277</f>
        <v>-4224368.9837108</v>
      </c>
      <c r="AR278" s="71" t="n">
        <f aca="false">AR273+AR274+AR275+AR276+AR277</f>
        <v>-4318296.3137082</v>
      </c>
      <c r="AS278" s="71" t="n">
        <f aca="false">AS273+AS274+AS275+AS276+AS277</f>
        <v>-4408223.6437056</v>
      </c>
      <c r="AT278" s="71" t="n">
        <f aca="false">AT273+AT274+AT275+AT276+AT277</f>
        <v>-4491093.473703</v>
      </c>
      <c r="AU278" s="71" t="n">
        <f aca="false">AU273+AU274+AU275+AU276+AU277</f>
        <v>-4573963.3037004</v>
      </c>
      <c r="AV278" s="71" t="n">
        <f aca="false">AV273+AV274+AV275+AV276+AV277</f>
        <v>-4656833.1336978</v>
      </c>
      <c r="AW278" s="71" t="n">
        <f aca="false">AW273+AW274+AW275+AW276+AW277</f>
        <v>-4739702.9636952</v>
      </c>
      <c r="AX278" s="71" t="n">
        <f aca="false">AX273+AX274+AX275+AX276+AX277</f>
        <v>-4822572.7936926</v>
      </c>
      <c r="AY278" s="71" t="n">
        <f aca="false">AY273+AY274+AY275+AY276+AY277</f>
        <v>-4905442.62369</v>
      </c>
      <c r="AZ278" s="71" t="n">
        <f aca="false">AZ273+AZ274+AZ275+AZ276+AZ277</f>
        <v>-4988312.4536874</v>
      </c>
      <c r="BA278" s="71" t="n">
        <f aca="false">BA273+BA274+BA275+BA276+BA277</f>
        <v>-5072839.68028474</v>
      </c>
      <c r="BB278" s="71" t="n">
        <f aca="false">BB273+BB274+BB275+BB276+BB277</f>
        <v>-5157366.90688209</v>
      </c>
      <c r="BC278" s="71" t="n">
        <f aca="false">BC273+BC274+BC275+BC276+BC277</f>
        <v>-5241894.13347944</v>
      </c>
      <c r="BD278" s="71" t="n">
        <f aca="false">BD273+BD274+BD275+BD276+BD277</f>
        <v>-5326421.36007679</v>
      </c>
      <c r="BE278" s="71" t="n">
        <f aca="false">BE273+BE274+BE275+BE276+BE277</f>
        <v>-5410948.58667414</v>
      </c>
      <c r="BF278" s="71" t="n">
        <f aca="false">BF273+BF274+BF275+BF276+BF277</f>
        <v>-5495475.81327148</v>
      </c>
      <c r="BG278" s="71" t="n">
        <f aca="false">BG273+BG274+BG275+BG276+BG277</f>
        <v>-5580003.03986883</v>
      </c>
      <c r="BH278" s="71" t="n">
        <f aca="false">BH273+BH274+BH275+BH276+BH277</f>
        <v>-5664530.26646618</v>
      </c>
      <c r="BI278" s="71" t="n">
        <f aca="false">BI273+BI274+BI275+BI276+BI277</f>
        <v>-5749057.49306353</v>
      </c>
      <c r="BJ278" s="71" t="n">
        <f aca="false">BJ273+BJ274+BJ275+BJ276+BJ277</f>
        <v>-5833584.71966088</v>
      </c>
      <c r="BK278" s="71" t="n">
        <f aca="false">BK273+BK274+BK275+BK276+BK277</f>
        <v>-5918111.94625823</v>
      </c>
      <c r="BL278" s="71" t="n">
        <f aca="false">BL273+BL274+BL275+BL276+BL277</f>
        <v>-6002639.17285557</v>
      </c>
      <c r="BM278" s="71" t="n">
        <f aca="false">BM273+BM274+BM275+BM276+BM277</f>
        <v>-6088856.94398487</v>
      </c>
      <c r="BN278" s="71" t="n">
        <f aca="false">BN273+BN274+BN275+BN276+BN277</f>
        <v>-6175074.71511416</v>
      </c>
      <c r="BO278" s="71" t="n">
        <f aca="false">BO273+BO274+BO275+BO276+BO277</f>
        <v>-6261292.48624346</v>
      </c>
      <c r="BP278" s="71" t="n">
        <f aca="false">BP273+BP274+BP275+BP276+BP277</f>
        <v>-6347510.25737276</v>
      </c>
      <c r="BQ278" s="71" t="n">
        <f aca="false">BQ273+BQ274+BQ275+BQ276+BQ277</f>
        <v>-6433728.02850205</v>
      </c>
      <c r="BR278" s="71" t="n">
        <f aca="false">BR273+BR274+BR275+BR276+BR277</f>
        <v>-6466695.44963134</v>
      </c>
      <c r="BS278" s="71" t="n">
        <f aca="false">BS273+BS274+BS275+BS276+BS277</f>
        <v>-6552913.22076064</v>
      </c>
      <c r="BT278" s="71" t="n">
        <f aca="false">BT273+BT274+BT275+BT276+BT277</f>
        <v>-6639130.99188994</v>
      </c>
      <c r="BU278" s="71" t="n">
        <f aca="false">BU273+BU274+BU275+BU276+BU277</f>
        <v>-6657586.76301923</v>
      </c>
      <c r="BV278" s="71" t="n">
        <f aca="false">BV273+BV274+BV275+BV276+BV277</f>
        <v>-6743804.53414853</v>
      </c>
      <c r="BW278" s="71" t="n">
        <f aca="false">BW273+BW274+BW275+BW276+BW277</f>
        <v>-6830022.30527782</v>
      </c>
      <c r="BX278" s="71" t="n">
        <f aca="false">BX273+BX274+BX275+BX276+BX277</f>
        <v>-6848478.07640712</v>
      </c>
      <c r="BY278" s="71" t="n">
        <f aca="false">BY273+BY274+BY275+BY276+BY277</f>
        <v>-6936420.202959</v>
      </c>
      <c r="BZ278" s="71" t="n">
        <f aca="false">BZ273+BZ274+BZ275+BZ276+BZ277</f>
        <v>-7024362.32951088</v>
      </c>
      <c r="CA278" s="71" t="n">
        <f aca="false">CA273+CA274+CA275+CA276+CA277</f>
        <v>-7044542.45606276</v>
      </c>
      <c r="CB278" s="71" t="n">
        <f aca="false">CB273+CB274+CB275+CB276+CB277</f>
        <v>-7132484.58261464</v>
      </c>
      <c r="CC278" s="71" t="n">
        <f aca="false">CC273+CC274+CC275+CC276+CC277</f>
        <v>-7220426.70916652</v>
      </c>
      <c r="CD278" s="71" t="n">
        <f aca="false">CD273+CD274+CD275+CD276+CD277</f>
        <v>-7231869.8357184</v>
      </c>
      <c r="CE278" s="71" t="n">
        <f aca="false">CE273+CE274+CE275+CE276+CE277</f>
        <v>-7319811.96227028</v>
      </c>
      <c r="CF278" s="71" t="n">
        <f aca="false">CF273+CF274+CF275+CF276+CF277</f>
        <v>-7407754.08882216</v>
      </c>
      <c r="CG278" s="71" t="n">
        <f aca="false">CG273+CG274+CG275+CG276+CG277</f>
        <v>-7419197.21537404</v>
      </c>
      <c r="CH278" s="71" t="n">
        <f aca="false">CH273+CH274+CH275+CH276+CH277</f>
        <v>-7507139.34192592</v>
      </c>
      <c r="CI278" s="71" t="n">
        <f aca="false">CI273+CI274+CI275+CI276+CI277</f>
        <v>-7595081.4684778</v>
      </c>
      <c r="CJ278" s="71" t="n">
        <f aca="false">CJ273+CJ274+CJ275+CJ276+CJ277</f>
        <v>-7599916.5684232</v>
      </c>
      <c r="CK278" s="71" t="n">
        <f aca="false">CK273+CK274+CK275+CK276+CK277</f>
        <v>-7531756.53750612</v>
      </c>
      <c r="CL278" s="71" t="n">
        <f aca="false">CL273+CL274+CL275+CL276+CL277</f>
        <v>-7463596.50658904</v>
      </c>
      <c r="CM278" s="71" t="n">
        <f aca="false">CM273+CM274+CM275+CM276+CM277</f>
        <v>-7395436.47567196</v>
      </c>
      <c r="CN278" s="71" t="n">
        <f aca="false">CN273+CN274+CN275+CN276+CN277</f>
        <v>-7327276.44475488</v>
      </c>
      <c r="CO278" s="71" t="n">
        <f aca="false">CO273+CO274+CO275+CO276+CO277</f>
        <v>-7259116.41383779</v>
      </c>
      <c r="CP278" s="71" t="n">
        <f aca="false">CP273+CP274+CP275+CP276+CP277</f>
        <v>-7190956.38292071</v>
      </c>
      <c r="CQ278" s="71" t="n">
        <f aca="false">CQ273+CQ274+CQ275+CQ276+CQ277</f>
        <v>-7122796.35200363</v>
      </c>
      <c r="CR278" s="71" t="n">
        <f aca="false">CR273+CR274+CR275+CR276+CR277</f>
        <v>-7054636.32108655</v>
      </c>
      <c r="CS278" s="71" t="n">
        <f aca="false">CS273+CS274+CS275+CS276+CS277</f>
        <v>-6986476.29016947</v>
      </c>
      <c r="CT278" s="71" t="n">
        <f aca="false">CT273+CT274+CT275+CT276+CT277</f>
        <v>-6916407.76587749</v>
      </c>
      <c r="CU278" s="71" t="n">
        <f aca="false">CU273+CU274+CU275+CU276+CU277</f>
        <v>-6846339.24158551</v>
      </c>
      <c r="CV278" s="71" t="n">
        <f aca="false">CV273+CV274+CV275+CV276+CV277</f>
        <v>-6776270.71729353</v>
      </c>
      <c r="CW278" s="71" t="n">
        <f aca="false">CW273+CW274+CW275+CW276+CW277</f>
        <v>-6652249.89145212</v>
      </c>
      <c r="CX278" s="71" t="n">
        <f aca="false">CX273+CX274+CX275+CX276+CX277</f>
        <v>-6510782.2166743</v>
      </c>
      <c r="CY278" s="71" t="n">
        <f aca="false">CY273+CY274+CY275+CY276+CY277</f>
        <v>-6369314.54189649</v>
      </c>
      <c r="CZ278" s="71" t="n">
        <f aca="false">CZ273+CZ274+CZ275+CZ276+CZ277</f>
        <v>-6227846.86711867</v>
      </c>
      <c r="DA278" s="71" t="n">
        <f aca="false">DA273+DA274+DA275+DA276+DA277</f>
        <v>-6086379.19234085</v>
      </c>
      <c r="DB278" s="71" t="n">
        <f aca="false">DB273+DB274+DB275+DB276+DB277</f>
        <v>-5944911.51756303</v>
      </c>
      <c r="DC278" s="71" t="n">
        <f aca="false">DC273+DC274+DC275+DC276+DC277</f>
        <v>-5803443.84278521</v>
      </c>
      <c r="DD278" s="71" t="n">
        <f aca="false">DD273+DD274+DD275+DD276+DD277</f>
        <v>-5661976.1680074</v>
      </c>
      <c r="DE278" s="71" t="n">
        <f aca="false">DE273+DE274+DE275+DE276+DE277</f>
        <v>-5520508.49322958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23" t="s">
        <v>188</v>
      </c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827707.044589499</v>
      </c>
      <c r="K281" s="13" t="n">
        <f aca="false">K262+K273</f>
        <v>1022818.22368828</v>
      </c>
      <c r="L281" s="13" t="n">
        <f aca="false">L262+L273</f>
        <v>922463.357186675</v>
      </c>
      <c r="M281" s="13" t="n">
        <f aca="false">M262+M273</f>
        <v>1245067.03972583</v>
      </c>
      <c r="N281" s="13" t="n">
        <f aca="false">N262+N273</f>
        <v>1436541.2546201</v>
      </c>
      <c r="O281" s="13" t="n">
        <f aca="false">O262+O273</f>
        <v>1469748.88720938</v>
      </c>
      <c r="P281" s="13" t="n">
        <f aca="false">P262+P273</f>
        <v>1469856.08525818</v>
      </c>
      <c r="Q281" s="13" t="n">
        <f aca="false">Q262+Q273</f>
        <v>1447472.13212428</v>
      </c>
      <c r="R281" s="13" t="n">
        <f aca="false">R262+R273</f>
        <v>1336684.72306571</v>
      </c>
      <c r="S281" s="13" t="n">
        <f aca="false">S262+S273</f>
        <v>692057.142755959</v>
      </c>
      <c r="T281" s="13" t="n">
        <f aca="false">T262+T273</f>
        <v>1091489.7689938</v>
      </c>
      <c r="U281" s="13" t="n">
        <f aca="false">U262+U273</f>
        <v>1473106.58673648</v>
      </c>
      <c r="V281" s="13" t="n">
        <f aca="false">V262+V273</f>
        <v>1649178.76718311</v>
      </c>
      <c r="W281" s="13" t="n">
        <f aca="false">W262+W273</f>
        <v>1772833.05502351</v>
      </c>
      <c r="X281" s="13" t="n">
        <f aca="false">X262+X273</f>
        <v>1923936.87075609</v>
      </c>
      <c r="Y281" s="13" t="n">
        <f aca="false">Y262+Y273</f>
        <v>2041560.44023248</v>
      </c>
      <c r="Z281" s="13" t="n">
        <f aca="false">Z262+Z273</f>
        <v>2262954.36728385</v>
      </c>
      <c r="AA281" s="13" t="n">
        <f aca="false">AA262+AA273</f>
        <v>2344598.29433523</v>
      </c>
      <c r="AB281" s="13" t="n">
        <f aca="false">AB262+AB273</f>
        <v>2250548.07177729</v>
      </c>
      <c r="AC281" s="13" t="n">
        <f aca="false">AC262+AC273</f>
        <v>2471694.51768152</v>
      </c>
      <c r="AD281" s="13" t="n">
        <f aca="false">AD262+AD273</f>
        <v>2470199.20618221</v>
      </c>
      <c r="AE281" s="13" t="n">
        <f aca="false">AE262+AE273</f>
        <v>2468703.89468289</v>
      </c>
      <c r="AF281" s="13" t="n">
        <f aca="false">AF262+AF273</f>
        <v>2536719.17086155</v>
      </c>
      <c r="AG281" s="13" t="n">
        <f aca="false">AG262+AG273</f>
        <v>2069294.45818735</v>
      </c>
      <c r="AH281" s="13" t="n">
        <f aca="false">AH262+AH273</f>
        <v>2451172.12860251</v>
      </c>
      <c r="AI281" s="13" t="n">
        <f aca="false">AI262+AI273</f>
        <v>2844516.11895812</v>
      </c>
      <c r="AJ281" s="13" t="n">
        <f aca="false">AJ262+AJ273</f>
        <v>3086619.45269343</v>
      </c>
      <c r="AK281" s="13" t="n">
        <f aca="false">AK262+AK273</f>
        <v>3402661.62487098</v>
      </c>
      <c r="AL281" s="13" t="n">
        <f aca="false">AL262+AL273</f>
        <v>3646591.62897696</v>
      </c>
      <c r="AM281" s="13" t="n">
        <f aca="false">AM262+AM273</f>
        <v>4092084.42230887</v>
      </c>
      <c r="AN281" s="13" t="n">
        <f aca="false">AN262+AN273</f>
        <v>4092378.66115593</v>
      </c>
      <c r="AO281" s="13" t="n">
        <f aca="false">AO262+AO273</f>
        <v>3780957.18434208</v>
      </c>
      <c r="AP281" s="13" t="n">
        <f aca="false">AP262+AP273</f>
        <v>3459250.65160502</v>
      </c>
      <c r="AQ281" s="13" t="n">
        <f aca="false">AQ262+AQ273</f>
        <v>3137544.11886796</v>
      </c>
      <c r="AR281" s="13" t="n">
        <f aca="false">AR262+AR273</f>
        <v>2815837.5861309</v>
      </c>
      <c r="AS281" s="13" t="n">
        <f aca="false">AS262+AS273</f>
        <v>2490131.05339385</v>
      </c>
      <c r="AT281" s="13" t="n">
        <f aca="false">AT262+AT273</f>
        <v>2168424.52065679</v>
      </c>
      <c r="AU281" s="13" t="n">
        <f aca="false">AU262+AU273</f>
        <v>2112636.79400556</v>
      </c>
      <c r="AV281" s="13" t="n">
        <f aca="false">AV262+AV273</f>
        <v>2079102.05682486</v>
      </c>
      <c r="AW281" s="13" t="n">
        <f aca="false">AW262+AW273</f>
        <v>1600507.53023344</v>
      </c>
      <c r="AX281" s="13" t="n">
        <f aca="false">AX262+AX273</f>
        <v>1121913.00364203</v>
      </c>
      <c r="AY281" s="13" t="n">
        <f aca="false">AY262+AY273</f>
        <v>643318.477050616</v>
      </c>
      <c r="AZ281" s="13" t="n">
        <f aca="false">AZ262+AZ273</f>
        <v>164723.950459203</v>
      </c>
      <c r="BA281" s="13" t="n">
        <f aca="false">BA262+BA273</f>
        <v>-313870.576132211</v>
      </c>
      <c r="BB281" s="13" t="n">
        <f aca="false">BB262+BB273</f>
        <v>-802955.859765289</v>
      </c>
      <c r="BC281" s="13" t="n">
        <f aca="false">BC262+BC273</f>
        <v>-1292041.14339837</v>
      </c>
      <c r="BD281" s="13" t="n">
        <f aca="false">BD262+BD273</f>
        <v>-1781126.42703145</v>
      </c>
      <c r="BE281" s="13" t="n">
        <f aca="false">BE262+BE273</f>
        <v>-2270211.71066452</v>
      </c>
      <c r="BF281" s="13" t="n">
        <f aca="false">BF262+BF273</f>
        <v>-2759296.9942976</v>
      </c>
      <c r="BG281" s="13" t="n">
        <f aca="false">BG262+BG273</f>
        <v>-3248382.27793068</v>
      </c>
      <c r="BH281" s="13" t="n">
        <f aca="false">BH262+BH273</f>
        <v>-3737467.56156376</v>
      </c>
      <c r="BI281" s="13" t="n">
        <f aca="false">BI262+BI273</f>
        <v>-3990063.38389402</v>
      </c>
      <c r="BJ281" s="13" t="n">
        <f aca="false">BJ262+BJ273</f>
        <v>-4222329.41042807</v>
      </c>
      <c r="BK281" s="13" t="n">
        <f aca="false">BK262+BK273</f>
        <v>-4861191.35288627</v>
      </c>
      <c r="BL281" s="13" t="n">
        <f aca="false">BL262+BL273</f>
        <v>-5500053.29534446</v>
      </c>
      <c r="BM281" s="13" t="n">
        <f aca="false">BM262+BM273</f>
        <v>-6138915.23780266</v>
      </c>
      <c r="BN281" s="13" t="n">
        <f aca="false">BN262+BN273</f>
        <v>-6788477.75244336</v>
      </c>
      <c r="BO281" s="13" t="n">
        <f aca="false">BO262+BO273</f>
        <v>-7438040.26708405</v>
      </c>
      <c r="BP281" s="13" t="n">
        <f aca="false">BP262+BP273</f>
        <v>-8087602.78172475</v>
      </c>
      <c r="BQ281" s="13" t="n">
        <f aca="false">BQ262+BQ273</f>
        <v>-8737165.29636544</v>
      </c>
      <c r="BR281" s="13" t="n">
        <f aca="false">BR262+BR273</f>
        <v>-9386727.81100614</v>
      </c>
      <c r="BS281" s="13" t="n">
        <f aca="false">BS262+BS273</f>
        <v>-9983039.97564683</v>
      </c>
      <c r="BT281" s="13" t="n">
        <f aca="false">BT262+BT273</f>
        <v>-10632602.4902875</v>
      </c>
      <c r="BU281" s="13" t="n">
        <f aca="false">BU262+BU273</f>
        <v>-11282165.0049282</v>
      </c>
      <c r="BV281" s="13" t="n">
        <f aca="false">BV262+BV273</f>
        <v>-11863965.5195689</v>
      </c>
      <c r="BW281" s="13" t="n">
        <f aca="false">BW262+BW273</f>
        <v>-12513528.0342096</v>
      </c>
      <c r="BX281" s="13" t="n">
        <f aca="false">BX262+BX273</f>
        <v>-13163090.5488503</v>
      </c>
      <c r="BY281" s="13" t="n">
        <f aca="false">BY262+BY273</f>
        <v>-13744891.063491</v>
      </c>
      <c r="BZ281" s="13" t="n">
        <f aca="false">BZ262+BZ273</f>
        <v>-14405368.1617578</v>
      </c>
      <c r="CA281" s="13" t="n">
        <f aca="false">CA262+CA273</f>
        <v>-15065845.2600247</v>
      </c>
      <c r="CB281" s="13" t="n">
        <f aca="false">CB262+CB273</f>
        <v>-15658560.3582915</v>
      </c>
      <c r="CC281" s="13" t="n">
        <f aca="false">CC262+CC273</f>
        <v>-16319037.4565584</v>
      </c>
      <c r="CD281" s="13" t="n">
        <f aca="false">CD262+CD273</f>
        <v>-16979514.5548252</v>
      </c>
      <c r="CE281" s="13" t="n">
        <f aca="false">CE262+CE273</f>
        <v>-17563492.653092</v>
      </c>
      <c r="CF281" s="13" t="n">
        <f aca="false">CF262+CF273</f>
        <v>-18223969.7513589</v>
      </c>
      <c r="CG281" s="13" t="n">
        <f aca="false">CG262+CG273</f>
        <v>-18884446.8496257</v>
      </c>
      <c r="CH281" s="13" t="n">
        <f aca="false">CH262+CH273</f>
        <v>-19468424.9478926</v>
      </c>
      <c r="CI281" s="13" t="n">
        <f aca="false">CI262+CI273</f>
        <v>-20128902.0461594</v>
      </c>
      <c r="CJ281" s="13" t="n">
        <f aca="false">CJ262+CJ273</f>
        <v>-20789379.1444263</v>
      </c>
      <c r="CK281" s="13" t="n">
        <f aca="false">CK262+CK273</f>
        <v>-21366749.2160866</v>
      </c>
      <c r="CL281" s="13" t="n">
        <f aca="false">CL262+CL273</f>
        <v>-21880498.1896521</v>
      </c>
      <c r="CM281" s="13" t="n">
        <f aca="false">CM262+CM273</f>
        <v>-22394247.1632176</v>
      </c>
      <c r="CN281" s="13" t="n">
        <f aca="false">CN262+CN273</f>
        <v>-22907996.1367831</v>
      </c>
      <c r="CO281" s="13" t="n">
        <f aca="false">CO262+CO273</f>
        <v>-23421745.1103487</v>
      </c>
      <c r="CP281" s="13" t="n">
        <f aca="false">CP262+CP273</f>
        <v>-23935494.0839142</v>
      </c>
      <c r="CQ281" s="13" t="n">
        <f aca="false">CQ262+CQ273</f>
        <v>-24449243.0574797</v>
      </c>
      <c r="CR281" s="13" t="n">
        <f aca="false">CR262+CR273</f>
        <v>-24962992.0310452</v>
      </c>
      <c r="CS281" s="13" t="n">
        <f aca="false">CS262+CS273</f>
        <v>-25476741.0046107</v>
      </c>
      <c r="CT281" s="13" t="n">
        <f aca="false">CT262+CT273</f>
        <v>-25990489.9781762</v>
      </c>
      <c r="CU281" s="13" t="n">
        <f aca="false">CU262+CU273</f>
        <v>-26447192.3497721</v>
      </c>
      <c r="CV281" s="13" t="n">
        <f aca="false">CV262+CV273</f>
        <v>-26903894.721368</v>
      </c>
      <c r="CW281" s="13" t="n">
        <f aca="false">CW262+CW273</f>
        <v>-27360597.0929639</v>
      </c>
      <c r="CX281" s="13" t="n">
        <f aca="false">CX262+CX273</f>
        <v>-27771805.9142614</v>
      </c>
      <c r="CY281" s="13" t="n">
        <f aca="false">CY262+CY273</f>
        <v>-28165567.8866225</v>
      </c>
      <c r="CZ281" s="13" t="n">
        <f aca="false">CZ262+CZ273</f>
        <v>-28559329.8589837</v>
      </c>
      <c r="DA281" s="13" t="n">
        <f aca="false">DA262+DA273</f>
        <v>-28953091.8313448</v>
      </c>
      <c r="DB281" s="13" t="n">
        <f aca="false">DB262+DB273</f>
        <v>-29346853.8037059</v>
      </c>
      <c r="DC281" s="13" t="n">
        <f aca="false">DC262+DC273</f>
        <v>-29740615.7760671</v>
      </c>
      <c r="DD281" s="13" t="n">
        <f aca="false">DD262+DD273</f>
        <v>-30134377.7484282</v>
      </c>
      <c r="DE281" s="13" t="n">
        <f aca="false">DE262+DE273</f>
        <v>-30528139.7207893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-170552.313857433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-731456.710777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-674608.538311518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0</v>
      </c>
      <c r="CK282" s="13" t="n">
        <f aca="false">IF((BW209+BX209+BY209+BZ209+CA209+CB209+CC209+CD209+CE209+CF209+CG209+CH209)&gt;0,-(BW209+BX209+BY209+BZ209+CA209+CB209+CC209+CD209+CE209+CF209+CG209+CH209)*0.3,0)</f>
        <v>0</v>
      </c>
      <c r="CL282" s="13" t="n">
        <f aca="false">IF((BX209+BY209+BZ209+CA209+CB209+CC209+CD209+CE209+CF209+CG209+CH209+CI209)&gt;0,-(BX209+BY209+BZ209+CA209+CB209+CC209+CD209+CE209+CF209+CG209+CH209+CI209)*0.3,0)</f>
        <v>0</v>
      </c>
      <c r="CM282" s="13" t="n">
        <f aca="false">IF((BY209+BZ209+CA209+CB209+CC209+CD209+CE209+CF209+CG209+CH209+CI209+CJ209)&gt;0,-(BY209+BZ209+CA209+CB209+CC209+CD209+CE209+CF209+CG209+CH209+CI209+CJ209)*0.3,0)</f>
        <v>0</v>
      </c>
      <c r="CN282" s="13" t="n">
        <f aca="false">IF((BZ209+CA209+CB209+CC209+CD209+CE209+CF209+CG209+CH209+CI209+CJ209+CK209)&gt;0,-(BZ209+CA209+CB209+CC209+CD209+CE209+CF209+CG209+CH209+CI209+CJ209+CK209)*0.3,0)</f>
        <v>0</v>
      </c>
      <c r="CO282" s="13" t="n">
        <f aca="false">IF((CA209+CB209+CC209+CD209+CE209+CF209+CG209+CH209+CI209+CJ209+CK209+CL209)&gt;0,-(CA209+CB209+CC209+CD209+CE209+CF209+CG209+CH209+CI209+CJ209+CK209+CL209)*0.3,0)</f>
        <v>0</v>
      </c>
      <c r="CP282" s="13" t="n">
        <f aca="false">IF((CB209+CC209+CD209+CE209+CF209+CG209+CH209+CI209+CJ209+CK209+CL209+CM209)&gt;0,-(CB209+CC209+CD209+CE209+CF209+CG209+CH209+CI209+CJ209+CK209+CL209+CM209)*0.3,0)</f>
        <v>0</v>
      </c>
      <c r="CQ282" s="13" t="n">
        <f aca="false">IF((CC209+CD209+CE209+CF209+CG209+CH209+CI209+CJ209+CK209+CL209+CM209+CN209)&gt;0,-(CC209+CD209+CE209+CF209+CG209+CH209+CI209+CJ209+CK209+CL209+CM209+CN209)*0.3,0)</f>
        <v>0</v>
      </c>
      <c r="CR282" s="13" t="n">
        <f aca="false">IF((CD209+CE209+CF209+CG209+CH209+CI209+CJ209+CK209+CL209+CM209+CN209+CO209)&gt;0,-(CD209+CE209+CF209+CG209+CH209+CI209+CJ209+CK209+CL209+CM209+CN209+CO209)*0.3,0)</f>
        <v>0</v>
      </c>
      <c r="CS282" s="13" t="n">
        <f aca="false">IF((CE209+CF209+CG209+CH209+CI209+CJ209+CK209+CL209+CM209+CN209+CO209+CP209)&gt;0,-(CE209+CF209+CG209+CH209+CI209+CJ209+CK209+CL209+CM209+CN209+CO209+CP209)*0.3,0)</f>
        <v>0</v>
      </c>
      <c r="CT282" s="13" t="n">
        <f aca="false">IF((CF209+CG209+CH209+CI209+CJ209+CK209+CL209+CM209+CN209+CO209+CP209+CQ209)&gt;0,-(CF209+CG209+CH209+CI209+CJ209+CK209+CL209+CM209+CN209+CO209+CP209+CQ209)*0.3,0)</f>
        <v>0</v>
      </c>
      <c r="CU282" s="13" t="n">
        <f aca="false">IF((CG209+CH209+CI209+CJ209+CK209+CL209+CM209+CN209+CO209+CP209+CQ209+CR209)&gt;0,-(CG209+CH209+CI209+CJ209+CK209+CL209+CM209+CN209+CO209+CP209+CQ209+CR209)*0.3,0)</f>
        <v>0</v>
      </c>
      <c r="CV282" s="13" t="n">
        <f aca="false">IF((CH209+CI209+CJ209+CK209+CL209+CM209+CN209+CO209+CP209+CQ209+CR209+CS209)&gt;0,-(CH209+CI209+CJ209+CK209+CL209+CM209+CN209+CO209+CP209+CQ209+CR209+CS209)*0.3,0)</f>
        <v>0</v>
      </c>
      <c r="CW282" s="13" t="n">
        <f aca="false">IF((CI209+CJ209+CK209+CL209+CM209+CN209+CO209+CP209+CQ209+CR209+CS209+CT209)&gt;0,-(CI209+CJ209+CK209+CL209+CM209+CN209+CO209+CP209+CQ209+CR209+CS209+CT209)*0.3,0)</f>
        <v>0</v>
      </c>
      <c r="CX282" s="13" t="n">
        <f aca="false">IF((CJ209+CK209+CL209+CM209+CN209+CO209+CP209+CQ209+CR209+CS209+CT209+CU209)&gt;0,-(CJ209+CK209+CL209+CM209+CN209+CO209+CP209+CQ209+CR209+CS209+CT209+CU209)*0.3,0)</f>
        <v>0</v>
      </c>
      <c r="CY282" s="13" t="n">
        <f aca="false">IF((CK209+CL209+CM209+CN209+CO209+CP209+CQ209+CR209+CS209+CT209+CU209+CV209)&gt;0,-(CK209+CL209+CM209+CN209+CO209+CP209+CQ209+CR209+CS209+CT209+CU209+CV209)*0.3,0)</f>
        <v>0</v>
      </c>
      <c r="CZ282" s="13" t="n">
        <f aca="false">IF((CL209+CM209+CN209+CO209+CP209+CQ209+CR209+CS209+CT209+CU209+CV209+CW209)&gt;0,-(CL209+CM209+CN209+CO209+CP209+CQ209+CR209+CS209+CT209+CU209+CV209+CW209)*0.3,0)</f>
        <v>0</v>
      </c>
      <c r="DA282" s="13" t="n">
        <f aca="false">IF((CM209+CN209+CO209+CP209+CQ209+CR209+CS209+CT209+CU209+CV209+CW209+CX209)&gt;0,-(CM209+CN209+CO209+CP209+CQ209+CR209+CS209+CT209+CU209+CV209+CW209+CX209)*0.3,0)</f>
        <v>0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0" t="s">
        <v>191</v>
      </c>
      <c r="B283" s="71"/>
      <c r="C283" s="71"/>
      <c r="D283" s="71"/>
      <c r="E283" s="71"/>
      <c r="F283" s="71"/>
      <c r="G283" s="71"/>
      <c r="H283" s="71" t="n">
        <f aca="false">H281+H266+H274+H275+H276+H277+H282</f>
        <v>637890.721607172</v>
      </c>
      <c r="I283" s="71" t="n">
        <f aca="false">I281+I266+I274+I275+I276+I277+I282</f>
        <v>566290.763648572</v>
      </c>
      <c r="J283" s="71" t="n">
        <f aca="false">J281+J266+J274+J275+J276+J277+J282</f>
        <v>1125621.04422606</v>
      </c>
      <c r="K283" s="71" t="n">
        <f aca="false">K281+K266+K274+K275+K276+K277+K282</f>
        <v>646512.791604658</v>
      </c>
      <c r="L283" s="71" t="n">
        <f aca="false">L281+L266+L274+L275+L276+L277+L282</f>
        <v>914457.512177206</v>
      </c>
      <c r="M283" s="71" t="n">
        <f aca="false">M281+M266+M274+M275+M276+M277+M282</f>
        <v>1298514.34738203</v>
      </c>
      <c r="N283" s="71" t="n">
        <f aca="false">N281+N266+N274+N275+N276+N277+N282</f>
        <v>1332704.12158566</v>
      </c>
      <c r="O283" s="71" t="n">
        <f aca="false">O281+O266+O274+O275+O276+O277+O282</f>
        <v>1356701.22006045</v>
      </c>
      <c r="P283" s="71" t="n">
        <f aca="false">P281+P266+P274+P275+P276+P277+P282</f>
        <v>1189836.05437628</v>
      </c>
      <c r="Q283" s="71" t="n">
        <f aca="false">Q281+Q266+Q274+Q275+Q276+Q277+Q282</f>
        <v>1864840.56966554</v>
      </c>
      <c r="R283" s="71" t="n">
        <f aca="false">R281+R266+R274+R275+R276+R277+R282</f>
        <v>366143.032803896</v>
      </c>
      <c r="S283" s="71" t="n">
        <f aca="false">S281+S266+S274+S275+S276+S277+S282</f>
        <v>469521.176640862</v>
      </c>
      <c r="T283" s="71" t="n">
        <f aca="false">T281+T266+T274+T275+T276+T277+T282</f>
        <v>999762.513994108</v>
      </c>
      <c r="U283" s="71" t="n">
        <f aca="false">U281+U266+U274+U275+U276+U277+U282</f>
        <v>1362802.52831704</v>
      </c>
      <c r="V283" s="71" t="n">
        <f aca="false">V281+V266+V274+V275+V276+V277+V282</f>
        <v>1489099.27434074</v>
      </c>
      <c r="W283" s="71" t="n">
        <f aca="false">W281+W266+W274+W275+W276+W277+W282</f>
        <v>1612556.05532002</v>
      </c>
      <c r="X283" s="71" t="n">
        <f aca="false">X281+X266+X274+X275+X276+X277+X282</f>
        <v>1770707.11968111</v>
      </c>
      <c r="Y283" s="71" t="n">
        <f aca="false">Y281+Y266+Y274+Y275+Y276+Y277+Y282</f>
        <v>1992101.04673248</v>
      </c>
      <c r="Z283" s="71" t="n">
        <f aca="false">Z281+Z266+Z274+Z275+Z276+Z277+Z282</f>
        <v>2073744.97378385</v>
      </c>
      <c r="AA283" s="71" t="n">
        <f aca="false">AA281+AA266+AA274+AA275+AA276+AA277+AA282</f>
        <v>1827172.21621345</v>
      </c>
      <c r="AB283" s="71" t="n">
        <f aca="false">AB281+AB266+AB274+AB275+AB276+AB277+AB282</f>
        <v>1543690.33674384</v>
      </c>
      <c r="AC283" s="71" t="n">
        <f aca="false">AC281+AC266+AC274+AC275+AC276+AC277+AC282</f>
        <v>2282142.08631152</v>
      </c>
      <c r="AD283" s="71" t="n">
        <f aca="false">AD281+AD266+AD274+AD275+AD276+AD277+AD282</f>
        <v>2280646.77481221</v>
      </c>
      <c r="AE283" s="71" t="n">
        <f aca="false">AE281+AE266+AE274+AE275+AE276+AE277+AE282</f>
        <v>2922591.45216574</v>
      </c>
      <c r="AF283" s="71" t="n">
        <f aca="false">AF281+AF266+AF274+AF275+AF276+AF277+AF282</f>
        <v>1731460.67949155</v>
      </c>
      <c r="AG283" s="71" t="n">
        <f aca="false">AG281+AG266+AG274+AG275+AG276+AG277+AG282</f>
        <v>1863745.8972496</v>
      </c>
      <c r="AH283" s="71" t="n">
        <f aca="false">AH281+AH266+AH274+AH275+AH276+AH277+AH282</f>
        <v>2602946.0960414</v>
      </c>
      <c r="AI283" s="71" t="n">
        <f aca="false">AI281+AI266+AI274+AI275+AI276+AI277+AI282</f>
        <v>2665268.16949487</v>
      </c>
      <c r="AJ283" s="71" t="n">
        <f aca="false">AJ281+AJ266+AJ274+AJ275+AJ276+AJ277+AJ282</f>
        <v>3115832.49263318</v>
      </c>
      <c r="AK283" s="71" t="n">
        <f aca="false">AK281+AK266+AK274+AK275+AK276+AK277+AK282</f>
        <v>3340843.15312053</v>
      </c>
      <c r="AL283" s="71" t="n">
        <f aca="false">AL281+AL266+AL274+AL275+AL276+AL277+AL282</f>
        <v>3437665.95685797</v>
      </c>
      <c r="AM283" s="71" t="n">
        <f aca="false">AM281+AM266+AM274+AM275+AM276+AM277+AM282</f>
        <v>4315497.70659979</v>
      </c>
      <c r="AN283" s="71" t="n">
        <f aca="false">AN281+AN266+AN274+AN275+AN276+AN277+AN282</f>
        <v>3329467.69147442</v>
      </c>
      <c r="AO283" s="71" t="n">
        <f aca="false">AO281+AO266+AO274+AO275+AO276+AO277+AO282</f>
        <v>3691029.85434468</v>
      </c>
      <c r="AP283" s="71" t="n">
        <f aca="false">AP281+AP266+AP274+AP275+AP276+AP277+AP282</f>
        <v>3369323.32160762</v>
      </c>
      <c r="AQ283" s="71" t="n">
        <f aca="false">AQ281+AQ266+AQ274+AQ275+AQ276+AQ277+AQ282</f>
        <v>3047616.78887056</v>
      </c>
      <c r="AR283" s="71" t="n">
        <f aca="false">AR281+AR266+AR274+AR275+AR276+AR277+AR282</f>
        <v>2721910.2561335</v>
      </c>
      <c r="AS283" s="71" t="n">
        <f aca="false">AS281+AS266+AS274+AS275+AS276+AS277+AS282</f>
        <v>2400203.72339645</v>
      </c>
      <c r="AT283" s="71" t="n">
        <f aca="false">AT281+AT266+AT274+AT275+AT276+AT277+AT282</f>
        <v>1813069.10530589</v>
      </c>
      <c r="AU283" s="71" t="n">
        <f aca="false">AU281+AU266+AU274+AU275+AU276+AU277+AU282</f>
        <v>2474826.75341887</v>
      </c>
      <c r="AV283" s="71" t="n">
        <f aca="false">AV281+AV266+AV274+AV275+AV276+AV277+AV282</f>
        <v>1996232.22682746</v>
      </c>
      <c r="AW283" s="71" t="n">
        <f aca="false">AW281+AW266+AW274+AW275+AW276+AW277+AW282</f>
        <v>1517637.70023604</v>
      </c>
      <c r="AX283" s="71" t="n">
        <f aca="false">AX281+AX266+AX274+AX275+AX276+AX277+AX282</f>
        <v>1039043.17364463</v>
      </c>
      <c r="AY283" s="71" t="n">
        <f aca="false">AY281+AY266+AY274+AY275+AY276+AY277+AY282</f>
        <v>560448.647053216</v>
      </c>
      <c r="AZ283" s="71" t="n">
        <f aca="false">AZ281+AZ266+AZ274+AZ275+AZ276+AZ277+AZ282</f>
        <v>81854.1204618028</v>
      </c>
      <c r="BA283" s="71" t="n">
        <f aca="false">BA281+BA266+BA274+BA275+BA276+BA277+BA282</f>
        <v>-398397.802729559</v>
      </c>
      <c r="BB283" s="71" t="n">
        <f aca="false">BB281+BB266+BB274+BB275+BB276+BB277+BB282</f>
        <v>-887483.086362637</v>
      </c>
      <c r="BC283" s="71" t="n">
        <f aca="false">BC281+BC266+BC274+BC275+BC276+BC277+BC282</f>
        <v>-1376568.36999572</v>
      </c>
      <c r="BD283" s="71" t="n">
        <f aca="false">BD281+BD266+BD274+BD275+BD276+BD277+BD282</f>
        <v>-1865653.65362879</v>
      </c>
      <c r="BE283" s="71" t="n">
        <f aca="false">BE281+BE266+BE274+BE275+BE276+BE277+BE282</f>
        <v>-2354738.93726187</v>
      </c>
      <c r="BF283" s="71" t="n">
        <f aca="false">BF281+BF266+BF274+BF275+BF276+BF277+BF282</f>
        <v>-2843824.22089495</v>
      </c>
      <c r="BG283" s="71" t="n">
        <f aca="false">BG281+BG266+BG274+BG275+BG276+BG277+BG282</f>
        <v>-3332909.50452803</v>
      </c>
      <c r="BH283" s="71" t="n">
        <f aca="false">BH281+BH266+BH274+BH275+BH276+BH277+BH282</f>
        <v>-4070931.06321671</v>
      </c>
      <c r="BI283" s="71" t="n">
        <f aca="false">BI281+BI266+BI274+BI275+BI276+BI277+BI282</f>
        <v>-3667994.69456722</v>
      </c>
      <c r="BJ283" s="71" t="n">
        <f aca="false">BJ281+BJ266+BJ274+BJ275+BJ276+BJ277+BJ282</f>
        <v>-4306856.63702542</v>
      </c>
      <c r="BK283" s="71" t="n">
        <f aca="false">BK281+BK266+BK274+BK275+BK276+BK277+BK282</f>
        <v>-4945718.57948361</v>
      </c>
      <c r="BL283" s="71" t="n">
        <f aca="false">BL281+BL266+BL274+BL275+BL276+BL277+BL282</f>
        <v>-5584580.52194181</v>
      </c>
      <c r="BM283" s="71" t="n">
        <f aca="false">BM281+BM266+BM274+BM275+BM276+BM277+BM282</f>
        <v>-6225133.00893196</v>
      </c>
      <c r="BN283" s="71" t="n">
        <f aca="false">BN281+BN266+BN274+BN275+BN276+BN277+BN282</f>
        <v>-6874695.52357265</v>
      </c>
      <c r="BO283" s="71" t="n">
        <f aca="false">BO281+BO266+BO274+BO275+BO276+BO277+BO282</f>
        <v>-7524258.03821335</v>
      </c>
      <c r="BP283" s="71" t="n">
        <f aca="false">BP281+BP266+BP274+BP275+BP276+BP277+BP282</f>
        <v>-8173820.55285404</v>
      </c>
      <c r="BQ283" s="71" t="n">
        <f aca="false">BQ281+BQ266+BQ274+BQ275+BQ276+BQ277+BQ282</f>
        <v>-8823383.06749474</v>
      </c>
      <c r="BR283" s="71" t="n">
        <f aca="false">BR281+BR266+BR274+BR275+BR276+BR277+BR282</f>
        <v>-9419695.23213543</v>
      </c>
      <c r="BS283" s="71" t="n">
        <f aca="false">BS281+BS266+BS274+BS275+BS276+BS277+BS282</f>
        <v>-10069257.7467761</v>
      </c>
      <c r="BT283" s="71" t="n">
        <f aca="false">BT281+BT266+BT274+BT275+BT276+BT277+BT282</f>
        <v>-10718820.2614168</v>
      </c>
      <c r="BU283" s="71" t="n">
        <f aca="false">BU281+BU266+BU274+BU275+BU276+BU277+BU282</f>
        <v>-11300620.7760575</v>
      </c>
      <c r="BV283" s="71" t="n">
        <f aca="false">BV281+BV266+BV274+BV275+BV276+BV277+BV282</f>
        <v>-11950183.2906982</v>
      </c>
      <c r="BW283" s="71" t="n">
        <f aca="false">BW281+BW266+BW274+BW275+BW276+BW277+BW282</f>
        <v>-12599745.8053389</v>
      </c>
      <c r="BX283" s="71" t="n">
        <f aca="false">BX281+BX266+BX274+BX275+BX276+BX277+BX282</f>
        <v>-13181546.3199796</v>
      </c>
      <c r="BY283" s="71" t="n">
        <f aca="false">BY281+BY266+BY274+BY275+BY276+BY277+BY282</f>
        <v>-13832833.1900429</v>
      </c>
      <c r="BZ283" s="71" t="n">
        <f aca="false">BZ281+BZ266+BZ274+BZ275+BZ276+BZ277+BZ282</f>
        <v>-14493310.2883097</v>
      </c>
      <c r="CA283" s="71" t="n">
        <f aca="false">CA281+CA266+CA274+CA275+CA276+CA277+CA282</f>
        <v>-15086025.3865766</v>
      </c>
      <c r="CB283" s="71" t="n">
        <f aca="false">CB281+CB266+CB274+CB275+CB276+CB277+CB282</f>
        <v>-15746502.4848434</v>
      </c>
      <c r="CC283" s="71" t="n">
        <f aca="false">CC281+CC266+CC274+CC275+CC276+CC277+CC282</f>
        <v>-16406979.5831102</v>
      </c>
      <c r="CD283" s="71" t="n">
        <f aca="false">CD281+CD266+CD274+CD275+CD276+CD277+CD282</f>
        <v>-16990957.6813771</v>
      </c>
      <c r="CE283" s="71" t="n">
        <f aca="false">CE281+CE266+CE274+CE275+CE276+CE277+CE282</f>
        <v>-17651434.7796439</v>
      </c>
      <c r="CF283" s="71" t="n">
        <f aca="false">CF281+CF266+CF274+CF275+CF276+CF277+CF282</f>
        <v>-18311911.8779108</v>
      </c>
      <c r="CG283" s="71" t="n">
        <f aca="false">CG281+CG266+CG274+CG275+CG276+CG277+CG282</f>
        <v>-18895889.9761776</v>
      </c>
      <c r="CH283" s="71" t="n">
        <f aca="false">CH281+CH266+CH274+CH275+CH276+CH277+CH282</f>
        <v>-19556367.0744444</v>
      </c>
      <c r="CI283" s="71" t="n">
        <f aca="false">CI281+CI266+CI274+CI275+CI276+CI277+CI282</f>
        <v>-20216844.1727113</v>
      </c>
      <c r="CJ283" s="71" t="n">
        <f aca="false">CJ281+CJ266+CJ274+CJ275+CJ276+CJ277+CJ282</f>
        <v>-20794214.2443717</v>
      </c>
      <c r="CK283" s="71" t="n">
        <f aca="false">CK281+CK266+CK274+CK275+CK276+CK277+CK282</f>
        <v>-21298589.1851695</v>
      </c>
      <c r="CL283" s="71" t="n">
        <f aca="false">CL281+CL266+CL274+CL275+CL276+CL277+CL282</f>
        <v>-21812338.158735</v>
      </c>
      <c r="CM283" s="71" t="n">
        <f aca="false">CM281+CM266+CM274+CM275+CM276+CM277+CM282</f>
        <v>-22326087.1323006</v>
      </c>
      <c r="CN283" s="71" t="n">
        <f aca="false">CN281+CN266+CN274+CN275+CN276+CN277+CN282</f>
        <v>-22839836.1058661</v>
      </c>
      <c r="CO283" s="71" t="n">
        <f aca="false">CO281+CO266+CO274+CO275+CO276+CO277+CO282</f>
        <v>-23353585.0794316</v>
      </c>
      <c r="CP283" s="71" t="n">
        <f aca="false">CP281+CP266+CP274+CP275+CP276+CP277+CP282</f>
        <v>-23867334.0529971</v>
      </c>
      <c r="CQ283" s="71" t="n">
        <f aca="false">CQ281+CQ266+CQ274+CQ275+CQ276+CQ277+CQ282</f>
        <v>-24381083.0265626</v>
      </c>
      <c r="CR283" s="71" t="n">
        <f aca="false">CR281+CR266+CR274+CR275+CR276+CR277+CR282</f>
        <v>-24894832.0001281</v>
      </c>
      <c r="CS283" s="71" t="n">
        <f aca="false">CS281+CS266+CS274+CS275+CS276+CS277+CS282</f>
        <v>-25408580.9736936</v>
      </c>
      <c r="CT283" s="71" t="n">
        <f aca="false">CT281+CT266+CT274+CT275+CT276+CT277+CT282</f>
        <v>-25920421.4538842</v>
      </c>
      <c r="CU283" s="71" t="n">
        <f aca="false">CU281+CU266+CU274+CU275+CU276+CU277+CU282</f>
        <v>-26377123.8254801</v>
      </c>
      <c r="CV283" s="71" t="n">
        <f aca="false">CV281+CV266+CV274+CV275+CV276+CV277+CV282</f>
        <v>-26833826.197076</v>
      </c>
      <c r="CW283" s="71" t="n">
        <f aca="false">CW281+CW266+CW274+CW275+CW276+CW277+CW282</f>
        <v>-27236576.2671224</v>
      </c>
      <c r="CX283" s="71" t="n">
        <f aca="false">CX281+CX266+CX274+CX275+CX276+CX277+CX282</f>
        <v>-27630338.2394836</v>
      </c>
      <c r="CY283" s="71" t="n">
        <f aca="false">CY281+CY266+CY274+CY275+CY276+CY277+CY282</f>
        <v>-28024100.2118447</v>
      </c>
      <c r="CZ283" s="71" t="n">
        <f aca="false">CZ281+CZ266+CZ274+CZ275+CZ276+CZ277+CZ282</f>
        <v>-28417862.1842058</v>
      </c>
      <c r="DA283" s="71" t="n">
        <f aca="false">DA281+DA266+DA274+DA275+DA276+DA277+DA282</f>
        <v>-28811624.156567</v>
      </c>
      <c r="DB283" s="71" t="n">
        <f aca="false">DB281+DB266+DB274+DB275+DB276+DB277+DB282</f>
        <v>-29205386.1289281</v>
      </c>
      <c r="DC283" s="71" t="n">
        <f aca="false">DC281+DC266+DC274+DC275+DC276+DC277+DC282</f>
        <v>-29599148.1012892</v>
      </c>
      <c r="DD283" s="71" t="n">
        <f aca="false">DD281+DD266+DD274+DD275+DD276+DD277+DD282</f>
        <v>-29992910.0736504</v>
      </c>
      <c r="DE283" s="71" t="n">
        <f aca="false">DE281+DE266+DE274+DE275+DE276+DE277+DE282</f>
        <v>-30386672.0460115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2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3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4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4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4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75"/>
      <c r="CS290" s="75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75"/>
      <c r="DE290" s="75"/>
    </row>
    <row r="291" customFormat="false" ht="15" hidden="false" customHeight="true" outlineLevel="0" collapsed="false">
      <c r="A291" s="2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75"/>
      <c r="CS291" s="75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75"/>
      <c r="DE291" s="75"/>
    </row>
    <row r="292" customFormat="false" ht="15" hidden="false" customHeight="true" outlineLevel="0" collapsed="false">
      <c r="A292" s="76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75"/>
      <c r="CS292" s="75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75"/>
      <c r="DE292" s="75"/>
    </row>
    <row r="293" customFormat="false" ht="15" hidden="false" customHeight="true" outlineLevel="0" collapsed="false">
      <c r="A293" s="2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75"/>
      <c r="CS293" s="75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75"/>
      <c r="DE293" s="75"/>
    </row>
    <row r="294" customFormat="false" ht="15" hidden="false" customHeight="true" outlineLevel="0" collapsed="false">
      <c r="A294" s="77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CK294" s="75"/>
      <c r="CL294" s="75"/>
      <c r="CM294" s="75"/>
      <c r="CN294" s="75"/>
      <c r="CO294" s="75"/>
      <c r="CP294" s="75"/>
      <c r="CQ294" s="75"/>
      <c r="CR294" s="75"/>
      <c r="CS294" s="75"/>
      <c r="CT294" s="75"/>
      <c r="CU294" s="75"/>
      <c r="CV294" s="75"/>
      <c r="CW294" s="75"/>
      <c r="CX294" s="75"/>
      <c r="CY294" s="75"/>
      <c r="CZ294" s="75"/>
      <c r="DA294" s="75"/>
      <c r="DB294" s="75"/>
      <c r="DC294" s="75"/>
      <c r="DD294" s="75"/>
      <c r="DE294" s="75"/>
    </row>
    <row r="295" customFormat="false" ht="15" hidden="false" customHeight="true" outlineLevel="0" collapsed="false">
      <c r="A295" s="77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75"/>
      <c r="CS295" s="75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75"/>
      <c r="DE295" s="75"/>
    </row>
    <row r="296" customFormat="false" ht="15" hidden="false" customHeight="true" outlineLevel="0" collapsed="false">
      <c r="A296" s="77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75"/>
      <c r="CS296" s="75"/>
      <c r="CT296" s="75"/>
      <c r="CU296" s="75"/>
      <c r="CV296" s="75"/>
      <c r="CW296" s="75"/>
      <c r="CX296" s="75"/>
      <c r="CY296" s="75"/>
      <c r="CZ296" s="75"/>
      <c r="DA296" s="75"/>
      <c r="DB296" s="75"/>
      <c r="DC296" s="75"/>
      <c r="DD296" s="75"/>
      <c r="DE296" s="75"/>
    </row>
    <row r="297" customFormat="false" ht="15" hidden="false" customHeight="true" outlineLevel="0" collapsed="false">
      <c r="A297" s="76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75"/>
      <c r="CS297" s="75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75"/>
      <c r="DE297" s="75"/>
    </row>
    <row r="298" customFormat="false" ht="15" hidden="false" customHeight="true" outlineLevel="0" collapsed="false">
      <c r="A298" s="77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75"/>
      <c r="CS298" s="75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75"/>
      <c r="DE298" s="75"/>
    </row>
    <row r="299" customFormat="false" ht="15" hidden="false" customHeight="true" outlineLevel="0" collapsed="false">
      <c r="A299" s="77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</row>
    <row r="300" customFormat="false" ht="15" hidden="false" customHeight="true" outlineLevel="0" collapsed="false">
      <c r="A300" s="77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</row>
    <row r="301" customFormat="false" ht="15" hidden="false" customHeight="true" outlineLevel="0" collapsed="false">
      <c r="A301" s="77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79"/>
      <c r="CY301" s="79"/>
      <c r="CZ301" s="79"/>
      <c r="DA301" s="79"/>
      <c r="DB301" s="79"/>
      <c r="DC301" s="79"/>
      <c r="DD301" s="79"/>
      <c r="DE301" s="79"/>
    </row>
    <row r="302" customFormat="false" ht="15" hidden="false" customHeight="true" outlineLevel="0" collapsed="false">
      <c r="A302" s="77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</row>
    <row r="303" customFormat="false" ht="15" hidden="false" customHeight="true" outlineLevel="0" collapsed="false">
      <c r="A303" s="77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77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customFormat="false" ht="15" hidden="false" customHeight="true" outlineLevel="0" collapsed="false">
      <c r="A305" s="77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75"/>
      <c r="CS305" s="75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75"/>
      <c r="DE305" s="75"/>
    </row>
    <row r="306" customFormat="false" ht="15" hidden="false" customHeight="true" outlineLevel="0" collapsed="false">
      <c r="A306" s="77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75"/>
      <c r="CS306" s="75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75"/>
      <c r="DE306" s="75"/>
    </row>
    <row r="307" customFormat="false" ht="15" hidden="false" customHeight="true" outlineLevel="0" collapsed="false">
      <c r="A307" s="77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75"/>
      <c r="CG307" s="75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75"/>
      <c r="CS307" s="75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75"/>
      <c r="DE307" s="75"/>
    </row>
    <row r="308" customFormat="false" ht="15" hidden="false" customHeight="true" outlineLevel="0" collapsed="false">
      <c r="A308" s="77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75"/>
      <c r="CG308" s="75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75"/>
      <c r="CS308" s="75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75"/>
      <c r="DE308" s="75"/>
    </row>
    <row r="309" customFormat="false" ht="15" hidden="false" customHeight="true" outlineLevel="0" collapsed="false">
      <c r="A309" s="77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75"/>
      <c r="CG309" s="75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75"/>
      <c r="CS309" s="75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75"/>
      <c r="DE309" s="75"/>
    </row>
    <row r="310" customFormat="false" ht="15" hidden="false" customHeight="true" outlineLevel="0" collapsed="false">
      <c r="A310" s="81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82"/>
      <c r="BR310" s="82"/>
      <c r="BS310" s="82"/>
      <c r="BT310" s="82"/>
      <c r="BU310" s="82"/>
      <c r="BV310" s="82"/>
      <c r="BW310" s="82"/>
      <c r="BX310" s="82"/>
      <c r="BY310" s="82"/>
      <c r="BZ310" s="82"/>
      <c r="CA310" s="82"/>
      <c r="CB310" s="82"/>
      <c r="CC310" s="82"/>
      <c r="CD310" s="82"/>
      <c r="CE310" s="82"/>
      <c r="CF310" s="82"/>
      <c r="CG310" s="82"/>
      <c r="CH310" s="82"/>
      <c r="CI310" s="82"/>
      <c r="CJ310" s="82"/>
      <c r="CK310" s="82"/>
      <c r="CL310" s="82"/>
      <c r="CM310" s="82"/>
      <c r="CN310" s="82"/>
      <c r="CO310" s="82"/>
      <c r="CP310" s="82"/>
      <c r="CQ310" s="82"/>
      <c r="CR310" s="82"/>
      <c r="CS310" s="82"/>
      <c r="CT310" s="82"/>
      <c r="CU310" s="82"/>
      <c r="CV310" s="82"/>
      <c r="CW310" s="82"/>
      <c r="CX310" s="82"/>
      <c r="CY310" s="82"/>
      <c r="CZ310" s="82"/>
      <c r="DA310" s="82"/>
      <c r="DB310" s="82"/>
      <c r="DC310" s="82"/>
      <c r="DD310" s="82"/>
      <c r="DE310" s="82"/>
    </row>
    <row r="311" customFormat="false" ht="15" hidden="false" customHeight="true" outlineLevel="0" collapsed="false">
      <c r="A311" s="81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82"/>
      <c r="BR311" s="82"/>
      <c r="BS311" s="82"/>
      <c r="BT311" s="82"/>
      <c r="BU311" s="82"/>
      <c r="BV311" s="82"/>
      <c r="BW311" s="82"/>
      <c r="BX311" s="82"/>
      <c r="BY311" s="82"/>
      <c r="BZ311" s="82"/>
      <c r="CA311" s="82"/>
      <c r="CB311" s="82"/>
      <c r="CC311" s="82"/>
      <c r="CD311" s="82"/>
      <c r="CE311" s="82"/>
      <c r="CF311" s="82"/>
      <c r="CG311" s="82"/>
      <c r="CH311" s="82"/>
      <c r="CI311" s="82"/>
      <c r="CJ311" s="82"/>
      <c r="CK311" s="82"/>
      <c r="CL311" s="82"/>
      <c r="CM311" s="82"/>
      <c r="CN311" s="82"/>
      <c r="CO311" s="82"/>
      <c r="CP311" s="82"/>
      <c r="CQ311" s="82"/>
      <c r="CR311" s="82"/>
      <c r="CS311" s="82"/>
      <c r="CT311" s="82"/>
      <c r="CU311" s="82"/>
      <c r="CV311" s="82"/>
      <c r="CW311" s="82"/>
      <c r="CX311" s="82"/>
      <c r="CY311" s="82"/>
      <c r="CZ311" s="82"/>
      <c r="DA311" s="82"/>
      <c r="DB311" s="82"/>
      <c r="DC311" s="82"/>
      <c r="DD311" s="82"/>
      <c r="DE311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3" t="s">
        <v>197</v>
      </c>
      <c r="B1" s="83"/>
      <c r="C1" s="83"/>
      <c r="D1" s="83"/>
      <c r="E1" s="83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2" t="s">
        <v>199</v>
      </c>
      <c r="C2" s="52" t="s">
        <v>200</v>
      </c>
      <c r="D2" s="52" t="s">
        <v>201</v>
      </c>
      <c r="E2" s="52" t="s">
        <v>202</v>
      </c>
      <c r="F2" s="52" t="s">
        <v>203</v>
      </c>
      <c r="G2" s="52" t="s">
        <v>204</v>
      </c>
      <c r="H2" s="52" t="s">
        <v>205</v>
      </c>
      <c r="I2" s="52" t="s">
        <v>206</v>
      </c>
      <c r="J2" s="52" t="s">
        <v>207</v>
      </c>
    </row>
    <row r="3" customFormat="false" ht="1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</row>
    <row r="4" customFormat="false" ht="15" hidden="false" customHeight="true" outlineLevel="0" collapsed="false">
      <c r="A4" s="28" t="s">
        <v>208</v>
      </c>
      <c r="B4" s="13" t="n">
        <f aca="false">SUM(Model!B10:M10)</f>
        <v>4061437.93117143</v>
      </c>
      <c r="C4" s="13" t="n">
        <f aca="false">SUM(Model!N10:Y10)</f>
        <v>5790421.71669836</v>
      </c>
      <c r="D4" s="13" t="n">
        <f aca="false">SUM(Model!Z10:AK10)</f>
        <v>5849369.04780834</v>
      </c>
      <c r="E4" s="13" t="n">
        <f aca="false">SUM(Model!AL10:AW10)</f>
        <v>2445310.69381393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customFormat="false" ht="15" hidden="false" customHeight="true" outlineLevel="0" collapsed="false">
      <c r="A5" s="28" t="s">
        <v>209</v>
      </c>
      <c r="B5" s="13" t="n">
        <f aca="false">SUM(Model!B11:M11)</f>
        <v>3172788.27570473</v>
      </c>
      <c r="C5" s="13" t="n">
        <f aca="false">SUM(Model!N11:Y11)</f>
        <v>4454230.38968172</v>
      </c>
      <c r="D5" s="13" t="n">
        <f aca="false">SUM(Model!Z11:AK11)</f>
        <v>4387005.52933671</v>
      </c>
      <c r="E5" s="13" t="n">
        <f aca="false">SUM(Model!AL11:AW11)</f>
        <v>1833974.134138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customFormat="false" ht="15" hidden="false" customHeight="true" outlineLevel="0" collapsed="false">
      <c r="A6" s="28" t="s">
        <v>210</v>
      </c>
      <c r="B6" s="13" t="n">
        <f aca="false">SUM(Model!B57:M57)</f>
        <v>52096264.2454237</v>
      </c>
      <c r="C6" s="13" t="n">
        <f aca="false">SUM(Model!N57:Y57)</f>
        <v>83978341.4090757</v>
      </c>
      <c r="D6" s="13" t="n">
        <f aca="false">SUM(Model!Z57:AK57)</f>
        <v>76983511.7417083</v>
      </c>
      <c r="E6" s="13" t="n">
        <f aca="false">SUM(Model!AL57:AW57)</f>
        <v>28651765.6665719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customFormat="false" ht="15" hidden="false" customHeight="true" outlineLevel="0" collapsed="false">
      <c r="A7" s="31" t="s">
        <v>52</v>
      </c>
      <c r="B7" s="32" t="n">
        <f aca="false">SUM(Model!B58:M58)</f>
        <v>59330490.4522998</v>
      </c>
      <c r="C7" s="32" t="n">
        <f aca="false">SUM(Model!N58:Y58)</f>
        <v>94222993.5154558</v>
      </c>
      <c r="D7" s="32" t="n">
        <f aca="false">SUM(Model!Z58:AK58)</f>
        <v>87219886.3188533</v>
      </c>
      <c r="E7" s="32" t="n">
        <f aca="false">SUM(Model!AL58:AW58)</f>
        <v>32931050.4945238</v>
      </c>
      <c r="F7" s="32" t="n">
        <f aca="false">SUM(Model!AX58:BI58)</f>
        <v>13258749.920152</v>
      </c>
      <c r="G7" s="32" t="n">
        <f aca="false">SUM(Model!BJ58:BU58)</f>
        <v>0</v>
      </c>
      <c r="H7" s="32" t="n">
        <f aca="false">SUM(Model!BV58:CG58)</f>
        <v>0</v>
      </c>
      <c r="I7" s="32" t="n">
        <f aca="false">SUM(Model!CH58:CS58)</f>
        <v>0</v>
      </c>
      <c r="J7" s="32" t="n">
        <f aca="false">SUM(Model!CT58:DE58)</f>
        <v>0</v>
      </c>
    </row>
    <row r="8" customFormat="false" ht="15" hidden="false" customHeight="true" outlineLevel="0" collapsed="false">
      <c r="A8" s="28" t="s">
        <v>53</v>
      </c>
      <c r="B8" s="13" t="n">
        <f aca="false">SUM(Model!B104:M104)</f>
        <v>-52659097.9891098</v>
      </c>
      <c r="C8" s="13" t="n">
        <f aca="false">SUM(Model!N104:Y104)</f>
        <v>-84355384.7753896</v>
      </c>
      <c r="D8" s="13" t="n">
        <f aca="false">SUM(Model!Z104:AK104)</f>
        <v>-76983511.7417083</v>
      </c>
      <c r="E8" s="13" t="n">
        <f aca="false">SUM(Model!AL104:AW104)</f>
        <v>-28651765.6665719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customFormat="false" ht="15" hidden="false" customHeight="true" outlineLevel="0" collapsed="false">
      <c r="A9" s="28" t="s">
        <v>211</v>
      </c>
      <c r="B9" s="13" t="n">
        <f aca="false">SUM(Model!B105:M105)</f>
        <v>1561967.335</v>
      </c>
      <c r="C9" s="13" t="n">
        <f aca="false">SUM(Model!N105:Y105)</f>
        <v>679001.55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customFormat="false" ht="15" hidden="false" customHeight="true" outlineLevel="0" collapsed="false">
      <c r="A10" s="28" t="s">
        <v>212</v>
      </c>
      <c r="B10" s="13" t="n">
        <f aca="false">SUM(Model!B106:M106)</f>
        <v>-1898639.08580814</v>
      </c>
      <c r="C10" s="13" t="n">
        <f aca="false">SUM(Model!N106:Y106)</f>
        <v>-1471170.025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true" outlineLevel="0" collapsed="false">
      <c r="A11" s="84" t="s">
        <v>57</v>
      </c>
      <c r="B11" s="34" t="n">
        <f aca="false">SUM(Model!B107:M107)</f>
        <v>6334720.71238192</v>
      </c>
      <c r="C11" s="34" t="n">
        <f aca="false">SUM(Model!N107:Y107)</f>
        <v>9075440.26506619</v>
      </c>
      <c r="D11" s="34" t="n">
        <f aca="false">SUM(Model!Z107:AK107)</f>
        <v>9512668.51714506</v>
      </c>
      <c r="E11" s="34" t="n">
        <f aca="false">SUM(Model!AL107:AW107)</f>
        <v>4279284.82795193</v>
      </c>
      <c r="F11" s="34" t="n">
        <f aca="false">SUM(Model!AX107:BI107)</f>
        <v>1983192.32460961</v>
      </c>
      <c r="G11" s="34" t="n">
        <f aca="false">SUM(Model!BJ107:BU107)</f>
        <v>0</v>
      </c>
      <c r="H11" s="34" t="n">
        <f aca="false">SUM(Model!BV107:CG107)</f>
        <v>0</v>
      </c>
      <c r="I11" s="34" t="n">
        <f aca="false">SUM(Model!CH107:CS107)</f>
        <v>0</v>
      </c>
      <c r="J11" s="34" t="n">
        <f aca="false">SUM(Model!CT107:DE107)</f>
        <v>0</v>
      </c>
    </row>
    <row r="12" customFormat="false" ht="15" hidden="false" customHeight="true" outlineLevel="0" collapsed="false">
      <c r="A12" s="28" t="s">
        <v>58</v>
      </c>
      <c r="B12" s="85" t="n">
        <f aca="false">IFERROR(B11/B7,0)</f>
        <v>0.10677007157854</v>
      </c>
      <c r="C12" s="85" t="n">
        <f aca="false">IFERROR(C11/C7,0)</f>
        <v>0.0963187426599592</v>
      </c>
      <c r="D12" s="85" t="n">
        <f aca="false">IFERROR(D11/D7,0)</f>
        <v>0.109065362483611</v>
      </c>
      <c r="E12" s="85" t="n">
        <f aca="false">IFERROR(E11/E7,0)</f>
        <v>0.129946805938169</v>
      </c>
      <c r="F12" s="85" t="n">
        <f aca="false">IFERROR(F11/F7,0)</f>
        <v>0.14957611664395</v>
      </c>
      <c r="G12" s="85" t="n">
        <f aca="false">IFERROR(G11/G7,0)</f>
        <v>0</v>
      </c>
      <c r="H12" s="85" t="n">
        <f aca="false">IFERROR(H11/H7,0)</f>
        <v>0</v>
      </c>
      <c r="I12" s="85" t="n">
        <f aca="false">IFERROR(I11/I7,0)</f>
        <v>0</v>
      </c>
      <c r="J12" s="85" t="n">
        <f aca="false">IFERROR(J11/J7,0)</f>
        <v>0</v>
      </c>
    </row>
    <row r="13" customFormat="false" ht="1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</row>
    <row r="14" customFormat="fals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true" outlineLevel="0" collapsed="false">
      <c r="A15" s="28" t="s">
        <v>213</v>
      </c>
      <c r="B15" s="13" t="n">
        <f aca="false">SUM(Model!B111:M112)+SUM(Model!B114:M118)</f>
        <v>-3071297.92333333</v>
      </c>
      <c r="C15" s="13" t="n">
        <f aca="false">SUM(Model!N111:Y112)+SUM(Model!N114:Y118)</f>
        <v>-4266440.1063</v>
      </c>
      <c r="D15" s="13" t="n">
        <f aca="false">SUM(Model!Z111:AK112)+SUM(Model!Z114:AK118)</f>
        <v>-4398484.908426</v>
      </c>
      <c r="E15" s="13" t="n">
        <f aca="false">SUM(Model!AL111:AW112)+SUM(Model!AL114:AW118)</f>
        <v>-4486454.60659452</v>
      </c>
      <c r="F15" s="13" t="n">
        <f aca="false">SUM(Model!AX111:BI112)+SUM(Model!AX114:BI118)</f>
        <v>-4576183.69872641</v>
      </c>
      <c r="G15" s="13" t="n">
        <f aca="false">SUM(Model!BJ111:BU112)+SUM(Model!BJ114:BU118)</f>
        <v>-4667707.37270094</v>
      </c>
      <c r="H15" s="13" t="n">
        <f aca="false">SUM(Model!BV111:CG112)+SUM(Model!BV114:CG118)</f>
        <v>-4761061.52015496</v>
      </c>
      <c r="I15" s="13" t="n">
        <f aca="false">SUM(Model!CH111:CS112)+SUM(Model!CH114:CS118)</f>
        <v>-4856282.75055806</v>
      </c>
      <c r="J15" s="13" t="n">
        <f aca="false">SUM(Model!CT111:DE112)+SUM(Model!CT114:DE118)</f>
        <v>-4281826.24288533</v>
      </c>
    </row>
    <row r="16" customFormat="false" ht="15" hidden="false" customHeight="true" outlineLevel="0" collapsed="false">
      <c r="A16" s="28" t="s">
        <v>214</v>
      </c>
      <c r="B16" s="13" t="n">
        <f aca="false">SUM(Model!B119:M141)+SUM(Model!B143:M143)</f>
        <v>-1037245.16</v>
      </c>
      <c r="C16" s="13" t="n">
        <f aca="false">SUM(Model!N119:Y141)+SUM(Model!N143:Y143)</f>
        <v>-780998.4492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customFormat="false" ht="15" hidden="false" customHeight="true" outlineLevel="0" collapsed="false">
      <c r="A17" s="28" t="s">
        <v>215</v>
      </c>
      <c r="B17" s="13" t="n">
        <f aca="false">SUM(Model!B113:M113)</f>
        <v>-726833.333333333</v>
      </c>
      <c r="C17" s="13" t="n">
        <f aca="false">SUM(Model!N113:Y113)</f>
        <v>-1246000</v>
      </c>
      <c r="D17" s="13" t="n">
        <f aca="false">SUM(Model!Z113:AK113)</f>
        <v>-1246000</v>
      </c>
      <c r="E17" s="13" t="n">
        <f aca="false">SUM(Model!AL113:AW113)</f>
        <v>-1246000</v>
      </c>
      <c r="F17" s="13" t="n">
        <f aca="false">SUM(Model!AX113:BI113)</f>
        <v>-1246000</v>
      </c>
      <c r="G17" s="13" t="n">
        <f aca="false">SUM(Model!BJ113:BU113)</f>
        <v>-1246000</v>
      </c>
      <c r="H17" s="13" t="n">
        <f aca="false">SUM(Model!BV113:CG113)</f>
        <v>-1246000</v>
      </c>
      <c r="I17" s="13" t="n">
        <f aca="false">SUM(Model!CH113:CS113)</f>
        <v>-1246000</v>
      </c>
      <c r="J17" s="13" t="n">
        <f aca="false">SUM(Model!CT113:DE113)</f>
        <v>-1246000</v>
      </c>
    </row>
    <row r="18" customFormat="false" ht="15" hidden="false" customHeight="true" outlineLevel="0" collapsed="false">
      <c r="A18" s="28" t="s">
        <v>216</v>
      </c>
      <c r="B18" s="13" t="n">
        <f aca="false">SUM(Model!B142:M142)</f>
        <v>0</v>
      </c>
      <c r="C18" s="13" t="n">
        <f aca="false">SUM(Model!N142:Y142)</f>
        <v>0</v>
      </c>
      <c r="D18" s="13" t="n">
        <f aca="false">SUM(Model!Z142:AK142)</f>
        <v>0</v>
      </c>
      <c r="E18" s="13" t="n">
        <f aca="false">SUM(Model!AL142:AW142)</f>
        <v>0</v>
      </c>
      <c r="F18" s="13" t="n">
        <f aca="false">SUM(Model!AX142:BI142)</f>
        <v>0</v>
      </c>
      <c r="G18" s="13" t="n">
        <f aca="false">SUM(Model!BJ142:BU142)</f>
        <v>0</v>
      </c>
      <c r="H18" s="13" t="n">
        <f aca="false">SUM(Model!BV142:CG142)</f>
        <v>0</v>
      </c>
      <c r="I18" s="13" t="n">
        <f aca="false">SUM(Model!CH142:CS142)</f>
        <v>0</v>
      </c>
      <c r="J18" s="13" t="n">
        <f aca="false">SUM(Model!CT142:DE142)</f>
        <v>0</v>
      </c>
    </row>
    <row r="19" customFormat="false" ht="15" hidden="false" customHeight="true" outlineLevel="0" collapsed="false">
      <c r="A19" s="31" t="s">
        <v>93</v>
      </c>
      <c r="B19" s="32" t="n">
        <f aca="false">SUM(Model!B144:M144)</f>
        <v>-4835376.41666667</v>
      </c>
      <c r="C19" s="32" t="n">
        <f aca="false">SUM(Model!N144:Y144)</f>
        <v>-6293438.5555</v>
      </c>
      <c r="D19" s="32" t="n">
        <f aca="false">SUM(Model!Z144:AK144)</f>
        <v>-6416623.32661</v>
      </c>
      <c r="E19" s="32" t="n">
        <f aca="false">SUM(Model!AL144:AW144)</f>
        <v>-6520035.7931422</v>
      </c>
      <c r="F19" s="32" t="n">
        <f aca="false">SUM(Model!AX144:BI144)</f>
        <v>-6625516.50900504</v>
      </c>
      <c r="G19" s="32" t="n">
        <f aca="false">SUM(Model!BJ144:BU144)</f>
        <v>-6733106.83918514</v>
      </c>
      <c r="H19" s="32" t="n">
        <f aca="false">SUM(Model!BV144:CG144)</f>
        <v>-6842848.97596885</v>
      </c>
      <c r="I19" s="32" t="n">
        <f aca="false">SUM(Model!CH144:CS144)</f>
        <v>-6954785.95548822</v>
      </c>
      <c r="J19" s="32" t="n">
        <f aca="false">SUM(Model!CT144:DE144)</f>
        <v>-6397379.51191411</v>
      </c>
    </row>
    <row r="20" customFormat="false" ht="15" hidden="false" customHeight="true" outlineLevel="0" collapsed="false">
      <c r="A20" s="31" t="s">
        <v>94</v>
      </c>
      <c r="B20" s="32" t="n">
        <f aca="false">SUM(Model!B145:M145)</f>
        <v>1499344.29571525</v>
      </c>
      <c r="C20" s="32" t="n">
        <f aca="false">SUM(Model!N145:Y145)</f>
        <v>2782001.70956619</v>
      </c>
      <c r="D20" s="32" t="n">
        <f aca="false">SUM(Model!Z145:AK145)</f>
        <v>3096045.19053506</v>
      </c>
      <c r="E20" s="32" t="n">
        <f aca="false">SUM(Model!AL145:AW145)</f>
        <v>-2240750.96519027</v>
      </c>
      <c r="F20" s="32" t="n">
        <f aca="false">SUM(Model!AX145:BI145)</f>
        <v>-4642324.18439543</v>
      </c>
      <c r="G20" s="32" t="n">
        <f aca="false">SUM(Model!BJ145:BU145)</f>
        <v>-6733106.83918514</v>
      </c>
      <c r="H20" s="32" t="n">
        <f aca="false">SUM(Model!BV145:CG145)</f>
        <v>-6842848.97596885</v>
      </c>
      <c r="I20" s="32" t="n">
        <f aca="false">SUM(Model!CH145:CS145)</f>
        <v>-6954785.95548822</v>
      </c>
      <c r="J20" s="32" t="n">
        <f aca="false">SUM(Model!CT145:DE145)</f>
        <v>-6397379.51191411</v>
      </c>
    </row>
    <row r="21" customFormat="false" ht="15" hidden="false" customHeight="true" outlineLevel="0" collapsed="false">
      <c r="A21" s="28" t="s">
        <v>95</v>
      </c>
      <c r="B21" s="85" t="n">
        <f aca="false">IFERROR(B20/B7,0)</f>
        <v>0.0252710585111493</v>
      </c>
      <c r="C21" s="85" t="n">
        <f aca="false">IFERROR(C20/C7,0)</f>
        <v>0.0295257198457598</v>
      </c>
      <c r="D21" s="85" t="n">
        <f aca="false">IFERROR(D20/D7,0)</f>
        <v>0.0354970101567975</v>
      </c>
      <c r="E21" s="85" t="n">
        <f aca="false">IFERROR(E20/E7,0)</f>
        <v>-0.0680437135026376</v>
      </c>
      <c r="F21" s="85" t="n">
        <f aca="false">IFERROR(F20/F7,0)</f>
        <v>-0.350132871677409</v>
      </c>
      <c r="G21" s="85" t="n">
        <f aca="false">IFERROR(G20/G7,0)</f>
        <v>0</v>
      </c>
      <c r="H21" s="85" t="n">
        <f aca="false">IFERROR(H20/H7,0)</f>
        <v>0</v>
      </c>
      <c r="I21" s="85" t="n">
        <f aca="false">IFERROR(I20/I7,0)</f>
        <v>0</v>
      </c>
      <c r="J21" s="85" t="n">
        <f aca="false">IFERROR(J20/J7,0)</f>
        <v>0</v>
      </c>
    </row>
    <row r="22" customFormat="false" ht="1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</row>
    <row r="23" customFormat="false" ht="15" hidden="false" customHeight="true" outlineLevel="0" collapsed="false">
      <c r="A23" s="86" t="s">
        <v>96</v>
      </c>
      <c r="B23" s="87" t="n">
        <f aca="false">Model!E168+Model!F168+Model!G168+Model!H168+Model!I168+Model!J168+Model!K168+Model!L168+Model!M168+Model!B168+Model!C168+Model!D168</f>
        <v>831574.497142857</v>
      </c>
      <c r="C23" s="87" t="n">
        <f aca="false">Model!N168+Model!O168+Model!P168+Model!Q168+Model!R168+Model!S168+Model!T168+Model!U168+Model!V168+Model!W168+Model!X168+Model!Y168</f>
        <v>607324.642857143</v>
      </c>
      <c r="D23" s="87" t="n">
        <f aca="false">Model!Z168+Model!AA168+Model!AB168+Model!AC168+Model!AD168+Model!AE168+Model!AF168+Model!AG168+Model!AH168+Model!AI168+Model!AJ168+Model!AK168</f>
        <v>122810</v>
      </c>
      <c r="E23" s="87" t="n">
        <f aca="false">Model!AL168+Model!AM168+Model!AN168+Model!AO168+Model!AP168+Model!AQ168+Model!AR168+Model!AS168+Model!AT168+Model!AU168+Model!AV168+Model!AW168</f>
        <v>104155</v>
      </c>
      <c r="F23" s="87" t="n">
        <f aca="false">Model!AX168+Model!AY168+Model!AZ168+Model!BA168+Model!BB168+Model!BC168+Model!BD168+Model!BE168+Model!BF168+Model!BG168+Model!BH168+Model!BI168</f>
        <v>1276957</v>
      </c>
      <c r="G23" s="87" t="n">
        <f aca="false">Model!BJ168+Model!BK168+Model!BL168+Model!BM168+Model!BN168+Model!BO168+Model!BP168+Model!BQ168+Model!BR168+Model!BS168+Model!BT168+Model!BU168</f>
        <v>546560</v>
      </c>
      <c r="H23" s="87" t="n">
        <f aca="false">Model!BV168+Model!BW168+Model!BX168+Model!BY168+Model!BZ168+Model!CA168+Model!CB168+Model!CC168+Model!CD168+Model!CE168+Model!CF168+Model!CG168</f>
        <v>819993</v>
      </c>
      <c r="I23" s="87" t="n">
        <f aca="false">Model!CH168+Model!CI168+Model!CJ168+Model!CK168+Model!CL168+Model!CM168+Model!CN168+Model!CO168+Model!CP168+Model!CQ168+Model!CR168+Model!CS168</f>
        <v>2310160</v>
      </c>
      <c r="J23" s="87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-1762411.08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38" t="s">
        <v>133</v>
      </c>
      <c r="B25" s="39" t="n">
        <f aca="false">Model!E200+Model!F200+Model!G200+Model!H200+Model!I200+Model!J200+Model!K200+Model!L200+Model!M200+Model!B200+Model!C200+Model!D200</f>
        <v>-930836.582857143</v>
      </c>
      <c r="C25" s="39" t="n">
        <f aca="false">Model!N200+Model!O200+Model!P200+Model!Q200+Model!R200+Model!S200+Model!T200+Model!U200+Model!V200+Model!W200+Model!X200+Model!Y200</f>
        <v>-343812.673642857</v>
      </c>
      <c r="D25" s="39" t="n">
        <f aca="false">Model!Z200+Model!AA200+Model!AB200+Model!AC200+Model!AD200+Model!AE200+Model!AF200+Model!AG200+Model!AH200+Model!AI200+Model!AJ200+Model!AK200</f>
        <v>-847350.06283</v>
      </c>
      <c r="E25" s="39" t="n">
        <f aca="false">Model!AL200+Model!AM200+Model!AN200+Model!AO200+Model!AP200+Model!AQ200+Model!AR200+Model!AS200+Model!AT200+Model!AU200+Model!AV200+Model!AW200</f>
        <v>-1048773.2640866</v>
      </c>
      <c r="F25" s="39" t="n">
        <f aca="false">Model!AX200+Model!AY200+Model!AZ200+Model!BA200+Model!BB200+Model!BC200+Model!BD200+Model!BE200+Model!BF200+Model!BG200+Model!BH200+Model!BI200</f>
        <v>-1009354.52936833</v>
      </c>
      <c r="G25" s="39" t="n">
        <f aca="false">Model!BJ200+Model!BK200+Model!BL200+Model!BM200+Model!BN200+Model!BO200+Model!BP200+Model!BQ200+Model!BR200+Model!BS200+Model!BT200+Model!BU200</f>
        <v>-908529.269955699</v>
      </c>
      <c r="H25" s="39" t="n">
        <f aca="false">Model!BV200+Model!BW200+Model!BX200+Model!BY200+Model!BZ200+Model!CA200+Model!CB200+Model!CC200+Model!CD200+Model!CE200+Model!CF200+Model!CG200</f>
        <v>-761610.452354813</v>
      </c>
      <c r="I25" s="39" t="n">
        <f aca="false">Model!CH200+Model!CI200+Model!CJ200+Model!CK200+Model!CL200+Model!CM200+Model!CN200+Model!CO200+Model!CP200+Model!CQ200+Model!CR200+Model!CS200</f>
        <v>432720.92520457</v>
      </c>
      <c r="J25" s="39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8"/>
      <c r="J26" s="88"/>
    </row>
    <row r="27" customFormat="false" ht="15" hidden="false" customHeight="true" outlineLevel="0" collapsed="false">
      <c r="A27" s="38" t="s">
        <v>217</v>
      </c>
      <c r="B27" s="39" t="n">
        <f aca="false">Model!E209+Model!F209+Model!G209+Model!H209+Model!I209+Model!J209+Model!K209+Model!L209+Model!M209+Model!B209+Model!C209+Model!D209</f>
        <v>568507.712858112</v>
      </c>
      <c r="C27" s="39" t="n">
        <f aca="false">Model!N209+Model!O209+Model!P209+Model!Q209+Model!R209+Model!S209+Model!T209+Model!U209+Model!V209+Model!W209+Model!X209+Model!Y209</f>
        <v>2438189.03592333</v>
      </c>
      <c r="D27" s="39" t="n">
        <f aca="false">Model!Z209+Model!AA209+Model!AB209+Model!AC209+Model!AD209+Model!AE209+Model!AF209+Model!AG209+Model!AH209+Model!AI209+Model!AJ209+Model!AK209</f>
        <v>2248695.12770506</v>
      </c>
      <c r="E27" s="39" t="n">
        <f aca="false">Model!AL209+Model!AM209+Model!AN209+Model!AO209+Model!AP209+Model!AQ209+Model!AR209+Model!AS209+Model!AT209+Model!AU209+Model!AV209+Model!AW209</f>
        <v>-3289524.22927687</v>
      </c>
      <c r="F27" s="39" t="n">
        <f aca="false">Model!AX209+Model!AY209+Model!AZ209+Model!BA209+Model!BB209+Model!BC209+Model!BD209+Model!BE209+Model!BF209+Model!BG209+Model!BH209+Model!BI209</f>
        <v>-5651678.71376376</v>
      </c>
      <c r="G27" s="39" t="n">
        <f aca="false">Model!BJ209+Model!BK209+Model!BL209+Model!BM209+Model!BN209+Model!BO209+Model!BP209+Model!BQ209+Model!BR209+Model!BS209+Model!BT209+Model!BU209</f>
        <v>-7641636.10914084</v>
      </c>
      <c r="H27" s="39" t="n">
        <f aca="false">Model!BV209+Model!BW209+Model!BX209+Model!BY209+Model!BZ209+Model!CA209+Model!CB209+Model!CC209+Model!CD209+Model!CE209+Model!CF209+Model!CG209</f>
        <v>-7604459.42832366</v>
      </c>
      <c r="I27" s="39" t="n">
        <f aca="false">Model!CH209+Model!CI209+Model!CJ209+Model!CK209+Model!CL209+Model!CM209+Model!CN209+Model!CO209+Model!CP209+Model!CQ209+Model!CR209+Model!CS209</f>
        <v>-6522065.03028365</v>
      </c>
      <c r="J27" s="39" t="n">
        <f aca="false">Model!CT209+Model!CU209+Model!CV209+Model!CW209+Model!CX209+Model!CY209+Model!CZ209+Model!DA209+Model!DB209+Model!DC209+Model!DD209+Model!DE209</f>
        <v>-4931411.71497422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8"/>
      <c r="J28" s="88"/>
    </row>
    <row r="29" customFormat="false" ht="15" hidden="false" customHeight="true" outlineLevel="0" collapsed="false">
      <c r="A29" s="23" t="s">
        <v>218</v>
      </c>
      <c r="B29" s="36"/>
      <c r="C29" s="36"/>
      <c r="D29" s="36"/>
      <c r="E29" s="36"/>
      <c r="F29" s="36"/>
      <c r="G29" s="36"/>
      <c r="H29" s="36"/>
      <c r="I29" s="25"/>
      <c r="J29" s="25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8"/>
      <c r="J35" s="88"/>
    </row>
    <row r="36" customFormat="false" ht="15" hidden="false" customHeight="true" outlineLevel="0" collapsed="false">
      <c r="A36" s="23" t="s">
        <v>224</v>
      </c>
      <c r="B36" s="36"/>
      <c r="C36" s="36"/>
      <c r="D36" s="36"/>
      <c r="E36" s="36"/>
      <c r="F36" s="36"/>
      <c r="G36" s="36"/>
      <c r="H36" s="36"/>
      <c r="I36" s="25"/>
      <c r="J36" s="25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500000</v>
      </c>
      <c r="G40" s="13" t="n">
        <f aca="false">Model!BU224</f>
        <v>500000</v>
      </c>
      <c r="H40" s="13" t="n">
        <f aca="false">Model!CG224</f>
        <v>500000</v>
      </c>
      <c r="I40" s="13" t="n">
        <f aca="false">Model!CS224</f>
        <v>500000</v>
      </c>
      <c r="J40" s="13" t="n">
        <f aca="false">Model!DE224</f>
        <v>500000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8"/>
      <c r="J43" s="88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8"/>
      <c r="J45" s="88"/>
    </row>
    <row r="46" customFormat="false" ht="15" hidden="false" customHeight="true" outlineLevel="0" collapsed="false">
      <c r="A46" s="89" t="s">
        <v>180</v>
      </c>
      <c r="B46" s="90" t="n">
        <f aca="false">Model!M270</f>
        <v>1440326.78747725</v>
      </c>
      <c r="C46" s="90" t="n">
        <f aca="false">Model!Y270</f>
        <v>3954552.57378385</v>
      </c>
      <c r="D46" s="90" t="n">
        <f aca="false">Model!AK270</f>
        <v>7087521.32858555</v>
      </c>
      <c r="E46" s="90" t="n">
        <f aca="false">Model!AW270</f>
        <v>5861615.96733723</v>
      </c>
      <c r="F46" s="90" t="n">
        <f aca="false">Model!BI270</f>
        <v>1526728.08263546</v>
      </c>
      <c r="G46" s="90" t="n">
        <f aca="false">Model!BU270</f>
        <v>-5206378.75654968</v>
      </c>
      <c r="H46" s="90" t="n">
        <f aca="false">Model!CG270</f>
        <v>-12049227.7325185</v>
      </c>
      <c r="I46" s="90" t="n">
        <f aca="false">Model!CS270</f>
        <v>-19004013.6880067</v>
      </c>
      <c r="J46" s="90" t="n">
        <f aca="false">Model!DE270</f>
        <v>-25401393.1999209</v>
      </c>
    </row>
    <row r="47" customFormat="false" ht="15" hidden="false" customHeight="true" outlineLevel="0" collapsed="false">
      <c r="A47" s="89" t="s">
        <v>187</v>
      </c>
      <c r="B47" s="90" t="n">
        <f aca="false">Model!M278</f>
        <v>-3785.53285714291</v>
      </c>
      <c r="C47" s="90" t="n">
        <f aca="false">Model!Y278</f>
        <v>-1691598.2065</v>
      </c>
      <c r="D47" s="90" t="n">
        <f aca="false">Model!AK278</f>
        <v>-3440929.6996086</v>
      </c>
      <c r="E47" s="90" t="n">
        <f aca="false">Model!AW278</f>
        <v>-4739702.9636952</v>
      </c>
      <c r="F47" s="90" t="n">
        <f aca="false">Model!BI278</f>
        <v>-5749057.49306353</v>
      </c>
      <c r="G47" s="90" t="n">
        <f aca="false">Model!BU278</f>
        <v>-6657586.76301923</v>
      </c>
      <c r="H47" s="90" t="n">
        <f aca="false">Model!CG278</f>
        <v>-7419197.21537404</v>
      </c>
      <c r="I47" s="90" t="n">
        <f aca="false">Model!CS278</f>
        <v>-6986476.29016947</v>
      </c>
      <c r="J47" s="90" t="n">
        <f aca="false">Model!DE278</f>
        <v>-5520508.49322958</v>
      </c>
    </row>
    <row r="48" customFormat="false" ht="15" hidden="false" customHeight="true" outlineLevel="0" collapsed="false">
      <c r="A48" s="89" t="s">
        <v>190</v>
      </c>
      <c r="B48" s="90" t="n">
        <f aca="false">Model!E282+Model!F282+Model!G282+Model!H282+Model!I282+Model!J282+Model!K282+Model!L282+Model!M282+Model!B282+Model!C282+Model!D282</f>
        <v>0</v>
      </c>
      <c r="C48" s="90" t="n">
        <f aca="false">Model!N282+Model!O282+Model!P282+Model!Q282+Model!R282+Model!S282+Model!T282+Model!U282+Model!V282+Model!W282+Model!X282+Model!Y282</f>
        <v>-170552.313857433</v>
      </c>
      <c r="D48" s="90" t="n">
        <f aca="false">Model!Z282+Model!AA282+Model!AB282+Model!AC282+Model!AD282+Model!AE282+Model!AF282+Model!AG282+Model!AH282+Model!AI282+Model!AJ282+Model!AK282</f>
        <v>-731456.710777</v>
      </c>
      <c r="E48" s="90" t="n">
        <f aca="false">Model!AL282+Model!AM282+Model!AN282+Model!AO282+Model!AP282+Model!AQ282+Model!AR282+Model!AS282+Model!AT282+Model!AU282+Model!AV282+Model!AW282</f>
        <v>-674608.538311518</v>
      </c>
      <c r="F48" s="90" t="n">
        <f aca="false">Model!AX282+Model!AY282+Model!AZ282+Model!BA282+Model!BB282+Model!BC282+Model!BD282+Model!BE282+Model!BF282+Model!BG282+Model!BH282+Model!BI282</f>
        <v>0</v>
      </c>
      <c r="G48" s="90" t="n">
        <f aca="false">Model!BJ282+Model!BK282+Model!BL282+Model!BM282+Model!BN282+Model!BO282+Model!BP282+Model!BQ282+Model!BR282+Model!BS282+Model!BT282+Model!BU282</f>
        <v>0</v>
      </c>
      <c r="H48" s="90" t="n">
        <f aca="false">Model!BV282+Model!BW282+Model!BX282+Model!BY282+Model!BZ282+Model!CA282+Model!CB282+Model!CC282+Model!CD282+Model!CE282+Model!CF282+Model!CG282</f>
        <v>0</v>
      </c>
      <c r="I48" s="90" t="n">
        <f aca="false">Model!CH282+Model!CI282+Model!CJ282+Model!CK282+Model!CL282+Model!CM282+Model!CN282+Model!CO282+Model!CP282+Model!CQ282+Model!CR282+Model!CS282</f>
        <v>0</v>
      </c>
      <c r="J48" s="90" t="n">
        <f aca="false">Model!CT282+Model!CU282+Model!CV282+Model!CW282+Model!CX282+Model!CY282+Model!CZ282+Model!DA282+Model!DB282+Model!DC282+Model!DD282+Model!DE282</f>
        <v>0</v>
      </c>
    </row>
    <row r="49" customFormat="false" ht="15" hidden="false" customHeight="true" outlineLevel="0" collapsed="false">
      <c r="A49" s="29" t="s">
        <v>191</v>
      </c>
      <c r="B49" s="91" t="n">
        <f aca="false">Model!M283</f>
        <v>1298514.34738203</v>
      </c>
      <c r="C49" s="91" t="n">
        <f aca="false">Model!Y283</f>
        <v>1992101.04673248</v>
      </c>
      <c r="D49" s="91" t="n">
        <f aca="false">Model!AK283</f>
        <v>3340843.15312053</v>
      </c>
      <c r="E49" s="91" t="n">
        <f aca="false">Model!AW283</f>
        <v>1517637.70023604</v>
      </c>
      <c r="F49" s="91" t="n">
        <f aca="false">Model!BI283</f>
        <v>-3667994.69456722</v>
      </c>
      <c r="G49" s="91" t="n">
        <f aca="false">Model!BU283</f>
        <v>-11300620.7760575</v>
      </c>
      <c r="H49" s="91" t="n">
        <f aca="false">Model!CG283</f>
        <v>-18895889.9761776</v>
      </c>
      <c r="I49" s="91" t="n">
        <f aca="false">Model!CS283</f>
        <v>-25408580.9736936</v>
      </c>
      <c r="J49" s="91" t="n">
        <f aca="false">Model!DE283</f>
        <v>-30386672.0460115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92" t="s">
        <v>233</v>
      </c>
      <c r="C2" s="93" t="s">
        <v>234</v>
      </c>
      <c r="D2" s="93" t="s">
        <v>235</v>
      </c>
      <c r="E2" s="93" t="s">
        <v>236</v>
      </c>
      <c r="F2" s="93" t="s">
        <v>237</v>
      </c>
      <c r="G2" s="93" t="s">
        <v>238</v>
      </c>
      <c r="H2" s="93" t="s">
        <v>239</v>
      </c>
      <c r="I2" s="93" t="s">
        <v>240</v>
      </c>
      <c r="J2" s="93" t="s">
        <v>241</v>
      </c>
      <c r="K2" s="93" t="s">
        <v>242</v>
      </c>
      <c r="L2" s="93" t="s">
        <v>243</v>
      </c>
      <c r="M2" s="93" t="s">
        <v>244</v>
      </c>
      <c r="N2" s="93" t="s">
        <v>245</v>
      </c>
      <c r="O2" s="93" t="s">
        <v>246</v>
      </c>
      <c r="P2" s="93" t="s">
        <v>247</v>
      </c>
      <c r="Q2" s="93" t="s">
        <v>248</v>
      </c>
      <c r="R2" s="93" t="s">
        <v>249</v>
      </c>
      <c r="S2" s="93" t="s">
        <v>250</v>
      </c>
      <c r="T2" s="93" t="s">
        <v>251</v>
      </c>
      <c r="U2" s="93" t="s">
        <v>252</v>
      </c>
      <c r="V2" s="93" t="s">
        <v>253</v>
      </c>
      <c r="W2" s="93" t="s">
        <v>254</v>
      </c>
      <c r="X2" s="93" t="s">
        <v>255</v>
      </c>
      <c r="Y2" s="93" t="s">
        <v>256</v>
      </c>
      <c r="Z2" s="93" t="s">
        <v>257</v>
      </c>
      <c r="AA2" s="93" t="s">
        <v>258</v>
      </c>
      <c r="AB2" s="93" t="s">
        <v>259</v>
      </c>
      <c r="AC2" s="93" t="s">
        <v>260</v>
      </c>
      <c r="AD2" s="93" t="s">
        <v>261</v>
      </c>
      <c r="AE2" s="93" t="s">
        <v>262</v>
      </c>
      <c r="AF2" s="93" t="s">
        <v>263</v>
      </c>
      <c r="AG2" s="93" t="s">
        <v>264</v>
      </c>
      <c r="AH2" s="93" t="s">
        <v>265</v>
      </c>
      <c r="AI2" s="93" t="s">
        <v>266</v>
      </c>
      <c r="AJ2" s="93" t="s">
        <v>267</v>
      </c>
      <c r="AK2" s="93" t="s">
        <v>268</v>
      </c>
    </row>
    <row r="3" customFormat="false" ht="1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</row>
    <row r="4" customFormat="false" ht="15" hidden="false" customHeight="true" outlineLevel="0" collapsed="false">
      <c r="A4" s="28" t="s">
        <v>208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1289767.18036699</v>
      </c>
      <c r="E4" s="13" t="n">
        <f aca="false">SUM(Model!K10:M10)</f>
        <v>1442553.13080445</v>
      </c>
      <c r="F4" s="13" t="n">
        <f aca="false">SUM(Model!N10:P10)</f>
        <v>1217801.30451206</v>
      </c>
      <c r="G4" s="13" t="n">
        <f aca="false">SUM(Model!Q10:S10)</f>
        <v>1630015.08402829</v>
      </c>
      <c r="H4" s="13" t="n">
        <f aca="false">SUM(Model!T10:V10)</f>
        <v>1495575.15811203</v>
      </c>
      <c r="I4" s="13" t="n">
        <f aca="false">SUM(Model!W10:Y10)</f>
        <v>1447030.17004598</v>
      </c>
      <c r="J4" s="13" t="n">
        <f aca="false">SUM(Model!Z10:AB10)</f>
        <v>1442175.93020004</v>
      </c>
      <c r="K4" s="13" t="n">
        <f aca="false">SUM(Model!AC10:AE10)</f>
        <v>1398181.31713001</v>
      </c>
      <c r="L4" s="13" t="n">
        <f aca="false">SUM(Model!AF10:AH10)</f>
        <v>1593601.8041122</v>
      </c>
      <c r="M4" s="13" t="n">
        <f aca="false">SUM(Model!AI10:AK10)</f>
        <v>1415409.9963661</v>
      </c>
      <c r="N4" s="13" t="n">
        <f aca="false">SUM(Model!AL10:AN10)</f>
        <v>887097.413792532</v>
      </c>
      <c r="O4" s="13" t="n">
        <f aca="false">SUM(Model!AO10:AQ10)</f>
        <v>566116.33830605</v>
      </c>
      <c r="P4" s="13" t="n">
        <f aca="false">SUM(Model!AR10:AT10)</f>
        <v>721822.71041355</v>
      </c>
      <c r="Q4" s="13" t="n">
        <f aca="false">SUM(Model!AU10:AW10)</f>
        <v>270274.2313018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customFormat="false" ht="15" hidden="false" customHeight="true" outlineLevel="0" collapsed="false">
      <c r="A5" s="28" t="s">
        <v>209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1035088.3389348</v>
      </c>
      <c r="E5" s="13" t="n">
        <f aca="false">SUM(Model!K11:M11)</f>
        <v>1149065.47676993</v>
      </c>
      <c r="F5" s="13" t="n">
        <f aca="false">SUM(Model!N11:P11)</f>
        <v>968000.844841059</v>
      </c>
      <c r="G5" s="13" t="n">
        <f aca="false">SUM(Model!Q11:S11)</f>
        <v>1262589.62971695</v>
      </c>
      <c r="H5" s="13" t="n">
        <f aca="false">SUM(Model!T11:V11)</f>
        <v>1135785.42735886</v>
      </c>
      <c r="I5" s="13" t="n">
        <f aca="false">SUM(Model!W11:Y11)</f>
        <v>1087854.48776485</v>
      </c>
      <c r="J5" s="13" t="n">
        <f aca="false">SUM(Model!Z11:AB11)</f>
        <v>1081626.70680429</v>
      </c>
      <c r="K5" s="13" t="n">
        <f aca="false">SUM(Model!AC11:AE11)</f>
        <v>1048630.90687753</v>
      </c>
      <c r="L5" s="13" t="n">
        <f aca="false">SUM(Model!AF11:AH11)</f>
        <v>1195195.56195905</v>
      </c>
      <c r="M5" s="13" t="n">
        <f aca="false">SUM(Model!AI11:AK11)</f>
        <v>1061552.35369584</v>
      </c>
      <c r="N5" s="13" t="n">
        <f aca="false">SUM(Model!AL11:AN11)</f>
        <v>665319.836645679</v>
      </c>
      <c r="O5" s="13" t="n">
        <f aca="false">SUM(Model!AO11:AQ11)</f>
        <v>424585.19647124</v>
      </c>
      <c r="P5" s="13" t="n">
        <f aca="false">SUM(Model!AR11:AT11)</f>
        <v>541364.40971724</v>
      </c>
      <c r="Q5" s="13" t="n">
        <f aca="false">SUM(Model!AU11:AW11)</f>
        <v>202704.69130384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customFormat="false" ht="15" hidden="false" customHeight="true" outlineLevel="0" collapsed="false">
      <c r="A6" s="28" t="s">
        <v>210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15447263.3324776</v>
      </c>
      <c r="E6" s="13" t="n">
        <f aca="false">SUM(Model!K57:M57)</f>
        <v>17457541.942946</v>
      </c>
      <c r="F6" s="13" t="n">
        <f aca="false">SUM(Model!N57:P57)</f>
        <v>17121989.9889059</v>
      </c>
      <c r="G6" s="13" t="n">
        <f aca="false">SUM(Model!Q57:S57)</f>
        <v>20951436.0221094</v>
      </c>
      <c r="H6" s="13" t="n">
        <f aca="false">SUM(Model!T57:V57)</f>
        <v>21887738.7740042</v>
      </c>
      <c r="I6" s="13" t="n">
        <f aca="false">SUM(Model!W57:Y57)</f>
        <v>24017176.6240562</v>
      </c>
      <c r="J6" s="13" t="n">
        <f aca="false">SUM(Model!Z57:AB57)</f>
        <v>23821462.0561222</v>
      </c>
      <c r="K6" s="13" t="n">
        <f aca="false">SUM(Model!AC57:AE57)</f>
        <v>21551616.8070759</v>
      </c>
      <c r="L6" s="13" t="n">
        <f aca="false">SUM(Model!AF57:AH57)</f>
        <v>18297182.8247947</v>
      </c>
      <c r="M6" s="13" t="n">
        <f aca="false">SUM(Model!AI57:AK57)</f>
        <v>13313250.0537155</v>
      </c>
      <c r="N6" s="13" t="n">
        <f aca="false">SUM(Model!AL57:AN57)</f>
        <v>8694755.47780359</v>
      </c>
      <c r="O6" s="13" t="n">
        <f aca="false">SUM(Model!AO57:AQ57)</f>
        <v>7969650.95351671</v>
      </c>
      <c r="P6" s="13" t="n">
        <f aca="false">SUM(Model!AR57:AT57)</f>
        <v>6942761.80178521</v>
      </c>
      <c r="Q6" s="13" t="n">
        <f aca="false">SUM(Model!AU57:AW57)</f>
        <v>5044597.43346636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customFormat="false" ht="15" hidden="false" customHeight="true" outlineLevel="0" collapsed="false">
      <c r="A7" s="94" t="s">
        <v>52</v>
      </c>
      <c r="B7" s="95" t="n">
        <f aca="false">SUM(Model!B58:D58)</f>
        <v>7148528.54</v>
      </c>
      <c r="C7" s="95" t="n">
        <f aca="false">SUM(Model!E58:G58)</f>
        <v>14360682.51</v>
      </c>
      <c r="D7" s="95" t="n">
        <f aca="false">SUM(Model!H58:J58)</f>
        <v>17772118.8517794</v>
      </c>
      <c r="E7" s="95" t="n">
        <f aca="false">SUM(Model!K58:M58)</f>
        <v>20049160.5505204</v>
      </c>
      <c r="F7" s="95" t="n">
        <f aca="false">SUM(Model!N58:P58)</f>
        <v>19307792.138259</v>
      </c>
      <c r="G7" s="95" t="n">
        <f aca="false">SUM(Model!Q58:S58)</f>
        <v>23844040.7358547</v>
      </c>
      <c r="H7" s="95" t="n">
        <f aca="false">SUM(Model!T58:V58)</f>
        <v>24519099.3594751</v>
      </c>
      <c r="I7" s="95" t="n">
        <f aca="false">SUM(Model!W58:Y58)</f>
        <v>26552061.281867</v>
      </c>
      <c r="J7" s="95" t="n">
        <f aca="false">SUM(Model!Z58:AB58)</f>
        <v>26345264.6931265</v>
      </c>
      <c r="K7" s="95" t="n">
        <f aca="false">SUM(Model!AC58:AE58)</f>
        <v>23998429.0310834</v>
      </c>
      <c r="L7" s="95" t="n">
        <f aca="false">SUM(Model!AF58:AH58)</f>
        <v>21085980.190866</v>
      </c>
      <c r="M7" s="95" t="n">
        <f aca="false">SUM(Model!AI58:AK58)</f>
        <v>15790212.4037774</v>
      </c>
      <c r="N7" s="95" t="n">
        <f aca="false">SUM(Model!AL58:AN58)</f>
        <v>10247172.7282418</v>
      </c>
      <c r="O7" s="95" t="n">
        <f aca="false">SUM(Model!AO58:AQ58)</f>
        <v>8960352.488294</v>
      </c>
      <c r="P7" s="95" t="n">
        <f aca="false">SUM(Model!AR58:AT58)</f>
        <v>8205948.921916</v>
      </c>
      <c r="Q7" s="95" t="n">
        <f aca="false">SUM(Model!AU58:AW58)</f>
        <v>5517576.356072</v>
      </c>
      <c r="R7" s="95" t="n">
        <f aca="false">SUM(Model!AX58:AZ58)</f>
        <v>4898042.61408</v>
      </c>
      <c r="S7" s="95" t="n">
        <f aca="false">SUM(Model!BA58:BC58)</f>
        <v>3976537.349224</v>
      </c>
      <c r="T7" s="95" t="n">
        <f aca="false">SUM(Model!BD58:BF58)</f>
        <v>2952513.95164</v>
      </c>
      <c r="U7" s="95" t="n">
        <f aca="false">SUM(Model!BG58:BI58)</f>
        <v>1431656.005208</v>
      </c>
      <c r="V7" s="95" t="n">
        <f aca="false">SUM(Model!BJ58:BL58)</f>
        <v>0</v>
      </c>
      <c r="W7" s="95" t="n">
        <f aca="false">SUM(Model!BM58:BO58)</f>
        <v>0</v>
      </c>
      <c r="X7" s="95" t="n">
        <f aca="false">SUM(Model!BP58:BR58)</f>
        <v>0</v>
      </c>
      <c r="Y7" s="95" t="n">
        <f aca="false">SUM(Model!BS58:BU58)</f>
        <v>0</v>
      </c>
      <c r="Z7" s="95" t="n">
        <f aca="false">SUM(Model!BV58:BX58)</f>
        <v>0</v>
      </c>
      <c r="AA7" s="95" t="n">
        <f aca="false">SUM(Model!BY58:CA58)</f>
        <v>0</v>
      </c>
      <c r="AB7" s="95" t="n">
        <f aca="false">SUM(Model!CB58:CD58)</f>
        <v>0</v>
      </c>
      <c r="AC7" s="95" t="n">
        <f aca="false">SUM(Model!CE58:CG58)</f>
        <v>0</v>
      </c>
      <c r="AD7" s="95" t="n">
        <f aca="false">SUM(Model!CH58:CJ58)</f>
        <v>0</v>
      </c>
      <c r="AE7" s="95" t="n">
        <f aca="false">SUM(Model!CK58:CM58)</f>
        <v>0</v>
      </c>
      <c r="AF7" s="95" t="n">
        <f aca="false">SUM(Model!CN58:CP58)</f>
        <v>0</v>
      </c>
      <c r="AG7" s="95" t="n">
        <f aca="false">SUM(Model!CQ58:CS58)</f>
        <v>0</v>
      </c>
      <c r="AH7" s="95" t="n">
        <f aca="false">SUM(Model!CT58:CV58)</f>
        <v>0</v>
      </c>
      <c r="AI7" s="95" t="n">
        <f aca="false">SUM(Model!CW58:CY58)</f>
        <v>0</v>
      </c>
      <c r="AJ7" s="95" t="n">
        <f aca="false">SUM(Model!CZ58:DB58)</f>
        <v>0</v>
      </c>
      <c r="AK7" s="95" t="n">
        <f aca="false">SUM(Model!DC58:DE58)</f>
        <v>0</v>
      </c>
    </row>
    <row r="8" customFormat="false" ht="15" hidden="false" customHeight="true" outlineLevel="0" collapsed="false">
      <c r="A8" s="28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-15743373.5435035</v>
      </c>
      <c r="E8" s="13" t="n">
        <f aca="false">SUM(Model!K104:M104)</f>
        <v>-17743210.5856063</v>
      </c>
      <c r="F8" s="13" t="n">
        <f aca="false">SUM(Model!N104:P104)</f>
        <v>-17346937.7110793</v>
      </c>
      <c r="G8" s="13" t="n">
        <f aca="false">SUM(Model!Q104:S104)</f>
        <v>-21094690.5844622</v>
      </c>
      <c r="H8" s="13" t="n">
        <f aca="false">SUM(Model!T104:V104)</f>
        <v>-21896477.4774104</v>
      </c>
      <c r="I8" s="13" t="n">
        <f aca="false">SUM(Model!W104:Y104)</f>
        <v>-24017279.0024377</v>
      </c>
      <c r="J8" s="13" t="n">
        <f aca="false">SUM(Model!Z104:AB104)</f>
        <v>-23821462.0561222</v>
      </c>
      <c r="K8" s="13" t="n">
        <f aca="false">SUM(Model!AC104:AE104)</f>
        <v>-21551616.8070759</v>
      </c>
      <c r="L8" s="13" t="n">
        <f aca="false">SUM(Model!AF104:AH104)</f>
        <v>-18297182.8247947</v>
      </c>
      <c r="M8" s="13" t="n">
        <f aca="false">SUM(Model!AI104:AK104)</f>
        <v>-13313250.0537155</v>
      </c>
      <c r="N8" s="13" t="n">
        <f aca="false">SUM(Model!AL104:AN104)</f>
        <v>-8694755.47780359</v>
      </c>
      <c r="O8" s="13" t="n">
        <f aca="false">SUM(Model!AO104:AQ104)</f>
        <v>-7969650.95351671</v>
      </c>
      <c r="P8" s="13" t="n">
        <f aca="false">SUM(Model!AR104:AT104)</f>
        <v>-6942761.80178521</v>
      </c>
      <c r="Q8" s="13" t="n">
        <f aca="false">SUM(Model!AU104:AW104)</f>
        <v>-5044597.43346636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customFormat="false" ht="15" hidden="false" customHeight="true" outlineLevel="0" collapsed="false">
      <c r="A9" s="28" t="s">
        <v>211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1561967.335</v>
      </c>
      <c r="E9" s="13" t="n">
        <f aca="false">SUM(Model!K105:M105)</f>
        <v>0</v>
      </c>
      <c r="F9" s="13" t="n">
        <f aca="false">SUM(Model!N105:P105)</f>
        <v>0</v>
      </c>
      <c r="G9" s="13" t="n">
        <f aca="false">SUM(Model!Q105:S105)</f>
        <v>679001.55</v>
      </c>
      <c r="H9" s="13" t="n">
        <f aca="false">SUM(Model!T105:V105)</f>
        <v>0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customFormat="false" ht="15" hidden="false" customHeight="true" outlineLevel="0" collapsed="false">
      <c r="A10" s="28" t="s">
        <v>212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-1896672.58580814</v>
      </c>
      <c r="E10" s="13" t="n">
        <f aca="false">SUM(Model!K106:M106)</f>
        <v>0</v>
      </c>
      <c r="F10" s="13" t="n">
        <f aca="false">SUM(Model!N106:P106)</f>
        <v>0</v>
      </c>
      <c r="G10" s="13" t="n">
        <f aca="false">SUM(Model!Q106:S106)</f>
        <v>-1471170.025</v>
      </c>
      <c r="H10" s="13" t="n">
        <f aca="false">SUM(Model!T106:V106)</f>
        <v>0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true" outlineLevel="0" collapsed="false">
      <c r="A11" s="84" t="s">
        <v>57</v>
      </c>
      <c r="B11" s="34" t="n">
        <f aca="false">SUM(Model!B107:D107)</f>
        <v>761940.61</v>
      </c>
      <c r="C11" s="34" t="n">
        <f aca="false">SUM(Model!E107:G107)</f>
        <v>1572790.08</v>
      </c>
      <c r="D11" s="34" t="n">
        <f aca="false">SUM(Model!H107:J107)</f>
        <v>1694040.05746782</v>
      </c>
      <c r="E11" s="34" t="n">
        <f aca="false">SUM(Model!K107:M107)</f>
        <v>2305949.9649141</v>
      </c>
      <c r="F11" s="34" t="n">
        <f aca="false">SUM(Model!N107:P107)</f>
        <v>1960854.42717965</v>
      </c>
      <c r="G11" s="34" t="n">
        <f aca="false">SUM(Model!Q107:S107)</f>
        <v>1957181.67639243</v>
      </c>
      <c r="H11" s="34" t="n">
        <f aca="false">SUM(Model!T107:V107)</f>
        <v>2622621.88206475</v>
      </c>
      <c r="I11" s="34" t="n">
        <f aca="false">SUM(Model!W107:Y107)</f>
        <v>2534782.27942935</v>
      </c>
      <c r="J11" s="34" t="n">
        <f aca="false">SUM(Model!Z107:AB107)</f>
        <v>2523802.63700433</v>
      </c>
      <c r="K11" s="34" t="n">
        <f aca="false">SUM(Model!AC107:AE107)</f>
        <v>1723106.16400754</v>
      </c>
      <c r="L11" s="34" t="n">
        <f aca="false">SUM(Model!AF107:AH107)</f>
        <v>2788797.36607125</v>
      </c>
      <c r="M11" s="34" t="n">
        <f aca="false">SUM(Model!AI107:AK107)</f>
        <v>2476962.35006193</v>
      </c>
      <c r="N11" s="34" t="n">
        <f aca="false">SUM(Model!AL107:AN107)</f>
        <v>1552417.25043821</v>
      </c>
      <c r="O11" s="34" t="n">
        <f aca="false">SUM(Model!AO107:AQ107)</f>
        <v>990701.534777289</v>
      </c>
      <c r="P11" s="34" t="n">
        <f aca="false">SUM(Model!AR107:AT107)</f>
        <v>1263187.12013079</v>
      </c>
      <c r="Q11" s="34" t="n">
        <f aca="false">SUM(Model!AU107:AW107)</f>
        <v>472978.92260564</v>
      </c>
      <c r="R11" s="34" t="n">
        <f aca="false">SUM(Model!AX107:AZ107)</f>
        <v>472978.92260564</v>
      </c>
      <c r="S11" s="34" t="n">
        <f aca="false">SUM(Model!BA107:BC107)</f>
        <v>472978.92260564</v>
      </c>
      <c r="T11" s="34" t="n">
        <f aca="false">SUM(Model!BD107:BF107)</f>
        <v>472978.92260564</v>
      </c>
      <c r="U11" s="34" t="n">
        <f aca="false">SUM(Model!BG107:BI107)</f>
        <v>564255.556792693</v>
      </c>
      <c r="V11" s="34" t="n">
        <f aca="false">SUM(Model!BJ107:BL107)</f>
        <v>0</v>
      </c>
      <c r="W11" s="34" t="n">
        <f aca="false">SUM(Model!BM107:BO107)</f>
        <v>0</v>
      </c>
      <c r="X11" s="34" t="n">
        <f aca="false">SUM(Model!BP107:BR107)</f>
        <v>0</v>
      </c>
      <c r="Y11" s="34" t="n">
        <f aca="false">SUM(Model!BS107:BU107)</f>
        <v>0</v>
      </c>
      <c r="Z11" s="34" t="n">
        <f aca="false">SUM(Model!BV107:BX107)</f>
        <v>0</v>
      </c>
      <c r="AA11" s="34" t="n">
        <f aca="false">SUM(Model!BY107:CA107)</f>
        <v>0</v>
      </c>
      <c r="AB11" s="34" t="n">
        <f aca="false">SUM(Model!CB107:CD107)</f>
        <v>0</v>
      </c>
      <c r="AC11" s="34" t="n">
        <f aca="false">SUM(Model!CE107:CG107)</f>
        <v>0</v>
      </c>
      <c r="AD11" s="34" t="n">
        <f aca="false">SUM(Model!CH107:CJ107)</f>
        <v>0</v>
      </c>
      <c r="AE11" s="34" t="n">
        <f aca="false">SUM(Model!CK107:CM107)</f>
        <v>0</v>
      </c>
      <c r="AF11" s="34" t="n">
        <f aca="false">SUM(Model!CN107:CP107)</f>
        <v>0</v>
      </c>
      <c r="AG11" s="34" t="n">
        <f aca="false">SUM(Model!CQ107:CS107)</f>
        <v>0</v>
      </c>
      <c r="AH11" s="34" t="n">
        <f aca="false">SUM(Model!CT107:CV107)</f>
        <v>0</v>
      </c>
      <c r="AI11" s="34" t="n">
        <f aca="false">SUM(Model!CW107:CY107)</f>
        <v>0</v>
      </c>
      <c r="AJ11" s="34" t="n">
        <f aca="false">SUM(Model!CZ107:DB107)</f>
        <v>0</v>
      </c>
      <c r="AK11" s="34" t="n">
        <f aca="false">SUM(Model!DC107:DE107)</f>
        <v>0</v>
      </c>
    </row>
    <row r="12" s="97" customFormat="true" ht="15" hidden="false" customHeight="true" outlineLevel="0" collapsed="false">
      <c r="A12" s="28" t="s">
        <v>58</v>
      </c>
      <c r="B12" s="96" t="n">
        <f aca="false">IFERROR(B11/B7,0)</f>
        <v>0.10658705574672</v>
      </c>
      <c r="C12" s="96" t="n">
        <f aca="false">IFERROR(C11/C7,0)</f>
        <v>0.109520566233868</v>
      </c>
      <c r="D12" s="96" t="n">
        <f aca="false">IFERROR(D11/D7,0)</f>
        <v>0.0953200950092794</v>
      </c>
      <c r="E12" s="96" t="n">
        <f aca="false">IFERROR(E11/E7,0)</f>
        <v>0.11501478872911</v>
      </c>
      <c r="F12" s="96" t="n">
        <f aca="false">IFERROR(F11/F7,0)</f>
        <v>0.101557672318947</v>
      </c>
      <c r="G12" s="96" t="n">
        <f aca="false">IFERROR(G11/G7,0)</f>
        <v>0.0820826343183261</v>
      </c>
      <c r="H12" s="96" t="n">
        <f aca="false">IFERROR(H11/H7,0)</f>
        <v>0.106962406881853</v>
      </c>
      <c r="I12" s="96" t="n">
        <f aca="false">IFERROR(I11/I7,0)</f>
        <v>0.095464613934151</v>
      </c>
      <c r="J12" s="96" t="n">
        <f aca="false">IFERROR(J11/J7,0)</f>
        <v>0.0957972017515084</v>
      </c>
      <c r="K12" s="96" t="n">
        <f aca="false">IFERROR(K11/K7,0)</f>
        <v>0.0718007900340365</v>
      </c>
      <c r="L12" s="96" t="n">
        <f aca="false">IFERROR(L11/L7,0)</f>
        <v>0.132258369818601</v>
      </c>
      <c r="M12" s="96" t="n">
        <f aca="false">IFERROR(M11/M7,0)</f>
        <v>0.156866943060841</v>
      </c>
      <c r="N12" s="96" t="n">
        <f aca="false">IFERROR(N11/N7,0)</f>
        <v>0.151497129170045</v>
      </c>
      <c r="O12" s="96" t="n">
        <f aca="false">IFERROR(O11/O7,0)</f>
        <v>0.110565018069497</v>
      </c>
      <c r="P12" s="96" t="n">
        <f aca="false">IFERROR(P11/P7,0)</f>
        <v>0.153935532886043</v>
      </c>
      <c r="Q12" s="96" t="n">
        <f aca="false">IFERROR(Q11/Q7,0)</f>
        <v>0.0857222251369725</v>
      </c>
      <c r="R12" s="96" t="n">
        <f aca="false">IFERROR(R11/R7,0)</f>
        <v>0.0965648851739277</v>
      </c>
      <c r="S12" s="96" t="n">
        <f aca="false">IFERROR(S11/S7,0)</f>
        <v>0.118942406689061</v>
      </c>
      <c r="T12" s="96" t="n">
        <f aca="false">IFERROR(T11/T7,0)</f>
        <v>0.160195321801247</v>
      </c>
      <c r="U12" s="96" t="n">
        <f aca="false">IFERROR(U11/U7,0)</f>
        <v>0.394127887383614</v>
      </c>
      <c r="V12" s="96" t="n">
        <f aca="false">IFERROR(V11/V7,0)</f>
        <v>0</v>
      </c>
      <c r="W12" s="96" t="n">
        <f aca="false">IFERROR(W11/W7,0)</f>
        <v>0</v>
      </c>
      <c r="X12" s="96" t="n">
        <f aca="false">IFERROR(X11/X7,0)</f>
        <v>0</v>
      </c>
      <c r="Y12" s="96" t="n">
        <f aca="false">IFERROR(Y11/Y7,0)</f>
        <v>0</v>
      </c>
      <c r="Z12" s="96" t="n">
        <f aca="false">IFERROR(Z11/Z7,0)</f>
        <v>0</v>
      </c>
      <c r="AA12" s="96" t="n">
        <f aca="false">IFERROR(AA11/AA7,0)</f>
        <v>0</v>
      </c>
      <c r="AB12" s="96" t="n">
        <f aca="false">IFERROR(AB11/AB7,0)</f>
        <v>0</v>
      </c>
      <c r="AC12" s="96" t="n">
        <f aca="false">IFERROR(AC11/AC7,0)</f>
        <v>0</v>
      </c>
      <c r="AD12" s="96" t="n">
        <f aca="false">IFERROR(AD11/AD7,0)</f>
        <v>0</v>
      </c>
      <c r="AE12" s="96" t="n">
        <f aca="false">IFERROR(AE11/AE7,0)</f>
        <v>0</v>
      </c>
      <c r="AF12" s="96" t="n">
        <f aca="false">IFERROR(AF11/AF7,0)</f>
        <v>0</v>
      </c>
      <c r="AG12" s="96" t="n">
        <f aca="false">IFERROR(AG11/AG7,0)</f>
        <v>0</v>
      </c>
      <c r="AH12" s="96" t="n">
        <f aca="false">IFERROR(AH11/AH7,0)</f>
        <v>0</v>
      </c>
      <c r="AI12" s="96" t="n">
        <f aca="false">IFERROR(AI11/AI7,0)</f>
        <v>0</v>
      </c>
      <c r="AJ12" s="96" t="n">
        <f aca="false">IFERROR(AJ11/AJ7,0)</f>
        <v>0</v>
      </c>
      <c r="AK12" s="96" t="n">
        <f aca="false">IFERROR(AK11/AK7,0)</f>
        <v>0</v>
      </c>
    </row>
    <row r="13" customFormat="false" ht="1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 customFormat="fals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customFormat="false" ht="15" hidden="false" customHeight="true" outlineLevel="0" collapsed="false">
      <c r="A15" s="28" t="s">
        <v>213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-948582.271666667</v>
      </c>
      <c r="E15" s="13" t="n">
        <f aca="false">SUM(Model!K111:M112)+SUM(Model!K114:M118)</f>
        <v>-991519.771666667</v>
      </c>
      <c r="F15" s="13" t="n">
        <f aca="false">SUM(Model!N111:P112)+SUM(Model!N114:P118)</f>
        <v>-1016328.105</v>
      </c>
      <c r="G15" s="13" t="n">
        <f aca="false">SUM(Model!Q111:S112)+SUM(Model!Q114:S118)</f>
        <v>-1083370.6671</v>
      </c>
      <c r="H15" s="13" t="n">
        <f aca="false">SUM(Model!T111:V112)+SUM(Model!T114:V118)</f>
        <v>-1083370.6671</v>
      </c>
      <c r="I15" s="13" t="n">
        <f aca="false">SUM(Model!W111:Y112)+SUM(Model!W114:Y118)</f>
        <v>-1083370.6671</v>
      </c>
      <c r="J15" s="13" t="n">
        <f aca="false">SUM(Model!Z111:AB112)+SUM(Model!Z114:AB118)</f>
        <v>-1083370.6671</v>
      </c>
      <c r="K15" s="13" t="n">
        <f aca="false">SUM(Model!AC111:AE112)+SUM(Model!AC114:AE118)</f>
        <v>-1105038.080442</v>
      </c>
      <c r="L15" s="13" t="n">
        <f aca="false">SUM(Model!AF111:AH112)+SUM(Model!AF114:AH118)</f>
        <v>-1105038.080442</v>
      </c>
      <c r="M15" s="13" t="n">
        <f aca="false">SUM(Model!AI111:AK112)+SUM(Model!AI114:AK118)</f>
        <v>-1105038.080442</v>
      </c>
      <c r="N15" s="13" t="n">
        <f aca="false">SUM(Model!AL111:AN112)+SUM(Model!AL114:AN118)</f>
        <v>-1105038.080442</v>
      </c>
      <c r="O15" s="13" t="n">
        <f aca="false">SUM(Model!AO111:AQ112)+SUM(Model!AO114:AQ118)</f>
        <v>-1127138.84205084</v>
      </c>
      <c r="P15" s="13" t="n">
        <f aca="false">SUM(Model!AR111:AT112)+SUM(Model!AR114:AT118)</f>
        <v>-1127138.84205084</v>
      </c>
      <c r="Q15" s="13" t="n">
        <f aca="false">SUM(Model!AU111:AW112)+SUM(Model!AU114:AW118)</f>
        <v>-1127138.84205084</v>
      </c>
      <c r="R15" s="13" t="n">
        <f aca="false">SUM(Model!AX111:AZ112)+SUM(Model!AX114:AZ118)</f>
        <v>-1127138.84205084</v>
      </c>
      <c r="S15" s="13" t="n">
        <f aca="false">SUM(Model!BA111:BC112)+SUM(Model!BA114:BC118)</f>
        <v>-1149681.61889186</v>
      </c>
      <c r="T15" s="13" t="n">
        <f aca="false">SUM(Model!BD111:BF112)+SUM(Model!BD114:BF118)</f>
        <v>-1149681.61889186</v>
      </c>
      <c r="U15" s="13" t="n">
        <f aca="false">SUM(Model!BG111:BI112)+SUM(Model!BG114:BI118)</f>
        <v>-1149681.61889186</v>
      </c>
      <c r="V15" s="13" t="n">
        <f aca="false">SUM(Model!BJ111:BL112)+SUM(Model!BJ114:BL118)</f>
        <v>-1149681.61889186</v>
      </c>
      <c r="W15" s="13" t="n">
        <f aca="false">SUM(Model!BM111:BO112)+SUM(Model!BM114:BO118)</f>
        <v>-1172675.25126969</v>
      </c>
      <c r="X15" s="13" t="n">
        <f aca="false">SUM(Model!BP111:BR112)+SUM(Model!BP114:BR118)</f>
        <v>-1172675.25126969</v>
      </c>
      <c r="Y15" s="13" t="n">
        <f aca="false">SUM(Model!BS111:BU112)+SUM(Model!BS114:BU118)</f>
        <v>-1172675.25126969</v>
      </c>
      <c r="Z15" s="13" t="n">
        <f aca="false">SUM(Model!BV111:BX112)+SUM(Model!BV114:BX118)</f>
        <v>-1172675.25126969</v>
      </c>
      <c r="AA15" s="13" t="n">
        <f aca="false">SUM(Model!BY111:CA112)+SUM(Model!BY114:CA118)</f>
        <v>-1196128.75629509</v>
      </c>
      <c r="AB15" s="13" t="n">
        <f aca="false">SUM(Model!CB111:CD112)+SUM(Model!CB114:CD118)</f>
        <v>-1196128.75629509</v>
      </c>
      <c r="AC15" s="13" t="n">
        <f aca="false">SUM(Model!CE111:CG112)+SUM(Model!CE114:CG118)</f>
        <v>-1196128.75629509</v>
      </c>
      <c r="AD15" s="13" t="n">
        <f aca="false">SUM(Model!CH111:CJ112)+SUM(Model!CH114:CJ118)</f>
        <v>-1196128.75629509</v>
      </c>
      <c r="AE15" s="13" t="n">
        <f aca="false">SUM(Model!CK111:CM112)+SUM(Model!CK114:CM118)</f>
        <v>-1220051.33142099</v>
      </c>
      <c r="AF15" s="13" t="n">
        <f aca="false">SUM(Model!CN111:CP112)+SUM(Model!CN114:CP118)</f>
        <v>-1220051.33142099</v>
      </c>
      <c r="AG15" s="13" t="n">
        <f aca="false">SUM(Model!CQ111:CS112)+SUM(Model!CQ114:CS118)</f>
        <v>-1220051.33142099</v>
      </c>
      <c r="AH15" s="13" t="n">
        <f aca="false">SUM(Model!CT111:CV112)+SUM(Model!CT114:CV118)</f>
        <v>-1054637.00563678</v>
      </c>
      <c r="AI15" s="13" t="n">
        <f aca="false">SUM(Model!CW111:CY112)+SUM(Model!CW114:CY118)</f>
        <v>-1075729.74574952</v>
      </c>
      <c r="AJ15" s="13" t="n">
        <f aca="false">SUM(Model!CZ111:DB112)+SUM(Model!CZ114:DB118)</f>
        <v>-1075729.74574952</v>
      </c>
      <c r="AK15" s="13" t="n">
        <f aca="false">SUM(Model!DC111:DE112)+SUM(Model!DC114:DE118)</f>
        <v>-1075729.74574952</v>
      </c>
    </row>
    <row r="16" customFormat="false" ht="15" hidden="false" customHeight="true" outlineLevel="0" collapsed="false">
      <c r="A16" s="28" t="s">
        <v>214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-255452.82</v>
      </c>
      <c r="E16" s="13" t="n">
        <f aca="false">SUM(Model!K119:M141)+SUM(Model!K143:M143)</f>
        <v>-205952.82</v>
      </c>
      <c r="F16" s="13" t="n">
        <f aca="false">SUM(Model!N119:P141)+SUM(Model!N143:P143)</f>
        <v>-186452.82</v>
      </c>
      <c r="G16" s="13" t="n">
        <f aca="false">SUM(Model!Q119:S141)+SUM(Model!Q143:S143)</f>
        <v>-214181.8764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customFormat="false" ht="15" hidden="false" customHeight="true" outlineLevel="0" collapsed="false">
      <c r="A17" s="28" t="s">
        <v>215</v>
      </c>
      <c r="B17" s="13" t="n">
        <f aca="false">SUM(Model!B113:D113)</f>
        <v>0</v>
      </c>
      <c r="C17" s="13" t="n">
        <f aca="false">SUM(Model!E113:G113)</f>
        <v>-103833.333333333</v>
      </c>
      <c r="D17" s="13" t="n">
        <f aca="false">SUM(Model!H113:J113)</f>
        <v>-311500</v>
      </c>
      <c r="E17" s="13" t="n">
        <f aca="false">SUM(Model!K113:M113)</f>
        <v>-311500</v>
      </c>
      <c r="F17" s="13" t="n">
        <f aca="false">SUM(Model!N113:P113)</f>
        <v>-311500</v>
      </c>
      <c r="G17" s="13" t="n">
        <f aca="false">SUM(Model!Q113:S113)</f>
        <v>-311500</v>
      </c>
      <c r="H17" s="13" t="n">
        <f aca="false">SUM(Model!T113:V113)</f>
        <v>-311500</v>
      </c>
      <c r="I17" s="13" t="n">
        <f aca="false">SUM(Model!W113:Y113)</f>
        <v>-311500</v>
      </c>
      <c r="J17" s="13" t="n">
        <f aca="false">SUM(Model!Z113:AB113)</f>
        <v>-311500</v>
      </c>
      <c r="K17" s="13" t="n">
        <f aca="false">SUM(Model!AC113:AE113)</f>
        <v>-311500</v>
      </c>
      <c r="L17" s="13" t="n">
        <f aca="false">SUM(Model!AF113:AH113)</f>
        <v>-311500</v>
      </c>
      <c r="M17" s="13" t="n">
        <f aca="false">SUM(Model!AI113:AK113)</f>
        <v>-311500</v>
      </c>
      <c r="N17" s="13" t="n">
        <f aca="false">SUM(Model!AL113:AN113)</f>
        <v>-311500</v>
      </c>
      <c r="O17" s="13" t="n">
        <f aca="false">SUM(Model!AO113:AQ113)</f>
        <v>-311500</v>
      </c>
      <c r="P17" s="13" t="n">
        <f aca="false">SUM(Model!AR113:AT113)</f>
        <v>-311500</v>
      </c>
      <c r="Q17" s="13" t="n">
        <f aca="false">SUM(Model!AU113:AW113)</f>
        <v>-311500</v>
      </c>
      <c r="R17" s="13" t="n">
        <f aca="false">SUM(Model!AX113:AZ113)</f>
        <v>-311500</v>
      </c>
      <c r="S17" s="13" t="n">
        <f aca="false">SUM(Model!BA113:BC113)</f>
        <v>-311500</v>
      </c>
      <c r="T17" s="13" t="n">
        <f aca="false">SUM(Model!BD113:BF113)</f>
        <v>-311500</v>
      </c>
      <c r="U17" s="13" t="n">
        <f aca="false">SUM(Model!BG113:BI113)</f>
        <v>-311500</v>
      </c>
      <c r="V17" s="13" t="n">
        <f aca="false">SUM(Model!BJ113:BL113)</f>
        <v>-311500</v>
      </c>
      <c r="W17" s="13" t="n">
        <f aca="false">SUM(Model!BM113:BO113)</f>
        <v>-311500</v>
      </c>
      <c r="X17" s="13" t="n">
        <f aca="false">SUM(Model!BP113:BR113)</f>
        <v>-311500</v>
      </c>
      <c r="Y17" s="13" t="n">
        <f aca="false">SUM(Model!BS113:BU113)</f>
        <v>-311500</v>
      </c>
      <c r="Z17" s="13" t="n">
        <f aca="false">SUM(Model!BV113:BX113)</f>
        <v>-311500</v>
      </c>
      <c r="AA17" s="13" t="n">
        <f aca="false">SUM(Model!BY113:CA113)</f>
        <v>-311500</v>
      </c>
      <c r="AB17" s="13" t="n">
        <f aca="false">SUM(Model!CB113:CD113)</f>
        <v>-311500</v>
      </c>
      <c r="AC17" s="13" t="n">
        <f aca="false">SUM(Model!CE113:CG113)</f>
        <v>-311500</v>
      </c>
      <c r="AD17" s="13" t="n">
        <f aca="false">SUM(Model!CH113:CJ113)</f>
        <v>-311500</v>
      </c>
      <c r="AE17" s="13" t="n">
        <f aca="false">SUM(Model!CK113:CM113)</f>
        <v>-311500</v>
      </c>
      <c r="AF17" s="13" t="n">
        <f aca="false">SUM(Model!CN113:CP113)</f>
        <v>-311500</v>
      </c>
      <c r="AG17" s="13" t="n">
        <f aca="false">SUM(Model!CQ113:CS113)</f>
        <v>-311500</v>
      </c>
      <c r="AH17" s="13" t="n">
        <f aca="false">SUM(Model!CT113:CV113)</f>
        <v>-311500</v>
      </c>
      <c r="AI17" s="13" t="n">
        <f aca="false">SUM(Model!CW113:CY113)</f>
        <v>-311500</v>
      </c>
      <c r="AJ17" s="13" t="n">
        <f aca="false">SUM(Model!CZ113:DB113)</f>
        <v>-311500</v>
      </c>
      <c r="AK17" s="13" t="n">
        <f aca="false">SUM(Model!DC113:DE113)</f>
        <v>-311500</v>
      </c>
    </row>
    <row r="18" customFormat="false" ht="15" hidden="false" customHeight="true" outlineLevel="0" collapsed="false">
      <c r="A18" s="28" t="s">
        <v>216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0</v>
      </c>
      <c r="G18" s="13" t="n">
        <f aca="false">SUM(Model!Q142:S142)</f>
        <v>0</v>
      </c>
      <c r="H18" s="13" t="n">
        <f aca="false">SUM(Model!T142:V142)</f>
        <v>0</v>
      </c>
      <c r="I18" s="13" t="n">
        <f aca="false">SUM(Model!W142:Y142)</f>
        <v>0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0</v>
      </c>
      <c r="M18" s="13" t="n">
        <f aca="false">SUM(Model!AI142:AK142)</f>
        <v>0</v>
      </c>
      <c r="N18" s="13" t="n">
        <f aca="false">SUM(Model!AL142:AN142)</f>
        <v>0</v>
      </c>
      <c r="O18" s="13" t="n">
        <f aca="false">SUM(Model!AO142:AQ142)</f>
        <v>0</v>
      </c>
      <c r="P18" s="13" t="n">
        <f aca="false">SUM(Model!AR142:AT142)</f>
        <v>0</v>
      </c>
      <c r="Q18" s="13" t="n">
        <f aca="false">SUM(Model!AU142:AW142)</f>
        <v>0</v>
      </c>
      <c r="R18" s="13" t="n">
        <f aca="false">SUM(Model!AX142:AZ142)</f>
        <v>0</v>
      </c>
      <c r="S18" s="13" t="n">
        <f aca="false">SUM(Model!BA142:BC142)</f>
        <v>0</v>
      </c>
      <c r="T18" s="13" t="n">
        <f aca="false">SUM(Model!BD142:BF142)</f>
        <v>0</v>
      </c>
      <c r="U18" s="13" t="n">
        <f aca="false">SUM(Model!BG142:BI142)</f>
        <v>0</v>
      </c>
      <c r="V18" s="13" t="n">
        <f aca="false">SUM(Model!BJ142:BL142)</f>
        <v>0</v>
      </c>
      <c r="W18" s="13" t="n">
        <f aca="false">SUM(Model!BM142:BO142)</f>
        <v>0</v>
      </c>
      <c r="X18" s="13" t="n">
        <f aca="false">SUM(Model!BP142:BR142)</f>
        <v>0</v>
      </c>
      <c r="Y18" s="13" t="n">
        <f aca="false">SUM(Model!BS142:BU142)</f>
        <v>0</v>
      </c>
      <c r="Z18" s="13" t="n">
        <f aca="false">SUM(Model!BV142:BX142)</f>
        <v>0</v>
      </c>
      <c r="AA18" s="13" t="n">
        <f aca="false">SUM(Model!BY142:CA142)</f>
        <v>0</v>
      </c>
      <c r="AB18" s="13" t="n">
        <f aca="false">SUM(Model!CB142:CD142)</f>
        <v>0</v>
      </c>
      <c r="AC18" s="13" t="n">
        <f aca="false">SUM(Model!CE142:CG142)</f>
        <v>0</v>
      </c>
      <c r="AD18" s="13" t="n">
        <f aca="false">SUM(Model!CH142:CJ142)</f>
        <v>0</v>
      </c>
      <c r="AE18" s="13" t="n">
        <f aca="false">SUM(Model!CK142:CM142)</f>
        <v>0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customFormat="false" ht="15" hidden="false" customHeight="true" outlineLevel="0" collapsed="false">
      <c r="A19" s="94" t="s">
        <v>93</v>
      </c>
      <c r="B19" s="95" t="n">
        <f aca="false">SUM(Model!B144:D144)</f>
        <v>-872847.78</v>
      </c>
      <c r="C19" s="95" t="n">
        <f aca="false">SUM(Model!E144:G144)</f>
        <v>-938020.953333333</v>
      </c>
      <c r="D19" s="95" t="n">
        <f aca="false">SUM(Model!H144:J144)</f>
        <v>-1515535.09166667</v>
      </c>
      <c r="E19" s="95" t="n">
        <f aca="false">SUM(Model!K144:M144)</f>
        <v>-1508972.59166667</v>
      </c>
      <c r="F19" s="95" t="n">
        <f aca="false">SUM(Model!N144:P144)</f>
        <v>-1514280.925</v>
      </c>
      <c r="G19" s="95" t="n">
        <f aca="false">SUM(Model!Q144:S144)</f>
        <v>-1609052.5435</v>
      </c>
      <c r="H19" s="95" t="n">
        <f aca="false">SUM(Model!T144:V144)</f>
        <v>-1585052.5435</v>
      </c>
      <c r="I19" s="95" t="n">
        <f aca="false">SUM(Model!W144:Y144)</f>
        <v>-1585052.5435</v>
      </c>
      <c r="J19" s="95" t="n">
        <f aca="false">SUM(Model!Z144:AB144)</f>
        <v>-1585052.5435</v>
      </c>
      <c r="K19" s="95" t="n">
        <f aca="false">SUM(Model!AC144:AE144)</f>
        <v>-1610523.59437</v>
      </c>
      <c r="L19" s="95" t="n">
        <f aca="false">SUM(Model!AF144:AH144)</f>
        <v>-1610523.59437</v>
      </c>
      <c r="M19" s="95" t="n">
        <f aca="false">SUM(Model!AI144:AK144)</f>
        <v>-1610523.59437</v>
      </c>
      <c r="N19" s="95" t="n">
        <f aca="false">SUM(Model!AL144:AN144)</f>
        <v>-1610523.59437</v>
      </c>
      <c r="O19" s="95" t="n">
        <f aca="false">SUM(Model!AO144:AQ144)</f>
        <v>-1636504.0662574</v>
      </c>
      <c r="P19" s="95" t="n">
        <f aca="false">SUM(Model!AR144:AT144)</f>
        <v>-1636504.0662574</v>
      </c>
      <c r="Q19" s="95" t="n">
        <f aca="false">SUM(Model!AU144:AW144)</f>
        <v>-1636504.0662574</v>
      </c>
      <c r="R19" s="95" t="n">
        <f aca="false">SUM(Model!AX144:AZ144)</f>
        <v>-1636504.0662574</v>
      </c>
      <c r="S19" s="95" t="n">
        <f aca="false">SUM(Model!BA144:BC144)</f>
        <v>-1663004.14758255</v>
      </c>
      <c r="T19" s="95" t="n">
        <f aca="false">SUM(Model!BD144:BF144)</f>
        <v>-1663004.14758255</v>
      </c>
      <c r="U19" s="95" t="n">
        <f aca="false">SUM(Model!BG144:BI144)</f>
        <v>-1663004.14758255</v>
      </c>
      <c r="V19" s="95" t="n">
        <f aca="false">SUM(Model!BJ144:BL144)</f>
        <v>-1663004.14758255</v>
      </c>
      <c r="W19" s="95" t="n">
        <f aca="false">SUM(Model!BM144:BO144)</f>
        <v>-1690034.2305342</v>
      </c>
      <c r="X19" s="95" t="n">
        <f aca="false">SUM(Model!BP144:BR144)</f>
        <v>-1690034.2305342</v>
      </c>
      <c r="Y19" s="95" t="n">
        <f aca="false">SUM(Model!BS144:BU144)</f>
        <v>-1690034.2305342</v>
      </c>
      <c r="Z19" s="95" t="n">
        <f aca="false">SUM(Model!BV144:BX144)</f>
        <v>-1690034.2305342</v>
      </c>
      <c r="AA19" s="95" t="n">
        <f aca="false">SUM(Model!BY144:CA144)</f>
        <v>-1717604.91514488</v>
      </c>
      <c r="AB19" s="95" t="n">
        <f aca="false">SUM(Model!CB144:CD144)</f>
        <v>-1717604.91514488</v>
      </c>
      <c r="AC19" s="95" t="n">
        <f aca="false">SUM(Model!CE144:CG144)</f>
        <v>-1717604.91514488</v>
      </c>
      <c r="AD19" s="95" t="n">
        <f aca="false">SUM(Model!CH144:CJ144)</f>
        <v>-1717604.91514488</v>
      </c>
      <c r="AE19" s="95" t="n">
        <f aca="false">SUM(Model!CK144:CM144)</f>
        <v>-1745727.01344778</v>
      </c>
      <c r="AF19" s="95" t="n">
        <f aca="false">SUM(Model!CN144:CP144)</f>
        <v>-1745727.01344778</v>
      </c>
      <c r="AG19" s="95" t="n">
        <f aca="false">SUM(Model!CQ144:CS144)</f>
        <v>-1745727.01344778</v>
      </c>
      <c r="AH19" s="95" t="n">
        <f aca="false">SUM(Model!CT144:CV144)</f>
        <v>-1580312.68766357</v>
      </c>
      <c r="AI19" s="95" t="n">
        <f aca="false">SUM(Model!CW144:CY144)</f>
        <v>-1605688.94141684</v>
      </c>
      <c r="AJ19" s="95" t="n">
        <f aca="false">SUM(Model!CZ144:DB144)</f>
        <v>-1605688.94141684</v>
      </c>
      <c r="AK19" s="95" t="n">
        <f aca="false">SUM(Model!DC144:DE144)</f>
        <v>-1605688.94141684</v>
      </c>
    </row>
    <row r="20" customFormat="false" ht="15" hidden="false" customHeight="true" outlineLevel="0" collapsed="false">
      <c r="A20" s="94" t="s">
        <v>94</v>
      </c>
      <c r="B20" s="98" t="n">
        <f aca="false">SUM(Model!B145:D145)</f>
        <v>-110907.17</v>
      </c>
      <c r="C20" s="98" t="n">
        <f aca="false">SUM(Model!E145:G145)</f>
        <v>634769.126666667</v>
      </c>
      <c r="D20" s="98" t="n">
        <f aca="false">SUM(Model!H145:J145)</f>
        <v>178504.965801154</v>
      </c>
      <c r="E20" s="98" t="n">
        <f aca="false">SUM(Model!K145:M145)</f>
        <v>796977.373247434</v>
      </c>
      <c r="F20" s="98" t="n">
        <f aca="false">SUM(Model!N145:P145)</f>
        <v>446573.502179653</v>
      </c>
      <c r="G20" s="98" t="n">
        <f aca="false">SUM(Model!Q145:S145)</f>
        <v>348129.13289243</v>
      </c>
      <c r="H20" s="98" t="n">
        <f aca="false">SUM(Model!T145:V145)</f>
        <v>1037569.33856475</v>
      </c>
      <c r="I20" s="98" t="n">
        <f aca="false">SUM(Model!W145:Y145)</f>
        <v>949729.735929355</v>
      </c>
      <c r="J20" s="98" t="n">
        <f aca="false">SUM(Model!Z145:AB145)</f>
        <v>938750.093504331</v>
      </c>
      <c r="K20" s="98" t="n">
        <f aca="false">SUM(Model!AC145:AE145)</f>
        <v>112582.569637544</v>
      </c>
      <c r="L20" s="98" t="n">
        <f aca="false">SUM(Model!AF145:AH145)</f>
        <v>1178273.77170125</v>
      </c>
      <c r="M20" s="98" t="n">
        <f aca="false">SUM(Model!AI145:AK145)</f>
        <v>866438.755691932</v>
      </c>
      <c r="N20" s="98" t="n">
        <f aca="false">SUM(Model!AL145:AN145)</f>
        <v>-58106.3439317888</v>
      </c>
      <c r="O20" s="98" t="n">
        <f aca="false">SUM(Model!AO145:AQ145)</f>
        <v>-645802.531480111</v>
      </c>
      <c r="P20" s="98" t="n">
        <f aca="false">SUM(Model!AR145:AT145)</f>
        <v>-373316.94612661</v>
      </c>
      <c r="Q20" s="98" t="n">
        <f aca="false">SUM(Model!AU145:AW145)</f>
        <v>-1163525.14365176</v>
      </c>
      <c r="R20" s="98" t="n">
        <f aca="false">SUM(Model!AX145:AZ145)</f>
        <v>-1163525.14365176</v>
      </c>
      <c r="S20" s="98" t="n">
        <f aca="false">SUM(Model!BA145:BC145)</f>
        <v>-1190025.22497691</v>
      </c>
      <c r="T20" s="98" t="n">
        <f aca="false">SUM(Model!BD145:BF145)</f>
        <v>-1190025.22497691</v>
      </c>
      <c r="U20" s="98" t="n">
        <f aca="false">SUM(Model!BG145:BI145)</f>
        <v>-1098748.59078985</v>
      </c>
      <c r="V20" s="98" t="n">
        <f aca="false">SUM(Model!BJ145:BL145)</f>
        <v>-1663004.14758255</v>
      </c>
      <c r="W20" s="98" t="n">
        <f aca="false">SUM(Model!BM145:BO145)</f>
        <v>-1690034.2305342</v>
      </c>
      <c r="X20" s="98" t="n">
        <f aca="false">SUM(Model!BP145:BR145)</f>
        <v>-1690034.2305342</v>
      </c>
      <c r="Y20" s="98" t="n">
        <f aca="false">SUM(Model!BS145:BU145)</f>
        <v>-1690034.2305342</v>
      </c>
      <c r="Z20" s="98" t="n">
        <f aca="false">SUM(Model!BV145:BX145)</f>
        <v>-1690034.2305342</v>
      </c>
      <c r="AA20" s="98" t="n">
        <f aca="false">SUM(Model!BY145:CA145)</f>
        <v>-1717604.91514488</v>
      </c>
      <c r="AB20" s="98" t="n">
        <f aca="false">SUM(Model!CB145:CD145)</f>
        <v>-1717604.91514488</v>
      </c>
      <c r="AC20" s="98" t="n">
        <f aca="false">SUM(Model!CE145:CG145)</f>
        <v>-1717604.91514488</v>
      </c>
      <c r="AD20" s="98" t="n">
        <f aca="false">SUM(Model!CH145:CJ145)</f>
        <v>-1717604.91514488</v>
      </c>
      <c r="AE20" s="98" t="n">
        <f aca="false">SUM(Model!CK145:CM145)</f>
        <v>-1745727.01344778</v>
      </c>
      <c r="AF20" s="98" t="n">
        <f aca="false">SUM(Model!CN145:CP145)</f>
        <v>-1745727.01344778</v>
      </c>
      <c r="AG20" s="98" t="n">
        <f aca="false">SUM(Model!CQ145:CS145)</f>
        <v>-1745727.01344778</v>
      </c>
      <c r="AH20" s="98" t="n">
        <f aca="false">SUM(Model!CT145:CV145)</f>
        <v>-1580312.68766357</v>
      </c>
      <c r="AI20" s="98" t="n">
        <f aca="false">SUM(Model!CW145:CY145)</f>
        <v>-1605688.94141684</v>
      </c>
      <c r="AJ20" s="98" t="n">
        <f aca="false">SUM(Model!CZ145:DB145)</f>
        <v>-1605688.94141684</v>
      </c>
      <c r="AK20" s="9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96" t="n">
        <f aca="false">IFERROR(B20/B7,0)</f>
        <v>-0.0155146852082093</v>
      </c>
      <c r="C21" s="96" t="n">
        <f aca="false">IFERROR(C20/C7,0)</f>
        <v>0.0442018773289256</v>
      </c>
      <c r="D21" s="96" t="n">
        <f aca="false">IFERROR(D20/D7,0)</f>
        <v>0.010044101510343</v>
      </c>
      <c r="E21" s="96" t="n">
        <f aca="false">IFERROR(E20/E7,0)</f>
        <v>0.0397511592188206</v>
      </c>
      <c r="F21" s="96" t="n">
        <f aca="false">IFERROR(F20/F7,0)</f>
        <v>0.0231291853041423</v>
      </c>
      <c r="G21" s="96" t="n">
        <f aca="false">IFERROR(G20/G7,0)</f>
        <v>0.0146002574290583</v>
      </c>
      <c r="H21" s="96" t="n">
        <f aca="false">IFERROR(H20/H7,0)</f>
        <v>0.0423167802109255</v>
      </c>
      <c r="I21" s="96" t="n">
        <f aca="false">IFERROR(I20/I7,0)</f>
        <v>0.0357685878262847</v>
      </c>
      <c r="J21" s="96" t="n">
        <f aca="false">IFERROR(J20/J7,0)</f>
        <v>0.0356325929702749</v>
      </c>
      <c r="K21" s="96" t="n">
        <f aca="false">IFERROR(K20/K7,0)</f>
        <v>0.00469124747672959</v>
      </c>
      <c r="L21" s="96" t="n">
        <f aca="false">IFERROR(L20/L7,0)</f>
        <v>0.0558794877466335</v>
      </c>
      <c r="M21" s="96" t="n">
        <f aca="false">IFERROR(M20/M7,0)</f>
        <v>0.0548718873144897</v>
      </c>
      <c r="N21" s="96" t="n">
        <f aca="false">IFERROR(N20/N7,0)</f>
        <v>-0.00567047569830109</v>
      </c>
      <c r="O21" s="96" t="n">
        <f aca="false">IFERROR(O20/O7,0)</f>
        <v>-0.0720733400079742</v>
      </c>
      <c r="P21" s="96" t="n">
        <f aca="false">IFERROR(P20/P7,0)</f>
        <v>-0.0454934523330478</v>
      </c>
      <c r="Q21" s="96" t="n">
        <f aca="false">IFERROR(Q20/Q7,0)</f>
        <v>-0.210876129040121</v>
      </c>
      <c r="R21" s="96" t="n">
        <f aca="false">IFERROR(R20/R7,0)</f>
        <v>-0.237549003821868</v>
      </c>
      <c r="S21" s="96" t="n">
        <f aca="false">IFERROR(S20/S7,0)</f>
        <v>-0.299261674282812</v>
      </c>
      <c r="T21" s="96" t="n">
        <f aca="false">IFERROR(T20/T7,0)</f>
        <v>-0.403054903200677</v>
      </c>
      <c r="U21" s="96" t="n">
        <f aca="false">IFERROR(U20/U7,0)</f>
        <v>-0.767466896232675</v>
      </c>
      <c r="V21" s="96" t="n">
        <f aca="false">IFERROR(V20/V7,0)</f>
        <v>0</v>
      </c>
      <c r="W21" s="96" t="n">
        <f aca="false">IFERROR(W20/W7,0)</f>
        <v>0</v>
      </c>
      <c r="X21" s="96" t="n">
        <f aca="false">IFERROR(X20/X7,0)</f>
        <v>0</v>
      </c>
      <c r="Y21" s="96" t="n">
        <f aca="false">IFERROR(Y20/Y7,0)</f>
        <v>0</v>
      </c>
      <c r="Z21" s="96" t="n">
        <f aca="false">IFERROR(Z20/Z7,0)</f>
        <v>0</v>
      </c>
      <c r="AA21" s="96" t="n">
        <f aca="false">IFERROR(AA20/AA7,0)</f>
        <v>0</v>
      </c>
      <c r="AB21" s="96" t="n">
        <f aca="false">IFERROR(AB20/AB7,0)</f>
        <v>0</v>
      </c>
      <c r="AC21" s="96" t="n">
        <f aca="false">IFERROR(AC20/AC7,0)</f>
        <v>0</v>
      </c>
      <c r="AD21" s="96" t="n">
        <f aca="false">IFERROR(AD20/AD7,0)</f>
        <v>0</v>
      </c>
      <c r="AE21" s="96" t="n">
        <f aca="false">IFERROR(AE20/AE7,0)</f>
        <v>0</v>
      </c>
      <c r="AF21" s="96" t="n">
        <f aca="false">IFERROR(AF20/AF7,0)</f>
        <v>0</v>
      </c>
      <c r="AG21" s="96" t="n">
        <f aca="false">IFERROR(AG20/AG7,0)</f>
        <v>0</v>
      </c>
      <c r="AH21" s="96" t="n">
        <f aca="false">IFERROR(AH20/AH7,0)</f>
        <v>0</v>
      </c>
      <c r="AI21" s="96" t="n">
        <f aca="false">IFERROR(AI20/AI7,0)</f>
        <v>0</v>
      </c>
      <c r="AJ21" s="96" t="n">
        <f aca="false">IFERROR(AJ20/AJ7,0)</f>
        <v>0</v>
      </c>
      <c r="AK21" s="96" t="n">
        <f aca="false">IFERROR(AK20/AK7,0)</f>
        <v>0</v>
      </c>
    </row>
    <row r="22" customFormat="false" ht="1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</row>
    <row r="23" customFormat="false" ht="15" hidden="false" customHeight="true" outlineLevel="0" collapsed="false">
      <c r="A23" s="42" t="s">
        <v>96</v>
      </c>
      <c r="B23" s="13" t="n">
        <f aca="false">Model!B168+Model!C168+Model!D168</f>
        <v>102343.74</v>
      </c>
      <c r="C23" s="13" t="n">
        <f aca="false">Model!E168+Model!F168+Model!G168</f>
        <v>429843.74</v>
      </c>
      <c r="D23" s="13" t="n">
        <f aca="false">Model!H168+Model!I168+Model!J168</f>
        <v>154228.338571429</v>
      </c>
      <c r="E23" s="13" t="n">
        <f aca="false">Model!K168+Model!L168+Model!M168</f>
        <v>145158.678571429</v>
      </c>
      <c r="F23" s="13" t="n">
        <f aca="false">Model!N168+Model!O168+Model!P168</f>
        <v>168444.392857143</v>
      </c>
      <c r="G23" s="13" t="n">
        <f aca="false">Model!Q168+Model!R168+Model!S168</f>
        <v>158087.25</v>
      </c>
      <c r="H23" s="13" t="n">
        <f aca="false">Model!T168+Model!U168+Model!V168</f>
        <v>82368.5</v>
      </c>
      <c r="I23" s="13" t="n">
        <f aca="false">Model!W168+Model!X168+Model!Y168</f>
        <v>198424.5</v>
      </c>
      <c r="J23" s="13" t="n">
        <f aca="false">Model!Z168+Model!AA168+Model!AB168</f>
        <v>64702.5</v>
      </c>
      <c r="K23" s="13" t="n">
        <f aca="false">Model!AC168+Model!AD168+Model!AE168</f>
        <v>68452.5</v>
      </c>
      <c r="L23" s="13" t="n">
        <f aca="false">Model!AF168+Model!AG168+Model!AH168</f>
        <v>7077.5</v>
      </c>
      <c r="M23" s="13" t="n">
        <f aca="false">Model!AI168+Model!AJ168+Model!AK168</f>
        <v>-17422.5</v>
      </c>
      <c r="N23" s="13" t="n">
        <f aca="false">Model!AL168+Model!AM168+Model!AN168</f>
        <v>-19922.5</v>
      </c>
      <c r="O23" s="13" t="n">
        <f aca="false">Model!AO168+Model!AP168+Model!AQ168</f>
        <v>-21172.5</v>
      </c>
      <c r="P23" s="13" t="n">
        <f aca="false">Model!AR168+Model!AS168+Model!AT168</f>
        <v>63568</v>
      </c>
      <c r="Q23" s="13" t="n">
        <f aca="false">Model!AU168+Model!AV168+Model!AW168</f>
        <v>81682</v>
      </c>
      <c r="R23" s="13" t="n">
        <f aca="false">Model!AX168+Model!AY168+Model!AZ168</f>
        <v>81682</v>
      </c>
      <c r="S23" s="13" t="n">
        <f aca="false">Model!BA168+Model!BB168+Model!BC168</f>
        <v>933521</v>
      </c>
      <c r="T23" s="13" t="n">
        <f aca="false">Model!BD168+Model!BE168+Model!BF168</f>
        <v>130878</v>
      </c>
      <c r="U23" s="13" t="n">
        <f aca="false">Model!BG168+Model!BH168+Model!BI168</f>
        <v>130876</v>
      </c>
      <c r="V23" s="13" t="n">
        <f aca="false">Model!BJ168+Model!BK168+Model!BL168</f>
        <v>130876</v>
      </c>
      <c r="W23" s="13" t="n">
        <f aca="false">Model!BM168+Model!BN168+Model!BO168</f>
        <v>130876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99" t="n">
        <f aca="false">Model!B199+Model!C199+Model!D199</f>
        <v>-646353.82</v>
      </c>
      <c r="C24" s="99" t="n">
        <f aca="false">Model!E199+Model!F199+Model!G199</f>
        <v>-647516.71</v>
      </c>
      <c r="D24" s="99" t="n">
        <f aca="false">Model!H199+Model!I199+Model!J199</f>
        <v>-234270.275</v>
      </c>
      <c r="E24" s="99" t="n">
        <f aca="false">Model!K199+Model!L199+Model!M199</f>
        <v>-234270.275</v>
      </c>
      <c r="F24" s="99" t="n">
        <f aca="false">Model!N199+Model!O199+Model!P199</f>
        <v>-234270.275</v>
      </c>
      <c r="G24" s="99" t="n">
        <f aca="false">Model!Q199+Model!R199+Model!S199</f>
        <v>-238955.6805</v>
      </c>
      <c r="H24" s="99" t="n">
        <f aca="false">Model!T199+Model!U199+Model!V199</f>
        <v>-238955.6805</v>
      </c>
      <c r="I24" s="99" t="n">
        <f aca="false">Model!W199+Model!X199+Model!Y199</f>
        <v>-238955.6805</v>
      </c>
      <c r="J24" s="99" t="n">
        <f aca="false">Model!Z199+Model!AA199+Model!AB199</f>
        <v>-238955.6805</v>
      </c>
      <c r="K24" s="99" t="n">
        <f aca="false">Model!AC199+Model!AD199+Model!AE199</f>
        <v>-243734.79411</v>
      </c>
      <c r="L24" s="99" t="n">
        <f aca="false">Model!AF199+Model!AG199+Model!AH199</f>
        <v>-243734.79411</v>
      </c>
      <c r="M24" s="99" t="n">
        <f aca="false">Model!AI199+Model!AJ199+Model!AK199</f>
        <v>-243734.79411</v>
      </c>
      <c r="N24" s="99" t="n">
        <f aca="false">Model!AL199+Model!AM199+Model!AN199</f>
        <v>-243734.79411</v>
      </c>
      <c r="O24" s="99" t="n">
        <f aca="false">Model!AO199+Model!AP199+Model!AQ199</f>
        <v>-248609.4899922</v>
      </c>
      <c r="P24" s="99" t="n">
        <f aca="false">Model!AR199+Model!AS199+Model!AT199</f>
        <v>-330292.4899922</v>
      </c>
      <c r="Q24" s="99" t="n">
        <f aca="false">Model!AU199+Model!AV199+Model!AW199</f>
        <v>-330291.4899922</v>
      </c>
      <c r="R24" s="99" t="n">
        <f aca="false">Model!AX199+Model!AY199+Model!AZ199</f>
        <v>-330291.4899922</v>
      </c>
      <c r="S24" s="99" t="n">
        <f aca="false">Model!BA199+Model!BB199+Model!BC199</f>
        <v>-1187102.67979204</v>
      </c>
      <c r="T24" s="99" t="n">
        <f aca="false">Model!BD199+Model!BE199+Model!BF199</f>
        <v>-384459.679792044</v>
      </c>
      <c r="U24" s="99" t="n">
        <f aca="false">Model!BG199+Model!BH199+Model!BI199</f>
        <v>-384457.679792044</v>
      </c>
      <c r="V24" s="99" t="n">
        <f aca="false">Model!BJ199+Model!BK199+Model!BL199</f>
        <v>-384457.679792044</v>
      </c>
      <c r="W24" s="99" t="n">
        <f aca="false">Model!BM199+Model!BN199+Model!BO199</f>
        <v>-389529.313387885</v>
      </c>
      <c r="X24" s="99" t="n">
        <f aca="false">Model!BP199+Model!BQ199+Model!BR199</f>
        <v>-347808.963387885</v>
      </c>
      <c r="Y24" s="99" t="n">
        <f aca="false">Model!BS199+Model!BT199+Model!BU199</f>
        <v>-333293.313387885</v>
      </c>
      <c r="Z24" s="99" t="n">
        <f aca="false">Model!BV199+Model!BW199+Model!BX199</f>
        <v>-333293.313387885</v>
      </c>
      <c r="AA24" s="99" t="n">
        <f aca="false">Model!BY199+Model!BZ199+Model!CA199</f>
        <v>-411622.379655643</v>
      </c>
      <c r="AB24" s="99" t="n">
        <f aca="false">Model!CB199+Model!CC199+Model!CD199</f>
        <v>-418344.379655643</v>
      </c>
      <c r="AC24" s="99" t="n">
        <f aca="false">Model!CE199+Model!CF199+Model!CG199</f>
        <v>-418343.379655643</v>
      </c>
      <c r="AD24" s="99" t="n">
        <f aca="false">Model!CH199+Model!CI199+Model!CJ199</f>
        <v>-411735.353049163</v>
      </c>
      <c r="AE24" s="99" t="n">
        <f aca="false">Model!CK199+Model!CL199+Model!CM199</f>
        <v>-488567.907248755</v>
      </c>
      <c r="AF24" s="99" t="n">
        <f aca="false">Model!CN199+Model!CO199+Model!CP199</f>
        <v>-488567.907248755</v>
      </c>
      <c r="AG24" s="99" t="n">
        <f aca="false">Model!CQ199+Model!CR199+Model!CS199</f>
        <v>-488567.907248755</v>
      </c>
      <c r="AH24" s="99" t="n">
        <f aca="false">Model!CT199+Model!CU199+Model!CV199</f>
        <v>-482842.427124066</v>
      </c>
      <c r="AI24" s="99" t="n">
        <f aca="false">Model!CW199+Model!CX199+Model!CY199</f>
        <v>-286091.824602955</v>
      </c>
      <c r="AJ24" s="99" t="n">
        <f aca="false">Model!CZ199+Model!DA199+Model!DB199</f>
        <v>-268644.975666547</v>
      </c>
      <c r="AK24" s="99" t="n">
        <f aca="false">Model!DC199+Model!DD199+Model!DE199</f>
        <v>-268644.975666547</v>
      </c>
    </row>
    <row r="25" customFormat="false" ht="15" hidden="false" customHeight="true" outlineLevel="0" collapsed="false">
      <c r="A25" s="38" t="s">
        <v>133</v>
      </c>
      <c r="B25" s="39" t="n">
        <f aca="false">Model!B200+Model!C200+Model!D200</f>
        <v>-544010.08</v>
      </c>
      <c r="C25" s="39" t="n">
        <f aca="false">Model!E200+Model!F200+Model!G200</f>
        <v>-217672.97</v>
      </c>
      <c r="D25" s="39" t="n">
        <f aca="false">Model!H200+Model!I200+Model!J200</f>
        <v>-80041.9364285715</v>
      </c>
      <c r="E25" s="39" t="n">
        <f aca="false">Model!K200+Model!L200+Model!M200</f>
        <v>-89111.5964285715</v>
      </c>
      <c r="F25" s="39" t="n">
        <f aca="false">Model!N200+Model!O200+Model!P200</f>
        <v>-65825.8821428572</v>
      </c>
      <c r="G25" s="39" t="n">
        <f aca="false">Model!Q200+Model!R200+Model!S200</f>
        <v>-80868.4305</v>
      </c>
      <c r="H25" s="39" t="n">
        <f aca="false">Model!T200+Model!U200+Model!V200</f>
        <v>-156587.1805</v>
      </c>
      <c r="I25" s="39" t="n">
        <f aca="false">Model!W200+Model!X200+Model!Y200</f>
        <v>-40531.1805</v>
      </c>
      <c r="J25" s="39" t="n">
        <f aca="false">Model!Z200+Model!AA200+Model!AB200</f>
        <v>-174253.1805</v>
      </c>
      <c r="K25" s="39" t="n">
        <f aca="false">Model!AC200+Model!AD200+Model!AE200</f>
        <v>-175282.29411</v>
      </c>
      <c r="L25" s="39" t="n">
        <f aca="false">Model!AF200+Model!AG200+Model!AH200</f>
        <v>-236657.29411</v>
      </c>
      <c r="M25" s="39" t="n">
        <f aca="false">Model!AI200+Model!AJ200+Model!AK200</f>
        <v>-261157.29411</v>
      </c>
      <c r="N25" s="39" t="n">
        <f aca="false">Model!AL200+Model!AM200+Model!AN200</f>
        <v>-263657.29411</v>
      </c>
      <c r="O25" s="39" t="n">
        <f aca="false">Model!AO200+Model!AP200+Model!AQ200</f>
        <v>-269781.9899922</v>
      </c>
      <c r="P25" s="39" t="n">
        <f aca="false">Model!AR200+Model!AS200+Model!AT200</f>
        <v>-266724.4899922</v>
      </c>
      <c r="Q25" s="39" t="n">
        <f aca="false">Model!AU200+Model!AV200+Model!AW200</f>
        <v>-248609.4899922</v>
      </c>
      <c r="R25" s="39" t="n">
        <f aca="false">Model!AX200+Model!AY200+Model!AZ200</f>
        <v>-248609.4899922</v>
      </c>
      <c r="S25" s="39" t="n">
        <f aca="false">Model!BA200+Model!BB200+Model!BC200</f>
        <v>-253581.679792044</v>
      </c>
      <c r="T25" s="39" t="n">
        <f aca="false">Model!BD200+Model!BE200+Model!BF200</f>
        <v>-253581.679792044</v>
      </c>
      <c r="U25" s="39" t="n">
        <f aca="false">Model!BG200+Model!BH200+Model!BI200</f>
        <v>-253581.679792044</v>
      </c>
      <c r="V25" s="39" t="n">
        <f aca="false">Model!BJ200+Model!BK200+Model!BL200</f>
        <v>-253581.679792044</v>
      </c>
      <c r="W25" s="39" t="n">
        <f aca="false">Model!BM200+Model!BN200+Model!BO200</f>
        <v>-258653.313387885</v>
      </c>
      <c r="X25" s="39" t="n">
        <f aca="false">Model!BP200+Model!BQ200+Model!BR200</f>
        <v>-205402.963387885</v>
      </c>
      <c r="Y25" s="39" t="n">
        <f aca="false">Model!BS200+Model!BT200+Model!BU200</f>
        <v>-190891.313387885</v>
      </c>
      <c r="Z25" s="39" t="n">
        <f aca="false">Model!BV200+Model!BW200+Model!BX200</f>
        <v>-190891.313387885</v>
      </c>
      <c r="AA25" s="39" t="n">
        <f aca="false">Model!BY200+Model!BZ200+Model!CA200</f>
        <v>-196064.379655643</v>
      </c>
      <c r="AB25" s="39" t="n">
        <f aca="false">Model!CB200+Model!CC200+Model!CD200</f>
        <v>-187327.379655643</v>
      </c>
      <c r="AC25" s="39" t="n">
        <f aca="false">Model!CE200+Model!CF200+Model!CG200</f>
        <v>-187327.379655643</v>
      </c>
      <c r="AD25" s="39" t="n">
        <f aca="false">Model!CH200+Model!CI200+Model!CJ200</f>
        <v>-180719.353049163</v>
      </c>
      <c r="AE25" s="39" t="n">
        <f aca="false">Model!CK200+Model!CL200+Model!CM200</f>
        <v>204480.092751245</v>
      </c>
      <c r="AF25" s="39" t="n">
        <f aca="false">Model!CN200+Model!CO200+Model!CP200</f>
        <v>204480.092751245</v>
      </c>
      <c r="AG25" s="39" t="n">
        <f aca="false">Model!CQ200+Model!CR200+Model!CS200</f>
        <v>204480.092751245</v>
      </c>
      <c r="AH25" s="39" t="n">
        <f aca="false">Model!CT200+Model!CU200+Model!CV200</f>
        <v>210205.572875934</v>
      </c>
      <c r="AI25" s="39" t="n">
        <f aca="false">Model!CW200+Model!CX200+Model!CY200</f>
        <v>406956.175397045</v>
      </c>
      <c r="AJ25" s="39" t="n">
        <f aca="false">Model!CZ200+Model!DA200+Model!DB200</f>
        <v>424403.024333453</v>
      </c>
      <c r="AK25" s="39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customFormat="false" ht="15" hidden="false" customHeight="true" outlineLevel="0" collapsed="false">
      <c r="A27" s="38" t="s">
        <v>217</v>
      </c>
      <c r="B27" s="39" t="n">
        <f aca="false">Model!B209+Model!C209+Model!D209</f>
        <v>-654917.25</v>
      </c>
      <c r="C27" s="39" t="n">
        <f aca="false">Model!E209+Model!F209+Model!G209</f>
        <v>417096.156666667</v>
      </c>
      <c r="D27" s="39" t="n">
        <f aca="false">Model!H209+Model!I209+Model!J209</f>
        <v>98463.0293725823</v>
      </c>
      <c r="E27" s="39" t="n">
        <f aca="false">Model!K209+Model!L209+Model!M209</f>
        <v>707865.776818862</v>
      </c>
      <c r="F27" s="39" t="n">
        <f aca="false">Model!N209+Model!O209+Model!P209</f>
        <v>380747.620036796</v>
      </c>
      <c r="G27" s="39" t="n">
        <f aca="false">Model!Q209+Model!R209+Model!S209</f>
        <v>267260.70239243</v>
      </c>
      <c r="H27" s="39" t="n">
        <f aca="false">Model!T209+Model!U209+Model!V209</f>
        <v>880982.158064751</v>
      </c>
      <c r="I27" s="39" t="n">
        <f aca="false">Model!W209+Model!X209+Model!Y209</f>
        <v>909198.555429355</v>
      </c>
      <c r="J27" s="39" t="n">
        <f aca="false">Model!Z209+Model!AA209+Model!AB209</f>
        <v>764496.913004331</v>
      </c>
      <c r="K27" s="39" t="n">
        <f aca="false">Model!AC209+Model!AD209+Model!AE209</f>
        <v>-62699.7244724558</v>
      </c>
      <c r="L27" s="39" t="n">
        <f aca="false">Model!AF209+Model!AG209+Model!AH209</f>
        <v>941616.477591252</v>
      </c>
      <c r="M27" s="39" t="n">
        <f aca="false">Model!AI209+Model!AJ209+Model!AK209</f>
        <v>605281.461581932</v>
      </c>
      <c r="N27" s="39" t="n">
        <f aca="false">Model!AL209+Model!AM209+Model!AN209</f>
        <v>-321763.638041789</v>
      </c>
      <c r="O27" s="39" t="n">
        <f aca="false">Model!AO209+Model!AP209+Model!AQ209</f>
        <v>-915584.521472311</v>
      </c>
      <c r="P27" s="39" t="n">
        <f aca="false">Model!AR209+Model!AS209+Model!AT209</f>
        <v>-640041.43611881</v>
      </c>
      <c r="Q27" s="39" t="n">
        <f aca="false">Model!AU209+Model!AV209+Model!AW209</f>
        <v>-1412134.63364396</v>
      </c>
      <c r="R27" s="39" t="n">
        <f aca="false">Model!AX209+Model!AY209+Model!AZ209</f>
        <v>-1412134.63364396</v>
      </c>
      <c r="S27" s="39" t="n">
        <f aca="false">Model!BA209+Model!BB209+Model!BC209</f>
        <v>-1443606.90476895</v>
      </c>
      <c r="T27" s="39" t="n">
        <f aca="false">Model!BD209+Model!BE209+Model!BF209</f>
        <v>-1443606.90476895</v>
      </c>
      <c r="U27" s="39" t="n">
        <f aca="false">Model!BG209+Model!BH209+Model!BI209</f>
        <v>-1352330.2705819</v>
      </c>
      <c r="V27" s="39" t="n">
        <f aca="false">Model!BJ209+Model!BK209+Model!BL209</f>
        <v>-1916585.82737459</v>
      </c>
      <c r="W27" s="39" t="n">
        <f aca="false">Model!BM209+Model!BN209+Model!BO209</f>
        <v>-1948687.54392208</v>
      </c>
      <c r="X27" s="39" t="n">
        <f aca="false">Model!BP209+Model!BQ209+Model!BR209</f>
        <v>-1895437.19392208</v>
      </c>
      <c r="Y27" s="39" t="n">
        <f aca="false">Model!BS209+Model!BT209+Model!BU209</f>
        <v>-1880925.54392208</v>
      </c>
      <c r="Z27" s="39" t="n">
        <f aca="false">Model!BV209+Model!BW209+Model!BX209</f>
        <v>-1880925.54392208</v>
      </c>
      <c r="AA27" s="39" t="n">
        <f aca="false">Model!BY209+Model!BZ209+Model!CA209</f>
        <v>-1913669.29480053</v>
      </c>
      <c r="AB27" s="39" t="n">
        <f aca="false">Model!CB209+Model!CC209+Model!CD209</f>
        <v>-1904932.29480053</v>
      </c>
      <c r="AC27" s="39" t="n">
        <f aca="false">Model!CE209+Model!CF209+Model!CG209</f>
        <v>-1904932.29480053</v>
      </c>
      <c r="AD27" s="39" t="n">
        <f aca="false">Model!CH209+Model!CI209+Model!CJ209</f>
        <v>-1898324.26819405</v>
      </c>
      <c r="AE27" s="39" t="n">
        <f aca="false">Model!CK209+Model!CL209+Model!CM209</f>
        <v>-1541246.92069654</v>
      </c>
      <c r="AF27" s="39" t="n">
        <f aca="false">Model!CN209+Model!CO209+Model!CP209</f>
        <v>-1541246.92069654</v>
      </c>
      <c r="AG27" s="39" t="n">
        <f aca="false">Model!CQ209+Model!CR209+Model!CS209</f>
        <v>-1541246.92069654</v>
      </c>
      <c r="AH27" s="39" t="n">
        <f aca="false">Model!CT209+Model!CU209+Model!CV209</f>
        <v>-1370107.11478764</v>
      </c>
      <c r="AI27" s="39" t="n">
        <f aca="false">Model!CW209+Model!CX209+Model!CY209</f>
        <v>-1198732.7660198</v>
      </c>
      <c r="AJ27" s="39" t="n">
        <f aca="false">Model!CZ209+Model!DA209+Model!DB209</f>
        <v>-1181285.91708339</v>
      </c>
      <c r="AK27" s="39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</row>
    <row r="29" customFormat="false" ht="15" hidden="false" customHeight="true" outlineLevel="0" collapsed="false">
      <c r="A29" s="23" t="s">
        <v>218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customFormat="false" ht="15" hidden="false" customHeight="true" outlineLevel="0" collapsed="false">
      <c r="A30" s="28" t="s">
        <v>219</v>
      </c>
      <c r="B30" s="100" t="n">
        <f aca="false">Model!B194+Model!C194+Model!D194</f>
        <v>0</v>
      </c>
      <c r="C30" s="100" t="n">
        <f aca="false">Model!E194+Model!F194+Model!G194</f>
        <v>-0</v>
      </c>
      <c r="D30" s="100" t="n">
        <f aca="false">Model!H194+Model!I194+Model!J194</f>
        <v>-0</v>
      </c>
      <c r="E30" s="100" t="n">
        <f aca="false">Model!K194+Model!L194+Model!M194</f>
        <v>-0</v>
      </c>
      <c r="F30" s="100" t="n">
        <f aca="false">Model!N194+Model!O194+Model!P194</f>
        <v>-0</v>
      </c>
      <c r="G30" s="100" t="n">
        <f aca="false">Model!Q194+Model!R194+Model!S194</f>
        <v>-0</v>
      </c>
      <c r="H30" s="100" t="n">
        <f aca="false">Model!T194+Model!U194+Model!V194</f>
        <v>-0</v>
      </c>
      <c r="I30" s="100" t="n">
        <f aca="false">Model!W194+Model!X194+Model!Y194</f>
        <v>-0</v>
      </c>
      <c r="J30" s="100" t="n">
        <f aca="false">Model!Z194+Model!AA194+Model!AB194</f>
        <v>-0</v>
      </c>
      <c r="K30" s="100" t="n">
        <f aca="false">Model!AC194+Model!AD194+Model!AE194</f>
        <v>-0</v>
      </c>
      <c r="L30" s="100" t="n">
        <f aca="false">Model!AF194+Model!AG194+Model!AH194</f>
        <v>-0</v>
      </c>
      <c r="M30" s="100" t="n">
        <f aca="false">Model!AI194+Model!AJ194+Model!AK194</f>
        <v>-0</v>
      </c>
      <c r="N30" s="100" t="n">
        <f aca="false">Model!AL194+Model!AM194+Model!AN194</f>
        <v>-0</v>
      </c>
      <c r="O30" s="100" t="n">
        <f aca="false">Model!AO194+Model!AP194+Model!AQ194</f>
        <v>-0</v>
      </c>
      <c r="P30" s="100" t="n">
        <f aca="false">Model!AR194+Model!AS194+Model!AT194</f>
        <v>-0</v>
      </c>
      <c r="Q30" s="100" t="n">
        <f aca="false">Model!AU194+Model!AV194+Model!AW194</f>
        <v>-0</v>
      </c>
      <c r="R30" s="100" t="n">
        <f aca="false">Model!AX194+Model!AY194+Model!AZ194</f>
        <v>-0</v>
      </c>
      <c r="S30" s="100" t="n">
        <f aca="false">Model!BA194+Model!BB194+Model!BC194</f>
        <v>-0</v>
      </c>
      <c r="T30" s="100" t="n">
        <f aca="false">Model!BD194+Model!BE194+Model!BF194</f>
        <v>-0</v>
      </c>
      <c r="U30" s="100" t="n">
        <f aca="false">Model!BG194+Model!BH194+Model!BI194</f>
        <v>-0</v>
      </c>
      <c r="V30" s="100" t="n">
        <f aca="false">Model!BJ194+Model!BK194+Model!BL194</f>
        <v>-0</v>
      </c>
      <c r="W30" s="100" t="n">
        <f aca="false">Model!BM194+Model!BN194+Model!BO194</f>
        <v>-0</v>
      </c>
      <c r="X30" s="100" t="n">
        <f aca="false">Model!BP194+Model!BQ194+Model!BR194</f>
        <v>-0</v>
      </c>
      <c r="Y30" s="100" t="n">
        <f aca="false">Model!BS194+Model!BT194+Model!BU194</f>
        <v>-0</v>
      </c>
      <c r="Z30" s="100" t="n">
        <f aca="false">Model!BV194+Model!BW194+Model!BX194</f>
        <v>-0</v>
      </c>
      <c r="AA30" s="100" t="n">
        <f aca="false">Model!BY194+Model!BZ194+Model!CA194</f>
        <v>-0</v>
      </c>
      <c r="AB30" s="100" t="n">
        <f aca="false">Model!CB194+Model!CC194+Model!CD194</f>
        <v>-0</v>
      </c>
      <c r="AC30" s="100" t="n">
        <f aca="false">Model!CE194+Model!CF194+Model!CG194</f>
        <v>-0</v>
      </c>
      <c r="AD30" s="100" t="n">
        <f aca="false">Model!CH194+Model!CI194+Model!CJ194</f>
        <v>-0</v>
      </c>
      <c r="AE30" s="100" t="n">
        <f aca="false">Model!CK194+Model!CL194+Model!CM194</f>
        <v>-0</v>
      </c>
      <c r="AF30" s="100" t="n">
        <f aca="false">Model!CN194+Model!CO194+Model!CP194</f>
        <v>-0</v>
      </c>
      <c r="AG30" s="100" t="n">
        <f aca="false">Model!CQ194+Model!CR194+Model!CS194</f>
        <v>-0</v>
      </c>
      <c r="AH30" s="100" t="n">
        <f aca="false">Model!CT194+Model!CU194+Model!CV194</f>
        <v>-0</v>
      </c>
      <c r="AI30" s="100" t="n">
        <f aca="false">Model!CW194+Model!CX194+Model!CY194</f>
        <v>-0</v>
      </c>
      <c r="AJ30" s="100" t="n">
        <f aca="false">Model!CZ194+Model!DA194+Model!DB194</f>
        <v>-0</v>
      </c>
      <c r="AK30" s="100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00" t="n">
        <f aca="false">Model!B195+Model!C195+Model!D195</f>
        <v>0</v>
      </c>
      <c r="C31" s="100" t="n">
        <f aca="false">Model!E195+Model!F195+Model!G195</f>
        <v>-0</v>
      </c>
      <c r="D31" s="100" t="n">
        <f aca="false">Model!H195+Model!I195+Model!J195</f>
        <v>-0</v>
      </c>
      <c r="E31" s="100" t="n">
        <f aca="false">Model!K195+Model!L195+Model!M195</f>
        <v>-0</v>
      </c>
      <c r="F31" s="100" t="n">
        <f aca="false">Model!N195+Model!O195+Model!P195</f>
        <v>-0</v>
      </c>
      <c r="G31" s="100" t="n">
        <f aca="false">Model!Q195+Model!R195+Model!S195</f>
        <v>-0</v>
      </c>
      <c r="H31" s="100" t="n">
        <f aca="false">Model!T195+Model!U195+Model!V195</f>
        <v>-0</v>
      </c>
      <c r="I31" s="100" t="n">
        <f aca="false">Model!W195+Model!X195+Model!Y195</f>
        <v>-0</v>
      </c>
      <c r="J31" s="100" t="n">
        <f aca="false">Model!Z195+Model!AA195+Model!AB195</f>
        <v>-0</v>
      </c>
      <c r="K31" s="100" t="n">
        <f aca="false">Model!AC195+Model!AD195+Model!AE195</f>
        <v>-0</v>
      </c>
      <c r="L31" s="100" t="n">
        <f aca="false">Model!AF195+Model!AG195+Model!AH195</f>
        <v>-0</v>
      </c>
      <c r="M31" s="100" t="n">
        <f aca="false">Model!AI195+Model!AJ195+Model!AK195</f>
        <v>-0</v>
      </c>
      <c r="N31" s="100" t="n">
        <f aca="false">Model!AL195+Model!AM195+Model!AN195</f>
        <v>-0</v>
      </c>
      <c r="O31" s="100" t="n">
        <f aca="false">Model!AO195+Model!AP195+Model!AQ195</f>
        <v>-0</v>
      </c>
      <c r="P31" s="100" t="n">
        <f aca="false">Model!AR195+Model!AS195+Model!AT195</f>
        <v>-0</v>
      </c>
      <c r="Q31" s="100" t="n">
        <f aca="false">Model!AU195+Model!AV195+Model!AW195</f>
        <v>-0</v>
      </c>
      <c r="R31" s="100" t="n">
        <f aca="false">Model!AX195+Model!AY195+Model!AZ195</f>
        <v>-0</v>
      </c>
      <c r="S31" s="100" t="n">
        <f aca="false">Model!BA195+Model!BB195+Model!BC195</f>
        <v>-0</v>
      </c>
      <c r="T31" s="100" t="n">
        <f aca="false">Model!BD195+Model!BE195+Model!BF195</f>
        <v>-0</v>
      </c>
      <c r="U31" s="100" t="n">
        <f aca="false">Model!BG195+Model!BH195+Model!BI195</f>
        <v>-0</v>
      </c>
      <c r="V31" s="100" t="n">
        <f aca="false">Model!BJ195+Model!BK195+Model!BL195</f>
        <v>-0</v>
      </c>
      <c r="W31" s="100" t="n">
        <f aca="false">Model!BM195+Model!BN195+Model!BO195</f>
        <v>-0</v>
      </c>
      <c r="X31" s="100" t="n">
        <f aca="false">Model!BP195+Model!BQ195+Model!BR195</f>
        <v>-0</v>
      </c>
      <c r="Y31" s="100" t="n">
        <f aca="false">Model!BS195+Model!BT195+Model!BU195</f>
        <v>-0</v>
      </c>
      <c r="Z31" s="100" t="n">
        <f aca="false">Model!BV195+Model!BW195+Model!BX195</f>
        <v>-0</v>
      </c>
      <c r="AA31" s="100" t="n">
        <f aca="false">Model!BY195+Model!BZ195+Model!CA195</f>
        <v>-0</v>
      </c>
      <c r="AB31" s="100" t="n">
        <f aca="false">Model!CB195+Model!CC195+Model!CD195</f>
        <v>-0</v>
      </c>
      <c r="AC31" s="100" t="n">
        <f aca="false">Model!CE195+Model!CF195+Model!CG195</f>
        <v>-0</v>
      </c>
      <c r="AD31" s="100" t="n">
        <f aca="false">Model!CH195+Model!CI195+Model!CJ195</f>
        <v>-0</v>
      </c>
      <c r="AE31" s="100" t="n">
        <f aca="false">Model!CK195+Model!CL195+Model!CM195</f>
        <v>-0</v>
      </c>
      <c r="AF31" s="100" t="n">
        <f aca="false">Model!CN195+Model!CO195+Model!CP195</f>
        <v>-0</v>
      </c>
      <c r="AG31" s="100" t="n">
        <f aca="false">Model!CQ195+Model!CR195+Model!CS195</f>
        <v>-0</v>
      </c>
      <c r="AH31" s="100" t="n">
        <f aca="false">Model!CT195+Model!CU195+Model!CV195</f>
        <v>-0</v>
      </c>
      <c r="AI31" s="100" t="n">
        <f aca="false">Model!CW195+Model!CX195+Model!CY195</f>
        <v>-0</v>
      </c>
      <c r="AJ31" s="100" t="n">
        <f aca="false">Model!CZ195+Model!DA195+Model!DB195</f>
        <v>-0</v>
      </c>
      <c r="AK31" s="100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00" t="n">
        <f aca="false">Model!B196+Model!C196+Model!D196</f>
        <v>0</v>
      </c>
      <c r="C32" s="100" t="n">
        <f aca="false">Model!E196+Model!F196+Model!G196</f>
        <v>-0</v>
      </c>
      <c r="D32" s="100" t="n">
        <f aca="false">Model!H196+Model!I196+Model!J196</f>
        <v>-0</v>
      </c>
      <c r="E32" s="100" t="n">
        <f aca="false">Model!K196+Model!L196+Model!M196</f>
        <v>-0</v>
      </c>
      <c r="F32" s="100" t="n">
        <f aca="false">Model!N196+Model!O196+Model!P196</f>
        <v>-0</v>
      </c>
      <c r="G32" s="100" t="n">
        <f aca="false">Model!Q196+Model!R196+Model!S196</f>
        <v>-0</v>
      </c>
      <c r="H32" s="100" t="n">
        <f aca="false">Model!T196+Model!U196+Model!V196</f>
        <v>-0</v>
      </c>
      <c r="I32" s="100" t="n">
        <f aca="false">Model!W196+Model!X196+Model!Y196</f>
        <v>-0</v>
      </c>
      <c r="J32" s="100" t="n">
        <f aca="false">Model!Z196+Model!AA196+Model!AB196</f>
        <v>-0</v>
      </c>
      <c r="K32" s="100" t="n">
        <f aca="false">Model!AC196+Model!AD196+Model!AE196</f>
        <v>-0</v>
      </c>
      <c r="L32" s="100" t="n">
        <f aca="false">Model!AF196+Model!AG196+Model!AH196</f>
        <v>-0</v>
      </c>
      <c r="M32" s="100" t="n">
        <f aca="false">Model!AI196+Model!AJ196+Model!AK196</f>
        <v>-0</v>
      </c>
      <c r="N32" s="100" t="n">
        <f aca="false">Model!AL196+Model!AM196+Model!AN196</f>
        <v>-0</v>
      </c>
      <c r="O32" s="100" t="n">
        <f aca="false">Model!AO196+Model!AP196+Model!AQ196</f>
        <v>-0</v>
      </c>
      <c r="P32" s="100" t="n">
        <f aca="false">Model!AR196+Model!AS196+Model!AT196</f>
        <v>-81683</v>
      </c>
      <c r="Q32" s="100" t="n">
        <f aca="false">Model!AU196+Model!AV196+Model!AW196</f>
        <v>-81682</v>
      </c>
      <c r="R32" s="100" t="n">
        <f aca="false">Model!AX196+Model!AY196+Model!AZ196</f>
        <v>-81682</v>
      </c>
      <c r="S32" s="100" t="n">
        <f aca="false">Model!BA196+Model!BB196+Model!BC196</f>
        <v>-81682</v>
      </c>
      <c r="T32" s="100" t="n">
        <f aca="false">Model!BD196+Model!BE196+Model!BF196</f>
        <v>-59178</v>
      </c>
      <c r="U32" s="100" t="n">
        <f aca="false">Model!BG196+Model!BH196+Model!BI196</f>
        <v>-59176</v>
      </c>
      <c r="V32" s="100" t="n">
        <f aca="false">Model!BJ196+Model!BK196+Model!BL196</f>
        <v>-59176</v>
      </c>
      <c r="W32" s="100" t="n">
        <f aca="false">Model!BM196+Model!BN196+Model!BO196</f>
        <v>-59176</v>
      </c>
      <c r="X32" s="100" t="n">
        <f aca="false">Model!BP196+Model!BQ196+Model!BR196</f>
        <v>-14512.65</v>
      </c>
      <c r="Y32" s="100" t="n">
        <f aca="false">Model!BS196+Model!BT196+Model!BU196</f>
        <v>-0</v>
      </c>
      <c r="Z32" s="100" t="n">
        <f aca="false">Model!BV196+Model!BW196+Model!BX196</f>
        <v>-0</v>
      </c>
      <c r="AA32" s="100" t="n">
        <f aca="false">Model!BY196+Model!BZ196+Model!CA196</f>
        <v>-0</v>
      </c>
      <c r="AB32" s="100" t="n">
        <f aca="false">Model!CB196+Model!CC196+Model!CD196</f>
        <v>-0</v>
      </c>
      <c r="AC32" s="100" t="n">
        <f aca="false">Model!CE196+Model!CF196+Model!CG196</f>
        <v>-0</v>
      </c>
      <c r="AD32" s="100" t="n">
        <f aca="false">Model!CH196+Model!CI196+Model!CJ196</f>
        <v>-0</v>
      </c>
      <c r="AE32" s="100" t="n">
        <f aca="false">Model!CK196+Model!CL196+Model!CM196</f>
        <v>-0</v>
      </c>
      <c r="AF32" s="100" t="n">
        <f aca="false">Model!CN196+Model!CO196+Model!CP196</f>
        <v>-0</v>
      </c>
      <c r="AG32" s="100" t="n">
        <f aca="false">Model!CQ196+Model!CR196+Model!CS196</f>
        <v>-0</v>
      </c>
      <c r="AH32" s="100" t="n">
        <f aca="false">Model!CT196+Model!CU196+Model!CV196</f>
        <v>-0</v>
      </c>
      <c r="AI32" s="100" t="n">
        <f aca="false">Model!CW196+Model!CX196+Model!CY196</f>
        <v>-0</v>
      </c>
      <c r="AJ32" s="100" t="n">
        <f aca="false">Model!CZ196+Model!DA196+Model!DB196</f>
        <v>-0</v>
      </c>
      <c r="AK32" s="100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00" t="n">
        <f aca="false">Model!B197+Model!C197+Model!D197</f>
        <v>0</v>
      </c>
      <c r="C33" s="100" t="n">
        <f aca="false">Model!E197+Model!F197+Model!G197</f>
        <v>-0</v>
      </c>
      <c r="D33" s="100" t="n">
        <f aca="false">Model!H197+Model!I197+Model!J197</f>
        <v>-0</v>
      </c>
      <c r="E33" s="100" t="n">
        <f aca="false">Model!K197+Model!L197+Model!M197</f>
        <v>-0</v>
      </c>
      <c r="F33" s="100" t="n">
        <f aca="false">Model!N197+Model!O197+Model!P197</f>
        <v>-0</v>
      </c>
      <c r="G33" s="100" t="n">
        <f aca="false">Model!Q197+Model!R197+Model!S197</f>
        <v>-0</v>
      </c>
      <c r="H33" s="100" t="n">
        <f aca="false">Model!T197+Model!U197+Model!V197</f>
        <v>-0</v>
      </c>
      <c r="I33" s="100" t="n">
        <f aca="false">Model!W197+Model!X197+Model!Y197</f>
        <v>-0</v>
      </c>
      <c r="J33" s="100" t="n">
        <f aca="false">Model!Z197+Model!AA197+Model!AB197</f>
        <v>-0</v>
      </c>
      <c r="K33" s="100" t="n">
        <f aca="false">Model!AC197+Model!AD197+Model!AE197</f>
        <v>-0</v>
      </c>
      <c r="L33" s="100" t="n">
        <f aca="false">Model!AF197+Model!AG197+Model!AH197</f>
        <v>-0</v>
      </c>
      <c r="M33" s="100" t="n">
        <f aca="false">Model!AI197+Model!AJ197+Model!AK197</f>
        <v>-0</v>
      </c>
      <c r="N33" s="100" t="n">
        <f aca="false">Model!AL197+Model!AM197+Model!AN197</f>
        <v>-0</v>
      </c>
      <c r="O33" s="100" t="n">
        <f aca="false">Model!AO197+Model!AP197+Model!AQ197</f>
        <v>-0</v>
      </c>
      <c r="P33" s="100" t="n">
        <f aca="false">Model!AR197+Model!AS197+Model!AT197</f>
        <v>-0</v>
      </c>
      <c r="Q33" s="100" t="n">
        <f aca="false">Model!AU197+Model!AV197+Model!AW197</f>
        <v>-0</v>
      </c>
      <c r="R33" s="100" t="n">
        <f aca="false">Model!AX197+Model!AY197+Model!AZ197</f>
        <v>-0</v>
      </c>
      <c r="S33" s="100" t="n">
        <f aca="false">Model!BA197+Model!BB197+Model!BC197</f>
        <v>-851839</v>
      </c>
      <c r="T33" s="100" t="n">
        <f aca="false">Model!BD197+Model!BE197+Model!BF197</f>
        <v>-71700</v>
      </c>
      <c r="U33" s="100" t="n">
        <f aca="false">Model!BG197+Model!BH197+Model!BI197</f>
        <v>-71700</v>
      </c>
      <c r="V33" s="100" t="n">
        <f aca="false">Model!BJ197+Model!BK197+Model!BL197</f>
        <v>-71700</v>
      </c>
      <c r="W33" s="100" t="n">
        <f aca="false">Model!BM197+Model!BN197+Model!BO197</f>
        <v>-71700</v>
      </c>
      <c r="X33" s="100" t="n">
        <f aca="false">Model!BP197+Model!BQ197+Model!BR197</f>
        <v>-74643</v>
      </c>
      <c r="Y33" s="100" t="n">
        <f aca="false">Model!BS197+Model!BT197+Model!BU197</f>
        <v>-74640</v>
      </c>
      <c r="Z33" s="100" t="n">
        <f aca="false">Model!BV197+Model!BW197+Model!BX197</f>
        <v>-74640</v>
      </c>
      <c r="AA33" s="100" t="n">
        <f aca="false">Model!BY197+Model!BZ197+Model!CA197</f>
        <v>-74640</v>
      </c>
      <c r="AB33" s="100" t="n">
        <f aca="false">Model!CB197+Model!CC197+Model!CD197</f>
        <v>-81363</v>
      </c>
      <c r="AC33" s="100" t="n">
        <f aca="false">Model!CE197+Model!CF197+Model!CG197</f>
        <v>-81362</v>
      </c>
      <c r="AD33" s="100" t="n">
        <f aca="false">Model!CH197+Model!CI197+Model!CJ197</f>
        <v>-74753.9733935208</v>
      </c>
      <c r="AE33" s="100" t="n">
        <f aca="false">Model!CK197+Model!CL197+Model!CM197</f>
        <v>-0</v>
      </c>
      <c r="AF33" s="100" t="n">
        <f aca="false">Model!CN197+Model!CO197+Model!CP197</f>
        <v>-0</v>
      </c>
      <c r="AG33" s="100" t="n">
        <f aca="false">Model!CQ197+Model!CR197+Model!CS197</f>
        <v>-0</v>
      </c>
      <c r="AH33" s="100" t="n">
        <f aca="false">Model!CT197+Model!CU197+Model!CV197</f>
        <v>-0</v>
      </c>
      <c r="AI33" s="100" t="n">
        <f aca="false">Model!CW197+Model!CX197+Model!CY197</f>
        <v>-0</v>
      </c>
      <c r="AJ33" s="100" t="n">
        <f aca="false">Model!CZ197+Model!DA197+Model!DB197</f>
        <v>-0</v>
      </c>
      <c r="AK33" s="100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00" t="n">
        <f aca="false">Model!B198+Model!C198+Model!D198</f>
        <v>0</v>
      </c>
      <c r="C34" s="100" t="n">
        <f aca="false">Model!E198+Model!F198+Model!G198</f>
        <v>-0</v>
      </c>
      <c r="D34" s="100" t="n">
        <f aca="false">Model!H198+Model!I198+Model!J198</f>
        <v>-0</v>
      </c>
      <c r="E34" s="100" t="n">
        <f aca="false">Model!K198+Model!L198+Model!M198</f>
        <v>-0</v>
      </c>
      <c r="F34" s="100" t="n">
        <f aca="false">Model!N198+Model!O198+Model!P198</f>
        <v>-0</v>
      </c>
      <c r="G34" s="100" t="n">
        <f aca="false">Model!Q198+Model!R198+Model!S198</f>
        <v>-0</v>
      </c>
      <c r="H34" s="100" t="n">
        <f aca="false">Model!T198+Model!U198+Model!V198</f>
        <v>-0</v>
      </c>
      <c r="I34" s="100" t="n">
        <f aca="false">Model!W198+Model!X198+Model!Y198</f>
        <v>-0</v>
      </c>
      <c r="J34" s="100" t="n">
        <f aca="false">Model!Z198+Model!AA198+Model!AB198</f>
        <v>-0</v>
      </c>
      <c r="K34" s="100" t="n">
        <f aca="false">Model!AC198+Model!AD198+Model!AE198</f>
        <v>-0</v>
      </c>
      <c r="L34" s="100" t="n">
        <f aca="false">Model!AF198+Model!AG198+Model!AH198</f>
        <v>-0</v>
      </c>
      <c r="M34" s="100" t="n">
        <f aca="false">Model!AI198+Model!AJ198+Model!AK198</f>
        <v>-0</v>
      </c>
      <c r="N34" s="100" t="n">
        <f aca="false">Model!AL198+Model!AM198+Model!AN198</f>
        <v>-0</v>
      </c>
      <c r="O34" s="100" t="n">
        <f aca="false">Model!AO198+Model!AP198+Model!AQ198</f>
        <v>-0</v>
      </c>
      <c r="P34" s="100" t="n">
        <f aca="false">Model!AR198+Model!AS198+Model!AT198</f>
        <v>-0</v>
      </c>
      <c r="Q34" s="100" t="n">
        <f aca="false">Model!AU198+Model!AV198+Model!AW198</f>
        <v>-0</v>
      </c>
      <c r="R34" s="100" t="n">
        <f aca="false">Model!AX198+Model!AY198+Model!AZ198</f>
        <v>-0</v>
      </c>
      <c r="S34" s="100" t="n">
        <f aca="false">Model!BA198+Model!BB198+Model!BC198</f>
        <v>-0</v>
      </c>
      <c r="T34" s="100" t="n">
        <f aca="false">Model!BD198+Model!BE198+Model!BF198</f>
        <v>-0</v>
      </c>
      <c r="U34" s="100" t="n">
        <f aca="false">Model!BG198+Model!BH198+Model!BI198</f>
        <v>-0</v>
      </c>
      <c r="V34" s="100" t="n">
        <f aca="false">Model!BJ198+Model!BK198+Model!BL198</f>
        <v>-0</v>
      </c>
      <c r="W34" s="100" t="n">
        <f aca="false">Model!BM198+Model!BN198+Model!BO198</f>
        <v>-0</v>
      </c>
      <c r="X34" s="100" t="n">
        <f aca="false">Model!BP198+Model!BQ198+Model!BR198</f>
        <v>-0</v>
      </c>
      <c r="Y34" s="100" t="n">
        <f aca="false">Model!BS198+Model!BT198+Model!BU198</f>
        <v>-0</v>
      </c>
      <c r="Z34" s="100" t="n">
        <f aca="false">Model!BV198+Model!BW198+Model!BX198</f>
        <v>-0</v>
      </c>
      <c r="AA34" s="100" t="n">
        <f aca="false">Model!BY198+Model!BZ198+Model!CA198</f>
        <v>-73156</v>
      </c>
      <c r="AB34" s="100" t="n">
        <f aca="false">Model!CB198+Model!CC198+Model!CD198</f>
        <v>-73155</v>
      </c>
      <c r="AC34" s="100" t="n">
        <f aca="false">Model!CE198+Model!CF198+Model!CG198</f>
        <v>-73155</v>
      </c>
      <c r="AD34" s="100" t="n">
        <f aca="false">Model!CH198+Model!CI198+Model!CJ198</f>
        <v>-73155</v>
      </c>
      <c r="AE34" s="100" t="n">
        <f aca="false">Model!CK198+Model!CL198+Model!CM198</f>
        <v>-219465</v>
      </c>
      <c r="AF34" s="100" t="n">
        <f aca="false">Model!CN198+Model!CO198+Model!CP198</f>
        <v>-219465</v>
      </c>
      <c r="AG34" s="100" t="n">
        <f aca="false">Model!CQ198+Model!CR198+Model!CS198</f>
        <v>-219465</v>
      </c>
      <c r="AH34" s="100" t="n">
        <f aca="false">Model!CT198+Model!CU198+Model!CV198</f>
        <v>-219465</v>
      </c>
      <c r="AI34" s="100" t="n">
        <f aca="false">Model!CW198+Model!CX198+Model!CY198</f>
        <v>-17446.8489364072</v>
      </c>
      <c r="AJ34" s="100" t="n">
        <f aca="false">Model!CZ198+Model!DA198+Model!DB198</f>
        <v>-0</v>
      </c>
      <c r="AK34" s="100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23" t="s">
        <v>224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customFormat="false" ht="15" hidden="false" customHeight="true" outlineLevel="0" collapsed="false">
      <c r="A37" s="28" t="s">
        <v>225</v>
      </c>
      <c r="B37" s="100" t="n">
        <f aca="false">Model!B217+Model!C217+Model!D217</f>
        <v>0</v>
      </c>
      <c r="C37" s="100" t="n">
        <f aca="false">Model!E217+Model!F217+Model!G217</f>
        <v>0</v>
      </c>
      <c r="D37" s="100" t="n">
        <f aca="false">Model!H217+Model!I217+Model!J217</f>
        <v>0</v>
      </c>
      <c r="E37" s="100" t="n">
        <f aca="false">Model!K217+Model!L217+Model!M217</f>
        <v>0</v>
      </c>
      <c r="F37" s="100" t="n">
        <f aca="false">Model!N217+Model!O217+Model!P217</f>
        <v>-336000</v>
      </c>
      <c r="G37" s="100" t="n">
        <f aca="false">Model!Q217+Model!R217+Model!S217</f>
        <v>-336000</v>
      </c>
      <c r="H37" s="100" t="n">
        <f aca="false">Model!T217+Model!U217+Model!V217</f>
        <v>-336000</v>
      </c>
      <c r="I37" s="100" t="n">
        <f aca="false">Model!W217+Model!X217+Model!Y217</f>
        <v>-336000</v>
      </c>
      <c r="J37" s="100" t="n">
        <f aca="false">Model!Z217+Model!AA217+Model!AB217</f>
        <v>-336000</v>
      </c>
      <c r="K37" s="100" t="n">
        <f aca="false">Model!AC217+Model!AD217+Model!AE217</f>
        <v>-315981.430278598</v>
      </c>
      <c r="L37" s="100" t="n">
        <f aca="false">Model!AF217+Model!AG217+Model!AH217</f>
        <v>0</v>
      </c>
      <c r="M37" s="100" t="n">
        <f aca="false">Model!AI217+Model!AJ217+Model!AK217</f>
        <v>0</v>
      </c>
      <c r="N37" s="100" t="n">
        <f aca="false">Model!AL217+Model!AM217+Model!AN217</f>
        <v>0</v>
      </c>
      <c r="O37" s="100" t="n">
        <f aca="false">Model!AO217+Model!AP217+Model!AQ217</f>
        <v>0</v>
      </c>
      <c r="P37" s="100" t="n">
        <f aca="false">Model!AR217+Model!AS217+Model!AT217</f>
        <v>0</v>
      </c>
      <c r="Q37" s="100" t="n">
        <f aca="false">Model!AU217+Model!AV217+Model!AW217</f>
        <v>0</v>
      </c>
      <c r="R37" s="100" t="n">
        <f aca="false">Model!AX217+Model!AY217+Model!AZ217</f>
        <v>0</v>
      </c>
      <c r="S37" s="100" t="n">
        <f aca="false">Model!BA217+Model!BB217+Model!BC217</f>
        <v>0</v>
      </c>
      <c r="T37" s="100" t="n">
        <f aca="false">Model!BD217+Model!BE217+Model!BF217</f>
        <v>0</v>
      </c>
      <c r="U37" s="100" t="n">
        <f aca="false">Model!BG217+Model!BH217+Model!BI217</f>
        <v>0</v>
      </c>
      <c r="V37" s="100" t="n">
        <f aca="false">Model!BJ217+Model!BK217+Model!BL217</f>
        <v>0</v>
      </c>
      <c r="W37" s="100" t="n">
        <f aca="false">Model!BM217+Model!BN217+Model!BO217</f>
        <v>0</v>
      </c>
      <c r="X37" s="100" t="n">
        <f aca="false">Model!BP217+Model!BQ217+Model!BR217</f>
        <v>0</v>
      </c>
      <c r="Y37" s="100" t="n">
        <f aca="false">Model!BS217+Model!BT217+Model!BU217</f>
        <v>0</v>
      </c>
      <c r="Z37" s="100" t="n">
        <f aca="false">Model!BV217+Model!BW217+Model!BX217</f>
        <v>0</v>
      </c>
      <c r="AA37" s="100" t="n">
        <f aca="false">Model!BY217+Model!BZ217+Model!CA217</f>
        <v>0</v>
      </c>
      <c r="AB37" s="100" t="n">
        <f aca="false">Model!CB217+Model!CC217+Model!CD217</f>
        <v>0</v>
      </c>
      <c r="AC37" s="100" t="n">
        <f aca="false">Model!CE217+Model!CF217+Model!CG217</f>
        <v>0</v>
      </c>
      <c r="AD37" s="100" t="n">
        <f aca="false">Model!CH217+Model!CI217+Model!CJ217</f>
        <v>0</v>
      </c>
      <c r="AE37" s="100" t="n">
        <f aca="false">Model!CK217+Model!CL217+Model!CM217</f>
        <v>0</v>
      </c>
      <c r="AF37" s="100" t="n">
        <f aca="false">Model!CN217+Model!CO217+Model!CP217</f>
        <v>0</v>
      </c>
      <c r="AG37" s="100" t="n">
        <f aca="false">Model!CQ217+Model!CR217+Model!CS217</f>
        <v>0</v>
      </c>
      <c r="AH37" s="100" t="n">
        <f aca="false">Model!CT217+Model!CU217+Model!CV217</f>
        <v>0</v>
      </c>
      <c r="AI37" s="100" t="n">
        <f aca="false">Model!CW217+Model!CX217+Model!CY217</f>
        <v>0</v>
      </c>
      <c r="AJ37" s="100" t="n">
        <f aca="false">Model!CZ217+Model!DA217+Model!DB217</f>
        <v>0</v>
      </c>
      <c r="AK37" s="100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00" t="n">
        <f aca="false">Model!B218+Model!C218+Model!D218</f>
        <v>0</v>
      </c>
      <c r="C38" s="100" t="n">
        <f aca="false">Model!G218</f>
        <v>1676065.6875</v>
      </c>
      <c r="D38" s="100" t="n">
        <f aca="false">Model!J218</f>
        <v>1738918.15078125</v>
      </c>
      <c r="E38" s="100" t="n">
        <f aca="false">Model!M218</f>
        <v>1804127.58143555</v>
      </c>
      <c r="F38" s="100" t="n">
        <f aca="false">Model!P218</f>
        <v>1527382.36573938</v>
      </c>
      <c r="G38" s="100" t="n">
        <f aca="false">Model!S218</f>
        <v>1240259.20445461</v>
      </c>
      <c r="H38" s="100" t="n">
        <f aca="false">Model!V218</f>
        <v>942368.924621655</v>
      </c>
      <c r="I38" s="100" t="n">
        <f aca="false">Model!Y218</f>
        <v>633307.759294967</v>
      </c>
      <c r="J38" s="100" t="n">
        <f aca="false">Model!AB218</f>
        <v>312656.800268528</v>
      </c>
      <c r="K38" s="100" t="n">
        <f aca="false">Model!AE218</f>
        <v>0</v>
      </c>
      <c r="L38" s="100" t="n">
        <f aca="false">Model!AH218</f>
        <v>0</v>
      </c>
      <c r="M38" s="100" t="n">
        <f aca="false">Model!AK218</f>
        <v>0</v>
      </c>
      <c r="N38" s="100" t="n">
        <f aca="false">Model!AN218</f>
        <v>0</v>
      </c>
      <c r="O38" s="100" t="n">
        <f aca="false">Model!AQ218</f>
        <v>0</v>
      </c>
      <c r="P38" s="100" t="n">
        <f aca="false">Model!AT218</f>
        <v>0</v>
      </c>
      <c r="Q38" s="100" t="n">
        <f aca="false">Model!AW218</f>
        <v>0</v>
      </c>
      <c r="R38" s="100" t="n">
        <f aca="false">Model!AZ218</f>
        <v>0</v>
      </c>
      <c r="S38" s="100" t="n">
        <f aca="false">Model!BC218</f>
        <v>0</v>
      </c>
      <c r="T38" s="100" t="n">
        <f aca="false">Model!BF218</f>
        <v>0</v>
      </c>
      <c r="U38" s="100" t="n">
        <f aca="false">Model!BI218</f>
        <v>0</v>
      </c>
      <c r="V38" s="100" t="n">
        <f aca="false">Model!BL218</f>
        <v>0</v>
      </c>
      <c r="W38" s="100" t="n">
        <f aca="false">Model!BO218</f>
        <v>0</v>
      </c>
      <c r="X38" s="100" t="n">
        <f aca="false">Model!BR218</f>
        <v>0</v>
      </c>
      <c r="Y38" s="100" t="n">
        <f aca="false">Model!BU218</f>
        <v>0</v>
      </c>
      <c r="Z38" s="100" t="n">
        <f aca="false">Model!BX218</f>
        <v>0</v>
      </c>
      <c r="AA38" s="100" t="n">
        <f aca="false">Model!CA218</f>
        <v>0</v>
      </c>
      <c r="AB38" s="100" t="n">
        <f aca="false">Model!CD218</f>
        <v>0</v>
      </c>
      <c r="AC38" s="100" t="n">
        <f aca="false">Model!CG218</f>
        <v>0</v>
      </c>
      <c r="AD38" s="100" t="n">
        <f aca="false">Model!CJ218</f>
        <v>0</v>
      </c>
      <c r="AE38" s="100" t="n">
        <f aca="false">Model!CM218</f>
        <v>0</v>
      </c>
      <c r="AF38" s="100" t="n">
        <f aca="false">Model!CP218</f>
        <v>0</v>
      </c>
      <c r="AG38" s="100" t="n">
        <f aca="false">Model!CS218</f>
        <v>0</v>
      </c>
      <c r="AH38" s="100" t="n">
        <f aca="false">Model!CV218</f>
        <v>0</v>
      </c>
      <c r="AI38" s="100" t="n">
        <f aca="false">Model!CY218</f>
        <v>0</v>
      </c>
      <c r="AJ38" s="100" t="n">
        <f aca="false">Model!DB218</f>
        <v>0</v>
      </c>
      <c r="AK38" s="100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00" t="n">
        <f aca="false">Model!B223+Model!C223+Model!D223</f>
        <v>0</v>
      </c>
      <c r="C39" s="100" t="n">
        <f aca="false">Model!E223+Model!F223+Model!G223</f>
        <v>0</v>
      </c>
      <c r="D39" s="100" t="n">
        <f aca="false">Model!H223+Model!I223+Model!J223</f>
        <v>0</v>
      </c>
      <c r="E39" s="100" t="n">
        <f aca="false">Model!K223+Model!L223+Model!M223</f>
        <v>0</v>
      </c>
      <c r="F39" s="100" t="n">
        <f aca="false">Model!N223+Model!O223+Model!P223</f>
        <v>0</v>
      </c>
      <c r="G39" s="100" t="n">
        <f aca="false">Model!Q223+Model!R223+Model!S223</f>
        <v>0</v>
      </c>
      <c r="H39" s="100" t="n">
        <f aca="false">Model!T223+Model!U223+Model!V223</f>
        <v>0</v>
      </c>
      <c r="I39" s="100" t="n">
        <f aca="false">Model!W223+Model!X223+Model!Y223</f>
        <v>0</v>
      </c>
      <c r="J39" s="100" t="n">
        <f aca="false">Model!Z223+Model!AA223+Model!AB223</f>
        <v>-250000</v>
      </c>
      <c r="K39" s="100" t="n">
        <f aca="false">Model!AC223+Model!AD223+Model!AE223</f>
        <v>0</v>
      </c>
      <c r="L39" s="100" t="n">
        <f aca="false">Model!AF223+Model!AG223+Model!AH223</f>
        <v>0</v>
      </c>
      <c r="M39" s="100" t="n">
        <f aca="false">Model!AI223+Model!AJ223+Model!AK223</f>
        <v>0</v>
      </c>
      <c r="N39" s="100" t="n">
        <f aca="false">Model!AL223+Model!AM223+Model!AN223</f>
        <v>-250000</v>
      </c>
      <c r="O39" s="100" t="n">
        <f aca="false">Model!AO223+Model!AP223+Model!AQ223</f>
        <v>0</v>
      </c>
      <c r="P39" s="100" t="n">
        <f aca="false">Model!AR223+Model!AS223+Model!AT223</f>
        <v>0</v>
      </c>
      <c r="Q39" s="100" t="n">
        <f aca="false">Model!AU223+Model!AV223+Model!AW223</f>
        <v>0</v>
      </c>
      <c r="R39" s="100" t="n">
        <f aca="false">Model!AX223+Model!AY223+Model!AZ223</f>
        <v>0</v>
      </c>
      <c r="S39" s="100" t="n">
        <f aca="false">Model!BA223+Model!BB223+Model!BC223</f>
        <v>0</v>
      </c>
      <c r="T39" s="100" t="n">
        <f aca="false">Model!BD223+Model!BE223+Model!BF223</f>
        <v>0</v>
      </c>
      <c r="U39" s="100" t="n">
        <f aca="false">Model!BG223+Model!BH223+Model!BI223</f>
        <v>0</v>
      </c>
      <c r="V39" s="100" t="n">
        <f aca="false">Model!BJ223+Model!BK223+Model!BL223</f>
        <v>0</v>
      </c>
      <c r="W39" s="100" t="n">
        <f aca="false">Model!BM223+Model!BN223+Model!BO223</f>
        <v>0</v>
      </c>
      <c r="X39" s="100" t="n">
        <f aca="false">Model!BP223+Model!BQ223+Model!BR223</f>
        <v>0</v>
      </c>
      <c r="Y39" s="100" t="n">
        <f aca="false">Model!BS223+Model!BT223+Model!BU223</f>
        <v>0</v>
      </c>
      <c r="Z39" s="100" t="n">
        <f aca="false">Model!BV223+Model!BW223+Model!BX223</f>
        <v>0</v>
      </c>
      <c r="AA39" s="100" t="n">
        <f aca="false">Model!BY223+Model!BZ223+Model!CA223</f>
        <v>0</v>
      </c>
      <c r="AB39" s="100" t="n">
        <f aca="false">Model!CB223+Model!CC223+Model!CD223</f>
        <v>0</v>
      </c>
      <c r="AC39" s="100" t="n">
        <f aca="false">Model!CE223+Model!CF223+Model!CG223</f>
        <v>0</v>
      </c>
      <c r="AD39" s="100" t="n">
        <f aca="false">Model!CH223+Model!CI223+Model!CJ223</f>
        <v>0</v>
      </c>
      <c r="AE39" s="100" t="n">
        <f aca="false">Model!CK223+Model!CL223+Model!CM223</f>
        <v>0</v>
      </c>
      <c r="AF39" s="100" t="n">
        <f aca="false">Model!CN223+Model!CO223+Model!CP223</f>
        <v>0</v>
      </c>
      <c r="AG39" s="100" t="n">
        <f aca="false">Model!CQ223+Model!CR223+Model!CS223</f>
        <v>0</v>
      </c>
      <c r="AH39" s="100" t="n">
        <f aca="false">Model!CT223+Model!CU223+Model!CV223</f>
        <v>0</v>
      </c>
      <c r="AI39" s="100" t="n">
        <f aca="false">Model!CW223+Model!CX223+Model!CY223</f>
        <v>0</v>
      </c>
      <c r="AJ39" s="100" t="n">
        <f aca="false">Model!CZ223+Model!DA223+Model!DB223</f>
        <v>0</v>
      </c>
      <c r="AK39" s="100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00" t="n">
        <f aca="false">Model!B224+Model!C224+Model!D224</f>
        <v>0</v>
      </c>
      <c r="C40" s="100" t="n">
        <f aca="false">Model!G224</f>
        <v>1000000</v>
      </c>
      <c r="D40" s="100" t="n">
        <f aca="false">Model!J224</f>
        <v>1000000</v>
      </c>
      <c r="E40" s="100" t="n">
        <f aca="false">Model!M224</f>
        <v>1000000</v>
      </c>
      <c r="F40" s="100" t="n">
        <f aca="false">Model!P224</f>
        <v>1000000</v>
      </c>
      <c r="G40" s="100" t="n">
        <f aca="false">Model!S224</f>
        <v>1000000</v>
      </c>
      <c r="H40" s="100" t="n">
        <f aca="false">Model!V224</f>
        <v>1000000</v>
      </c>
      <c r="I40" s="100" t="n">
        <f aca="false">Model!Y224</f>
        <v>1000000</v>
      </c>
      <c r="J40" s="100" t="n">
        <f aca="false">Model!AB224</f>
        <v>750000</v>
      </c>
      <c r="K40" s="100" t="n">
        <f aca="false">Model!AE224</f>
        <v>750000</v>
      </c>
      <c r="L40" s="100" t="n">
        <f aca="false">Model!AH224</f>
        <v>750000</v>
      </c>
      <c r="M40" s="100" t="n">
        <f aca="false">Model!AK224</f>
        <v>750000</v>
      </c>
      <c r="N40" s="100" t="n">
        <f aca="false">Model!AN224</f>
        <v>500000</v>
      </c>
      <c r="O40" s="100" t="n">
        <f aca="false">Model!AQ224</f>
        <v>500000</v>
      </c>
      <c r="P40" s="100" t="n">
        <f aca="false">Model!AT224</f>
        <v>500000</v>
      </c>
      <c r="Q40" s="100" t="n">
        <f aca="false">Model!AW224</f>
        <v>500000</v>
      </c>
      <c r="R40" s="100" t="n">
        <f aca="false">Model!AZ224</f>
        <v>500000</v>
      </c>
      <c r="S40" s="100" t="n">
        <f aca="false">Model!BC224</f>
        <v>500000</v>
      </c>
      <c r="T40" s="100" t="n">
        <f aca="false">Model!BF224</f>
        <v>500000</v>
      </c>
      <c r="U40" s="100" t="n">
        <f aca="false">Model!BI224</f>
        <v>500000</v>
      </c>
      <c r="V40" s="100" t="n">
        <f aca="false">Model!BL224</f>
        <v>500000</v>
      </c>
      <c r="W40" s="100" t="n">
        <f aca="false">Model!BO224</f>
        <v>500000</v>
      </c>
      <c r="X40" s="100" t="n">
        <f aca="false">Model!BR224</f>
        <v>500000</v>
      </c>
      <c r="Y40" s="100" t="n">
        <f aca="false">Model!BU224</f>
        <v>500000</v>
      </c>
      <c r="Z40" s="100" t="n">
        <f aca="false">Model!BX224</f>
        <v>500000</v>
      </c>
      <c r="AA40" s="100" t="n">
        <f aca="false">Model!CA224</f>
        <v>500000</v>
      </c>
      <c r="AB40" s="100" t="n">
        <f aca="false">Model!CD224</f>
        <v>500000</v>
      </c>
      <c r="AC40" s="100" t="n">
        <f aca="false">Model!CG224</f>
        <v>500000</v>
      </c>
      <c r="AD40" s="100" t="n">
        <f aca="false">Model!CJ224</f>
        <v>500000</v>
      </c>
      <c r="AE40" s="100" t="n">
        <f aca="false">Model!CM224</f>
        <v>500000</v>
      </c>
      <c r="AF40" s="100" t="n">
        <f aca="false">Model!CP224</f>
        <v>500000</v>
      </c>
      <c r="AG40" s="100" t="n">
        <f aca="false">Model!CS224</f>
        <v>500000</v>
      </c>
      <c r="AH40" s="100" t="n">
        <f aca="false">Model!CV224</f>
        <v>500000</v>
      </c>
      <c r="AI40" s="100" t="n">
        <f aca="false">Model!CY224</f>
        <v>500000</v>
      </c>
      <c r="AJ40" s="100" t="n">
        <f aca="false">Model!DB224</f>
        <v>500000</v>
      </c>
      <c r="AK40" s="100" t="n">
        <f aca="false">Model!DE224</f>
        <v>500000</v>
      </c>
    </row>
    <row r="41" customFormat="false" ht="15" hidden="false" customHeight="true" outlineLevel="0" collapsed="false">
      <c r="A41" s="28" t="s">
        <v>229</v>
      </c>
      <c r="B41" s="100" t="n">
        <f aca="false">Model!B277+Model!C277+Model!D277</f>
        <v>0</v>
      </c>
      <c r="C41" s="100" t="n">
        <f aca="false">Model!E277+Model!F277+Model!G277</f>
        <v>0</v>
      </c>
      <c r="D41" s="100" t="n">
        <f aca="false">Model!H277+Model!I277+Model!J277</f>
        <v>0</v>
      </c>
      <c r="E41" s="100" t="n">
        <f aca="false">Model!K277+Model!L277+Model!M277</f>
        <v>0</v>
      </c>
      <c r="F41" s="100" t="n">
        <f aca="false">Model!N277+Model!O277+Model!P277</f>
        <v>0</v>
      </c>
      <c r="G41" s="100" t="n">
        <f aca="false">Model!Q277+Model!R277+Model!S277</f>
        <v>0</v>
      </c>
      <c r="H41" s="100" t="n">
        <f aca="false">Model!T277+Model!U277+Model!V277</f>
        <v>0</v>
      </c>
      <c r="I41" s="100" t="n">
        <f aca="false">Model!W277+Model!X277+Model!Y277</f>
        <v>0</v>
      </c>
      <c r="J41" s="100" t="n">
        <f aca="false">Model!Z277+Model!AA277+Model!AB277</f>
        <v>0</v>
      </c>
      <c r="K41" s="100" t="n">
        <f aca="false">Model!AC277+Model!AD277+Model!AE277</f>
        <v>0</v>
      </c>
      <c r="L41" s="100" t="n">
        <f aca="false">Model!AF277+Model!AG277+Model!AH277</f>
        <v>0</v>
      </c>
      <c r="M41" s="100" t="n">
        <f aca="false">Model!AI277+Model!AJ277+Model!AK277</f>
        <v>0</v>
      </c>
      <c r="N41" s="100" t="n">
        <f aca="false">Model!AL277+Model!AM277+Model!AN277</f>
        <v>0</v>
      </c>
      <c r="O41" s="100" t="n">
        <f aca="false">Model!AO277+Model!AP277+Model!AQ277</f>
        <v>0</v>
      </c>
      <c r="P41" s="100" t="n">
        <f aca="false">Model!AR277+Model!AS277+Model!AT277</f>
        <v>0</v>
      </c>
      <c r="Q41" s="100" t="n">
        <f aca="false">Model!AU277+Model!AV277+Model!AW277</f>
        <v>0</v>
      </c>
      <c r="R41" s="100" t="n">
        <f aca="false">Model!AX277+Model!AY277+Model!AZ277</f>
        <v>0</v>
      </c>
      <c r="S41" s="100" t="n">
        <f aca="false">Model!BA277+Model!BB277+Model!BC277</f>
        <v>0</v>
      </c>
      <c r="T41" s="100" t="n">
        <f aca="false">Model!BD277+Model!BE277+Model!BF277</f>
        <v>0</v>
      </c>
      <c r="U41" s="100" t="n">
        <f aca="false">Model!BG277+Model!BH277+Model!BI277</f>
        <v>0</v>
      </c>
      <c r="V41" s="100" t="n">
        <f aca="false">Model!BJ277+Model!BK277+Model!BL277</f>
        <v>0</v>
      </c>
      <c r="W41" s="100" t="n">
        <f aca="false">Model!BM277+Model!BN277+Model!BO277</f>
        <v>0</v>
      </c>
      <c r="X41" s="100" t="n">
        <f aca="false">Model!BP277+Model!BQ277+Model!BR277</f>
        <v>0</v>
      </c>
      <c r="Y41" s="100" t="n">
        <f aca="false">Model!BS277+Model!BT277+Model!BU277</f>
        <v>0</v>
      </c>
      <c r="Z41" s="100" t="n">
        <f aca="false">Model!BV277+Model!BW277+Model!BX277</f>
        <v>0</v>
      </c>
      <c r="AA41" s="100" t="n">
        <f aca="false">Model!BY277+Model!BZ277+Model!CA277</f>
        <v>0</v>
      </c>
      <c r="AB41" s="100" t="n">
        <f aca="false">Model!CB277+Model!CC277+Model!CD277</f>
        <v>0</v>
      </c>
      <c r="AC41" s="100" t="n">
        <f aca="false">Model!CE277+Model!CF277+Model!CG277</f>
        <v>0</v>
      </c>
      <c r="AD41" s="100" t="n">
        <f aca="false">Model!CH277+Model!CI277+Model!CJ277</f>
        <v>0</v>
      </c>
      <c r="AE41" s="100" t="n">
        <f aca="false">Model!CK277+Model!CL277+Model!CM277</f>
        <v>0</v>
      </c>
      <c r="AF41" s="100" t="n">
        <f aca="false">Model!CN277+Model!CO277+Model!CP277</f>
        <v>0</v>
      </c>
      <c r="AG41" s="100" t="n">
        <f aca="false">Model!CQ277+Model!CR277+Model!CS277</f>
        <v>0</v>
      </c>
      <c r="AH41" s="100" t="n">
        <f aca="false">Model!CT277+Model!CU277+Model!CV277</f>
        <v>0</v>
      </c>
      <c r="AI41" s="100" t="n">
        <f aca="false">Model!CW277+Model!CX277+Model!CY277</f>
        <v>0</v>
      </c>
      <c r="AJ41" s="100" t="n">
        <f aca="false">Model!CZ277+Model!DA277+Model!DB277</f>
        <v>0</v>
      </c>
      <c r="AK41" s="100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00" t="n">
        <f aca="false">Model!B231+Model!C231+Model!D231</f>
        <v>0</v>
      </c>
      <c r="C42" s="100" t="n">
        <f aca="false">Model!G231+Model!G236+Model!G241+Model!G246</f>
        <v>1738378.196875</v>
      </c>
      <c r="D42" s="100" t="n">
        <f aca="false">Model!J231+Model!J236+Model!J241+Model!J246</f>
        <v>2142433.65800781</v>
      </c>
      <c r="E42" s="100" t="n">
        <f aca="false">Model!M231+Model!M236+Model!M241+Model!M246</f>
        <v>2378399.92018311</v>
      </c>
      <c r="F42" s="100" t="n">
        <f aca="false">Model!P243</f>
        <v>69194.3230957031</v>
      </c>
      <c r="G42" s="100" t="n">
        <f aca="false">Model!S243</f>
        <v>21164.110211792</v>
      </c>
      <c r="H42" s="100" t="n">
        <f aca="false">Model!V243</f>
        <v>21957.7643447342</v>
      </c>
      <c r="I42" s="100" t="n">
        <f aca="false">Model!Y243</f>
        <v>22781.1805076617</v>
      </c>
      <c r="J42" s="100" t="n">
        <f aca="false">Model!AB243</f>
        <v>23635.474776699</v>
      </c>
      <c r="K42" s="100" t="n">
        <f aca="false">Model!AE243</f>
        <v>24521.8050808252</v>
      </c>
      <c r="L42" s="100" t="n">
        <f aca="false">Model!AH243</f>
        <v>25441.3727713562</v>
      </c>
      <c r="M42" s="100" t="n">
        <f aca="false">Model!AK243</f>
        <v>26395.424250282</v>
      </c>
      <c r="N42" s="100" t="n">
        <f aca="false">Model!AN243</f>
        <v>27385.2526596676</v>
      </c>
      <c r="O42" s="100" t="n">
        <f aca="false">Model!AQ243</f>
        <v>28412.1996344052</v>
      </c>
      <c r="P42" s="100" t="n">
        <f aca="false">Model!AT243</f>
        <v>29477.6571206954</v>
      </c>
      <c r="Q42" s="100" t="n">
        <f aca="false">Model!AW243</f>
        <v>30583.0692627214</v>
      </c>
      <c r="R42" s="100" t="n">
        <f aca="false">Model!AZ243</f>
        <v>31729.9343600735</v>
      </c>
      <c r="S42" s="100" t="n">
        <f aca="false">Model!BC243</f>
        <v>32919.8068985762</v>
      </c>
      <c r="T42" s="100" t="n">
        <f aca="false">Model!BF243</f>
        <v>24810.3759072728</v>
      </c>
      <c r="U42" s="100" t="n">
        <f aca="false">Model!BI243</f>
        <v>23052.0150037956</v>
      </c>
      <c r="V42" s="100" t="n">
        <f aca="false">Model!BL243</f>
        <v>21227.7155664379</v>
      </c>
      <c r="W42" s="100" t="n">
        <f aca="false">Model!BO243</f>
        <v>19335.0049001793</v>
      </c>
      <c r="X42" s="100" t="n">
        <f aca="false">Model!BR243</f>
        <v>17371.3175839361</v>
      </c>
      <c r="Y42" s="100" t="n">
        <f aca="false">Model!BU243</f>
        <v>15223.6294933337</v>
      </c>
      <c r="Z42" s="100" t="n">
        <f aca="false">Model!BX243</f>
        <v>12995.5155993337</v>
      </c>
      <c r="AA42" s="100" t="n">
        <f aca="false">Model!CA243</f>
        <v>10683.8474343087</v>
      </c>
      <c r="AB42" s="100" t="n">
        <f aca="false">Model!CD243</f>
        <v>8285.49171309526</v>
      </c>
      <c r="AC42" s="100" t="n">
        <f aca="false">Model!CG243</f>
        <v>5545.08515233633</v>
      </c>
      <c r="AD42" s="100" t="n">
        <f aca="false">Model!CJ243</f>
        <v>2701.95084554894</v>
      </c>
      <c r="AE42" s="100" t="n">
        <f aca="false">Model!CM243</f>
        <v>0</v>
      </c>
      <c r="AF42" s="100" t="n">
        <f aca="false">Model!CP243</f>
        <v>0</v>
      </c>
      <c r="AG42" s="100" t="n">
        <f aca="false">Model!CS243</f>
        <v>0</v>
      </c>
      <c r="AH42" s="100" t="n">
        <f aca="false">Model!CV243</f>
        <v>0</v>
      </c>
      <c r="AI42" s="100" t="n">
        <f aca="false">Model!CY243</f>
        <v>0</v>
      </c>
      <c r="AJ42" s="100" t="n">
        <f aca="false">Model!DB243</f>
        <v>0</v>
      </c>
      <c r="AK42" s="100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00" t="n">
        <f aca="false">Model!B257+Model!C257+Model!D257</f>
        <v>0</v>
      </c>
      <c r="C44" s="100" t="n">
        <f aca="false">Model!G257</f>
        <v>20879271.9124362</v>
      </c>
      <c r="D44" s="100" t="n">
        <f aca="false">Model!J257</f>
        <v>101937181.31251</v>
      </c>
      <c r="E44" s="100" t="n">
        <f aca="false">Model!M257</f>
        <v>86032873.6923599</v>
      </c>
      <c r="F44" s="100" t="n">
        <f aca="false">Model!P257</f>
        <v>67637608.6570949</v>
      </c>
      <c r="G44" s="100" t="n">
        <f aca="false">Model!S257</f>
        <v>91292205.3562169</v>
      </c>
      <c r="H44" s="100" t="n">
        <f aca="false">Model!V257</f>
        <v>71551790.5201989</v>
      </c>
      <c r="I44" s="100" t="n">
        <f aca="false">Model!Y257</f>
        <v>52993542.7870939</v>
      </c>
      <c r="J44" s="100" t="n">
        <f aca="false">Model!AB257</f>
        <v>37330862.9276114</v>
      </c>
      <c r="K44" s="100" t="n">
        <f aca="false">Model!AE257</f>
        <v>66599470.497915</v>
      </c>
      <c r="L44" s="100" t="n">
        <f aca="false">Model!AH257</f>
        <v>55679909.273142</v>
      </c>
      <c r="M44" s="100" t="n">
        <f aca="false">Model!AK257</f>
        <v>45500358.0697596</v>
      </c>
      <c r="N44" s="100" t="n">
        <f aca="false">Model!AN257</f>
        <v>35942281.200826</v>
      </c>
      <c r="O44" s="100" t="n">
        <f aca="false">Model!AQ257</f>
        <v>26981928.712532</v>
      </c>
      <c r="P44" s="100" t="n">
        <f aca="false">Model!AT257</f>
        <v>18775979.790616</v>
      </c>
      <c r="Q44" s="100" t="n">
        <f aca="false">Model!AW257</f>
        <v>13258584.501624</v>
      </c>
      <c r="R44" s="100" t="n">
        <f aca="false">Model!AZ257</f>
        <v>8360541.887544</v>
      </c>
      <c r="S44" s="100" t="n">
        <f aca="false">Model!BC257</f>
        <v>4384004.53832</v>
      </c>
      <c r="T44" s="100" t="n">
        <f aca="false">Model!BF257</f>
        <v>1431490.58668</v>
      </c>
      <c r="U44" s="100" t="n">
        <f aca="false">Model!BI257</f>
        <v>0</v>
      </c>
      <c r="V44" s="100" t="n">
        <f aca="false">Model!BL257</f>
        <v>0</v>
      </c>
      <c r="W44" s="100" t="n">
        <f aca="false">Model!BO257</f>
        <v>0</v>
      </c>
      <c r="X44" s="100" t="n">
        <f aca="false">Model!BR257</f>
        <v>0</v>
      </c>
      <c r="Y44" s="100" t="n">
        <f aca="false">Model!BU257</f>
        <v>0</v>
      </c>
      <c r="Z44" s="100" t="n">
        <f aca="false">Model!BX257</f>
        <v>0</v>
      </c>
      <c r="AA44" s="100" t="n">
        <f aca="false">Model!CA257</f>
        <v>0</v>
      </c>
      <c r="AB44" s="100" t="n">
        <f aca="false">Model!CD257</f>
        <v>0</v>
      </c>
      <c r="AC44" s="100" t="n">
        <f aca="false">Model!CG257</f>
        <v>0</v>
      </c>
      <c r="AD44" s="100" t="n">
        <f aca="false">Model!CJ257</f>
        <v>0</v>
      </c>
      <c r="AE44" s="100" t="n">
        <f aca="false">Model!CM257</f>
        <v>0</v>
      </c>
      <c r="AF44" s="100" t="n">
        <f aca="false">Model!CP257</f>
        <v>0</v>
      </c>
      <c r="AG44" s="100" t="n">
        <f aca="false">Model!CS257</f>
        <v>0</v>
      </c>
      <c r="AH44" s="100" t="n">
        <f aca="false">Model!CV257</f>
        <v>0</v>
      </c>
      <c r="AI44" s="100" t="n">
        <f aca="false">Model!CY257</f>
        <v>0</v>
      </c>
      <c r="AJ44" s="100" t="n">
        <f aca="false">Model!DB257</f>
        <v>0</v>
      </c>
      <c r="AK44" s="100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89" t="s">
        <v>180</v>
      </c>
      <c r="B46" s="90" t="n">
        <f aca="false">Model!D270</f>
        <v>0</v>
      </c>
      <c r="C46" s="90" t="n">
        <f aca="false">Model!G270</f>
        <v>0</v>
      </c>
      <c r="D46" s="90" t="n">
        <f aca="false">Model!J270</f>
        <v>937492.16011685</v>
      </c>
      <c r="E46" s="90" t="n">
        <f aca="false">Model!M270</f>
        <v>1440326.78747725</v>
      </c>
      <c r="F46" s="90" t="n">
        <f aca="false">Model!P270</f>
        <v>1853083.54712428</v>
      </c>
      <c r="G46" s="90" t="n">
        <f aca="false">Model!S270</f>
        <v>1913969.6144938</v>
      </c>
      <c r="H46" s="90" t="n">
        <f aca="false">Model!V270</f>
        <v>3087900.08102351</v>
      </c>
      <c r="I46" s="90" t="n">
        <f aca="false">Model!Y270</f>
        <v>3954552.57378385</v>
      </c>
      <c r="J46" s="90" t="n">
        <f aca="false">Model!AB270</f>
        <v>4923545.90468152</v>
      </c>
      <c r="K46" s="90" t="n">
        <f aca="false">Model!AE270</f>
        <v>5479834.28225014</v>
      </c>
      <c r="L46" s="90" t="n">
        <f aca="false">Model!AH270</f>
        <v>6024288.52445672</v>
      </c>
      <c r="M46" s="90" t="n">
        <f aca="false">Model!AK270</f>
        <v>7087521.32858555</v>
      </c>
      <c r="N46" s="90" t="n">
        <f aca="false">Model!AN270</f>
        <v>7735544.17806067</v>
      </c>
      <c r="O46" s="90" t="n">
        <f aca="false">Model!AQ270</f>
        <v>7040206.5698417</v>
      </c>
      <c r="P46" s="90" t="n">
        <f aca="false">Model!AT270</f>
        <v>6603730.26770855</v>
      </c>
      <c r="Q46" s="90" t="n">
        <f aca="false">Model!AW270</f>
        <v>5861615.96733723</v>
      </c>
      <c r="R46" s="90" t="n">
        <f aca="false">Model!AZ270</f>
        <v>4674441.87755518</v>
      </c>
      <c r="S46" s="90" t="n">
        <f aca="false">Model!BC270</f>
        <v>3460767.70644799</v>
      </c>
      <c r="T46" s="90" t="n">
        <f aca="false">Model!BF270</f>
        <v>2247093.5353408</v>
      </c>
      <c r="U46" s="90" t="n">
        <f aca="false">Model!BI270</f>
        <v>1526728.08263546</v>
      </c>
      <c r="V46" s="90" t="n">
        <f aca="false">Model!BL270</f>
        <v>-136276.064947087</v>
      </c>
      <c r="W46" s="90" t="n">
        <f aca="false">Model!BO270</f>
        <v>-1826310.29548129</v>
      </c>
      <c r="X46" s="90" t="n">
        <f aca="false">Model!BR270</f>
        <v>-3516344.52601549</v>
      </c>
      <c r="Y46" s="90" t="n">
        <f aca="false">Model!BU270</f>
        <v>-5206378.75654968</v>
      </c>
      <c r="Z46" s="90" t="n">
        <f aca="false">Model!BX270</f>
        <v>-6896412.98708388</v>
      </c>
      <c r="AA46" s="90" t="n">
        <f aca="false">Model!CA270</f>
        <v>-8614017.90222876</v>
      </c>
      <c r="AB46" s="90" t="n">
        <f aca="false">Model!CD270</f>
        <v>-10331622.8173736</v>
      </c>
      <c r="AC46" s="90" t="n">
        <f aca="false">Model!CG270</f>
        <v>-12049227.7325185</v>
      </c>
      <c r="AD46" s="90" t="n">
        <f aca="false">Model!CJ270</f>
        <v>-13766832.6476634</v>
      </c>
      <c r="AE46" s="90" t="n">
        <f aca="false">Model!CM270</f>
        <v>-15512559.6611112</v>
      </c>
      <c r="AF46" s="90" t="n">
        <f aca="false">Model!CP270</f>
        <v>-17258286.674559</v>
      </c>
      <c r="AG46" s="90" t="n">
        <f aca="false">Model!CS270</f>
        <v>-19004013.6880067</v>
      </c>
      <c r="AH46" s="90" t="n">
        <f aca="false">Model!CV270</f>
        <v>-20584326.3756703</v>
      </c>
      <c r="AI46" s="90" t="n">
        <f aca="false">Model!CY270</f>
        <v>-22190015.3170872</v>
      </c>
      <c r="AJ46" s="90" t="n">
        <f aca="false">Model!DB270</f>
        <v>-23795704.258504</v>
      </c>
      <c r="AK46" s="90" t="n">
        <f aca="false">Model!DE270</f>
        <v>-25401393.1999209</v>
      </c>
    </row>
    <row r="47" customFormat="false" ht="15" hidden="false" customHeight="true" outlineLevel="0" collapsed="false">
      <c r="A47" s="89" t="s">
        <v>187</v>
      </c>
      <c r="B47" s="90" t="n">
        <f aca="false">Model!D278</f>
        <v>0</v>
      </c>
      <c r="C47" s="90" t="n">
        <f aca="false">Model!G278</f>
        <v>0</v>
      </c>
      <c r="D47" s="90" t="n">
        <f aca="false">Model!J278</f>
        <v>85326.0635714286</v>
      </c>
      <c r="E47" s="90" t="n">
        <f aca="false">Model!M278</f>
        <v>-3785.53285714291</v>
      </c>
      <c r="F47" s="90" t="n">
        <f aca="false">Model!P278</f>
        <v>-405611.415</v>
      </c>
      <c r="G47" s="90" t="n">
        <f aca="false">Model!S278</f>
        <v>-822479.8455</v>
      </c>
      <c r="H47" s="90" t="n">
        <f aca="false">Model!V278</f>
        <v>-1315067.026</v>
      </c>
      <c r="I47" s="90" t="n">
        <f aca="false">Model!Y278</f>
        <v>-1691598.2065</v>
      </c>
      <c r="J47" s="90" t="n">
        <f aca="false">Model!AB278</f>
        <v>-2451851.387</v>
      </c>
      <c r="K47" s="90" t="n">
        <f aca="false">Model!AE278</f>
        <v>-2943115.1113886</v>
      </c>
      <c r="L47" s="90" t="n">
        <f aca="false">Model!AH278</f>
        <v>-3179772.4054986</v>
      </c>
      <c r="M47" s="90" t="n">
        <f aca="false">Model!AK278</f>
        <v>-3440929.6996086</v>
      </c>
      <c r="N47" s="90" t="n">
        <f aca="false">Model!AN278</f>
        <v>-3954586.9937186</v>
      </c>
      <c r="O47" s="90" t="n">
        <f aca="false">Model!AQ278</f>
        <v>-4224368.9837108</v>
      </c>
      <c r="P47" s="90" t="n">
        <f aca="false">Model!AT278</f>
        <v>-4491093.473703</v>
      </c>
      <c r="Q47" s="90" t="n">
        <f aca="false">Model!AW278</f>
        <v>-4739702.9636952</v>
      </c>
      <c r="R47" s="90" t="n">
        <f aca="false">Model!AZ278</f>
        <v>-4988312.4536874</v>
      </c>
      <c r="S47" s="90" t="n">
        <f aca="false">Model!BC278</f>
        <v>-5241894.13347944</v>
      </c>
      <c r="T47" s="90" t="n">
        <f aca="false">Model!BF278</f>
        <v>-5495475.81327148</v>
      </c>
      <c r="U47" s="90" t="n">
        <f aca="false">Model!BI278</f>
        <v>-5749057.49306353</v>
      </c>
      <c r="V47" s="90" t="n">
        <f aca="false">Model!BL278</f>
        <v>-6002639.17285557</v>
      </c>
      <c r="W47" s="90" t="n">
        <f aca="false">Model!BO278</f>
        <v>-6261292.48624346</v>
      </c>
      <c r="X47" s="90" t="n">
        <f aca="false">Model!BR278</f>
        <v>-6466695.44963134</v>
      </c>
      <c r="Y47" s="90" t="n">
        <f aca="false">Model!BU278</f>
        <v>-6657586.76301923</v>
      </c>
      <c r="Z47" s="90" t="n">
        <f aca="false">Model!BX278</f>
        <v>-6848478.07640712</v>
      </c>
      <c r="AA47" s="90" t="n">
        <f aca="false">Model!CA278</f>
        <v>-7044542.45606276</v>
      </c>
      <c r="AB47" s="90" t="n">
        <f aca="false">Model!CD278</f>
        <v>-7231869.8357184</v>
      </c>
      <c r="AC47" s="90" t="n">
        <f aca="false">Model!CG278</f>
        <v>-7419197.21537404</v>
      </c>
      <c r="AD47" s="90" t="n">
        <f aca="false">Model!CJ278</f>
        <v>-7599916.5684232</v>
      </c>
      <c r="AE47" s="90" t="n">
        <f aca="false">Model!CM278</f>
        <v>-7395436.47567196</v>
      </c>
      <c r="AF47" s="90" t="n">
        <f aca="false">Model!CP278</f>
        <v>-7190956.38292071</v>
      </c>
      <c r="AG47" s="90" t="n">
        <f aca="false">Model!CS278</f>
        <v>-6986476.29016947</v>
      </c>
      <c r="AH47" s="90" t="n">
        <f aca="false">Model!CV278</f>
        <v>-6776270.71729353</v>
      </c>
      <c r="AI47" s="90" t="n">
        <f aca="false">Model!CY278</f>
        <v>-6369314.54189649</v>
      </c>
      <c r="AJ47" s="90" t="n">
        <f aca="false">Model!DB278</f>
        <v>-5944911.51756303</v>
      </c>
      <c r="AK47" s="90" t="n">
        <f aca="false">Model!DE278</f>
        <v>-5520508.49322958</v>
      </c>
    </row>
    <row r="48" customFormat="false" ht="15" hidden="false" customHeight="true" outlineLevel="0" collapsed="false">
      <c r="A48" s="89" t="s">
        <v>190</v>
      </c>
      <c r="B48" s="90" t="n">
        <f aca="false">Model!B282+Model!C282+Model!D282</f>
        <v>0</v>
      </c>
      <c r="C48" s="90" t="n">
        <f aca="false">Model!E282+Model!F282+Model!G282</f>
        <v>0</v>
      </c>
      <c r="D48" s="90" t="n">
        <f aca="false">Model!H282+Model!I282+Model!J282</f>
        <v>0</v>
      </c>
      <c r="E48" s="90" t="n">
        <f aca="false">Model!K282+Model!L282+Model!M282</f>
        <v>0</v>
      </c>
      <c r="F48" s="90" t="n">
        <f aca="false">Model!N282+Model!O282+Model!P282</f>
        <v>-170552.313857433</v>
      </c>
      <c r="G48" s="90" t="n">
        <f aca="false">Model!Q282+Model!R282+Model!S282</f>
        <v>0</v>
      </c>
      <c r="H48" s="90" t="n">
        <f aca="false">Model!T282+Model!U282+Model!V282</f>
        <v>0</v>
      </c>
      <c r="I48" s="90" t="n">
        <f aca="false">Model!W282+Model!X282+Model!Y282</f>
        <v>0</v>
      </c>
      <c r="J48" s="90" t="n">
        <f aca="false">Model!Z282+Model!AA282+Model!AB282</f>
        <v>-731456.710777</v>
      </c>
      <c r="K48" s="90" t="n">
        <f aca="false">Model!AC282+Model!AD282+Model!AE282</f>
        <v>0</v>
      </c>
      <c r="L48" s="90" t="n">
        <f aca="false">Model!AF282+Model!AG282+Model!AH282</f>
        <v>0</v>
      </c>
      <c r="M48" s="90" t="n">
        <f aca="false">Model!AI282+Model!AJ282+Model!AK282</f>
        <v>0</v>
      </c>
      <c r="N48" s="90" t="n">
        <f aca="false">Model!AL282+Model!AM282+Model!AN282</f>
        <v>-674608.538311518</v>
      </c>
      <c r="O48" s="90" t="n">
        <f aca="false">Model!AO282+Model!AP282+Model!AQ282</f>
        <v>0</v>
      </c>
      <c r="P48" s="90" t="n">
        <f aca="false">Model!AR282+Model!AS282+Model!AT282</f>
        <v>0</v>
      </c>
      <c r="Q48" s="90" t="n">
        <f aca="false">Model!AU282+Model!AV282+Model!AW282</f>
        <v>0</v>
      </c>
      <c r="R48" s="90" t="n">
        <f aca="false">Model!AX282+Model!AY282+Model!AZ282</f>
        <v>0</v>
      </c>
      <c r="S48" s="90" t="n">
        <f aca="false">Model!BA282+Model!BB282+Model!BC282</f>
        <v>0</v>
      </c>
      <c r="T48" s="90" t="n">
        <f aca="false">Model!BD282+Model!BE282+Model!BF282</f>
        <v>0</v>
      </c>
      <c r="U48" s="90" t="n">
        <f aca="false">Model!BG282+Model!BH282+Model!BI282</f>
        <v>0</v>
      </c>
      <c r="V48" s="90" t="n">
        <f aca="false">Model!BJ282+Model!BK282+Model!BL282</f>
        <v>0</v>
      </c>
      <c r="W48" s="90" t="n">
        <f aca="false">Model!BM282+Model!BN282+Model!BO282</f>
        <v>0</v>
      </c>
      <c r="X48" s="90" t="n">
        <f aca="false">Model!BP282+Model!BQ282+Model!BR282</f>
        <v>0</v>
      </c>
      <c r="Y48" s="90" t="n">
        <f aca="false">Model!BS282+Model!BT282+Model!BU282</f>
        <v>0</v>
      </c>
      <c r="Z48" s="90" t="n">
        <f aca="false">Model!BV282+Model!BW282+Model!BX282</f>
        <v>0</v>
      </c>
      <c r="AA48" s="90" t="n">
        <f aca="false">Model!BY282+Model!BZ282+Model!CA282</f>
        <v>0</v>
      </c>
      <c r="AB48" s="90" t="n">
        <f aca="false">Model!CB282+Model!CC282+Model!CD282</f>
        <v>0</v>
      </c>
      <c r="AC48" s="90" t="n">
        <f aca="false">Model!CE282+Model!CF282+Model!CG282</f>
        <v>0</v>
      </c>
      <c r="AD48" s="90" t="n">
        <f aca="false">Model!CH282+Model!CI282+Model!CJ282</f>
        <v>0</v>
      </c>
      <c r="AE48" s="90" t="n">
        <f aca="false">Model!CK282+Model!CL282+Model!CM282</f>
        <v>0</v>
      </c>
      <c r="AF48" s="90" t="n">
        <f aca="false">Model!CN282+Model!CO282+Model!CP282</f>
        <v>0</v>
      </c>
      <c r="AG48" s="90" t="n">
        <f aca="false">Model!CQ282+Model!CR282+Model!CS282</f>
        <v>0</v>
      </c>
      <c r="AH48" s="90" t="n">
        <f aca="false">Model!CT282+Model!CU282+Model!CV282</f>
        <v>0</v>
      </c>
      <c r="AI48" s="90" t="n">
        <f aca="false">Model!CW282+Model!CX282+Model!CY282</f>
        <v>0</v>
      </c>
      <c r="AJ48" s="90" t="n">
        <f aca="false">Model!CZ282+Model!DA282+Model!DB282</f>
        <v>0</v>
      </c>
      <c r="AK48" s="90" t="n">
        <f aca="false">Model!DC282+Model!DD282+Model!DE282</f>
        <v>0</v>
      </c>
    </row>
    <row r="49" customFormat="false" ht="15" hidden="false" customHeight="true" outlineLevel="0" collapsed="false">
      <c r="A49" s="29" t="s">
        <v>191</v>
      </c>
      <c r="B49" s="91" t="n">
        <f aca="false">Model!D283</f>
        <v>0</v>
      </c>
      <c r="C49" s="91" t="n">
        <f aca="false">Model!G283</f>
        <v>0</v>
      </c>
      <c r="D49" s="91" t="n">
        <f aca="false">Model!J283</f>
        <v>1125621.04422606</v>
      </c>
      <c r="E49" s="91" t="n">
        <f aca="false">Model!M283</f>
        <v>1298514.34738203</v>
      </c>
      <c r="F49" s="91" t="n">
        <f aca="false">Model!P283</f>
        <v>1189836.05437628</v>
      </c>
      <c r="G49" s="91" t="n">
        <f aca="false">Model!S283</f>
        <v>469521.176640862</v>
      </c>
      <c r="H49" s="91" t="n">
        <f aca="false">Model!V283</f>
        <v>1489099.27434074</v>
      </c>
      <c r="I49" s="91" t="n">
        <f aca="false">Model!Y283</f>
        <v>1992101.04673248</v>
      </c>
      <c r="J49" s="91" t="n">
        <f aca="false">Model!AB283</f>
        <v>1543690.33674384</v>
      </c>
      <c r="K49" s="91" t="n">
        <f aca="false">Model!AE283</f>
        <v>2922591.45216574</v>
      </c>
      <c r="L49" s="91" t="n">
        <f aca="false">Model!AH283</f>
        <v>2602946.0960414</v>
      </c>
      <c r="M49" s="91" t="n">
        <f aca="false">Model!AK283</f>
        <v>3340843.15312053</v>
      </c>
      <c r="N49" s="91" t="n">
        <f aca="false">Model!AN283</f>
        <v>3329467.69147442</v>
      </c>
      <c r="O49" s="91" t="n">
        <f aca="false">Model!AQ283</f>
        <v>3047616.78887056</v>
      </c>
      <c r="P49" s="91" t="n">
        <f aca="false">Model!AT283</f>
        <v>1813069.10530589</v>
      </c>
      <c r="Q49" s="91" t="n">
        <f aca="false">Model!AW283</f>
        <v>1517637.70023604</v>
      </c>
      <c r="R49" s="91" t="n">
        <f aca="false">Model!AZ283</f>
        <v>81854.1204618028</v>
      </c>
      <c r="S49" s="91" t="n">
        <f aca="false">Model!BC283</f>
        <v>-1376568.36999572</v>
      </c>
      <c r="T49" s="91" t="n">
        <f aca="false">Model!BF283</f>
        <v>-2843824.22089495</v>
      </c>
      <c r="U49" s="91" t="n">
        <f aca="false">Model!BI283</f>
        <v>-3667994.69456722</v>
      </c>
      <c r="V49" s="91" t="n">
        <f aca="false">Model!BL283</f>
        <v>-5584580.52194181</v>
      </c>
      <c r="W49" s="91" t="n">
        <f aca="false">Model!BO283</f>
        <v>-7524258.03821335</v>
      </c>
      <c r="X49" s="91" t="n">
        <f aca="false">Model!BR283</f>
        <v>-9419695.23213543</v>
      </c>
      <c r="Y49" s="91" t="n">
        <f aca="false">Model!BU283</f>
        <v>-11300620.7760575</v>
      </c>
      <c r="Z49" s="91" t="n">
        <f aca="false">Model!BX283</f>
        <v>-13181546.3199796</v>
      </c>
      <c r="AA49" s="91" t="n">
        <f aca="false">Model!CA283</f>
        <v>-15086025.3865766</v>
      </c>
      <c r="AB49" s="91" t="n">
        <f aca="false">Model!CD283</f>
        <v>-16990957.6813771</v>
      </c>
      <c r="AC49" s="91" t="n">
        <f aca="false">Model!CG283</f>
        <v>-18895889.9761776</v>
      </c>
      <c r="AD49" s="91" t="n">
        <f aca="false">Model!CJ283</f>
        <v>-20794214.2443717</v>
      </c>
      <c r="AE49" s="91" t="n">
        <f aca="false">Model!CM283</f>
        <v>-22326087.1323006</v>
      </c>
      <c r="AF49" s="91" t="n">
        <f aca="false">Model!CP283</f>
        <v>-23867334.0529971</v>
      </c>
      <c r="AG49" s="91" t="n">
        <f aca="false">Model!CS283</f>
        <v>-25408580.9736936</v>
      </c>
      <c r="AH49" s="91" t="n">
        <f aca="false">Model!CV283</f>
        <v>-26833826.197076</v>
      </c>
      <c r="AI49" s="91" t="n">
        <f aca="false">Model!CY283</f>
        <v>-28024100.2118447</v>
      </c>
      <c r="AJ49" s="91" t="n">
        <f aca="false">Model!DB283</f>
        <v>-29205386.1289281</v>
      </c>
      <c r="AK49" s="91" t="n">
        <f aca="false">Model!DE283</f>
        <v>-30386672.0460115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01" t="s">
        <v>269</v>
      </c>
    </row>
    <row r="2" customFormat="false" ht="15" hidden="false" customHeight="true" outlineLevel="0" collapsed="false">
      <c r="A2" s="102" t="s">
        <v>270</v>
      </c>
      <c r="C2" s="103" t="n">
        <v>46023</v>
      </c>
      <c r="D2" s="103" t="n">
        <v>46054</v>
      </c>
      <c r="E2" s="103" t="n">
        <v>46082</v>
      </c>
      <c r="F2" s="103" t="n">
        <v>46113</v>
      </c>
      <c r="G2" s="103" t="n">
        <v>46143</v>
      </c>
      <c r="H2" s="103" t="n">
        <v>46174</v>
      </c>
      <c r="I2" s="103" t="n">
        <v>46204</v>
      </c>
      <c r="J2" s="103" t="n">
        <v>46235</v>
      </c>
      <c r="K2" s="103" t="n">
        <v>46266</v>
      </c>
      <c r="L2" s="103" t="n">
        <v>46296</v>
      </c>
      <c r="M2" s="103" t="n">
        <v>46327</v>
      </c>
      <c r="N2" s="103" t="n">
        <v>46357</v>
      </c>
      <c r="O2" s="103" t="n">
        <v>46388</v>
      </c>
      <c r="P2" s="103" t="n">
        <v>46419</v>
      </c>
      <c r="Q2" s="103" t="n">
        <v>46447</v>
      </c>
      <c r="R2" s="103" t="n">
        <v>46478</v>
      </c>
      <c r="S2" s="103" t="n">
        <v>46508</v>
      </c>
      <c r="T2" s="103" t="n">
        <v>46539</v>
      </c>
      <c r="U2" s="103" t="n">
        <v>46569</v>
      </c>
      <c r="V2" s="103" t="n">
        <v>46600</v>
      </c>
      <c r="W2" s="103" t="n">
        <v>46631</v>
      </c>
      <c r="X2" s="103" t="n">
        <v>46661</v>
      </c>
      <c r="Y2" s="103" t="n">
        <v>46692</v>
      </c>
      <c r="Z2" s="103" t="n">
        <v>46722</v>
      </c>
      <c r="AA2" s="103" t="n">
        <v>46753</v>
      </c>
      <c r="AB2" s="103" t="n">
        <v>46784</v>
      </c>
      <c r="AC2" s="103" t="n">
        <v>46813</v>
      </c>
      <c r="AD2" s="103" t="n">
        <v>46844</v>
      </c>
      <c r="AE2" s="103" t="n">
        <v>46874</v>
      </c>
      <c r="AF2" s="103" t="n">
        <v>46905</v>
      </c>
      <c r="AG2" s="103" t="n">
        <v>46935</v>
      </c>
      <c r="AH2" s="103" t="n">
        <v>46966</v>
      </c>
      <c r="AI2" s="103" t="n">
        <v>46997</v>
      </c>
      <c r="AJ2" s="103" t="n">
        <v>47027</v>
      </c>
      <c r="AK2" s="103" t="n">
        <v>47058</v>
      </c>
      <c r="AL2" s="103" t="n">
        <v>47088</v>
      </c>
      <c r="AM2" s="103" t="n">
        <v>47119</v>
      </c>
      <c r="AN2" s="103" t="n">
        <v>47150</v>
      </c>
      <c r="AO2" s="103" t="n">
        <v>47178</v>
      </c>
      <c r="AP2" s="103" t="n">
        <v>47209</v>
      </c>
      <c r="AQ2" s="103" t="n">
        <v>47239</v>
      </c>
      <c r="AR2" s="103" t="n">
        <v>47270</v>
      </c>
      <c r="AS2" s="103" t="n">
        <v>47300</v>
      </c>
      <c r="AT2" s="103" t="n">
        <v>47331</v>
      </c>
      <c r="AU2" s="103" t="n">
        <v>47362</v>
      </c>
      <c r="AV2" s="103" t="n">
        <v>47392</v>
      </c>
      <c r="AW2" s="103" t="n">
        <v>47423</v>
      </c>
      <c r="AX2" s="103" t="n">
        <v>47453</v>
      </c>
      <c r="AY2" s="103" t="n">
        <v>47484</v>
      </c>
      <c r="AZ2" s="103" t="n">
        <v>47515</v>
      </c>
      <c r="BA2" s="103" t="n">
        <v>47543</v>
      </c>
      <c r="BB2" s="103" t="n">
        <v>47574</v>
      </c>
      <c r="BC2" s="103" t="n">
        <v>47604</v>
      </c>
      <c r="BD2" s="103" t="n">
        <v>47635</v>
      </c>
      <c r="BE2" s="103" t="n">
        <v>47665</v>
      </c>
      <c r="BF2" s="103" t="n">
        <v>47696</v>
      </c>
      <c r="BG2" s="103" t="n">
        <v>47727</v>
      </c>
      <c r="BH2" s="103" t="n">
        <v>47757</v>
      </c>
      <c r="BI2" s="103" t="n">
        <v>47788</v>
      </c>
      <c r="BJ2" s="103" t="n">
        <v>47818</v>
      </c>
      <c r="BK2" s="103" t="n">
        <v>47849</v>
      </c>
      <c r="BL2" s="103" t="n">
        <v>47880</v>
      </c>
      <c r="BM2" s="103" t="n">
        <v>47908</v>
      </c>
      <c r="BN2" s="103" t="n">
        <v>47939</v>
      </c>
      <c r="BO2" s="103" t="n">
        <v>47969</v>
      </c>
      <c r="BP2" s="103" t="n">
        <v>48000</v>
      </c>
      <c r="BQ2" s="103" t="n">
        <v>48030</v>
      </c>
      <c r="BR2" s="103" t="n">
        <v>48061</v>
      </c>
      <c r="BS2" s="103" t="n">
        <v>48092</v>
      </c>
      <c r="BT2" s="103" t="n">
        <v>48122</v>
      </c>
      <c r="BU2" s="103" t="n">
        <v>48153</v>
      </c>
      <c r="BV2" s="103" t="n">
        <v>48183</v>
      </c>
      <c r="BW2" s="103" t="n">
        <v>48214</v>
      </c>
      <c r="BX2" s="103" t="n">
        <v>48245</v>
      </c>
      <c r="BY2" s="103" t="n">
        <v>48274</v>
      </c>
      <c r="BZ2" s="103" t="n">
        <v>48305</v>
      </c>
      <c r="CA2" s="103" t="n">
        <v>48335</v>
      </c>
      <c r="CB2" s="103" t="n">
        <v>48366</v>
      </c>
      <c r="CC2" s="103" t="n">
        <v>48396</v>
      </c>
      <c r="CD2" s="103" t="n">
        <v>48427</v>
      </c>
      <c r="CE2" s="103" t="n">
        <v>48458</v>
      </c>
      <c r="CF2" s="103" t="n">
        <v>48488</v>
      </c>
      <c r="CG2" s="103" t="n">
        <v>48519</v>
      </c>
      <c r="CH2" s="103" t="n">
        <v>48549</v>
      </c>
      <c r="CI2" s="103" t="n">
        <v>48580</v>
      </c>
      <c r="CJ2" s="103" t="n">
        <v>48611</v>
      </c>
      <c r="CK2" s="103" t="n">
        <v>48639</v>
      </c>
      <c r="CL2" s="103" t="n">
        <v>48670</v>
      </c>
      <c r="CM2" s="103" t="n">
        <v>48700</v>
      </c>
      <c r="CN2" s="103" t="n">
        <v>48731</v>
      </c>
      <c r="CO2" s="103" t="n">
        <v>48761</v>
      </c>
      <c r="CP2" s="103" t="n">
        <v>48792</v>
      </c>
      <c r="CQ2" s="103" t="n">
        <v>48823</v>
      </c>
      <c r="CR2" s="103" t="n">
        <v>48853</v>
      </c>
      <c r="CS2" s="103" t="n">
        <v>48884</v>
      </c>
      <c r="CT2" s="103" t="n">
        <v>48914</v>
      </c>
    </row>
    <row r="3" customFormat="false" ht="15" hidden="false" customHeight="true" outlineLevel="0" collapsed="false">
      <c r="A3" s="104" t="s">
        <v>1</v>
      </c>
      <c r="C3" s="104" t="n">
        <v>-2</v>
      </c>
      <c r="D3" s="104" t="n">
        <v>-1</v>
      </c>
      <c r="E3" s="104" t="n">
        <v>0</v>
      </c>
      <c r="F3" s="104" t="n">
        <v>1</v>
      </c>
      <c r="G3" s="104" t="n">
        <v>2</v>
      </c>
      <c r="H3" s="104" t="n">
        <v>3</v>
      </c>
      <c r="I3" s="104" t="n">
        <v>4</v>
      </c>
      <c r="J3" s="104" t="n">
        <v>5</v>
      </c>
      <c r="K3" s="104" t="n">
        <v>6</v>
      </c>
      <c r="L3" s="104" t="n">
        <v>7</v>
      </c>
      <c r="M3" s="104" t="n">
        <v>8</v>
      </c>
      <c r="N3" s="104" t="n">
        <v>9</v>
      </c>
      <c r="O3" s="104" t="n">
        <v>10</v>
      </c>
      <c r="P3" s="104" t="n">
        <v>11</v>
      </c>
      <c r="Q3" s="104" t="n">
        <v>12</v>
      </c>
      <c r="R3" s="104" t="n">
        <v>13</v>
      </c>
      <c r="S3" s="104" t="n">
        <v>14</v>
      </c>
      <c r="T3" s="104" t="n">
        <v>15</v>
      </c>
      <c r="U3" s="104" t="n">
        <v>16</v>
      </c>
      <c r="V3" s="104" t="n">
        <v>17</v>
      </c>
      <c r="W3" s="104" t="n">
        <v>18</v>
      </c>
      <c r="X3" s="104" t="n">
        <v>19</v>
      </c>
      <c r="Y3" s="104" t="n">
        <v>20</v>
      </c>
      <c r="Z3" s="104" t="n">
        <v>21</v>
      </c>
      <c r="AA3" s="104" t="n">
        <v>22</v>
      </c>
      <c r="AB3" s="104" t="n">
        <v>23</v>
      </c>
      <c r="AC3" s="104" t="n">
        <v>24</v>
      </c>
      <c r="AD3" s="104" t="n">
        <v>25</v>
      </c>
      <c r="AE3" s="104" t="n">
        <v>26</v>
      </c>
      <c r="AF3" s="104" t="n">
        <v>27</v>
      </c>
      <c r="AG3" s="104" t="n">
        <v>28</v>
      </c>
      <c r="AH3" s="104" t="n">
        <v>29</v>
      </c>
      <c r="AI3" s="104" t="n">
        <v>30</v>
      </c>
      <c r="AJ3" s="104" t="n">
        <v>31</v>
      </c>
      <c r="AK3" s="104" t="n">
        <v>32</v>
      </c>
      <c r="AL3" s="104" t="n">
        <v>33</v>
      </c>
      <c r="AM3" s="104" t="n">
        <v>34</v>
      </c>
      <c r="AN3" s="104" t="n">
        <v>35</v>
      </c>
      <c r="AO3" s="104" t="n">
        <v>36</v>
      </c>
      <c r="AP3" s="104" t="n">
        <v>37</v>
      </c>
      <c r="AQ3" s="104" t="n">
        <v>38</v>
      </c>
      <c r="AR3" s="104" t="n">
        <v>39</v>
      </c>
      <c r="AS3" s="104" t="n">
        <v>40</v>
      </c>
      <c r="AT3" s="104" t="n">
        <v>41</v>
      </c>
      <c r="AU3" s="104" t="n">
        <v>42</v>
      </c>
      <c r="AV3" s="104" t="n">
        <v>43</v>
      </c>
      <c r="AW3" s="104" t="n">
        <v>44</v>
      </c>
      <c r="AX3" s="104" t="n">
        <v>45</v>
      </c>
      <c r="AY3" s="104" t="n">
        <v>46</v>
      </c>
      <c r="AZ3" s="104" t="n">
        <v>47</v>
      </c>
      <c r="BA3" s="104" t="n">
        <v>48</v>
      </c>
      <c r="BB3" s="104" t="n">
        <v>49</v>
      </c>
      <c r="BC3" s="104" t="n">
        <v>50</v>
      </c>
      <c r="BD3" s="104" t="n">
        <v>51</v>
      </c>
      <c r="BE3" s="104" t="n">
        <v>52</v>
      </c>
      <c r="BF3" s="104" t="n">
        <v>53</v>
      </c>
      <c r="BG3" s="104" t="n">
        <v>54</v>
      </c>
      <c r="BH3" s="104" t="n">
        <v>55</v>
      </c>
      <c r="BI3" s="104" t="n">
        <v>56</v>
      </c>
      <c r="BJ3" s="104" t="n">
        <v>57</v>
      </c>
      <c r="BK3" s="104" t="n">
        <v>58</v>
      </c>
      <c r="BL3" s="104" t="n">
        <v>59</v>
      </c>
      <c r="BM3" s="104" t="n">
        <v>60</v>
      </c>
      <c r="BN3" s="104" t="n">
        <v>61</v>
      </c>
      <c r="BO3" s="104" t="n">
        <v>62</v>
      </c>
      <c r="BP3" s="104" t="n">
        <v>63</v>
      </c>
      <c r="BQ3" s="104" t="n">
        <v>64</v>
      </c>
      <c r="BR3" s="104" t="n">
        <v>65</v>
      </c>
      <c r="BS3" s="104" t="n">
        <v>66</v>
      </c>
      <c r="BT3" s="104" t="n">
        <v>67</v>
      </c>
      <c r="BU3" s="104" t="n">
        <v>68</v>
      </c>
      <c r="BV3" s="104" t="n">
        <v>69</v>
      </c>
      <c r="BW3" s="104" t="n">
        <v>70</v>
      </c>
      <c r="BX3" s="104" t="n">
        <v>71</v>
      </c>
      <c r="BY3" s="104" t="n">
        <v>72</v>
      </c>
      <c r="BZ3" s="104" t="n">
        <v>73</v>
      </c>
      <c r="CA3" s="104" t="n">
        <v>74</v>
      </c>
      <c r="CB3" s="104" t="n">
        <v>75</v>
      </c>
      <c r="CC3" s="104" t="n">
        <v>76</v>
      </c>
      <c r="CD3" s="104" t="n">
        <v>77</v>
      </c>
      <c r="CE3" s="104" t="n">
        <v>78</v>
      </c>
      <c r="CF3" s="104" t="n">
        <v>79</v>
      </c>
      <c r="CG3" s="104" t="n">
        <v>80</v>
      </c>
      <c r="CH3" s="104" t="n">
        <v>81</v>
      </c>
      <c r="CI3" s="104" t="n">
        <v>82</v>
      </c>
      <c r="CJ3" s="104" t="n">
        <v>83</v>
      </c>
      <c r="CK3" s="104" t="n">
        <v>84</v>
      </c>
      <c r="CL3" s="104" t="n">
        <v>85</v>
      </c>
      <c r="CM3" s="104" t="n">
        <v>86</v>
      </c>
      <c r="CN3" s="104" t="n">
        <v>87</v>
      </c>
      <c r="CO3" s="104" t="n">
        <v>88</v>
      </c>
      <c r="CP3" s="104" t="n">
        <v>89</v>
      </c>
      <c r="CQ3" s="104" t="n">
        <v>90</v>
      </c>
      <c r="CR3" s="104" t="n">
        <v>91</v>
      </c>
      <c r="CS3" s="104" t="n">
        <v>92</v>
      </c>
      <c r="CT3" s="104" t="n">
        <v>93</v>
      </c>
    </row>
    <row r="7" customFormat="false" ht="15" hidden="false" customHeight="true" outlineLevel="0" collapsed="false">
      <c r="A7" s="105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</row>
    <row r="8" customFormat="false" ht="15" hidden="false" customHeight="true" outlineLevel="0" collapsed="false">
      <c r="A8" s="107" t="s">
        <v>4</v>
      </c>
      <c r="C8" s="106" t="n">
        <v>116367.35</v>
      </c>
      <c r="D8" s="106" t="n">
        <v>138804.22</v>
      </c>
      <c r="E8" s="106" t="n">
        <v>219366.88</v>
      </c>
      <c r="F8" s="106" t="n">
        <v>212079.14</v>
      </c>
      <c r="G8" s="106" t="n">
        <v>267726.14</v>
      </c>
      <c r="H8" s="106" t="n">
        <v>374773.89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</row>
    <row r="9" customFormat="false" ht="15" hidden="false" customHeight="true" outlineLevel="0" collapsed="false">
      <c r="A9" s="105" t="s">
        <v>271</v>
      </c>
      <c r="C9" s="106" t="n">
        <v>0</v>
      </c>
      <c r="D9" s="106" t="n">
        <v>0</v>
      </c>
      <c r="E9" s="106" t="n">
        <v>0</v>
      </c>
      <c r="F9" s="106" t="n">
        <v>0</v>
      </c>
      <c r="G9" s="106" t="n">
        <v>0</v>
      </c>
      <c r="H9" s="106" t="n">
        <v>0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</row>
    <row r="10" customFormat="false" ht="15" hidden="false" customHeight="true" outlineLevel="0" collapsed="false">
      <c r="A10" s="105" t="s">
        <v>5</v>
      </c>
      <c r="C10" s="106" t="n">
        <v>95370.25</v>
      </c>
      <c r="D10" s="106" t="n">
        <v>173282.89</v>
      </c>
      <c r="E10" s="106" t="n">
        <v>50438.85</v>
      </c>
      <c r="F10" s="106" t="n">
        <v>167518.85</v>
      </c>
      <c r="G10" s="106" t="n">
        <v>209057.26</v>
      </c>
      <c r="H10" s="106" t="n">
        <v>292966.36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</row>
    <row r="11" customFormat="false" ht="15" hidden="false" customHeight="true" outlineLevel="0" collapsed="false">
      <c r="A11" s="105" t="s">
        <v>272</v>
      </c>
      <c r="C11" s="106" t="n">
        <v>0</v>
      </c>
      <c r="D11" s="106" t="n">
        <v>0</v>
      </c>
      <c r="E11" s="106" t="n">
        <v>0</v>
      </c>
      <c r="F11" s="106" t="n">
        <v>0</v>
      </c>
      <c r="G11" s="106" t="n">
        <v>0</v>
      </c>
      <c r="H11" s="106" t="n">
        <v>0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</row>
    <row r="12" customFormat="false" ht="15" hidden="false" customHeight="true" outlineLevel="0" collapsed="false">
      <c r="A12" s="107" t="s">
        <v>6</v>
      </c>
      <c r="C12" s="106" t="n">
        <v>1242053.19</v>
      </c>
      <c r="D12" s="106" t="n">
        <v>2710434.48</v>
      </c>
      <c r="E12" s="106" t="n">
        <v>2402410.43</v>
      </c>
      <c r="F12" s="106" t="n">
        <v>3312759.91</v>
      </c>
      <c r="G12" s="106" t="n">
        <v>3939278.23</v>
      </c>
      <c r="H12" s="106" t="n">
        <v>5584522.73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</row>
    <row r="13" customFormat="false" ht="15" hidden="false" customHeight="true" outlineLevel="0" collapsed="false">
      <c r="A13" s="108" t="s">
        <v>52</v>
      </c>
      <c r="C13" s="109" t="n">
        <f aca="false">C8+C10+C12</f>
        <v>1453790.79</v>
      </c>
      <c r="D13" s="109" t="n">
        <f aca="false">D8+D10+D12</f>
        <v>3022521.59</v>
      </c>
      <c r="E13" s="109" t="n">
        <f aca="false">E8+E10+E12</f>
        <v>2672216.16</v>
      </c>
      <c r="F13" s="109" t="n">
        <f aca="false">F8+F10+F12</f>
        <v>3692357.9</v>
      </c>
      <c r="G13" s="109" t="n">
        <f aca="false">G8+G10+G12</f>
        <v>4416061.63</v>
      </c>
      <c r="H13" s="109" t="n">
        <f aca="false">H8+H10+H12</f>
        <v>6252262.98</v>
      </c>
      <c r="I13" s="109" t="n">
        <f aca="false">I8+I10+I12</f>
        <v>0</v>
      </c>
      <c r="J13" s="109" t="n">
        <f aca="false">J8+J10+J12</f>
        <v>0</v>
      </c>
      <c r="K13" s="109" t="n">
        <f aca="false">K8+K10+K12</f>
        <v>0</v>
      </c>
      <c r="L13" s="109" t="n">
        <f aca="false">L8+L10+L12</f>
        <v>0</v>
      </c>
      <c r="M13" s="109" t="n">
        <f aca="false">M8+M10+M12</f>
        <v>0</v>
      </c>
      <c r="N13" s="109" t="n">
        <f aca="false">N8+N10+N12</f>
        <v>0</v>
      </c>
      <c r="O13" s="109" t="n">
        <f aca="false">O8+O10+O12</f>
        <v>0</v>
      </c>
      <c r="P13" s="109" t="n">
        <f aca="false">P8+P10+P12</f>
        <v>0</v>
      </c>
      <c r="Q13" s="109" t="n">
        <f aca="false">Q8+Q10+Q12</f>
        <v>0</v>
      </c>
      <c r="R13" s="109" t="n">
        <f aca="false">R8+R10+R12</f>
        <v>0</v>
      </c>
      <c r="S13" s="109" t="n">
        <f aca="false">S8+S10+S12</f>
        <v>0</v>
      </c>
      <c r="T13" s="109" t="n">
        <f aca="false">T8+T10+T12</f>
        <v>0</v>
      </c>
      <c r="U13" s="109" t="n">
        <f aca="false">U8+U10+U12</f>
        <v>0</v>
      </c>
      <c r="V13" s="109" t="n">
        <f aca="false">V8+V10+V12</f>
        <v>0</v>
      </c>
      <c r="W13" s="109" t="n">
        <f aca="false">W8+W10+W12</f>
        <v>0</v>
      </c>
      <c r="X13" s="109" t="n">
        <f aca="false">X8+X10+X12</f>
        <v>0</v>
      </c>
      <c r="Y13" s="109" t="n">
        <f aca="false">Y8+Y10+Y12</f>
        <v>0</v>
      </c>
      <c r="Z13" s="109" t="n">
        <f aca="false">Z8+Z10+Z12</f>
        <v>0</v>
      </c>
      <c r="AA13" s="109" t="n">
        <f aca="false">AA8+AA10+AA12</f>
        <v>0</v>
      </c>
      <c r="AB13" s="109" t="n">
        <f aca="false">AB8+AB10+AB12</f>
        <v>0</v>
      </c>
      <c r="AC13" s="109" t="n">
        <f aca="false">AC8+AC10+AC12</f>
        <v>0</v>
      </c>
      <c r="AD13" s="109" t="n">
        <f aca="false">AD8+AD10+AD12</f>
        <v>0</v>
      </c>
      <c r="AE13" s="109" t="n">
        <f aca="false">AE8+AE10+AE12</f>
        <v>0</v>
      </c>
      <c r="AF13" s="109" t="n">
        <f aca="false">AF8+AF10+AF12</f>
        <v>0</v>
      </c>
      <c r="AG13" s="109" t="n">
        <f aca="false">AG8+AG10+AG12</f>
        <v>0</v>
      </c>
      <c r="AH13" s="109" t="n">
        <f aca="false">AH8+AH10+AH12</f>
        <v>0</v>
      </c>
      <c r="AI13" s="109" t="n">
        <f aca="false">AI8+AI10+AI12</f>
        <v>0</v>
      </c>
      <c r="AJ13" s="109" t="n">
        <f aca="false">AJ8+AJ10+AJ12</f>
        <v>0</v>
      </c>
      <c r="AK13" s="109" t="n">
        <f aca="false">AK8+AK10+AK12</f>
        <v>0</v>
      </c>
      <c r="AL13" s="109" t="n">
        <f aca="false">AL8+AL10+AL12</f>
        <v>0</v>
      </c>
      <c r="AM13" s="109" t="n">
        <f aca="false">AM8+AM10+AM12</f>
        <v>0</v>
      </c>
      <c r="AN13" s="109" t="n">
        <f aca="false">AN8+AN10+AN12</f>
        <v>0</v>
      </c>
      <c r="AO13" s="109" t="n">
        <f aca="false">AO8+AO10+AO12</f>
        <v>0</v>
      </c>
      <c r="AP13" s="109" t="n">
        <f aca="false">AP8+AP10+AP12</f>
        <v>0</v>
      </c>
      <c r="AQ13" s="109" t="n">
        <f aca="false">AQ8+AQ10+AQ12</f>
        <v>0</v>
      </c>
      <c r="AR13" s="109" t="n">
        <f aca="false">AR8+AR10+AR12</f>
        <v>0</v>
      </c>
      <c r="AS13" s="109" t="n">
        <f aca="false">AS8+AS10+AS12</f>
        <v>0</v>
      </c>
      <c r="AT13" s="109" t="n">
        <f aca="false">AT8+AT10+AT12</f>
        <v>0</v>
      </c>
      <c r="AU13" s="109" t="n">
        <f aca="false">AU8+AU10+AU12</f>
        <v>0</v>
      </c>
      <c r="AV13" s="109" t="n">
        <f aca="false">AV8+AV10+AV12</f>
        <v>0</v>
      </c>
      <c r="AW13" s="109" t="n">
        <f aca="false">AW8+AW10+AW12</f>
        <v>0</v>
      </c>
      <c r="AX13" s="109" t="n">
        <f aca="false">AX8+AX10+AX12</f>
        <v>0</v>
      </c>
      <c r="AY13" s="109" t="n">
        <f aca="false">AY8+AY10+AY12</f>
        <v>0</v>
      </c>
      <c r="AZ13" s="109" t="n">
        <f aca="false">AZ8+AZ10+AZ12</f>
        <v>0</v>
      </c>
      <c r="BA13" s="109" t="n">
        <f aca="false">BA8+BA10+BA12</f>
        <v>0</v>
      </c>
      <c r="BB13" s="109" t="n">
        <f aca="false">BB8+BB10+BB12</f>
        <v>0</v>
      </c>
      <c r="BC13" s="109" t="n">
        <f aca="false">BC8+BC10+BC12</f>
        <v>0</v>
      </c>
      <c r="BD13" s="109" t="n">
        <f aca="false">BD8+BD10+BD12</f>
        <v>0</v>
      </c>
      <c r="BE13" s="109" t="n">
        <f aca="false">BE8+BE10+BE12</f>
        <v>0</v>
      </c>
      <c r="BF13" s="109" t="n">
        <f aca="false">BF8+BF10+BF12</f>
        <v>0</v>
      </c>
      <c r="BG13" s="109" t="n">
        <f aca="false">BG8+BG10+BG12</f>
        <v>0</v>
      </c>
      <c r="BH13" s="109" t="n">
        <f aca="false">BH8+BH10+BH12</f>
        <v>0</v>
      </c>
      <c r="BI13" s="109" t="n">
        <f aca="false">BI8+BI10+BI12</f>
        <v>0</v>
      </c>
      <c r="BJ13" s="109" t="n">
        <f aca="false">BJ8+BJ10+BJ12</f>
        <v>0</v>
      </c>
      <c r="BK13" s="109" t="n">
        <f aca="false">BK8+BK10+BK12</f>
        <v>0</v>
      </c>
      <c r="BL13" s="109" t="n">
        <f aca="false">BL8+BL10+BL12</f>
        <v>0</v>
      </c>
      <c r="BM13" s="109" t="n">
        <f aca="false">BM8+BM10+BM12</f>
        <v>0</v>
      </c>
      <c r="BN13" s="109" t="n">
        <f aca="false">BN8+BN10+BN12</f>
        <v>0</v>
      </c>
      <c r="BO13" s="109" t="n">
        <f aca="false">BO8+BO10+BO12</f>
        <v>0</v>
      </c>
      <c r="BP13" s="109" t="n">
        <f aca="false">BP8+BP10+BP12</f>
        <v>0</v>
      </c>
      <c r="BQ13" s="109" t="n">
        <f aca="false">BQ8+BQ10+BQ12</f>
        <v>0</v>
      </c>
      <c r="BR13" s="109" t="n">
        <f aca="false">BR8+BR10+BR12</f>
        <v>0</v>
      </c>
      <c r="BS13" s="109" t="n">
        <f aca="false">BS8+BS10+BS12</f>
        <v>0</v>
      </c>
      <c r="BT13" s="109" t="n">
        <f aca="false">BT8+BT10+BT12</f>
        <v>0</v>
      </c>
      <c r="BU13" s="109" t="n">
        <f aca="false">BU8+BU10+BU12</f>
        <v>0</v>
      </c>
      <c r="BV13" s="109" t="n">
        <f aca="false">BV8+BV10+BV12</f>
        <v>0</v>
      </c>
      <c r="BW13" s="109" t="n">
        <f aca="false">BW8+BW10+BW12</f>
        <v>0</v>
      </c>
      <c r="BX13" s="109" t="n">
        <f aca="false">BX8+BX10+BX12</f>
        <v>0</v>
      </c>
      <c r="BY13" s="109" t="n">
        <f aca="false">BY8+BY10+BY12</f>
        <v>0</v>
      </c>
      <c r="BZ13" s="109" t="n">
        <f aca="false">BZ8+BZ10+BZ12</f>
        <v>0</v>
      </c>
      <c r="CA13" s="109" t="n">
        <f aca="false">CA8+CA10+CA12</f>
        <v>0</v>
      </c>
      <c r="CB13" s="109" t="n">
        <f aca="false">CB8+CB10+CB12</f>
        <v>0</v>
      </c>
      <c r="CC13" s="109" t="n">
        <f aca="false">CC8+CC10+CC12</f>
        <v>0</v>
      </c>
      <c r="CD13" s="109" t="n">
        <f aca="false">CD8+CD10+CD12</f>
        <v>0</v>
      </c>
      <c r="CE13" s="109" t="n">
        <f aca="false">CE8+CE10+CE12</f>
        <v>0</v>
      </c>
      <c r="CF13" s="109" t="n">
        <f aca="false">CF8+CF10+CF12</f>
        <v>0</v>
      </c>
      <c r="CG13" s="109" t="n">
        <f aca="false">CG8+CG10+CG12</f>
        <v>0</v>
      </c>
      <c r="CH13" s="109" t="n">
        <f aca="false">CH8+CH10+CH12</f>
        <v>0</v>
      </c>
      <c r="CI13" s="109" t="n">
        <f aca="false">CI8+CI10+CI12</f>
        <v>0</v>
      </c>
      <c r="CJ13" s="109" t="n">
        <f aca="false">CJ8+CJ10+CJ12</f>
        <v>0</v>
      </c>
      <c r="CK13" s="109" t="n">
        <f aca="false">CK8+CK10+CK12</f>
        <v>0</v>
      </c>
      <c r="CL13" s="109" t="n">
        <f aca="false">CL8+CL10+CL12</f>
        <v>0</v>
      </c>
      <c r="CM13" s="109" t="n">
        <f aca="false">CM8+CM10+CM12</f>
        <v>0</v>
      </c>
      <c r="CN13" s="109" t="n">
        <f aca="false">CN8+CN10+CN12</f>
        <v>0</v>
      </c>
      <c r="CO13" s="109" t="n">
        <f aca="false">CO8+CO10+CO12</f>
        <v>0</v>
      </c>
      <c r="CP13" s="109" t="n">
        <f aca="false">CP8+CP10+CP12</f>
        <v>0</v>
      </c>
      <c r="CQ13" s="109" t="n">
        <f aca="false">CQ8+CQ10+CQ12</f>
        <v>0</v>
      </c>
      <c r="CR13" s="109" t="n">
        <f aca="false">CR8+CR10+CR12</f>
        <v>0</v>
      </c>
      <c r="CS13" s="109" t="n">
        <f aca="false">CS8+CS10+CS12</f>
        <v>0</v>
      </c>
      <c r="CT13" s="109" t="n">
        <f aca="false">CT8+CT10+CT12</f>
        <v>0</v>
      </c>
    </row>
    <row r="14" customFormat="false" ht="15" hidden="false" customHeight="true" outlineLevel="0" collapsed="false">
      <c r="A14" s="76" t="s">
        <v>273</v>
      </c>
      <c r="C14" s="106" t="n">
        <v>-1233067.43</v>
      </c>
      <c r="D14" s="106" t="n">
        <v>-3073522.36</v>
      </c>
      <c r="E14" s="106" t="n">
        <v>-2078031.64</v>
      </c>
      <c r="F14" s="106" t="n">
        <v>-3244999.65</v>
      </c>
      <c r="G14" s="106" t="n">
        <v>-3950524.93</v>
      </c>
      <c r="H14" s="106" t="n">
        <v>-5610911.85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</row>
    <row r="15" customFormat="false" ht="15" hidden="false" customHeight="true" outlineLevel="0" collapsed="false">
      <c r="A15" s="105" t="s">
        <v>55</v>
      </c>
      <c r="C15" s="106" t="n">
        <v>0</v>
      </c>
      <c r="D15" s="106" t="n">
        <v>0</v>
      </c>
      <c r="E15" s="106" t="n">
        <v>0</v>
      </c>
      <c r="F15" s="106" t="n">
        <v>0</v>
      </c>
      <c r="G15" s="106" t="n">
        <v>0</v>
      </c>
      <c r="H15" s="106" t="n">
        <v>0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</row>
    <row r="16" customFormat="false" ht="15" hidden="false" customHeight="true" outlineLevel="0" collapsed="false">
      <c r="A16" s="105" t="s">
        <v>56</v>
      </c>
      <c r="C16" s="106" t="n">
        <v>-1966.5</v>
      </c>
      <c r="D16" s="106" t="n">
        <v>0</v>
      </c>
      <c r="E16" s="106" t="n">
        <v>0</v>
      </c>
      <c r="F16" s="106" t="n">
        <v>0</v>
      </c>
      <c r="G16" s="106" t="n">
        <v>0</v>
      </c>
      <c r="H16" s="106" t="n">
        <v>0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</row>
    <row r="17" customFormat="false" ht="15" hidden="false" customHeight="true" outlineLevel="0" collapsed="false">
      <c r="A17" s="108" t="s">
        <v>57</v>
      </c>
      <c r="C17" s="109" t="n">
        <f aca="false">C8+C9+C10+C11+C12+C14+C15+C16</f>
        <v>218756.86</v>
      </c>
      <c r="D17" s="109" t="n">
        <f aca="false">D8+D9+D10+D11+D12+D14+D15+D16</f>
        <v>-51000.77</v>
      </c>
      <c r="E17" s="109" t="n">
        <f aca="false">E8+E9+E10+E11+E12+E14+E15+E16</f>
        <v>594184.52</v>
      </c>
      <c r="F17" s="109" t="n">
        <f aca="false">F8+F9+F10+F11+F12+F14+F15+F16</f>
        <v>447358.25</v>
      </c>
      <c r="G17" s="109" t="n">
        <f aca="false">G8+G9+G10+G11+G12+G14+G15+G16</f>
        <v>465536.7</v>
      </c>
      <c r="H17" s="109" t="n">
        <f aca="false">H8+H9+H10+H11+H12+H14+H15+H16</f>
        <v>641351.130000001</v>
      </c>
      <c r="I17" s="109" t="n">
        <f aca="false">I8+I9+I10+I11+I12+I14+I15+I16</f>
        <v>0</v>
      </c>
      <c r="J17" s="109" t="n">
        <f aca="false">J8+J9+J10+J11+J12+J14+J15+J16</f>
        <v>0</v>
      </c>
      <c r="K17" s="109" t="n">
        <f aca="false">K8+K9+K10+K11+K12+K14+K15+K16</f>
        <v>0</v>
      </c>
      <c r="L17" s="109" t="n">
        <f aca="false">L8+L9+L10+L11+L12+L14+L15+L16</f>
        <v>0</v>
      </c>
      <c r="M17" s="109" t="n">
        <f aca="false">M8+M9+M10+M11+M12+M14+M15+M16</f>
        <v>0</v>
      </c>
      <c r="N17" s="109" t="n">
        <f aca="false">N8+N9+N10+N11+N12+N14+N15+N16</f>
        <v>0</v>
      </c>
      <c r="O17" s="109" t="n">
        <f aca="false">O8+O9+O10+O11+O12+O14+O15+O16</f>
        <v>0</v>
      </c>
      <c r="P17" s="109" t="n">
        <f aca="false">P8+P9+P10+P11+P12+P14+P15+P16</f>
        <v>0</v>
      </c>
      <c r="Q17" s="109" t="n">
        <f aca="false">Q8+Q9+Q10+Q11+Q12+Q14+Q15+Q16</f>
        <v>0</v>
      </c>
      <c r="R17" s="109" t="n">
        <f aca="false">R8+R9+R10+R11+R12+R14+R15+R16</f>
        <v>0</v>
      </c>
      <c r="S17" s="109" t="n">
        <f aca="false">S8+S9+S10+S11+S12+S14+S15+S16</f>
        <v>0</v>
      </c>
      <c r="T17" s="109" t="n">
        <f aca="false">T8+T9+T10+T11+T12+T14+T15+T16</f>
        <v>0</v>
      </c>
      <c r="U17" s="109" t="n">
        <f aca="false">U8+U9+U10+U11+U12+U14+U15+U16</f>
        <v>0</v>
      </c>
      <c r="V17" s="109" t="n">
        <f aca="false">V8+V9+V10+V11+V12+V14+V15+V16</f>
        <v>0</v>
      </c>
      <c r="W17" s="109" t="n">
        <f aca="false">W8+W9+W10+W11+W12+W14+W15+W16</f>
        <v>0</v>
      </c>
      <c r="X17" s="109" t="n">
        <f aca="false">X8+X9+X10+X11+X12+X14+X15+X16</f>
        <v>0</v>
      </c>
      <c r="Y17" s="109" t="n">
        <f aca="false">Y8+Y9+Y10+Y11+Y12+Y14+Y15+Y16</f>
        <v>0</v>
      </c>
      <c r="Z17" s="109" t="n">
        <f aca="false">Z8+Z9+Z10+Z11+Z12+Z14+Z15+Z16</f>
        <v>0</v>
      </c>
      <c r="AA17" s="109" t="n">
        <f aca="false">AA8+AA9+AA10+AA11+AA12+AA14+AA15+AA16</f>
        <v>0</v>
      </c>
      <c r="AB17" s="109" t="n">
        <f aca="false">AB8+AB9+AB10+AB11+AB12+AB14+AB15+AB16</f>
        <v>0</v>
      </c>
      <c r="AC17" s="109" t="n">
        <f aca="false">AC8+AC9+AC10+AC11+AC12+AC14+AC15+AC16</f>
        <v>0</v>
      </c>
      <c r="AD17" s="109" t="n">
        <f aca="false">AD8+AD9+AD10+AD11+AD12+AD14+AD15+AD16</f>
        <v>0</v>
      </c>
      <c r="AE17" s="109" t="n">
        <f aca="false">AE8+AE9+AE10+AE11+AE12+AE14+AE15+AE16</f>
        <v>0</v>
      </c>
      <c r="AF17" s="109" t="n">
        <f aca="false">AF8+AF9+AF10+AF11+AF12+AF14+AF15+AF16</f>
        <v>0</v>
      </c>
      <c r="AG17" s="109" t="n">
        <f aca="false">AG8+AG9+AG10+AG11+AG12+AG14+AG15+AG16</f>
        <v>0</v>
      </c>
      <c r="AH17" s="109" t="n">
        <f aca="false">AH8+AH9+AH10+AH11+AH12+AH14+AH15+AH16</f>
        <v>0</v>
      </c>
      <c r="AI17" s="109" t="n">
        <f aca="false">AI8+AI9+AI10+AI11+AI12+AI14+AI15+AI16</f>
        <v>0</v>
      </c>
      <c r="AJ17" s="109" t="n">
        <f aca="false">AJ8+AJ9+AJ10+AJ11+AJ12+AJ14+AJ15+AJ16</f>
        <v>0</v>
      </c>
      <c r="AK17" s="109" t="n">
        <f aca="false">AK8+AK9+AK10+AK11+AK12+AK14+AK15+AK16</f>
        <v>0</v>
      </c>
      <c r="AL17" s="109" t="n">
        <f aca="false">AL8+AL9+AL10+AL11+AL12+AL14+AL15+AL16</f>
        <v>0</v>
      </c>
      <c r="AM17" s="109" t="n">
        <f aca="false">AM8+AM9+AM10+AM11+AM12+AM14+AM15+AM16</f>
        <v>0</v>
      </c>
      <c r="AN17" s="109" t="n">
        <f aca="false">AN8+AN9+AN10+AN11+AN12+AN14+AN15+AN16</f>
        <v>0</v>
      </c>
      <c r="AO17" s="109" t="n">
        <f aca="false">AO8+AO9+AO10+AO11+AO12+AO14+AO15+AO16</f>
        <v>0</v>
      </c>
      <c r="AP17" s="109" t="n">
        <f aca="false">AP8+AP9+AP10+AP11+AP12+AP14+AP15+AP16</f>
        <v>0</v>
      </c>
      <c r="AQ17" s="109" t="n">
        <f aca="false">AQ8+AQ9+AQ10+AQ11+AQ12+AQ14+AQ15+AQ16</f>
        <v>0</v>
      </c>
      <c r="AR17" s="109" t="n">
        <f aca="false">AR8+AR9+AR10+AR11+AR12+AR14+AR15+AR16</f>
        <v>0</v>
      </c>
      <c r="AS17" s="109" t="n">
        <f aca="false">AS8+AS9+AS10+AS11+AS12+AS14+AS15+AS16</f>
        <v>0</v>
      </c>
      <c r="AT17" s="109" t="n">
        <f aca="false">AT8+AT9+AT10+AT11+AT12+AT14+AT15+AT16</f>
        <v>0</v>
      </c>
      <c r="AU17" s="109" t="n">
        <f aca="false">AU8+AU9+AU10+AU11+AU12+AU14+AU15+AU16</f>
        <v>0</v>
      </c>
      <c r="AV17" s="109" t="n">
        <f aca="false">AV8+AV9+AV10+AV11+AV12+AV14+AV15+AV16</f>
        <v>0</v>
      </c>
      <c r="AW17" s="109" t="n">
        <f aca="false">AW8+AW9+AW10+AW11+AW12+AW14+AW15+AW16</f>
        <v>0</v>
      </c>
      <c r="AX17" s="109" t="n">
        <f aca="false">AX8+AX9+AX10+AX11+AX12+AX14+AX15+AX16</f>
        <v>0</v>
      </c>
      <c r="AY17" s="109" t="n">
        <f aca="false">AY8+AY9+AY10+AY11+AY12+AY14+AY15+AY16</f>
        <v>0</v>
      </c>
      <c r="AZ17" s="109" t="n">
        <f aca="false">AZ8+AZ9+AZ10+AZ11+AZ12+AZ14+AZ15+AZ16</f>
        <v>0</v>
      </c>
      <c r="BA17" s="109" t="n">
        <f aca="false">BA8+BA9+BA10+BA11+BA12+BA14+BA15+BA16</f>
        <v>0</v>
      </c>
      <c r="BB17" s="109" t="n">
        <f aca="false">BB8+BB9+BB10+BB11+BB12+BB14+BB15+BB16</f>
        <v>0</v>
      </c>
      <c r="BC17" s="109" t="n">
        <f aca="false">BC8+BC9+BC10+BC11+BC12+BC14+BC15+BC16</f>
        <v>0</v>
      </c>
      <c r="BD17" s="109" t="n">
        <f aca="false">BD8+BD9+BD10+BD11+BD12+BD14+BD15+BD16</f>
        <v>0</v>
      </c>
      <c r="BE17" s="109" t="n">
        <f aca="false">BE8+BE9+BE10+BE11+BE12+BE14+BE15+BE16</f>
        <v>0</v>
      </c>
      <c r="BF17" s="109" t="n">
        <f aca="false">BF8+BF9+BF10+BF11+BF12+BF14+BF15+BF16</f>
        <v>0</v>
      </c>
      <c r="BG17" s="109" t="n">
        <f aca="false">BG8+BG9+BG10+BG11+BG12+BG14+BG15+BG16</f>
        <v>0</v>
      </c>
      <c r="BH17" s="109" t="n">
        <f aca="false">BH8+BH9+BH10+BH11+BH12+BH14+BH15+BH16</f>
        <v>0</v>
      </c>
      <c r="BI17" s="109" t="n">
        <f aca="false">BI8+BI9+BI10+BI11+BI12+BI14+BI15+BI16</f>
        <v>0</v>
      </c>
      <c r="BJ17" s="109" t="n">
        <f aca="false">BJ8+BJ9+BJ10+BJ11+BJ12+BJ14+BJ15+BJ16</f>
        <v>0</v>
      </c>
      <c r="BK17" s="109" t="n">
        <f aca="false">BK8+BK9+BK10+BK11+BK12+BK14+BK15+BK16</f>
        <v>0</v>
      </c>
      <c r="BL17" s="109" t="n">
        <f aca="false">BL8+BL9+BL10+BL11+BL12+BL14+BL15+BL16</f>
        <v>0</v>
      </c>
      <c r="BM17" s="109" t="n">
        <f aca="false">BM8+BM9+BM10+BM11+BM12+BM14+BM15+BM16</f>
        <v>0</v>
      </c>
      <c r="BN17" s="109" t="n">
        <f aca="false">BN8+BN9+BN10+BN11+BN12+BN14+BN15+BN16</f>
        <v>0</v>
      </c>
      <c r="BO17" s="109" t="n">
        <f aca="false">BO8+BO9+BO10+BO11+BO12+BO14+BO15+BO16</f>
        <v>0</v>
      </c>
      <c r="BP17" s="109" t="n">
        <f aca="false">BP8+BP9+BP10+BP11+BP12+BP14+BP15+BP16</f>
        <v>0</v>
      </c>
      <c r="BQ17" s="109" t="n">
        <f aca="false">BQ8+BQ9+BQ10+BQ11+BQ12+BQ14+BQ15+BQ16</f>
        <v>0</v>
      </c>
      <c r="BR17" s="109" t="n">
        <f aca="false">BR8+BR9+BR10+BR11+BR12+BR14+BR15+BR16</f>
        <v>0</v>
      </c>
      <c r="BS17" s="109" t="n">
        <f aca="false">BS8+BS9+BS10+BS11+BS12+BS14+BS15+BS16</f>
        <v>0</v>
      </c>
      <c r="BT17" s="109" t="n">
        <f aca="false">BT8+BT9+BT10+BT11+BT12+BT14+BT15+BT16</f>
        <v>0</v>
      </c>
      <c r="BU17" s="109" t="n">
        <f aca="false">BU8+BU9+BU10+BU11+BU12+BU14+BU15+BU16</f>
        <v>0</v>
      </c>
      <c r="BV17" s="109" t="n">
        <f aca="false">BV8+BV9+BV10+BV11+BV12+BV14+BV15+BV16</f>
        <v>0</v>
      </c>
      <c r="BW17" s="109" t="n">
        <f aca="false">BW8+BW9+BW10+BW11+BW12+BW14+BW15+BW16</f>
        <v>0</v>
      </c>
      <c r="BX17" s="109" t="n">
        <f aca="false">BX8+BX9+BX10+BX11+BX12+BX14+BX15+BX16</f>
        <v>0</v>
      </c>
      <c r="BY17" s="109" t="n">
        <f aca="false">BY8+BY9+BY10+BY11+BY12+BY14+BY15+BY16</f>
        <v>0</v>
      </c>
      <c r="BZ17" s="109" t="n">
        <f aca="false">BZ8+BZ9+BZ10+BZ11+BZ12+BZ14+BZ15+BZ16</f>
        <v>0</v>
      </c>
      <c r="CA17" s="109" t="n">
        <f aca="false">CA8+CA9+CA10+CA11+CA12+CA14+CA15+CA16</f>
        <v>0</v>
      </c>
      <c r="CB17" s="109" t="n">
        <f aca="false">CB8+CB9+CB10+CB11+CB12+CB14+CB15+CB16</f>
        <v>0</v>
      </c>
      <c r="CC17" s="109" t="n">
        <f aca="false">CC8+CC9+CC10+CC11+CC12+CC14+CC15+CC16</f>
        <v>0</v>
      </c>
      <c r="CD17" s="109" t="n">
        <f aca="false">CD8+CD9+CD10+CD11+CD12+CD14+CD15+CD16</f>
        <v>0</v>
      </c>
      <c r="CE17" s="109" t="n">
        <f aca="false">CE8+CE9+CE10+CE11+CE12+CE14+CE15+CE16</f>
        <v>0</v>
      </c>
      <c r="CF17" s="109" t="n">
        <f aca="false">CF8+CF9+CF10+CF11+CF12+CF14+CF15+CF16</f>
        <v>0</v>
      </c>
      <c r="CG17" s="109" t="n">
        <f aca="false">CG8+CG9+CG10+CG11+CG12+CG14+CG15+CG16</f>
        <v>0</v>
      </c>
      <c r="CH17" s="109" t="n">
        <f aca="false">CH8+CH9+CH10+CH11+CH12+CH14+CH15+CH16</f>
        <v>0</v>
      </c>
      <c r="CI17" s="109" t="n">
        <f aca="false">CI8+CI9+CI10+CI11+CI12+CI14+CI15+CI16</f>
        <v>0</v>
      </c>
      <c r="CJ17" s="109" t="n">
        <f aca="false">CJ8+CJ9+CJ10+CJ11+CJ12+CJ14+CJ15+CJ16</f>
        <v>0</v>
      </c>
      <c r="CK17" s="109" t="n">
        <f aca="false">CK8+CK9+CK10+CK11+CK12+CK14+CK15+CK16</f>
        <v>0</v>
      </c>
      <c r="CL17" s="109" t="n">
        <f aca="false">CL8+CL9+CL10+CL11+CL12+CL14+CL15+CL16</f>
        <v>0</v>
      </c>
      <c r="CM17" s="109" t="n">
        <f aca="false">CM8+CM9+CM10+CM11+CM12+CM14+CM15+CM16</f>
        <v>0</v>
      </c>
      <c r="CN17" s="109" t="n">
        <f aca="false">CN8+CN9+CN10+CN11+CN12+CN14+CN15+CN16</f>
        <v>0</v>
      </c>
      <c r="CO17" s="109" t="n">
        <f aca="false">CO8+CO9+CO10+CO11+CO12+CO14+CO15+CO16</f>
        <v>0</v>
      </c>
      <c r="CP17" s="109" t="n">
        <f aca="false">CP8+CP9+CP10+CP11+CP12+CP14+CP15+CP16</f>
        <v>0</v>
      </c>
      <c r="CQ17" s="109" t="n">
        <f aca="false">CQ8+CQ9+CQ10+CQ11+CQ12+CQ14+CQ15+CQ16</f>
        <v>0</v>
      </c>
      <c r="CR17" s="109" t="n">
        <f aca="false">CR8+CR9+CR10+CR11+CR12+CR14+CR15+CR16</f>
        <v>0</v>
      </c>
      <c r="CS17" s="109" t="n">
        <f aca="false">CS8+CS9+CS10+CS11+CS12+CS14+CS15+CS16</f>
        <v>0</v>
      </c>
      <c r="CT17" s="109" t="n">
        <f aca="false">CT8+CT9+CT10+CT11+CT12+CT14+CT15+CT16</f>
        <v>0</v>
      </c>
    </row>
    <row r="18" customFormat="false" ht="15" hidden="false" customHeight="true" outlineLevel="0" collapsed="false">
      <c r="A18" s="107" t="s">
        <v>58</v>
      </c>
      <c r="C18" s="110" t="n">
        <f aca="false">IFERROR(C17/C13,0)</f>
        <v>0.150473411652305</v>
      </c>
      <c r="D18" s="110" t="n">
        <f aca="false">IFERROR(D17/D13,0)</f>
        <v>-0.0168735833579273</v>
      </c>
      <c r="E18" s="110" t="n">
        <f aca="false">IFERROR(E17/E13,0)</f>
        <v>0.222356457869786</v>
      </c>
      <c r="F18" s="110" t="n">
        <f aca="false">IFERROR(F17/F13,0)</f>
        <v>0.121157878546931</v>
      </c>
      <c r="G18" s="110" t="n">
        <f aca="false">IFERROR(G17/G13,0)</f>
        <v>0.105418977135063</v>
      </c>
      <c r="H18" s="110" t="n">
        <f aca="false">IFERROR(H17/H13,0)</f>
        <v>0.1025790393097</v>
      </c>
      <c r="I18" s="110" t="n">
        <f aca="false">IFERROR(I17/I13,0)</f>
        <v>0</v>
      </c>
      <c r="J18" s="110" t="n">
        <f aca="false">IFERROR(J17/J13,0)</f>
        <v>0</v>
      </c>
      <c r="K18" s="110" t="n">
        <f aca="false">IFERROR(K17/K13,0)</f>
        <v>0</v>
      </c>
      <c r="L18" s="110" t="n">
        <f aca="false">IFERROR(L17/L13,0)</f>
        <v>0</v>
      </c>
      <c r="M18" s="110" t="n">
        <f aca="false">IFERROR(M17/M13,0)</f>
        <v>0</v>
      </c>
      <c r="N18" s="110" t="n">
        <f aca="false">IFERROR(N17/N13,0)</f>
        <v>0</v>
      </c>
      <c r="O18" s="110" t="n">
        <f aca="false">IFERROR(O17/O13,0)</f>
        <v>0</v>
      </c>
      <c r="P18" s="110" t="n">
        <f aca="false">IFERROR(P17/P13,0)</f>
        <v>0</v>
      </c>
      <c r="Q18" s="110" t="n">
        <f aca="false">IFERROR(Q17/Q13,0)</f>
        <v>0</v>
      </c>
      <c r="R18" s="110" t="n">
        <f aca="false">IFERROR(R17/R13,0)</f>
        <v>0</v>
      </c>
      <c r="S18" s="110" t="n">
        <f aca="false">IFERROR(S17/S13,0)</f>
        <v>0</v>
      </c>
      <c r="T18" s="110" t="n">
        <f aca="false">IFERROR(T17/T13,0)</f>
        <v>0</v>
      </c>
      <c r="U18" s="110" t="n">
        <f aca="false">IFERROR(U17/U13,0)</f>
        <v>0</v>
      </c>
      <c r="V18" s="110" t="n">
        <f aca="false">IFERROR(V17/V13,0)</f>
        <v>0</v>
      </c>
      <c r="W18" s="110" t="n">
        <f aca="false">IFERROR(W17/W13,0)</f>
        <v>0</v>
      </c>
      <c r="X18" s="110" t="n">
        <f aca="false">IFERROR(X17/X13,0)</f>
        <v>0</v>
      </c>
      <c r="Y18" s="110" t="n">
        <f aca="false">IFERROR(Y17/Y13,0)</f>
        <v>0</v>
      </c>
      <c r="Z18" s="110" t="n">
        <f aca="false">IFERROR(Z17/Z13,0)</f>
        <v>0</v>
      </c>
      <c r="AA18" s="110" t="n">
        <f aca="false">IFERROR(AA17/AA13,0)</f>
        <v>0</v>
      </c>
      <c r="AB18" s="110" t="n">
        <f aca="false">IFERROR(AB17/AB13,0)</f>
        <v>0</v>
      </c>
      <c r="AC18" s="110" t="n">
        <f aca="false">IFERROR(AC17/AC13,0)</f>
        <v>0</v>
      </c>
      <c r="AD18" s="110" t="n">
        <f aca="false">IFERROR(AD17/AD13,0)</f>
        <v>0</v>
      </c>
      <c r="AE18" s="110" t="n">
        <f aca="false">IFERROR(AE17/AE13,0)</f>
        <v>0</v>
      </c>
      <c r="AF18" s="110" t="n">
        <f aca="false">IFERROR(AF17/AF13,0)</f>
        <v>0</v>
      </c>
      <c r="AG18" s="110" t="n">
        <f aca="false">IFERROR(AG17/AG13,0)</f>
        <v>0</v>
      </c>
      <c r="AH18" s="110" t="n">
        <f aca="false">IFERROR(AH17/AH13,0)</f>
        <v>0</v>
      </c>
      <c r="AI18" s="110" t="n">
        <f aca="false">IFERROR(AI17/AI13,0)</f>
        <v>0</v>
      </c>
      <c r="AJ18" s="110" t="n">
        <f aca="false">IFERROR(AJ17/AJ13,0)</f>
        <v>0</v>
      </c>
      <c r="AK18" s="110" t="n">
        <f aca="false">IFERROR(AK17/AK13,0)</f>
        <v>0</v>
      </c>
      <c r="AL18" s="110" t="n">
        <f aca="false">IFERROR(AL17/AL13,0)</f>
        <v>0</v>
      </c>
      <c r="AM18" s="110" t="n">
        <f aca="false">IFERROR(AM17/AM13,0)</f>
        <v>0</v>
      </c>
      <c r="AN18" s="110" t="n">
        <f aca="false">IFERROR(AN17/AN13,0)</f>
        <v>0</v>
      </c>
      <c r="AO18" s="110" t="n">
        <f aca="false">IFERROR(AO17/AO13,0)</f>
        <v>0</v>
      </c>
      <c r="AP18" s="110" t="n">
        <f aca="false">IFERROR(AP17/AP13,0)</f>
        <v>0</v>
      </c>
      <c r="AQ18" s="110" t="n">
        <f aca="false">IFERROR(AQ17/AQ13,0)</f>
        <v>0</v>
      </c>
      <c r="AR18" s="110" t="n">
        <f aca="false">IFERROR(AR17/AR13,0)</f>
        <v>0</v>
      </c>
      <c r="AS18" s="110" t="n">
        <f aca="false">IFERROR(AS17/AS13,0)</f>
        <v>0</v>
      </c>
      <c r="AT18" s="110" t="n">
        <f aca="false">IFERROR(AT17/AT13,0)</f>
        <v>0</v>
      </c>
      <c r="AU18" s="110" t="n">
        <f aca="false">IFERROR(AU17/AU13,0)</f>
        <v>0</v>
      </c>
      <c r="AV18" s="110" t="n">
        <f aca="false">IFERROR(AV17/AV13,0)</f>
        <v>0</v>
      </c>
      <c r="AW18" s="110" t="n">
        <f aca="false">IFERROR(AW17/AW13,0)</f>
        <v>0</v>
      </c>
      <c r="AX18" s="110" t="n">
        <f aca="false">IFERROR(AX17/AX13,0)</f>
        <v>0</v>
      </c>
      <c r="AY18" s="110" t="n">
        <f aca="false">IFERROR(AY17/AY13,0)</f>
        <v>0</v>
      </c>
      <c r="AZ18" s="110" t="n">
        <f aca="false">IFERROR(AZ17/AZ13,0)</f>
        <v>0</v>
      </c>
      <c r="BA18" s="110" t="n">
        <f aca="false">IFERROR(BA17/BA13,0)</f>
        <v>0</v>
      </c>
      <c r="BB18" s="110" t="n">
        <f aca="false">IFERROR(BB17/BB13,0)</f>
        <v>0</v>
      </c>
      <c r="BC18" s="110" t="n">
        <f aca="false">IFERROR(BC17/BC13,0)</f>
        <v>0</v>
      </c>
      <c r="BD18" s="110" t="n">
        <f aca="false">IFERROR(BD17/BD13,0)</f>
        <v>0</v>
      </c>
      <c r="BE18" s="110" t="n">
        <f aca="false">IFERROR(BE17/BE13,0)</f>
        <v>0</v>
      </c>
      <c r="BF18" s="110" t="n">
        <f aca="false">IFERROR(BF17/BF13,0)</f>
        <v>0</v>
      </c>
      <c r="BG18" s="110" t="n">
        <f aca="false">IFERROR(BG17/BG13,0)</f>
        <v>0</v>
      </c>
      <c r="BH18" s="110" t="n">
        <f aca="false">IFERROR(BH17/BH13,0)</f>
        <v>0</v>
      </c>
      <c r="BI18" s="110" t="n">
        <f aca="false">IFERROR(BI17/BI13,0)</f>
        <v>0</v>
      </c>
      <c r="BJ18" s="110" t="n">
        <f aca="false">IFERROR(BJ17/BJ13,0)</f>
        <v>0</v>
      </c>
      <c r="BK18" s="110" t="n">
        <f aca="false">IFERROR(BK17/BK13,0)</f>
        <v>0</v>
      </c>
      <c r="BL18" s="110" t="n">
        <f aca="false">IFERROR(BL17/BL13,0)</f>
        <v>0</v>
      </c>
      <c r="BM18" s="110" t="n">
        <f aca="false">IFERROR(BM17/BM13,0)</f>
        <v>0</v>
      </c>
      <c r="BN18" s="110" t="n">
        <f aca="false">IFERROR(BN17/BN13,0)</f>
        <v>0</v>
      </c>
      <c r="BO18" s="110" t="n">
        <f aca="false">IFERROR(BO17/BO13,0)</f>
        <v>0</v>
      </c>
      <c r="BP18" s="110" t="n">
        <f aca="false">IFERROR(BP17/BP13,0)</f>
        <v>0</v>
      </c>
      <c r="BQ18" s="110" t="n">
        <f aca="false">IFERROR(BQ17/BQ13,0)</f>
        <v>0</v>
      </c>
      <c r="BR18" s="110" t="n">
        <f aca="false">IFERROR(BR17/BR13,0)</f>
        <v>0</v>
      </c>
      <c r="BS18" s="110" t="n">
        <f aca="false">IFERROR(BS17/BS13,0)</f>
        <v>0</v>
      </c>
      <c r="BT18" s="110" t="n">
        <f aca="false">IFERROR(BT17/BT13,0)</f>
        <v>0</v>
      </c>
      <c r="BU18" s="110" t="n">
        <f aca="false">IFERROR(BU17/BU13,0)</f>
        <v>0</v>
      </c>
      <c r="BV18" s="110" t="n">
        <f aca="false">IFERROR(BV17/BV13,0)</f>
        <v>0</v>
      </c>
      <c r="BW18" s="110" t="n">
        <f aca="false">IFERROR(BW17/BW13,0)</f>
        <v>0</v>
      </c>
      <c r="BX18" s="110" t="n">
        <f aca="false">IFERROR(BX17/BX13,0)</f>
        <v>0</v>
      </c>
      <c r="BY18" s="110" t="n">
        <f aca="false">IFERROR(BY17/BY13,0)</f>
        <v>0</v>
      </c>
      <c r="BZ18" s="110" t="n">
        <f aca="false">IFERROR(BZ17/BZ13,0)</f>
        <v>0</v>
      </c>
      <c r="CA18" s="110" t="n">
        <f aca="false">IFERROR(CA17/CA13,0)</f>
        <v>0</v>
      </c>
      <c r="CB18" s="110" t="n">
        <f aca="false">IFERROR(CB17/CB13,0)</f>
        <v>0</v>
      </c>
      <c r="CC18" s="110" t="n">
        <f aca="false">IFERROR(CC17/CC13,0)</f>
        <v>0</v>
      </c>
      <c r="CD18" s="110" t="n">
        <f aca="false">IFERROR(CD17/CD13,0)</f>
        <v>0</v>
      </c>
      <c r="CE18" s="110" t="n">
        <f aca="false">IFERROR(CE17/CE13,0)</f>
        <v>0</v>
      </c>
      <c r="CF18" s="110" t="n">
        <f aca="false">IFERROR(CF17/CF13,0)</f>
        <v>0</v>
      </c>
      <c r="CG18" s="110" t="n">
        <f aca="false">IFERROR(CG17/CG13,0)</f>
        <v>0</v>
      </c>
      <c r="CH18" s="110" t="n">
        <f aca="false">IFERROR(CH17/CH13,0)</f>
        <v>0</v>
      </c>
      <c r="CI18" s="110" t="n">
        <f aca="false">IFERROR(CI17/CI13,0)</f>
        <v>0</v>
      </c>
      <c r="CJ18" s="110" t="n">
        <f aca="false">IFERROR(CJ17/CJ13,0)</f>
        <v>0</v>
      </c>
      <c r="CK18" s="110" t="n">
        <f aca="false">IFERROR(CK17/CK13,0)</f>
        <v>0</v>
      </c>
      <c r="CL18" s="110" t="n">
        <f aca="false">IFERROR(CL17/CL13,0)</f>
        <v>0</v>
      </c>
      <c r="CM18" s="110" t="n">
        <f aca="false">IFERROR(CM17/CM13,0)</f>
        <v>0</v>
      </c>
      <c r="CN18" s="110" t="n">
        <f aca="false">IFERROR(CN17/CN13,0)</f>
        <v>0</v>
      </c>
      <c r="CO18" s="110" t="n">
        <f aca="false">IFERROR(CO17/CO13,0)</f>
        <v>0</v>
      </c>
      <c r="CP18" s="110" t="n">
        <f aca="false">IFERROR(CP17/CP13,0)</f>
        <v>0</v>
      </c>
      <c r="CQ18" s="110" t="n">
        <f aca="false">IFERROR(CQ17/CQ13,0)</f>
        <v>0</v>
      </c>
      <c r="CR18" s="110" t="n">
        <f aca="false">IFERROR(CR17/CR13,0)</f>
        <v>0</v>
      </c>
      <c r="CS18" s="110" t="n">
        <f aca="false">IFERROR(CS17/CS13,0)</f>
        <v>0</v>
      </c>
      <c r="CT18" s="110" t="n">
        <f aca="false">IFERROR(CT17/CT13,0)</f>
        <v>0</v>
      </c>
    </row>
    <row r="19" customFormat="false" ht="15" hidden="false" customHeight="true" outlineLevel="0" collapsed="false">
      <c r="A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</row>
    <row r="20" customFormat="false" ht="15" hidden="false" customHeight="true" outlineLevel="0" collapsed="false">
      <c r="A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</row>
    <row r="21" customFormat="false" ht="15" hidden="false" customHeight="true" outlineLevel="0" collapsed="false">
      <c r="A21" s="105" t="s">
        <v>60</v>
      </c>
      <c r="C21" s="106" t="n">
        <v>-144550.9</v>
      </c>
      <c r="D21" s="106" t="n">
        <v>-150672.84</v>
      </c>
      <c r="E21" s="106" t="n">
        <v>-178867.86</v>
      </c>
      <c r="F21" s="106" t="n">
        <v>-187693.63</v>
      </c>
      <c r="G21" s="106" t="n">
        <v>-295949.1</v>
      </c>
      <c r="H21" s="106" t="n">
        <v>-198645.92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</row>
    <row r="22" customFormat="false" ht="15" hidden="false" customHeight="true" outlineLevel="0" collapsed="false">
      <c r="A22" s="105" t="s">
        <v>61</v>
      </c>
      <c r="C22" s="106" t="n">
        <v>-7450.37</v>
      </c>
      <c r="D22" s="106" t="n">
        <v>-10567.2</v>
      </c>
      <c r="E22" s="106" t="n">
        <v>-17033.3</v>
      </c>
      <c r="F22" s="106" t="n">
        <v>-14599.57</v>
      </c>
      <c r="G22" s="106" t="n">
        <v>-23689.02</v>
      </c>
      <c r="H22" s="106" t="n">
        <v>-14793.67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</row>
    <row r="23" customFormat="false" ht="15" hidden="false" customHeight="true" outlineLevel="0" collapsed="false">
      <c r="A23" s="105" t="s">
        <v>62</v>
      </c>
      <c r="C23" s="106"/>
      <c r="D23" s="106"/>
      <c r="E23" s="106"/>
      <c r="F23" s="106" t="n">
        <v>0</v>
      </c>
      <c r="G23" s="106" t="n">
        <v>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</row>
    <row r="24" customFormat="false" ht="15" hidden="false" customHeight="true" outlineLevel="0" collapsed="false">
      <c r="A24" s="105" t="s">
        <v>63</v>
      </c>
      <c r="C24" s="106" t="n">
        <v>-9482.97</v>
      </c>
      <c r="D24" s="106" t="n">
        <v>-10343.29</v>
      </c>
      <c r="E24" s="106" t="n">
        <v>-3729.48</v>
      </c>
      <c r="F24" s="106" t="n">
        <v>-3206.79</v>
      </c>
      <c r="G24" s="106" t="n">
        <v>10942.55</v>
      </c>
      <c r="H24" s="106" t="n">
        <v>-8982.91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</row>
    <row r="25" customFormat="false" ht="15" hidden="false" customHeight="true" outlineLevel="0" collapsed="false">
      <c r="A25" s="105" t="s">
        <v>64</v>
      </c>
      <c r="C25" s="106" t="n">
        <v>-2542.47</v>
      </c>
      <c r="D25" s="106" t="n">
        <v>-1618.75</v>
      </c>
      <c r="E25" s="106" t="n">
        <v>3406.77</v>
      </c>
      <c r="F25" s="106" t="n">
        <v>2575.42</v>
      </c>
      <c r="G25" s="106" t="n">
        <v>-1896.11</v>
      </c>
      <c r="H25" s="106" t="n">
        <v>-2888.37</v>
      </c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</row>
    <row r="26" customFormat="false" ht="15" hidden="false" customHeight="true" outlineLevel="0" collapsed="false">
      <c r="A26" s="105" t="s">
        <v>65</v>
      </c>
      <c r="C26" s="106" t="n">
        <v>-195</v>
      </c>
      <c r="D26" s="106" t="n">
        <v>-200</v>
      </c>
      <c r="E26" s="106" t="n">
        <v>0</v>
      </c>
      <c r="F26" s="106" t="n">
        <v>0</v>
      </c>
      <c r="G26" s="106" t="n">
        <v>0</v>
      </c>
      <c r="H26" s="106" t="n">
        <v>0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</row>
    <row r="27" customFormat="false" ht="15" hidden="false" customHeight="true" outlineLevel="0" collapsed="false">
      <c r="A27" s="105" t="s">
        <v>66</v>
      </c>
      <c r="C27" s="106" t="n">
        <v>-33002.28</v>
      </c>
      <c r="D27" s="106" t="n">
        <v>-29166.66</v>
      </c>
      <c r="E27" s="106" t="n">
        <v>-41666.66</v>
      </c>
      <c r="F27" s="106" t="n">
        <v>-29166.66</v>
      </c>
      <c r="G27" s="106" t="n">
        <v>-29166.66</v>
      </c>
      <c r="H27" s="106" t="n">
        <v>-29166.66</v>
      </c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  <c r="CI27" s="106"/>
      <c r="CJ27" s="106"/>
      <c r="CK27" s="106"/>
      <c r="CL27" s="106"/>
      <c r="CM27" s="106"/>
      <c r="CN27" s="106"/>
      <c r="CO27" s="106"/>
      <c r="CP27" s="106"/>
      <c r="CQ27" s="106"/>
      <c r="CR27" s="106"/>
      <c r="CS27" s="106"/>
      <c r="CT27" s="106"/>
    </row>
    <row r="28" customFormat="false" ht="15" hidden="false" customHeight="true" outlineLevel="0" collapsed="false">
      <c r="A28" s="105" t="s">
        <v>67</v>
      </c>
      <c r="C28" s="106" t="n">
        <v>0</v>
      </c>
      <c r="D28" s="106" t="n">
        <v>0</v>
      </c>
      <c r="E28" s="106" t="n">
        <v>0</v>
      </c>
      <c r="F28" s="106" t="n">
        <v>251304.48</v>
      </c>
      <c r="G28" s="106" t="n">
        <v>81510</v>
      </c>
      <c r="H28" s="106" t="n">
        <v>0</v>
      </c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06"/>
    </row>
    <row r="29" customFormat="false" ht="15" hidden="false" customHeight="true" outlineLevel="0" collapsed="false">
      <c r="A29" s="105" t="s">
        <v>68</v>
      </c>
      <c r="C29" s="106" t="n">
        <v>-10400</v>
      </c>
      <c r="D29" s="106" t="n">
        <v>-10400</v>
      </c>
      <c r="E29" s="106" t="n">
        <v>-400</v>
      </c>
      <c r="F29" s="106" t="n">
        <v>-10400</v>
      </c>
      <c r="G29" s="106" t="n">
        <v>-20400</v>
      </c>
      <c r="H29" s="106" t="n">
        <v>-20405</v>
      </c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</row>
    <row r="30" customFormat="false" ht="15" hidden="false" customHeight="true" outlineLevel="0" collapsed="false">
      <c r="A30" s="105" t="s">
        <v>69</v>
      </c>
      <c r="C30" s="106" t="n">
        <v>-1988</v>
      </c>
      <c r="D30" s="106" t="n">
        <v>-955.32</v>
      </c>
      <c r="E30" s="106" t="n">
        <v>-9130.61</v>
      </c>
      <c r="F30" s="106" t="n">
        <v>-1028.89</v>
      </c>
      <c r="G30" s="106" t="n">
        <v>-7005.14</v>
      </c>
      <c r="H30" s="106" t="n">
        <v>-4121.06</v>
      </c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/>
      <c r="CT30" s="106"/>
    </row>
    <row r="31" customFormat="false" ht="15" hidden="false" customHeight="true" outlineLevel="0" collapsed="false">
      <c r="A31" s="105" t="s">
        <v>70</v>
      </c>
      <c r="C31" s="106" t="n">
        <v>0</v>
      </c>
      <c r="D31" s="106" t="n">
        <v>0</v>
      </c>
      <c r="E31" s="106" t="n">
        <v>-1077.38</v>
      </c>
      <c r="F31" s="106" t="n">
        <v>-211.28</v>
      </c>
      <c r="G31" s="106" t="n">
        <v>-1254.17</v>
      </c>
      <c r="H31" s="106" t="n">
        <v>0</v>
      </c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</row>
    <row r="32" customFormat="false" ht="15" hidden="false" customHeight="true" outlineLevel="0" collapsed="false">
      <c r="A32" s="107" t="s">
        <v>71</v>
      </c>
      <c r="C32" s="106" t="n">
        <v>-79</v>
      </c>
      <c r="D32" s="106" t="n">
        <v>0</v>
      </c>
      <c r="E32" s="106" t="n">
        <v>0</v>
      </c>
      <c r="F32" s="106" t="n">
        <v>0</v>
      </c>
      <c r="G32" s="106" t="n">
        <v>0</v>
      </c>
      <c r="H32" s="106" t="n">
        <v>0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/>
      <c r="CT32" s="106"/>
    </row>
    <row r="33" customFormat="false" ht="15" hidden="false" customHeight="true" outlineLevel="0" collapsed="false">
      <c r="A33" s="105" t="s">
        <v>72</v>
      </c>
      <c r="C33" s="106" t="n">
        <v>-3405.64</v>
      </c>
      <c r="D33" s="106" t="n">
        <v>-5015.38</v>
      </c>
      <c r="E33" s="106" t="n">
        <v>-7481.39</v>
      </c>
      <c r="F33" s="106" t="n">
        <v>-5111.12</v>
      </c>
      <c r="G33" s="106" t="n">
        <v>-4038.48</v>
      </c>
      <c r="H33" s="106" t="n">
        <v>-6114.98</v>
      </c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/>
      <c r="CT33" s="106"/>
    </row>
    <row r="34" customFormat="false" ht="15" hidden="false" customHeight="true" outlineLevel="0" collapsed="false">
      <c r="A34" s="105" t="s">
        <v>73</v>
      </c>
      <c r="C34" s="106" t="n">
        <v>0</v>
      </c>
      <c r="D34" s="106" t="n">
        <v>-1766.48</v>
      </c>
      <c r="E34" s="106" t="n">
        <v>-441.62</v>
      </c>
      <c r="F34" s="106" t="n">
        <v>-441.62</v>
      </c>
      <c r="G34" s="106" t="n">
        <v>-578.62</v>
      </c>
      <c r="H34" s="106" t="n">
        <v>-491.62</v>
      </c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</row>
    <row r="35" customFormat="false" ht="15" hidden="false" customHeight="true" outlineLevel="0" collapsed="false">
      <c r="A35" s="105" t="s">
        <v>74</v>
      </c>
      <c r="C35" s="106" t="n">
        <v>-681.77</v>
      </c>
      <c r="D35" s="106" t="n">
        <v>-600.14</v>
      </c>
      <c r="E35" s="106" t="n">
        <v>-2121.95</v>
      </c>
      <c r="F35" s="106" t="n">
        <v>-840.49</v>
      </c>
      <c r="G35" s="106" t="n">
        <v>-847.85</v>
      </c>
      <c r="H35" s="106" t="n">
        <v>-486.63</v>
      </c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/>
      <c r="CT35" s="106"/>
    </row>
    <row r="36" customFormat="false" ht="15" hidden="false" customHeight="true" outlineLevel="0" collapsed="false">
      <c r="A36" s="105" t="s">
        <v>75</v>
      </c>
      <c r="C36" s="106" t="n">
        <v>-2187.5</v>
      </c>
      <c r="D36" s="106" t="n">
        <v>0</v>
      </c>
      <c r="E36" s="106" t="n">
        <v>-1625</v>
      </c>
      <c r="F36" s="106" t="n">
        <v>0</v>
      </c>
      <c r="G36" s="106" t="n">
        <v>0</v>
      </c>
      <c r="H36" s="106" t="n">
        <v>0</v>
      </c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</row>
    <row r="37" customFormat="false" ht="15" hidden="false" customHeight="true" outlineLevel="0" collapsed="false">
      <c r="A37" s="105" t="s">
        <v>76</v>
      </c>
      <c r="C37" s="106" t="n">
        <v>0</v>
      </c>
      <c r="D37" s="106" t="n">
        <v>-12349</v>
      </c>
      <c r="E37" s="106" t="n">
        <v>-5400</v>
      </c>
      <c r="F37" s="106" t="n">
        <v>-4377</v>
      </c>
      <c r="G37" s="106" t="n">
        <v>-11750</v>
      </c>
      <c r="H37" s="106" t="n">
        <v>0</v>
      </c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</row>
    <row r="38" customFormat="false" ht="15" hidden="false" customHeight="true" outlineLevel="0" collapsed="false">
      <c r="A38" s="105" t="s">
        <v>77</v>
      </c>
      <c r="C38" s="106" t="n">
        <v>0</v>
      </c>
      <c r="D38" s="106" t="n">
        <v>0</v>
      </c>
      <c r="E38" s="106" t="n">
        <v>-750.4</v>
      </c>
      <c r="F38" s="106" t="n">
        <v>0</v>
      </c>
      <c r="G38" s="106" t="n">
        <v>0</v>
      </c>
      <c r="H38" s="106" t="n">
        <v>0</v>
      </c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</row>
    <row r="39" customFormat="false" ht="15" hidden="false" customHeight="true" outlineLevel="0" collapsed="false">
      <c r="A39" s="105" t="s">
        <v>78</v>
      </c>
      <c r="C39" s="106" t="n">
        <v>-1474.63</v>
      </c>
      <c r="D39" s="106" t="n">
        <v>-1449.33</v>
      </c>
      <c r="E39" s="106" t="n">
        <v>-2328.76</v>
      </c>
      <c r="F39" s="106" t="n">
        <v>-2249.56</v>
      </c>
      <c r="G39" s="106" t="n">
        <v>-2759.48</v>
      </c>
      <c r="H39" s="106" t="n">
        <v>-2749.12</v>
      </c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</row>
    <row r="40" customFormat="false" ht="15" hidden="false" customHeight="true" outlineLevel="0" collapsed="false">
      <c r="A40" s="105" t="s">
        <v>79</v>
      </c>
      <c r="C40" s="106" t="n">
        <v>-1417.61</v>
      </c>
      <c r="D40" s="106" t="n">
        <v>-2730.36</v>
      </c>
      <c r="E40" s="106" t="n">
        <v>-1818.05</v>
      </c>
      <c r="F40" s="106" t="n">
        <v>-3307.74</v>
      </c>
      <c r="G40" s="106" t="n">
        <v>-1257.74</v>
      </c>
      <c r="H40" s="106" t="n">
        <v>-3372.74</v>
      </c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</row>
    <row r="41" customFormat="false" ht="15" hidden="false" customHeight="true" outlineLevel="0" collapsed="false">
      <c r="A41" s="105" t="s">
        <v>80</v>
      </c>
      <c r="C41" s="106" t="n">
        <v>0</v>
      </c>
      <c r="D41" s="106" t="n">
        <v>0</v>
      </c>
      <c r="E41" s="106" t="n">
        <v>-41990</v>
      </c>
      <c r="F41" s="106" t="n">
        <v>-42500</v>
      </c>
      <c r="G41" s="106" t="n">
        <v>-21000</v>
      </c>
      <c r="H41" s="106" t="n">
        <v>0</v>
      </c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  <c r="CQ41" s="106"/>
      <c r="CR41" s="106"/>
      <c r="CS41" s="106"/>
      <c r="CT41" s="106"/>
    </row>
    <row r="42" customFormat="false" ht="15" hidden="false" customHeight="true" outlineLevel="0" collapsed="false">
      <c r="A42" s="105" t="s">
        <v>81</v>
      </c>
      <c r="C42" s="106" t="n">
        <v>-165</v>
      </c>
      <c r="D42" s="106" t="n">
        <v>0</v>
      </c>
      <c r="E42" s="106" t="n">
        <v>0</v>
      </c>
      <c r="F42" s="106" t="n">
        <v>-165</v>
      </c>
      <c r="G42" s="106" t="n">
        <v>0</v>
      </c>
      <c r="H42" s="106" t="n">
        <v>-165</v>
      </c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</row>
    <row r="43" customFormat="false" ht="15" hidden="false" customHeight="true" outlineLevel="0" collapsed="false">
      <c r="A43" s="105" t="s">
        <v>82</v>
      </c>
      <c r="C43" s="106" t="n">
        <v>0</v>
      </c>
      <c r="D43" s="106" t="n">
        <v>0</v>
      </c>
      <c r="E43" s="106" t="n">
        <v>0</v>
      </c>
      <c r="F43" s="106" t="n">
        <v>-1036.49</v>
      </c>
      <c r="G43" s="106" t="n">
        <v>0</v>
      </c>
      <c r="H43" s="106" t="n">
        <v>-4308.58</v>
      </c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</row>
    <row r="44" customFormat="false" ht="15" hidden="false" customHeight="true" outlineLevel="0" collapsed="false">
      <c r="A44" s="105" t="s">
        <v>83</v>
      </c>
      <c r="C44" s="106" t="n">
        <v>-550</v>
      </c>
      <c r="D44" s="106" t="n">
        <v>-550</v>
      </c>
      <c r="E44" s="106" t="n">
        <v>-550</v>
      </c>
      <c r="F44" s="106" t="n">
        <v>-600</v>
      </c>
      <c r="G44" s="106" t="n">
        <v>-650</v>
      </c>
      <c r="H44" s="106" t="n">
        <v>-575</v>
      </c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/>
      <c r="CT44" s="106"/>
    </row>
    <row r="45" customFormat="false" ht="15" hidden="false" customHeight="true" outlineLevel="0" collapsed="false">
      <c r="A45" s="107" t="s">
        <v>84</v>
      </c>
      <c r="C45" s="111" t="n">
        <v>-19223.75</v>
      </c>
      <c r="D45" s="111" t="n">
        <v>-13381.97</v>
      </c>
      <c r="E45" s="111" t="n">
        <v>-20308.69</v>
      </c>
      <c r="F45" s="111" t="n">
        <v>-16948.76</v>
      </c>
      <c r="G45" s="111" t="n">
        <v>-29716.98</v>
      </c>
      <c r="H45" s="111" t="n">
        <v>-11335.64</v>
      </c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</row>
    <row r="46" customFormat="false" ht="15" hidden="false" customHeight="true" outlineLevel="0" collapsed="false">
      <c r="A46" s="107" t="s">
        <v>85</v>
      </c>
      <c r="C46" s="111" t="n">
        <v>-1909.98</v>
      </c>
      <c r="D46" s="111" t="n">
        <v>-190.1</v>
      </c>
      <c r="E46" s="111" t="n">
        <v>-2166.92</v>
      </c>
      <c r="F46" s="111" t="n">
        <v>-1816.95</v>
      </c>
      <c r="G46" s="111" t="n">
        <v>-1452.9</v>
      </c>
      <c r="H46" s="111" t="n">
        <v>-13918.31</v>
      </c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</row>
    <row r="47" customFormat="false" ht="15" hidden="false" customHeight="true" outlineLevel="0" collapsed="false">
      <c r="A47" s="107" t="s">
        <v>86</v>
      </c>
      <c r="C47" s="111" t="n">
        <v>-320</v>
      </c>
      <c r="D47" s="111" t="n">
        <v>-160</v>
      </c>
      <c r="E47" s="111" t="n">
        <v>0</v>
      </c>
      <c r="F47" s="111" t="n">
        <v>0</v>
      </c>
      <c r="G47" s="111" t="n">
        <v>-320</v>
      </c>
      <c r="H47" s="111" t="n">
        <v>-320</v>
      </c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</row>
    <row r="48" customFormat="false" ht="15" hidden="false" customHeight="true" outlineLevel="0" collapsed="false">
      <c r="A48" s="107" t="s">
        <v>87</v>
      </c>
      <c r="C48" s="111" t="n">
        <v>-17660.72</v>
      </c>
      <c r="D48" s="111" t="n">
        <v>-5799</v>
      </c>
      <c r="E48" s="111" t="n">
        <v>-3432.18</v>
      </c>
      <c r="F48" s="111" t="n">
        <v>0</v>
      </c>
      <c r="G48" s="111" t="n">
        <v>-73874.29</v>
      </c>
      <c r="H48" s="111" t="n">
        <v>0</v>
      </c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</row>
    <row r="49" customFormat="false" ht="15" hidden="false" customHeight="true" outlineLevel="0" collapsed="false">
      <c r="A49" s="107" t="s">
        <v>88</v>
      </c>
      <c r="C49" s="106" t="n">
        <v>-1913.91</v>
      </c>
      <c r="D49" s="106" t="n">
        <v>-2254.72</v>
      </c>
      <c r="E49" s="106" t="n">
        <v>-1913.91</v>
      </c>
      <c r="F49" s="106" t="n">
        <v>-1609.91</v>
      </c>
      <c r="G49" s="106" t="n">
        <v>-2760.86</v>
      </c>
      <c r="H49" s="106" t="n">
        <v>0</v>
      </c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</row>
    <row r="50" customFormat="false" ht="15" hidden="false" customHeight="true" outlineLevel="0" collapsed="false">
      <c r="A50" s="107" t="s">
        <v>89</v>
      </c>
      <c r="C50" s="106" t="n">
        <v>0</v>
      </c>
      <c r="D50" s="106" t="n">
        <v>-75</v>
      </c>
      <c r="E50" s="106" t="n">
        <v>-5</v>
      </c>
      <c r="F50" s="106" t="n">
        <v>0</v>
      </c>
      <c r="G50" s="106" t="n">
        <v>0</v>
      </c>
      <c r="H50" s="106" t="n">
        <v>0</v>
      </c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</row>
    <row r="51" customFormat="false" ht="15" hidden="false" customHeight="true" outlineLevel="0" collapsed="false">
      <c r="A51" s="107" t="s">
        <v>90</v>
      </c>
      <c r="C51" s="106" t="n">
        <v>0</v>
      </c>
      <c r="D51" s="106" t="n">
        <v>-63</v>
      </c>
      <c r="E51" s="106" t="n">
        <v>0</v>
      </c>
      <c r="F51" s="106" t="n">
        <v>0</v>
      </c>
      <c r="G51" s="106" t="n">
        <v>0</v>
      </c>
      <c r="H51" s="106" t="n">
        <v>0</v>
      </c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</row>
    <row r="52" customFormat="false" ht="18" hidden="false" customHeight="true" outlineLevel="0" collapsed="false">
      <c r="A52" s="76" t="s">
        <v>91</v>
      </c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</row>
    <row r="53" customFormat="false" ht="15" hidden="false" customHeight="true" outlineLevel="0" collapsed="false">
      <c r="A53" s="114" t="s">
        <v>92</v>
      </c>
      <c r="C53" s="106" t="n">
        <v>0</v>
      </c>
      <c r="D53" s="106" t="n">
        <v>0</v>
      </c>
      <c r="E53" s="106" t="n">
        <v>-11105.35</v>
      </c>
      <c r="F53" s="106" t="n">
        <v>0</v>
      </c>
      <c r="G53" s="106" t="n">
        <v>0</v>
      </c>
      <c r="H53" s="106" t="n">
        <v>0</v>
      </c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</row>
    <row r="54" customFormat="false" ht="15" hidden="false" customHeight="true" outlineLevel="0" collapsed="false">
      <c r="A54" s="114" t="s">
        <v>274</v>
      </c>
      <c r="C54" s="106"/>
      <c r="D54" s="106"/>
      <c r="E54" s="106"/>
      <c r="F54" s="106"/>
      <c r="G54" s="106"/>
      <c r="H54" s="106" t="n">
        <v>-612.68</v>
      </c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</row>
    <row r="55" customFormat="false" ht="15" hidden="false" customHeight="true" outlineLevel="0" collapsed="false">
      <c r="A55" s="108" t="s">
        <v>93</v>
      </c>
      <c r="C55" s="115" t="n">
        <f aca="false">SUM(C20:C54)</f>
        <v>-260601.5</v>
      </c>
      <c r="D55" s="115" t="n">
        <f aca="false">SUM(D20:D54)</f>
        <v>-260308.54</v>
      </c>
      <c r="E55" s="115" t="n">
        <f aca="false">SUM(E20:E54)</f>
        <v>-351937.74</v>
      </c>
      <c r="F55" s="115" t="n">
        <f aca="false">SUM(F20:F54)</f>
        <v>-73431.56</v>
      </c>
      <c r="G55" s="115" t="n">
        <f aca="false">SUM(G20:G54)</f>
        <v>-437914.85</v>
      </c>
      <c r="H55" s="115" t="n">
        <f aca="false">SUM(H20:H54)</f>
        <v>-323453.89</v>
      </c>
      <c r="I55" s="115" t="n">
        <f aca="false">SUM(I20:I54)</f>
        <v>0</v>
      </c>
      <c r="J55" s="115" t="n">
        <f aca="false">SUM(J20:J54)</f>
        <v>0</v>
      </c>
      <c r="K55" s="115" t="n">
        <f aca="false">SUM(K20:K54)</f>
        <v>0</v>
      </c>
      <c r="L55" s="115" t="n">
        <f aca="false">SUM(L20:L54)</f>
        <v>0</v>
      </c>
      <c r="M55" s="115" t="n">
        <f aca="false">SUM(M20:M54)</f>
        <v>0</v>
      </c>
      <c r="N55" s="115" t="n">
        <f aca="false">SUM(N20:N54)</f>
        <v>0</v>
      </c>
      <c r="O55" s="115" t="n">
        <f aca="false">SUM(O20:O54)</f>
        <v>0</v>
      </c>
      <c r="P55" s="115" t="n">
        <f aca="false">SUM(P20:P54)</f>
        <v>0</v>
      </c>
      <c r="Q55" s="115" t="n">
        <f aca="false">SUM(Q20:Q54)</f>
        <v>0</v>
      </c>
      <c r="R55" s="115" t="n">
        <f aca="false">SUM(R20:R54)</f>
        <v>0</v>
      </c>
      <c r="S55" s="115" t="n">
        <f aca="false">SUM(S20:S54)</f>
        <v>0</v>
      </c>
      <c r="T55" s="115" t="n">
        <f aca="false">SUM(T20:T54)</f>
        <v>0</v>
      </c>
      <c r="U55" s="115" t="n">
        <f aca="false">SUM(U20:U54)</f>
        <v>0</v>
      </c>
      <c r="V55" s="115" t="n">
        <f aca="false">SUM(V20:V54)</f>
        <v>0</v>
      </c>
      <c r="W55" s="115" t="n">
        <f aca="false">SUM(W20:W54)</f>
        <v>0</v>
      </c>
      <c r="X55" s="115" t="n">
        <f aca="false">SUM(X20:X54)</f>
        <v>0</v>
      </c>
      <c r="Y55" s="115" t="n">
        <f aca="false">SUM(Y20:Y54)</f>
        <v>0</v>
      </c>
      <c r="Z55" s="115" t="n">
        <f aca="false">SUM(Z20:Z54)</f>
        <v>0</v>
      </c>
      <c r="AA55" s="115" t="n">
        <f aca="false">SUM(AA20:AA54)</f>
        <v>0</v>
      </c>
      <c r="AB55" s="115" t="n">
        <f aca="false">SUM(AB20:AB54)</f>
        <v>0</v>
      </c>
      <c r="AC55" s="115" t="n">
        <f aca="false">SUM(AC20:AC54)</f>
        <v>0</v>
      </c>
      <c r="AD55" s="115" t="n">
        <f aca="false">SUM(AD20:AD54)</f>
        <v>0</v>
      </c>
      <c r="AE55" s="115" t="n">
        <f aca="false">SUM(AE20:AE54)</f>
        <v>0</v>
      </c>
      <c r="AF55" s="115" t="n">
        <f aca="false">SUM(AF20:AF54)</f>
        <v>0</v>
      </c>
      <c r="AG55" s="115" t="n">
        <f aca="false">SUM(AG20:AG54)</f>
        <v>0</v>
      </c>
      <c r="AH55" s="115" t="n">
        <f aca="false">SUM(AH20:AH54)</f>
        <v>0</v>
      </c>
      <c r="AI55" s="115" t="n">
        <f aca="false">SUM(AI20:AI54)</f>
        <v>0</v>
      </c>
      <c r="AJ55" s="115" t="n">
        <f aca="false">SUM(AJ20:AJ54)</f>
        <v>0</v>
      </c>
      <c r="AK55" s="115" t="n">
        <f aca="false">SUM(AK20:AK54)</f>
        <v>0</v>
      </c>
      <c r="AL55" s="115" t="n">
        <f aca="false">SUM(AL20:AL54)</f>
        <v>0</v>
      </c>
      <c r="AM55" s="115" t="n">
        <f aca="false">SUM(AM20:AM54)</f>
        <v>0</v>
      </c>
      <c r="AN55" s="115" t="n">
        <f aca="false">SUM(AN20:AN54)</f>
        <v>0</v>
      </c>
      <c r="AO55" s="115" t="n">
        <f aca="false">SUM(AO20:AO54)</f>
        <v>0</v>
      </c>
      <c r="AP55" s="115" t="n">
        <f aca="false">SUM(AP20:AP54)</f>
        <v>0</v>
      </c>
      <c r="AQ55" s="115" t="n">
        <f aca="false">SUM(AQ20:AQ54)</f>
        <v>0</v>
      </c>
      <c r="AR55" s="115" t="n">
        <f aca="false">SUM(AR20:AR54)</f>
        <v>0</v>
      </c>
      <c r="AS55" s="115" t="n">
        <f aca="false">SUM(AS20:AS54)</f>
        <v>0</v>
      </c>
      <c r="AT55" s="115" t="n">
        <f aca="false">SUM(AT20:AT54)</f>
        <v>0</v>
      </c>
      <c r="AU55" s="115" t="n">
        <f aca="false">SUM(AU20:AU54)</f>
        <v>0</v>
      </c>
      <c r="AV55" s="115" t="n">
        <f aca="false">SUM(AV20:AV54)</f>
        <v>0</v>
      </c>
      <c r="AW55" s="115" t="n">
        <f aca="false">SUM(AW20:AW54)</f>
        <v>0</v>
      </c>
      <c r="AX55" s="115" t="n">
        <f aca="false">SUM(AX20:AX54)</f>
        <v>0</v>
      </c>
      <c r="AY55" s="115" t="n">
        <f aca="false">SUM(AY20:AY54)</f>
        <v>0</v>
      </c>
      <c r="AZ55" s="115" t="n">
        <f aca="false">SUM(AZ20:AZ54)</f>
        <v>0</v>
      </c>
      <c r="BA55" s="115" t="n">
        <f aca="false">SUM(BA20:BA54)</f>
        <v>0</v>
      </c>
      <c r="BB55" s="115" t="n">
        <f aca="false">SUM(BB20:BB54)</f>
        <v>0</v>
      </c>
      <c r="BC55" s="115" t="n">
        <f aca="false">SUM(BC20:BC54)</f>
        <v>0</v>
      </c>
      <c r="BD55" s="115" t="n">
        <f aca="false">SUM(BD20:BD54)</f>
        <v>0</v>
      </c>
      <c r="BE55" s="115" t="n">
        <f aca="false">SUM(BE20:BE54)</f>
        <v>0</v>
      </c>
      <c r="BF55" s="115" t="n">
        <f aca="false">SUM(BF20:BF54)</f>
        <v>0</v>
      </c>
      <c r="BG55" s="115" t="n">
        <f aca="false">SUM(BG20:BG54)</f>
        <v>0</v>
      </c>
      <c r="BH55" s="115" t="n">
        <f aca="false">SUM(BH20:BH54)</f>
        <v>0</v>
      </c>
      <c r="BI55" s="115" t="n">
        <f aca="false">SUM(BI20:BI54)</f>
        <v>0</v>
      </c>
      <c r="BJ55" s="115" t="n">
        <f aca="false">SUM(BJ20:BJ54)</f>
        <v>0</v>
      </c>
      <c r="BK55" s="115" t="n">
        <f aca="false">SUM(BK20:BK54)</f>
        <v>0</v>
      </c>
      <c r="BL55" s="115" t="n">
        <f aca="false">SUM(BL20:BL54)</f>
        <v>0</v>
      </c>
      <c r="BM55" s="115" t="n">
        <f aca="false">SUM(BM20:BM54)</f>
        <v>0</v>
      </c>
      <c r="BN55" s="115" t="n">
        <f aca="false">SUM(BN20:BN54)</f>
        <v>0</v>
      </c>
      <c r="BO55" s="115" t="n">
        <f aca="false">SUM(BO20:BO54)</f>
        <v>0</v>
      </c>
      <c r="BP55" s="115" t="n">
        <f aca="false">SUM(BP20:BP54)</f>
        <v>0</v>
      </c>
      <c r="BQ55" s="115" t="n">
        <f aca="false">SUM(BQ20:BQ54)</f>
        <v>0</v>
      </c>
      <c r="BR55" s="115" t="n">
        <f aca="false">SUM(BR20:BR54)</f>
        <v>0</v>
      </c>
      <c r="BS55" s="115" t="n">
        <f aca="false">SUM(BS20:BS54)</f>
        <v>0</v>
      </c>
      <c r="BT55" s="115" t="n">
        <f aca="false">SUM(BT20:BT54)</f>
        <v>0</v>
      </c>
      <c r="BU55" s="115" t="n">
        <f aca="false">SUM(BU20:BU54)</f>
        <v>0</v>
      </c>
      <c r="BV55" s="115" t="n">
        <f aca="false">SUM(BV20:BV54)</f>
        <v>0</v>
      </c>
      <c r="BW55" s="115" t="n">
        <f aca="false">SUM(BW20:BW54)</f>
        <v>0</v>
      </c>
      <c r="BX55" s="115" t="n">
        <f aca="false">SUM(BX20:BX54)</f>
        <v>0</v>
      </c>
      <c r="BY55" s="115" t="n">
        <f aca="false">SUM(BY20:BY54)</f>
        <v>0</v>
      </c>
      <c r="BZ55" s="115" t="n">
        <f aca="false">SUM(BZ20:BZ54)</f>
        <v>0</v>
      </c>
      <c r="CA55" s="115" t="n">
        <f aca="false">SUM(CA20:CA54)</f>
        <v>0</v>
      </c>
      <c r="CB55" s="115" t="n">
        <f aca="false">SUM(CB20:CB54)</f>
        <v>0</v>
      </c>
      <c r="CC55" s="115" t="n">
        <f aca="false">SUM(CC20:CC54)</f>
        <v>0</v>
      </c>
      <c r="CD55" s="115" t="n">
        <f aca="false">SUM(CD20:CD54)</f>
        <v>0</v>
      </c>
      <c r="CE55" s="115" t="n">
        <f aca="false">SUM(CE20:CE54)</f>
        <v>0</v>
      </c>
      <c r="CF55" s="115" t="n">
        <f aca="false">SUM(CF20:CF54)</f>
        <v>0</v>
      </c>
      <c r="CG55" s="115" t="n">
        <f aca="false">SUM(CG20:CG54)</f>
        <v>0</v>
      </c>
      <c r="CH55" s="115" t="n">
        <f aca="false">SUM(CH20:CH54)</f>
        <v>0</v>
      </c>
      <c r="CI55" s="115" t="n">
        <f aca="false">SUM(CI20:CI54)</f>
        <v>0</v>
      </c>
      <c r="CJ55" s="115" t="n">
        <f aca="false">SUM(CJ20:CJ54)</f>
        <v>0</v>
      </c>
      <c r="CK55" s="115" t="n">
        <f aca="false">SUM(CK20:CK54)</f>
        <v>0</v>
      </c>
      <c r="CL55" s="115" t="n">
        <f aca="false">SUM(CL20:CL54)</f>
        <v>0</v>
      </c>
      <c r="CM55" s="115" t="n">
        <f aca="false">SUM(CM20:CM54)</f>
        <v>0</v>
      </c>
      <c r="CN55" s="115" t="n">
        <f aca="false">SUM(CN20:CN54)</f>
        <v>0</v>
      </c>
      <c r="CO55" s="115" t="n">
        <f aca="false">SUM(CO20:CO54)</f>
        <v>0</v>
      </c>
      <c r="CP55" s="115" t="n">
        <f aca="false">SUM(CP20:CP54)</f>
        <v>0</v>
      </c>
      <c r="CQ55" s="115" t="n">
        <f aca="false">SUM(CQ20:CQ54)</f>
        <v>0</v>
      </c>
      <c r="CR55" s="115" t="n">
        <f aca="false">SUM(CR20:CR54)</f>
        <v>0</v>
      </c>
      <c r="CS55" s="115" t="n">
        <f aca="false">SUM(CS20:CS54)</f>
        <v>0</v>
      </c>
      <c r="CT55" s="115" t="n">
        <f aca="false">SUM(CT20:CT54)</f>
        <v>0</v>
      </c>
    </row>
    <row r="56" customFormat="false" ht="15" hidden="false" customHeight="true" outlineLevel="0" collapsed="false">
      <c r="A56" s="105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</row>
    <row r="57" customFormat="false" ht="15" hidden="false" customHeight="true" outlineLevel="0" collapsed="false">
      <c r="A57" s="76" t="s">
        <v>94</v>
      </c>
      <c r="C57" s="116" t="n">
        <f aca="false">C17+C55</f>
        <v>-41844.6399999999</v>
      </c>
      <c r="D57" s="116" t="n">
        <f aca="false">D17+D55</f>
        <v>-311309.31</v>
      </c>
      <c r="E57" s="116" t="n">
        <f aca="false">E17+E55</f>
        <v>242246.78</v>
      </c>
      <c r="F57" s="116" t="n">
        <f aca="false">F17+F55</f>
        <v>373926.69</v>
      </c>
      <c r="G57" s="116" t="n">
        <f aca="false">G17+G55</f>
        <v>27621.8499999997</v>
      </c>
      <c r="H57" s="116" t="n">
        <f aca="false">H17+H55</f>
        <v>317897.240000001</v>
      </c>
      <c r="I57" s="116" t="n">
        <f aca="false">I17+I55</f>
        <v>0</v>
      </c>
      <c r="J57" s="116" t="n">
        <f aca="false">J17+J55</f>
        <v>0</v>
      </c>
      <c r="K57" s="116" t="n">
        <f aca="false">K17+K55</f>
        <v>0</v>
      </c>
      <c r="L57" s="116" t="n">
        <f aca="false">L17+L55</f>
        <v>0</v>
      </c>
      <c r="M57" s="116" t="n">
        <f aca="false">M17+M55</f>
        <v>0</v>
      </c>
      <c r="N57" s="116" t="n">
        <f aca="false">N17+N55</f>
        <v>0</v>
      </c>
      <c r="O57" s="116" t="n">
        <f aca="false">O17+O55</f>
        <v>0</v>
      </c>
      <c r="P57" s="116" t="n">
        <f aca="false">P17+P55</f>
        <v>0</v>
      </c>
      <c r="Q57" s="116" t="n">
        <f aca="false">Q17+Q55</f>
        <v>0</v>
      </c>
      <c r="R57" s="116" t="n">
        <f aca="false">R17+R55</f>
        <v>0</v>
      </c>
      <c r="S57" s="116" t="n">
        <f aca="false">S17+S55</f>
        <v>0</v>
      </c>
      <c r="T57" s="116" t="n">
        <f aca="false">T17+T55</f>
        <v>0</v>
      </c>
      <c r="U57" s="116" t="n">
        <f aca="false">U17+U55</f>
        <v>0</v>
      </c>
      <c r="V57" s="116" t="n">
        <f aca="false">V17+V55</f>
        <v>0</v>
      </c>
      <c r="W57" s="116" t="n">
        <f aca="false">W17+W55</f>
        <v>0</v>
      </c>
      <c r="X57" s="116" t="n">
        <f aca="false">X17+X55</f>
        <v>0</v>
      </c>
      <c r="Y57" s="116" t="n">
        <f aca="false">Y17+Y55</f>
        <v>0</v>
      </c>
      <c r="Z57" s="116" t="n">
        <f aca="false">Z17+Z55</f>
        <v>0</v>
      </c>
      <c r="AA57" s="116" t="n">
        <f aca="false">AA17+AA55</f>
        <v>0</v>
      </c>
      <c r="AB57" s="116" t="n">
        <f aca="false">AB17+AB55</f>
        <v>0</v>
      </c>
      <c r="AC57" s="116" t="n">
        <f aca="false">AC17+AC55</f>
        <v>0</v>
      </c>
      <c r="AD57" s="116" t="n">
        <f aca="false">AD17+AD55</f>
        <v>0</v>
      </c>
      <c r="AE57" s="116" t="n">
        <f aca="false">AE17+AE55</f>
        <v>0</v>
      </c>
      <c r="AF57" s="116" t="n">
        <f aca="false">AF17+AF55</f>
        <v>0</v>
      </c>
      <c r="AG57" s="116" t="n">
        <f aca="false">AG17+AG55</f>
        <v>0</v>
      </c>
      <c r="AH57" s="116" t="n">
        <f aca="false">AH17+AH55</f>
        <v>0</v>
      </c>
      <c r="AI57" s="116" t="n">
        <f aca="false">AI17+AI55</f>
        <v>0</v>
      </c>
      <c r="AJ57" s="116" t="n">
        <f aca="false">AJ17+AJ55</f>
        <v>0</v>
      </c>
      <c r="AK57" s="116" t="n">
        <f aca="false">AK17+AK55</f>
        <v>0</v>
      </c>
      <c r="AL57" s="116" t="n">
        <f aca="false">AL17+AL55</f>
        <v>0</v>
      </c>
      <c r="AM57" s="116" t="n">
        <f aca="false">AM17+AM55</f>
        <v>0</v>
      </c>
      <c r="AN57" s="116" t="n">
        <f aca="false">AN17+AN55</f>
        <v>0</v>
      </c>
      <c r="AO57" s="116" t="n">
        <f aca="false">AO17+AO55</f>
        <v>0</v>
      </c>
      <c r="AP57" s="116" t="n">
        <f aca="false">AP17+AP55</f>
        <v>0</v>
      </c>
      <c r="AQ57" s="116" t="n">
        <f aca="false">AQ17+AQ55</f>
        <v>0</v>
      </c>
      <c r="AR57" s="116" t="n">
        <f aca="false">AR17+AR55</f>
        <v>0</v>
      </c>
      <c r="AS57" s="116" t="n">
        <f aca="false">AS17+AS55</f>
        <v>0</v>
      </c>
      <c r="AT57" s="116" t="n">
        <f aca="false">AT17+AT55</f>
        <v>0</v>
      </c>
      <c r="AU57" s="116" t="n">
        <f aca="false">AU17+AU55</f>
        <v>0</v>
      </c>
      <c r="AV57" s="116" t="n">
        <f aca="false">AV17+AV55</f>
        <v>0</v>
      </c>
      <c r="AW57" s="116" t="n">
        <f aca="false">AW17+AW55</f>
        <v>0</v>
      </c>
      <c r="AX57" s="116" t="n">
        <f aca="false">AX17+AX55</f>
        <v>0</v>
      </c>
      <c r="AY57" s="116" t="n">
        <f aca="false">AY17+AY55</f>
        <v>0</v>
      </c>
      <c r="AZ57" s="116" t="n">
        <f aca="false">AZ17+AZ55</f>
        <v>0</v>
      </c>
      <c r="BA57" s="116" t="n">
        <f aca="false">BA17+BA55</f>
        <v>0</v>
      </c>
      <c r="BB57" s="116" t="n">
        <f aca="false">BB17+BB55</f>
        <v>0</v>
      </c>
      <c r="BC57" s="116" t="n">
        <f aca="false">BC17+BC55</f>
        <v>0</v>
      </c>
      <c r="BD57" s="116" t="n">
        <f aca="false">BD17+BD55</f>
        <v>0</v>
      </c>
      <c r="BE57" s="116" t="n">
        <f aca="false">BE17+BE55</f>
        <v>0</v>
      </c>
      <c r="BF57" s="116" t="n">
        <f aca="false">BF17+BF55</f>
        <v>0</v>
      </c>
      <c r="BG57" s="116" t="n">
        <f aca="false">BG17+BG55</f>
        <v>0</v>
      </c>
      <c r="BH57" s="116" t="n">
        <f aca="false">BH17+BH55</f>
        <v>0</v>
      </c>
      <c r="BI57" s="116" t="n">
        <f aca="false">BI17+BI55</f>
        <v>0</v>
      </c>
      <c r="BJ57" s="116" t="n">
        <f aca="false">BJ17+BJ55</f>
        <v>0</v>
      </c>
      <c r="BK57" s="116" t="n">
        <f aca="false">BK17+BK55</f>
        <v>0</v>
      </c>
      <c r="BL57" s="116" t="n">
        <f aca="false">BL17+BL55</f>
        <v>0</v>
      </c>
      <c r="BM57" s="116" t="n">
        <f aca="false">BM17+BM55</f>
        <v>0</v>
      </c>
      <c r="BN57" s="116" t="n">
        <f aca="false">BN17+BN55</f>
        <v>0</v>
      </c>
      <c r="BO57" s="116" t="n">
        <f aca="false">BO17+BO55</f>
        <v>0</v>
      </c>
      <c r="BP57" s="116" t="n">
        <f aca="false">BP17+BP55</f>
        <v>0</v>
      </c>
      <c r="BQ57" s="116" t="n">
        <f aca="false">BQ17+BQ55</f>
        <v>0</v>
      </c>
      <c r="BR57" s="116" t="n">
        <f aca="false">BR17+BR55</f>
        <v>0</v>
      </c>
      <c r="BS57" s="116" t="n">
        <f aca="false">BS17+BS55</f>
        <v>0</v>
      </c>
      <c r="BT57" s="116" t="n">
        <f aca="false">BT17+BT55</f>
        <v>0</v>
      </c>
      <c r="BU57" s="116" t="n">
        <f aca="false">BU17+BU55</f>
        <v>0</v>
      </c>
      <c r="BV57" s="116" t="n">
        <f aca="false">BV17+BV55</f>
        <v>0</v>
      </c>
      <c r="BW57" s="116" t="n">
        <f aca="false">BW17+BW55</f>
        <v>0</v>
      </c>
      <c r="BX57" s="116" t="n">
        <f aca="false">BX17+BX55</f>
        <v>0</v>
      </c>
      <c r="BY57" s="116" t="n">
        <f aca="false">BY17+BY55</f>
        <v>0</v>
      </c>
      <c r="BZ57" s="116" t="n">
        <f aca="false">BZ17+BZ55</f>
        <v>0</v>
      </c>
      <c r="CA57" s="116" t="n">
        <f aca="false">CA17+CA55</f>
        <v>0</v>
      </c>
      <c r="CB57" s="116" t="n">
        <f aca="false">CB17+CB55</f>
        <v>0</v>
      </c>
      <c r="CC57" s="116" t="n">
        <f aca="false">CC17+CC55</f>
        <v>0</v>
      </c>
      <c r="CD57" s="116" t="n">
        <f aca="false">CD17+CD55</f>
        <v>0</v>
      </c>
      <c r="CE57" s="116" t="n">
        <f aca="false">CE17+CE55</f>
        <v>0</v>
      </c>
      <c r="CF57" s="116" t="n">
        <f aca="false">CF17+CF55</f>
        <v>0</v>
      </c>
      <c r="CG57" s="116" t="n">
        <f aca="false">CG17+CG55</f>
        <v>0</v>
      </c>
      <c r="CH57" s="116" t="n">
        <f aca="false">CH17+CH55</f>
        <v>0</v>
      </c>
      <c r="CI57" s="116" t="n">
        <f aca="false">CI17+CI55</f>
        <v>0</v>
      </c>
      <c r="CJ57" s="116" t="n">
        <f aca="false">CJ17+CJ55</f>
        <v>0</v>
      </c>
      <c r="CK57" s="116" t="n">
        <f aca="false">CK17+CK55</f>
        <v>0</v>
      </c>
      <c r="CL57" s="116" t="n">
        <f aca="false">CL17+CL55</f>
        <v>0</v>
      </c>
      <c r="CM57" s="116" t="n">
        <f aca="false">CM17+CM55</f>
        <v>0</v>
      </c>
      <c r="CN57" s="116" t="n">
        <f aca="false">CN17+CN55</f>
        <v>0</v>
      </c>
      <c r="CO57" s="116" t="n">
        <f aca="false">CO17+CO55</f>
        <v>0</v>
      </c>
      <c r="CP57" s="116" t="n">
        <f aca="false">CP17+CP55</f>
        <v>0</v>
      </c>
      <c r="CQ57" s="116" t="n">
        <f aca="false">CQ17+CQ55</f>
        <v>0</v>
      </c>
      <c r="CR57" s="116" t="n">
        <f aca="false">CR17+CR55</f>
        <v>0</v>
      </c>
      <c r="CS57" s="116" t="n">
        <f aca="false">CS17+CS55</f>
        <v>0</v>
      </c>
      <c r="CT57" s="116" t="n">
        <f aca="false">CT17+CT55</f>
        <v>0</v>
      </c>
    </row>
    <row r="58" customFormat="false" ht="15" hidden="false" customHeight="true" outlineLevel="0" collapsed="false">
      <c r="A58" s="107" t="s">
        <v>95</v>
      </c>
      <c r="C58" s="110" t="n">
        <f aca="false">IFERROR(C57/C13,0)</f>
        <v>-0.0287831236019867</v>
      </c>
      <c r="D58" s="110" t="n">
        <f aca="false">IFERROR(D57/D13,0)</f>
        <v>-0.102996554608564</v>
      </c>
      <c r="E58" s="110" t="n">
        <f aca="false">IFERROR(E57/E13,0)</f>
        <v>0.0906538863233281</v>
      </c>
      <c r="F58" s="110" t="n">
        <f aca="false">IFERROR(F57/F13,0)</f>
        <v>0.101270434808067</v>
      </c>
      <c r="G58" s="110" t="n">
        <f aca="false">IFERROR(G57/G13,0)</f>
        <v>0.00625486062340116</v>
      </c>
      <c r="H58" s="110" t="n">
        <f aca="false">IFERROR(H57/H13,0)</f>
        <v>0.0508451485513171</v>
      </c>
      <c r="I58" s="110" t="n">
        <f aca="false">IFERROR(I57/I13,0)</f>
        <v>0</v>
      </c>
      <c r="J58" s="110" t="n">
        <f aca="false">IFERROR(J57/J13,0)</f>
        <v>0</v>
      </c>
      <c r="K58" s="110" t="n">
        <f aca="false">IFERROR(K57/K13,0)</f>
        <v>0</v>
      </c>
      <c r="L58" s="110" t="n">
        <f aca="false">IFERROR(L57/L13,0)</f>
        <v>0</v>
      </c>
      <c r="M58" s="110" t="n">
        <f aca="false">IFERROR(M57/M13,0)</f>
        <v>0</v>
      </c>
      <c r="N58" s="110" t="n">
        <f aca="false">IFERROR(N57/N13,0)</f>
        <v>0</v>
      </c>
      <c r="O58" s="110" t="n">
        <f aca="false">IFERROR(O57/O13,0)</f>
        <v>0</v>
      </c>
      <c r="P58" s="110" t="n">
        <f aca="false">IFERROR(P57/P13,0)</f>
        <v>0</v>
      </c>
      <c r="Q58" s="110" t="n">
        <f aca="false">IFERROR(Q57/Q13,0)</f>
        <v>0</v>
      </c>
      <c r="R58" s="110" t="n">
        <f aca="false">IFERROR(R57/R13,0)</f>
        <v>0</v>
      </c>
      <c r="S58" s="110" t="n">
        <f aca="false">IFERROR(S57/S13,0)</f>
        <v>0</v>
      </c>
      <c r="T58" s="110" t="n">
        <f aca="false">IFERROR(T57/T13,0)</f>
        <v>0</v>
      </c>
      <c r="U58" s="110" t="n">
        <f aca="false">IFERROR(U57/U13,0)</f>
        <v>0</v>
      </c>
      <c r="V58" s="110" t="n">
        <f aca="false">IFERROR(V57/V13,0)</f>
        <v>0</v>
      </c>
      <c r="W58" s="110" t="n">
        <f aca="false">IFERROR(W57/W13,0)</f>
        <v>0</v>
      </c>
      <c r="X58" s="110" t="n">
        <f aca="false">IFERROR(X57/X13,0)</f>
        <v>0</v>
      </c>
      <c r="Y58" s="110" t="n">
        <f aca="false">IFERROR(Y57/Y13,0)</f>
        <v>0</v>
      </c>
      <c r="Z58" s="110" t="n">
        <f aca="false">IFERROR(Z57/Z13,0)</f>
        <v>0</v>
      </c>
      <c r="AA58" s="110" t="n">
        <f aca="false">IFERROR(AA57/AA13,0)</f>
        <v>0</v>
      </c>
      <c r="AB58" s="110" t="n">
        <f aca="false">IFERROR(AB57/AB13,0)</f>
        <v>0</v>
      </c>
      <c r="AC58" s="110" t="n">
        <f aca="false">IFERROR(AC57/AC13,0)</f>
        <v>0</v>
      </c>
      <c r="AD58" s="110" t="n">
        <f aca="false">IFERROR(AD57/AD13,0)</f>
        <v>0</v>
      </c>
      <c r="AE58" s="110" t="n">
        <f aca="false">IFERROR(AE57/AE13,0)</f>
        <v>0</v>
      </c>
      <c r="AF58" s="110" t="n">
        <f aca="false">IFERROR(AF57/AF13,0)</f>
        <v>0</v>
      </c>
      <c r="AG58" s="110" t="n">
        <f aca="false">IFERROR(AG57/AG13,0)</f>
        <v>0</v>
      </c>
      <c r="AH58" s="110" t="n">
        <f aca="false">IFERROR(AH57/AH13,0)</f>
        <v>0</v>
      </c>
      <c r="AI58" s="110" t="n">
        <f aca="false">IFERROR(AI57/AI13,0)</f>
        <v>0</v>
      </c>
      <c r="AJ58" s="110" t="n">
        <f aca="false">IFERROR(AJ57/AJ13,0)</f>
        <v>0</v>
      </c>
      <c r="AK58" s="110" t="n">
        <f aca="false">IFERROR(AK57/AK13,0)</f>
        <v>0</v>
      </c>
      <c r="AL58" s="110" t="n">
        <f aca="false">IFERROR(AL57/AL13,0)</f>
        <v>0</v>
      </c>
      <c r="AM58" s="110" t="n">
        <f aca="false">IFERROR(AM57/AM13,0)</f>
        <v>0</v>
      </c>
      <c r="AN58" s="110" t="n">
        <f aca="false">IFERROR(AN57/AN13,0)</f>
        <v>0</v>
      </c>
      <c r="AO58" s="110" t="n">
        <f aca="false">IFERROR(AO57/AO13,0)</f>
        <v>0</v>
      </c>
      <c r="AP58" s="110" t="n">
        <f aca="false">IFERROR(AP57/AP13,0)</f>
        <v>0</v>
      </c>
      <c r="AQ58" s="110" t="n">
        <f aca="false">IFERROR(AQ57/AQ13,0)</f>
        <v>0</v>
      </c>
      <c r="AR58" s="110" t="n">
        <f aca="false">IFERROR(AR57/AR13,0)</f>
        <v>0</v>
      </c>
      <c r="AS58" s="110" t="n">
        <f aca="false">IFERROR(AS57/AS13,0)</f>
        <v>0</v>
      </c>
      <c r="AT58" s="110" t="n">
        <f aca="false">IFERROR(AT57/AT13,0)</f>
        <v>0</v>
      </c>
      <c r="AU58" s="110" t="n">
        <f aca="false">IFERROR(AU57/AU13,0)</f>
        <v>0</v>
      </c>
      <c r="AV58" s="110" t="n">
        <f aca="false">IFERROR(AV57/AV13,0)</f>
        <v>0</v>
      </c>
      <c r="AW58" s="110" t="n">
        <f aca="false">IFERROR(AW57/AW13,0)</f>
        <v>0</v>
      </c>
      <c r="AX58" s="110" t="n">
        <f aca="false">IFERROR(AX57/AX13,0)</f>
        <v>0</v>
      </c>
      <c r="AY58" s="110" t="n">
        <f aca="false">IFERROR(AY57/AY13,0)</f>
        <v>0</v>
      </c>
      <c r="AZ58" s="110" t="n">
        <f aca="false">IFERROR(AZ57/AZ13,0)</f>
        <v>0</v>
      </c>
      <c r="BA58" s="110" t="n">
        <f aca="false">IFERROR(BA57/BA13,0)</f>
        <v>0</v>
      </c>
      <c r="BB58" s="110" t="n">
        <f aca="false">IFERROR(BB57/BB13,0)</f>
        <v>0</v>
      </c>
      <c r="BC58" s="110" t="n">
        <f aca="false">IFERROR(BC57/BC13,0)</f>
        <v>0</v>
      </c>
      <c r="BD58" s="110" t="n">
        <f aca="false">IFERROR(BD57/BD13,0)</f>
        <v>0</v>
      </c>
      <c r="BE58" s="110" t="n">
        <f aca="false">IFERROR(BE57/BE13,0)</f>
        <v>0</v>
      </c>
      <c r="BF58" s="110" t="n">
        <f aca="false">IFERROR(BF57/BF13,0)</f>
        <v>0</v>
      </c>
      <c r="BG58" s="110" t="n">
        <f aca="false">IFERROR(BG57/BG13,0)</f>
        <v>0</v>
      </c>
      <c r="BH58" s="110" t="n">
        <f aca="false">IFERROR(BH57/BH13,0)</f>
        <v>0</v>
      </c>
      <c r="BI58" s="110" t="n">
        <f aca="false">IFERROR(BI57/BI13,0)</f>
        <v>0</v>
      </c>
      <c r="BJ58" s="110" t="n">
        <f aca="false">IFERROR(BJ57/BJ13,0)</f>
        <v>0</v>
      </c>
      <c r="BK58" s="110" t="n">
        <f aca="false">IFERROR(BK57/BK13,0)</f>
        <v>0</v>
      </c>
      <c r="BL58" s="110" t="n">
        <f aca="false">IFERROR(BL57/BL13,0)</f>
        <v>0</v>
      </c>
      <c r="BM58" s="110" t="n">
        <f aca="false">IFERROR(BM57/BM13,0)</f>
        <v>0</v>
      </c>
      <c r="BN58" s="110" t="n">
        <f aca="false">IFERROR(BN57/BN13,0)</f>
        <v>0</v>
      </c>
      <c r="BO58" s="110" t="n">
        <f aca="false">IFERROR(BO57/BO13,0)</f>
        <v>0</v>
      </c>
      <c r="BP58" s="110" t="n">
        <f aca="false">IFERROR(BP57/BP13,0)</f>
        <v>0</v>
      </c>
      <c r="BQ58" s="110" t="n">
        <f aca="false">IFERROR(BQ57/BQ13,0)</f>
        <v>0</v>
      </c>
      <c r="BR58" s="110" t="n">
        <f aca="false">IFERROR(BR57/BR13,0)</f>
        <v>0</v>
      </c>
      <c r="BS58" s="110" t="n">
        <f aca="false">IFERROR(BS57/BS13,0)</f>
        <v>0</v>
      </c>
      <c r="BT58" s="110" t="n">
        <f aca="false">IFERROR(BT57/BT13,0)</f>
        <v>0</v>
      </c>
      <c r="BU58" s="110" t="n">
        <f aca="false">IFERROR(BU57/BU13,0)</f>
        <v>0</v>
      </c>
      <c r="BV58" s="110" t="n">
        <f aca="false">IFERROR(BV57/BV13,0)</f>
        <v>0</v>
      </c>
      <c r="BW58" s="110" t="n">
        <f aca="false">IFERROR(BW57/BW13,0)</f>
        <v>0</v>
      </c>
      <c r="BX58" s="110" t="n">
        <f aca="false">IFERROR(BX57/BX13,0)</f>
        <v>0</v>
      </c>
      <c r="BY58" s="110" t="n">
        <f aca="false">IFERROR(BY57/BY13,0)</f>
        <v>0</v>
      </c>
      <c r="BZ58" s="110" t="n">
        <f aca="false">IFERROR(BZ57/BZ13,0)</f>
        <v>0</v>
      </c>
      <c r="CA58" s="110" t="n">
        <f aca="false">IFERROR(CA57/CA13,0)</f>
        <v>0</v>
      </c>
      <c r="CB58" s="110" t="n">
        <f aca="false">IFERROR(CB57/CB13,0)</f>
        <v>0</v>
      </c>
      <c r="CC58" s="110" t="n">
        <f aca="false">IFERROR(CC57/CC13,0)</f>
        <v>0</v>
      </c>
      <c r="CD58" s="110" t="n">
        <f aca="false">IFERROR(CD57/CD13,0)</f>
        <v>0</v>
      </c>
      <c r="CE58" s="110" t="n">
        <f aca="false">IFERROR(CE57/CE13,0)</f>
        <v>0</v>
      </c>
      <c r="CF58" s="110" t="n">
        <f aca="false">IFERROR(CF57/CF13,0)</f>
        <v>0</v>
      </c>
      <c r="CG58" s="110" t="n">
        <f aca="false">IFERROR(CG57/CG13,0)</f>
        <v>0</v>
      </c>
      <c r="CH58" s="110" t="n">
        <f aca="false">IFERROR(CH57/CH13,0)</f>
        <v>0</v>
      </c>
      <c r="CI58" s="110" t="n">
        <f aca="false">IFERROR(CI57/CI13,0)</f>
        <v>0</v>
      </c>
      <c r="CJ58" s="110" t="n">
        <f aca="false">IFERROR(CJ57/CJ13,0)</f>
        <v>0</v>
      </c>
      <c r="CK58" s="110" t="n">
        <f aca="false">IFERROR(CK57/CK13,0)</f>
        <v>0</v>
      </c>
      <c r="CL58" s="110" t="n">
        <f aca="false">IFERROR(CL57/CL13,0)</f>
        <v>0</v>
      </c>
      <c r="CM58" s="110" t="n">
        <f aca="false">IFERROR(CM57/CM13,0)</f>
        <v>0</v>
      </c>
      <c r="CN58" s="110" t="n">
        <f aca="false">IFERROR(CN57/CN13,0)</f>
        <v>0</v>
      </c>
      <c r="CO58" s="110" t="n">
        <f aca="false">IFERROR(CO57/CO13,0)</f>
        <v>0</v>
      </c>
      <c r="CP58" s="110" t="n">
        <f aca="false">IFERROR(CP57/CP13,0)</f>
        <v>0</v>
      </c>
      <c r="CQ58" s="110" t="n">
        <f aca="false">IFERROR(CQ57/CQ13,0)</f>
        <v>0</v>
      </c>
      <c r="CR58" s="110" t="n">
        <f aca="false">IFERROR(CR57/CR13,0)</f>
        <v>0</v>
      </c>
      <c r="CS58" s="110" t="n">
        <f aca="false">IFERROR(CS57/CS13,0)</f>
        <v>0</v>
      </c>
      <c r="CT58" s="110" t="n">
        <f aca="false">IFERROR(CT57/CT13,0)</f>
        <v>0</v>
      </c>
    </row>
    <row r="59" customFormat="false" ht="15" hidden="false" customHeight="true" outlineLevel="0" collapsed="false">
      <c r="A59" s="105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</row>
    <row r="60" customFormat="false" ht="15" hidden="false" customHeight="true" outlineLevel="0" collapsed="false">
      <c r="A60" s="105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</row>
    <row r="61" customFormat="false" ht="15" hidden="false" customHeight="true" outlineLevel="0" collapsed="false">
      <c r="A61" s="105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</row>
    <row r="62" customFormat="false" ht="15" hidden="false" customHeight="true" outlineLevel="0" collapsed="false">
      <c r="A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</row>
    <row r="63" customFormat="false" ht="15" hidden="false" customHeight="true" outlineLevel="0" collapsed="false">
      <c r="A63" s="105" t="s">
        <v>114</v>
      </c>
      <c r="C63" s="106"/>
      <c r="D63" s="106"/>
      <c r="E63" s="106"/>
      <c r="F63" s="106"/>
      <c r="G63" s="106"/>
      <c r="H63" s="106" t="n">
        <v>299000</v>
      </c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</row>
    <row r="64" customFormat="false" ht="15" hidden="false" customHeight="true" outlineLevel="0" collapsed="false">
      <c r="A64" s="105" t="s">
        <v>97</v>
      </c>
      <c r="C64" s="106" t="n">
        <v>833.33</v>
      </c>
      <c r="D64" s="106" t="n">
        <v>833.33</v>
      </c>
      <c r="E64" s="106" t="n">
        <v>833.33</v>
      </c>
      <c r="F64" s="106" t="n">
        <v>833.33</v>
      </c>
      <c r="G64" s="106" t="n">
        <v>833.33</v>
      </c>
      <c r="H64" s="106" t="n">
        <v>833.33</v>
      </c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</row>
    <row r="65" customFormat="false" ht="15" hidden="false" customHeight="true" outlineLevel="0" collapsed="false">
      <c r="A65" s="105" t="s">
        <v>98</v>
      </c>
      <c r="C65" s="106" t="n">
        <v>23906.25</v>
      </c>
      <c r="D65" s="106" t="n">
        <v>23906.25</v>
      </c>
      <c r="E65" s="106" t="n">
        <v>23906.25</v>
      </c>
      <c r="F65" s="106" t="n">
        <v>23906.25</v>
      </c>
      <c r="G65" s="106" t="n">
        <v>23906.25</v>
      </c>
      <c r="H65" s="106" t="n">
        <v>23906.25</v>
      </c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</row>
    <row r="66" customFormat="false" ht="15" hidden="false" customHeight="true" outlineLevel="0" collapsed="false">
      <c r="A66" s="105" t="s">
        <v>99</v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</row>
    <row r="67" customFormat="false" ht="15" hidden="false" customHeight="true" outlineLevel="0" collapsed="false">
      <c r="A67" s="105" t="s">
        <v>100</v>
      </c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</row>
    <row r="68" customFormat="false" ht="15" hidden="false" customHeight="true" outlineLevel="0" collapsed="false">
      <c r="A68" s="105" t="s">
        <v>101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</row>
    <row r="69" customFormat="false" ht="15" hidden="false" customHeight="true" outlineLevel="0" collapsed="false">
      <c r="A69" s="105" t="s">
        <v>102</v>
      </c>
      <c r="C69" s="106" t="n">
        <v>9375</v>
      </c>
      <c r="D69" s="106" t="n">
        <v>9375</v>
      </c>
      <c r="E69" s="106" t="n">
        <v>9375</v>
      </c>
      <c r="F69" s="106" t="n">
        <v>9375</v>
      </c>
      <c r="G69" s="106" t="n">
        <v>9375</v>
      </c>
      <c r="H69" s="106" t="n">
        <v>9375</v>
      </c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</row>
    <row r="70" customFormat="false" ht="15" hidden="false" customHeight="true" outlineLevel="0" collapsed="false">
      <c r="A70" s="105" t="s">
        <v>103</v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</row>
    <row r="71" customFormat="false" ht="15" hidden="false" customHeight="true" outlineLevel="0" collapsed="false">
      <c r="A71" s="105" t="s">
        <v>104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</row>
    <row r="72" customFormat="false" ht="15" hidden="false" customHeight="true" outlineLevel="0" collapsed="false">
      <c r="A72" s="105" t="s">
        <v>105</v>
      </c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</row>
    <row r="73" customFormat="false" ht="15" hidden="false" customHeight="true" outlineLevel="0" collapsed="false">
      <c r="A73" s="105" t="s">
        <v>106</v>
      </c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</row>
    <row r="74" customFormat="false" ht="15" hidden="false" customHeight="true" outlineLevel="0" collapsed="false">
      <c r="A74" s="105" t="s">
        <v>107</v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</row>
    <row r="75" customFormat="false" ht="15" hidden="false" customHeight="true" outlineLevel="0" collapsed="false">
      <c r="A75" s="105" t="s">
        <v>108</v>
      </c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</row>
    <row r="76" customFormat="false" ht="15" hidden="false" customHeight="true" outlineLevel="0" collapsed="false">
      <c r="A76" s="105" t="s">
        <v>109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</row>
    <row r="77" customFormat="false" ht="15" hidden="false" customHeight="true" outlineLevel="0" collapsed="false">
      <c r="A77" s="105" t="s">
        <v>110</v>
      </c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</row>
    <row r="78" customFormat="false" ht="15" hidden="false" customHeight="true" outlineLevel="0" collapsed="false">
      <c r="A78" s="105" t="s">
        <v>111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</row>
    <row r="79" customFormat="false" ht="15" hidden="false" customHeight="true" outlineLevel="0" collapsed="false">
      <c r="A79" s="105" t="s">
        <v>112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</row>
    <row r="80" customFormat="false" ht="15" hidden="false" customHeight="true" outlineLevel="0" collapsed="false">
      <c r="A80" s="105" t="s">
        <v>113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</row>
    <row r="81" customFormat="false" ht="15" hidden="false" customHeight="true" outlineLevel="0" collapsed="false">
      <c r="A81" s="108" t="s">
        <v>116</v>
      </c>
      <c r="C81" s="109" t="n">
        <f aca="false">SUM(C63:C80)</f>
        <v>34114.58</v>
      </c>
      <c r="D81" s="109" t="n">
        <f aca="false">SUM(D63:D80)</f>
        <v>34114.58</v>
      </c>
      <c r="E81" s="109" t="n">
        <f aca="false">SUM(E63:E80)</f>
        <v>34114.58</v>
      </c>
      <c r="F81" s="109" t="n">
        <f aca="false">SUM(F63:F80)</f>
        <v>34114.58</v>
      </c>
      <c r="G81" s="109" t="n">
        <f aca="false">SUM(G63:G80)</f>
        <v>34114.58</v>
      </c>
      <c r="H81" s="109" t="n">
        <f aca="false">SUM(H63:H80)</f>
        <v>333114.58</v>
      </c>
      <c r="I81" s="109" t="n">
        <f aca="false">SUM(I63:I80)</f>
        <v>0</v>
      </c>
      <c r="J81" s="109" t="n">
        <f aca="false">SUM(J63:J80)</f>
        <v>0</v>
      </c>
      <c r="K81" s="109" t="n">
        <f aca="false">SUM(K63:K80)</f>
        <v>0</v>
      </c>
      <c r="L81" s="109" t="n">
        <f aca="false">SUM(L63:L80)</f>
        <v>0</v>
      </c>
      <c r="M81" s="109" t="n">
        <f aca="false">SUM(M63:M80)</f>
        <v>0</v>
      </c>
      <c r="N81" s="109" t="n">
        <f aca="false">SUM(N63:N80)</f>
        <v>0</v>
      </c>
      <c r="O81" s="109" t="n">
        <f aca="false">SUM(O63:O80)</f>
        <v>0</v>
      </c>
      <c r="P81" s="109" t="n">
        <f aca="false">SUM(P63:P80)</f>
        <v>0</v>
      </c>
      <c r="Q81" s="109" t="n">
        <f aca="false">SUM(Q63:Q80)</f>
        <v>0</v>
      </c>
      <c r="R81" s="109" t="n">
        <f aca="false">SUM(R63:R80)</f>
        <v>0</v>
      </c>
      <c r="S81" s="109" t="n">
        <f aca="false">SUM(S63:S80)</f>
        <v>0</v>
      </c>
      <c r="T81" s="109" t="n">
        <f aca="false">SUM(T63:T80)</f>
        <v>0</v>
      </c>
      <c r="U81" s="109" t="n">
        <f aca="false">SUM(U63:U80)</f>
        <v>0</v>
      </c>
      <c r="V81" s="109" t="n">
        <f aca="false">SUM(V63:V80)</f>
        <v>0</v>
      </c>
      <c r="W81" s="109" t="n">
        <f aca="false">SUM(W63:W80)</f>
        <v>0</v>
      </c>
      <c r="X81" s="109" t="n">
        <f aca="false">SUM(X63:X80)</f>
        <v>0</v>
      </c>
      <c r="Y81" s="109" t="n">
        <f aca="false">SUM(Y63:Y80)</f>
        <v>0</v>
      </c>
      <c r="Z81" s="109" t="n">
        <f aca="false">SUM(Z63:Z80)</f>
        <v>0</v>
      </c>
      <c r="AA81" s="109" t="n">
        <f aca="false">SUM(AA63:AA80)</f>
        <v>0</v>
      </c>
      <c r="AB81" s="109" t="n">
        <f aca="false">SUM(AB63:AB80)</f>
        <v>0</v>
      </c>
      <c r="AC81" s="109" t="n">
        <f aca="false">SUM(AC63:AC80)</f>
        <v>0</v>
      </c>
      <c r="AD81" s="109" t="n">
        <f aca="false">SUM(AD63:AD80)</f>
        <v>0</v>
      </c>
      <c r="AE81" s="109" t="n">
        <f aca="false">SUM(AE63:AE80)</f>
        <v>0</v>
      </c>
      <c r="AF81" s="109" t="n">
        <f aca="false">SUM(AF63:AF80)</f>
        <v>0</v>
      </c>
      <c r="AG81" s="109" t="n">
        <f aca="false">SUM(AG63:AG80)</f>
        <v>0</v>
      </c>
      <c r="AH81" s="109" t="n">
        <f aca="false">SUM(AH63:AH80)</f>
        <v>0</v>
      </c>
      <c r="AI81" s="109" t="n">
        <f aca="false">SUM(AI63:AI80)</f>
        <v>0</v>
      </c>
      <c r="AJ81" s="109" t="n">
        <f aca="false">SUM(AJ63:AJ80)</f>
        <v>0</v>
      </c>
      <c r="AK81" s="109" t="n">
        <f aca="false">SUM(AK63:AK80)</f>
        <v>0</v>
      </c>
      <c r="AL81" s="109" t="n">
        <f aca="false">SUM(AL63:AL80)</f>
        <v>0</v>
      </c>
      <c r="AM81" s="109" t="n">
        <f aca="false">SUM(AM63:AM80)</f>
        <v>0</v>
      </c>
      <c r="AN81" s="109" t="n">
        <f aca="false">SUM(AN63:AN80)</f>
        <v>0</v>
      </c>
      <c r="AO81" s="109" t="n">
        <f aca="false">SUM(AO63:AO80)</f>
        <v>0</v>
      </c>
      <c r="AP81" s="109" t="n">
        <f aca="false">SUM(AP63:AP80)</f>
        <v>0</v>
      </c>
      <c r="AQ81" s="109" t="n">
        <f aca="false">SUM(AQ63:AQ80)</f>
        <v>0</v>
      </c>
      <c r="AR81" s="109" t="n">
        <f aca="false">SUM(AR63:AR80)</f>
        <v>0</v>
      </c>
      <c r="AS81" s="109" t="n">
        <f aca="false">SUM(AS63:AS80)</f>
        <v>0</v>
      </c>
      <c r="AT81" s="109" t="n">
        <f aca="false">SUM(AT63:AT80)</f>
        <v>0</v>
      </c>
      <c r="AU81" s="109" t="n">
        <f aca="false">SUM(AU63:AU80)</f>
        <v>0</v>
      </c>
      <c r="AV81" s="109" t="n">
        <f aca="false">SUM(AV63:AV80)</f>
        <v>0</v>
      </c>
      <c r="AW81" s="109" t="n">
        <f aca="false">SUM(AW63:AW80)</f>
        <v>0</v>
      </c>
      <c r="AX81" s="109" t="n">
        <f aca="false">SUM(AX63:AX80)</f>
        <v>0</v>
      </c>
      <c r="AY81" s="109" t="n">
        <f aca="false">SUM(AY63:AY80)</f>
        <v>0</v>
      </c>
      <c r="AZ81" s="109" t="n">
        <f aca="false">SUM(AZ63:AZ80)</f>
        <v>0</v>
      </c>
      <c r="BA81" s="109" t="n">
        <f aca="false">SUM(BA63:BA80)</f>
        <v>0</v>
      </c>
      <c r="BB81" s="109" t="n">
        <f aca="false">SUM(BB63:BB80)</f>
        <v>0</v>
      </c>
      <c r="BC81" s="109" t="n">
        <f aca="false">SUM(BC63:BC80)</f>
        <v>0</v>
      </c>
      <c r="BD81" s="109" t="n">
        <f aca="false">SUM(BD63:BD80)</f>
        <v>0</v>
      </c>
      <c r="BE81" s="109" t="n">
        <f aca="false">SUM(BE63:BE80)</f>
        <v>0</v>
      </c>
      <c r="BF81" s="109" t="n">
        <f aca="false">SUM(BF63:BF80)</f>
        <v>0</v>
      </c>
      <c r="BG81" s="109" t="n">
        <f aca="false">SUM(BG63:BG80)</f>
        <v>0</v>
      </c>
      <c r="BH81" s="109" t="n">
        <f aca="false">SUM(BH63:BH80)</f>
        <v>0</v>
      </c>
      <c r="BI81" s="109" t="n">
        <f aca="false">SUM(BI63:BI80)</f>
        <v>0</v>
      </c>
      <c r="BJ81" s="109" t="n">
        <f aca="false">SUM(BJ63:BJ80)</f>
        <v>0</v>
      </c>
      <c r="BK81" s="109" t="n">
        <f aca="false">SUM(BK63:BK80)</f>
        <v>0</v>
      </c>
      <c r="BL81" s="109" t="n">
        <f aca="false">SUM(BL63:BL80)</f>
        <v>0</v>
      </c>
      <c r="BM81" s="109" t="n">
        <f aca="false">SUM(BM63:BM80)</f>
        <v>0</v>
      </c>
      <c r="BN81" s="109" t="n">
        <f aca="false">SUM(BN63:BN80)</f>
        <v>0</v>
      </c>
      <c r="BO81" s="109" t="n">
        <f aca="false">SUM(BO63:BO80)</f>
        <v>0</v>
      </c>
      <c r="BP81" s="109" t="n">
        <f aca="false">SUM(BP63:BP80)</f>
        <v>0</v>
      </c>
      <c r="BQ81" s="109" t="n">
        <f aca="false">SUM(BQ63:BQ80)</f>
        <v>0</v>
      </c>
      <c r="BR81" s="109" t="n">
        <f aca="false">SUM(BR63:BR80)</f>
        <v>0</v>
      </c>
      <c r="BS81" s="109" t="n">
        <f aca="false">SUM(BS63:BS80)</f>
        <v>0</v>
      </c>
      <c r="BT81" s="109" t="n">
        <f aca="false">SUM(BT63:BT80)</f>
        <v>0</v>
      </c>
      <c r="BU81" s="109" t="n">
        <f aca="false">SUM(BU63:BU80)</f>
        <v>0</v>
      </c>
      <c r="BV81" s="109" t="n">
        <f aca="false">SUM(BV63:BV80)</f>
        <v>0</v>
      </c>
      <c r="BW81" s="109" t="n">
        <f aca="false">SUM(BW63:BW80)</f>
        <v>0</v>
      </c>
      <c r="BX81" s="109" t="n">
        <f aca="false">SUM(BX63:BX80)</f>
        <v>0</v>
      </c>
      <c r="BY81" s="109" t="n">
        <f aca="false">SUM(BY63:BY80)</f>
        <v>0</v>
      </c>
      <c r="BZ81" s="109" t="n">
        <f aca="false">SUM(BZ63:BZ80)</f>
        <v>0</v>
      </c>
      <c r="CA81" s="109" t="n">
        <f aca="false">SUM(CA63:CA80)</f>
        <v>0</v>
      </c>
      <c r="CB81" s="109" t="n">
        <f aca="false">SUM(CB63:CB80)</f>
        <v>0</v>
      </c>
      <c r="CC81" s="109" t="n">
        <f aca="false">SUM(CC63:CC80)</f>
        <v>0</v>
      </c>
      <c r="CD81" s="109" t="n">
        <f aca="false">SUM(CD63:CD80)</f>
        <v>0</v>
      </c>
      <c r="CE81" s="109" t="n">
        <f aca="false">SUM(CE63:CE80)</f>
        <v>0</v>
      </c>
      <c r="CF81" s="109" t="n">
        <f aca="false">SUM(CF63:CF80)</f>
        <v>0</v>
      </c>
      <c r="CG81" s="109" t="n">
        <f aca="false">SUM(CG63:CG80)</f>
        <v>0</v>
      </c>
      <c r="CH81" s="109" t="n">
        <f aca="false">SUM(CH63:CH80)</f>
        <v>0</v>
      </c>
      <c r="CI81" s="109" t="n">
        <f aca="false">SUM(CI63:CI80)</f>
        <v>0</v>
      </c>
      <c r="CJ81" s="109" t="n">
        <f aca="false">SUM(CJ63:CJ80)</f>
        <v>0</v>
      </c>
      <c r="CK81" s="109" t="n">
        <f aca="false">SUM(CK63:CK80)</f>
        <v>0</v>
      </c>
      <c r="CL81" s="109" t="n">
        <f aca="false">SUM(CL63:CL80)</f>
        <v>0</v>
      </c>
      <c r="CM81" s="109" t="n">
        <f aca="false">SUM(CM63:CM80)</f>
        <v>0</v>
      </c>
      <c r="CN81" s="109" t="n">
        <f aca="false">SUM(CN63:CN80)</f>
        <v>0</v>
      </c>
      <c r="CO81" s="109" t="n">
        <f aca="false">SUM(CO63:CO80)</f>
        <v>0</v>
      </c>
      <c r="CP81" s="109" t="n">
        <f aca="false">SUM(CP63:CP80)</f>
        <v>0</v>
      </c>
      <c r="CQ81" s="109" t="n">
        <f aca="false">SUM(CQ63:CQ80)</f>
        <v>0</v>
      </c>
      <c r="CR81" s="109" t="n">
        <f aca="false">SUM(CR63:CR80)</f>
        <v>0</v>
      </c>
      <c r="CS81" s="109" t="n">
        <f aca="false">SUM(CS63:CS80)</f>
        <v>0</v>
      </c>
      <c r="CT81" s="109" t="n">
        <f aca="false">SUM(CT63:CT80)</f>
        <v>0</v>
      </c>
    </row>
    <row r="82" customFormat="false" ht="15" hidden="false" customHeight="true" outlineLevel="0" collapsed="false">
      <c r="A82" s="105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</row>
    <row r="83" customFormat="false" ht="15" hidden="false" customHeight="true" outlineLevel="0" collapsed="false">
      <c r="A83" s="105" t="s">
        <v>60</v>
      </c>
      <c r="C83" s="106" t="n">
        <v>-54421</v>
      </c>
      <c r="D83" s="106" t="n">
        <v>-54166.68</v>
      </c>
      <c r="E83" s="106" t="n">
        <v>-54166.68</v>
      </c>
      <c r="F83" s="106" t="n">
        <v>-54166.68</v>
      </c>
      <c r="G83" s="106" t="n">
        <v>-54166.68</v>
      </c>
      <c r="H83" s="106" t="n">
        <v>-54166.68</v>
      </c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</row>
    <row r="84" customFormat="false" ht="15" hidden="false" customHeight="true" outlineLevel="0" collapsed="false">
      <c r="A84" s="105" t="s">
        <v>61</v>
      </c>
      <c r="C84" s="106" t="n">
        <v>-5302</v>
      </c>
      <c r="D84" s="106" t="n">
        <v>-4279.79</v>
      </c>
      <c r="E84" s="106" t="n">
        <v>-4145.97</v>
      </c>
      <c r="F84" s="106" t="n">
        <v>-4145.96</v>
      </c>
      <c r="G84" s="106" t="n">
        <v>-4145.99</v>
      </c>
      <c r="H84" s="106" t="n">
        <v>-4145.95</v>
      </c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</row>
    <row r="85" customFormat="false" ht="15" hidden="false" customHeight="true" outlineLevel="0" collapsed="false">
      <c r="A85" s="105" t="s">
        <v>63</v>
      </c>
      <c r="C85" s="106" t="n">
        <v>-12137.77</v>
      </c>
      <c r="D85" s="106" t="n">
        <v>-12137.78</v>
      </c>
      <c r="E85" s="106" t="n">
        <v>-12137.78</v>
      </c>
      <c r="F85" s="106" t="n">
        <v>-12137.78</v>
      </c>
      <c r="G85" s="106" t="n">
        <v>-12137.78</v>
      </c>
      <c r="H85" s="106" t="n">
        <v>-12137.78</v>
      </c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</row>
    <row r="86" customFormat="false" ht="15" hidden="false" customHeight="true" outlineLevel="0" collapsed="false">
      <c r="A86" s="105" t="s">
        <v>64</v>
      </c>
      <c r="C86" s="106" t="n">
        <v>-475.76</v>
      </c>
      <c r="D86" s="106" t="n">
        <v>-475.76</v>
      </c>
      <c r="E86" s="106" t="n">
        <v>-475.76</v>
      </c>
      <c r="F86" s="106" t="n">
        <v>-475.76</v>
      </c>
      <c r="G86" s="106" t="n">
        <v>-475.76</v>
      </c>
      <c r="H86" s="106" t="n">
        <v>-475.76</v>
      </c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</row>
    <row r="87" customFormat="false" ht="15" hidden="false" customHeight="true" outlineLevel="0" collapsed="false">
      <c r="A87" s="105" t="s">
        <v>65</v>
      </c>
      <c r="C87" s="106" t="n">
        <v>-2200.12</v>
      </c>
      <c r="D87" s="106" t="n">
        <v>-2200.12</v>
      </c>
      <c r="E87" s="106" t="n">
        <v>-2200.12</v>
      </c>
      <c r="F87" s="106" t="n">
        <v>-2200.12</v>
      </c>
      <c r="G87" s="106" t="n">
        <v>-2200.12</v>
      </c>
      <c r="H87" s="106" t="n">
        <v>-2200.12</v>
      </c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</row>
    <row r="88" customFormat="false" ht="15" hidden="false" customHeight="true" outlineLevel="0" collapsed="false">
      <c r="A88" s="105" t="s">
        <v>68</v>
      </c>
      <c r="C88" s="106" t="n">
        <v>-8848.65</v>
      </c>
      <c r="D88" s="106" t="n">
        <v>-8817.63</v>
      </c>
      <c r="E88" s="106" t="n">
        <v>-3775.91</v>
      </c>
      <c r="F88" s="106" t="n">
        <v>-8731.12</v>
      </c>
      <c r="G88" s="106" t="n">
        <v>-8739.17</v>
      </c>
      <c r="H88" s="106" t="n">
        <v>-8771.99</v>
      </c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</row>
    <row r="89" customFormat="false" ht="15" hidden="false" customHeight="true" outlineLevel="0" collapsed="false">
      <c r="A89" s="105" t="s">
        <v>69</v>
      </c>
      <c r="C89" s="106" t="n">
        <v>-1722.9</v>
      </c>
      <c r="D89" s="106" t="n">
        <v>0</v>
      </c>
      <c r="E89" s="106" t="n">
        <v>-28.51</v>
      </c>
      <c r="F89" s="106" t="n">
        <v>0</v>
      </c>
      <c r="G89" s="106" t="n">
        <v>-212.12</v>
      </c>
      <c r="H89" s="106" t="n">
        <v>-83.92</v>
      </c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</row>
    <row r="90" customFormat="false" ht="15" hidden="false" customHeight="true" outlineLevel="0" collapsed="false">
      <c r="A90" s="105" t="s">
        <v>72</v>
      </c>
      <c r="C90" s="106" t="n">
        <v>-246.85</v>
      </c>
      <c r="D90" s="106" t="n">
        <v>0</v>
      </c>
      <c r="E90" s="106" t="n">
        <v>-4246.73</v>
      </c>
      <c r="F90" s="106" t="n">
        <v>-3123.87</v>
      </c>
      <c r="G90" s="106" t="n">
        <v>-3184.88</v>
      </c>
      <c r="H90" s="106" t="n">
        <v>-4015.94</v>
      </c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</row>
    <row r="91" customFormat="false" ht="15" hidden="false" customHeight="true" outlineLevel="0" collapsed="false">
      <c r="A91" s="105" t="s">
        <v>118</v>
      </c>
      <c r="C91" s="106" t="n">
        <v>0</v>
      </c>
      <c r="D91" s="106" t="n">
        <v>0</v>
      </c>
      <c r="E91" s="106" t="n">
        <v>-870</v>
      </c>
      <c r="F91" s="106" t="n">
        <v>0</v>
      </c>
      <c r="G91" s="106" t="n">
        <v>0</v>
      </c>
      <c r="H91" s="106" t="n">
        <v>0</v>
      </c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</row>
    <row r="92" customFormat="false" ht="15" hidden="false" customHeight="true" outlineLevel="0" collapsed="false">
      <c r="A92" s="107" t="s">
        <v>119</v>
      </c>
      <c r="C92" s="111" t="n">
        <v>-245</v>
      </c>
      <c r="D92" s="111" t="n">
        <v>-245</v>
      </c>
      <c r="E92" s="111" t="n">
        <v>-245</v>
      </c>
      <c r="F92" s="111" t="n">
        <v>-245</v>
      </c>
      <c r="G92" s="111" t="n">
        <v>-245</v>
      </c>
      <c r="H92" s="111" t="n">
        <v>-245</v>
      </c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</row>
    <row r="93" customFormat="false" ht="15" hidden="false" customHeight="true" outlineLevel="0" collapsed="false">
      <c r="A93" s="107" t="s">
        <v>120</v>
      </c>
      <c r="C93" s="111" t="n">
        <v>-986.57</v>
      </c>
      <c r="D93" s="111" t="n">
        <v>-1254.61</v>
      </c>
      <c r="E93" s="111" t="n">
        <v>-1297.31</v>
      </c>
      <c r="F93" s="111" t="n">
        <v>-48.78</v>
      </c>
      <c r="G93" s="111" t="n">
        <v>-4199.86</v>
      </c>
      <c r="H93" s="111" t="n">
        <v>-3433.39</v>
      </c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</row>
    <row r="94" customFormat="false" ht="15" hidden="false" customHeight="true" outlineLevel="0" collapsed="false">
      <c r="A94" s="107" t="s">
        <v>121</v>
      </c>
      <c r="C94" s="111" t="n">
        <v>-588.66</v>
      </c>
      <c r="D94" s="111" t="n">
        <v>-22.94</v>
      </c>
      <c r="E94" s="111" t="n">
        <v>-487.3</v>
      </c>
      <c r="F94" s="111" t="n">
        <v>-399.98</v>
      </c>
      <c r="G94" s="111" t="n">
        <v>-216.15</v>
      </c>
      <c r="H94" s="111" t="n">
        <v>-936.05</v>
      </c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</row>
    <row r="95" customFormat="false" ht="15" hidden="false" customHeight="true" outlineLevel="0" collapsed="false">
      <c r="A95" s="107" t="s">
        <v>122</v>
      </c>
      <c r="C95" s="111" t="n">
        <v>0</v>
      </c>
      <c r="D95" s="111" t="n">
        <v>-92.75</v>
      </c>
      <c r="E95" s="111" t="n">
        <v>-57.46</v>
      </c>
      <c r="F95" s="111" t="n">
        <v>0</v>
      </c>
      <c r="G95" s="111" t="n">
        <v>-24.3</v>
      </c>
      <c r="H95" s="111" t="n">
        <v>-917.7</v>
      </c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</row>
    <row r="96" customFormat="false" ht="15" hidden="false" customHeight="true" outlineLevel="0" collapsed="false">
      <c r="A96" s="107" t="s">
        <v>74</v>
      </c>
      <c r="C96" s="111" t="n">
        <v>-640.88</v>
      </c>
      <c r="D96" s="111" t="n">
        <v>-872.64</v>
      </c>
      <c r="E96" s="111" t="n">
        <v>-1175.78</v>
      </c>
      <c r="F96" s="111" t="n">
        <v>-471.38</v>
      </c>
      <c r="G96" s="111" t="n">
        <v>-1307.57</v>
      </c>
      <c r="H96" s="111" t="n">
        <v>-3067.11</v>
      </c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</row>
    <row r="97" customFormat="false" ht="15" hidden="false" customHeight="true" outlineLevel="0" collapsed="false">
      <c r="A97" s="107" t="s">
        <v>75</v>
      </c>
      <c r="C97" s="111" t="n">
        <v>0</v>
      </c>
      <c r="D97" s="111" t="n">
        <v>0</v>
      </c>
      <c r="E97" s="111" t="n">
        <v>-38050.5</v>
      </c>
      <c r="F97" s="111" t="n">
        <v>0</v>
      </c>
      <c r="G97" s="111" t="n">
        <v>-986.5</v>
      </c>
      <c r="H97" s="111" t="n">
        <v>-4830</v>
      </c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</row>
    <row r="98" customFormat="false" ht="15" hidden="false" customHeight="true" outlineLevel="0" collapsed="false">
      <c r="A98" s="105" t="s">
        <v>76</v>
      </c>
      <c r="C98" s="106" t="n">
        <v>-4097.78</v>
      </c>
      <c r="D98" s="106" t="n">
        <v>-1950.2</v>
      </c>
      <c r="E98" s="106" t="n">
        <v>-1978.2</v>
      </c>
      <c r="F98" s="106" t="n">
        <v>-1970.2</v>
      </c>
      <c r="G98" s="106" t="n">
        <v>-6126.2</v>
      </c>
      <c r="H98" s="106" t="n">
        <v>-1993.2</v>
      </c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</row>
    <row r="99" customFormat="false" ht="15" hidden="false" customHeight="true" outlineLevel="0" collapsed="false">
      <c r="A99" s="105" t="s">
        <v>77</v>
      </c>
      <c r="C99" s="106" t="n">
        <v>-28038</v>
      </c>
      <c r="D99" s="106" t="n">
        <v>-29387.5</v>
      </c>
      <c r="E99" s="106" t="n">
        <v>-28083</v>
      </c>
      <c r="F99" s="106" t="n">
        <v>-28083</v>
      </c>
      <c r="G99" s="106" t="n">
        <v>-69333</v>
      </c>
      <c r="H99" s="106" t="n">
        <v>-28083</v>
      </c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</row>
    <row r="100" customFormat="false" ht="15" hidden="false" customHeight="true" outlineLevel="0" collapsed="false">
      <c r="A100" s="107" t="s">
        <v>123</v>
      </c>
      <c r="C100" s="111" t="n">
        <v>-268</v>
      </c>
      <c r="D100" s="111" t="n">
        <v>-2088.75</v>
      </c>
      <c r="E100" s="111" t="n">
        <v>-2401.75</v>
      </c>
      <c r="F100" s="111" t="n">
        <v>-4209.5</v>
      </c>
      <c r="G100" s="111" t="n">
        <v>-2377.59</v>
      </c>
      <c r="H100" s="111" t="n">
        <v>-16</v>
      </c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</row>
    <row r="101" customFormat="false" ht="15" hidden="false" customHeight="true" outlineLevel="0" collapsed="false">
      <c r="A101" s="107" t="s">
        <v>124</v>
      </c>
      <c r="C101" s="111" t="n">
        <v>-341.83</v>
      </c>
      <c r="D101" s="111" t="n">
        <v>-728</v>
      </c>
      <c r="E101" s="111" t="n">
        <v>-15256.75</v>
      </c>
      <c r="F101" s="111" t="n">
        <v>-1033.41</v>
      </c>
      <c r="G101" s="111" t="n">
        <v>-3499</v>
      </c>
      <c r="H101" s="111" t="n">
        <v>-1033.41</v>
      </c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</row>
    <row r="102" customFormat="false" ht="15" hidden="false" customHeight="true" outlineLevel="0" collapsed="false">
      <c r="A102" s="114" t="s">
        <v>125</v>
      </c>
      <c r="C102" s="111" t="n">
        <v>-1905.31</v>
      </c>
      <c r="D102" s="111" t="n">
        <v>-1905.31</v>
      </c>
      <c r="E102" s="111" t="n">
        <v>-1905.31</v>
      </c>
      <c r="F102" s="111" t="n">
        <v>-1905.31</v>
      </c>
      <c r="G102" s="111" t="n">
        <v>-1905.31</v>
      </c>
      <c r="H102" s="111" t="n">
        <v>-1905.31</v>
      </c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</row>
    <row r="103" customFormat="false" ht="15" hidden="false" customHeight="true" outlineLevel="0" collapsed="false">
      <c r="A103" s="114" t="s">
        <v>126</v>
      </c>
      <c r="C103" s="111" t="n">
        <v>-2100</v>
      </c>
      <c r="D103" s="111" t="n">
        <v>-2100</v>
      </c>
      <c r="E103" s="111" t="n">
        <v>-2100</v>
      </c>
      <c r="F103" s="111" t="n">
        <v>-2100</v>
      </c>
      <c r="G103" s="111" t="n">
        <v>-2100</v>
      </c>
      <c r="H103" s="111" t="n">
        <v>-2100</v>
      </c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</row>
    <row r="104" customFormat="false" ht="15" hidden="false" customHeight="true" outlineLevel="0" collapsed="false">
      <c r="A104" s="114" t="s">
        <v>80</v>
      </c>
      <c r="C104" s="111" t="n">
        <v>-66666.66</v>
      </c>
      <c r="D104" s="111" t="n">
        <v>-66666.66</v>
      </c>
      <c r="E104" s="111" t="n">
        <v>-66666.66</v>
      </c>
      <c r="F104" s="111" t="n">
        <v>-66666.66</v>
      </c>
      <c r="G104" s="111" t="n">
        <v>-66666.66</v>
      </c>
      <c r="H104" s="111" t="n">
        <v>-66666.66</v>
      </c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</row>
    <row r="105" customFormat="false" ht="15" hidden="false" customHeight="true" outlineLevel="0" collapsed="false">
      <c r="A105" s="105" t="s">
        <v>88</v>
      </c>
      <c r="C105" s="106" t="n">
        <v>-6935.84</v>
      </c>
      <c r="D105" s="106" t="n">
        <v>-2799.88</v>
      </c>
      <c r="E105" s="106" t="n">
        <v>-12899.88</v>
      </c>
      <c r="F105" s="106" t="n">
        <v>-2932.88</v>
      </c>
      <c r="G105" s="106" t="n">
        <v>-5474.88</v>
      </c>
      <c r="H105" s="106" t="n">
        <v>-5</v>
      </c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</row>
    <row r="106" customFormat="false" ht="15" hidden="false" customHeight="true" outlineLevel="0" collapsed="false">
      <c r="A106" s="105" t="s">
        <v>89</v>
      </c>
      <c r="C106" s="106" t="n">
        <v>-658.14</v>
      </c>
      <c r="D106" s="106" t="n">
        <v>-310</v>
      </c>
      <c r="E106" s="106" t="n">
        <v>-371.74</v>
      </c>
      <c r="F106" s="106" t="n">
        <v>-857.33</v>
      </c>
      <c r="G106" s="106" t="n">
        <v>-305</v>
      </c>
      <c r="H106" s="106" t="n">
        <v>-352.5</v>
      </c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</row>
    <row r="107" customFormat="false" ht="15" hidden="false" customHeight="true" outlineLevel="0" collapsed="false">
      <c r="A107" s="105" t="s">
        <v>127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</row>
    <row r="108" customFormat="false" ht="15" hidden="false" customHeight="true" outlineLevel="0" collapsed="false">
      <c r="A108" s="105" t="s">
        <v>128</v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</row>
    <row r="109" customFormat="false" ht="15" hidden="false" customHeight="true" outlineLevel="0" collapsed="false">
      <c r="A109" s="105" t="s">
        <v>129</v>
      </c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</row>
    <row r="110" customFormat="false" ht="15" hidden="false" customHeight="true" outlineLevel="0" collapsed="false">
      <c r="A110" s="105" t="s">
        <v>130</v>
      </c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</row>
    <row r="111" customFormat="false" ht="15" hidden="false" customHeight="true" outlineLevel="0" collapsed="false">
      <c r="A111" s="105" t="s">
        <v>131</v>
      </c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</row>
    <row r="112" customFormat="false" ht="15" hidden="false" customHeight="true" outlineLevel="0" collapsed="false">
      <c r="A112" s="108" t="s">
        <v>132</v>
      </c>
      <c r="C112" s="115" t="n">
        <f aca="false">SUM(C82:C110)</f>
        <v>-198827.72</v>
      </c>
      <c r="D112" s="115" t="n">
        <f aca="false">SUM(D82:D110)</f>
        <v>-192502</v>
      </c>
      <c r="E112" s="115" t="n">
        <f aca="false">SUM(E82:E110)</f>
        <v>-255024.1</v>
      </c>
      <c r="F112" s="115" t="n">
        <f aca="false">SUM(F82:F110)</f>
        <v>-195904.72</v>
      </c>
      <c r="G112" s="115" t="n">
        <f aca="false">SUM(G82:G110)</f>
        <v>-250029.52</v>
      </c>
      <c r="H112" s="115" t="n">
        <f aca="false">SUM(H82:H110)</f>
        <v>-201582.47</v>
      </c>
      <c r="I112" s="115" t="n">
        <f aca="false">SUM(I82:I110)</f>
        <v>0</v>
      </c>
      <c r="J112" s="115" t="n">
        <f aca="false">SUM(J82:J110)</f>
        <v>0</v>
      </c>
      <c r="K112" s="115" t="n">
        <f aca="false">SUM(K82:K110)</f>
        <v>0</v>
      </c>
      <c r="L112" s="115" t="n">
        <f aca="false">SUM(L82:L110)</f>
        <v>0</v>
      </c>
      <c r="M112" s="115" t="n">
        <f aca="false">SUM(M82:M110)</f>
        <v>0</v>
      </c>
      <c r="N112" s="115" t="n">
        <f aca="false">SUM(N82:N110)</f>
        <v>0</v>
      </c>
      <c r="O112" s="115" t="n">
        <f aca="false">SUM(O82:O110)</f>
        <v>0</v>
      </c>
      <c r="P112" s="115" t="n">
        <f aca="false">SUM(P82:P110)</f>
        <v>0</v>
      </c>
      <c r="Q112" s="115" t="n">
        <f aca="false">SUM(Q82:Q110)</f>
        <v>0</v>
      </c>
      <c r="R112" s="115" t="n">
        <f aca="false">SUM(R82:R110)</f>
        <v>0</v>
      </c>
      <c r="S112" s="115" t="n">
        <f aca="false">SUM(S82:S110)</f>
        <v>0</v>
      </c>
      <c r="T112" s="115" t="n">
        <f aca="false">SUM(T82:T110)</f>
        <v>0</v>
      </c>
      <c r="U112" s="115" t="n">
        <f aca="false">SUM(U82:U110)</f>
        <v>0</v>
      </c>
      <c r="V112" s="115" t="n">
        <f aca="false">SUM(V82:V110)</f>
        <v>0</v>
      </c>
      <c r="W112" s="115" t="n">
        <f aca="false">SUM(W82:W110)</f>
        <v>0</v>
      </c>
      <c r="X112" s="115" t="n">
        <f aca="false">SUM(X82:X110)</f>
        <v>0</v>
      </c>
      <c r="Y112" s="115" t="n">
        <f aca="false">SUM(Y82:Y110)</f>
        <v>0</v>
      </c>
      <c r="Z112" s="115" t="n">
        <f aca="false">SUM(Z82:Z110)</f>
        <v>0</v>
      </c>
      <c r="AA112" s="115" t="n">
        <f aca="false">SUM(AA82:AA110)</f>
        <v>0</v>
      </c>
      <c r="AB112" s="115" t="n">
        <f aca="false">SUM(AB82:AB110)</f>
        <v>0</v>
      </c>
      <c r="AC112" s="115" t="n">
        <f aca="false">SUM(AC82:AC110)</f>
        <v>0</v>
      </c>
      <c r="AD112" s="115" t="n">
        <f aca="false">SUM(AD82:AD110)</f>
        <v>0</v>
      </c>
      <c r="AE112" s="115" t="n">
        <f aca="false">SUM(AE82:AE110)</f>
        <v>0</v>
      </c>
      <c r="AF112" s="115" t="n">
        <f aca="false">SUM(AF82:AF110)</f>
        <v>0</v>
      </c>
      <c r="AG112" s="115" t="n">
        <f aca="false">SUM(AG82:AG110)</f>
        <v>0</v>
      </c>
      <c r="AH112" s="115" t="n">
        <f aca="false">SUM(AH82:AH110)</f>
        <v>0</v>
      </c>
      <c r="AI112" s="115" t="n">
        <f aca="false">SUM(AI82:AI110)</f>
        <v>0</v>
      </c>
      <c r="AJ112" s="115" t="n">
        <f aca="false">SUM(AJ82:AJ110)</f>
        <v>0</v>
      </c>
      <c r="AK112" s="115" t="n">
        <f aca="false">SUM(AK82:AK110)</f>
        <v>0</v>
      </c>
      <c r="AL112" s="115" t="n">
        <f aca="false">SUM(AL82:AL110)</f>
        <v>0</v>
      </c>
      <c r="AM112" s="115" t="n">
        <f aca="false">SUM(AM82:AM110)</f>
        <v>0</v>
      </c>
      <c r="AN112" s="115" t="n">
        <f aca="false">SUM(AN82:AN110)</f>
        <v>0</v>
      </c>
      <c r="AO112" s="115" t="n">
        <f aca="false">SUM(AO82:AO110)</f>
        <v>0</v>
      </c>
      <c r="AP112" s="115" t="n">
        <f aca="false">SUM(AP82:AP110)</f>
        <v>0</v>
      </c>
      <c r="AQ112" s="115" t="n">
        <f aca="false">SUM(AQ82:AQ110)</f>
        <v>0</v>
      </c>
      <c r="AR112" s="115" t="n">
        <f aca="false">SUM(AR82:AR110)</f>
        <v>0</v>
      </c>
      <c r="AS112" s="115" t="n">
        <f aca="false">SUM(AS82:AS110)</f>
        <v>0</v>
      </c>
      <c r="AT112" s="115" t="n">
        <f aca="false">SUM(AT82:AT110)</f>
        <v>0</v>
      </c>
      <c r="AU112" s="115" t="n">
        <f aca="false">SUM(AU82:AU110)</f>
        <v>0</v>
      </c>
      <c r="AV112" s="115" t="n">
        <f aca="false">SUM(AV82:AV110)</f>
        <v>0</v>
      </c>
      <c r="AW112" s="115" t="n">
        <f aca="false">SUM(AW82:AW110)</f>
        <v>0</v>
      </c>
      <c r="AX112" s="115" t="n">
        <f aca="false">SUM(AX82:AX110)</f>
        <v>0</v>
      </c>
      <c r="AY112" s="115" t="n">
        <f aca="false">SUM(AY82:AY110)</f>
        <v>0</v>
      </c>
      <c r="AZ112" s="115" t="n">
        <f aca="false">SUM(AZ82:AZ110)</f>
        <v>0</v>
      </c>
      <c r="BA112" s="115" t="n">
        <f aca="false">SUM(BA82:BA110)</f>
        <v>0</v>
      </c>
      <c r="BB112" s="115" t="n">
        <f aca="false">SUM(BB82:BB110)</f>
        <v>0</v>
      </c>
      <c r="BC112" s="115" t="n">
        <f aca="false">SUM(BC82:BC110)</f>
        <v>0</v>
      </c>
      <c r="BD112" s="115" t="n">
        <f aca="false">SUM(BD82:BD110)</f>
        <v>0</v>
      </c>
      <c r="BE112" s="115" t="n">
        <f aca="false">SUM(BE82:BE110)</f>
        <v>0</v>
      </c>
      <c r="BF112" s="115" t="n">
        <f aca="false">SUM(BF82:BF110)</f>
        <v>0</v>
      </c>
      <c r="BG112" s="115" t="n">
        <f aca="false">SUM(BG82:BG110)</f>
        <v>0</v>
      </c>
      <c r="BH112" s="115" t="n">
        <f aca="false">SUM(BH82:BH110)</f>
        <v>0</v>
      </c>
      <c r="BI112" s="115" t="n">
        <f aca="false">SUM(BI82:BI110)</f>
        <v>0</v>
      </c>
      <c r="BJ112" s="115" t="n">
        <f aca="false">SUM(BJ82:BJ110)</f>
        <v>0</v>
      </c>
      <c r="BK112" s="115" t="n">
        <f aca="false">SUM(BK82:BK110)</f>
        <v>0</v>
      </c>
      <c r="BL112" s="115" t="n">
        <f aca="false">SUM(BL82:BL110)</f>
        <v>0</v>
      </c>
      <c r="BM112" s="115" t="n">
        <f aca="false">SUM(BM82:BM110)</f>
        <v>0</v>
      </c>
      <c r="BN112" s="115" t="n">
        <f aca="false">SUM(BN82:BN110)</f>
        <v>0</v>
      </c>
      <c r="BO112" s="115" t="n">
        <f aca="false">SUM(BO82:BO110)</f>
        <v>0</v>
      </c>
      <c r="BP112" s="115" t="n">
        <f aca="false">SUM(BP82:BP110)</f>
        <v>0</v>
      </c>
      <c r="BQ112" s="115" t="n">
        <f aca="false">SUM(BQ82:BQ110)</f>
        <v>0</v>
      </c>
      <c r="BR112" s="115" t="n">
        <f aca="false">SUM(BR82:BR110)</f>
        <v>0</v>
      </c>
      <c r="BS112" s="115" t="n">
        <f aca="false">SUM(BS82:BS110)</f>
        <v>0</v>
      </c>
      <c r="BT112" s="115" t="n">
        <f aca="false">SUM(BT82:BT110)</f>
        <v>0</v>
      </c>
      <c r="BU112" s="115" t="n">
        <f aca="false">SUM(BU82:BU110)</f>
        <v>0</v>
      </c>
      <c r="BV112" s="115" t="n">
        <f aca="false">SUM(BV82:BV110)</f>
        <v>0</v>
      </c>
      <c r="BW112" s="115" t="n">
        <f aca="false">SUM(BW82:BW110)</f>
        <v>0</v>
      </c>
      <c r="BX112" s="115" t="n">
        <f aca="false">SUM(BX82:BX110)</f>
        <v>0</v>
      </c>
      <c r="BY112" s="115" t="n">
        <f aca="false">SUM(BY82:BY110)</f>
        <v>0</v>
      </c>
      <c r="BZ112" s="115" t="n">
        <f aca="false">SUM(BZ82:BZ110)</f>
        <v>0</v>
      </c>
      <c r="CA112" s="115" t="n">
        <f aca="false">SUM(CA82:CA110)</f>
        <v>0</v>
      </c>
      <c r="CB112" s="115" t="n">
        <f aca="false">SUM(CB82:CB110)</f>
        <v>0</v>
      </c>
      <c r="CC112" s="115" t="n">
        <f aca="false">SUM(CC82:CC110)</f>
        <v>0</v>
      </c>
      <c r="CD112" s="115" t="n">
        <f aca="false">SUM(CD82:CD110)</f>
        <v>0</v>
      </c>
      <c r="CE112" s="115" t="n">
        <f aca="false">SUM(CE82:CE110)</f>
        <v>0</v>
      </c>
      <c r="CF112" s="115" t="n">
        <f aca="false">SUM(CF82:CF110)</f>
        <v>0</v>
      </c>
      <c r="CG112" s="115" t="n">
        <f aca="false">SUM(CG82:CG110)</f>
        <v>0</v>
      </c>
      <c r="CH112" s="115" t="n">
        <f aca="false">SUM(CH82:CH110)</f>
        <v>0</v>
      </c>
      <c r="CI112" s="115" t="n">
        <f aca="false">SUM(CI82:CI110)</f>
        <v>0</v>
      </c>
      <c r="CJ112" s="115" t="n">
        <f aca="false">SUM(CJ82:CJ110)</f>
        <v>0</v>
      </c>
      <c r="CK112" s="115" t="n">
        <f aca="false">SUM(CK82:CK110)</f>
        <v>0</v>
      </c>
      <c r="CL112" s="115" t="n">
        <f aca="false">SUM(CL82:CL110)</f>
        <v>0</v>
      </c>
      <c r="CM112" s="115" t="n">
        <f aca="false">SUM(CM82:CM110)</f>
        <v>0</v>
      </c>
      <c r="CN112" s="115" t="n">
        <f aca="false">SUM(CN82:CN110)</f>
        <v>0</v>
      </c>
      <c r="CO112" s="115" t="n">
        <f aca="false">SUM(CO82:CO110)</f>
        <v>0</v>
      </c>
      <c r="CP112" s="115" t="n">
        <f aca="false">SUM(CP82:CP110)</f>
        <v>0</v>
      </c>
      <c r="CQ112" s="115" t="n">
        <f aca="false">SUM(CQ82:CQ110)</f>
        <v>0</v>
      </c>
      <c r="CR112" s="115" t="n">
        <f aca="false">SUM(CR82:CR110)</f>
        <v>0</v>
      </c>
      <c r="CS112" s="115" t="n">
        <f aca="false">SUM(CS82:CS110)</f>
        <v>0</v>
      </c>
      <c r="CT112" s="115" t="n">
        <f aca="false">SUM(CT82:CT110)</f>
        <v>0</v>
      </c>
    </row>
    <row r="113" customFormat="false" ht="15" hidden="false" customHeight="true" outlineLevel="0" collapsed="false">
      <c r="A113" s="76" t="s">
        <v>275</v>
      </c>
      <c r="C113" s="117"/>
      <c r="D113" s="117"/>
      <c r="E113" s="117"/>
      <c r="F113" s="117"/>
      <c r="G113" s="117"/>
      <c r="H113" s="117" t="n">
        <v>53641.68</v>
      </c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D113" s="117"/>
      <c r="CE113" s="117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  <c r="CQ113" s="117"/>
      <c r="CR113" s="117"/>
      <c r="CS113" s="117"/>
      <c r="CT113" s="117"/>
    </row>
    <row r="114" customFormat="false" ht="15" hidden="false" customHeight="true" outlineLevel="0" collapsed="false">
      <c r="A114" s="76" t="s">
        <v>133</v>
      </c>
      <c r="C114" s="116" t="n">
        <f aca="false">C81+C112+C113</f>
        <v>-164713.14</v>
      </c>
      <c r="D114" s="116" t="n">
        <f aca="false">D81+D112+D113</f>
        <v>-158387.42</v>
      </c>
      <c r="E114" s="116" t="n">
        <f aca="false">E81+E112+E113</f>
        <v>-220909.52</v>
      </c>
      <c r="F114" s="116" t="n">
        <f aca="false">F81+F112+F113</f>
        <v>-161790.14</v>
      </c>
      <c r="G114" s="116" t="n">
        <f aca="false">G81+G112+G113</f>
        <v>-215914.94</v>
      </c>
      <c r="H114" s="116" t="n">
        <f aca="false">H81+H112+H113</f>
        <v>185173.79</v>
      </c>
      <c r="I114" s="116" t="n">
        <f aca="false">I81+I112+I113</f>
        <v>0</v>
      </c>
      <c r="J114" s="116" t="n">
        <f aca="false">J81+J112+J113</f>
        <v>0</v>
      </c>
      <c r="K114" s="116" t="n">
        <f aca="false">K81+K112+K113</f>
        <v>0</v>
      </c>
      <c r="L114" s="116" t="n">
        <f aca="false">L81+L112+L113</f>
        <v>0</v>
      </c>
      <c r="M114" s="116" t="n">
        <f aca="false">M81+M112+M113</f>
        <v>0</v>
      </c>
      <c r="N114" s="116" t="n">
        <f aca="false">N81+N112+N113</f>
        <v>0</v>
      </c>
      <c r="O114" s="116" t="n">
        <f aca="false">O81+O112+O113</f>
        <v>0</v>
      </c>
      <c r="P114" s="116" t="n">
        <f aca="false">P81+P112+P113</f>
        <v>0</v>
      </c>
      <c r="Q114" s="116" t="n">
        <f aca="false">Q81+Q112+Q113</f>
        <v>0</v>
      </c>
      <c r="R114" s="116" t="n">
        <f aca="false">R81+R112+R113</f>
        <v>0</v>
      </c>
      <c r="S114" s="116" t="n">
        <f aca="false">S81+S112+S113</f>
        <v>0</v>
      </c>
      <c r="T114" s="116" t="n">
        <f aca="false">T81+T112+T113</f>
        <v>0</v>
      </c>
      <c r="U114" s="116" t="n">
        <f aca="false">U81+U112+U113</f>
        <v>0</v>
      </c>
      <c r="V114" s="116" t="n">
        <f aca="false">V81+V112+V113</f>
        <v>0</v>
      </c>
      <c r="W114" s="116" t="n">
        <f aca="false">W81+W112+W113</f>
        <v>0</v>
      </c>
      <c r="X114" s="116" t="n">
        <f aca="false">X81+X112+X113</f>
        <v>0</v>
      </c>
      <c r="Y114" s="116" t="n">
        <f aca="false">Y81+Y112+Y113</f>
        <v>0</v>
      </c>
      <c r="Z114" s="116" t="n">
        <f aca="false">Z81+Z112+Z113</f>
        <v>0</v>
      </c>
      <c r="AA114" s="116" t="n">
        <f aca="false">AA81+AA112+AA113</f>
        <v>0</v>
      </c>
      <c r="AB114" s="116" t="n">
        <f aca="false">AB81+AB112+AB113</f>
        <v>0</v>
      </c>
      <c r="AC114" s="116" t="n">
        <f aca="false">AC81+AC112+AC113</f>
        <v>0</v>
      </c>
      <c r="AD114" s="116" t="n">
        <f aca="false">AD81+AD112+AD113</f>
        <v>0</v>
      </c>
      <c r="AE114" s="116" t="n">
        <f aca="false">AE81+AE112+AE113</f>
        <v>0</v>
      </c>
      <c r="AF114" s="116" t="n">
        <f aca="false">AF81+AF112+AF113</f>
        <v>0</v>
      </c>
      <c r="AG114" s="116" t="n">
        <f aca="false">AG81+AG112+AG113</f>
        <v>0</v>
      </c>
      <c r="AH114" s="116" t="n">
        <f aca="false">AH81+AH112+AH113</f>
        <v>0</v>
      </c>
      <c r="AI114" s="116" t="n">
        <f aca="false">AI81+AI112+AI113</f>
        <v>0</v>
      </c>
      <c r="AJ114" s="116" t="n">
        <f aca="false">AJ81+AJ112+AJ113</f>
        <v>0</v>
      </c>
      <c r="AK114" s="116" t="n">
        <f aca="false">AK81+AK112+AK113</f>
        <v>0</v>
      </c>
      <c r="AL114" s="116" t="n">
        <f aca="false">AL81+AL112+AL113</f>
        <v>0</v>
      </c>
      <c r="AM114" s="116" t="n">
        <f aca="false">AM81+AM112+AM113</f>
        <v>0</v>
      </c>
      <c r="AN114" s="116" t="n">
        <f aca="false">AN81+AN112+AN113</f>
        <v>0</v>
      </c>
      <c r="AO114" s="116" t="n">
        <f aca="false">AO81+AO112+AO113</f>
        <v>0</v>
      </c>
      <c r="AP114" s="116" t="n">
        <f aca="false">AP81+AP112+AP113</f>
        <v>0</v>
      </c>
      <c r="AQ114" s="116" t="n">
        <f aca="false">AQ81+AQ112+AQ113</f>
        <v>0</v>
      </c>
      <c r="AR114" s="116" t="n">
        <f aca="false">AR81+AR112+AR113</f>
        <v>0</v>
      </c>
      <c r="AS114" s="116" t="n">
        <f aca="false">AS81+AS112+AS113</f>
        <v>0</v>
      </c>
      <c r="AT114" s="116" t="n">
        <f aca="false">AT81+AT112+AT113</f>
        <v>0</v>
      </c>
      <c r="AU114" s="116" t="n">
        <f aca="false">AU81+AU112+AU113</f>
        <v>0</v>
      </c>
      <c r="AV114" s="116" t="n">
        <f aca="false">AV81+AV112+AV113</f>
        <v>0</v>
      </c>
      <c r="AW114" s="116" t="n">
        <f aca="false">AW81+AW112+AW113</f>
        <v>0</v>
      </c>
      <c r="AX114" s="116" t="n">
        <f aca="false">AX81+AX112+AX113</f>
        <v>0</v>
      </c>
      <c r="AY114" s="116" t="n">
        <f aca="false">AY81+AY112+AY113</f>
        <v>0</v>
      </c>
      <c r="AZ114" s="116" t="n">
        <f aca="false">AZ81+AZ112+AZ113</f>
        <v>0</v>
      </c>
      <c r="BA114" s="116" t="n">
        <f aca="false">BA81+BA112+BA113</f>
        <v>0</v>
      </c>
      <c r="BB114" s="116" t="n">
        <f aca="false">BB81+BB112+BB113</f>
        <v>0</v>
      </c>
      <c r="BC114" s="116" t="n">
        <f aca="false">BC81+BC112+BC113</f>
        <v>0</v>
      </c>
      <c r="BD114" s="116" t="n">
        <f aca="false">BD81+BD112+BD113</f>
        <v>0</v>
      </c>
      <c r="BE114" s="116" t="n">
        <f aca="false">BE81+BE112+BE113</f>
        <v>0</v>
      </c>
      <c r="BF114" s="116" t="n">
        <f aca="false">BF81+BF112+BF113</f>
        <v>0</v>
      </c>
      <c r="BG114" s="116" t="n">
        <f aca="false">BG81+BG112+BG113</f>
        <v>0</v>
      </c>
      <c r="BH114" s="116" t="n">
        <f aca="false">BH81+BH112+BH113</f>
        <v>0</v>
      </c>
      <c r="BI114" s="116" t="n">
        <f aca="false">BI81+BI112+BI113</f>
        <v>0</v>
      </c>
      <c r="BJ114" s="116" t="n">
        <f aca="false">BJ81+BJ112+BJ113</f>
        <v>0</v>
      </c>
      <c r="BK114" s="116" t="n">
        <f aca="false">BK81+BK112+BK113</f>
        <v>0</v>
      </c>
      <c r="BL114" s="116" t="n">
        <f aca="false">BL81+BL112+BL113</f>
        <v>0</v>
      </c>
      <c r="BM114" s="116" t="n">
        <f aca="false">BM81+BM112+BM113</f>
        <v>0</v>
      </c>
      <c r="BN114" s="116" t="n">
        <f aca="false">BN81+BN112+BN113</f>
        <v>0</v>
      </c>
      <c r="BO114" s="116" t="n">
        <f aca="false">BO81+BO112+BO113</f>
        <v>0</v>
      </c>
      <c r="BP114" s="116" t="n">
        <f aca="false">BP81+BP112+BP113</f>
        <v>0</v>
      </c>
      <c r="BQ114" s="116" t="n">
        <f aca="false">BQ81+BQ112+BQ113</f>
        <v>0</v>
      </c>
      <c r="BR114" s="116" t="n">
        <f aca="false">BR81+BR112+BR113</f>
        <v>0</v>
      </c>
      <c r="BS114" s="116" t="n">
        <f aca="false">BS81+BS112+BS113</f>
        <v>0</v>
      </c>
      <c r="BT114" s="116" t="n">
        <f aca="false">BT81+BT112+BT113</f>
        <v>0</v>
      </c>
      <c r="BU114" s="116" t="n">
        <f aca="false">BU81+BU112+BU113</f>
        <v>0</v>
      </c>
      <c r="BV114" s="116" t="n">
        <f aca="false">BV81+BV112+BV113</f>
        <v>0</v>
      </c>
      <c r="BW114" s="116" t="n">
        <f aca="false">BW81+BW112+BW113</f>
        <v>0</v>
      </c>
      <c r="BX114" s="116" t="n">
        <f aca="false">BX81+BX112+BX113</f>
        <v>0</v>
      </c>
      <c r="BY114" s="116" t="n">
        <f aca="false">BY81+BY112+BY113</f>
        <v>0</v>
      </c>
      <c r="BZ114" s="116" t="n">
        <f aca="false">BZ81+BZ112+BZ113</f>
        <v>0</v>
      </c>
      <c r="CA114" s="116" t="n">
        <f aca="false">CA81+CA112+CA113</f>
        <v>0</v>
      </c>
      <c r="CB114" s="116" t="n">
        <f aca="false">CB81+CB112+CB113</f>
        <v>0</v>
      </c>
      <c r="CC114" s="116" t="n">
        <f aca="false">CC81+CC112+CC113</f>
        <v>0</v>
      </c>
      <c r="CD114" s="116" t="n">
        <f aca="false">CD81+CD112+CD113</f>
        <v>0</v>
      </c>
      <c r="CE114" s="116" t="n">
        <f aca="false">CE81+CE112+CE113</f>
        <v>0</v>
      </c>
      <c r="CF114" s="116" t="n">
        <f aca="false">CF81+CF112+CF113</f>
        <v>0</v>
      </c>
      <c r="CG114" s="116" t="n">
        <f aca="false">CG81+CG112+CG113</f>
        <v>0</v>
      </c>
      <c r="CH114" s="116" t="n">
        <f aca="false">CH81+CH112+CH113</f>
        <v>0</v>
      </c>
      <c r="CI114" s="116" t="n">
        <f aca="false">CI81+CI112+CI113</f>
        <v>0</v>
      </c>
      <c r="CJ114" s="116" t="n">
        <f aca="false">CJ81+CJ112+CJ113</f>
        <v>0</v>
      </c>
      <c r="CK114" s="116" t="n">
        <f aca="false">CK81+CK112+CK113</f>
        <v>0</v>
      </c>
      <c r="CL114" s="116" t="n">
        <f aca="false">CL81+CL112+CL113</f>
        <v>0</v>
      </c>
      <c r="CM114" s="116" t="n">
        <f aca="false">CM81+CM112+CM113</f>
        <v>0</v>
      </c>
      <c r="CN114" s="116" t="n">
        <f aca="false">CN81+CN112+CN113</f>
        <v>0</v>
      </c>
      <c r="CO114" s="116" t="n">
        <f aca="false">CO81+CO112+CO113</f>
        <v>0</v>
      </c>
      <c r="CP114" s="116" t="n">
        <f aca="false">CP81+CP112+CP113</f>
        <v>0</v>
      </c>
      <c r="CQ114" s="116" t="n">
        <f aca="false">CQ81+CQ112+CQ113</f>
        <v>0</v>
      </c>
      <c r="CR114" s="116" t="n">
        <f aca="false">CR81+CR112+CR113</f>
        <v>0</v>
      </c>
      <c r="CS114" s="116" t="n">
        <f aca="false">CS81+CS112+CS113</f>
        <v>0</v>
      </c>
      <c r="CT114" s="116" t="n">
        <f aca="false">CT81+CT112+CT113</f>
        <v>0</v>
      </c>
    </row>
    <row r="115" customFormat="false" ht="15" hidden="false" customHeight="true" outlineLevel="0" collapsed="false"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01" t="s">
        <v>276</v>
      </c>
    </row>
    <row r="2" customFormat="false" ht="15" hidden="false" customHeight="true" outlineLevel="0" collapsed="false">
      <c r="A2" s="102" t="s">
        <v>277</v>
      </c>
    </row>
    <row r="4" customFormat="false" ht="15" hidden="false" customHeight="true" outlineLevel="0" collapsed="false">
      <c r="B4" s="118" t="s">
        <v>278</v>
      </c>
      <c r="C4" s="118"/>
      <c r="D4" s="118"/>
      <c r="E4" s="118"/>
      <c r="F4" s="118" t="s">
        <v>279</v>
      </c>
      <c r="G4" s="118"/>
      <c r="H4" s="118"/>
      <c r="I4" s="118"/>
      <c r="J4" s="118" t="s">
        <v>280</v>
      </c>
      <c r="K4" s="118"/>
      <c r="L4" s="118"/>
      <c r="M4" s="118"/>
      <c r="N4" s="118" t="s">
        <v>281</v>
      </c>
      <c r="O4" s="118"/>
      <c r="P4" s="118"/>
      <c r="Q4" s="118"/>
      <c r="R4" s="118" t="s">
        <v>282</v>
      </c>
      <c r="S4" s="118"/>
      <c r="T4" s="118"/>
      <c r="U4" s="118"/>
      <c r="V4" s="118" t="s">
        <v>283</v>
      </c>
      <c r="W4" s="118"/>
      <c r="X4" s="118"/>
      <c r="Y4" s="118"/>
      <c r="Z4" s="118" t="s">
        <v>284</v>
      </c>
      <c r="AA4" s="118"/>
      <c r="AB4" s="118"/>
      <c r="AC4" s="118"/>
      <c r="AD4" s="118" t="s">
        <v>285</v>
      </c>
      <c r="AE4" s="118"/>
      <c r="AF4" s="118"/>
      <c r="AG4" s="118"/>
      <c r="AH4" s="118" t="s">
        <v>286</v>
      </c>
      <c r="AI4" s="118"/>
      <c r="AJ4" s="118"/>
      <c r="AK4" s="118"/>
      <c r="AL4" s="118" t="s">
        <v>287</v>
      </c>
      <c r="AM4" s="118"/>
      <c r="AN4" s="118"/>
      <c r="AO4" s="118"/>
      <c r="AP4" s="118" t="s">
        <v>288</v>
      </c>
      <c r="AQ4" s="118"/>
      <c r="AR4" s="118"/>
      <c r="AS4" s="118"/>
      <c r="AT4" s="118" t="s">
        <v>289</v>
      </c>
      <c r="AU4" s="118"/>
      <c r="AV4" s="118"/>
      <c r="AW4" s="118"/>
      <c r="AX4" s="119" t="s">
        <v>290</v>
      </c>
      <c r="AY4" s="119"/>
      <c r="AZ4" s="119"/>
    </row>
    <row r="5" customFormat="false" ht="15" hidden="false" customHeight="true" outlineLevel="0" collapsed="false">
      <c r="A5" s="120" t="s">
        <v>291</v>
      </c>
      <c r="B5" s="120" t="s">
        <v>292</v>
      </c>
      <c r="C5" s="120" t="s">
        <v>293</v>
      </c>
      <c r="D5" s="120" t="s">
        <v>294</v>
      </c>
      <c r="E5" s="120" t="s">
        <v>295</v>
      </c>
      <c r="F5" s="120" t="s">
        <v>292</v>
      </c>
      <c r="G5" s="120" t="s">
        <v>293</v>
      </c>
      <c r="H5" s="120" t="s">
        <v>294</v>
      </c>
      <c r="I5" s="120" t="s">
        <v>295</v>
      </c>
      <c r="J5" s="120" t="s">
        <v>292</v>
      </c>
      <c r="K5" s="120" t="s">
        <v>293</v>
      </c>
      <c r="L5" s="120" t="s">
        <v>294</v>
      </c>
      <c r="M5" s="120" t="s">
        <v>295</v>
      </c>
      <c r="N5" s="120" t="s">
        <v>292</v>
      </c>
      <c r="O5" s="120" t="s">
        <v>293</v>
      </c>
      <c r="P5" s="120" t="s">
        <v>294</v>
      </c>
      <c r="Q5" s="120" t="s">
        <v>295</v>
      </c>
      <c r="R5" s="120" t="s">
        <v>292</v>
      </c>
      <c r="S5" s="120" t="s">
        <v>293</v>
      </c>
      <c r="T5" s="120" t="s">
        <v>294</v>
      </c>
      <c r="U5" s="120" t="s">
        <v>295</v>
      </c>
      <c r="V5" s="120" t="s">
        <v>292</v>
      </c>
      <c r="W5" s="120" t="s">
        <v>293</v>
      </c>
      <c r="X5" s="120" t="s">
        <v>294</v>
      </c>
      <c r="Y5" s="120" t="s">
        <v>295</v>
      </c>
      <c r="Z5" s="120" t="s">
        <v>292</v>
      </c>
      <c r="AA5" s="120" t="s">
        <v>293</v>
      </c>
      <c r="AB5" s="120" t="s">
        <v>294</v>
      </c>
      <c r="AC5" s="120" t="s">
        <v>295</v>
      </c>
      <c r="AD5" s="120" t="s">
        <v>292</v>
      </c>
      <c r="AE5" s="120" t="s">
        <v>293</v>
      </c>
      <c r="AF5" s="120" t="s">
        <v>294</v>
      </c>
      <c r="AG5" s="120" t="s">
        <v>295</v>
      </c>
      <c r="AH5" s="120" t="s">
        <v>292</v>
      </c>
      <c r="AI5" s="120" t="s">
        <v>293</v>
      </c>
      <c r="AJ5" s="120" t="s">
        <v>294</v>
      </c>
      <c r="AK5" s="120" t="s">
        <v>295</v>
      </c>
      <c r="AL5" s="120" t="s">
        <v>292</v>
      </c>
      <c r="AM5" s="120" t="s">
        <v>293</v>
      </c>
      <c r="AN5" s="120" t="s">
        <v>294</v>
      </c>
      <c r="AO5" s="120" t="s">
        <v>295</v>
      </c>
      <c r="AP5" s="120" t="s">
        <v>292</v>
      </c>
      <c r="AQ5" s="120" t="s">
        <v>293</v>
      </c>
      <c r="AR5" s="120" t="s">
        <v>294</v>
      </c>
      <c r="AS5" s="120" t="s">
        <v>295</v>
      </c>
      <c r="AT5" s="120" t="s">
        <v>292</v>
      </c>
      <c r="AU5" s="120" t="s">
        <v>293</v>
      </c>
      <c r="AV5" s="120" t="s">
        <v>294</v>
      </c>
      <c r="AW5" s="120" t="s">
        <v>295</v>
      </c>
      <c r="AX5" s="121" t="s">
        <v>296</v>
      </c>
      <c r="AY5" s="121" t="s">
        <v>297</v>
      </c>
      <c r="AZ5" s="121" t="s">
        <v>298</v>
      </c>
    </row>
    <row r="6" customFormat="false" ht="15" hidden="false" customHeight="true" outlineLevel="0" collapsed="false">
      <c r="A6" s="122" t="s">
        <v>4</v>
      </c>
      <c r="B6" s="123" t="n">
        <f aca="false">'Original Budget'!C8</f>
        <v>116363.3</v>
      </c>
      <c r="C6" s="123" t="n">
        <f aca="false">IF(ISBLANK(Actuals!C8),"",Actuals!C8)</f>
        <v>116367.35</v>
      </c>
      <c r="D6" s="124" t="n">
        <f aca="false">IF(ISBLANK(Actuals!C8),"",'Original Budget'!C8-Actuals!C8)</f>
        <v>-4.05000000000291</v>
      </c>
      <c r="E6" s="124" t="n">
        <f aca="false">IFERROR(IF(ISBLANK(Actuals!C8),"",('Original Budget'!C8-Actuals!C8)/ABS('Original Budget'!C8)),"")</f>
        <v>-3.48047881076156E-005</v>
      </c>
      <c r="F6" s="123" t="n">
        <f aca="false">'Original Budget'!D8</f>
        <v>138801.52</v>
      </c>
      <c r="G6" s="123" t="n">
        <f aca="false">IF(ISBLANK(Actuals!D8),"",Actuals!D8)</f>
        <v>138804.22</v>
      </c>
      <c r="H6" s="124" t="n">
        <f aca="false">IF(ISBLANK(Actuals!D8),"",'Original Budget'!D8-Actuals!D8)</f>
        <v>-2.70000000001164</v>
      </c>
      <c r="I6" s="124" t="n">
        <f aca="false">IFERROR(IF(ISBLANK(Actuals!D8),"",('Original Budget'!D8-Actuals!D8)/ABS('Original Budget'!D8)),"")</f>
        <v>-1.94522365461966E-005</v>
      </c>
      <c r="J6" s="123" t="n">
        <f aca="false">'Original Budget'!E8</f>
        <v>219366.88</v>
      </c>
      <c r="K6" s="123" t="n">
        <f aca="false">IF(ISBLANK(Actuals!E8),"",Actuals!E8)</f>
        <v>219366.88</v>
      </c>
      <c r="L6" s="124" t="n">
        <f aca="false">IF(ISBLANK(Actuals!E8),"",'Original Budget'!E8-Actuals!E8)</f>
        <v>0</v>
      </c>
      <c r="M6" s="124" t="n">
        <f aca="false">IFERROR(IF(ISBLANK(Actuals!E8),"",('Original Budget'!E8-Actuals!E8)/ABS('Original Budget'!E8)),"")</f>
        <v>0</v>
      </c>
      <c r="N6" s="123" t="n">
        <f aca="false">'Original Budget'!F8</f>
        <v>267934.879957489</v>
      </c>
      <c r="O6" s="123" t="n">
        <f aca="false">IF(ISBLANK(Actuals!F8),"",Actuals!F8)</f>
        <v>212079.14</v>
      </c>
      <c r="P6" s="124" t="n">
        <f aca="false">IF(ISBLANK(Actuals!F8),"",'Original Budget'!F8-Actuals!F8)</f>
        <v>55855.739957489</v>
      </c>
      <c r="Q6" s="124" t="n">
        <f aca="false">IFERROR(IF(ISBLANK(Actuals!F8),"",('Original Budget'!F8-Actuals!F8)/ABS('Original Budget'!F8)),"")</f>
        <v>0.208467594687004</v>
      </c>
      <c r="R6" s="123" t="n">
        <f aca="false">'Original Budget'!G8</f>
        <v>267934.879957489</v>
      </c>
      <c r="S6" s="123" t="n">
        <f aca="false">IF(ISBLANK(Actuals!G8),"",Actuals!G8)</f>
        <v>267726.14</v>
      </c>
      <c r="T6" s="124" t="n">
        <f aca="false">IF(ISBLANK(Actuals!G8),"",'Original Budget'!G8-Actuals!G8)</f>
        <v>208.739957489015</v>
      </c>
      <c r="U6" s="124" t="n">
        <f aca="false">IFERROR(IF(ISBLANK(Actuals!G8),"",('Original Budget'!G8-Actuals!G8)/ABS('Original Budget'!G8)),"")</f>
        <v>0.000779069740834542</v>
      </c>
      <c r="V6" s="123" t="n">
        <f aca="false">'Original Budget'!H8</f>
        <v>267934.879957489</v>
      </c>
      <c r="W6" s="123" t="n">
        <f aca="false">IF(ISBLANK(Actuals!H8),"",Actuals!H8)</f>
        <v>374773.89</v>
      </c>
      <c r="X6" s="124" t="n">
        <f aca="false">IF(ISBLANK(Actuals!H8),"",'Original Budget'!H8-Actuals!H8)</f>
        <v>-106839.010042511</v>
      </c>
      <c r="Y6" s="124" t="n">
        <f aca="false">IFERROR(IF(ISBLANK(Actuals!H8),"",('Original Budget'!H8-Actuals!H8)/ABS('Original Budget'!H8)),"")</f>
        <v>-0.398749912887274</v>
      </c>
      <c r="Z6" s="123" t="n">
        <f aca="false">'Original Budget'!I8</f>
        <v>361542.001995889</v>
      </c>
      <c r="AA6" s="123" t="str">
        <f aca="false">IF(ISBLANK(Actuals!I8),"",Actuals!I8)</f>
        <v/>
      </c>
      <c r="AB6" s="124" t="str">
        <f aca="false">IF(ISBLANK(Actuals!I8),"",'Original Budget'!I8-Actuals!I8)</f>
        <v/>
      </c>
      <c r="AC6" s="124" t="str">
        <f aca="false">IFERROR(IF(ISBLANK(Actuals!I8),"",('Original Budget'!I8-Actuals!I8)/ABS('Original Budget'!I8)),"")</f>
        <v/>
      </c>
      <c r="AD6" s="123" t="n">
        <f aca="false">'Original Budget'!J8</f>
        <v>361542.001995889</v>
      </c>
      <c r="AE6" s="123" t="str">
        <f aca="false">IF(ISBLANK(Actuals!J8),"",Actuals!J8)</f>
        <v/>
      </c>
      <c r="AF6" s="124" t="str">
        <f aca="false">IF(ISBLANK(Actuals!J8),"",'Original Budget'!J8-Actuals!J8)</f>
        <v/>
      </c>
      <c r="AG6" s="124" t="str">
        <f aca="false">IFERROR(IF(ISBLANK(Actuals!J8),"",('Original Budget'!J8-Actuals!J8)/ABS('Original Budget'!J8)),"")</f>
        <v/>
      </c>
      <c r="AH6" s="123" t="n">
        <f aca="false">'Original Budget'!K8</f>
        <v>361542.001995889</v>
      </c>
      <c r="AI6" s="123" t="str">
        <f aca="false">IF(ISBLANK(Actuals!K8),"",Actuals!K8)</f>
        <v/>
      </c>
      <c r="AJ6" s="124" t="str">
        <f aca="false">IF(ISBLANK(Actuals!K8),"",'Original Budget'!K8-Actuals!K8)</f>
        <v/>
      </c>
      <c r="AK6" s="124" t="str">
        <f aca="false">IFERROR(IF(ISBLANK(Actuals!K8),"",('Original Budget'!K8-Actuals!K8)/ABS('Original Budget'!K8)),"")</f>
        <v/>
      </c>
      <c r="AL6" s="123" t="n">
        <f aca="false">'Original Budget'!L8</f>
        <v>442929.46088908</v>
      </c>
      <c r="AM6" s="123" t="str">
        <f aca="false">IF(ISBLANK(Actuals!L8),"",Actuals!L8)</f>
        <v/>
      </c>
      <c r="AN6" s="124" t="str">
        <f aca="false">IF(ISBLANK(Actuals!L8),"",'Original Budget'!L8-Actuals!L8)</f>
        <v/>
      </c>
      <c r="AO6" s="124" t="str">
        <f aca="false">IFERROR(IF(ISBLANK(Actuals!L8),"",('Original Budget'!L8-Actuals!L8)/ABS('Original Budget'!L8)),"")</f>
        <v/>
      </c>
      <c r="AP6" s="123" t="n">
        <f aca="false">'Original Budget'!M8</f>
        <v>525344.508604757</v>
      </c>
      <c r="AQ6" s="123" t="str">
        <f aca="false">IF(ISBLANK(Actuals!M8),"",Actuals!M8)</f>
        <v/>
      </c>
      <c r="AR6" s="124" t="str">
        <f aca="false">IF(ISBLANK(Actuals!M8),"",'Original Budget'!M8-Actuals!M8)</f>
        <v/>
      </c>
      <c r="AS6" s="124" t="str">
        <f aca="false">IFERROR(IF(ISBLANK(Actuals!M8),"",('Original Budget'!M8-Actuals!M8)/ABS('Original Budget'!M8)),"")</f>
        <v/>
      </c>
      <c r="AT6" s="123" t="n">
        <f aca="false">'Original Budget'!N8</f>
        <v>442616.790480539</v>
      </c>
      <c r="AU6" s="123" t="str">
        <f aca="false">IF(ISBLANK(Actuals!N8),"",Actuals!N8)</f>
        <v/>
      </c>
      <c r="AV6" s="124" t="str">
        <f aca="false">IF(ISBLANK(Actuals!N8),"",'Original Budget'!N8-Actuals!N8)</f>
        <v/>
      </c>
      <c r="AW6" s="124" t="str">
        <f aca="false">IFERROR(IF(ISBLANK(Actuals!N8),"",('Original Budget'!N8-Actuals!N8)/ABS('Original Budget'!N8)),"")</f>
        <v/>
      </c>
      <c r="AX6" s="125" t="n">
        <f aca="false">SUMPRODUCT((Actuals!C8:N8&lt;&gt;"")*('Original Budget'!C8:N8))</f>
        <v>1278336.33987247</v>
      </c>
      <c r="AY6" s="125" t="n">
        <f aca="false">SUM(Actuals!C8:N8)</f>
        <v>1329117.62</v>
      </c>
      <c r="AZ6" s="126" t="n">
        <f aca="false">AX6-AY6</f>
        <v>-50781.280127533</v>
      </c>
    </row>
    <row r="7" customFormat="false" ht="15" hidden="false" customHeight="true" outlineLevel="0" collapsed="false">
      <c r="A7" s="122" t="s">
        <v>271</v>
      </c>
      <c r="B7" s="123" t="n">
        <f aca="false">'Original Budget'!C9</f>
        <v>0</v>
      </c>
      <c r="C7" s="123" t="n">
        <f aca="false">IF(ISBLANK(Actuals!C9),"",Actuals!C9)</f>
        <v>0</v>
      </c>
      <c r="D7" s="124" t="n">
        <f aca="false">IF(ISBLANK(Actuals!C9),"",'Original Budget'!C9-Actuals!C9)</f>
        <v>0</v>
      </c>
      <c r="E7" s="124" t="str">
        <f aca="false">IFERROR(IF(ISBLANK(Actuals!C9),"",('Original Budget'!C9-Actuals!C9)/ABS('Original Budget'!C9)),"")</f>
        <v/>
      </c>
      <c r="F7" s="123" t="n">
        <f aca="false">'Original Budget'!D9</f>
        <v>0</v>
      </c>
      <c r="G7" s="123" t="n">
        <f aca="false">IF(ISBLANK(Actuals!D9),"",Actuals!D9)</f>
        <v>0</v>
      </c>
      <c r="H7" s="124" t="n">
        <f aca="false">IF(ISBLANK(Actuals!D9),"",'Original Budget'!D9-Actuals!D9)</f>
        <v>0</v>
      </c>
      <c r="I7" s="124" t="str">
        <f aca="false">IFERROR(IF(ISBLANK(Actuals!D9),"",('Original Budget'!D9-Actuals!D9)/ABS('Original Budget'!D9)),"")</f>
        <v/>
      </c>
      <c r="J7" s="123" t="n">
        <f aca="false">'Original Budget'!E9</f>
        <v>0</v>
      </c>
      <c r="K7" s="123" t="n">
        <f aca="false">IF(ISBLANK(Actuals!E9),"",Actuals!E9)</f>
        <v>0</v>
      </c>
      <c r="L7" s="124" t="n">
        <f aca="false">IF(ISBLANK(Actuals!E9),"",'Original Budget'!E9-Actuals!E9)</f>
        <v>0</v>
      </c>
      <c r="M7" s="124" t="str">
        <f aca="false">IFERROR(IF(ISBLANK(Actuals!E9),"",('Original Budget'!E9-Actuals!E9)/ABS('Original Budget'!E9)),"")</f>
        <v/>
      </c>
      <c r="N7" s="123" t="n">
        <f aca="false">'Original Budget'!F9</f>
        <v>0</v>
      </c>
      <c r="O7" s="123" t="n">
        <f aca="false">IF(ISBLANK(Actuals!F9),"",Actuals!F9)</f>
        <v>0</v>
      </c>
      <c r="P7" s="124" t="n">
        <f aca="false">IF(ISBLANK(Actuals!F9),"",'Original Budget'!F9-Actuals!F9)</f>
        <v>0</v>
      </c>
      <c r="Q7" s="124" t="str">
        <f aca="false">IFERROR(IF(ISBLANK(Actuals!F9),"",('Original Budget'!F9-Actuals!F9)/ABS('Original Budget'!F9)),"")</f>
        <v/>
      </c>
      <c r="R7" s="123" t="n">
        <f aca="false">'Original Budget'!G9</f>
        <v>0</v>
      </c>
      <c r="S7" s="123" t="n">
        <f aca="false">IF(ISBLANK(Actuals!G9),"",Actuals!G9)</f>
        <v>0</v>
      </c>
      <c r="T7" s="124" t="n">
        <f aca="false">IF(ISBLANK(Actuals!G9),"",'Original Budget'!G9-Actuals!G9)</f>
        <v>0</v>
      </c>
      <c r="U7" s="124" t="str">
        <f aca="false">IFERROR(IF(ISBLANK(Actuals!G9),"",('Original Budget'!G9-Actuals!G9)/ABS('Original Budget'!G9)),"")</f>
        <v/>
      </c>
      <c r="V7" s="123" t="n">
        <f aca="false">'Original Budget'!H9</f>
        <v>0</v>
      </c>
      <c r="W7" s="123" t="n">
        <f aca="false">IF(ISBLANK(Actuals!H9),"",Actuals!H9)</f>
        <v>0</v>
      </c>
      <c r="X7" s="124" t="n">
        <f aca="false">IF(ISBLANK(Actuals!H9),"",'Original Budget'!H9-Actuals!H9)</f>
        <v>0</v>
      </c>
      <c r="Y7" s="124" t="str">
        <f aca="false">IFERROR(IF(ISBLANK(Actuals!H9),"",('Original Budget'!H9-Actuals!H9)/ABS('Original Budget'!H9)),"")</f>
        <v/>
      </c>
      <c r="Z7" s="123" t="n">
        <f aca="false">'Original Budget'!I9</f>
        <v>0</v>
      </c>
      <c r="AA7" s="123" t="str">
        <f aca="false">IF(ISBLANK(Actuals!I9),"",Actuals!I9)</f>
        <v/>
      </c>
      <c r="AB7" s="124" t="str">
        <f aca="false">IF(ISBLANK(Actuals!I9),"",'Original Budget'!I9-Actuals!I9)</f>
        <v/>
      </c>
      <c r="AC7" s="124" t="str">
        <f aca="false">IFERROR(IF(ISBLANK(Actuals!I9),"",('Original Budget'!I9-Actuals!I9)/ABS('Original Budget'!I9)),"")</f>
        <v/>
      </c>
      <c r="AD7" s="123" t="n">
        <f aca="false">'Original Budget'!J9</f>
        <v>0</v>
      </c>
      <c r="AE7" s="123" t="str">
        <f aca="false">IF(ISBLANK(Actuals!J9),"",Actuals!J9)</f>
        <v/>
      </c>
      <c r="AF7" s="124" t="str">
        <f aca="false">IF(ISBLANK(Actuals!J9),"",'Original Budget'!J9-Actuals!J9)</f>
        <v/>
      </c>
      <c r="AG7" s="124" t="str">
        <f aca="false">IFERROR(IF(ISBLANK(Actuals!J9),"",('Original Budget'!J9-Actuals!J9)/ABS('Original Budget'!J9)),"")</f>
        <v/>
      </c>
      <c r="AH7" s="123" t="n">
        <f aca="false">'Original Budget'!K9</f>
        <v>0</v>
      </c>
      <c r="AI7" s="123" t="str">
        <f aca="false">IF(ISBLANK(Actuals!K9),"",Actuals!K9)</f>
        <v/>
      </c>
      <c r="AJ7" s="124" t="str">
        <f aca="false">IF(ISBLANK(Actuals!K9),"",'Original Budget'!K9-Actuals!K9)</f>
        <v/>
      </c>
      <c r="AK7" s="124" t="str">
        <f aca="false">IFERROR(IF(ISBLANK(Actuals!K9),"",('Original Budget'!K9-Actuals!K9)/ABS('Original Budget'!K9)),"")</f>
        <v/>
      </c>
      <c r="AL7" s="123" t="n">
        <f aca="false">'Original Budget'!L9</f>
        <v>0</v>
      </c>
      <c r="AM7" s="123" t="str">
        <f aca="false">IF(ISBLANK(Actuals!L9),"",Actuals!L9)</f>
        <v/>
      </c>
      <c r="AN7" s="124" t="str">
        <f aca="false">IF(ISBLANK(Actuals!L9),"",'Original Budget'!L9-Actuals!L9)</f>
        <v/>
      </c>
      <c r="AO7" s="124" t="str">
        <f aca="false">IFERROR(IF(ISBLANK(Actuals!L9),"",('Original Budget'!L9-Actuals!L9)/ABS('Original Budget'!L9)),"")</f>
        <v/>
      </c>
      <c r="AP7" s="123" t="n">
        <f aca="false">'Original Budget'!M9</f>
        <v>0</v>
      </c>
      <c r="AQ7" s="123" t="str">
        <f aca="false">IF(ISBLANK(Actuals!M9),"",Actuals!M9)</f>
        <v/>
      </c>
      <c r="AR7" s="124" t="str">
        <f aca="false">IF(ISBLANK(Actuals!M9),"",'Original Budget'!M9-Actuals!M9)</f>
        <v/>
      </c>
      <c r="AS7" s="124" t="str">
        <f aca="false">IFERROR(IF(ISBLANK(Actuals!M9),"",('Original Budget'!M9-Actuals!M9)/ABS('Original Budget'!M9)),"")</f>
        <v/>
      </c>
      <c r="AT7" s="123" t="n">
        <f aca="false">'Original Budget'!N9</f>
        <v>0</v>
      </c>
      <c r="AU7" s="123" t="str">
        <f aca="false">IF(ISBLANK(Actuals!N9),"",Actuals!N9)</f>
        <v/>
      </c>
      <c r="AV7" s="124" t="str">
        <f aca="false">IF(ISBLANK(Actuals!N9),"",'Original Budget'!N9-Actuals!N9)</f>
        <v/>
      </c>
      <c r="AW7" s="124" t="str">
        <f aca="false">IFERROR(IF(ISBLANK(Actuals!N9),"",('Original Budget'!N9-Actuals!N9)/ABS('Original Budget'!N9)),"")</f>
        <v/>
      </c>
      <c r="AX7" s="125" t="n">
        <f aca="false">SUMPRODUCT((Actuals!C9:N9&lt;&gt;"")*('Original Budget'!C9:N9))</f>
        <v>0</v>
      </c>
      <c r="AY7" s="125" t="n">
        <f aca="false">SUM(Actuals!C9:N9)</f>
        <v>0</v>
      </c>
      <c r="AZ7" s="126" t="n">
        <f aca="false">AX7-AY7</f>
        <v>0</v>
      </c>
    </row>
    <row r="8" customFormat="false" ht="15" hidden="false" customHeight="true" outlineLevel="0" collapsed="false">
      <c r="A8" s="122" t="s">
        <v>5</v>
      </c>
      <c r="B8" s="123" t="n">
        <f aca="false">'Original Budget'!C10</f>
        <v>95370.25</v>
      </c>
      <c r="C8" s="123" t="n">
        <f aca="false">IF(ISBLANK(Actuals!C10),"",Actuals!C10)</f>
        <v>95370.25</v>
      </c>
      <c r="D8" s="124" t="n">
        <f aca="false">IF(ISBLANK(Actuals!C10),"",'Original Budget'!C10-Actuals!C10)</f>
        <v>0</v>
      </c>
      <c r="E8" s="124" t="n">
        <f aca="false">IFERROR(IF(ISBLANK(Actuals!C10),"",('Original Budget'!C10-Actuals!C10)/ABS('Original Budget'!C10)),"")</f>
        <v>0</v>
      </c>
      <c r="F8" s="123" t="n">
        <f aca="false">'Original Budget'!D10</f>
        <v>173282.89</v>
      </c>
      <c r="G8" s="123" t="n">
        <f aca="false">IF(ISBLANK(Actuals!D10),"",Actuals!D10)</f>
        <v>173282.89</v>
      </c>
      <c r="H8" s="124" t="n">
        <f aca="false">IF(ISBLANK(Actuals!D10),"",'Original Budget'!D10-Actuals!D10)</f>
        <v>0</v>
      </c>
      <c r="I8" s="124" t="n">
        <f aca="false">IFERROR(IF(ISBLANK(Actuals!D10),"",('Original Budget'!D10-Actuals!D10)/ABS('Original Budget'!D10)),"")</f>
        <v>0</v>
      </c>
      <c r="J8" s="123" t="n">
        <f aca="false">'Original Budget'!E10</f>
        <v>50438.85</v>
      </c>
      <c r="K8" s="123" t="n">
        <f aca="false">IF(ISBLANK(Actuals!E10),"",Actuals!E10)</f>
        <v>50438.85</v>
      </c>
      <c r="L8" s="124" t="n">
        <f aca="false">IF(ISBLANK(Actuals!E10),"",'Original Budget'!E10-Actuals!E10)</f>
        <v>0</v>
      </c>
      <c r="M8" s="124" t="n">
        <f aca="false">IFERROR(IF(ISBLANK(Actuals!E10),"",('Original Budget'!E10-Actuals!E10)/ABS('Original Budget'!E10)),"")</f>
        <v>0</v>
      </c>
      <c r="N8" s="123" t="n">
        <f aca="false">'Original Budget'!F10</f>
        <v>200950.186296774</v>
      </c>
      <c r="O8" s="123" t="n">
        <f aca="false">IF(ISBLANK(Actuals!F10),"",Actuals!F10)</f>
        <v>167518.85</v>
      </c>
      <c r="P8" s="124" t="n">
        <f aca="false">IF(ISBLANK(Actuals!F10),"",'Original Budget'!F10-Actuals!F10)</f>
        <v>33431.336296774</v>
      </c>
      <c r="Q8" s="124" t="n">
        <f aca="false">IFERROR(IF(ISBLANK(Actuals!F10),"",('Original Budget'!F10-Actuals!F10)/ABS('Original Budget'!F10)),"")</f>
        <v>0.166366286654747</v>
      </c>
      <c r="R8" s="123" t="n">
        <f aca="false">'Original Budget'!G10</f>
        <v>200950.186296774</v>
      </c>
      <c r="S8" s="123" t="n">
        <f aca="false">IF(ISBLANK(Actuals!G10),"",Actuals!G10)</f>
        <v>209057.26</v>
      </c>
      <c r="T8" s="124" t="n">
        <f aca="false">IF(ISBLANK(Actuals!G10),"",'Original Budget'!G10-Actuals!G10)</f>
        <v>-8107.07370322602</v>
      </c>
      <c r="U8" s="124" t="n">
        <f aca="false">IFERROR(IF(ISBLANK(Actuals!G10),"",('Original Budget'!G10-Actuals!G10)/ABS('Original Budget'!G10)),"")</f>
        <v>-0.0403436983693713</v>
      </c>
      <c r="V8" s="123" t="n">
        <f aca="false">'Original Budget'!H10</f>
        <v>200950.186296774</v>
      </c>
      <c r="W8" s="123" t="n">
        <f aca="false">IF(ISBLANK(Actuals!H10),"",Actuals!H10)</f>
        <v>292966.36</v>
      </c>
      <c r="X8" s="124" t="n">
        <f aca="false">IF(ISBLANK(Actuals!H10),"",'Original Budget'!H10-Actuals!H10)</f>
        <v>-92016.173703226</v>
      </c>
      <c r="Y8" s="124" t="n">
        <f aca="false">IFERROR(IF(ISBLANK(Actuals!H10),"",('Original Budget'!H10-Actuals!H10)/ABS('Original Budget'!H10)),"")</f>
        <v>-0.45790539137561</v>
      </c>
      <c r="Z8" s="123" t="n">
        <f aca="false">'Original Budget'!I10</f>
        <v>271155.187658694</v>
      </c>
      <c r="AA8" s="123" t="str">
        <f aca="false">IF(ISBLANK(Actuals!I10),"",Actuals!I10)</f>
        <v/>
      </c>
      <c r="AB8" s="124" t="str">
        <f aca="false">IF(ISBLANK(Actuals!I10),"",'Original Budget'!I10-Actuals!I10)</f>
        <v/>
      </c>
      <c r="AC8" s="124" t="str">
        <f aca="false">IFERROR(IF(ISBLANK(Actuals!I10),"",('Original Budget'!I10-Actuals!I10)/ABS('Original Budget'!I10)),"")</f>
        <v/>
      </c>
      <c r="AD8" s="123" t="n">
        <f aca="false">'Original Budget'!J10</f>
        <v>271155.187658694</v>
      </c>
      <c r="AE8" s="123" t="str">
        <f aca="false">IF(ISBLANK(Actuals!J10),"",Actuals!J10)</f>
        <v/>
      </c>
      <c r="AF8" s="124" t="str">
        <f aca="false">IF(ISBLANK(Actuals!J10),"",'Original Budget'!J10-Actuals!J10)</f>
        <v/>
      </c>
      <c r="AG8" s="124" t="str">
        <f aca="false">IFERROR(IF(ISBLANK(Actuals!J10),"",('Original Budget'!J10-Actuals!J10)/ABS('Original Budget'!J10)),"")</f>
        <v/>
      </c>
      <c r="AH8" s="123" t="n">
        <f aca="false">'Original Budget'!K10</f>
        <v>271155.187658694</v>
      </c>
      <c r="AI8" s="123" t="str">
        <f aca="false">IF(ISBLANK(Actuals!K10),"",Actuals!K10)</f>
        <v/>
      </c>
      <c r="AJ8" s="124" t="str">
        <f aca="false">IF(ISBLANK(Actuals!K10),"",'Original Budget'!K10-Actuals!K10)</f>
        <v/>
      </c>
      <c r="AK8" s="124" t="str">
        <f aca="false">IFERROR(IF(ISBLANK(Actuals!K10),"",('Original Budget'!K10-Actuals!K10)/ABS('Original Budget'!K10)),"")</f>
        <v/>
      </c>
      <c r="AL8" s="123" t="n">
        <f aca="false">'Original Budget'!L10</f>
        <v>332195.486067781</v>
      </c>
      <c r="AM8" s="123" t="str">
        <f aca="false">IF(ISBLANK(Actuals!L10),"",Actuals!L10)</f>
        <v/>
      </c>
      <c r="AN8" s="124" t="str">
        <f aca="false">IF(ISBLANK(Actuals!L10),"",'Original Budget'!L10-Actuals!L10)</f>
        <v/>
      </c>
      <c r="AO8" s="124" t="str">
        <f aca="false">IFERROR(IF(ISBLANK(Actuals!L10),"",('Original Budget'!L10-Actuals!L10)/ABS('Original Budget'!L10)),"")</f>
        <v/>
      </c>
      <c r="AP8" s="123" t="n">
        <f aca="false">'Original Budget'!M10</f>
        <v>394006.472359489</v>
      </c>
      <c r="AQ8" s="123" t="str">
        <f aca="false">IF(ISBLANK(Actuals!M10),"",Actuals!M10)</f>
        <v/>
      </c>
      <c r="AR8" s="124" t="str">
        <f aca="false">IF(ISBLANK(Actuals!M10),"",'Original Budget'!M10-Actuals!M10)</f>
        <v/>
      </c>
      <c r="AS8" s="124" t="str">
        <f aca="false">IFERROR(IF(ISBLANK(Actuals!M10),"",('Original Budget'!M10-Actuals!M10)/ABS('Original Budget'!M10)),"")</f>
        <v/>
      </c>
      <c r="AT8" s="123" t="n">
        <f aca="false">'Original Budget'!N10</f>
        <v>331960.984397614</v>
      </c>
      <c r="AU8" s="123" t="str">
        <f aca="false">IF(ISBLANK(Actuals!N10),"",Actuals!N10)</f>
        <v/>
      </c>
      <c r="AV8" s="124" t="str">
        <f aca="false">IF(ISBLANK(Actuals!N10),"",'Original Budget'!N10-Actuals!N10)</f>
        <v/>
      </c>
      <c r="AW8" s="124" t="str">
        <f aca="false">IFERROR(IF(ISBLANK(Actuals!N10),"",('Original Budget'!N10-Actuals!N10)/ABS('Original Budget'!N10)),"")</f>
        <v/>
      </c>
      <c r="AX8" s="125" t="n">
        <f aca="false">SUMPRODUCT((Actuals!C10:N10&lt;&gt;"")*('Original Budget'!C10:N10))</f>
        <v>921942.548890322</v>
      </c>
      <c r="AY8" s="125" t="n">
        <f aca="false">SUM(Actuals!C10:N10)</f>
        <v>988634.46</v>
      </c>
      <c r="AZ8" s="126" t="n">
        <f aca="false">AX8-AY8</f>
        <v>-66691.911109678</v>
      </c>
    </row>
    <row r="9" customFormat="false" ht="15" hidden="false" customHeight="true" outlineLevel="0" collapsed="false">
      <c r="A9" s="122" t="s">
        <v>272</v>
      </c>
      <c r="B9" s="123" t="n">
        <f aca="false">'Original Budget'!C11</f>
        <v>0</v>
      </c>
      <c r="C9" s="123" t="n">
        <f aca="false">IF(ISBLANK(Actuals!C11),"",Actuals!C11)</f>
        <v>0</v>
      </c>
      <c r="D9" s="124" t="n">
        <f aca="false">IF(ISBLANK(Actuals!C11),"",'Original Budget'!C11-Actuals!C11)</f>
        <v>0</v>
      </c>
      <c r="E9" s="124" t="str">
        <f aca="false">IFERROR(IF(ISBLANK(Actuals!C11),"",('Original Budget'!C11-Actuals!C11)/ABS('Original Budget'!C11)),"")</f>
        <v/>
      </c>
      <c r="F9" s="123" t="n">
        <f aca="false">'Original Budget'!D11</f>
        <v>0</v>
      </c>
      <c r="G9" s="123" t="n">
        <f aca="false">IF(ISBLANK(Actuals!D11),"",Actuals!D11)</f>
        <v>0</v>
      </c>
      <c r="H9" s="124" t="n">
        <f aca="false">IF(ISBLANK(Actuals!D11),"",'Original Budget'!D11-Actuals!D11)</f>
        <v>0</v>
      </c>
      <c r="I9" s="124" t="str">
        <f aca="false">IFERROR(IF(ISBLANK(Actuals!D11),"",('Original Budget'!D11-Actuals!D11)/ABS('Original Budget'!D11)),"")</f>
        <v/>
      </c>
      <c r="J9" s="123" t="n">
        <f aca="false">'Original Budget'!E11</f>
        <v>0</v>
      </c>
      <c r="K9" s="123" t="n">
        <f aca="false">IF(ISBLANK(Actuals!E11),"",Actuals!E11)</f>
        <v>0</v>
      </c>
      <c r="L9" s="124" t="n">
        <f aca="false">IF(ISBLANK(Actuals!E11),"",'Original Budget'!E11-Actuals!E11)</f>
        <v>0</v>
      </c>
      <c r="M9" s="124" t="str">
        <f aca="false">IFERROR(IF(ISBLANK(Actuals!E11),"",('Original Budget'!E11-Actuals!E11)/ABS('Original Budget'!E11)),"")</f>
        <v/>
      </c>
      <c r="N9" s="123" t="n">
        <f aca="false">'Original Budget'!F11</f>
        <v>0</v>
      </c>
      <c r="O9" s="123" t="n">
        <f aca="false">IF(ISBLANK(Actuals!F11),"",Actuals!F11)</f>
        <v>0</v>
      </c>
      <c r="P9" s="124" t="n">
        <f aca="false">IF(ISBLANK(Actuals!F11),"",'Original Budget'!F11-Actuals!F11)</f>
        <v>0</v>
      </c>
      <c r="Q9" s="124" t="str">
        <f aca="false">IFERROR(IF(ISBLANK(Actuals!F11),"",('Original Budget'!F11-Actuals!F11)/ABS('Original Budget'!F11)),"")</f>
        <v/>
      </c>
      <c r="R9" s="123" t="n">
        <f aca="false">'Original Budget'!G11</f>
        <v>0</v>
      </c>
      <c r="S9" s="123" t="n">
        <f aca="false">IF(ISBLANK(Actuals!G11),"",Actuals!G11)</f>
        <v>0</v>
      </c>
      <c r="T9" s="124" t="n">
        <f aca="false">IF(ISBLANK(Actuals!G11),"",'Original Budget'!G11-Actuals!G11)</f>
        <v>0</v>
      </c>
      <c r="U9" s="124" t="str">
        <f aca="false">IFERROR(IF(ISBLANK(Actuals!G11),"",('Original Budget'!G11-Actuals!G11)/ABS('Original Budget'!G11)),"")</f>
        <v/>
      </c>
      <c r="V9" s="123" t="n">
        <f aca="false">'Original Budget'!H11</f>
        <v>0</v>
      </c>
      <c r="W9" s="123" t="n">
        <f aca="false">IF(ISBLANK(Actuals!H11),"",Actuals!H11)</f>
        <v>0</v>
      </c>
      <c r="X9" s="124" t="n">
        <f aca="false">IF(ISBLANK(Actuals!H11),"",'Original Budget'!H11-Actuals!H11)</f>
        <v>0</v>
      </c>
      <c r="Y9" s="124" t="str">
        <f aca="false">IFERROR(IF(ISBLANK(Actuals!H11),"",('Original Budget'!H11-Actuals!H11)/ABS('Original Budget'!H11)),"")</f>
        <v/>
      </c>
      <c r="Z9" s="123" t="n">
        <f aca="false">'Original Budget'!I11</f>
        <v>0</v>
      </c>
      <c r="AA9" s="123" t="str">
        <f aca="false">IF(ISBLANK(Actuals!I11),"",Actuals!I11)</f>
        <v/>
      </c>
      <c r="AB9" s="124" t="str">
        <f aca="false">IF(ISBLANK(Actuals!I11),"",'Original Budget'!I11-Actuals!I11)</f>
        <v/>
      </c>
      <c r="AC9" s="124" t="str">
        <f aca="false">IFERROR(IF(ISBLANK(Actuals!I11),"",('Original Budget'!I11-Actuals!I11)/ABS('Original Budget'!I11)),"")</f>
        <v/>
      </c>
      <c r="AD9" s="123" t="n">
        <f aca="false">'Original Budget'!J11</f>
        <v>0</v>
      </c>
      <c r="AE9" s="123" t="str">
        <f aca="false">IF(ISBLANK(Actuals!J11),"",Actuals!J11)</f>
        <v/>
      </c>
      <c r="AF9" s="124" t="str">
        <f aca="false">IF(ISBLANK(Actuals!J11),"",'Original Budget'!J11-Actuals!J11)</f>
        <v/>
      </c>
      <c r="AG9" s="124" t="str">
        <f aca="false">IFERROR(IF(ISBLANK(Actuals!J11),"",('Original Budget'!J11-Actuals!J11)/ABS('Original Budget'!J11)),"")</f>
        <v/>
      </c>
      <c r="AH9" s="123" t="n">
        <f aca="false">'Original Budget'!K11</f>
        <v>0</v>
      </c>
      <c r="AI9" s="123" t="str">
        <f aca="false">IF(ISBLANK(Actuals!K11),"",Actuals!K11)</f>
        <v/>
      </c>
      <c r="AJ9" s="124" t="str">
        <f aca="false">IF(ISBLANK(Actuals!K11),"",'Original Budget'!K11-Actuals!K11)</f>
        <v/>
      </c>
      <c r="AK9" s="124" t="str">
        <f aca="false">IFERROR(IF(ISBLANK(Actuals!K11),"",('Original Budget'!K11-Actuals!K11)/ABS('Original Budget'!K11)),"")</f>
        <v/>
      </c>
      <c r="AL9" s="123" t="n">
        <f aca="false">'Original Budget'!L11</f>
        <v>0</v>
      </c>
      <c r="AM9" s="123" t="str">
        <f aca="false">IF(ISBLANK(Actuals!L11),"",Actuals!L11)</f>
        <v/>
      </c>
      <c r="AN9" s="124" t="str">
        <f aca="false">IF(ISBLANK(Actuals!L11),"",'Original Budget'!L11-Actuals!L11)</f>
        <v/>
      </c>
      <c r="AO9" s="124" t="str">
        <f aca="false">IFERROR(IF(ISBLANK(Actuals!L11),"",('Original Budget'!L11-Actuals!L11)/ABS('Original Budget'!L11)),"")</f>
        <v/>
      </c>
      <c r="AP9" s="123" t="n">
        <f aca="false">'Original Budget'!M11</f>
        <v>0</v>
      </c>
      <c r="AQ9" s="123" t="str">
        <f aca="false">IF(ISBLANK(Actuals!M11),"",Actuals!M11)</f>
        <v/>
      </c>
      <c r="AR9" s="124" t="str">
        <f aca="false">IF(ISBLANK(Actuals!M11),"",'Original Budget'!M11-Actuals!M11)</f>
        <v/>
      </c>
      <c r="AS9" s="124" t="str">
        <f aca="false">IFERROR(IF(ISBLANK(Actuals!M11),"",('Original Budget'!M11-Actuals!M11)/ABS('Original Budget'!M11)),"")</f>
        <v/>
      </c>
      <c r="AT9" s="123" t="n">
        <f aca="false">'Original Budget'!N11</f>
        <v>0</v>
      </c>
      <c r="AU9" s="123" t="str">
        <f aca="false">IF(ISBLANK(Actuals!N11),"",Actuals!N11)</f>
        <v/>
      </c>
      <c r="AV9" s="124" t="str">
        <f aca="false">IF(ISBLANK(Actuals!N11),"",'Original Budget'!N11-Actuals!N11)</f>
        <v/>
      </c>
      <c r="AW9" s="124" t="str">
        <f aca="false">IFERROR(IF(ISBLANK(Actuals!N11),"",('Original Budget'!N11-Actuals!N11)/ABS('Original Budget'!N11)),"")</f>
        <v/>
      </c>
      <c r="AX9" s="125" t="n">
        <f aca="false">SUMPRODUCT((Actuals!C11:N11&lt;&gt;"")*('Original Budget'!C11:N11))</f>
        <v>0</v>
      </c>
      <c r="AY9" s="125" t="n">
        <f aca="false">SUM(Actuals!C11:N11)</f>
        <v>0</v>
      </c>
      <c r="AZ9" s="126" t="n">
        <f aca="false">AX9-AY9</f>
        <v>0</v>
      </c>
    </row>
    <row r="10" customFormat="false" ht="15" hidden="false" customHeight="true" outlineLevel="0" collapsed="false">
      <c r="A10" s="122" t="s">
        <v>6</v>
      </c>
      <c r="B10" s="123" t="n">
        <f aca="false">'Original Budget'!C12</f>
        <v>1242053.19</v>
      </c>
      <c r="C10" s="123" t="n">
        <f aca="false">IF(ISBLANK(Actuals!C12),"",Actuals!C12)</f>
        <v>1242053.19</v>
      </c>
      <c r="D10" s="124" t="n">
        <f aca="false">IF(ISBLANK(Actuals!C12),"",'Original Budget'!C12-Actuals!C12)</f>
        <v>0</v>
      </c>
      <c r="E10" s="124" t="n">
        <f aca="false">IFERROR(IF(ISBLANK(Actuals!C12),"",('Original Budget'!C12-Actuals!C12)/ABS('Original Budget'!C12)),"")</f>
        <v>0</v>
      </c>
      <c r="F10" s="123" t="n">
        <f aca="false">'Original Budget'!D12</f>
        <v>2710434.48</v>
      </c>
      <c r="G10" s="123" t="n">
        <f aca="false">IF(ISBLANK(Actuals!D12),"",Actuals!D12)</f>
        <v>2710434.48</v>
      </c>
      <c r="H10" s="124" t="n">
        <f aca="false">IF(ISBLANK(Actuals!D12),"",'Original Budget'!D12-Actuals!D12)</f>
        <v>0</v>
      </c>
      <c r="I10" s="124" t="n">
        <f aca="false">IFERROR(IF(ISBLANK(Actuals!D12),"",('Original Budget'!D12-Actuals!D12)/ABS('Original Budget'!D12)),"")</f>
        <v>0</v>
      </c>
      <c r="J10" s="123" t="n">
        <f aca="false">'Original Budget'!E12</f>
        <v>2402410.43</v>
      </c>
      <c r="K10" s="123" t="n">
        <f aca="false">IF(ISBLANK(Actuals!E12),"",Actuals!E12)</f>
        <v>2402410.43</v>
      </c>
      <c r="L10" s="124" t="n">
        <f aca="false">IF(ISBLANK(Actuals!E12),"",'Original Budget'!E12-Actuals!E12)</f>
        <v>0</v>
      </c>
      <c r="M10" s="124" t="n">
        <f aca="false">IFERROR(IF(ISBLANK(Actuals!E12),"",('Original Budget'!E12-Actuals!E12)/ABS('Original Budget'!E12)),"")</f>
        <v>0</v>
      </c>
      <c r="N10" s="123" t="n">
        <f aca="false">'Original Budget'!F12</f>
        <v>3985482.58</v>
      </c>
      <c r="O10" s="123" t="n">
        <f aca="false">IF(ISBLANK(Actuals!F12),"",Actuals!F12)</f>
        <v>3312759.91</v>
      </c>
      <c r="P10" s="124" t="n">
        <f aca="false">IF(ISBLANK(Actuals!F12),"",'Original Budget'!F12-Actuals!F12)</f>
        <v>672722.67</v>
      </c>
      <c r="Q10" s="124" t="n">
        <f aca="false">IFERROR(IF(ISBLANK(Actuals!F12),"",('Original Budget'!F12-Actuals!F12)/ABS('Original Budget'!F12)),"")</f>
        <v>0.168793278228304</v>
      </c>
      <c r="R10" s="123" t="n">
        <f aca="false">'Original Budget'!G12</f>
        <v>4178441.93</v>
      </c>
      <c r="S10" s="123" t="n">
        <f aca="false">IF(ISBLANK(Actuals!G12),"",Actuals!G12)</f>
        <v>3939278.23</v>
      </c>
      <c r="T10" s="124" t="n">
        <f aca="false">IF(ISBLANK(Actuals!G12),"",'Original Budget'!G12-Actuals!G12)</f>
        <v>239163.7</v>
      </c>
      <c r="U10" s="124" t="n">
        <f aca="false">IFERROR(IF(ISBLANK(Actuals!G12),"",('Original Budget'!G12-Actuals!G12)/ABS('Original Budget'!G12)),"")</f>
        <v>0.057237531119644</v>
      </c>
      <c r="V10" s="123" t="n">
        <f aca="false">'Original Budget'!H12</f>
        <v>4314673.98</v>
      </c>
      <c r="W10" s="123" t="n">
        <f aca="false">IF(ISBLANK(Actuals!H12),"",Actuals!H12)</f>
        <v>5584522.73</v>
      </c>
      <c r="X10" s="124" t="n">
        <f aca="false">IF(ISBLANK(Actuals!H12),"",'Original Budget'!H12-Actuals!H12)</f>
        <v>-1269848.75</v>
      </c>
      <c r="Y10" s="124" t="n">
        <f aca="false">IFERROR(IF(ISBLANK(Actuals!H12),"",('Original Budget'!H12-Actuals!H12)/ABS('Original Budget'!H12)),"")</f>
        <v>-0.294309316505995</v>
      </c>
      <c r="Z10" s="123" t="n">
        <f aca="false">'Original Budget'!I12</f>
        <v>5100719.4</v>
      </c>
      <c r="AA10" s="123" t="str">
        <f aca="false">IF(ISBLANK(Actuals!I12),"",Actuals!I12)</f>
        <v/>
      </c>
      <c r="AB10" s="124" t="str">
        <f aca="false">IF(ISBLANK(Actuals!I12),"",'Original Budget'!I12-Actuals!I12)</f>
        <v/>
      </c>
      <c r="AC10" s="124" t="str">
        <f aca="false">IFERROR(IF(ISBLANK(Actuals!I12),"",('Original Budget'!I12-Actuals!I12)/ABS('Original Budget'!I12)),"")</f>
        <v/>
      </c>
      <c r="AD10" s="123" t="n">
        <f aca="false">'Original Budget'!J12</f>
        <v>5260214.26</v>
      </c>
      <c r="AE10" s="123" t="str">
        <f aca="false">IF(ISBLANK(Actuals!J12),"",Actuals!J12)</f>
        <v/>
      </c>
      <c r="AF10" s="124" t="str">
        <f aca="false">IF(ISBLANK(Actuals!J12),"",'Original Budget'!J12-Actuals!J12)</f>
        <v/>
      </c>
      <c r="AG10" s="124" t="str">
        <f aca="false">IFERROR(IF(ISBLANK(Actuals!J12),"",('Original Budget'!J12-Actuals!J12)/ABS('Original Budget'!J12)),"")</f>
        <v/>
      </c>
      <c r="AH10" s="123" t="n">
        <f aca="false">'Original Budget'!K12</f>
        <v>5352854.32</v>
      </c>
      <c r="AI10" s="123" t="str">
        <f aca="false">IF(ISBLANK(Actuals!K12),"",Actuals!K12)</f>
        <v/>
      </c>
      <c r="AJ10" s="124" t="str">
        <f aca="false">IF(ISBLANK(Actuals!K12),"",'Original Budget'!K12-Actuals!K12)</f>
        <v/>
      </c>
      <c r="AK10" s="124" t="str">
        <f aca="false">IFERROR(IF(ISBLANK(Actuals!K12),"",('Original Budget'!K12-Actuals!K12)/ABS('Original Budget'!K12)),"")</f>
        <v/>
      </c>
      <c r="AL10" s="123" t="n">
        <f aca="false">'Original Budget'!L12</f>
        <v>5849570.15</v>
      </c>
      <c r="AM10" s="123" t="str">
        <f aca="false">IF(ISBLANK(Actuals!L12),"",Actuals!L12)</f>
        <v/>
      </c>
      <c r="AN10" s="124" t="str">
        <f aca="false">IF(ISBLANK(Actuals!L12),"",'Original Budget'!L12-Actuals!L12)</f>
        <v/>
      </c>
      <c r="AO10" s="124" t="str">
        <f aca="false">IFERROR(IF(ISBLANK(Actuals!L12),"",('Original Budget'!L12-Actuals!L12)/ABS('Original Budget'!L12)),"")</f>
        <v/>
      </c>
      <c r="AP10" s="123" t="n">
        <f aca="false">'Original Budget'!M12</f>
        <v>6345476.13</v>
      </c>
      <c r="AQ10" s="123" t="str">
        <f aca="false">IF(ISBLANK(Actuals!M12),"",Actuals!M12)</f>
        <v/>
      </c>
      <c r="AR10" s="124" t="str">
        <f aca="false">IF(ISBLANK(Actuals!M12),"",'Original Budget'!M12-Actuals!M12)</f>
        <v/>
      </c>
      <c r="AS10" s="124" t="str">
        <f aca="false">IFERROR(IF(ISBLANK(Actuals!M12),"",('Original Budget'!M12-Actuals!M12)/ABS('Original Budget'!M12)),"")</f>
        <v/>
      </c>
      <c r="AT10" s="123" t="n">
        <f aca="false">'Original Budget'!N12</f>
        <v>6208239.26</v>
      </c>
      <c r="AU10" s="123" t="str">
        <f aca="false">IF(ISBLANK(Actuals!N12),"",Actuals!N12)</f>
        <v/>
      </c>
      <c r="AV10" s="124" t="str">
        <f aca="false">IF(ISBLANK(Actuals!N12),"",'Original Budget'!N12-Actuals!N12)</f>
        <v/>
      </c>
      <c r="AW10" s="124" t="str">
        <f aca="false">IFERROR(IF(ISBLANK(Actuals!N12),"",('Original Budget'!N12-Actuals!N12)/ABS('Original Budget'!N12)),"")</f>
        <v/>
      </c>
      <c r="AX10" s="125" t="n">
        <f aca="false">SUMPRODUCT((Actuals!C12:N12&lt;&gt;"")*('Original Budget'!C12:N12))</f>
        <v>18833496.59</v>
      </c>
      <c r="AY10" s="125" t="n">
        <f aca="false">SUM(Actuals!C12:N12)</f>
        <v>19191458.97</v>
      </c>
      <c r="AZ10" s="126" t="n">
        <f aca="false">AX10-AY10</f>
        <v>-357962.379999999</v>
      </c>
    </row>
    <row r="11" customFormat="false" ht="15" hidden="false" customHeight="true" outlineLevel="0" collapsed="false">
      <c r="A11" s="122" t="s">
        <v>273</v>
      </c>
      <c r="B11" s="123" t="n">
        <f aca="false">'Original Budget'!C14</f>
        <v>-1233067.43</v>
      </c>
      <c r="C11" s="123" t="n">
        <f aca="false">IF(ISBLANK(Actuals!C14),"",Actuals!C14)</f>
        <v>-1233067.43</v>
      </c>
      <c r="D11" s="124" t="n">
        <f aca="false">IF(ISBLANK(Actuals!C14),"",'Original Budget'!C14-Actuals!C14)</f>
        <v>0</v>
      </c>
      <c r="E11" s="124" t="n">
        <f aca="false">IFERROR(IF(ISBLANK(Actuals!C14),"",('Original Budget'!C14-Actuals!C14)/ABS('Original Budget'!C14)),"")</f>
        <v>0</v>
      </c>
      <c r="F11" s="123" t="n">
        <f aca="false">'Original Budget'!D14</f>
        <v>-3073522.36</v>
      </c>
      <c r="G11" s="123" t="n">
        <f aca="false">IF(ISBLANK(Actuals!D14),"",Actuals!D14)</f>
        <v>-3073522.36</v>
      </c>
      <c r="H11" s="124" t="n">
        <f aca="false">IF(ISBLANK(Actuals!D14),"",'Original Budget'!D14-Actuals!D14)</f>
        <v>0</v>
      </c>
      <c r="I11" s="124" t="n">
        <f aca="false">IFERROR(IF(ISBLANK(Actuals!D14),"",('Original Budget'!D14-Actuals!D14)/ABS('Original Budget'!D14)),"")</f>
        <v>0</v>
      </c>
      <c r="J11" s="123" t="n">
        <f aca="false">'Original Budget'!E14</f>
        <v>-2078031.64</v>
      </c>
      <c r="K11" s="123" t="n">
        <f aca="false">IF(ISBLANK(Actuals!E14),"",Actuals!E14)</f>
        <v>-2078031.64</v>
      </c>
      <c r="L11" s="124" t="n">
        <f aca="false">IF(ISBLANK(Actuals!E14),"",'Original Budget'!E14-Actuals!E14)</f>
        <v>0</v>
      </c>
      <c r="M11" s="124" t="n">
        <f aca="false">IFERROR(IF(ISBLANK(Actuals!E14),"",('Original Budget'!E14-Actuals!E14)/ABS('Original Budget'!E14)),"")</f>
        <v>0</v>
      </c>
      <c r="N11" s="123" t="n">
        <f aca="false">'Original Budget'!F14</f>
        <v>-3985482.58403402</v>
      </c>
      <c r="O11" s="123" t="n">
        <f aca="false">IF(ISBLANK(Actuals!F14),"",Actuals!F14)</f>
        <v>-3244999.65</v>
      </c>
      <c r="P11" s="124" t="n">
        <f aca="false">IF(ISBLANK(Actuals!F14),"",'Original Budget'!F14-Actuals!F14)</f>
        <v>-740482.93403402</v>
      </c>
      <c r="Q11" s="124" t="n">
        <f aca="false">IFERROR(IF(ISBLANK(Actuals!F14),"",('Original Budget'!F14-Actuals!F14)/ABS('Original Budget'!F14)),"")</f>
        <v>-0.185795049513055</v>
      </c>
      <c r="R11" s="123" t="n">
        <f aca="false">'Original Budget'!G14</f>
        <v>-4178441.93467641</v>
      </c>
      <c r="S11" s="123" t="n">
        <f aca="false">IF(ISBLANK(Actuals!G14),"",Actuals!G14)</f>
        <v>-3950524.93</v>
      </c>
      <c r="T11" s="124" t="n">
        <f aca="false">IF(ISBLANK(Actuals!G14),"",'Original Budget'!G14-Actuals!G14)</f>
        <v>-227917.00467641</v>
      </c>
      <c r="U11" s="124" t="n">
        <f aca="false">IFERROR(IF(ISBLANK(Actuals!G14),"",('Original Budget'!G14-Actuals!G14)/ABS('Original Budget'!G14)),"")</f>
        <v>-0.0545459308133381</v>
      </c>
      <c r="V11" s="123" t="n">
        <f aca="false">'Original Budget'!H14</f>
        <v>-4314673.98179329</v>
      </c>
      <c r="W11" s="123" t="n">
        <f aca="false">IF(ISBLANK(Actuals!H14),"",Actuals!H14)</f>
        <v>-5610911.85</v>
      </c>
      <c r="X11" s="124" t="n">
        <f aca="false">IF(ISBLANK(Actuals!H14),"",'Original Budget'!H14-Actuals!H14)</f>
        <v>1296237.86820671</v>
      </c>
      <c r="Y11" s="124" t="n">
        <f aca="false">IFERROR(IF(ISBLANK(Actuals!H14),"",('Original Budget'!H14-Actuals!H14)/ABS('Original Budget'!H14)),"")</f>
        <v>0.300425448985594</v>
      </c>
      <c r="Z11" s="123" t="n">
        <f aca="false">'Original Budget'!I14</f>
        <v>-5100719.40418529</v>
      </c>
      <c r="AA11" s="123" t="str">
        <f aca="false">IF(ISBLANK(Actuals!I14),"",Actuals!I14)</f>
        <v/>
      </c>
      <c r="AB11" s="124" t="str">
        <f aca="false">IF(ISBLANK(Actuals!I14),"",'Original Budget'!I14-Actuals!I14)</f>
        <v/>
      </c>
      <c r="AC11" s="124" t="str">
        <f aca="false">IFERROR(IF(ISBLANK(Actuals!I14),"",('Original Budget'!I14-Actuals!I14)/ABS('Original Budget'!I14)),"")</f>
        <v/>
      </c>
      <c r="AD11" s="123" t="n">
        <f aca="false">'Original Budget'!J14</f>
        <v>-5260214.25623971</v>
      </c>
      <c r="AE11" s="123" t="str">
        <f aca="false">IF(ISBLANK(Actuals!J14),"",Actuals!J14)</f>
        <v/>
      </c>
      <c r="AF11" s="124" t="str">
        <f aca="false">IF(ISBLANK(Actuals!J14),"",'Original Budget'!J14-Actuals!J14)</f>
        <v/>
      </c>
      <c r="AG11" s="124" t="str">
        <f aca="false">IFERROR(IF(ISBLANK(Actuals!J14),"",('Original Budget'!J14-Actuals!J14)/ABS('Original Budget'!J14)),"")</f>
        <v/>
      </c>
      <c r="AH11" s="123" t="n">
        <f aca="false">'Original Budget'!K14</f>
        <v>-5352854.31833945</v>
      </c>
      <c r="AI11" s="123" t="str">
        <f aca="false">IF(ISBLANK(Actuals!K14),"",Actuals!K14)</f>
        <v/>
      </c>
      <c r="AJ11" s="124" t="str">
        <f aca="false">IF(ISBLANK(Actuals!K14),"",'Original Budget'!K14-Actuals!K14)</f>
        <v/>
      </c>
      <c r="AK11" s="124" t="str">
        <f aca="false">IFERROR(IF(ISBLANK(Actuals!K14),"",('Original Budget'!K14-Actuals!K14)/ABS('Original Budget'!K14)),"")</f>
        <v/>
      </c>
      <c r="AL11" s="123" t="n">
        <f aca="false">'Original Budget'!L14</f>
        <v>-5849570.14613038</v>
      </c>
      <c r="AM11" s="123" t="str">
        <f aca="false">IF(ISBLANK(Actuals!L14),"",Actuals!L14)</f>
        <v/>
      </c>
      <c r="AN11" s="124" t="str">
        <f aca="false">IF(ISBLANK(Actuals!L14),"",'Original Budget'!L14-Actuals!L14)</f>
        <v/>
      </c>
      <c r="AO11" s="124" t="str">
        <f aca="false">IFERROR(IF(ISBLANK(Actuals!L14),"",('Original Budget'!L14-Actuals!L14)/ABS('Original Budget'!L14)),"")</f>
        <v/>
      </c>
      <c r="AP11" s="123" t="n">
        <f aca="false">'Original Budget'!M14</f>
        <v>-6345476.13239193</v>
      </c>
      <c r="AQ11" s="123" t="str">
        <f aca="false">IF(ISBLANK(Actuals!M14),"",Actuals!M14)</f>
        <v/>
      </c>
      <c r="AR11" s="124" t="str">
        <f aca="false">IF(ISBLANK(Actuals!M14),"",'Original Budget'!M14-Actuals!M14)</f>
        <v/>
      </c>
      <c r="AS11" s="124" t="str">
        <f aca="false">IFERROR(IF(ISBLANK(Actuals!M14),"",('Original Budget'!M14-Actuals!M14)/ABS('Original Budget'!M14)),"")</f>
        <v/>
      </c>
      <c r="AT11" s="123" t="n">
        <f aca="false">'Original Budget'!N14</f>
        <v>-6208239.26255321</v>
      </c>
      <c r="AU11" s="123" t="str">
        <f aca="false">IF(ISBLANK(Actuals!N14),"",Actuals!N14)</f>
        <v/>
      </c>
      <c r="AV11" s="124" t="str">
        <f aca="false">IF(ISBLANK(Actuals!N14),"",'Original Budget'!N14-Actuals!N14)</f>
        <v/>
      </c>
      <c r="AW11" s="124" t="str">
        <f aca="false">IFERROR(IF(ISBLANK(Actuals!N14),"",('Original Budget'!N14-Actuals!N14)/ABS('Original Budget'!N14)),"")</f>
        <v/>
      </c>
      <c r="AX11" s="125" t="n">
        <f aca="false">SUMPRODUCT((Actuals!C14:N14&lt;&gt;"")*('Original Budget'!C14:N14))</f>
        <v>-18863219.9305037</v>
      </c>
      <c r="AY11" s="125" t="n">
        <f aca="false">SUM(Actuals!C14:N14)</f>
        <v>-19191057.86</v>
      </c>
      <c r="AZ11" s="126" t="n">
        <f aca="false">AX11-AY11</f>
        <v>327837.929496281</v>
      </c>
    </row>
    <row r="12" customFormat="false" ht="15" hidden="false" customHeight="true" outlineLevel="0" collapsed="false">
      <c r="A12" s="122" t="s">
        <v>55</v>
      </c>
      <c r="B12" s="123" t="n">
        <f aca="false">'Original Budget'!C15</f>
        <v>0</v>
      </c>
      <c r="C12" s="123" t="n">
        <f aca="false">IF(ISBLANK(Actuals!C15),"",Actuals!C15)</f>
        <v>0</v>
      </c>
      <c r="D12" s="124" t="n">
        <f aca="false">IF(ISBLANK(Actuals!C15),"",'Original Budget'!C15-Actuals!C15)</f>
        <v>0</v>
      </c>
      <c r="E12" s="124" t="str">
        <f aca="false">IFERROR(IF(ISBLANK(Actuals!C15),"",('Original Budget'!C15-Actuals!C15)/ABS('Original Budget'!C15)),"")</f>
        <v/>
      </c>
      <c r="F12" s="123" t="n">
        <f aca="false">'Original Budget'!D15</f>
        <v>0</v>
      </c>
      <c r="G12" s="123" t="n">
        <f aca="false">IF(ISBLANK(Actuals!D15),"",Actuals!D15)</f>
        <v>0</v>
      </c>
      <c r="H12" s="124" t="n">
        <f aca="false">IF(ISBLANK(Actuals!D15),"",'Original Budget'!D15-Actuals!D15)</f>
        <v>0</v>
      </c>
      <c r="I12" s="124" t="str">
        <f aca="false">IFERROR(IF(ISBLANK(Actuals!D15),"",('Original Budget'!D15-Actuals!D15)/ABS('Original Budget'!D15)),"")</f>
        <v/>
      </c>
      <c r="J12" s="123" t="n">
        <f aca="false">'Original Budget'!E15</f>
        <v>0</v>
      </c>
      <c r="K12" s="123" t="n">
        <f aca="false">IF(ISBLANK(Actuals!E15),"",Actuals!E15)</f>
        <v>0</v>
      </c>
      <c r="L12" s="124" t="n">
        <f aca="false">IF(ISBLANK(Actuals!E15),"",'Original Budget'!E15-Actuals!E15)</f>
        <v>0</v>
      </c>
      <c r="M12" s="124" t="str">
        <f aca="false">IFERROR(IF(ISBLANK(Actuals!E15),"",('Original Budget'!E15-Actuals!E15)/ABS('Original Budget'!E15)),"")</f>
        <v/>
      </c>
      <c r="N12" s="123" t="n">
        <f aca="false">'Original Budget'!F15</f>
        <v>0</v>
      </c>
      <c r="O12" s="123" t="n">
        <f aca="false">IF(ISBLANK(Actuals!F15),"",Actuals!F15)</f>
        <v>0</v>
      </c>
      <c r="P12" s="124" t="n">
        <f aca="false">IF(ISBLANK(Actuals!F15),"",'Original Budget'!F15-Actuals!F15)</f>
        <v>0</v>
      </c>
      <c r="Q12" s="124" t="str">
        <f aca="false">IFERROR(IF(ISBLANK(Actuals!F15),"",('Original Budget'!F15-Actuals!F15)/ABS('Original Budget'!F15)),"")</f>
        <v/>
      </c>
      <c r="R12" s="123" t="n">
        <f aca="false">'Original Budget'!G15</f>
        <v>0</v>
      </c>
      <c r="S12" s="123" t="n">
        <f aca="false">IF(ISBLANK(Actuals!G15),"",Actuals!G15)</f>
        <v>0</v>
      </c>
      <c r="T12" s="124" t="n">
        <f aca="false">IF(ISBLANK(Actuals!G15),"",'Original Budget'!G15-Actuals!G15)</f>
        <v>0</v>
      </c>
      <c r="U12" s="124" t="str">
        <f aca="false">IFERROR(IF(ISBLANK(Actuals!G15),"",('Original Budget'!G15-Actuals!G15)/ABS('Original Budget'!G15)),"")</f>
        <v/>
      </c>
      <c r="V12" s="123" t="n">
        <f aca="false">'Original Budget'!H15</f>
        <v>0</v>
      </c>
      <c r="W12" s="123" t="n">
        <f aca="false">IF(ISBLANK(Actuals!H15),"",Actuals!H15)</f>
        <v>0</v>
      </c>
      <c r="X12" s="124" t="n">
        <f aca="false">IF(ISBLANK(Actuals!H15),"",'Original Budget'!H15-Actuals!H15)</f>
        <v>0</v>
      </c>
      <c r="Y12" s="124" t="str">
        <f aca="false">IFERROR(IF(ISBLANK(Actuals!H15),"",('Original Budget'!H15-Actuals!H15)/ABS('Original Budget'!H15)),"")</f>
        <v/>
      </c>
      <c r="Z12" s="123" t="n">
        <f aca="false">'Original Budget'!I15</f>
        <v>644526.72</v>
      </c>
      <c r="AA12" s="123" t="str">
        <f aca="false">IF(ISBLANK(Actuals!I15),"",Actuals!I15)</f>
        <v/>
      </c>
      <c r="AB12" s="124" t="str">
        <f aca="false">IF(ISBLANK(Actuals!I15),"",'Original Budget'!I15-Actuals!I15)</f>
        <v/>
      </c>
      <c r="AC12" s="124" t="str">
        <f aca="false">IFERROR(IF(ISBLANK(Actuals!I15),"",('Original Budget'!I15-Actuals!I15)/ABS('Original Budget'!I15)),"")</f>
        <v/>
      </c>
      <c r="AD12" s="123" t="n">
        <f aca="false">'Original Budget'!J15</f>
        <v>0</v>
      </c>
      <c r="AE12" s="123" t="str">
        <f aca="false">IF(ISBLANK(Actuals!J15),"",Actuals!J15)</f>
        <v/>
      </c>
      <c r="AF12" s="124" t="str">
        <f aca="false">IF(ISBLANK(Actuals!J15),"",'Original Budget'!J15-Actuals!J15)</f>
        <v/>
      </c>
      <c r="AG12" s="124" t="str">
        <f aca="false">IFERROR(IF(ISBLANK(Actuals!J15),"",('Original Budget'!J15-Actuals!J15)/ABS('Original Budget'!J15)),"")</f>
        <v/>
      </c>
      <c r="AH12" s="123" t="n">
        <f aca="false">'Original Budget'!K15</f>
        <v>0</v>
      </c>
      <c r="AI12" s="123" t="str">
        <f aca="false">IF(ISBLANK(Actuals!K15),"",Actuals!K15)</f>
        <v/>
      </c>
      <c r="AJ12" s="124" t="str">
        <f aca="false">IF(ISBLANK(Actuals!K15),"",'Original Budget'!K15-Actuals!K15)</f>
        <v/>
      </c>
      <c r="AK12" s="124" t="str">
        <f aca="false">IFERROR(IF(ISBLANK(Actuals!K15),"",('Original Budget'!K15-Actuals!K15)/ABS('Original Budget'!K15)),"")</f>
        <v/>
      </c>
      <c r="AL12" s="123" t="n">
        <f aca="false">'Original Budget'!L15</f>
        <v>442059.825</v>
      </c>
      <c r="AM12" s="123" t="str">
        <f aca="false">IF(ISBLANK(Actuals!L15),"",Actuals!L15)</f>
        <v/>
      </c>
      <c r="AN12" s="124" t="str">
        <f aca="false">IF(ISBLANK(Actuals!L15),"",'Original Budget'!L15-Actuals!L15)</f>
        <v/>
      </c>
      <c r="AO12" s="124" t="str">
        <f aca="false">IFERROR(IF(ISBLANK(Actuals!L15),"",('Original Budget'!L15-Actuals!L15)/ABS('Original Budget'!L15)),"")</f>
        <v/>
      </c>
      <c r="AP12" s="123" t="n">
        <f aca="false">'Original Budget'!M15</f>
        <v>318951.075</v>
      </c>
      <c r="AQ12" s="123" t="str">
        <f aca="false">IF(ISBLANK(Actuals!M15),"",Actuals!M15)</f>
        <v/>
      </c>
      <c r="AR12" s="124" t="str">
        <f aca="false">IF(ISBLANK(Actuals!M15),"",'Original Budget'!M15-Actuals!M15)</f>
        <v/>
      </c>
      <c r="AS12" s="124" t="str">
        <f aca="false">IFERROR(IF(ISBLANK(Actuals!M15),"",('Original Budget'!M15-Actuals!M15)/ABS('Original Budget'!M15)),"")</f>
        <v/>
      </c>
      <c r="AT12" s="123" t="n">
        <f aca="false">'Original Budget'!N15</f>
        <v>0</v>
      </c>
      <c r="AU12" s="123" t="str">
        <f aca="false">IF(ISBLANK(Actuals!N15),"",Actuals!N15)</f>
        <v/>
      </c>
      <c r="AV12" s="124" t="str">
        <f aca="false">IF(ISBLANK(Actuals!N15),"",'Original Budget'!N15-Actuals!N15)</f>
        <v/>
      </c>
      <c r="AW12" s="124" t="str">
        <f aca="false">IFERROR(IF(ISBLANK(Actuals!N15),"",('Original Budget'!N15-Actuals!N15)/ABS('Original Budget'!N15)),"")</f>
        <v/>
      </c>
      <c r="AX12" s="125" t="n">
        <f aca="false">SUMPRODUCT((Actuals!C15:N15&lt;&gt;"")*('Original Budget'!C15:N15))</f>
        <v>0</v>
      </c>
      <c r="AY12" s="125" t="n">
        <f aca="false">SUM(Actuals!C15:N15)</f>
        <v>0</v>
      </c>
      <c r="AZ12" s="126" t="n">
        <f aca="false">AX12-AY12</f>
        <v>0</v>
      </c>
    </row>
    <row r="13" customFormat="false" ht="15" hidden="false" customHeight="true" outlineLevel="0" collapsed="false">
      <c r="A13" s="122" t="s">
        <v>56</v>
      </c>
      <c r="B13" s="123" t="n">
        <f aca="false">'Original Budget'!C16</f>
        <v>-1966.5</v>
      </c>
      <c r="C13" s="123" t="n">
        <f aca="false">IF(ISBLANK(Actuals!C16),"",Actuals!C16)</f>
        <v>-1966.5</v>
      </c>
      <c r="D13" s="124" t="n">
        <f aca="false">IF(ISBLANK(Actuals!C16),"",'Original Budget'!C16-Actuals!C16)</f>
        <v>0</v>
      </c>
      <c r="E13" s="124" t="n">
        <f aca="false">IFERROR(IF(ISBLANK(Actuals!C16),"",('Original Budget'!C16-Actuals!C16)/ABS('Original Budget'!C16)),"")</f>
        <v>0</v>
      </c>
      <c r="F13" s="123" t="n">
        <f aca="false">'Original Budget'!D16</f>
        <v>0</v>
      </c>
      <c r="G13" s="123" t="n">
        <f aca="false">IF(ISBLANK(Actuals!D16),"",Actuals!D16)</f>
        <v>0</v>
      </c>
      <c r="H13" s="124" t="n">
        <f aca="false">IF(ISBLANK(Actuals!D16),"",'Original Budget'!D16-Actuals!D16)</f>
        <v>0</v>
      </c>
      <c r="I13" s="124" t="str">
        <f aca="false">IFERROR(IF(ISBLANK(Actuals!D16),"",('Original Budget'!D16-Actuals!D16)/ABS('Original Budget'!D16)),"")</f>
        <v/>
      </c>
      <c r="J13" s="123" t="n">
        <f aca="false">'Original Budget'!E16</f>
        <v>0</v>
      </c>
      <c r="K13" s="123" t="n">
        <f aca="false">IF(ISBLANK(Actuals!E16),"",Actuals!E16)</f>
        <v>0</v>
      </c>
      <c r="L13" s="124" t="n">
        <f aca="false">IF(ISBLANK(Actuals!E16),"",'Original Budget'!E16-Actuals!E16)</f>
        <v>0</v>
      </c>
      <c r="M13" s="124" t="str">
        <f aca="false">IFERROR(IF(ISBLANK(Actuals!E16),"",('Original Budget'!E16-Actuals!E16)/ABS('Original Budget'!E16)),"")</f>
        <v/>
      </c>
      <c r="N13" s="123" t="n">
        <f aca="false">'Original Budget'!F16</f>
        <v>0</v>
      </c>
      <c r="O13" s="123" t="n">
        <f aca="false">IF(ISBLANK(Actuals!F16),"",Actuals!F16)</f>
        <v>0</v>
      </c>
      <c r="P13" s="124" t="n">
        <f aca="false">IF(ISBLANK(Actuals!F16),"",'Original Budget'!F16-Actuals!F16)</f>
        <v>0</v>
      </c>
      <c r="Q13" s="124" t="str">
        <f aca="false">IFERROR(IF(ISBLANK(Actuals!F16),"",('Original Budget'!F16-Actuals!F16)/ABS('Original Budget'!F16)),"")</f>
        <v/>
      </c>
      <c r="R13" s="123" t="n">
        <f aca="false">'Original Budget'!G16</f>
        <v>0</v>
      </c>
      <c r="S13" s="123" t="n">
        <f aca="false">IF(ISBLANK(Actuals!G16),"",Actuals!G16)</f>
        <v>0</v>
      </c>
      <c r="T13" s="124" t="n">
        <f aca="false">IF(ISBLANK(Actuals!G16),"",'Original Budget'!G16-Actuals!G16)</f>
        <v>0</v>
      </c>
      <c r="U13" s="124" t="str">
        <f aca="false">IFERROR(IF(ISBLANK(Actuals!G16),"",('Original Budget'!G16-Actuals!G16)/ABS('Original Budget'!G16)),"")</f>
        <v/>
      </c>
      <c r="V13" s="123" t="n">
        <f aca="false">'Original Budget'!H16</f>
        <v>0</v>
      </c>
      <c r="W13" s="123" t="n">
        <f aca="false">IF(ISBLANK(Actuals!H16),"",Actuals!H16)</f>
        <v>0</v>
      </c>
      <c r="X13" s="124" t="n">
        <f aca="false">IF(ISBLANK(Actuals!H16),"",'Original Budget'!H16-Actuals!H16)</f>
        <v>0</v>
      </c>
      <c r="Y13" s="124" t="str">
        <f aca="false">IFERROR(IF(ISBLANK(Actuals!H16),"",('Original Budget'!H16-Actuals!H16)/ABS('Original Budget'!H16)),"")</f>
        <v/>
      </c>
      <c r="Z13" s="123" t="n">
        <f aca="false">'Original Budget'!I16</f>
        <v>-317966.5152</v>
      </c>
      <c r="AA13" s="123" t="str">
        <f aca="false">IF(ISBLANK(Actuals!I16),"",Actuals!I16)</f>
        <v/>
      </c>
      <c r="AB13" s="124" t="str">
        <f aca="false">IF(ISBLANK(Actuals!I16),"",'Original Budget'!I16-Actuals!I16)</f>
        <v/>
      </c>
      <c r="AC13" s="124" t="str">
        <f aca="false">IFERROR(IF(ISBLANK(Actuals!I16),"",('Original Budget'!I16-Actuals!I16)/ABS('Original Budget'!I16)),"")</f>
        <v/>
      </c>
      <c r="AD13" s="123" t="n">
        <f aca="false">'Original Budget'!J16</f>
        <v>0</v>
      </c>
      <c r="AE13" s="123" t="str">
        <f aca="false">IF(ISBLANK(Actuals!J16),"",Actuals!J16)</f>
        <v/>
      </c>
      <c r="AF13" s="124" t="str">
        <f aca="false">IF(ISBLANK(Actuals!J16),"",'Original Budget'!J16-Actuals!J16)</f>
        <v/>
      </c>
      <c r="AG13" s="124" t="str">
        <f aca="false">IFERROR(IF(ISBLANK(Actuals!J16),"",('Original Budget'!J16-Actuals!J16)/ABS('Original Budget'!J16)),"")</f>
        <v/>
      </c>
      <c r="AH13" s="123" t="n">
        <f aca="false">'Original Budget'!K16</f>
        <v>0</v>
      </c>
      <c r="AI13" s="123" t="str">
        <f aca="false">IF(ISBLANK(Actuals!K16),"",Actuals!K16)</f>
        <v/>
      </c>
      <c r="AJ13" s="124" t="str">
        <f aca="false">IF(ISBLANK(Actuals!K16),"",'Original Budget'!K16-Actuals!K16)</f>
        <v/>
      </c>
      <c r="AK13" s="124" t="str">
        <f aca="false">IFERROR(IF(ISBLANK(Actuals!K16),"",('Original Budget'!K16-Actuals!K16)/ABS('Original Budget'!K16)),"")</f>
        <v/>
      </c>
      <c r="AL13" s="123" t="n">
        <f aca="false">'Original Budget'!L16</f>
        <v>-218082.847</v>
      </c>
      <c r="AM13" s="123" t="str">
        <f aca="false">IF(ISBLANK(Actuals!L16),"",Actuals!L16)</f>
        <v/>
      </c>
      <c r="AN13" s="124" t="str">
        <f aca="false">IF(ISBLANK(Actuals!L16),"",'Original Budget'!L16-Actuals!L16)</f>
        <v/>
      </c>
      <c r="AO13" s="124" t="str">
        <f aca="false">IFERROR(IF(ISBLANK(Actuals!L16),"",('Original Budget'!L16-Actuals!L16)/ABS('Original Budget'!L16)),"")</f>
        <v/>
      </c>
      <c r="AP13" s="123" t="n">
        <f aca="false">'Original Budget'!M16</f>
        <v>-157349.197</v>
      </c>
      <c r="AQ13" s="123" t="str">
        <f aca="false">IF(ISBLANK(Actuals!M16),"",Actuals!M16)</f>
        <v/>
      </c>
      <c r="AR13" s="124" t="str">
        <f aca="false">IF(ISBLANK(Actuals!M16),"",'Original Budget'!M16-Actuals!M16)</f>
        <v/>
      </c>
      <c r="AS13" s="124" t="str">
        <f aca="false">IFERROR(IF(ISBLANK(Actuals!M16),"",('Original Budget'!M16-Actuals!M16)/ABS('Original Budget'!M16)),"")</f>
        <v/>
      </c>
      <c r="AT13" s="123" t="n">
        <f aca="false">'Original Budget'!N16</f>
        <v>0</v>
      </c>
      <c r="AU13" s="123" t="str">
        <f aca="false">IF(ISBLANK(Actuals!N16),"",Actuals!N16)</f>
        <v/>
      </c>
      <c r="AV13" s="124" t="str">
        <f aca="false">IF(ISBLANK(Actuals!N16),"",'Original Budget'!N16-Actuals!N16)</f>
        <v/>
      </c>
      <c r="AW13" s="124" t="str">
        <f aca="false">IFERROR(IF(ISBLANK(Actuals!N16),"",('Original Budget'!N16-Actuals!N16)/ABS('Original Budget'!N16)),"")</f>
        <v/>
      </c>
      <c r="AX13" s="125" t="n">
        <f aca="false">SUMPRODUCT((Actuals!C16:N16&lt;&gt;"")*('Original Budget'!C16:N16))</f>
        <v>-1966.5</v>
      </c>
      <c r="AY13" s="125" t="n">
        <f aca="false">SUM(Actuals!C16:N16)</f>
        <v>-1966.5</v>
      </c>
      <c r="AZ13" s="126" t="n">
        <f aca="false">AX13-AY13</f>
        <v>0</v>
      </c>
    </row>
    <row r="14" customFormat="false" ht="15" hidden="false" customHeight="true" outlineLevel="0" collapsed="false">
      <c r="A14" s="122" t="s">
        <v>57</v>
      </c>
      <c r="B14" s="123" t="n">
        <f aca="false">'Original Budget'!C17</f>
        <v>218752.81</v>
      </c>
      <c r="C14" s="123" t="n">
        <f aca="false">IF(ISBLANK(Actuals!C17),"",Actuals!C17)</f>
        <v>218756.86</v>
      </c>
      <c r="D14" s="124" t="n">
        <f aca="false">IF(ISBLANK(Actuals!C17),"",'Original Budget'!C17-Actuals!C17)</f>
        <v>-4.05000000004657</v>
      </c>
      <c r="E14" s="124" t="n">
        <f aca="false">IFERROR(IF(ISBLANK(Actuals!C17),"",('Original Budget'!C17-Actuals!C17)/ABS('Original Budget'!C17)),"")</f>
        <v>-1.85140478883291E-005</v>
      </c>
      <c r="F14" s="123" t="n">
        <f aca="false">'Original Budget'!D17</f>
        <v>-51003.4699999997</v>
      </c>
      <c r="G14" s="123" t="n">
        <f aca="false">IF(ISBLANK(Actuals!D17),"",Actuals!D17)</f>
        <v>-51000.77</v>
      </c>
      <c r="H14" s="124" t="n">
        <f aca="false">IF(ISBLANK(Actuals!D17),"",'Original Budget'!D17-Actuals!D17)</f>
        <v>-2.6999999997206</v>
      </c>
      <c r="I14" s="124" t="n">
        <f aca="false">IFERROR(IF(ISBLANK(Actuals!D17),"",('Original Budget'!D17-Actuals!D17)/ABS('Original Budget'!D17)),"")</f>
        <v>-5.29375746340517E-005</v>
      </c>
      <c r="J14" s="123" t="n">
        <f aca="false">'Original Budget'!E17</f>
        <v>594184.52</v>
      </c>
      <c r="K14" s="123" t="n">
        <f aca="false">IF(ISBLANK(Actuals!E17),"",Actuals!E17)</f>
        <v>594184.52</v>
      </c>
      <c r="L14" s="124" t="n">
        <f aca="false">IF(ISBLANK(Actuals!E17),"",'Original Budget'!E17-Actuals!E17)</f>
        <v>0</v>
      </c>
      <c r="M14" s="124" t="n">
        <f aca="false">IFERROR(IF(ISBLANK(Actuals!E17),"",('Original Budget'!E17-Actuals!E17)/ABS('Original Budget'!E17)),"")</f>
        <v>0</v>
      </c>
      <c r="N14" s="123" t="n">
        <f aca="false">'Original Budget'!F17</f>
        <v>468885.062220243</v>
      </c>
      <c r="O14" s="123" t="n">
        <f aca="false">IF(ISBLANK(Actuals!F17),"",Actuals!F17)</f>
        <v>447358.25</v>
      </c>
      <c r="P14" s="124" t="n">
        <f aca="false">IF(ISBLANK(Actuals!F17),"",'Original Budget'!F17-Actuals!F17)</f>
        <v>21526.8122202423</v>
      </c>
      <c r="Q14" s="124" t="n">
        <f aca="false">IFERROR(IF(ISBLANK(Actuals!F17),"",('Original Budget'!F17-Actuals!F17)/ABS('Original Budget'!F17)),"")</f>
        <v>0.045910637712171</v>
      </c>
      <c r="R14" s="123" t="n">
        <f aca="false">'Original Budget'!G17</f>
        <v>468885.061577853</v>
      </c>
      <c r="S14" s="123" t="n">
        <f aca="false">IF(ISBLANK(Actuals!G17),"",Actuals!G17)</f>
        <v>465536.7</v>
      </c>
      <c r="T14" s="124" t="n">
        <f aca="false">IF(ISBLANK(Actuals!G17),"",'Original Budget'!G17-Actuals!G17)</f>
        <v>3348.36157785356</v>
      </c>
      <c r="U14" s="124" t="n">
        <f aca="false">IFERROR(IF(ISBLANK(Actuals!G17),"",('Original Budget'!G17-Actuals!G17)/ABS('Original Budget'!G17)),"")</f>
        <v>0.0071411137872167</v>
      </c>
      <c r="V14" s="123" t="n">
        <f aca="false">'Original Budget'!H17</f>
        <v>468885.064460973</v>
      </c>
      <c r="W14" s="123" t="n">
        <f aca="false">IF(ISBLANK(Actuals!H17),"",Actuals!H17)</f>
        <v>641351.130000001</v>
      </c>
      <c r="X14" s="124" t="n">
        <f aca="false">IF(ISBLANK(Actuals!H17),"",'Original Budget'!H17-Actuals!H17)</f>
        <v>-172466.065539028</v>
      </c>
      <c r="Y14" s="124" t="n">
        <f aca="false">IFERROR(IF(ISBLANK(Actuals!H17),"",('Original Budget'!H17-Actuals!H17)/ABS('Original Budget'!H17)),"")</f>
        <v>-0.367821623274124</v>
      </c>
      <c r="Z14" s="123" t="n">
        <f aca="false">'Original Budget'!I17</f>
        <v>959257.390269293</v>
      </c>
      <c r="AA14" s="123" t="n">
        <f aca="false">IF(ISBLANK(Actuals!I17),"",Actuals!I17)</f>
        <v>0</v>
      </c>
      <c r="AB14" s="124" t="n">
        <f aca="false">IF(ISBLANK(Actuals!I17),"",'Original Budget'!I17-Actuals!I17)</f>
        <v>959257.390269293</v>
      </c>
      <c r="AC14" s="124" t="n">
        <f aca="false">IFERROR(IF(ISBLANK(Actuals!I17),"",('Original Budget'!I17-Actuals!I17)/ABS('Original Budget'!I17)),"")</f>
        <v>1</v>
      </c>
      <c r="AD14" s="123" t="n">
        <f aca="false">'Original Budget'!J17</f>
        <v>632697.193414873</v>
      </c>
      <c r="AE14" s="123" t="n">
        <f aca="false">IF(ISBLANK(Actuals!J17),"",Actuals!J17)</f>
        <v>0</v>
      </c>
      <c r="AF14" s="124" t="n">
        <f aca="false">IF(ISBLANK(Actuals!J17),"",'Original Budget'!J17-Actuals!J17)</f>
        <v>632697.193414873</v>
      </c>
      <c r="AG14" s="124" t="n">
        <f aca="false">IFERROR(IF(ISBLANK(Actuals!J17),"",('Original Budget'!J17-Actuals!J17)/ABS('Original Budget'!J17)),"")</f>
        <v>1</v>
      </c>
      <c r="AH14" s="123" t="n">
        <f aca="false">'Original Budget'!K17</f>
        <v>632697.191315133</v>
      </c>
      <c r="AI14" s="123" t="n">
        <f aca="false">IF(ISBLANK(Actuals!K17),"",Actuals!K17)</f>
        <v>0</v>
      </c>
      <c r="AJ14" s="124" t="n">
        <f aca="false">IF(ISBLANK(Actuals!K17),"",'Original Budget'!K17-Actuals!K17)</f>
        <v>632697.191315133</v>
      </c>
      <c r="AK14" s="124" t="n">
        <f aca="false">IFERROR(IF(ISBLANK(Actuals!K17),"",('Original Budget'!K17-Actuals!K17)/ABS('Original Budget'!K17)),"")</f>
        <v>1</v>
      </c>
      <c r="AL14" s="123" t="n">
        <f aca="false">'Original Budget'!L17</f>
        <v>999101.928826481</v>
      </c>
      <c r="AM14" s="123" t="n">
        <f aca="false">IF(ISBLANK(Actuals!L17),"",Actuals!L17)</f>
        <v>0</v>
      </c>
      <c r="AN14" s="124" t="n">
        <f aca="false">IF(ISBLANK(Actuals!L17),"",'Original Budget'!L17-Actuals!L17)</f>
        <v>999101.928826481</v>
      </c>
      <c r="AO14" s="124" t="n">
        <f aca="false">IFERROR(IF(ISBLANK(Actuals!L17),"",('Original Budget'!L17-Actuals!L17)/ABS('Original Budget'!L17)),"")</f>
        <v>1</v>
      </c>
      <c r="AP14" s="123" t="n">
        <f aca="false">'Original Budget'!M17</f>
        <v>1080952.85657232</v>
      </c>
      <c r="AQ14" s="123" t="n">
        <f aca="false">IF(ISBLANK(Actuals!M17),"",Actuals!M17)</f>
        <v>0</v>
      </c>
      <c r="AR14" s="124" t="n">
        <f aca="false">IF(ISBLANK(Actuals!M17),"",'Original Budget'!M17-Actuals!M17)</f>
        <v>1080952.85657232</v>
      </c>
      <c r="AS14" s="124" t="n">
        <f aca="false">IFERROR(IF(ISBLANK(Actuals!M17),"",('Original Budget'!M17-Actuals!M17)/ABS('Original Budget'!M17)),"")</f>
        <v>1</v>
      </c>
      <c r="AT14" s="123" t="n">
        <f aca="false">'Original Budget'!N17</f>
        <v>774577.772324943</v>
      </c>
      <c r="AU14" s="123" t="n">
        <f aca="false">IF(ISBLANK(Actuals!N17),"",Actuals!N17)</f>
        <v>0</v>
      </c>
      <c r="AV14" s="124" t="n">
        <f aca="false">IF(ISBLANK(Actuals!N17),"",'Original Budget'!N17-Actuals!N17)</f>
        <v>774577.772324943</v>
      </c>
      <c r="AW14" s="124" t="n">
        <f aca="false">IFERROR(IF(ISBLANK(Actuals!N17),"",('Original Budget'!N17-Actuals!N17)/ABS('Original Budget'!N17)),"")</f>
        <v>1</v>
      </c>
      <c r="AX14" s="125" t="n">
        <f aca="false">SUMPRODUCT((Actuals!C17:N17&lt;&gt;"")*('Original Budget'!C17:N17))</f>
        <v>7247873.38098211</v>
      </c>
      <c r="AY14" s="125" t="n">
        <f aca="false">SUM(Actuals!C17:N17)</f>
        <v>2316186.69</v>
      </c>
      <c r="AZ14" s="126" t="n">
        <f aca="false">AX14-AY14</f>
        <v>4931686.69098211</v>
      </c>
    </row>
    <row r="15" customFormat="false" ht="15" hidden="false" customHeight="true" outlineLevel="0" collapsed="false">
      <c r="A15" s="122" t="s">
        <v>60</v>
      </c>
      <c r="B15" s="123" t="n">
        <f aca="false">'Original Budget'!C21</f>
        <v>-144550.9</v>
      </c>
      <c r="C15" s="123" t="n">
        <f aca="false">IF(ISBLANK(Actuals!C21),"",Actuals!C21)</f>
        <v>-144550.9</v>
      </c>
      <c r="D15" s="124" t="n">
        <f aca="false">IF(ISBLANK(Actuals!C21),"",'Original Budget'!C21-Actuals!C21)</f>
        <v>0</v>
      </c>
      <c r="E15" s="124" t="n">
        <f aca="false">IFERROR(IF(ISBLANK(Actuals!C21),"",('Original Budget'!C21-Actuals!C21)/ABS('Original Budget'!C21)),"")</f>
        <v>0</v>
      </c>
      <c r="F15" s="123" t="n">
        <f aca="false">'Original Budget'!D21</f>
        <v>-150672.84</v>
      </c>
      <c r="G15" s="123" t="n">
        <f aca="false">IF(ISBLANK(Actuals!D21),"",Actuals!D21)</f>
        <v>-150672.84</v>
      </c>
      <c r="H15" s="124" t="n">
        <f aca="false">IF(ISBLANK(Actuals!D21),"",'Original Budget'!D21-Actuals!D21)</f>
        <v>0</v>
      </c>
      <c r="I15" s="124" t="n">
        <f aca="false">IFERROR(IF(ISBLANK(Actuals!D21),"",('Original Budget'!D21-Actuals!D21)/ABS('Original Budget'!D21)),"")</f>
        <v>0</v>
      </c>
      <c r="J15" s="123" t="n">
        <f aca="false">'Original Budget'!E21</f>
        <v>-178867.86</v>
      </c>
      <c r="K15" s="123" t="n">
        <f aca="false">IF(ISBLANK(Actuals!E21),"",Actuals!E21)</f>
        <v>-178867.86</v>
      </c>
      <c r="L15" s="124" t="n">
        <f aca="false">IF(ISBLANK(Actuals!E21),"",'Original Budget'!E21-Actuals!E21)</f>
        <v>0</v>
      </c>
      <c r="M15" s="124" t="n">
        <f aca="false">IFERROR(IF(ISBLANK(Actuals!E21),"",('Original Budget'!E21-Actuals!E21)/ABS('Original Budget'!E21)),"")</f>
        <v>0</v>
      </c>
      <c r="N15" s="123" t="n">
        <f aca="false">'Original Budget'!F21</f>
        <v>-164791.666666667</v>
      </c>
      <c r="O15" s="123" t="n">
        <f aca="false">IF(ISBLANK(Actuals!F21),"",Actuals!F21)</f>
        <v>-187693.63</v>
      </c>
      <c r="P15" s="124" t="n">
        <f aca="false">IF(ISBLANK(Actuals!F21),"",'Original Budget'!F21-Actuals!F21)</f>
        <v>22901.963333333</v>
      </c>
      <c r="Q15" s="124" t="n">
        <f aca="false">IFERROR(IF(ISBLANK(Actuals!F21),"",('Original Budget'!F21-Actuals!F21)/ABS('Original Budget'!F21)),"")</f>
        <v>0.138975251580276</v>
      </c>
      <c r="R15" s="123" t="n">
        <f aca="false">'Original Budget'!G21</f>
        <v>-189375</v>
      </c>
      <c r="S15" s="123" t="n">
        <f aca="false">IF(ISBLANK(Actuals!G21),"",Actuals!G21)</f>
        <v>-295949.1</v>
      </c>
      <c r="T15" s="124" t="n">
        <f aca="false">IF(ISBLANK(Actuals!G21),"",'Original Budget'!G21-Actuals!G21)</f>
        <v>106574.1</v>
      </c>
      <c r="U15" s="124" t="n">
        <f aca="false">IFERROR(IF(ISBLANK(Actuals!G21),"",('Original Budget'!G21-Actuals!G21)/ABS('Original Budget'!G21)),"")</f>
        <v>0.562767524752475</v>
      </c>
      <c r="V15" s="123" t="n">
        <f aca="false">'Original Budget'!H21</f>
        <v>-214375</v>
      </c>
      <c r="W15" s="123" t="n">
        <f aca="false">IF(ISBLANK(Actuals!H21),"",Actuals!H21)</f>
        <v>-198645.92</v>
      </c>
      <c r="X15" s="124" t="n">
        <f aca="false">IF(ISBLANK(Actuals!H21),"",'Original Budget'!H21-Actuals!H21)</f>
        <v>-15729.08</v>
      </c>
      <c r="Y15" s="124" t="n">
        <f aca="false">IFERROR(IF(ISBLANK(Actuals!H21),"",('Original Budget'!H21-Actuals!H21)/ABS('Original Budget'!H21)),"")</f>
        <v>-0.0733718017492711</v>
      </c>
      <c r="Z15" s="123" t="n">
        <f aca="false">'Original Budget'!I21</f>
        <v>-225208.333333333</v>
      </c>
      <c r="AA15" s="123" t="str">
        <f aca="false">IF(ISBLANK(Actuals!I21),"",Actuals!I21)</f>
        <v/>
      </c>
      <c r="AB15" s="124" t="str">
        <f aca="false">IF(ISBLANK(Actuals!I21),"",'Original Budget'!I21-Actuals!I21)</f>
        <v/>
      </c>
      <c r="AC15" s="124" t="str">
        <f aca="false">IFERROR(IF(ISBLANK(Actuals!I21),"",('Original Budget'!I21-Actuals!I21)/ABS('Original Budget'!I21)),"")</f>
        <v/>
      </c>
      <c r="AD15" s="123" t="n">
        <f aca="false">'Original Budget'!J21</f>
        <v>-225208.333333333</v>
      </c>
      <c r="AE15" s="123" t="str">
        <f aca="false">IF(ISBLANK(Actuals!J21),"",Actuals!J21)</f>
        <v/>
      </c>
      <c r="AF15" s="124" t="str">
        <f aca="false">IF(ISBLANK(Actuals!J21),"",'Original Budget'!J21-Actuals!J21)</f>
        <v/>
      </c>
      <c r="AG15" s="124" t="str">
        <f aca="false">IFERROR(IF(ISBLANK(Actuals!J21),"",('Original Budget'!J21-Actuals!J21)/ABS('Original Budget'!J21)),"")</f>
        <v/>
      </c>
      <c r="AH15" s="123" t="n">
        <f aca="false">'Original Budget'!K21</f>
        <v>-225208.333333333</v>
      </c>
      <c r="AI15" s="123" t="str">
        <f aca="false">IF(ISBLANK(Actuals!K21),"",Actuals!K21)</f>
        <v/>
      </c>
      <c r="AJ15" s="124" t="str">
        <f aca="false">IF(ISBLANK(Actuals!K21),"",'Original Budget'!K21-Actuals!K21)</f>
        <v/>
      </c>
      <c r="AK15" s="124" t="str">
        <f aca="false">IFERROR(IF(ISBLANK(Actuals!K21),"",('Original Budget'!K21-Actuals!K21)/ABS('Original Budget'!K21)),"")</f>
        <v/>
      </c>
      <c r="AL15" s="123" t="n">
        <f aca="false">'Original Budget'!L21</f>
        <v>-246041.666666667</v>
      </c>
      <c r="AM15" s="123" t="str">
        <f aca="false">IF(ISBLANK(Actuals!L21),"",Actuals!L21)</f>
        <v/>
      </c>
      <c r="AN15" s="124" t="str">
        <f aca="false">IF(ISBLANK(Actuals!L21),"",'Original Budget'!L21-Actuals!L21)</f>
        <v/>
      </c>
      <c r="AO15" s="124" t="str">
        <f aca="false">IFERROR(IF(ISBLANK(Actuals!L21),"",('Original Budget'!L21-Actuals!L21)/ABS('Original Budget'!L21)),"")</f>
        <v/>
      </c>
      <c r="AP15" s="123" t="n">
        <f aca="false">'Original Budget'!M21</f>
        <v>-276041.666666667</v>
      </c>
      <c r="AQ15" s="123" t="str">
        <f aca="false">IF(ISBLANK(Actuals!M21),"",Actuals!M21)</f>
        <v/>
      </c>
      <c r="AR15" s="124" t="str">
        <f aca="false">IF(ISBLANK(Actuals!M21),"",'Original Budget'!M21-Actuals!M21)</f>
        <v/>
      </c>
      <c r="AS15" s="124" t="str">
        <f aca="false">IFERROR(IF(ISBLANK(Actuals!M21),"",('Original Budget'!M21-Actuals!M21)/ABS('Original Budget'!M21)),"")</f>
        <v/>
      </c>
      <c r="AT15" s="123" t="n">
        <f aca="false">'Original Budget'!N21</f>
        <v>-276041.666666667</v>
      </c>
      <c r="AU15" s="123" t="str">
        <f aca="false">IF(ISBLANK(Actuals!N21),"",Actuals!N21)</f>
        <v/>
      </c>
      <c r="AV15" s="124" t="str">
        <f aca="false">IF(ISBLANK(Actuals!N21),"",'Original Budget'!N21-Actuals!N21)</f>
        <v/>
      </c>
      <c r="AW15" s="124" t="str">
        <f aca="false">IFERROR(IF(ISBLANK(Actuals!N21),"",('Original Budget'!N21-Actuals!N21)/ABS('Original Budget'!N21)),"")</f>
        <v/>
      </c>
      <c r="AX15" s="125" t="n">
        <f aca="false">SUMPRODUCT((Actuals!C21:N21&lt;&gt;"")*('Original Budget'!C21:N21))</f>
        <v>-1042633.26666667</v>
      </c>
      <c r="AY15" s="125" t="n">
        <f aca="false">SUM(Actuals!C21:N21)</f>
        <v>-1156380.25</v>
      </c>
      <c r="AZ15" s="126" t="n">
        <f aca="false">AX15-AY15</f>
        <v>113746.983333333</v>
      </c>
    </row>
    <row r="16" customFormat="false" ht="15" hidden="false" customHeight="true" outlineLevel="0" collapsed="false">
      <c r="A16" s="122" t="s">
        <v>61</v>
      </c>
      <c r="B16" s="123" t="n">
        <f aca="false">'Original Budget'!C22</f>
        <v>-7450.37</v>
      </c>
      <c r="C16" s="123" t="n">
        <f aca="false">IF(ISBLANK(Actuals!C22),"",Actuals!C22)</f>
        <v>-7450.37</v>
      </c>
      <c r="D16" s="124" t="n">
        <f aca="false">IF(ISBLANK(Actuals!C22),"",'Original Budget'!C22-Actuals!C22)</f>
        <v>0</v>
      </c>
      <c r="E16" s="124" t="n">
        <f aca="false">IFERROR(IF(ISBLANK(Actuals!C22),"",('Original Budget'!C22-Actuals!C22)/ABS('Original Budget'!C22)),"")</f>
        <v>0</v>
      </c>
      <c r="F16" s="123" t="n">
        <f aca="false">'Original Budget'!D22</f>
        <v>-10567.2</v>
      </c>
      <c r="G16" s="123" t="n">
        <f aca="false">IF(ISBLANK(Actuals!D22),"",Actuals!D22)</f>
        <v>-10567.2</v>
      </c>
      <c r="H16" s="124" t="n">
        <f aca="false">IF(ISBLANK(Actuals!D22),"",'Original Budget'!D22-Actuals!D22)</f>
        <v>0</v>
      </c>
      <c r="I16" s="124" t="n">
        <f aca="false">IFERROR(IF(ISBLANK(Actuals!D22),"",('Original Budget'!D22-Actuals!D22)/ABS('Original Budget'!D22)),"")</f>
        <v>0</v>
      </c>
      <c r="J16" s="123" t="n">
        <f aca="false">'Original Budget'!E22</f>
        <v>-17033.3</v>
      </c>
      <c r="K16" s="123" t="n">
        <f aca="false">IF(ISBLANK(Actuals!E22),"",Actuals!E22)</f>
        <v>-17033.3</v>
      </c>
      <c r="L16" s="124" t="n">
        <f aca="false">IF(ISBLANK(Actuals!E22),"",'Original Budget'!E22-Actuals!E22)</f>
        <v>0</v>
      </c>
      <c r="M16" s="124" t="n">
        <f aca="false">IFERROR(IF(ISBLANK(Actuals!E22),"",('Original Budget'!E22-Actuals!E22)/ABS('Original Budget'!E22)),"")</f>
        <v>0</v>
      </c>
      <c r="N16" s="123" t="n">
        <f aca="false">'Original Budget'!F22</f>
        <v>-15327.0833333333</v>
      </c>
      <c r="O16" s="123" t="n">
        <f aca="false">IF(ISBLANK(Actuals!F22),"",Actuals!F22)</f>
        <v>-14599.57</v>
      </c>
      <c r="P16" s="124" t="n">
        <f aca="false">IF(ISBLANK(Actuals!F22),"",'Original Budget'!F22-Actuals!F22)</f>
        <v>-727.5133333333</v>
      </c>
      <c r="Q16" s="124" t="n">
        <f aca="false">IFERROR(IF(ISBLANK(Actuals!F22),"",('Original Budget'!F22-Actuals!F22)/ABS('Original Budget'!F22)),"")</f>
        <v>-0.0474658692401773</v>
      </c>
      <c r="R16" s="123" t="n">
        <f aca="false">'Original Budget'!G22</f>
        <v>-17047.9166666667</v>
      </c>
      <c r="S16" s="123" t="n">
        <f aca="false">IF(ISBLANK(Actuals!G22),"",Actuals!G22)</f>
        <v>-23689.02</v>
      </c>
      <c r="T16" s="124" t="n">
        <f aca="false">IF(ISBLANK(Actuals!G22),"",'Original Budget'!G22-Actuals!G22)</f>
        <v>6641.1033333333</v>
      </c>
      <c r="U16" s="124" t="n">
        <f aca="false">IFERROR(IF(ISBLANK(Actuals!G22),"",('Original Budget'!G22-Actuals!G22)/ABS('Original Budget'!G22)),"")</f>
        <v>0.389555126481728</v>
      </c>
      <c r="V16" s="123" t="n">
        <f aca="false">'Original Budget'!H22</f>
        <v>-18797.9166666667</v>
      </c>
      <c r="W16" s="123" t="n">
        <f aca="false">IF(ISBLANK(Actuals!H22),"",Actuals!H22)</f>
        <v>-14793.67</v>
      </c>
      <c r="X16" s="124" t="n">
        <f aca="false">IF(ISBLANK(Actuals!H22),"",'Original Budget'!H22-Actuals!H22)</f>
        <v>-4004.2466666667</v>
      </c>
      <c r="Y16" s="124" t="n">
        <f aca="false">IFERROR(IF(ISBLANK(Actuals!H22),"",('Original Budget'!H22-Actuals!H22)/ABS('Original Budget'!H22)),"")</f>
        <v>-0.213015449407072</v>
      </c>
      <c r="Z16" s="123" t="n">
        <f aca="false">'Original Budget'!I22</f>
        <v>-19556.25</v>
      </c>
      <c r="AA16" s="123" t="str">
        <f aca="false">IF(ISBLANK(Actuals!I22),"",Actuals!I22)</f>
        <v/>
      </c>
      <c r="AB16" s="124" t="str">
        <f aca="false">IF(ISBLANK(Actuals!I22),"",'Original Budget'!I22-Actuals!I22)</f>
        <v/>
      </c>
      <c r="AC16" s="124" t="str">
        <f aca="false">IFERROR(IF(ISBLANK(Actuals!I22),"",('Original Budget'!I22-Actuals!I22)/ABS('Original Budget'!I22)),"")</f>
        <v/>
      </c>
      <c r="AD16" s="123" t="n">
        <f aca="false">'Original Budget'!J22</f>
        <v>-19556.25</v>
      </c>
      <c r="AE16" s="123" t="str">
        <f aca="false">IF(ISBLANK(Actuals!J22),"",Actuals!J22)</f>
        <v/>
      </c>
      <c r="AF16" s="124" t="str">
        <f aca="false">IF(ISBLANK(Actuals!J22),"",'Original Budget'!J22-Actuals!J22)</f>
        <v/>
      </c>
      <c r="AG16" s="124" t="str">
        <f aca="false">IFERROR(IF(ISBLANK(Actuals!J22),"",('Original Budget'!J22-Actuals!J22)/ABS('Original Budget'!J22)),"")</f>
        <v/>
      </c>
      <c r="AH16" s="123" t="n">
        <f aca="false">'Original Budget'!K22</f>
        <v>-19556.25</v>
      </c>
      <c r="AI16" s="123" t="str">
        <f aca="false">IF(ISBLANK(Actuals!K22),"",Actuals!K22)</f>
        <v/>
      </c>
      <c r="AJ16" s="124" t="str">
        <f aca="false">IF(ISBLANK(Actuals!K22),"",'Original Budget'!K22-Actuals!K22)</f>
        <v/>
      </c>
      <c r="AK16" s="124" t="str">
        <f aca="false">IFERROR(IF(ISBLANK(Actuals!K22),"",('Original Budget'!K22-Actuals!K22)/ABS('Original Budget'!K22)),"")</f>
        <v/>
      </c>
      <c r="AL16" s="123" t="n">
        <f aca="false">'Original Budget'!L22</f>
        <v>-21014.5833333333</v>
      </c>
      <c r="AM16" s="123" t="str">
        <f aca="false">IF(ISBLANK(Actuals!L22),"",Actuals!L22)</f>
        <v/>
      </c>
      <c r="AN16" s="124" t="str">
        <f aca="false">IF(ISBLANK(Actuals!L22),"",'Original Budget'!L22-Actuals!L22)</f>
        <v/>
      </c>
      <c r="AO16" s="124" t="str">
        <f aca="false">IFERROR(IF(ISBLANK(Actuals!L22),"",('Original Budget'!L22-Actuals!L22)/ABS('Original Budget'!L22)),"")</f>
        <v/>
      </c>
      <c r="AP16" s="123" t="n">
        <f aca="false">'Original Budget'!M22</f>
        <v>-23114.5833333333</v>
      </c>
      <c r="AQ16" s="123" t="str">
        <f aca="false">IF(ISBLANK(Actuals!M22),"",Actuals!M22)</f>
        <v/>
      </c>
      <c r="AR16" s="124" t="str">
        <f aca="false">IF(ISBLANK(Actuals!M22),"",'Original Budget'!M22-Actuals!M22)</f>
        <v/>
      </c>
      <c r="AS16" s="124" t="str">
        <f aca="false">IFERROR(IF(ISBLANK(Actuals!M22),"",('Original Budget'!M22-Actuals!M22)/ABS('Original Budget'!M22)),"")</f>
        <v/>
      </c>
      <c r="AT16" s="123" t="n">
        <f aca="false">'Original Budget'!N22</f>
        <v>-23114.5833333333</v>
      </c>
      <c r="AU16" s="123" t="str">
        <f aca="false">IF(ISBLANK(Actuals!N22),"",Actuals!N22)</f>
        <v/>
      </c>
      <c r="AV16" s="124" t="str">
        <f aca="false">IF(ISBLANK(Actuals!N22),"",'Original Budget'!N22-Actuals!N22)</f>
        <v/>
      </c>
      <c r="AW16" s="124" t="str">
        <f aca="false">IFERROR(IF(ISBLANK(Actuals!N22),"",('Original Budget'!N22-Actuals!N22)/ABS('Original Budget'!N22)),"")</f>
        <v/>
      </c>
      <c r="AX16" s="125" t="n">
        <f aca="false">SUMPRODUCT((Actuals!C22:N22&lt;&gt;"")*('Original Budget'!C22:N22))</f>
        <v>-86223.7866666667</v>
      </c>
      <c r="AY16" s="125" t="n">
        <f aca="false">SUM(Actuals!C22:N22)</f>
        <v>-88133.13</v>
      </c>
      <c r="AZ16" s="126" t="n">
        <f aca="false">AX16-AY16</f>
        <v>1909.34333333331</v>
      </c>
    </row>
    <row r="17" customFormat="false" ht="15" hidden="false" customHeight="true" outlineLevel="0" collapsed="false">
      <c r="A17" s="122" t="s">
        <v>62</v>
      </c>
      <c r="B17" s="123" t="n">
        <f aca="false">'Original Budget'!C23</f>
        <v>0</v>
      </c>
      <c r="C17" s="123" t="str">
        <f aca="false">IF(ISBLANK(Actuals!C23),"",Actuals!C23)</f>
        <v/>
      </c>
      <c r="D17" s="124" t="str">
        <f aca="false">IF(ISBLANK(Actuals!C23),"",'Original Budget'!C23-Actuals!C23)</f>
        <v/>
      </c>
      <c r="E17" s="124" t="str">
        <f aca="false">IFERROR(IF(ISBLANK(Actuals!C23),"",('Original Budget'!C23-Actuals!C23)/ABS('Original Budget'!C23)),"")</f>
        <v/>
      </c>
      <c r="F17" s="123" t="n">
        <f aca="false">'Original Budget'!D23</f>
        <v>0</v>
      </c>
      <c r="G17" s="123" t="str">
        <f aca="false">IF(ISBLANK(Actuals!D23),"",Actuals!D23)</f>
        <v/>
      </c>
      <c r="H17" s="124" t="str">
        <f aca="false">IF(ISBLANK(Actuals!D23),"",'Original Budget'!D23-Actuals!D23)</f>
        <v/>
      </c>
      <c r="I17" s="124" t="str">
        <f aca="false">IFERROR(IF(ISBLANK(Actuals!D23),"",('Original Budget'!D23-Actuals!D23)/ABS('Original Budget'!D23)),"")</f>
        <v/>
      </c>
      <c r="J17" s="123" t="n">
        <f aca="false">'Original Budget'!E23</f>
        <v>0</v>
      </c>
      <c r="K17" s="123" t="str">
        <f aca="false">IF(ISBLANK(Actuals!E23),"",Actuals!E23)</f>
        <v/>
      </c>
      <c r="L17" s="124" t="str">
        <f aca="false">IF(ISBLANK(Actuals!E23),"",'Original Budget'!E23-Actuals!E23)</f>
        <v/>
      </c>
      <c r="M17" s="124" t="str">
        <f aca="false">IFERROR(IF(ISBLANK(Actuals!E23),"",('Original Budget'!E23-Actuals!E23)/ABS('Original Budget'!E23)),"")</f>
        <v/>
      </c>
      <c r="N17" s="123" t="n">
        <f aca="false">'Original Budget'!F23</f>
        <v>-103833.333333333</v>
      </c>
      <c r="O17" s="123" t="n">
        <f aca="false">IF(ISBLANK(Actuals!F23),"",Actuals!F23)</f>
        <v>0</v>
      </c>
      <c r="P17" s="124" t="n">
        <f aca="false">IF(ISBLANK(Actuals!F23),"",'Original Budget'!F23-Actuals!F23)</f>
        <v>-103833.333333333</v>
      </c>
      <c r="Q17" s="124" t="n">
        <f aca="false">IFERROR(IF(ISBLANK(Actuals!F23),"",('Original Budget'!F23-Actuals!F23)/ABS('Original Budget'!F23)),"")</f>
        <v>-1</v>
      </c>
      <c r="R17" s="123" t="n">
        <f aca="false">'Original Budget'!G23</f>
        <v>-103833.333333333</v>
      </c>
      <c r="S17" s="123" t="n">
        <f aca="false">IF(ISBLANK(Actuals!G23),"",Actuals!G23)</f>
        <v>0</v>
      </c>
      <c r="T17" s="124" t="n">
        <f aca="false">IF(ISBLANK(Actuals!G23),"",'Original Budget'!G23-Actuals!G23)</f>
        <v>-103833.333333333</v>
      </c>
      <c r="U17" s="124" t="n">
        <f aca="false">IFERROR(IF(ISBLANK(Actuals!G23),"",('Original Budget'!G23-Actuals!G23)/ABS('Original Budget'!G23)),"")</f>
        <v>-1</v>
      </c>
      <c r="V17" s="123" t="n">
        <f aca="false">'Original Budget'!H23</f>
        <v>-103833.333333333</v>
      </c>
      <c r="W17" s="123" t="str">
        <f aca="false">IF(ISBLANK(Actuals!H23),"",Actuals!H23)</f>
        <v/>
      </c>
      <c r="X17" s="124" t="str">
        <f aca="false">IF(ISBLANK(Actuals!H23),"",'Original Budget'!H23-Actuals!H23)</f>
        <v/>
      </c>
      <c r="Y17" s="124" t="str">
        <f aca="false">IFERROR(IF(ISBLANK(Actuals!H23),"",('Original Budget'!H23-Actuals!H23)/ABS('Original Budget'!H23)),"")</f>
        <v/>
      </c>
      <c r="Z17" s="123" t="n">
        <f aca="false">'Original Budget'!I23</f>
        <v>-103833.333333333</v>
      </c>
      <c r="AA17" s="123" t="str">
        <f aca="false">IF(ISBLANK(Actuals!I23),"",Actuals!I23)</f>
        <v/>
      </c>
      <c r="AB17" s="124" t="str">
        <f aca="false">IF(ISBLANK(Actuals!I23),"",'Original Budget'!I23-Actuals!I23)</f>
        <v/>
      </c>
      <c r="AC17" s="124" t="str">
        <f aca="false">IFERROR(IF(ISBLANK(Actuals!I23),"",('Original Budget'!I23-Actuals!I23)/ABS('Original Budget'!I23)),"")</f>
        <v/>
      </c>
      <c r="AD17" s="123" t="n">
        <f aca="false">'Original Budget'!J23</f>
        <v>-103833.333333333</v>
      </c>
      <c r="AE17" s="123" t="str">
        <f aca="false">IF(ISBLANK(Actuals!J23),"",Actuals!J23)</f>
        <v/>
      </c>
      <c r="AF17" s="124" t="str">
        <f aca="false">IF(ISBLANK(Actuals!J23),"",'Original Budget'!J23-Actuals!J23)</f>
        <v/>
      </c>
      <c r="AG17" s="124" t="str">
        <f aca="false">IFERROR(IF(ISBLANK(Actuals!J23),"",('Original Budget'!J23-Actuals!J23)/ABS('Original Budget'!J23)),"")</f>
        <v/>
      </c>
      <c r="AH17" s="123" t="n">
        <f aca="false">'Original Budget'!K23</f>
        <v>-103833.333333333</v>
      </c>
      <c r="AI17" s="123" t="str">
        <f aca="false">IF(ISBLANK(Actuals!K23),"",Actuals!K23)</f>
        <v/>
      </c>
      <c r="AJ17" s="124" t="str">
        <f aca="false">IF(ISBLANK(Actuals!K23),"",'Original Budget'!K23-Actuals!K23)</f>
        <v/>
      </c>
      <c r="AK17" s="124" t="str">
        <f aca="false">IFERROR(IF(ISBLANK(Actuals!K23),"",('Original Budget'!K23-Actuals!K23)/ABS('Original Budget'!K23)),"")</f>
        <v/>
      </c>
      <c r="AL17" s="123" t="n">
        <f aca="false">'Original Budget'!L23</f>
        <v>-103833.333333333</v>
      </c>
      <c r="AM17" s="123" t="str">
        <f aca="false">IF(ISBLANK(Actuals!L23),"",Actuals!L23)</f>
        <v/>
      </c>
      <c r="AN17" s="124" t="str">
        <f aca="false">IF(ISBLANK(Actuals!L23),"",'Original Budget'!L23-Actuals!L23)</f>
        <v/>
      </c>
      <c r="AO17" s="124" t="str">
        <f aca="false">IFERROR(IF(ISBLANK(Actuals!L23),"",('Original Budget'!L23-Actuals!L23)/ABS('Original Budget'!L23)),"")</f>
        <v/>
      </c>
      <c r="AP17" s="123" t="n">
        <f aca="false">'Original Budget'!M23</f>
        <v>-103833.333333333</v>
      </c>
      <c r="AQ17" s="123" t="str">
        <f aca="false">IF(ISBLANK(Actuals!M23),"",Actuals!M23)</f>
        <v/>
      </c>
      <c r="AR17" s="124" t="str">
        <f aca="false">IF(ISBLANK(Actuals!M23),"",'Original Budget'!M23-Actuals!M23)</f>
        <v/>
      </c>
      <c r="AS17" s="124" t="str">
        <f aca="false">IFERROR(IF(ISBLANK(Actuals!M23),"",('Original Budget'!M23-Actuals!M23)/ABS('Original Budget'!M23)),"")</f>
        <v/>
      </c>
      <c r="AT17" s="123" t="n">
        <f aca="false">'Original Budget'!N23</f>
        <v>-103833.333333333</v>
      </c>
      <c r="AU17" s="123" t="str">
        <f aca="false">IF(ISBLANK(Actuals!N23),"",Actuals!N23)</f>
        <v/>
      </c>
      <c r="AV17" s="124" t="str">
        <f aca="false">IF(ISBLANK(Actuals!N23),"",'Original Budget'!N23-Actuals!N23)</f>
        <v/>
      </c>
      <c r="AW17" s="124" t="str">
        <f aca="false">IFERROR(IF(ISBLANK(Actuals!N23),"",('Original Budget'!N23-Actuals!N23)/ABS('Original Budget'!N23)),"")</f>
        <v/>
      </c>
      <c r="AX17" s="125" t="n">
        <f aca="false">SUMPRODUCT((Actuals!C23:N23&lt;&gt;"")*('Original Budget'!C23:N23))</f>
        <v>-207666.666666666</v>
      </c>
      <c r="AY17" s="125" t="n">
        <f aca="false">SUM(Actuals!C23:N23)</f>
        <v>0</v>
      </c>
      <c r="AZ17" s="126" t="n">
        <f aca="false">AX17-AY17</f>
        <v>-207666.666666666</v>
      </c>
    </row>
    <row r="18" customFormat="false" ht="15" hidden="false" customHeight="true" outlineLevel="0" collapsed="false">
      <c r="A18" s="122" t="s">
        <v>63</v>
      </c>
      <c r="B18" s="123" t="n">
        <f aca="false">'Original Budget'!C24</f>
        <v>-9482.97</v>
      </c>
      <c r="C18" s="123" t="n">
        <f aca="false">IF(ISBLANK(Actuals!C24),"",Actuals!C24)</f>
        <v>-9482.97</v>
      </c>
      <c r="D18" s="124" t="n">
        <f aca="false">IF(ISBLANK(Actuals!C24),"",'Original Budget'!C24-Actuals!C24)</f>
        <v>0</v>
      </c>
      <c r="E18" s="124" t="n">
        <f aca="false">IFERROR(IF(ISBLANK(Actuals!C24),"",('Original Budget'!C24-Actuals!C24)/ABS('Original Budget'!C24)),"")</f>
        <v>0</v>
      </c>
      <c r="F18" s="123" t="n">
        <f aca="false">'Original Budget'!D24</f>
        <v>-10343.29</v>
      </c>
      <c r="G18" s="123" t="n">
        <f aca="false">IF(ISBLANK(Actuals!D24),"",Actuals!D24)</f>
        <v>-10343.29</v>
      </c>
      <c r="H18" s="124" t="n">
        <f aca="false">IF(ISBLANK(Actuals!D24),"",'Original Budget'!D24-Actuals!D24)</f>
        <v>0</v>
      </c>
      <c r="I18" s="124" t="n">
        <f aca="false">IFERROR(IF(ISBLANK(Actuals!D24),"",('Original Budget'!D24-Actuals!D24)/ABS('Original Budget'!D24)),"")</f>
        <v>0</v>
      </c>
      <c r="J18" s="123" t="n">
        <f aca="false">'Original Budget'!E24</f>
        <v>-3729.48</v>
      </c>
      <c r="K18" s="123" t="n">
        <f aca="false">IF(ISBLANK(Actuals!E24),"",Actuals!E24)</f>
        <v>-3729.48</v>
      </c>
      <c r="L18" s="124" t="n">
        <f aca="false">IF(ISBLANK(Actuals!E24),"",'Original Budget'!E24-Actuals!E24)</f>
        <v>0</v>
      </c>
      <c r="M18" s="124" t="n">
        <f aca="false">IFERROR(IF(ISBLANK(Actuals!E24),"",('Original Budget'!E24-Actuals!E24)/ABS('Original Budget'!E24)),"")</f>
        <v>0</v>
      </c>
      <c r="N18" s="123" t="n">
        <f aca="false">'Original Budget'!F24</f>
        <v>-10947.9166666667</v>
      </c>
      <c r="O18" s="123" t="n">
        <f aca="false">IF(ISBLANK(Actuals!F24),"",Actuals!F24)</f>
        <v>-3206.79</v>
      </c>
      <c r="P18" s="124" t="n">
        <f aca="false">IF(ISBLANK(Actuals!F24),"",'Original Budget'!F24-Actuals!F24)</f>
        <v>-7741.1266666667</v>
      </c>
      <c r="Q18" s="124" t="n">
        <f aca="false">IFERROR(IF(ISBLANK(Actuals!F24),"",('Original Budget'!F24-Actuals!F24)/ABS('Original Budget'!F24)),"")</f>
        <v>-0.707086736441485</v>
      </c>
      <c r="R18" s="123" t="n">
        <f aca="false">'Original Budget'!G24</f>
        <v>-12177.0833333333</v>
      </c>
      <c r="S18" s="123" t="n">
        <f aca="false">IF(ISBLANK(Actuals!G24),"",Actuals!G24)</f>
        <v>10942.55</v>
      </c>
      <c r="T18" s="124" t="n">
        <f aca="false">IF(ISBLANK(Actuals!G24),"",'Original Budget'!G24-Actuals!G24)</f>
        <v>-23119.6333333333</v>
      </c>
      <c r="U18" s="124" t="n">
        <f aca="false">IFERROR(IF(ISBLANK(Actuals!G24),"",('Original Budget'!G24-Actuals!G24)/ABS('Original Budget'!G24)),"")</f>
        <v>-1.89861830624466</v>
      </c>
      <c r="V18" s="123" t="n">
        <f aca="false">'Original Budget'!H24</f>
        <v>-13427.0833333333</v>
      </c>
      <c r="W18" s="123" t="n">
        <f aca="false">IF(ISBLANK(Actuals!H24),"",Actuals!H24)</f>
        <v>-8982.91</v>
      </c>
      <c r="X18" s="124" t="n">
        <f aca="false">IF(ISBLANK(Actuals!H24),"",'Original Budget'!H24-Actuals!H24)</f>
        <v>-4444.1733333333</v>
      </c>
      <c r="Y18" s="124" t="n">
        <f aca="false">IFERROR(IF(ISBLANK(Actuals!H24),"",('Original Budget'!H24-Actuals!H24)/ABS('Original Budget'!H24)),"")</f>
        <v>-0.330985756400309</v>
      </c>
      <c r="Z18" s="123" t="n">
        <f aca="false">'Original Budget'!I24</f>
        <v>-13968.75</v>
      </c>
      <c r="AA18" s="123" t="str">
        <f aca="false">IF(ISBLANK(Actuals!I24),"",Actuals!I24)</f>
        <v/>
      </c>
      <c r="AB18" s="124" t="str">
        <f aca="false">IF(ISBLANK(Actuals!I24),"",'Original Budget'!I24-Actuals!I24)</f>
        <v/>
      </c>
      <c r="AC18" s="124" t="str">
        <f aca="false">IFERROR(IF(ISBLANK(Actuals!I24),"",('Original Budget'!I24-Actuals!I24)/ABS('Original Budget'!I24)),"")</f>
        <v/>
      </c>
      <c r="AD18" s="123" t="n">
        <f aca="false">'Original Budget'!J24</f>
        <v>-13968.75</v>
      </c>
      <c r="AE18" s="123" t="str">
        <f aca="false">IF(ISBLANK(Actuals!J24),"",Actuals!J24)</f>
        <v/>
      </c>
      <c r="AF18" s="124" t="str">
        <f aca="false">IF(ISBLANK(Actuals!J24),"",'Original Budget'!J24-Actuals!J24)</f>
        <v/>
      </c>
      <c r="AG18" s="124" t="str">
        <f aca="false">IFERROR(IF(ISBLANK(Actuals!J24),"",('Original Budget'!J24-Actuals!J24)/ABS('Original Budget'!J24)),"")</f>
        <v/>
      </c>
      <c r="AH18" s="123" t="n">
        <f aca="false">'Original Budget'!K24</f>
        <v>-13968.75</v>
      </c>
      <c r="AI18" s="123" t="str">
        <f aca="false">IF(ISBLANK(Actuals!K24),"",Actuals!K24)</f>
        <v/>
      </c>
      <c r="AJ18" s="124" t="str">
        <f aca="false">IF(ISBLANK(Actuals!K24),"",'Original Budget'!K24-Actuals!K24)</f>
        <v/>
      </c>
      <c r="AK18" s="124" t="str">
        <f aca="false">IFERROR(IF(ISBLANK(Actuals!K24),"",('Original Budget'!K24-Actuals!K24)/ABS('Original Budget'!K24)),"")</f>
        <v/>
      </c>
      <c r="AL18" s="123" t="n">
        <f aca="false">'Original Budget'!L24</f>
        <v>-15010.4166666667</v>
      </c>
      <c r="AM18" s="123" t="str">
        <f aca="false">IF(ISBLANK(Actuals!L24),"",Actuals!L24)</f>
        <v/>
      </c>
      <c r="AN18" s="124" t="str">
        <f aca="false">IF(ISBLANK(Actuals!L24),"",'Original Budget'!L24-Actuals!L24)</f>
        <v/>
      </c>
      <c r="AO18" s="124" t="str">
        <f aca="false">IFERROR(IF(ISBLANK(Actuals!L24),"",('Original Budget'!L24-Actuals!L24)/ABS('Original Budget'!L24)),"")</f>
        <v/>
      </c>
      <c r="AP18" s="123" t="n">
        <f aca="false">'Original Budget'!M24</f>
        <v>-16510.4166666667</v>
      </c>
      <c r="AQ18" s="123" t="str">
        <f aca="false">IF(ISBLANK(Actuals!M24),"",Actuals!M24)</f>
        <v/>
      </c>
      <c r="AR18" s="124" t="str">
        <f aca="false">IF(ISBLANK(Actuals!M24),"",'Original Budget'!M24-Actuals!M24)</f>
        <v/>
      </c>
      <c r="AS18" s="124" t="str">
        <f aca="false">IFERROR(IF(ISBLANK(Actuals!M24),"",('Original Budget'!M24-Actuals!M24)/ABS('Original Budget'!M24)),"")</f>
        <v/>
      </c>
      <c r="AT18" s="123" t="n">
        <f aca="false">'Original Budget'!N24</f>
        <v>-16510.4166666667</v>
      </c>
      <c r="AU18" s="123" t="str">
        <f aca="false">IF(ISBLANK(Actuals!N24),"",Actuals!N24)</f>
        <v/>
      </c>
      <c r="AV18" s="124" t="str">
        <f aca="false">IF(ISBLANK(Actuals!N24),"",'Original Budget'!N24-Actuals!N24)</f>
        <v/>
      </c>
      <c r="AW18" s="124" t="str">
        <f aca="false">IFERROR(IF(ISBLANK(Actuals!N24),"",('Original Budget'!N24-Actuals!N24)/ABS('Original Budget'!N24)),"")</f>
        <v/>
      </c>
      <c r="AX18" s="125" t="n">
        <f aca="false">SUMPRODUCT((Actuals!C24:N24&lt;&gt;"")*('Original Budget'!C24:N24))</f>
        <v>-60107.8233333333</v>
      </c>
      <c r="AY18" s="125" t="n">
        <f aca="false">SUM(Actuals!C24:N24)</f>
        <v>-24802.89</v>
      </c>
      <c r="AZ18" s="126" t="n">
        <f aca="false">AX18-AY18</f>
        <v>-35304.9333333333</v>
      </c>
    </row>
    <row r="19" customFormat="false" ht="15" hidden="false" customHeight="true" outlineLevel="0" collapsed="false">
      <c r="A19" s="122" t="s">
        <v>64</v>
      </c>
      <c r="B19" s="123" t="n">
        <f aca="false">'Original Budget'!C25</f>
        <v>-2542.47</v>
      </c>
      <c r="C19" s="123" t="n">
        <f aca="false">IF(ISBLANK(Actuals!C25),"",Actuals!C25)</f>
        <v>-2542.47</v>
      </c>
      <c r="D19" s="124" t="n">
        <f aca="false">IF(ISBLANK(Actuals!C25),"",'Original Budget'!C25-Actuals!C25)</f>
        <v>0</v>
      </c>
      <c r="E19" s="124" t="n">
        <f aca="false">IFERROR(IF(ISBLANK(Actuals!C25),"",('Original Budget'!C25-Actuals!C25)/ABS('Original Budget'!C25)),"")</f>
        <v>0</v>
      </c>
      <c r="F19" s="123" t="n">
        <f aca="false">'Original Budget'!D25</f>
        <v>-1618.75</v>
      </c>
      <c r="G19" s="123" t="n">
        <f aca="false">IF(ISBLANK(Actuals!D25),"",Actuals!D25)</f>
        <v>-1618.75</v>
      </c>
      <c r="H19" s="124" t="n">
        <f aca="false">IF(ISBLANK(Actuals!D25),"",'Original Budget'!D25-Actuals!D25)</f>
        <v>0</v>
      </c>
      <c r="I19" s="124" t="n">
        <f aca="false">IFERROR(IF(ISBLANK(Actuals!D25),"",('Original Budget'!D25-Actuals!D25)/ABS('Original Budget'!D25)),"")</f>
        <v>0</v>
      </c>
      <c r="J19" s="123" t="n">
        <f aca="false">'Original Budget'!E25</f>
        <v>3406.77</v>
      </c>
      <c r="K19" s="123" t="n">
        <f aca="false">IF(ISBLANK(Actuals!E25),"",Actuals!E25)</f>
        <v>3406.77</v>
      </c>
      <c r="L19" s="124" t="n">
        <f aca="false">IF(ISBLANK(Actuals!E25),"",'Original Budget'!E25-Actuals!E25)</f>
        <v>0</v>
      </c>
      <c r="M19" s="124" t="n">
        <f aca="false">IFERROR(IF(ISBLANK(Actuals!E25),"",('Original Budget'!E25-Actuals!E25)/ABS('Original Budget'!E25)),"")</f>
        <v>0</v>
      </c>
      <c r="N19" s="123" t="n">
        <f aca="false">'Original Budget'!F25</f>
        <v>-4379.16666666667</v>
      </c>
      <c r="O19" s="123" t="n">
        <f aca="false">IF(ISBLANK(Actuals!F25),"",Actuals!F25)</f>
        <v>2575.42</v>
      </c>
      <c r="P19" s="124" t="n">
        <f aca="false">IF(ISBLANK(Actuals!F25),"",'Original Budget'!F25-Actuals!F25)</f>
        <v>-6954.58666666667</v>
      </c>
      <c r="Q19" s="124" t="n">
        <f aca="false">IFERROR(IF(ISBLANK(Actuals!F25),"",('Original Budget'!F25-Actuals!F25)/ABS('Original Budget'!F25)),"")</f>
        <v>-1.58810732635585</v>
      </c>
      <c r="R19" s="123" t="n">
        <f aca="false">'Original Budget'!G25</f>
        <v>-4870.83333333333</v>
      </c>
      <c r="S19" s="123" t="n">
        <f aca="false">IF(ISBLANK(Actuals!G25),"",Actuals!G25)</f>
        <v>-1896.11</v>
      </c>
      <c r="T19" s="124" t="n">
        <f aca="false">IF(ISBLANK(Actuals!G25),"",'Original Budget'!G25-Actuals!G25)</f>
        <v>-2974.72333333333</v>
      </c>
      <c r="U19" s="124" t="n">
        <f aca="false">IFERROR(IF(ISBLANK(Actuals!G25),"",('Original Budget'!G25-Actuals!G25)/ABS('Original Budget'!G25)),"")</f>
        <v>-0.610721642429427</v>
      </c>
      <c r="V19" s="123" t="n">
        <f aca="false">'Original Budget'!H25</f>
        <v>-5370.83333333333</v>
      </c>
      <c r="W19" s="123" t="n">
        <f aca="false">IF(ISBLANK(Actuals!H25),"",Actuals!H25)</f>
        <v>-2888.37</v>
      </c>
      <c r="X19" s="124" t="n">
        <f aca="false">IF(ISBLANK(Actuals!H25),"",'Original Budget'!H25-Actuals!H25)</f>
        <v>-2482.46333333333</v>
      </c>
      <c r="Y19" s="124" t="n">
        <f aca="false">IFERROR(IF(ISBLANK(Actuals!H25),"",('Original Budget'!H25-Actuals!H25)/ABS('Original Budget'!H25)),"")</f>
        <v>-0.462211947245927</v>
      </c>
      <c r="Z19" s="123" t="n">
        <f aca="false">'Original Budget'!I25</f>
        <v>-5587.5</v>
      </c>
      <c r="AA19" s="123" t="str">
        <f aca="false">IF(ISBLANK(Actuals!I25),"",Actuals!I25)</f>
        <v/>
      </c>
      <c r="AB19" s="124" t="str">
        <f aca="false">IF(ISBLANK(Actuals!I25),"",'Original Budget'!I25-Actuals!I25)</f>
        <v/>
      </c>
      <c r="AC19" s="124" t="str">
        <f aca="false">IFERROR(IF(ISBLANK(Actuals!I25),"",('Original Budget'!I25-Actuals!I25)/ABS('Original Budget'!I25)),"")</f>
        <v/>
      </c>
      <c r="AD19" s="123" t="n">
        <f aca="false">'Original Budget'!J25</f>
        <v>-5587.5</v>
      </c>
      <c r="AE19" s="123" t="str">
        <f aca="false">IF(ISBLANK(Actuals!J25),"",Actuals!J25)</f>
        <v/>
      </c>
      <c r="AF19" s="124" t="str">
        <f aca="false">IF(ISBLANK(Actuals!J25),"",'Original Budget'!J25-Actuals!J25)</f>
        <v/>
      </c>
      <c r="AG19" s="124" t="str">
        <f aca="false">IFERROR(IF(ISBLANK(Actuals!J25),"",('Original Budget'!J25-Actuals!J25)/ABS('Original Budget'!J25)),"")</f>
        <v/>
      </c>
      <c r="AH19" s="123" t="n">
        <f aca="false">'Original Budget'!K25</f>
        <v>-5587.5</v>
      </c>
      <c r="AI19" s="123" t="str">
        <f aca="false">IF(ISBLANK(Actuals!K25),"",Actuals!K25)</f>
        <v/>
      </c>
      <c r="AJ19" s="124" t="str">
        <f aca="false">IF(ISBLANK(Actuals!K25),"",'Original Budget'!K25-Actuals!K25)</f>
        <v/>
      </c>
      <c r="AK19" s="124" t="str">
        <f aca="false">IFERROR(IF(ISBLANK(Actuals!K25),"",('Original Budget'!K25-Actuals!K25)/ABS('Original Budget'!K25)),"")</f>
        <v/>
      </c>
      <c r="AL19" s="123" t="n">
        <f aca="false">'Original Budget'!L25</f>
        <v>-6004.16666666667</v>
      </c>
      <c r="AM19" s="123" t="str">
        <f aca="false">IF(ISBLANK(Actuals!L25),"",Actuals!L25)</f>
        <v/>
      </c>
      <c r="AN19" s="124" t="str">
        <f aca="false">IF(ISBLANK(Actuals!L25),"",'Original Budget'!L25-Actuals!L25)</f>
        <v/>
      </c>
      <c r="AO19" s="124" t="str">
        <f aca="false">IFERROR(IF(ISBLANK(Actuals!L25),"",('Original Budget'!L25-Actuals!L25)/ABS('Original Budget'!L25)),"")</f>
        <v/>
      </c>
      <c r="AP19" s="123" t="n">
        <f aca="false">'Original Budget'!M25</f>
        <v>-6604.16666666666</v>
      </c>
      <c r="AQ19" s="123" t="str">
        <f aca="false">IF(ISBLANK(Actuals!M25),"",Actuals!M25)</f>
        <v/>
      </c>
      <c r="AR19" s="124" t="str">
        <f aca="false">IF(ISBLANK(Actuals!M25),"",'Original Budget'!M25-Actuals!M25)</f>
        <v/>
      </c>
      <c r="AS19" s="124" t="str">
        <f aca="false">IFERROR(IF(ISBLANK(Actuals!M25),"",('Original Budget'!M25-Actuals!M25)/ABS('Original Budget'!M25)),"")</f>
        <v/>
      </c>
      <c r="AT19" s="123" t="n">
        <f aca="false">'Original Budget'!N25</f>
        <v>-6604.16666666666</v>
      </c>
      <c r="AU19" s="123" t="str">
        <f aca="false">IF(ISBLANK(Actuals!N25),"",Actuals!N25)</f>
        <v/>
      </c>
      <c r="AV19" s="124" t="str">
        <f aca="false">IF(ISBLANK(Actuals!N25),"",'Original Budget'!N25-Actuals!N25)</f>
        <v/>
      </c>
      <c r="AW19" s="124" t="str">
        <f aca="false">IFERROR(IF(ISBLANK(Actuals!N25),"",('Original Budget'!N25-Actuals!N25)/ABS('Original Budget'!N25)),"")</f>
        <v/>
      </c>
      <c r="AX19" s="125" t="n">
        <f aca="false">SUMPRODUCT((Actuals!C25:N25&lt;&gt;"")*('Original Budget'!C25:N25))</f>
        <v>-15375.2833333333</v>
      </c>
      <c r="AY19" s="125" t="n">
        <f aca="false">SUM(Actuals!C25:N25)</f>
        <v>-2963.51</v>
      </c>
      <c r="AZ19" s="126" t="n">
        <f aca="false">AX19-AY19</f>
        <v>-12411.7733333333</v>
      </c>
    </row>
    <row r="20" customFormat="false" ht="15" hidden="false" customHeight="true" outlineLevel="0" collapsed="false">
      <c r="A20" s="122" t="s">
        <v>65</v>
      </c>
      <c r="B20" s="123" t="n">
        <f aca="false">'Original Budget'!C26</f>
        <v>-195</v>
      </c>
      <c r="C20" s="123" t="n">
        <f aca="false">IF(ISBLANK(Actuals!C26),"",Actuals!C26)</f>
        <v>-195</v>
      </c>
      <c r="D20" s="124" t="n">
        <f aca="false">IF(ISBLANK(Actuals!C26),"",'Original Budget'!C26-Actuals!C26)</f>
        <v>0</v>
      </c>
      <c r="E20" s="124" t="n">
        <f aca="false">IFERROR(IF(ISBLANK(Actuals!C26),"",('Original Budget'!C26-Actuals!C26)/ABS('Original Budget'!C26)),"")</f>
        <v>0</v>
      </c>
      <c r="F20" s="123" t="n">
        <f aca="false">'Original Budget'!D26</f>
        <v>-200</v>
      </c>
      <c r="G20" s="123" t="n">
        <f aca="false">IF(ISBLANK(Actuals!D26),"",Actuals!D26)</f>
        <v>-200</v>
      </c>
      <c r="H20" s="124" t="n">
        <f aca="false">IF(ISBLANK(Actuals!D26),"",'Original Budget'!D26-Actuals!D26)</f>
        <v>0</v>
      </c>
      <c r="I20" s="124" t="n">
        <f aca="false">IFERROR(IF(ISBLANK(Actuals!D26),"",('Original Budget'!D26-Actuals!D26)/ABS('Original Budget'!D26)),"")</f>
        <v>0</v>
      </c>
      <c r="J20" s="123" t="n">
        <f aca="false">'Original Budget'!E26</f>
        <v>0</v>
      </c>
      <c r="K20" s="123" t="n">
        <f aca="false">IF(ISBLANK(Actuals!E26),"",Actuals!E26)</f>
        <v>0</v>
      </c>
      <c r="L20" s="124" t="n">
        <f aca="false">IF(ISBLANK(Actuals!E26),"",'Original Budget'!E26-Actuals!E26)</f>
        <v>0</v>
      </c>
      <c r="M20" s="124" t="str">
        <f aca="false">IFERROR(IF(ISBLANK(Actuals!E26),"",('Original Budget'!E26-Actuals!E26)/ABS('Original Budget'!E26)),"")</f>
        <v/>
      </c>
      <c r="N20" s="123" t="n">
        <f aca="false">'Original Budget'!F26</f>
        <v>-1094.79166666667</v>
      </c>
      <c r="O20" s="123" t="n">
        <f aca="false">IF(ISBLANK(Actuals!F26),"",Actuals!F26)</f>
        <v>0</v>
      </c>
      <c r="P20" s="124" t="n">
        <f aca="false">IF(ISBLANK(Actuals!F26),"",'Original Budget'!F26-Actuals!F26)</f>
        <v>-1094.79166666667</v>
      </c>
      <c r="Q20" s="124" t="n">
        <f aca="false">IFERROR(IF(ISBLANK(Actuals!F26),"",('Original Budget'!F26-Actuals!F26)/ABS('Original Budget'!F26)),"")</f>
        <v>-1</v>
      </c>
      <c r="R20" s="123" t="n">
        <f aca="false">'Original Budget'!G26</f>
        <v>-1217.70833333333</v>
      </c>
      <c r="S20" s="123" t="n">
        <f aca="false">IF(ISBLANK(Actuals!G26),"",Actuals!G26)</f>
        <v>0</v>
      </c>
      <c r="T20" s="124" t="n">
        <f aca="false">IF(ISBLANK(Actuals!G26),"",'Original Budget'!G26-Actuals!G26)</f>
        <v>-1217.70833333333</v>
      </c>
      <c r="U20" s="124" t="n">
        <f aca="false">IFERROR(IF(ISBLANK(Actuals!G26),"",('Original Budget'!G26-Actuals!G26)/ABS('Original Budget'!G26)),"")</f>
        <v>-1</v>
      </c>
      <c r="V20" s="123" t="n">
        <f aca="false">'Original Budget'!H26</f>
        <v>-1342.70833333333</v>
      </c>
      <c r="W20" s="123" t="n">
        <f aca="false">IF(ISBLANK(Actuals!H26),"",Actuals!H26)</f>
        <v>0</v>
      </c>
      <c r="X20" s="124" t="n">
        <f aca="false">IF(ISBLANK(Actuals!H26),"",'Original Budget'!H26-Actuals!H26)</f>
        <v>-1342.70833333333</v>
      </c>
      <c r="Y20" s="124" t="n">
        <f aca="false">IFERROR(IF(ISBLANK(Actuals!H26),"",('Original Budget'!H26-Actuals!H26)/ABS('Original Budget'!H26)),"")</f>
        <v>-1</v>
      </c>
      <c r="Z20" s="123" t="n">
        <f aca="false">'Original Budget'!I26</f>
        <v>-1396.875</v>
      </c>
      <c r="AA20" s="123" t="str">
        <f aca="false">IF(ISBLANK(Actuals!I26),"",Actuals!I26)</f>
        <v/>
      </c>
      <c r="AB20" s="124" t="str">
        <f aca="false">IF(ISBLANK(Actuals!I26),"",'Original Budget'!I26-Actuals!I26)</f>
        <v/>
      </c>
      <c r="AC20" s="124" t="str">
        <f aca="false">IFERROR(IF(ISBLANK(Actuals!I26),"",('Original Budget'!I26-Actuals!I26)/ABS('Original Budget'!I26)),"")</f>
        <v/>
      </c>
      <c r="AD20" s="123" t="n">
        <f aca="false">'Original Budget'!J26</f>
        <v>-1396.875</v>
      </c>
      <c r="AE20" s="123" t="str">
        <f aca="false">IF(ISBLANK(Actuals!J26),"",Actuals!J26)</f>
        <v/>
      </c>
      <c r="AF20" s="124" t="str">
        <f aca="false">IF(ISBLANK(Actuals!J26),"",'Original Budget'!J26-Actuals!J26)</f>
        <v/>
      </c>
      <c r="AG20" s="124" t="str">
        <f aca="false">IFERROR(IF(ISBLANK(Actuals!J26),"",('Original Budget'!J26-Actuals!J26)/ABS('Original Budget'!J26)),"")</f>
        <v/>
      </c>
      <c r="AH20" s="123" t="n">
        <f aca="false">'Original Budget'!K26</f>
        <v>-1396.875</v>
      </c>
      <c r="AI20" s="123" t="str">
        <f aca="false">IF(ISBLANK(Actuals!K26),"",Actuals!K26)</f>
        <v/>
      </c>
      <c r="AJ20" s="124" t="str">
        <f aca="false">IF(ISBLANK(Actuals!K26),"",'Original Budget'!K26-Actuals!K26)</f>
        <v/>
      </c>
      <c r="AK20" s="124" t="str">
        <f aca="false">IFERROR(IF(ISBLANK(Actuals!K26),"",('Original Budget'!K26-Actuals!K26)/ABS('Original Budget'!K26)),"")</f>
        <v/>
      </c>
      <c r="AL20" s="123" t="n">
        <f aca="false">'Original Budget'!L26</f>
        <v>-1501.04166666667</v>
      </c>
      <c r="AM20" s="123" t="str">
        <f aca="false">IF(ISBLANK(Actuals!L26),"",Actuals!L26)</f>
        <v/>
      </c>
      <c r="AN20" s="124" t="str">
        <f aca="false">IF(ISBLANK(Actuals!L26),"",'Original Budget'!L26-Actuals!L26)</f>
        <v/>
      </c>
      <c r="AO20" s="124" t="str">
        <f aca="false">IFERROR(IF(ISBLANK(Actuals!L26),"",('Original Budget'!L26-Actuals!L26)/ABS('Original Budget'!L26)),"")</f>
        <v/>
      </c>
      <c r="AP20" s="123" t="n">
        <f aca="false">'Original Budget'!M26</f>
        <v>-1651.04166666667</v>
      </c>
      <c r="AQ20" s="123" t="str">
        <f aca="false">IF(ISBLANK(Actuals!M26),"",Actuals!M26)</f>
        <v/>
      </c>
      <c r="AR20" s="124" t="str">
        <f aca="false">IF(ISBLANK(Actuals!M26),"",'Original Budget'!M26-Actuals!M26)</f>
        <v/>
      </c>
      <c r="AS20" s="124" t="str">
        <f aca="false">IFERROR(IF(ISBLANK(Actuals!M26),"",('Original Budget'!M26-Actuals!M26)/ABS('Original Budget'!M26)),"")</f>
        <v/>
      </c>
      <c r="AT20" s="123" t="n">
        <f aca="false">'Original Budget'!N26</f>
        <v>-1651.04166666667</v>
      </c>
      <c r="AU20" s="123" t="str">
        <f aca="false">IF(ISBLANK(Actuals!N26),"",Actuals!N26)</f>
        <v/>
      </c>
      <c r="AV20" s="124" t="str">
        <f aca="false">IF(ISBLANK(Actuals!N26),"",'Original Budget'!N26-Actuals!N26)</f>
        <v/>
      </c>
      <c r="AW20" s="124" t="str">
        <f aca="false">IFERROR(IF(ISBLANK(Actuals!N26),"",('Original Budget'!N26-Actuals!N26)/ABS('Original Budget'!N26)),"")</f>
        <v/>
      </c>
      <c r="AX20" s="125" t="n">
        <f aca="false">SUMPRODUCT((Actuals!C26:N26&lt;&gt;"")*('Original Budget'!C26:N26))</f>
        <v>-4050.20833333333</v>
      </c>
      <c r="AY20" s="125" t="n">
        <f aca="false">SUM(Actuals!C26:N26)</f>
        <v>-395</v>
      </c>
      <c r="AZ20" s="126" t="n">
        <f aca="false">AX20-AY20</f>
        <v>-3655.20833333333</v>
      </c>
    </row>
    <row r="21" customFormat="false" ht="15" hidden="false" customHeight="true" outlineLevel="0" collapsed="false">
      <c r="A21" s="122" t="s">
        <v>66</v>
      </c>
      <c r="B21" s="123" t="n">
        <f aca="false">'Original Budget'!C27</f>
        <v>-33002.28</v>
      </c>
      <c r="C21" s="123" t="n">
        <f aca="false">IF(ISBLANK(Actuals!C27),"",Actuals!C27)</f>
        <v>-33002.28</v>
      </c>
      <c r="D21" s="124" t="n">
        <f aca="false">IF(ISBLANK(Actuals!C27),"",'Original Budget'!C27-Actuals!C27)</f>
        <v>0</v>
      </c>
      <c r="E21" s="124" t="n">
        <f aca="false">IFERROR(IF(ISBLANK(Actuals!C27),"",('Original Budget'!C27-Actuals!C27)/ABS('Original Budget'!C27)),"")</f>
        <v>0</v>
      </c>
      <c r="F21" s="123" t="n">
        <f aca="false">'Original Budget'!D27</f>
        <v>-29166.66</v>
      </c>
      <c r="G21" s="123" t="n">
        <f aca="false">IF(ISBLANK(Actuals!D27),"",Actuals!D27)</f>
        <v>-29166.66</v>
      </c>
      <c r="H21" s="124" t="n">
        <f aca="false">IF(ISBLANK(Actuals!D27),"",'Original Budget'!D27-Actuals!D27)</f>
        <v>0</v>
      </c>
      <c r="I21" s="124" t="n">
        <f aca="false">IFERROR(IF(ISBLANK(Actuals!D27),"",('Original Budget'!D27-Actuals!D27)/ABS('Original Budget'!D27)),"")</f>
        <v>0</v>
      </c>
      <c r="J21" s="123" t="n">
        <f aca="false">'Original Budget'!E27</f>
        <v>-41666.66</v>
      </c>
      <c r="K21" s="123" t="n">
        <f aca="false">IF(ISBLANK(Actuals!E27),"",Actuals!E27)</f>
        <v>-41666.66</v>
      </c>
      <c r="L21" s="124" t="n">
        <f aca="false">IF(ISBLANK(Actuals!E27),"",'Original Budget'!E27-Actuals!E27)</f>
        <v>0</v>
      </c>
      <c r="M21" s="124" t="n">
        <f aca="false">IFERROR(IF(ISBLANK(Actuals!E27),"",('Original Budget'!E27-Actuals!E27)/ABS('Original Budget'!E27)),"")</f>
        <v>0</v>
      </c>
      <c r="N21" s="123" t="n">
        <f aca="false">'Original Budget'!F27</f>
        <v>-29166.66</v>
      </c>
      <c r="O21" s="123" t="n">
        <f aca="false">IF(ISBLANK(Actuals!F27),"",Actuals!F27)</f>
        <v>-29166.66</v>
      </c>
      <c r="P21" s="124" t="n">
        <f aca="false">IF(ISBLANK(Actuals!F27),"",'Original Budget'!F27-Actuals!F27)</f>
        <v>0</v>
      </c>
      <c r="Q21" s="124" t="n">
        <f aca="false">IFERROR(IF(ISBLANK(Actuals!F27),"",('Original Budget'!F27-Actuals!F27)/ABS('Original Budget'!F27)),"")</f>
        <v>0</v>
      </c>
      <c r="R21" s="123" t="n">
        <f aca="false">'Original Budget'!G27</f>
        <v>-29166.66</v>
      </c>
      <c r="S21" s="123" t="n">
        <f aca="false">IF(ISBLANK(Actuals!G27),"",Actuals!G27)</f>
        <v>-29166.66</v>
      </c>
      <c r="T21" s="124" t="n">
        <f aca="false">IF(ISBLANK(Actuals!G27),"",'Original Budget'!G27-Actuals!G27)</f>
        <v>0</v>
      </c>
      <c r="U21" s="124" t="n">
        <f aca="false">IFERROR(IF(ISBLANK(Actuals!G27),"",('Original Budget'!G27-Actuals!G27)/ABS('Original Budget'!G27)),"")</f>
        <v>0</v>
      </c>
      <c r="V21" s="123" t="n">
        <f aca="false">'Original Budget'!H27</f>
        <v>-29166.66</v>
      </c>
      <c r="W21" s="123" t="n">
        <f aca="false">IF(ISBLANK(Actuals!H27),"",Actuals!H27)</f>
        <v>-29166.66</v>
      </c>
      <c r="X21" s="124" t="n">
        <f aca="false">IF(ISBLANK(Actuals!H27),"",'Original Budget'!H27-Actuals!H27)</f>
        <v>0</v>
      </c>
      <c r="Y21" s="124" t="n">
        <f aca="false">IFERROR(IF(ISBLANK(Actuals!H27),"",('Original Budget'!H27-Actuals!H27)/ABS('Original Budget'!H27)),"")</f>
        <v>0</v>
      </c>
      <c r="Z21" s="123" t="n">
        <f aca="false">'Original Budget'!I27</f>
        <v>-29166.66</v>
      </c>
      <c r="AA21" s="123" t="str">
        <f aca="false">IF(ISBLANK(Actuals!I27),"",Actuals!I27)</f>
        <v/>
      </c>
      <c r="AB21" s="124" t="str">
        <f aca="false">IF(ISBLANK(Actuals!I27),"",'Original Budget'!I27-Actuals!I27)</f>
        <v/>
      </c>
      <c r="AC21" s="124" t="str">
        <f aca="false">IFERROR(IF(ISBLANK(Actuals!I27),"",('Original Budget'!I27-Actuals!I27)/ABS('Original Budget'!I27)),"")</f>
        <v/>
      </c>
      <c r="AD21" s="123" t="n">
        <f aca="false">'Original Budget'!J27</f>
        <v>-29166.66</v>
      </c>
      <c r="AE21" s="123" t="str">
        <f aca="false">IF(ISBLANK(Actuals!J27),"",Actuals!J27)</f>
        <v/>
      </c>
      <c r="AF21" s="124" t="str">
        <f aca="false">IF(ISBLANK(Actuals!J27),"",'Original Budget'!J27-Actuals!J27)</f>
        <v/>
      </c>
      <c r="AG21" s="124" t="str">
        <f aca="false">IFERROR(IF(ISBLANK(Actuals!J27),"",('Original Budget'!J27-Actuals!J27)/ABS('Original Budget'!J27)),"")</f>
        <v/>
      </c>
      <c r="AH21" s="123" t="n">
        <f aca="false">'Original Budget'!K27</f>
        <v>-29166.66</v>
      </c>
      <c r="AI21" s="123" t="str">
        <f aca="false">IF(ISBLANK(Actuals!K27),"",Actuals!K27)</f>
        <v/>
      </c>
      <c r="AJ21" s="124" t="str">
        <f aca="false">IF(ISBLANK(Actuals!K27),"",'Original Budget'!K27-Actuals!K27)</f>
        <v/>
      </c>
      <c r="AK21" s="124" t="str">
        <f aca="false">IFERROR(IF(ISBLANK(Actuals!K27),"",('Original Budget'!K27-Actuals!K27)/ABS('Original Budget'!K27)),"")</f>
        <v/>
      </c>
      <c r="AL21" s="123" t="n">
        <f aca="false">'Original Budget'!L27</f>
        <v>-29166.66</v>
      </c>
      <c r="AM21" s="123" t="str">
        <f aca="false">IF(ISBLANK(Actuals!L27),"",Actuals!L27)</f>
        <v/>
      </c>
      <c r="AN21" s="124" t="str">
        <f aca="false">IF(ISBLANK(Actuals!L27),"",'Original Budget'!L27-Actuals!L27)</f>
        <v/>
      </c>
      <c r="AO21" s="124" t="str">
        <f aca="false">IFERROR(IF(ISBLANK(Actuals!L27),"",('Original Budget'!L27-Actuals!L27)/ABS('Original Budget'!L27)),"")</f>
        <v/>
      </c>
      <c r="AP21" s="123" t="n">
        <f aca="false">'Original Budget'!M27</f>
        <v>-29166.66</v>
      </c>
      <c r="AQ21" s="123" t="str">
        <f aca="false">IF(ISBLANK(Actuals!M27),"",Actuals!M27)</f>
        <v/>
      </c>
      <c r="AR21" s="124" t="str">
        <f aca="false">IF(ISBLANK(Actuals!M27),"",'Original Budget'!M27-Actuals!M27)</f>
        <v/>
      </c>
      <c r="AS21" s="124" t="str">
        <f aca="false">IFERROR(IF(ISBLANK(Actuals!M27),"",('Original Budget'!M27-Actuals!M27)/ABS('Original Budget'!M27)),"")</f>
        <v/>
      </c>
      <c r="AT21" s="123" t="n">
        <f aca="false">'Original Budget'!N27</f>
        <v>-29166.66</v>
      </c>
      <c r="AU21" s="123" t="str">
        <f aca="false">IF(ISBLANK(Actuals!N27),"",Actuals!N27)</f>
        <v/>
      </c>
      <c r="AV21" s="124" t="str">
        <f aca="false">IF(ISBLANK(Actuals!N27),"",'Original Budget'!N27-Actuals!N27)</f>
        <v/>
      </c>
      <c r="AW21" s="124" t="str">
        <f aca="false">IFERROR(IF(ISBLANK(Actuals!N27),"",('Original Budget'!N27-Actuals!N27)/ABS('Original Budget'!N27)),"")</f>
        <v/>
      </c>
      <c r="AX21" s="125" t="n">
        <f aca="false">SUMPRODUCT((Actuals!C27:N27&lt;&gt;"")*('Original Budget'!C27:N27))</f>
        <v>-191335.58</v>
      </c>
      <c r="AY21" s="125" t="n">
        <f aca="false">SUM(Actuals!C27:N27)</f>
        <v>-191335.58</v>
      </c>
      <c r="AZ21" s="126" t="n">
        <f aca="false">AX21-AY21</f>
        <v>0</v>
      </c>
    </row>
    <row r="22" customFormat="false" ht="15" hidden="false" customHeight="true" outlineLevel="0" collapsed="false">
      <c r="A22" s="122" t="s">
        <v>67</v>
      </c>
      <c r="B22" s="123" t="n">
        <f aca="false">'Original Budget'!C28</f>
        <v>0</v>
      </c>
      <c r="C22" s="123" t="n">
        <f aca="false">IF(ISBLANK(Actuals!C28),"",Actuals!C28)</f>
        <v>0</v>
      </c>
      <c r="D22" s="124" t="n">
        <f aca="false">IF(ISBLANK(Actuals!C28),"",'Original Budget'!C28-Actuals!C28)</f>
        <v>0</v>
      </c>
      <c r="E22" s="124" t="str">
        <f aca="false">IFERROR(IF(ISBLANK(Actuals!C28),"",('Original Budget'!C28-Actuals!C28)/ABS('Original Budget'!C28)),"")</f>
        <v/>
      </c>
      <c r="F22" s="123" t="n">
        <f aca="false">'Original Budget'!D28</f>
        <v>0</v>
      </c>
      <c r="G22" s="123" t="n">
        <f aca="false">IF(ISBLANK(Actuals!D28),"",Actuals!D28)</f>
        <v>0</v>
      </c>
      <c r="H22" s="124" t="n">
        <f aca="false">IF(ISBLANK(Actuals!D28),"",'Original Budget'!D28-Actuals!D28)</f>
        <v>0</v>
      </c>
      <c r="I22" s="124" t="str">
        <f aca="false">IFERROR(IF(ISBLANK(Actuals!D28),"",('Original Budget'!D28-Actuals!D28)/ABS('Original Budget'!D28)),"")</f>
        <v/>
      </c>
      <c r="J22" s="123" t="n">
        <f aca="false">'Original Budget'!E28</f>
        <v>0</v>
      </c>
      <c r="K22" s="123" t="n">
        <f aca="false">IF(ISBLANK(Actuals!E28),"",Actuals!E28)</f>
        <v>0</v>
      </c>
      <c r="L22" s="124" t="n">
        <f aca="false">IF(ISBLANK(Actuals!E28),"",'Original Budget'!E28-Actuals!E28)</f>
        <v>0</v>
      </c>
      <c r="M22" s="124" t="str">
        <f aca="false">IFERROR(IF(ISBLANK(Actuals!E28),"",('Original Budget'!E28-Actuals!E28)/ABS('Original Budget'!E28)),"")</f>
        <v/>
      </c>
      <c r="N22" s="123" t="n">
        <f aca="false">'Original Budget'!F28</f>
        <v>0</v>
      </c>
      <c r="O22" s="123" t="n">
        <f aca="false">IF(ISBLANK(Actuals!F28),"",Actuals!F28)</f>
        <v>251304.48</v>
      </c>
      <c r="P22" s="124" t="n">
        <f aca="false">IF(ISBLANK(Actuals!F28),"",'Original Budget'!F28-Actuals!F28)</f>
        <v>-251304.48</v>
      </c>
      <c r="Q22" s="124" t="str">
        <f aca="false">IFERROR(IF(ISBLANK(Actuals!F28),"",('Original Budget'!F28-Actuals!F28)/ABS('Original Budget'!F28)),"")</f>
        <v/>
      </c>
      <c r="R22" s="123" t="n">
        <f aca="false">'Original Budget'!G28</f>
        <v>0</v>
      </c>
      <c r="S22" s="123" t="n">
        <f aca="false">IF(ISBLANK(Actuals!G28),"",Actuals!G28)</f>
        <v>81510</v>
      </c>
      <c r="T22" s="124" t="n">
        <f aca="false">IF(ISBLANK(Actuals!G28),"",'Original Budget'!G28-Actuals!G28)</f>
        <v>-81510</v>
      </c>
      <c r="U22" s="124" t="str">
        <f aca="false">IFERROR(IF(ISBLANK(Actuals!G28),"",('Original Budget'!G28-Actuals!G28)/ABS('Original Budget'!G28)),"")</f>
        <v/>
      </c>
      <c r="V22" s="123" t="n">
        <f aca="false">'Original Budget'!H28</f>
        <v>0</v>
      </c>
      <c r="W22" s="123" t="n">
        <f aca="false">IF(ISBLANK(Actuals!H28),"",Actuals!H28)</f>
        <v>0</v>
      </c>
      <c r="X22" s="124" t="n">
        <f aca="false">IF(ISBLANK(Actuals!H28),"",'Original Budget'!H28-Actuals!H28)</f>
        <v>0</v>
      </c>
      <c r="Y22" s="124" t="str">
        <f aca="false">IFERROR(IF(ISBLANK(Actuals!H28),"",('Original Budget'!H28-Actuals!H28)/ABS('Original Budget'!H28)),"")</f>
        <v/>
      </c>
      <c r="Z22" s="123" t="n">
        <f aca="false">'Original Budget'!I28</f>
        <v>0</v>
      </c>
      <c r="AA22" s="123" t="str">
        <f aca="false">IF(ISBLANK(Actuals!I28),"",Actuals!I28)</f>
        <v/>
      </c>
      <c r="AB22" s="124" t="str">
        <f aca="false">IF(ISBLANK(Actuals!I28),"",'Original Budget'!I28-Actuals!I28)</f>
        <v/>
      </c>
      <c r="AC22" s="124" t="str">
        <f aca="false">IFERROR(IF(ISBLANK(Actuals!I28),"",('Original Budget'!I28-Actuals!I28)/ABS('Original Budget'!I28)),"")</f>
        <v/>
      </c>
      <c r="AD22" s="123" t="n">
        <f aca="false">'Original Budget'!J28</f>
        <v>0</v>
      </c>
      <c r="AE22" s="123" t="str">
        <f aca="false">IF(ISBLANK(Actuals!J28),"",Actuals!J28)</f>
        <v/>
      </c>
      <c r="AF22" s="124" t="str">
        <f aca="false">IF(ISBLANK(Actuals!J28),"",'Original Budget'!J28-Actuals!J28)</f>
        <v/>
      </c>
      <c r="AG22" s="124" t="str">
        <f aca="false">IFERROR(IF(ISBLANK(Actuals!J28),"",('Original Budget'!J28-Actuals!J28)/ABS('Original Budget'!J28)),"")</f>
        <v/>
      </c>
      <c r="AH22" s="123" t="n">
        <f aca="false">'Original Budget'!K28</f>
        <v>0</v>
      </c>
      <c r="AI22" s="123" t="str">
        <f aca="false">IF(ISBLANK(Actuals!K28),"",Actuals!K28)</f>
        <v/>
      </c>
      <c r="AJ22" s="124" t="str">
        <f aca="false">IF(ISBLANK(Actuals!K28),"",'Original Budget'!K28-Actuals!K28)</f>
        <v/>
      </c>
      <c r="AK22" s="124" t="str">
        <f aca="false">IFERROR(IF(ISBLANK(Actuals!K28),"",('Original Budget'!K28-Actuals!K28)/ABS('Original Budget'!K28)),"")</f>
        <v/>
      </c>
      <c r="AL22" s="123" t="n">
        <f aca="false">'Original Budget'!L28</f>
        <v>0</v>
      </c>
      <c r="AM22" s="123" t="str">
        <f aca="false">IF(ISBLANK(Actuals!L28),"",Actuals!L28)</f>
        <v/>
      </c>
      <c r="AN22" s="124" t="str">
        <f aca="false">IF(ISBLANK(Actuals!L28),"",'Original Budget'!L28-Actuals!L28)</f>
        <v/>
      </c>
      <c r="AO22" s="124" t="str">
        <f aca="false">IFERROR(IF(ISBLANK(Actuals!L28),"",('Original Budget'!L28-Actuals!L28)/ABS('Original Budget'!L28)),"")</f>
        <v/>
      </c>
      <c r="AP22" s="123" t="n">
        <f aca="false">'Original Budget'!M28</f>
        <v>0</v>
      </c>
      <c r="AQ22" s="123" t="str">
        <f aca="false">IF(ISBLANK(Actuals!M28),"",Actuals!M28)</f>
        <v/>
      </c>
      <c r="AR22" s="124" t="str">
        <f aca="false">IF(ISBLANK(Actuals!M28),"",'Original Budget'!M28-Actuals!M28)</f>
        <v/>
      </c>
      <c r="AS22" s="124" t="str">
        <f aca="false">IFERROR(IF(ISBLANK(Actuals!M28),"",('Original Budget'!M28-Actuals!M28)/ABS('Original Budget'!M28)),"")</f>
        <v/>
      </c>
      <c r="AT22" s="123" t="n">
        <f aca="false">'Original Budget'!N28</f>
        <v>0</v>
      </c>
      <c r="AU22" s="123" t="str">
        <f aca="false">IF(ISBLANK(Actuals!N28),"",Actuals!N28)</f>
        <v/>
      </c>
      <c r="AV22" s="124" t="str">
        <f aca="false">IF(ISBLANK(Actuals!N28),"",'Original Budget'!N28-Actuals!N28)</f>
        <v/>
      </c>
      <c r="AW22" s="124" t="str">
        <f aca="false">IFERROR(IF(ISBLANK(Actuals!N28),"",('Original Budget'!N28-Actuals!N28)/ABS('Original Budget'!N28)),"")</f>
        <v/>
      </c>
      <c r="AX22" s="125" t="n">
        <f aca="false">SUMPRODUCT((Actuals!C28:N28&lt;&gt;"")*('Original Budget'!C28:N28))</f>
        <v>0</v>
      </c>
      <c r="AY22" s="125" t="n">
        <f aca="false">SUM(Actuals!C28:N28)</f>
        <v>332814.48</v>
      </c>
      <c r="AZ22" s="126" t="n">
        <f aca="false">AX22-AY22</f>
        <v>-332814.48</v>
      </c>
    </row>
    <row r="23" customFormat="false" ht="15" hidden="false" customHeight="true" outlineLevel="0" collapsed="false">
      <c r="A23" s="122" t="s">
        <v>68</v>
      </c>
      <c r="B23" s="123" t="n">
        <f aca="false">'Original Budget'!C29</f>
        <v>-10400</v>
      </c>
      <c r="C23" s="123" t="n">
        <f aca="false">IF(ISBLANK(Actuals!C29),"",Actuals!C29)</f>
        <v>-10400</v>
      </c>
      <c r="D23" s="124" t="n">
        <f aca="false">IF(ISBLANK(Actuals!C29),"",'Original Budget'!C29-Actuals!C29)</f>
        <v>0</v>
      </c>
      <c r="E23" s="124" t="n">
        <f aca="false">IFERROR(IF(ISBLANK(Actuals!C29),"",('Original Budget'!C29-Actuals!C29)/ABS('Original Budget'!C29)),"")</f>
        <v>0</v>
      </c>
      <c r="F23" s="123" t="n">
        <f aca="false">'Original Budget'!D29</f>
        <v>-10400</v>
      </c>
      <c r="G23" s="123" t="n">
        <f aca="false">IF(ISBLANK(Actuals!D29),"",Actuals!D29)</f>
        <v>-10400</v>
      </c>
      <c r="H23" s="124" t="n">
        <f aca="false">IF(ISBLANK(Actuals!D29),"",'Original Budget'!D29-Actuals!D29)</f>
        <v>0</v>
      </c>
      <c r="I23" s="124" t="n">
        <f aca="false">IFERROR(IF(ISBLANK(Actuals!D29),"",('Original Budget'!D29-Actuals!D29)/ABS('Original Budget'!D29)),"")</f>
        <v>0</v>
      </c>
      <c r="J23" s="123" t="n">
        <f aca="false">'Original Budget'!E29</f>
        <v>-400</v>
      </c>
      <c r="K23" s="123" t="n">
        <f aca="false">IF(ISBLANK(Actuals!E29),"",Actuals!E29)</f>
        <v>-400</v>
      </c>
      <c r="L23" s="124" t="n">
        <f aca="false">IF(ISBLANK(Actuals!E29),"",'Original Budget'!E29-Actuals!E29)</f>
        <v>0</v>
      </c>
      <c r="M23" s="124" t="n">
        <f aca="false">IFERROR(IF(ISBLANK(Actuals!E29),"",('Original Budget'!E29-Actuals!E29)/ABS('Original Budget'!E29)),"")</f>
        <v>0</v>
      </c>
      <c r="N23" s="123" t="n">
        <f aca="false">'Original Budget'!F29</f>
        <v>-10400</v>
      </c>
      <c r="O23" s="123" t="n">
        <f aca="false">IF(ISBLANK(Actuals!F29),"",Actuals!F29)</f>
        <v>-10400</v>
      </c>
      <c r="P23" s="124" t="n">
        <f aca="false">IF(ISBLANK(Actuals!F29),"",'Original Budget'!F29-Actuals!F29)</f>
        <v>0</v>
      </c>
      <c r="Q23" s="124" t="n">
        <f aca="false">IFERROR(IF(ISBLANK(Actuals!F29),"",('Original Budget'!F29-Actuals!F29)/ABS('Original Budget'!F29)),"")</f>
        <v>0</v>
      </c>
      <c r="R23" s="123" t="n">
        <f aca="false">'Original Budget'!G29</f>
        <v>-10400</v>
      </c>
      <c r="S23" s="123" t="n">
        <f aca="false">IF(ISBLANK(Actuals!G29),"",Actuals!G29)</f>
        <v>-20400</v>
      </c>
      <c r="T23" s="124" t="n">
        <f aca="false">IF(ISBLANK(Actuals!G29),"",'Original Budget'!G29-Actuals!G29)</f>
        <v>10000</v>
      </c>
      <c r="U23" s="124" t="n">
        <f aca="false">IFERROR(IF(ISBLANK(Actuals!G29),"",('Original Budget'!G29-Actuals!G29)/ABS('Original Budget'!G29)),"")</f>
        <v>0.961538461538462</v>
      </c>
      <c r="V23" s="123" t="n">
        <f aca="false">'Original Budget'!H29</f>
        <v>-10400</v>
      </c>
      <c r="W23" s="123" t="n">
        <f aca="false">IF(ISBLANK(Actuals!H29),"",Actuals!H29)</f>
        <v>-20405</v>
      </c>
      <c r="X23" s="124" t="n">
        <f aca="false">IF(ISBLANK(Actuals!H29),"",'Original Budget'!H29-Actuals!H29)</f>
        <v>10005</v>
      </c>
      <c r="Y23" s="124" t="n">
        <f aca="false">IFERROR(IF(ISBLANK(Actuals!H29),"",('Original Budget'!H29-Actuals!H29)/ABS('Original Budget'!H29)),"")</f>
        <v>0.962019230769231</v>
      </c>
      <c r="Z23" s="123" t="n">
        <f aca="false">'Original Budget'!I29</f>
        <v>-10400</v>
      </c>
      <c r="AA23" s="123" t="str">
        <f aca="false">IF(ISBLANK(Actuals!I29),"",Actuals!I29)</f>
        <v/>
      </c>
      <c r="AB23" s="124" t="str">
        <f aca="false">IF(ISBLANK(Actuals!I29),"",'Original Budget'!I29-Actuals!I29)</f>
        <v/>
      </c>
      <c r="AC23" s="124" t="str">
        <f aca="false">IFERROR(IF(ISBLANK(Actuals!I29),"",('Original Budget'!I29-Actuals!I29)/ABS('Original Budget'!I29)),"")</f>
        <v/>
      </c>
      <c r="AD23" s="123" t="n">
        <f aca="false">'Original Budget'!J29</f>
        <v>-10400</v>
      </c>
      <c r="AE23" s="123" t="str">
        <f aca="false">IF(ISBLANK(Actuals!J29),"",Actuals!J29)</f>
        <v/>
      </c>
      <c r="AF23" s="124" t="str">
        <f aca="false">IF(ISBLANK(Actuals!J29),"",'Original Budget'!J29-Actuals!J29)</f>
        <v/>
      </c>
      <c r="AG23" s="124" t="str">
        <f aca="false">IFERROR(IF(ISBLANK(Actuals!J29),"",('Original Budget'!J29-Actuals!J29)/ABS('Original Budget'!J29)),"")</f>
        <v/>
      </c>
      <c r="AH23" s="123" t="n">
        <f aca="false">'Original Budget'!K29</f>
        <v>-10400</v>
      </c>
      <c r="AI23" s="123" t="str">
        <f aca="false">IF(ISBLANK(Actuals!K29),"",Actuals!K29)</f>
        <v/>
      </c>
      <c r="AJ23" s="124" t="str">
        <f aca="false">IF(ISBLANK(Actuals!K29),"",'Original Budget'!K29-Actuals!K29)</f>
        <v/>
      </c>
      <c r="AK23" s="124" t="str">
        <f aca="false">IFERROR(IF(ISBLANK(Actuals!K29),"",('Original Budget'!K29-Actuals!K29)/ABS('Original Budget'!K29)),"")</f>
        <v/>
      </c>
      <c r="AL23" s="123" t="n">
        <f aca="false">'Original Budget'!L29</f>
        <v>-10400</v>
      </c>
      <c r="AM23" s="123" t="str">
        <f aca="false">IF(ISBLANK(Actuals!L29),"",Actuals!L29)</f>
        <v/>
      </c>
      <c r="AN23" s="124" t="str">
        <f aca="false">IF(ISBLANK(Actuals!L29),"",'Original Budget'!L29-Actuals!L29)</f>
        <v/>
      </c>
      <c r="AO23" s="124" t="str">
        <f aca="false">IFERROR(IF(ISBLANK(Actuals!L29),"",('Original Budget'!L29-Actuals!L29)/ABS('Original Budget'!L29)),"")</f>
        <v/>
      </c>
      <c r="AP23" s="123" t="n">
        <f aca="false">'Original Budget'!M29</f>
        <v>-10400</v>
      </c>
      <c r="AQ23" s="123" t="str">
        <f aca="false">IF(ISBLANK(Actuals!M29),"",Actuals!M29)</f>
        <v/>
      </c>
      <c r="AR23" s="124" t="str">
        <f aca="false">IF(ISBLANK(Actuals!M29),"",'Original Budget'!M29-Actuals!M29)</f>
        <v/>
      </c>
      <c r="AS23" s="124" t="str">
        <f aca="false">IFERROR(IF(ISBLANK(Actuals!M29),"",('Original Budget'!M29-Actuals!M29)/ABS('Original Budget'!M29)),"")</f>
        <v/>
      </c>
      <c r="AT23" s="123" t="n">
        <f aca="false">'Original Budget'!N29</f>
        <v>-10400</v>
      </c>
      <c r="AU23" s="123" t="str">
        <f aca="false">IF(ISBLANK(Actuals!N29),"",Actuals!N29)</f>
        <v/>
      </c>
      <c r="AV23" s="124" t="str">
        <f aca="false">IF(ISBLANK(Actuals!N29),"",'Original Budget'!N29-Actuals!N29)</f>
        <v/>
      </c>
      <c r="AW23" s="124" t="str">
        <f aca="false">IFERROR(IF(ISBLANK(Actuals!N29),"",('Original Budget'!N29-Actuals!N29)/ABS('Original Budget'!N29)),"")</f>
        <v/>
      </c>
      <c r="AX23" s="125" t="n">
        <f aca="false">SUMPRODUCT((Actuals!C29:N29&lt;&gt;"")*('Original Budget'!C29:N29))</f>
        <v>-52400</v>
      </c>
      <c r="AY23" s="125" t="n">
        <f aca="false">SUM(Actuals!C29:N29)</f>
        <v>-72405</v>
      </c>
      <c r="AZ23" s="126" t="n">
        <f aca="false">AX23-AY23</f>
        <v>20005</v>
      </c>
    </row>
    <row r="24" customFormat="false" ht="15" hidden="false" customHeight="true" outlineLevel="0" collapsed="false">
      <c r="A24" s="122" t="s">
        <v>69</v>
      </c>
      <c r="B24" s="123" t="n">
        <f aca="false">'Original Budget'!C30</f>
        <v>-1988</v>
      </c>
      <c r="C24" s="123" t="n">
        <f aca="false">IF(ISBLANK(Actuals!C30),"",Actuals!C30)</f>
        <v>-1988</v>
      </c>
      <c r="D24" s="124" t="n">
        <f aca="false">IF(ISBLANK(Actuals!C30),"",'Original Budget'!C30-Actuals!C30)</f>
        <v>0</v>
      </c>
      <c r="E24" s="124" t="n">
        <f aca="false">IFERROR(IF(ISBLANK(Actuals!C30),"",('Original Budget'!C30-Actuals!C30)/ABS('Original Budget'!C30)),"")</f>
        <v>0</v>
      </c>
      <c r="F24" s="123" t="n">
        <f aca="false">'Original Budget'!D30</f>
        <v>-955.32</v>
      </c>
      <c r="G24" s="123" t="n">
        <f aca="false">IF(ISBLANK(Actuals!D30),"",Actuals!D30)</f>
        <v>-955.32</v>
      </c>
      <c r="H24" s="124" t="n">
        <f aca="false">IF(ISBLANK(Actuals!D30),"",'Original Budget'!D30-Actuals!D30)</f>
        <v>0</v>
      </c>
      <c r="I24" s="124" t="n">
        <f aca="false">IFERROR(IF(ISBLANK(Actuals!D30),"",('Original Budget'!D30-Actuals!D30)/ABS('Original Budget'!D30)),"")</f>
        <v>0</v>
      </c>
      <c r="J24" s="123" t="n">
        <f aca="false">'Original Budget'!E30</f>
        <v>-9130.61</v>
      </c>
      <c r="K24" s="123" t="n">
        <f aca="false">IF(ISBLANK(Actuals!E30),"",Actuals!E30)</f>
        <v>-9130.61</v>
      </c>
      <c r="L24" s="124" t="n">
        <f aca="false">IF(ISBLANK(Actuals!E30),"",'Original Budget'!E30-Actuals!E30)</f>
        <v>0</v>
      </c>
      <c r="M24" s="124" t="n">
        <f aca="false">IFERROR(IF(ISBLANK(Actuals!E30),"",('Original Budget'!E30-Actuals!E30)/ABS('Original Budget'!E30)),"")</f>
        <v>0</v>
      </c>
      <c r="N24" s="123" t="n">
        <f aca="false">'Original Budget'!F30</f>
        <v>-4024.64</v>
      </c>
      <c r="O24" s="123" t="n">
        <f aca="false">IF(ISBLANK(Actuals!F30),"",Actuals!F30)</f>
        <v>-1028.89</v>
      </c>
      <c r="P24" s="124" t="n">
        <f aca="false">IF(ISBLANK(Actuals!F30),"",'Original Budget'!F30-Actuals!F30)</f>
        <v>-2995.75</v>
      </c>
      <c r="Q24" s="124" t="n">
        <f aca="false">IFERROR(IF(ISBLANK(Actuals!F30),"",('Original Budget'!F30-Actuals!F30)/ABS('Original Budget'!F30)),"")</f>
        <v>-0.744352289894251</v>
      </c>
      <c r="R24" s="123" t="n">
        <f aca="false">'Original Budget'!G30</f>
        <v>-4024.64</v>
      </c>
      <c r="S24" s="123" t="n">
        <f aca="false">IF(ISBLANK(Actuals!G30),"",Actuals!G30)</f>
        <v>-7005.14</v>
      </c>
      <c r="T24" s="124" t="n">
        <f aca="false">IF(ISBLANK(Actuals!G30),"",'Original Budget'!G30-Actuals!G30)</f>
        <v>2980.5</v>
      </c>
      <c r="U24" s="124" t="n">
        <f aca="false">IFERROR(IF(ISBLANK(Actuals!G30),"",('Original Budget'!G30-Actuals!G30)/ABS('Original Budget'!G30)),"")</f>
        <v>0.740563131112348</v>
      </c>
      <c r="V24" s="123" t="n">
        <f aca="false">'Original Budget'!H30</f>
        <v>-4024.64</v>
      </c>
      <c r="W24" s="123" t="n">
        <f aca="false">IF(ISBLANK(Actuals!H30),"",Actuals!H30)</f>
        <v>-4121.06</v>
      </c>
      <c r="X24" s="124" t="n">
        <f aca="false">IF(ISBLANK(Actuals!H30),"",'Original Budget'!H30-Actuals!H30)</f>
        <v>96.4200000000005</v>
      </c>
      <c r="Y24" s="124" t="n">
        <f aca="false">IFERROR(IF(ISBLANK(Actuals!H30),"",('Original Budget'!H30-Actuals!H30)/ABS('Original Budget'!H30)),"")</f>
        <v>0.023957422278763</v>
      </c>
      <c r="Z24" s="123" t="n">
        <f aca="false">'Original Budget'!I30</f>
        <v>-4024.64</v>
      </c>
      <c r="AA24" s="123" t="str">
        <f aca="false">IF(ISBLANK(Actuals!I30),"",Actuals!I30)</f>
        <v/>
      </c>
      <c r="AB24" s="124" t="str">
        <f aca="false">IF(ISBLANK(Actuals!I30),"",'Original Budget'!I30-Actuals!I30)</f>
        <v/>
      </c>
      <c r="AC24" s="124" t="str">
        <f aca="false">IFERROR(IF(ISBLANK(Actuals!I30),"",('Original Budget'!I30-Actuals!I30)/ABS('Original Budget'!I30)),"")</f>
        <v/>
      </c>
      <c r="AD24" s="123" t="n">
        <f aca="false">'Original Budget'!J30</f>
        <v>-4024.64</v>
      </c>
      <c r="AE24" s="123" t="str">
        <f aca="false">IF(ISBLANK(Actuals!J30),"",Actuals!J30)</f>
        <v/>
      </c>
      <c r="AF24" s="124" t="str">
        <f aca="false">IF(ISBLANK(Actuals!J30),"",'Original Budget'!J30-Actuals!J30)</f>
        <v/>
      </c>
      <c r="AG24" s="124" t="str">
        <f aca="false">IFERROR(IF(ISBLANK(Actuals!J30),"",('Original Budget'!J30-Actuals!J30)/ABS('Original Budget'!J30)),"")</f>
        <v/>
      </c>
      <c r="AH24" s="123" t="n">
        <f aca="false">'Original Budget'!K30</f>
        <v>-4024.64</v>
      </c>
      <c r="AI24" s="123" t="str">
        <f aca="false">IF(ISBLANK(Actuals!K30),"",Actuals!K30)</f>
        <v/>
      </c>
      <c r="AJ24" s="124" t="str">
        <f aca="false">IF(ISBLANK(Actuals!K30),"",'Original Budget'!K30-Actuals!K30)</f>
        <v/>
      </c>
      <c r="AK24" s="124" t="str">
        <f aca="false">IFERROR(IF(ISBLANK(Actuals!K30),"",('Original Budget'!K30-Actuals!K30)/ABS('Original Budget'!K30)),"")</f>
        <v/>
      </c>
      <c r="AL24" s="123" t="n">
        <f aca="false">'Original Budget'!L30</f>
        <v>-4024.64</v>
      </c>
      <c r="AM24" s="123" t="str">
        <f aca="false">IF(ISBLANK(Actuals!L30),"",Actuals!L30)</f>
        <v/>
      </c>
      <c r="AN24" s="124" t="str">
        <f aca="false">IF(ISBLANK(Actuals!L30),"",'Original Budget'!L30-Actuals!L30)</f>
        <v/>
      </c>
      <c r="AO24" s="124" t="str">
        <f aca="false">IFERROR(IF(ISBLANK(Actuals!L30),"",('Original Budget'!L30-Actuals!L30)/ABS('Original Budget'!L30)),"")</f>
        <v/>
      </c>
      <c r="AP24" s="123" t="n">
        <f aca="false">'Original Budget'!M30</f>
        <v>-4024.64</v>
      </c>
      <c r="AQ24" s="123" t="str">
        <f aca="false">IF(ISBLANK(Actuals!M30),"",Actuals!M30)</f>
        <v/>
      </c>
      <c r="AR24" s="124" t="str">
        <f aca="false">IF(ISBLANK(Actuals!M30),"",'Original Budget'!M30-Actuals!M30)</f>
        <v/>
      </c>
      <c r="AS24" s="124" t="str">
        <f aca="false">IFERROR(IF(ISBLANK(Actuals!M30),"",('Original Budget'!M30-Actuals!M30)/ABS('Original Budget'!M30)),"")</f>
        <v/>
      </c>
      <c r="AT24" s="123" t="n">
        <f aca="false">'Original Budget'!N30</f>
        <v>-4024.64</v>
      </c>
      <c r="AU24" s="123" t="str">
        <f aca="false">IF(ISBLANK(Actuals!N30),"",Actuals!N30)</f>
        <v/>
      </c>
      <c r="AV24" s="124" t="str">
        <f aca="false">IF(ISBLANK(Actuals!N30),"",'Original Budget'!N30-Actuals!N30)</f>
        <v/>
      </c>
      <c r="AW24" s="124" t="str">
        <f aca="false">IFERROR(IF(ISBLANK(Actuals!N30),"",('Original Budget'!N30-Actuals!N30)/ABS('Original Budget'!N30)),"")</f>
        <v/>
      </c>
      <c r="AX24" s="125" t="n">
        <f aca="false">SUMPRODUCT((Actuals!C30:N30&lt;&gt;"")*('Original Budget'!C30:N30))</f>
        <v>-24147.85</v>
      </c>
      <c r="AY24" s="125" t="n">
        <f aca="false">SUM(Actuals!C30:N30)</f>
        <v>-24229.02</v>
      </c>
      <c r="AZ24" s="126" t="n">
        <f aca="false">AX24-AY24</f>
        <v>81.1700000000055</v>
      </c>
    </row>
    <row r="25" customFormat="false" ht="15" hidden="false" customHeight="true" outlineLevel="0" collapsed="false">
      <c r="A25" s="122" t="s">
        <v>70</v>
      </c>
      <c r="B25" s="123" t="n">
        <f aca="false">'Original Budget'!C31</f>
        <v>0</v>
      </c>
      <c r="C25" s="123" t="n">
        <f aca="false">IF(ISBLANK(Actuals!C31),"",Actuals!C31)</f>
        <v>0</v>
      </c>
      <c r="D25" s="124" t="n">
        <f aca="false">IF(ISBLANK(Actuals!C31),"",'Original Budget'!C31-Actuals!C31)</f>
        <v>0</v>
      </c>
      <c r="E25" s="124" t="str">
        <f aca="false">IFERROR(IF(ISBLANK(Actuals!C31),"",('Original Budget'!C31-Actuals!C31)/ABS('Original Budget'!C31)),"")</f>
        <v/>
      </c>
      <c r="F25" s="123" t="n">
        <f aca="false">'Original Budget'!D31</f>
        <v>0</v>
      </c>
      <c r="G25" s="123" t="n">
        <f aca="false">IF(ISBLANK(Actuals!D31),"",Actuals!D31)</f>
        <v>0</v>
      </c>
      <c r="H25" s="124" t="n">
        <f aca="false">IF(ISBLANK(Actuals!D31),"",'Original Budget'!D31-Actuals!D31)</f>
        <v>0</v>
      </c>
      <c r="I25" s="124" t="str">
        <f aca="false">IFERROR(IF(ISBLANK(Actuals!D31),"",('Original Budget'!D31-Actuals!D31)/ABS('Original Budget'!D31)),"")</f>
        <v/>
      </c>
      <c r="J25" s="123" t="n">
        <f aca="false">'Original Budget'!E31</f>
        <v>-1077.38</v>
      </c>
      <c r="K25" s="123" t="n">
        <f aca="false">IF(ISBLANK(Actuals!E31),"",Actuals!E31)</f>
        <v>-1077.38</v>
      </c>
      <c r="L25" s="124" t="n">
        <f aca="false">IF(ISBLANK(Actuals!E31),"",'Original Budget'!E31-Actuals!E31)</f>
        <v>0</v>
      </c>
      <c r="M25" s="124" t="n">
        <f aca="false">IFERROR(IF(ISBLANK(Actuals!E31),"",('Original Budget'!E31-Actuals!E31)/ABS('Original Budget'!E31)),"")</f>
        <v>0</v>
      </c>
      <c r="N25" s="123" t="n">
        <f aca="false">'Original Budget'!F31</f>
        <v>-359.13</v>
      </c>
      <c r="O25" s="123" t="n">
        <f aca="false">IF(ISBLANK(Actuals!F31),"",Actuals!F31)</f>
        <v>-211.28</v>
      </c>
      <c r="P25" s="124" t="n">
        <f aca="false">IF(ISBLANK(Actuals!F31),"",'Original Budget'!F31-Actuals!F31)</f>
        <v>-147.85</v>
      </c>
      <c r="Q25" s="124" t="n">
        <f aca="false">IFERROR(IF(ISBLANK(Actuals!F31),"",('Original Budget'!F31-Actuals!F31)/ABS('Original Budget'!F31)),"")</f>
        <v>-0.411689360398741</v>
      </c>
      <c r="R25" s="123" t="n">
        <f aca="false">'Original Budget'!G31</f>
        <v>-359.13</v>
      </c>
      <c r="S25" s="123" t="n">
        <f aca="false">IF(ISBLANK(Actuals!G31),"",Actuals!G31)</f>
        <v>-1254.17</v>
      </c>
      <c r="T25" s="124" t="n">
        <f aca="false">IF(ISBLANK(Actuals!G31),"",'Original Budget'!G31-Actuals!G31)</f>
        <v>895.04</v>
      </c>
      <c r="U25" s="124" t="n">
        <f aca="false">IFERROR(IF(ISBLANK(Actuals!G31),"",('Original Budget'!G31-Actuals!G31)/ABS('Original Budget'!G31)),"")</f>
        <v>2.49224514799655</v>
      </c>
      <c r="V25" s="123" t="n">
        <f aca="false">'Original Budget'!H31</f>
        <v>-359.13</v>
      </c>
      <c r="W25" s="123" t="n">
        <f aca="false">IF(ISBLANK(Actuals!H31),"",Actuals!H31)</f>
        <v>0</v>
      </c>
      <c r="X25" s="124" t="n">
        <f aca="false">IF(ISBLANK(Actuals!H31),"",'Original Budget'!H31-Actuals!H31)</f>
        <v>-359.13</v>
      </c>
      <c r="Y25" s="124" t="n">
        <f aca="false">IFERROR(IF(ISBLANK(Actuals!H31),"",('Original Budget'!H31-Actuals!H31)/ABS('Original Budget'!H31)),"")</f>
        <v>-1</v>
      </c>
      <c r="Z25" s="123" t="n">
        <f aca="false">'Original Budget'!I31</f>
        <v>-359.13</v>
      </c>
      <c r="AA25" s="123" t="str">
        <f aca="false">IF(ISBLANK(Actuals!I31),"",Actuals!I31)</f>
        <v/>
      </c>
      <c r="AB25" s="124" t="str">
        <f aca="false">IF(ISBLANK(Actuals!I31),"",'Original Budget'!I31-Actuals!I31)</f>
        <v/>
      </c>
      <c r="AC25" s="124" t="str">
        <f aca="false">IFERROR(IF(ISBLANK(Actuals!I31),"",('Original Budget'!I31-Actuals!I31)/ABS('Original Budget'!I31)),"")</f>
        <v/>
      </c>
      <c r="AD25" s="123" t="n">
        <f aca="false">'Original Budget'!J31</f>
        <v>-359.13</v>
      </c>
      <c r="AE25" s="123" t="str">
        <f aca="false">IF(ISBLANK(Actuals!J31),"",Actuals!J31)</f>
        <v/>
      </c>
      <c r="AF25" s="124" t="str">
        <f aca="false">IF(ISBLANK(Actuals!J31),"",'Original Budget'!J31-Actuals!J31)</f>
        <v/>
      </c>
      <c r="AG25" s="124" t="str">
        <f aca="false">IFERROR(IF(ISBLANK(Actuals!J31),"",('Original Budget'!J31-Actuals!J31)/ABS('Original Budget'!J31)),"")</f>
        <v/>
      </c>
      <c r="AH25" s="123" t="n">
        <f aca="false">'Original Budget'!K31</f>
        <v>-359.13</v>
      </c>
      <c r="AI25" s="123" t="str">
        <f aca="false">IF(ISBLANK(Actuals!K31),"",Actuals!K31)</f>
        <v/>
      </c>
      <c r="AJ25" s="124" t="str">
        <f aca="false">IF(ISBLANK(Actuals!K31),"",'Original Budget'!K31-Actuals!K31)</f>
        <v/>
      </c>
      <c r="AK25" s="124" t="str">
        <f aca="false">IFERROR(IF(ISBLANK(Actuals!K31),"",('Original Budget'!K31-Actuals!K31)/ABS('Original Budget'!K31)),"")</f>
        <v/>
      </c>
      <c r="AL25" s="123" t="n">
        <f aca="false">'Original Budget'!L31</f>
        <v>-359.13</v>
      </c>
      <c r="AM25" s="123" t="str">
        <f aca="false">IF(ISBLANK(Actuals!L31),"",Actuals!L31)</f>
        <v/>
      </c>
      <c r="AN25" s="124" t="str">
        <f aca="false">IF(ISBLANK(Actuals!L31),"",'Original Budget'!L31-Actuals!L31)</f>
        <v/>
      </c>
      <c r="AO25" s="124" t="str">
        <f aca="false">IFERROR(IF(ISBLANK(Actuals!L31),"",('Original Budget'!L31-Actuals!L31)/ABS('Original Budget'!L31)),"")</f>
        <v/>
      </c>
      <c r="AP25" s="123" t="n">
        <f aca="false">'Original Budget'!M31</f>
        <v>-359.13</v>
      </c>
      <c r="AQ25" s="123" t="str">
        <f aca="false">IF(ISBLANK(Actuals!M31),"",Actuals!M31)</f>
        <v/>
      </c>
      <c r="AR25" s="124" t="str">
        <f aca="false">IF(ISBLANK(Actuals!M31),"",'Original Budget'!M31-Actuals!M31)</f>
        <v/>
      </c>
      <c r="AS25" s="124" t="str">
        <f aca="false">IFERROR(IF(ISBLANK(Actuals!M31),"",('Original Budget'!M31-Actuals!M31)/ABS('Original Budget'!M31)),"")</f>
        <v/>
      </c>
      <c r="AT25" s="123" t="n">
        <f aca="false">'Original Budget'!N31</f>
        <v>-359.13</v>
      </c>
      <c r="AU25" s="123" t="str">
        <f aca="false">IF(ISBLANK(Actuals!N31),"",Actuals!N31)</f>
        <v/>
      </c>
      <c r="AV25" s="124" t="str">
        <f aca="false">IF(ISBLANK(Actuals!N31),"",'Original Budget'!N31-Actuals!N31)</f>
        <v/>
      </c>
      <c r="AW25" s="124" t="str">
        <f aca="false">IFERROR(IF(ISBLANK(Actuals!N31),"",('Original Budget'!N31-Actuals!N31)/ABS('Original Budget'!N31)),"")</f>
        <v/>
      </c>
      <c r="AX25" s="125" t="n">
        <f aca="false">SUMPRODUCT((Actuals!C31:N31&lt;&gt;"")*('Original Budget'!C31:N31))</f>
        <v>-2154.77</v>
      </c>
      <c r="AY25" s="125" t="n">
        <f aca="false">SUM(Actuals!C31:N31)</f>
        <v>-2542.83</v>
      </c>
      <c r="AZ25" s="126" t="n">
        <f aca="false">AX25-AY25</f>
        <v>388.06</v>
      </c>
    </row>
    <row r="26" customFormat="false" ht="15" hidden="false" customHeight="true" outlineLevel="0" collapsed="false">
      <c r="A26" s="122" t="s">
        <v>71</v>
      </c>
      <c r="B26" s="123" t="n">
        <f aca="false">'Original Budget'!C32</f>
        <v>-79</v>
      </c>
      <c r="C26" s="123" t="n">
        <f aca="false">IF(ISBLANK(Actuals!C32),"",Actuals!C32)</f>
        <v>-79</v>
      </c>
      <c r="D26" s="124" t="n">
        <f aca="false">IF(ISBLANK(Actuals!C32),"",'Original Budget'!C32-Actuals!C32)</f>
        <v>0</v>
      </c>
      <c r="E26" s="124" t="n">
        <f aca="false">IFERROR(IF(ISBLANK(Actuals!C32),"",('Original Budget'!C32-Actuals!C32)/ABS('Original Budget'!C32)),"")</f>
        <v>0</v>
      </c>
      <c r="F26" s="123" t="n">
        <f aca="false">'Original Budget'!D32</f>
        <v>0</v>
      </c>
      <c r="G26" s="123" t="n">
        <f aca="false">IF(ISBLANK(Actuals!D32),"",Actuals!D32)</f>
        <v>0</v>
      </c>
      <c r="H26" s="124" t="n">
        <f aca="false">IF(ISBLANK(Actuals!D32),"",'Original Budget'!D32-Actuals!D32)</f>
        <v>0</v>
      </c>
      <c r="I26" s="124" t="str">
        <f aca="false">IFERROR(IF(ISBLANK(Actuals!D32),"",('Original Budget'!D32-Actuals!D32)/ABS('Original Budget'!D32)),"")</f>
        <v/>
      </c>
      <c r="J26" s="123" t="n">
        <f aca="false">'Original Budget'!E32</f>
        <v>0</v>
      </c>
      <c r="K26" s="123" t="n">
        <f aca="false">IF(ISBLANK(Actuals!E32),"",Actuals!E32)</f>
        <v>0</v>
      </c>
      <c r="L26" s="124" t="n">
        <f aca="false">IF(ISBLANK(Actuals!E32),"",'Original Budget'!E32-Actuals!E32)</f>
        <v>0</v>
      </c>
      <c r="M26" s="124" t="str">
        <f aca="false">IFERROR(IF(ISBLANK(Actuals!E32),"",('Original Budget'!E32-Actuals!E32)/ABS('Original Budget'!E32)),"")</f>
        <v/>
      </c>
      <c r="N26" s="123" t="n">
        <f aca="false">'Original Budget'!F32</f>
        <v>-26.33</v>
      </c>
      <c r="O26" s="123" t="n">
        <f aca="false">IF(ISBLANK(Actuals!F32),"",Actuals!F32)</f>
        <v>0</v>
      </c>
      <c r="P26" s="124" t="n">
        <f aca="false">IF(ISBLANK(Actuals!F32),"",'Original Budget'!F32-Actuals!F32)</f>
        <v>-26.33</v>
      </c>
      <c r="Q26" s="124" t="n">
        <f aca="false">IFERROR(IF(ISBLANK(Actuals!F32),"",('Original Budget'!F32-Actuals!F32)/ABS('Original Budget'!F32)),"")</f>
        <v>-1</v>
      </c>
      <c r="R26" s="123" t="n">
        <f aca="false">'Original Budget'!G32</f>
        <v>-26.33</v>
      </c>
      <c r="S26" s="123" t="n">
        <f aca="false">IF(ISBLANK(Actuals!G32),"",Actuals!G32)</f>
        <v>0</v>
      </c>
      <c r="T26" s="124" t="n">
        <f aca="false">IF(ISBLANK(Actuals!G32),"",'Original Budget'!G32-Actuals!G32)</f>
        <v>-26.33</v>
      </c>
      <c r="U26" s="124" t="n">
        <f aca="false">IFERROR(IF(ISBLANK(Actuals!G32),"",('Original Budget'!G32-Actuals!G32)/ABS('Original Budget'!G32)),"")</f>
        <v>-1</v>
      </c>
      <c r="V26" s="123" t="n">
        <f aca="false">'Original Budget'!H32</f>
        <v>-26.33</v>
      </c>
      <c r="W26" s="123" t="n">
        <f aca="false">IF(ISBLANK(Actuals!H32),"",Actuals!H32)</f>
        <v>0</v>
      </c>
      <c r="X26" s="124" t="n">
        <f aca="false">IF(ISBLANK(Actuals!H32),"",'Original Budget'!H32-Actuals!H32)</f>
        <v>-26.33</v>
      </c>
      <c r="Y26" s="124" t="n">
        <f aca="false">IFERROR(IF(ISBLANK(Actuals!H32),"",('Original Budget'!H32-Actuals!H32)/ABS('Original Budget'!H32)),"")</f>
        <v>-1</v>
      </c>
      <c r="Z26" s="123" t="n">
        <f aca="false">'Original Budget'!I32</f>
        <v>-26.33</v>
      </c>
      <c r="AA26" s="123" t="str">
        <f aca="false">IF(ISBLANK(Actuals!I32),"",Actuals!I32)</f>
        <v/>
      </c>
      <c r="AB26" s="124" t="str">
        <f aca="false">IF(ISBLANK(Actuals!I32),"",'Original Budget'!I32-Actuals!I32)</f>
        <v/>
      </c>
      <c r="AC26" s="124" t="str">
        <f aca="false">IFERROR(IF(ISBLANK(Actuals!I32),"",('Original Budget'!I32-Actuals!I32)/ABS('Original Budget'!I32)),"")</f>
        <v/>
      </c>
      <c r="AD26" s="123" t="n">
        <f aca="false">'Original Budget'!J32</f>
        <v>-26.33</v>
      </c>
      <c r="AE26" s="123" t="str">
        <f aca="false">IF(ISBLANK(Actuals!J32),"",Actuals!J32)</f>
        <v/>
      </c>
      <c r="AF26" s="124" t="str">
        <f aca="false">IF(ISBLANK(Actuals!J32),"",'Original Budget'!J32-Actuals!J32)</f>
        <v/>
      </c>
      <c r="AG26" s="124" t="str">
        <f aca="false">IFERROR(IF(ISBLANK(Actuals!J32),"",('Original Budget'!J32-Actuals!J32)/ABS('Original Budget'!J32)),"")</f>
        <v/>
      </c>
      <c r="AH26" s="123" t="n">
        <f aca="false">'Original Budget'!K32</f>
        <v>-26.33</v>
      </c>
      <c r="AI26" s="123" t="str">
        <f aca="false">IF(ISBLANK(Actuals!K32),"",Actuals!K32)</f>
        <v/>
      </c>
      <c r="AJ26" s="124" t="str">
        <f aca="false">IF(ISBLANK(Actuals!K32),"",'Original Budget'!K32-Actuals!K32)</f>
        <v/>
      </c>
      <c r="AK26" s="124" t="str">
        <f aca="false">IFERROR(IF(ISBLANK(Actuals!K32),"",('Original Budget'!K32-Actuals!K32)/ABS('Original Budget'!K32)),"")</f>
        <v/>
      </c>
      <c r="AL26" s="123" t="n">
        <f aca="false">'Original Budget'!L32</f>
        <v>-26.33</v>
      </c>
      <c r="AM26" s="123" t="str">
        <f aca="false">IF(ISBLANK(Actuals!L32),"",Actuals!L32)</f>
        <v/>
      </c>
      <c r="AN26" s="124" t="str">
        <f aca="false">IF(ISBLANK(Actuals!L32),"",'Original Budget'!L32-Actuals!L32)</f>
        <v/>
      </c>
      <c r="AO26" s="124" t="str">
        <f aca="false">IFERROR(IF(ISBLANK(Actuals!L32),"",('Original Budget'!L32-Actuals!L32)/ABS('Original Budget'!L32)),"")</f>
        <v/>
      </c>
      <c r="AP26" s="123" t="n">
        <f aca="false">'Original Budget'!M32</f>
        <v>-26.33</v>
      </c>
      <c r="AQ26" s="123" t="str">
        <f aca="false">IF(ISBLANK(Actuals!M32),"",Actuals!M32)</f>
        <v/>
      </c>
      <c r="AR26" s="124" t="str">
        <f aca="false">IF(ISBLANK(Actuals!M32),"",'Original Budget'!M32-Actuals!M32)</f>
        <v/>
      </c>
      <c r="AS26" s="124" t="str">
        <f aca="false">IFERROR(IF(ISBLANK(Actuals!M32),"",('Original Budget'!M32-Actuals!M32)/ABS('Original Budget'!M32)),"")</f>
        <v/>
      </c>
      <c r="AT26" s="123" t="n">
        <f aca="false">'Original Budget'!N32</f>
        <v>-26.33</v>
      </c>
      <c r="AU26" s="123" t="str">
        <f aca="false">IF(ISBLANK(Actuals!N32),"",Actuals!N32)</f>
        <v/>
      </c>
      <c r="AV26" s="124" t="str">
        <f aca="false">IF(ISBLANK(Actuals!N32),"",'Original Budget'!N32-Actuals!N32)</f>
        <v/>
      </c>
      <c r="AW26" s="124" t="str">
        <f aca="false">IFERROR(IF(ISBLANK(Actuals!N32),"",('Original Budget'!N32-Actuals!N32)/ABS('Original Budget'!N32)),"")</f>
        <v/>
      </c>
      <c r="AX26" s="125" t="n">
        <f aca="false">SUMPRODUCT((Actuals!C32:N32&lt;&gt;"")*('Original Budget'!C32:N32))</f>
        <v>-157.99</v>
      </c>
      <c r="AY26" s="125" t="n">
        <f aca="false">SUM(Actuals!C32:N32)</f>
        <v>-79</v>
      </c>
      <c r="AZ26" s="126" t="n">
        <f aca="false">AX26-AY26</f>
        <v>-78.99</v>
      </c>
    </row>
    <row r="27" customFormat="false" ht="15" hidden="false" customHeight="true" outlineLevel="0" collapsed="false">
      <c r="A27" s="122" t="s">
        <v>72</v>
      </c>
      <c r="B27" s="123" t="n">
        <f aca="false">'Original Budget'!C33</f>
        <v>-3405.64</v>
      </c>
      <c r="C27" s="123" t="n">
        <f aca="false">IF(ISBLANK(Actuals!C33),"",Actuals!C33)</f>
        <v>-3405.64</v>
      </c>
      <c r="D27" s="124" t="n">
        <f aca="false">IF(ISBLANK(Actuals!C33),"",'Original Budget'!C33-Actuals!C33)</f>
        <v>0</v>
      </c>
      <c r="E27" s="124" t="n">
        <f aca="false">IFERROR(IF(ISBLANK(Actuals!C33),"",('Original Budget'!C33-Actuals!C33)/ABS('Original Budget'!C33)),"")</f>
        <v>0</v>
      </c>
      <c r="F27" s="123" t="n">
        <f aca="false">'Original Budget'!D33</f>
        <v>-5015.38</v>
      </c>
      <c r="G27" s="123" t="n">
        <f aca="false">IF(ISBLANK(Actuals!D33),"",Actuals!D33)</f>
        <v>-5015.38</v>
      </c>
      <c r="H27" s="124" t="n">
        <f aca="false">IF(ISBLANK(Actuals!D33),"",'Original Budget'!D33-Actuals!D33)</f>
        <v>0</v>
      </c>
      <c r="I27" s="124" t="n">
        <f aca="false">IFERROR(IF(ISBLANK(Actuals!D33),"",('Original Budget'!D33-Actuals!D33)/ABS('Original Budget'!D33)),"")</f>
        <v>0</v>
      </c>
      <c r="J27" s="123" t="n">
        <f aca="false">'Original Budget'!E33</f>
        <v>-7481.39</v>
      </c>
      <c r="K27" s="123" t="n">
        <f aca="false">IF(ISBLANK(Actuals!E33),"",Actuals!E33)</f>
        <v>-7481.39</v>
      </c>
      <c r="L27" s="124" t="n">
        <f aca="false">IF(ISBLANK(Actuals!E33),"",'Original Budget'!E33-Actuals!E33)</f>
        <v>0</v>
      </c>
      <c r="M27" s="124" t="n">
        <f aca="false">IFERROR(IF(ISBLANK(Actuals!E33),"",('Original Budget'!E33-Actuals!E33)/ABS('Original Budget'!E33)),"")</f>
        <v>0</v>
      </c>
      <c r="N27" s="123" t="n">
        <f aca="false">'Original Budget'!F33</f>
        <v>-5300.8</v>
      </c>
      <c r="O27" s="123" t="n">
        <f aca="false">IF(ISBLANK(Actuals!F33),"",Actuals!F33)</f>
        <v>-5111.12</v>
      </c>
      <c r="P27" s="124" t="n">
        <f aca="false">IF(ISBLANK(Actuals!F33),"",'Original Budget'!F33-Actuals!F33)</f>
        <v>-189.68</v>
      </c>
      <c r="Q27" s="124" t="n">
        <f aca="false">IFERROR(IF(ISBLANK(Actuals!F33),"",('Original Budget'!F33-Actuals!F33)/ABS('Original Budget'!F33)),"")</f>
        <v>-0.0357832779957743</v>
      </c>
      <c r="R27" s="123" t="n">
        <f aca="false">'Original Budget'!G33</f>
        <v>-5300.8</v>
      </c>
      <c r="S27" s="123" t="n">
        <f aca="false">IF(ISBLANK(Actuals!G33),"",Actuals!G33)</f>
        <v>-4038.48</v>
      </c>
      <c r="T27" s="124" t="n">
        <f aca="false">IF(ISBLANK(Actuals!G33),"",'Original Budget'!G33-Actuals!G33)</f>
        <v>-1262.32</v>
      </c>
      <c r="U27" s="124" t="n">
        <f aca="false">IFERROR(IF(ISBLANK(Actuals!G33),"",('Original Budget'!G33-Actuals!G33)/ABS('Original Budget'!G33)),"")</f>
        <v>-0.23813763960157</v>
      </c>
      <c r="V27" s="123" t="n">
        <f aca="false">'Original Budget'!H33</f>
        <v>-5300.8</v>
      </c>
      <c r="W27" s="123" t="n">
        <f aca="false">IF(ISBLANK(Actuals!H33),"",Actuals!H33)</f>
        <v>-6114.98</v>
      </c>
      <c r="X27" s="124" t="n">
        <f aca="false">IF(ISBLANK(Actuals!H33),"",'Original Budget'!H33-Actuals!H33)</f>
        <v>814.179999999999</v>
      </c>
      <c r="Y27" s="124" t="n">
        <f aca="false">IFERROR(IF(ISBLANK(Actuals!H33),"",('Original Budget'!H33-Actuals!H33)/ABS('Original Budget'!H33)),"")</f>
        <v>0.153595683670389</v>
      </c>
      <c r="Z27" s="123" t="n">
        <f aca="false">'Original Budget'!I33</f>
        <v>-5300.8</v>
      </c>
      <c r="AA27" s="123" t="str">
        <f aca="false">IF(ISBLANK(Actuals!I33),"",Actuals!I33)</f>
        <v/>
      </c>
      <c r="AB27" s="124" t="str">
        <f aca="false">IF(ISBLANK(Actuals!I33),"",'Original Budget'!I33-Actuals!I33)</f>
        <v/>
      </c>
      <c r="AC27" s="124" t="str">
        <f aca="false">IFERROR(IF(ISBLANK(Actuals!I33),"",('Original Budget'!I33-Actuals!I33)/ABS('Original Budget'!I33)),"")</f>
        <v/>
      </c>
      <c r="AD27" s="123" t="n">
        <f aca="false">'Original Budget'!J33</f>
        <v>-5300.8</v>
      </c>
      <c r="AE27" s="123" t="str">
        <f aca="false">IF(ISBLANK(Actuals!J33),"",Actuals!J33)</f>
        <v/>
      </c>
      <c r="AF27" s="124" t="str">
        <f aca="false">IF(ISBLANK(Actuals!J33),"",'Original Budget'!J33-Actuals!J33)</f>
        <v/>
      </c>
      <c r="AG27" s="124" t="str">
        <f aca="false">IFERROR(IF(ISBLANK(Actuals!J33),"",('Original Budget'!J33-Actuals!J33)/ABS('Original Budget'!J33)),"")</f>
        <v/>
      </c>
      <c r="AH27" s="123" t="n">
        <f aca="false">'Original Budget'!K33</f>
        <v>-5300.8</v>
      </c>
      <c r="AI27" s="123" t="str">
        <f aca="false">IF(ISBLANK(Actuals!K33),"",Actuals!K33)</f>
        <v/>
      </c>
      <c r="AJ27" s="124" t="str">
        <f aca="false">IF(ISBLANK(Actuals!K33),"",'Original Budget'!K33-Actuals!K33)</f>
        <v/>
      </c>
      <c r="AK27" s="124" t="str">
        <f aca="false">IFERROR(IF(ISBLANK(Actuals!K33),"",('Original Budget'!K33-Actuals!K33)/ABS('Original Budget'!K33)),"")</f>
        <v/>
      </c>
      <c r="AL27" s="123" t="n">
        <f aca="false">'Original Budget'!L33</f>
        <v>-5300.8</v>
      </c>
      <c r="AM27" s="123" t="str">
        <f aca="false">IF(ISBLANK(Actuals!L33),"",Actuals!L33)</f>
        <v/>
      </c>
      <c r="AN27" s="124" t="str">
        <f aca="false">IF(ISBLANK(Actuals!L33),"",'Original Budget'!L33-Actuals!L33)</f>
        <v/>
      </c>
      <c r="AO27" s="124" t="str">
        <f aca="false">IFERROR(IF(ISBLANK(Actuals!L33),"",('Original Budget'!L33-Actuals!L33)/ABS('Original Budget'!L33)),"")</f>
        <v/>
      </c>
      <c r="AP27" s="123" t="n">
        <f aca="false">'Original Budget'!M33</f>
        <v>-5300.8</v>
      </c>
      <c r="AQ27" s="123" t="str">
        <f aca="false">IF(ISBLANK(Actuals!M33),"",Actuals!M33)</f>
        <v/>
      </c>
      <c r="AR27" s="124" t="str">
        <f aca="false">IF(ISBLANK(Actuals!M33),"",'Original Budget'!M33-Actuals!M33)</f>
        <v/>
      </c>
      <c r="AS27" s="124" t="str">
        <f aca="false">IFERROR(IF(ISBLANK(Actuals!M33),"",('Original Budget'!M33-Actuals!M33)/ABS('Original Budget'!M33)),"")</f>
        <v/>
      </c>
      <c r="AT27" s="123" t="n">
        <f aca="false">'Original Budget'!N33</f>
        <v>-5300.8</v>
      </c>
      <c r="AU27" s="123" t="str">
        <f aca="false">IF(ISBLANK(Actuals!N33),"",Actuals!N33)</f>
        <v/>
      </c>
      <c r="AV27" s="124" t="str">
        <f aca="false">IF(ISBLANK(Actuals!N33),"",'Original Budget'!N33-Actuals!N33)</f>
        <v/>
      </c>
      <c r="AW27" s="124" t="str">
        <f aca="false">IFERROR(IF(ISBLANK(Actuals!N33),"",('Original Budget'!N33-Actuals!N33)/ABS('Original Budget'!N33)),"")</f>
        <v/>
      </c>
      <c r="AX27" s="125" t="n">
        <f aca="false">SUMPRODUCT((Actuals!C33:N33&lt;&gt;"")*('Original Budget'!C33:N33))</f>
        <v>-31804.81</v>
      </c>
      <c r="AY27" s="125" t="n">
        <f aca="false">SUM(Actuals!C33:N33)</f>
        <v>-31166.99</v>
      </c>
      <c r="AZ27" s="126" t="n">
        <f aca="false">AX27-AY27</f>
        <v>-637.82</v>
      </c>
    </row>
    <row r="28" customFormat="false" ht="15" hidden="false" customHeight="true" outlineLevel="0" collapsed="false">
      <c r="A28" s="122" t="s">
        <v>73</v>
      </c>
      <c r="B28" s="123" t="n">
        <f aca="false">'Original Budget'!C34</f>
        <v>0</v>
      </c>
      <c r="C28" s="123" t="n">
        <f aca="false">IF(ISBLANK(Actuals!C34),"",Actuals!C34)</f>
        <v>0</v>
      </c>
      <c r="D28" s="124" t="n">
        <f aca="false">IF(ISBLANK(Actuals!C34),"",'Original Budget'!C34-Actuals!C34)</f>
        <v>0</v>
      </c>
      <c r="E28" s="124" t="str">
        <f aca="false">IFERROR(IF(ISBLANK(Actuals!C34),"",('Original Budget'!C34-Actuals!C34)/ABS('Original Budget'!C34)),"")</f>
        <v/>
      </c>
      <c r="F28" s="123" t="n">
        <f aca="false">'Original Budget'!D34</f>
        <v>-1766.48</v>
      </c>
      <c r="G28" s="123" t="n">
        <f aca="false">IF(ISBLANK(Actuals!D34),"",Actuals!D34)</f>
        <v>-1766.48</v>
      </c>
      <c r="H28" s="124" t="n">
        <f aca="false">IF(ISBLANK(Actuals!D34),"",'Original Budget'!D34-Actuals!D34)</f>
        <v>0</v>
      </c>
      <c r="I28" s="124" t="n">
        <f aca="false">IFERROR(IF(ISBLANK(Actuals!D34),"",('Original Budget'!D34-Actuals!D34)/ABS('Original Budget'!D34)),"")</f>
        <v>0</v>
      </c>
      <c r="J28" s="123" t="n">
        <f aca="false">'Original Budget'!E34</f>
        <v>-441.62</v>
      </c>
      <c r="K28" s="123" t="n">
        <f aca="false">IF(ISBLANK(Actuals!E34),"",Actuals!E34)</f>
        <v>-441.62</v>
      </c>
      <c r="L28" s="124" t="n">
        <f aca="false">IF(ISBLANK(Actuals!E34),"",'Original Budget'!E34-Actuals!E34)</f>
        <v>0</v>
      </c>
      <c r="M28" s="124" t="n">
        <f aca="false">IFERROR(IF(ISBLANK(Actuals!E34),"",('Original Budget'!E34-Actuals!E34)/ABS('Original Budget'!E34)),"")</f>
        <v>0</v>
      </c>
      <c r="N28" s="123" t="n">
        <f aca="false">'Original Budget'!F34</f>
        <v>-736.03</v>
      </c>
      <c r="O28" s="123" t="n">
        <f aca="false">IF(ISBLANK(Actuals!F34),"",Actuals!F34)</f>
        <v>-441.62</v>
      </c>
      <c r="P28" s="124" t="n">
        <f aca="false">IF(ISBLANK(Actuals!F34),"",'Original Budget'!F34-Actuals!F34)</f>
        <v>-294.41</v>
      </c>
      <c r="Q28" s="124" t="n">
        <f aca="false">IFERROR(IF(ISBLANK(Actuals!F34),"",('Original Budget'!F34-Actuals!F34)/ABS('Original Budget'!F34)),"")</f>
        <v>-0.399997282719454</v>
      </c>
      <c r="R28" s="123" t="n">
        <f aca="false">'Original Budget'!G34</f>
        <v>-736.03</v>
      </c>
      <c r="S28" s="123" t="n">
        <f aca="false">IF(ISBLANK(Actuals!G34),"",Actuals!G34)</f>
        <v>-578.62</v>
      </c>
      <c r="T28" s="124" t="n">
        <f aca="false">IF(ISBLANK(Actuals!G34),"",'Original Budget'!G34-Actuals!G34)</f>
        <v>-157.41</v>
      </c>
      <c r="U28" s="124" t="n">
        <f aca="false">IFERROR(IF(ISBLANK(Actuals!G34),"",('Original Budget'!G34-Actuals!G34)/ABS('Original Budget'!G34)),"")</f>
        <v>-0.213863565343804</v>
      </c>
      <c r="V28" s="123" t="n">
        <f aca="false">'Original Budget'!H34</f>
        <v>-736.03</v>
      </c>
      <c r="W28" s="123" t="n">
        <f aca="false">IF(ISBLANK(Actuals!H34),"",Actuals!H34)</f>
        <v>-491.62</v>
      </c>
      <c r="X28" s="124" t="n">
        <f aca="false">IF(ISBLANK(Actuals!H34),"",'Original Budget'!H34-Actuals!H34)</f>
        <v>-244.41</v>
      </c>
      <c r="Y28" s="124" t="n">
        <f aca="false">IFERROR(IF(ISBLANK(Actuals!H34),"",('Original Budget'!H34-Actuals!H34)/ABS('Original Budget'!H34)),"")</f>
        <v>-0.332065269078706</v>
      </c>
      <c r="Z28" s="123" t="n">
        <f aca="false">'Original Budget'!I34</f>
        <v>-736.03</v>
      </c>
      <c r="AA28" s="123" t="str">
        <f aca="false">IF(ISBLANK(Actuals!I34),"",Actuals!I34)</f>
        <v/>
      </c>
      <c r="AB28" s="124" t="str">
        <f aca="false">IF(ISBLANK(Actuals!I34),"",'Original Budget'!I34-Actuals!I34)</f>
        <v/>
      </c>
      <c r="AC28" s="124" t="str">
        <f aca="false">IFERROR(IF(ISBLANK(Actuals!I34),"",('Original Budget'!I34-Actuals!I34)/ABS('Original Budget'!I34)),"")</f>
        <v/>
      </c>
      <c r="AD28" s="123" t="n">
        <f aca="false">'Original Budget'!J34</f>
        <v>-736.03</v>
      </c>
      <c r="AE28" s="123" t="str">
        <f aca="false">IF(ISBLANK(Actuals!J34),"",Actuals!J34)</f>
        <v/>
      </c>
      <c r="AF28" s="124" t="str">
        <f aca="false">IF(ISBLANK(Actuals!J34),"",'Original Budget'!J34-Actuals!J34)</f>
        <v/>
      </c>
      <c r="AG28" s="124" t="str">
        <f aca="false">IFERROR(IF(ISBLANK(Actuals!J34),"",('Original Budget'!J34-Actuals!J34)/ABS('Original Budget'!J34)),"")</f>
        <v/>
      </c>
      <c r="AH28" s="123" t="n">
        <f aca="false">'Original Budget'!K34</f>
        <v>-736.03</v>
      </c>
      <c r="AI28" s="123" t="str">
        <f aca="false">IF(ISBLANK(Actuals!K34),"",Actuals!K34)</f>
        <v/>
      </c>
      <c r="AJ28" s="124" t="str">
        <f aca="false">IF(ISBLANK(Actuals!K34),"",'Original Budget'!K34-Actuals!K34)</f>
        <v/>
      </c>
      <c r="AK28" s="124" t="str">
        <f aca="false">IFERROR(IF(ISBLANK(Actuals!K34),"",('Original Budget'!K34-Actuals!K34)/ABS('Original Budget'!K34)),"")</f>
        <v/>
      </c>
      <c r="AL28" s="123" t="n">
        <f aca="false">'Original Budget'!L34</f>
        <v>-736.03</v>
      </c>
      <c r="AM28" s="123" t="str">
        <f aca="false">IF(ISBLANK(Actuals!L34),"",Actuals!L34)</f>
        <v/>
      </c>
      <c r="AN28" s="124" t="str">
        <f aca="false">IF(ISBLANK(Actuals!L34),"",'Original Budget'!L34-Actuals!L34)</f>
        <v/>
      </c>
      <c r="AO28" s="124" t="str">
        <f aca="false">IFERROR(IF(ISBLANK(Actuals!L34),"",('Original Budget'!L34-Actuals!L34)/ABS('Original Budget'!L34)),"")</f>
        <v/>
      </c>
      <c r="AP28" s="123" t="n">
        <f aca="false">'Original Budget'!M34</f>
        <v>-736.03</v>
      </c>
      <c r="AQ28" s="123" t="str">
        <f aca="false">IF(ISBLANK(Actuals!M34),"",Actuals!M34)</f>
        <v/>
      </c>
      <c r="AR28" s="124" t="str">
        <f aca="false">IF(ISBLANK(Actuals!M34),"",'Original Budget'!M34-Actuals!M34)</f>
        <v/>
      </c>
      <c r="AS28" s="124" t="str">
        <f aca="false">IFERROR(IF(ISBLANK(Actuals!M34),"",('Original Budget'!M34-Actuals!M34)/ABS('Original Budget'!M34)),"")</f>
        <v/>
      </c>
      <c r="AT28" s="123" t="n">
        <f aca="false">'Original Budget'!N34</f>
        <v>-736.03</v>
      </c>
      <c r="AU28" s="123" t="str">
        <f aca="false">IF(ISBLANK(Actuals!N34),"",Actuals!N34)</f>
        <v/>
      </c>
      <c r="AV28" s="124" t="str">
        <f aca="false">IF(ISBLANK(Actuals!N34),"",'Original Budget'!N34-Actuals!N34)</f>
        <v/>
      </c>
      <c r="AW28" s="124" t="str">
        <f aca="false">IFERROR(IF(ISBLANK(Actuals!N34),"",('Original Budget'!N34-Actuals!N34)/ABS('Original Budget'!N34)),"")</f>
        <v/>
      </c>
      <c r="AX28" s="125" t="n">
        <f aca="false">SUMPRODUCT((Actuals!C34:N34&lt;&gt;"")*('Original Budget'!C34:N34))</f>
        <v>-4416.19</v>
      </c>
      <c r="AY28" s="125" t="n">
        <f aca="false">SUM(Actuals!C34:N34)</f>
        <v>-3719.96</v>
      </c>
      <c r="AZ28" s="126" t="n">
        <f aca="false">AX28-AY28</f>
        <v>-696.23</v>
      </c>
    </row>
    <row r="29" customFormat="false" ht="15" hidden="false" customHeight="true" outlineLevel="0" collapsed="false">
      <c r="A29" s="122" t="s">
        <v>74</v>
      </c>
      <c r="B29" s="123" t="n">
        <f aca="false">'Original Budget'!C35</f>
        <v>-681.77</v>
      </c>
      <c r="C29" s="123" t="n">
        <f aca="false">IF(ISBLANK(Actuals!C35),"",Actuals!C35)</f>
        <v>-681.77</v>
      </c>
      <c r="D29" s="124" t="n">
        <f aca="false">IF(ISBLANK(Actuals!C35),"",'Original Budget'!C35-Actuals!C35)</f>
        <v>0</v>
      </c>
      <c r="E29" s="124" t="n">
        <f aca="false">IFERROR(IF(ISBLANK(Actuals!C35),"",('Original Budget'!C35-Actuals!C35)/ABS('Original Budget'!C35)),"")</f>
        <v>0</v>
      </c>
      <c r="F29" s="123" t="n">
        <f aca="false">'Original Budget'!D35</f>
        <v>-600.14</v>
      </c>
      <c r="G29" s="123" t="n">
        <f aca="false">IF(ISBLANK(Actuals!D35),"",Actuals!D35)</f>
        <v>-600.14</v>
      </c>
      <c r="H29" s="124" t="n">
        <f aca="false">IF(ISBLANK(Actuals!D35),"",'Original Budget'!D35-Actuals!D35)</f>
        <v>0</v>
      </c>
      <c r="I29" s="124" t="n">
        <f aca="false">IFERROR(IF(ISBLANK(Actuals!D35),"",('Original Budget'!D35-Actuals!D35)/ABS('Original Budget'!D35)),"")</f>
        <v>0</v>
      </c>
      <c r="J29" s="123" t="n">
        <f aca="false">'Original Budget'!E35</f>
        <v>-2121.95</v>
      </c>
      <c r="K29" s="123" t="n">
        <f aca="false">IF(ISBLANK(Actuals!E35),"",Actuals!E35)</f>
        <v>-2121.95</v>
      </c>
      <c r="L29" s="124" t="n">
        <f aca="false">IF(ISBLANK(Actuals!E35),"",'Original Budget'!E35-Actuals!E35)</f>
        <v>0</v>
      </c>
      <c r="M29" s="124" t="n">
        <f aca="false">IFERROR(IF(ISBLANK(Actuals!E35),"",('Original Budget'!E35-Actuals!E35)/ABS('Original Budget'!E35)),"")</f>
        <v>0</v>
      </c>
      <c r="N29" s="123" t="n">
        <f aca="false">'Original Budget'!F35</f>
        <v>-1134.62</v>
      </c>
      <c r="O29" s="123" t="n">
        <f aca="false">IF(ISBLANK(Actuals!F35),"",Actuals!F35)</f>
        <v>-840.49</v>
      </c>
      <c r="P29" s="124" t="n">
        <f aca="false">IF(ISBLANK(Actuals!F35),"",'Original Budget'!F35-Actuals!F35)</f>
        <v>-294.13</v>
      </c>
      <c r="Q29" s="124" t="n">
        <f aca="false">IFERROR(IF(ISBLANK(Actuals!F35),"",('Original Budget'!F35-Actuals!F35)/ABS('Original Budget'!F35)),"")</f>
        <v>-0.259232165835258</v>
      </c>
      <c r="R29" s="123" t="n">
        <f aca="false">'Original Budget'!G35</f>
        <v>-1134.62</v>
      </c>
      <c r="S29" s="123" t="n">
        <f aca="false">IF(ISBLANK(Actuals!G35),"",Actuals!G35)</f>
        <v>-847.85</v>
      </c>
      <c r="T29" s="124" t="n">
        <f aca="false">IF(ISBLANK(Actuals!G35),"",'Original Budget'!G35-Actuals!G35)</f>
        <v>-286.77</v>
      </c>
      <c r="U29" s="124" t="n">
        <f aca="false">IFERROR(IF(ISBLANK(Actuals!G35),"",('Original Budget'!G35-Actuals!G35)/ABS('Original Budget'!G35)),"")</f>
        <v>-0.252745412561034</v>
      </c>
      <c r="V29" s="123" t="n">
        <f aca="false">'Original Budget'!H35</f>
        <v>-1134.62</v>
      </c>
      <c r="W29" s="123" t="n">
        <f aca="false">IF(ISBLANK(Actuals!H35),"",Actuals!H35)</f>
        <v>-486.63</v>
      </c>
      <c r="X29" s="124" t="n">
        <f aca="false">IF(ISBLANK(Actuals!H35),"",'Original Budget'!H35-Actuals!H35)</f>
        <v>-647.99</v>
      </c>
      <c r="Y29" s="124" t="n">
        <f aca="false">IFERROR(IF(ISBLANK(Actuals!H35),"",('Original Budget'!H35-Actuals!H35)/ABS('Original Budget'!H35)),"")</f>
        <v>-0.571107507359292</v>
      </c>
      <c r="Z29" s="123" t="n">
        <f aca="false">'Original Budget'!I35</f>
        <v>-1134.62</v>
      </c>
      <c r="AA29" s="123" t="str">
        <f aca="false">IF(ISBLANK(Actuals!I35),"",Actuals!I35)</f>
        <v/>
      </c>
      <c r="AB29" s="124" t="str">
        <f aca="false">IF(ISBLANK(Actuals!I35),"",'Original Budget'!I35-Actuals!I35)</f>
        <v/>
      </c>
      <c r="AC29" s="124" t="str">
        <f aca="false">IFERROR(IF(ISBLANK(Actuals!I35),"",('Original Budget'!I35-Actuals!I35)/ABS('Original Budget'!I35)),"")</f>
        <v/>
      </c>
      <c r="AD29" s="123" t="n">
        <f aca="false">'Original Budget'!J35</f>
        <v>-1134.62</v>
      </c>
      <c r="AE29" s="123" t="str">
        <f aca="false">IF(ISBLANK(Actuals!J35),"",Actuals!J35)</f>
        <v/>
      </c>
      <c r="AF29" s="124" t="str">
        <f aca="false">IF(ISBLANK(Actuals!J35),"",'Original Budget'!J35-Actuals!J35)</f>
        <v/>
      </c>
      <c r="AG29" s="124" t="str">
        <f aca="false">IFERROR(IF(ISBLANK(Actuals!J35),"",('Original Budget'!J35-Actuals!J35)/ABS('Original Budget'!J35)),"")</f>
        <v/>
      </c>
      <c r="AH29" s="123" t="n">
        <f aca="false">'Original Budget'!K35</f>
        <v>-1134.62</v>
      </c>
      <c r="AI29" s="123" t="str">
        <f aca="false">IF(ISBLANK(Actuals!K35),"",Actuals!K35)</f>
        <v/>
      </c>
      <c r="AJ29" s="124" t="str">
        <f aca="false">IF(ISBLANK(Actuals!K35),"",'Original Budget'!K35-Actuals!K35)</f>
        <v/>
      </c>
      <c r="AK29" s="124" t="str">
        <f aca="false">IFERROR(IF(ISBLANK(Actuals!K35),"",('Original Budget'!K35-Actuals!K35)/ABS('Original Budget'!K35)),"")</f>
        <v/>
      </c>
      <c r="AL29" s="123" t="n">
        <f aca="false">'Original Budget'!L35</f>
        <v>-1134.62</v>
      </c>
      <c r="AM29" s="123" t="str">
        <f aca="false">IF(ISBLANK(Actuals!L35),"",Actuals!L35)</f>
        <v/>
      </c>
      <c r="AN29" s="124" t="str">
        <f aca="false">IF(ISBLANK(Actuals!L35),"",'Original Budget'!L35-Actuals!L35)</f>
        <v/>
      </c>
      <c r="AO29" s="124" t="str">
        <f aca="false">IFERROR(IF(ISBLANK(Actuals!L35),"",('Original Budget'!L35-Actuals!L35)/ABS('Original Budget'!L35)),"")</f>
        <v/>
      </c>
      <c r="AP29" s="123" t="n">
        <f aca="false">'Original Budget'!M35</f>
        <v>-1134.62</v>
      </c>
      <c r="AQ29" s="123" t="str">
        <f aca="false">IF(ISBLANK(Actuals!M35),"",Actuals!M35)</f>
        <v/>
      </c>
      <c r="AR29" s="124" t="str">
        <f aca="false">IF(ISBLANK(Actuals!M35),"",'Original Budget'!M35-Actuals!M35)</f>
        <v/>
      </c>
      <c r="AS29" s="124" t="str">
        <f aca="false">IFERROR(IF(ISBLANK(Actuals!M35),"",('Original Budget'!M35-Actuals!M35)/ABS('Original Budget'!M35)),"")</f>
        <v/>
      </c>
      <c r="AT29" s="123" t="n">
        <f aca="false">'Original Budget'!N35</f>
        <v>-1134.62</v>
      </c>
      <c r="AU29" s="123" t="str">
        <f aca="false">IF(ISBLANK(Actuals!N35),"",Actuals!N35)</f>
        <v/>
      </c>
      <c r="AV29" s="124" t="str">
        <f aca="false">IF(ISBLANK(Actuals!N35),"",'Original Budget'!N35-Actuals!N35)</f>
        <v/>
      </c>
      <c r="AW29" s="124" t="str">
        <f aca="false">IFERROR(IF(ISBLANK(Actuals!N35),"",('Original Budget'!N35-Actuals!N35)/ABS('Original Budget'!N35)),"")</f>
        <v/>
      </c>
      <c r="AX29" s="125" t="n">
        <f aca="false">SUMPRODUCT((Actuals!C35:N35&lt;&gt;"")*('Original Budget'!C35:N35))</f>
        <v>-6807.72</v>
      </c>
      <c r="AY29" s="125" t="n">
        <f aca="false">SUM(Actuals!C35:N35)</f>
        <v>-5578.83</v>
      </c>
      <c r="AZ29" s="126" t="n">
        <f aca="false">AX29-AY29</f>
        <v>-1228.89</v>
      </c>
    </row>
    <row r="30" customFormat="false" ht="15" hidden="false" customHeight="true" outlineLevel="0" collapsed="false">
      <c r="A30" s="122" t="s">
        <v>75</v>
      </c>
      <c r="B30" s="123" t="n">
        <f aca="false">'Original Budget'!C36</f>
        <v>-2187.5</v>
      </c>
      <c r="C30" s="123" t="n">
        <f aca="false">IF(ISBLANK(Actuals!C36),"",Actuals!C36)</f>
        <v>-2187.5</v>
      </c>
      <c r="D30" s="124" t="n">
        <f aca="false">IF(ISBLANK(Actuals!C36),"",'Original Budget'!C36-Actuals!C36)</f>
        <v>0</v>
      </c>
      <c r="E30" s="124" t="n">
        <f aca="false">IFERROR(IF(ISBLANK(Actuals!C36),"",('Original Budget'!C36-Actuals!C36)/ABS('Original Budget'!C36)),"")</f>
        <v>0</v>
      </c>
      <c r="F30" s="123" t="n">
        <f aca="false">'Original Budget'!D36</f>
        <v>0</v>
      </c>
      <c r="G30" s="123" t="n">
        <f aca="false">IF(ISBLANK(Actuals!D36),"",Actuals!D36)</f>
        <v>0</v>
      </c>
      <c r="H30" s="124" t="n">
        <f aca="false">IF(ISBLANK(Actuals!D36),"",'Original Budget'!D36-Actuals!D36)</f>
        <v>0</v>
      </c>
      <c r="I30" s="124" t="str">
        <f aca="false">IFERROR(IF(ISBLANK(Actuals!D36),"",('Original Budget'!D36-Actuals!D36)/ABS('Original Budget'!D36)),"")</f>
        <v/>
      </c>
      <c r="J30" s="123" t="n">
        <f aca="false">'Original Budget'!E36</f>
        <v>-1625</v>
      </c>
      <c r="K30" s="123" t="n">
        <f aca="false">IF(ISBLANK(Actuals!E36),"",Actuals!E36)</f>
        <v>-1625</v>
      </c>
      <c r="L30" s="124" t="n">
        <f aca="false">IF(ISBLANK(Actuals!E36),"",'Original Budget'!E36-Actuals!E36)</f>
        <v>0</v>
      </c>
      <c r="M30" s="124" t="n">
        <f aca="false">IFERROR(IF(ISBLANK(Actuals!E36),"",('Original Budget'!E36-Actuals!E36)/ABS('Original Budget'!E36)),"")</f>
        <v>0</v>
      </c>
      <c r="N30" s="123" t="n">
        <f aca="false">'Original Budget'!F36</f>
        <v>-1270.83</v>
      </c>
      <c r="O30" s="123" t="n">
        <f aca="false">IF(ISBLANK(Actuals!F36),"",Actuals!F36)</f>
        <v>0</v>
      </c>
      <c r="P30" s="124" t="n">
        <f aca="false">IF(ISBLANK(Actuals!F36),"",'Original Budget'!F36-Actuals!F36)</f>
        <v>-1270.83</v>
      </c>
      <c r="Q30" s="124" t="n">
        <f aca="false">IFERROR(IF(ISBLANK(Actuals!F36),"",('Original Budget'!F36-Actuals!F36)/ABS('Original Budget'!F36)),"")</f>
        <v>-1</v>
      </c>
      <c r="R30" s="123" t="n">
        <f aca="false">'Original Budget'!G36</f>
        <v>-1270.83</v>
      </c>
      <c r="S30" s="123" t="n">
        <f aca="false">IF(ISBLANK(Actuals!G36),"",Actuals!G36)</f>
        <v>0</v>
      </c>
      <c r="T30" s="124" t="n">
        <f aca="false">IF(ISBLANK(Actuals!G36),"",'Original Budget'!G36-Actuals!G36)</f>
        <v>-1270.83</v>
      </c>
      <c r="U30" s="124" t="n">
        <f aca="false">IFERROR(IF(ISBLANK(Actuals!G36),"",('Original Budget'!G36-Actuals!G36)/ABS('Original Budget'!G36)),"")</f>
        <v>-1</v>
      </c>
      <c r="V30" s="123" t="n">
        <f aca="false">'Original Budget'!H36</f>
        <v>-1270.83</v>
      </c>
      <c r="W30" s="123" t="n">
        <f aca="false">IF(ISBLANK(Actuals!H36),"",Actuals!H36)</f>
        <v>0</v>
      </c>
      <c r="X30" s="124" t="n">
        <f aca="false">IF(ISBLANK(Actuals!H36),"",'Original Budget'!H36-Actuals!H36)</f>
        <v>-1270.83</v>
      </c>
      <c r="Y30" s="124" t="n">
        <f aca="false">IFERROR(IF(ISBLANK(Actuals!H36),"",('Original Budget'!H36-Actuals!H36)/ABS('Original Budget'!H36)),"")</f>
        <v>-1</v>
      </c>
      <c r="Z30" s="123" t="n">
        <f aca="false">'Original Budget'!I36</f>
        <v>-1270.83</v>
      </c>
      <c r="AA30" s="123" t="str">
        <f aca="false">IF(ISBLANK(Actuals!I36),"",Actuals!I36)</f>
        <v/>
      </c>
      <c r="AB30" s="124" t="str">
        <f aca="false">IF(ISBLANK(Actuals!I36),"",'Original Budget'!I36-Actuals!I36)</f>
        <v/>
      </c>
      <c r="AC30" s="124" t="str">
        <f aca="false">IFERROR(IF(ISBLANK(Actuals!I36),"",('Original Budget'!I36-Actuals!I36)/ABS('Original Budget'!I36)),"")</f>
        <v/>
      </c>
      <c r="AD30" s="123" t="n">
        <f aca="false">'Original Budget'!J36</f>
        <v>-1270.83</v>
      </c>
      <c r="AE30" s="123" t="str">
        <f aca="false">IF(ISBLANK(Actuals!J36),"",Actuals!J36)</f>
        <v/>
      </c>
      <c r="AF30" s="124" t="str">
        <f aca="false">IF(ISBLANK(Actuals!J36),"",'Original Budget'!J36-Actuals!J36)</f>
        <v/>
      </c>
      <c r="AG30" s="124" t="str">
        <f aca="false">IFERROR(IF(ISBLANK(Actuals!J36),"",('Original Budget'!J36-Actuals!J36)/ABS('Original Budget'!J36)),"")</f>
        <v/>
      </c>
      <c r="AH30" s="123" t="n">
        <f aca="false">'Original Budget'!K36</f>
        <v>-1270.83</v>
      </c>
      <c r="AI30" s="123" t="str">
        <f aca="false">IF(ISBLANK(Actuals!K36),"",Actuals!K36)</f>
        <v/>
      </c>
      <c r="AJ30" s="124" t="str">
        <f aca="false">IF(ISBLANK(Actuals!K36),"",'Original Budget'!K36-Actuals!K36)</f>
        <v/>
      </c>
      <c r="AK30" s="124" t="str">
        <f aca="false">IFERROR(IF(ISBLANK(Actuals!K36),"",('Original Budget'!K36-Actuals!K36)/ABS('Original Budget'!K36)),"")</f>
        <v/>
      </c>
      <c r="AL30" s="123" t="n">
        <f aca="false">'Original Budget'!L36</f>
        <v>-1270.83</v>
      </c>
      <c r="AM30" s="123" t="str">
        <f aca="false">IF(ISBLANK(Actuals!L36),"",Actuals!L36)</f>
        <v/>
      </c>
      <c r="AN30" s="124" t="str">
        <f aca="false">IF(ISBLANK(Actuals!L36),"",'Original Budget'!L36-Actuals!L36)</f>
        <v/>
      </c>
      <c r="AO30" s="124" t="str">
        <f aca="false">IFERROR(IF(ISBLANK(Actuals!L36),"",('Original Budget'!L36-Actuals!L36)/ABS('Original Budget'!L36)),"")</f>
        <v/>
      </c>
      <c r="AP30" s="123" t="n">
        <f aca="false">'Original Budget'!M36</f>
        <v>-1270.83</v>
      </c>
      <c r="AQ30" s="123" t="str">
        <f aca="false">IF(ISBLANK(Actuals!M36),"",Actuals!M36)</f>
        <v/>
      </c>
      <c r="AR30" s="124" t="str">
        <f aca="false">IF(ISBLANK(Actuals!M36),"",'Original Budget'!M36-Actuals!M36)</f>
        <v/>
      </c>
      <c r="AS30" s="124" t="str">
        <f aca="false">IFERROR(IF(ISBLANK(Actuals!M36),"",('Original Budget'!M36-Actuals!M36)/ABS('Original Budget'!M36)),"")</f>
        <v/>
      </c>
      <c r="AT30" s="123" t="n">
        <f aca="false">'Original Budget'!N36</f>
        <v>-1270.83</v>
      </c>
      <c r="AU30" s="123" t="str">
        <f aca="false">IF(ISBLANK(Actuals!N36),"",Actuals!N36)</f>
        <v/>
      </c>
      <c r="AV30" s="124" t="str">
        <f aca="false">IF(ISBLANK(Actuals!N36),"",'Original Budget'!N36-Actuals!N36)</f>
        <v/>
      </c>
      <c r="AW30" s="124" t="str">
        <f aca="false">IFERROR(IF(ISBLANK(Actuals!N36),"",('Original Budget'!N36-Actuals!N36)/ABS('Original Budget'!N36)),"")</f>
        <v/>
      </c>
      <c r="AX30" s="125" t="n">
        <f aca="false">SUMPRODUCT((Actuals!C36:N36&lt;&gt;"")*('Original Budget'!C36:N36))</f>
        <v>-7624.99</v>
      </c>
      <c r="AY30" s="125" t="n">
        <f aca="false">SUM(Actuals!C36:N36)</f>
        <v>-3812.5</v>
      </c>
      <c r="AZ30" s="126" t="n">
        <f aca="false">AX30-AY30</f>
        <v>-3812.49</v>
      </c>
    </row>
    <row r="31" customFormat="false" ht="15" hidden="false" customHeight="true" outlineLevel="0" collapsed="false">
      <c r="A31" s="122" t="s">
        <v>76</v>
      </c>
      <c r="B31" s="123" t="n">
        <f aca="false">'Original Budget'!C37</f>
        <v>0</v>
      </c>
      <c r="C31" s="123" t="n">
        <f aca="false">IF(ISBLANK(Actuals!C37),"",Actuals!C37)</f>
        <v>0</v>
      </c>
      <c r="D31" s="124" t="n">
        <f aca="false">IF(ISBLANK(Actuals!C37),"",'Original Budget'!C37-Actuals!C37)</f>
        <v>0</v>
      </c>
      <c r="E31" s="124" t="str">
        <f aca="false">IFERROR(IF(ISBLANK(Actuals!C37),"",('Original Budget'!C37-Actuals!C37)/ABS('Original Budget'!C37)),"")</f>
        <v/>
      </c>
      <c r="F31" s="123" t="n">
        <f aca="false">'Original Budget'!D37</f>
        <v>-12349</v>
      </c>
      <c r="G31" s="123" t="n">
        <f aca="false">IF(ISBLANK(Actuals!D37),"",Actuals!D37)</f>
        <v>-12349</v>
      </c>
      <c r="H31" s="124" t="n">
        <f aca="false">IF(ISBLANK(Actuals!D37),"",'Original Budget'!D37-Actuals!D37)</f>
        <v>0</v>
      </c>
      <c r="I31" s="124" t="n">
        <f aca="false">IFERROR(IF(ISBLANK(Actuals!D37),"",('Original Budget'!D37-Actuals!D37)/ABS('Original Budget'!D37)),"")</f>
        <v>0</v>
      </c>
      <c r="J31" s="123" t="n">
        <f aca="false">'Original Budget'!E37</f>
        <v>-5400</v>
      </c>
      <c r="K31" s="123" t="n">
        <f aca="false">IF(ISBLANK(Actuals!E37),"",Actuals!E37)</f>
        <v>-5400</v>
      </c>
      <c r="L31" s="124" t="n">
        <f aca="false">IF(ISBLANK(Actuals!E37),"",'Original Budget'!E37-Actuals!E37)</f>
        <v>0</v>
      </c>
      <c r="M31" s="124" t="n">
        <f aca="false">IFERROR(IF(ISBLANK(Actuals!E37),"",('Original Budget'!E37-Actuals!E37)/ABS('Original Budget'!E37)),"")</f>
        <v>0</v>
      </c>
      <c r="N31" s="123" t="n">
        <f aca="false">'Original Budget'!F37</f>
        <v>-5916.33</v>
      </c>
      <c r="O31" s="123" t="n">
        <f aca="false">IF(ISBLANK(Actuals!F37),"",Actuals!F37)</f>
        <v>-4377</v>
      </c>
      <c r="P31" s="124" t="n">
        <f aca="false">IF(ISBLANK(Actuals!F37),"",'Original Budget'!F37-Actuals!F37)</f>
        <v>-1539.33</v>
      </c>
      <c r="Q31" s="124" t="n">
        <f aca="false">IFERROR(IF(ISBLANK(Actuals!F37),"",('Original Budget'!F37-Actuals!F37)/ABS('Original Budget'!F37)),"")</f>
        <v>-0.260183255497919</v>
      </c>
      <c r="R31" s="123" t="n">
        <f aca="false">'Original Budget'!G37</f>
        <v>-5916.33</v>
      </c>
      <c r="S31" s="123" t="n">
        <f aca="false">IF(ISBLANK(Actuals!G37),"",Actuals!G37)</f>
        <v>-11750</v>
      </c>
      <c r="T31" s="124" t="n">
        <f aca="false">IF(ISBLANK(Actuals!G37),"",'Original Budget'!G37-Actuals!G37)</f>
        <v>5833.67</v>
      </c>
      <c r="U31" s="124" t="n">
        <f aca="false">IFERROR(IF(ISBLANK(Actuals!G37),"",('Original Budget'!G37-Actuals!G37)/ABS('Original Budget'!G37)),"")</f>
        <v>0.986028500776664</v>
      </c>
      <c r="V31" s="123" t="n">
        <f aca="false">'Original Budget'!H37</f>
        <v>-5916.33</v>
      </c>
      <c r="W31" s="123" t="n">
        <f aca="false">IF(ISBLANK(Actuals!H37),"",Actuals!H37)</f>
        <v>0</v>
      </c>
      <c r="X31" s="124" t="n">
        <f aca="false">IF(ISBLANK(Actuals!H37),"",'Original Budget'!H37-Actuals!H37)</f>
        <v>-5916.33</v>
      </c>
      <c r="Y31" s="124" t="n">
        <f aca="false">IFERROR(IF(ISBLANK(Actuals!H37),"",('Original Budget'!H37-Actuals!H37)/ABS('Original Budget'!H37)),"")</f>
        <v>-1</v>
      </c>
      <c r="Z31" s="123" t="n">
        <f aca="false">'Original Budget'!I37</f>
        <v>-5916.33</v>
      </c>
      <c r="AA31" s="123" t="str">
        <f aca="false">IF(ISBLANK(Actuals!I37),"",Actuals!I37)</f>
        <v/>
      </c>
      <c r="AB31" s="124" t="str">
        <f aca="false">IF(ISBLANK(Actuals!I37),"",'Original Budget'!I37-Actuals!I37)</f>
        <v/>
      </c>
      <c r="AC31" s="124" t="str">
        <f aca="false">IFERROR(IF(ISBLANK(Actuals!I37),"",('Original Budget'!I37-Actuals!I37)/ABS('Original Budget'!I37)),"")</f>
        <v/>
      </c>
      <c r="AD31" s="123" t="n">
        <f aca="false">'Original Budget'!J37</f>
        <v>-5916.33</v>
      </c>
      <c r="AE31" s="123" t="str">
        <f aca="false">IF(ISBLANK(Actuals!J37),"",Actuals!J37)</f>
        <v/>
      </c>
      <c r="AF31" s="124" t="str">
        <f aca="false">IF(ISBLANK(Actuals!J37),"",'Original Budget'!J37-Actuals!J37)</f>
        <v/>
      </c>
      <c r="AG31" s="124" t="str">
        <f aca="false">IFERROR(IF(ISBLANK(Actuals!J37),"",('Original Budget'!J37-Actuals!J37)/ABS('Original Budget'!J37)),"")</f>
        <v/>
      </c>
      <c r="AH31" s="123" t="n">
        <f aca="false">'Original Budget'!K37</f>
        <v>-5916.33</v>
      </c>
      <c r="AI31" s="123" t="str">
        <f aca="false">IF(ISBLANK(Actuals!K37),"",Actuals!K37)</f>
        <v/>
      </c>
      <c r="AJ31" s="124" t="str">
        <f aca="false">IF(ISBLANK(Actuals!K37),"",'Original Budget'!K37-Actuals!K37)</f>
        <v/>
      </c>
      <c r="AK31" s="124" t="str">
        <f aca="false">IFERROR(IF(ISBLANK(Actuals!K37),"",('Original Budget'!K37-Actuals!K37)/ABS('Original Budget'!K37)),"")</f>
        <v/>
      </c>
      <c r="AL31" s="123" t="n">
        <f aca="false">'Original Budget'!L37</f>
        <v>-5916.33</v>
      </c>
      <c r="AM31" s="123" t="str">
        <f aca="false">IF(ISBLANK(Actuals!L37),"",Actuals!L37)</f>
        <v/>
      </c>
      <c r="AN31" s="124" t="str">
        <f aca="false">IF(ISBLANK(Actuals!L37),"",'Original Budget'!L37-Actuals!L37)</f>
        <v/>
      </c>
      <c r="AO31" s="124" t="str">
        <f aca="false">IFERROR(IF(ISBLANK(Actuals!L37),"",('Original Budget'!L37-Actuals!L37)/ABS('Original Budget'!L37)),"")</f>
        <v/>
      </c>
      <c r="AP31" s="123" t="n">
        <f aca="false">'Original Budget'!M37</f>
        <v>-5916.33</v>
      </c>
      <c r="AQ31" s="123" t="str">
        <f aca="false">IF(ISBLANK(Actuals!M37),"",Actuals!M37)</f>
        <v/>
      </c>
      <c r="AR31" s="124" t="str">
        <f aca="false">IF(ISBLANK(Actuals!M37),"",'Original Budget'!M37-Actuals!M37)</f>
        <v/>
      </c>
      <c r="AS31" s="124" t="str">
        <f aca="false">IFERROR(IF(ISBLANK(Actuals!M37),"",('Original Budget'!M37-Actuals!M37)/ABS('Original Budget'!M37)),"")</f>
        <v/>
      </c>
      <c r="AT31" s="123" t="n">
        <f aca="false">'Original Budget'!N37</f>
        <v>-5916.33</v>
      </c>
      <c r="AU31" s="123" t="str">
        <f aca="false">IF(ISBLANK(Actuals!N37),"",Actuals!N37)</f>
        <v/>
      </c>
      <c r="AV31" s="124" t="str">
        <f aca="false">IF(ISBLANK(Actuals!N37),"",'Original Budget'!N37-Actuals!N37)</f>
        <v/>
      </c>
      <c r="AW31" s="124" t="str">
        <f aca="false">IFERROR(IF(ISBLANK(Actuals!N37),"",('Original Budget'!N37-Actuals!N37)/ABS('Original Budget'!N37)),"")</f>
        <v/>
      </c>
      <c r="AX31" s="125" t="n">
        <f aca="false">SUMPRODUCT((Actuals!C37:N37&lt;&gt;"")*('Original Budget'!C37:N37))</f>
        <v>-35497.99</v>
      </c>
      <c r="AY31" s="125" t="n">
        <f aca="false">SUM(Actuals!C37:N37)</f>
        <v>-33876</v>
      </c>
      <c r="AZ31" s="126" t="n">
        <f aca="false">AX31-AY31</f>
        <v>-1621.99</v>
      </c>
    </row>
    <row r="32" customFormat="false" ht="15" hidden="false" customHeight="true" outlineLevel="0" collapsed="false">
      <c r="A32" s="122" t="s">
        <v>77</v>
      </c>
      <c r="B32" s="123" t="n">
        <f aca="false">'Original Budget'!C38</f>
        <v>0</v>
      </c>
      <c r="C32" s="123" t="n">
        <f aca="false">IF(ISBLANK(Actuals!C38),"",Actuals!C38)</f>
        <v>0</v>
      </c>
      <c r="D32" s="124" t="n">
        <f aca="false">IF(ISBLANK(Actuals!C38),"",'Original Budget'!C38-Actuals!C38)</f>
        <v>0</v>
      </c>
      <c r="E32" s="124" t="str">
        <f aca="false">IFERROR(IF(ISBLANK(Actuals!C38),"",('Original Budget'!C38-Actuals!C38)/ABS('Original Budget'!C38)),"")</f>
        <v/>
      </c>
      <c r="F32" s="123" t="n">
        <f aca="false">'Original Budget'!D38</f>
        <v>0</v>
      </c>
      <c r="G32" s="123" t="n">
        <f aca="false">IF(ISBLANK(Actuals!D38),"",Actuals!D38)</f>
        <v>0</v>
      </c>
      <c r="H32" s="124" t="n">
        <f aca="false">IF(ISBLANK(Actuals!D38),"",'Original Budget'!D38-Actuals!D38)</f>
        <v>0</v>
      </c>
      <c r="I32" s="124" t="str">
        <f aca="false">IFERROR(IF(ISBLANK(Actuals!D38),"",('Original Budget'!D38-Actuals!D38)/ABS('Original Budget'!D38)),"")</f>
        <v/>
      </c>
      <c r="J32" s="123" t="n">
        <f aca="false">'Original Budget'!E38</f>
        <v>-750.4</v>
      </c>
      <c r="K32" s="123" t="n">
        <f aca="false">IF(ISBLANK(Actuals!E38),"",Actuals!E38)</f>
        <v>-750.4</v>
      </c>
      <c r="L32" s="124" t="n">
        <f aca="false">IF(ISBLANK(Actuals!E38),"",'Original Budget'!E38-Actuals!E38)</f>
        <v>0</v>
      </c>
      <c r="M32" s="124" t="n">
        <f aca="false">IFERROR(IF(ISBLANK(Actuals!E38),"",('Original Budget'!E38-Actuals!E38)/ABS('Original Budget'!E38)),"")</f>
        <v>0</v>
      </c>
      <c r="N32" s="123" t="n">
        <f aca="false">'Original Budget'!F38</f>
        <v>-250.13</v>
      </c>
      <c r="O32" s="123" t="n">
        <f aca="false">IF(ISBLANK(Actuals!F38),"",Actuals!F38)</f>
        <v>0</v>
      </c>
      <c r="P32" s="124" t="n">
        <f aca="false">IF(ISBLANK(Actuals!F38),"",'Original Budget'!F38-Actuals!F38)</f>
        <v>-250.13</v>
      </c>
      <c r="Q32" s="124" t="n">
        <f aca="false">IFERROR(IF(ISBLANK(Actuals!F38),"",('Original Budget'!F38-Actuals!F38)/ABS('Original Budget'!F38)),"")</f>
        <v>-1</v>
      </c>
      <c r="R32" s="123" t="n">
        <f aca="false">'Original Budget'!G38</f>
        <v>-250.13</v>
      </c>
      <c r="S32" s="123" t="n">
        <f aca="false">IF(ISBLANK(Actuals!G38),"",Actuals!G38)</f>
        <v>0</v>
      </c>
      <c r="T32" s="124" t="n">
        <f aca="false">IF(ISBLANK(Actuals!G38),"",'Original Budget'!G38-Actuals!G38)</f>
        <v>-250.13</v>
      </c>
      <c r="U32" s="124" t="n">
        <f aca="false">IFERROR(IF(ISBLANK(Actuals!G38),"",('Original Budget'!G38-Actuals!G38)/ABS('Original Budget'!G38)),"")</f>
        <v>-1</v>
      </c>
      <c r="V32" s="123" t="n">
        <f aca="false">'Original Budget'!H38</f>
        <v>-250.13</v>
      </c>
      <c r="W32" s="123" t="n">
        <f aca="false">IF(ISBLANK(Actuals!H38),"",Actuals!H38)</f>
        <v>0</v>
      </c>
      <c r="X32" s="124" t="n">
        <f aca="false">IF(ISBLANK(Actuals!H38),"",'Original Budget'!H38-Actuals!H38)</f>
        <v>-250.13</v>
      </c>
      <c r="Y32" s="124" t="n">
        <f aca="false">IFERROR(IF(ISBLANK(Actuals!H38),"",('Original Budget'!H38-Actuals!H38)/ABS('Original Budget'!H38)),"")</f>
        <v>-1</v>
      </c>
      <c r="Z32" s="123" t="n">
        <f aca="false">'Original Budget'!I38</f>
        <v>-250.13</v>
      </c>
      <c r="AA32" s="123" t="str">
        <f aca="false">IF(ISBLANK(Actuals!I38),"",Actuals!I38)</f>
        <v/>
      </c>
      <c r="AB32" s="124" t="str">
        <f aca="false">IF(ISBLANK(Actuals!I38),"",'Original Budget'!I38-Actuals!I38)</f>
        <v/>
      </c>
      <c r="AC32" s="124" t="str">
        <f aca="false">IFERROR(IF(ISBLANK(Actuals!I38),"",('Original Budget'!I38-Actuals!I38)/ABS('Original Budget'!I38)),"")</f>
        <v/>
      </c>
      <c r="AD32" s="123" t="n">
        <f aca="false">'Original Budget'!J38</f>
        <v>-250.13</v>
      </c>
      <c r="AE32" s="123" t="str">
        <f aca="false">IF(ISBLANK(Actuals!J38),"",Actuals!J38)</f>
        <v/>
      </c>
      <c r="AF32" s="124" t="str">
        <f aca="false">IF(ISBLANK(Actuals!J38),"",'Original Budget'!J38-Actuals!J38)</f>
        <v/>
      </c>
      <c r="AG32" s="124" t="str">
        <f aca="false">IFERROR(IF(ISBLANK(Actuals!J38),"",('Original Budget'!J38-Actuals!J38)/ABS('Original Budget'!J38)),"")</f>
        <v/>
      </c>
      <c r="AH32" s="123" t="n">
        <f aca="false">'Original Budget'!K38</f>
        <v>-250.13</v>
      </c>
      <c r="AI32" s="123" t="str">
        <f aca="false">IF(ISBLANK(Actuals!K38),"",Actuals!K38)</f>
        <v/>
      </c>
      <c r="AJ32" s="124" t="str">
        <f aca="false">IF(ISBLANK(Actuals!K38),"",'Original Budget'!K38-Actuals!K38)</f>
        <v/>
      </c>
      <c r="AK32" s="124" t="str">
        <f aca="false">IFERROR(IF(ISBLANK(Actuals!K38),"",('Original Budget'!K38-Actuals!K38)/ABS('Original Budget'!K38)),"")</f>
        <v/>
      </c>
      <c r="AL32" s="123" t="n">
        <f aca="false">'Original Budget'!L38</f>
        <v>-250.13</v>
      </c>
      <c r="AM32" s="123" t="str">
        <f aca="false">IF(ISBLANK(Actuals!L38),"",Actuals!L38)</f>
        <v/>
      </c>
      <c r="AN32" s="124" t="str">
        <f aca="false">IF(ISBLANK(Actuals!L38),"",'Original Budget'!L38-Actuals!L38)</f>
        <v/>
      </c>
      <c r="AO32" s="124" t="str">
        <f aca="false">IFERROR(IF(ISBLANK(Actuals!L38),"",('Original Budget'!L38-Actuals!L38)/ABS('Original Budget'!L38)),"")</f>
        <v/>
      </c>
      <c r="AP32" s="123" t="n">
        <f aca="false">'Original Budget'!M38</f>
        <v>-250.13</v>
      </c>
      <c r="AQ32" s="123" t="str">
        <f aca="false">IF(ISBLANK(Actuals!M38),"",Actuals!M38)</f>
        <v/>
      </c>
      <c r="AR32" s="124" t="str">
        <f aca="false">IF(ISBLANK(Actuals!M38),"",'Original Budget'!M38-Actuals!M38)</f>
        <v/>
      </c>
      <c r="AS32" s="124" t="str">
        <f aca="false">IFERROR(IF(ISBLANK(Actuals!M38),"",('Original Budget'!M38-Actuals!M38)/ABS('Original Budget'!M38)),"")</f>
        <v/>
      </c>
      <c r="AT32" s="123" t="n">
        <f aca="false">'Original Budget'!N38</f>
        <v>-250.13</v>
      </c>
      <c r="AU32" s="123" t="str">
        <f aca="false">IF(ISBLANK(Actuals!N38),"",Actuals!N38)</f>
        <v/>
      </c>
      <c r="AV32" s="124" t="str">
        <f aca="false">IF(ISBLANK(Actuals!N38),"",'Original Budget'!N38-Actuals!N38)</f>
        <v/>
      </c>
      <c r="AW32" s="124" t="str">
        <f aca="false">IFERROR(IF(ISBLANK(Actuals!N38),"",('Original Budget'!N38-Actuals!N38)/ABS('Original Budget'!N38)),"")</f>
        <v/>
      </c>
      <c r="AX32" s="125" t="n">
        <f aca="false">SUMPRODUCT((Actuals!C38:N38&lt;&gt;"")*('Original Budget'!C38:N38))</f>
        <v>-1500.79</v>
      </c>
      <c r="AY32" s="125" t="n">
        <f aca="false">SUM(Actuals!C38:N38)</f>
        <v>-750.4</v>
      </c>
      <c r="AZ32" s="126" t="n">
        <f aca="false">AX32-AY32</f>
        <v>-750.39</v>
      </c>
    </row>
    <row r="33" customFormat="false" ht="15" hidden="false" customHeight="true" outlineLevel="0" collapsed="false">
      <c r="A33" s="122" t="s">
        <v>78</v>
      </c>
      <c r="B33" s="123" t="n">
        <f aca="false">'Original Budget'!C39</f>
        <v>-1474.63</v>
      </c>
      <c r="C33" s="123" t="n">
        <f aca="false">IF(ISBLANK(Actuals!C39),"",Actuals!C39)</f>
        <v>-1474.63</v>
      </c>
      <c r="D33" s="124" t="n">
        <f aca="false">IF(ISBLANK(Actuals!C39),"",'Original Budget'!C39-Actuals!C39)</f>
        <v>0</v>
      </c>
      <c r="E33" s="124" t="n">
        <f aca="false">IFERROR(IF(ISBLANK(Actuals!C39),"",('Original Budget'!C39-Actuals!C39)/ABS('Original Budget'!C39)),"")</f>
        <v>0</v>
      </c>
      <c r="F33" s="123" t="n">
        <f aca="false">'Original Budget'!D39</f>
        <v>-1449.33</v>
      </c>
      <c r="G33" s="123" t="n">
        <f aca="false">IF(ISBLANK(Actuals!D39),"",Actuals!D39)</f>
        <v>-1449.33</v>
      </c>
      <c r="H33" s="124" t="n">
        <f aca="false">IF(ISBLANK(Actuals!D39),"",'Original Budget'!D39-Actuals!D39)</f>
        <v>0</v>
      </c>
      <c r="I33" s="124" t="n">
        <f aca="false">IFERROR(IF(ISBLANK(Actuals!D39),"",('Original Budget'!D39-Actuals!D39)/ABS('Original Budget'!D39)),"")</f>
        <v>0</v>
      </c>
      <c r="J33" s="123" t="n">
        <f aca="false">'Original Budget'!E39</f>
        <v>-2328.76</v>
      </c>
      <c r="K33" s="123" t="n">
        <f aca="false">IF(ISBLANK(Actuals!E39),"",Actuals!E39)</f>
        <v>-2328.76</v>
      </c>
      <c r="L33" s="124" t="n">
        <f aca="false">IF(ISBLANK(Actuals!E39),"",'Original Budget'!E39-Actuals!E39)</f>
        <v>0</v>
      </c>
      <c r="M33" s="124" t="n">
        <f aca="false">IFERROR(IF(ISBLANK(Actuals!E39),"",('Original Budget'!E39-Actuals!E39)/ABS('Original Budget'!E39)),"")</f>
        <v>0</v>
      </c>
      <c r="N33" s="123" t="n">
        <f aca="false">'Original Budget'!F39</f>
        <v>-1750.91</v>
      </c>
      <c r="O33" s="123" t="n">
        <f aca="false">IF(ISBLANK(Actuals!F39),"",Actuals!F39)</f>
        <v>-2249.56</v>
      </c>
      <c r="P33" s="124" t="n">
        <f aca="false">IF(ISBLANK(Actuals!F39),"",'Original Budget'!F39-Actuals!F39)</f>
        <v>498.65</v>
      </c>
      <c r="Q33" s="124" t="n">
        <f aca="false">IFERROR(IF(ISBLANK(Actuals!F39),"",('Original Budget'!F39-Actuals!F39)/ABS('Original Budget'!F39)),"")</f>
        <v>0.284794763865647</v>
      </c>
      <c r="R33" s="123" t="n">
        <f aca="false">'Original Budget'!G39</f>
        <v>-1750.91</v>
      </c>
      <c r="S33" s="123" t="n">
        <f aca="false">IF(ISBLANK(Actuals!G39),"",Actuals!G39)</f>
        <v>-2759.48</v>
      </c>
      <c r="T33" s="124" t="n">
        <f aca="false">IF(ISBLANK(Actuals!G39),"",'Original Budget'!G39-Actuals!G39)</f>
        <v>1008.57</v>
      </c>
      <c r="U33" s="124" t="n">
        <f aca="false">IFERROR(IF(ISBLANK(Actuals!G39),"",('Original Budget'!G39-Actuals!G39)/ABS('Original Budget'!G39)),"")</f>
        <v>0.576026180671765</v>
      </c>
      <c r="V33" s="123" t="n">
        <f aca="false">'Original Budget'!H39</f>
        <v>-1750.91</v>
      </c>
      <c r="W33" s="123" t="n">
        <f aca="false">IF(ISBLANK(Actuals!H39),"",Actuals!H39)</f>
        <v>-2749.12</v>
      </c>
      <c r="X33" s="124" t="n">
        <f aca="false">IF(ISBLANK(Actuals!H39),"",'Original Budget'!H39-Actuals!H39)</f>
        <v>998.21</v>
      </c>
      <c r="Y33" s="124" t="n">
        <f aca="false">IFERROR(IF(ISBLANK(Actuals!H39),"",('Original Budget'!H39-Actuals!H39)/ABS('Original Budget'!H39)),"")</f>
        <v>0.570109257471829</v>
      </c>
      <c r="Z33" s="123" t="n">
        <f aca="false">'Original Budget'!I39</f>
        <v>-1750.91</v>
      </c>
      <c r="AA33" s="123" t="str">
        <f aca="false">IF(ISBLANK(Actuals!I39),"",Actuals!I39)</f>
        <v/>
      </c>
      <c r="AB33" s="124" t="str">
        <f aca="false">IF(ISBLANK(Actuals!I39),"",'Original Budget'!I39-Actuals!I39)</f>
        <v/>
      </c>
      <c r="AC33" s="124" t="str">
        <f aca="false">IFERROR(IF(ISBLANK(Actuals!I39),"",('Original Budget'!I39-Actuals!I39)/ABS('Original Budget'!I39)),"")</f>
        <v/>
      </c>
      <c r="AD33" s="123" t="n">
        <f aca="false">'Original Budget'!J39</f>
        <v>-1750.91</v>
      </c>
      <c r="AE33" s="123" t="str">
        <f aca="false">IF(ISBLANK(Actuals!J39),"",Actuals!J39)</f>
        <v/>
      </c>
      <c r="AF33" s="124" t="str">
        <f aca="false">IF(ISBLANK(Actuals!J39),"",'Original Budget'!J39-Actuals!J39)</f>
        <v/>
      </c>
      <c r="AG33" s="124" t="str">
        <f aca="false">IFERROR(IF(ISBLANK(Actuals!J39),"",('Original Budget'!J39-Actuals!J39)/ABS('Original Budget'!J39)),"")</f>
        <v/>
      </c>
      <c r="AH33" s="123" t="n">
        <f aca="false">'Original Budget'!K39</f>
        <v>-1750.91</v>
      </c>
      <c r="AI33" s="123" t="str">
        <f aca="false">IF(ISBLANK(Actuals!K39),"",Actuals!K39)</f>
        <v/>
      </c>
      <c r="AJ33" s="124" t="str">
        <f aca="false">IF(ISBLANK(Actuals!K39),"",'Original Budget'!K39-Actuals!K39)</f>
        <v/>
      </c>
      <c r="AK33" s="124" t="str">
        <f aca="false">IFERROR(IF(ISBLANK(Actuals!K39),"",('Original Budget'!K39-Actuals!K39)/ABS('Original Budget'!K39)),"")</f>
        <v/>
      </c>
      <c r="AL33" s="123" t="n">
        <f aca="false">'Original Budget'!L39</f>
        <v>-1750.91</v>
      </c>
      <c r="AM33" s="123" t="str">
        <f aca="false">IF(ISBLANK(Actuals!L39),"",Actuals!L39)</f>
        <v/>
      </c>
      <c r="AN33" s="124" t="str">
        <f aca="false">IF(ISBLANK(Actuals!L39),"",'Original Budget'!L39-Actuals!L39)</f>
        <v/>
      </c>
      <c r="AO33" s="124" t="str">
        <f aca="false">IFERROR(IF(ISBLANK(Actuals!L39),"",('Original Budget'!L39-Actuals!L39)/ABS('Original Budget'!L39)),"")</f>
        <v/>
      </c>
      <c r="AP33" s="123" t="n">
        <f aca="false">'Original Budget'!M39</f>
        <v>-1750.91</v>
      </c>
      <c r="AQ33" s="123" t="str">
        <f aca="false">IF(ISBLANK(Actuals!M39),"",Actuals!M39)</f>
        <v/>
      </c>
      <c r="AR33" s="124" t="str">
        <f aca="false">IF(ISBLANK(Actuals!M39),"",'Original Budget'!M39-Actuals!M39)</f>
        <v/>
      </c>
      <c r="AS33" s="124" t="str">
        <f aca="false">IFERROR(IF(ISBLANK(Actuals!M39),"",('Original Budget'!M39-Actuals!M39)/ABS('Original Budget'!M39)),"")</f>
        <v/>
      </c>
      <c r="AT33" s="123" t="n">
        <f aca="false">'Original Budget'!N39</f>
        <v>-1750.91</v>
      </c>
      <c r="AU33" s="123" t="str">
        <f aca="false">IF(ISBLANK(Actuals!N39),"",Actuals!N39)</f>
        <v/>
      </c>
      <c r="AV33" s="124" t="str">
        <f aca="false">IF(ISBLANK(Actuals!N39),"",'Original Budget'!N39-Actuals!N39)</f>
        <v/>
      </c>
      <c r="AW33" s="124" t="str">
        <f aca="false">IFERROR(IF(ISBLANK(Actuals!N39),"",('Original Budget'!N39-Actuals!N39)/ABS('Original Budget'!N39)),"")</f>
        <v/>
      </c>
      <c r="AX33" s="125" t="n">
        <f aca="false">SUMPRODUCT((Actuals!C39:N39&lt;&gt;"")*('Original Budget'!C39:N39))</f>
        <v>-10505.45</v>
      </c>
      <c r="AY33" s="125" t="n">
        <f aca="false">SUM(Actuals!C39:N39)</f>
        <v>-13010.88</v>
      </c>
      <c r="AZ33" s="126" t="n">
        <f aca="false">AX33-AY33</f>
        <v>2505.43</v>
      </c>
    </row>
    <row r="34" customFormat="false" ht="15" hidden="false" customHeight="true" outlineLevel="0" collapsed="false">
      <c r="A34" s="122" t="s">
        <v>79</v>
      </c>
      <c r="B34" s="123" t="n">
        <f aca="false">'Original Budget'!C40</f>
        <v>-1417.61</v>
      </c>
      <c r="C34" s="123" t="n">
        <f aca="false">IF(ISBLANK(Actuals!C40),"",Actuals!C40)</f>
        <v>-1417.61</v>
      </c>
      <c r="D34" s="124" t="n">
        <f aca="false">IF(ISBLANK(Actuals!C40),"",'Original Budget'!C40-Actuals!C40)</f>
        <v>0</v>
      </c>
      <c r="E34" s="124" t="n">
        <f aca="false">IFERROR(IF(ISBLANK(Actuals!C40),"",('Original Budget'!C40-Actuals!C40)/ABS('Original Budget'!C40)),"")</f>
        <v>0</v>
      </c>
      <c r="F34" s="123" t="n">
        <f aca="false">'Original Budget'!D40</f>
        <v>-2730.36</v>
      </c>
      <c r="G34" s="123" t="n">
        <f aca="false">IF(ISBLANK(Actuals!D40),"",Actuals!D40)</f>
        <v>-2730.36</v>
      </c>
      <c r="H34" s="124" t="n">
        <f aca="false">IF(ISBLANK(Actuals!D40),"",'Original Budget'!D40-Actuals!D40)</f>
        <v>0</v>
      </c>
      <c r="I34" s="124" t="n">
        <f aca="false">IFERROR(IF(ISBLANK(Actuals!D40),"",('Original Budget'!D40-Actuals!D40)/ABS('Original Budget'!D40)),"")</f>
        <v>0</v>
      </c>
      <c r="J34" s="123" t="n">
        <f aca="false">'Original Budget'!E40</f>
        <v>-1818.05</v>
      </c>
      <c r="K34" s="123" t="n">
        <f aca="false">IF(ISBLANK(Actuals!E40),"",Actuals!E40)</f>
        <v>-1818.05</v>
      </c>
      <c r="L34" s="124" t="n">
        <f aca="false">IF(ISBLANK(Actuals!E40),"",'Original Budget'!E40-Actuals!E40)</f>
        <v>0</v>
      </c>
      <c r="M34" s="124" t="n">
        <f aca="false">IFERROR(IF(ISBLANK(Actuals!E40),"",('Original Budget'!E40-Actuals!E40)/ABS('Original Budget'!E40)),"")</f>
        <v>0</v>
      </c>
      <c r="N34" s="123" t="n">
        <f aca="false">'Original Budget'!F40</f>
        <v>-1988.67</v>
      </c>
      <c r="O34" s="123" t="n">
        <f aca="false">IF(ISBLANK(Actuals!F40),"",Actuals!F40)</f>
        <v>-3307.74</v>
      </c>
      <c r="P34" s="124" t="n">
        <f aca="false">IF(ISBLANK(Actuals!F40),"",'Original Budget'!F40-Actuals!F40)</f>
        <v>1319.07</v>
      </c>
      <c r="Q34" s="124" t="n">
        <f aca="false">IFERROR(IF(ISBLANK(Actuals!F40),"",('Original Budget'!F40-Actuals!F40)/ABS('Original Budget'!F40)),"")</f>
        <v>0.663292552308829</v>
      </c>
      <c r="R34" s="123" t="n">
        <f aca="false">'Original Budget'!G40</f>
        <v>-1988.67</v>
      </c>
      <c r="S34" s="123" t="n">
        <f aca="false">IF(ISBLANK(Actuals!G40),"",Actuals!G40)</f>
        <v>-1257.74</v>
      </c>
      <c r="T34" s="124" t="n">
        <f aca="false">IF(ISBLANK(Actuals!G40),"",'Original Budget'!G40-Actuals!G40)</f>
        <v>-730.93</v>
      </c>
      <c r="U34" s="124" t="n">
        <f aca="false">IFERROR(IF(ISBLANK(Actuals!G40),"",('Original Budget'!G40-Actuals!G40)/ABS('Original Budget'!G40)),"")</f>
        <v>-0.367547154630985</v>
      </c>
      <c r="V34" s="123" t="n">
        <f aca="false">'Original Budget'!H40</f>
        <v>-1988.67</v>
      </c>
      <c r="W34" s="123" t="n">
        <f aca="false">IF(ISBLANK(Actuals!H40),"",Actuals!H40)</f>
        <v>-3372.74</v>
      </c>
      <c r="X34" s="124" t="n">
        <f aca="false">IF(ISBLANK(Actuals!H40),"",'Original Budget'!H40-Actuals!H40)</f>
        <v>1384.07</v>
      </c>
      <c r="Y34" s="124" t="n">
        <f aca="false">IFERROR(IF(ISBLANK(Actuals!H40),"",('Original Budget'!H40-Actuals!H40)/ABS('Original Budget'!H40)),"")</f>
        <v>0.695977713748385</v>
      </c>
      <c r="Z34" s="123" t="n">
        <f aca="false">'Original Budget'!I40</f>
        <v>-1988.67</v>
      </c>
      <c r="AA34" s="123" t="str">
        <f aca="false">IF(ISBLANK(Actuals!I40),"",Actuals!I40)</f>
        <v/>
      </c>
      <c r="AB34" s="124" t="str">
        <f aca="false">IF(ISBLANK(Actuals!I40),"",'Original Budget'!I40-Actuals!I40)</f>
        <v/>
      </c>
      <c r="AC34" s="124" t="str">
        <f aca="false">IFERROR(IF(ISBLANK(Actuals!I40),"",('Original Budget'!I40-Actuals!I40)/ABS('Original Budget'!I40)),"")</f>
        <v/>
      </c>
      <c r="AD34" s="123" t="n">
        <f aca="false">'Original Budget'!J40</f>
        <v>-1988.67</v>
      </c>
      <c r="AE34" s="123" t="str">
        <f aca="false">IF(ISBLANK(Actuals!J40),"",Actuals!J40)</f>
        <v/>
      </c>
      <c r="AF34" s="124" t="str">
        <f aca="false">IF(ISBLANK(Actuals!J40),"",'Original Budget'!J40-Actuals!J40)</f>
        <v/>
      </c>
      <c r="AG34" s="124" t="str">
        <f aca="false">IFERROR(IF(ISBLANK(Actuals!J40),"",('Original Budget'!J40-Actuals!J40)/ABS('Original Budget'!J40)),"")</f>
        <v/>
      </c>
      <c r="AH34" s="123" t="n">
        <f aca="false">'Original Budget'!K40</f>
        <v>-1988.67</v>
      </c>
      <c r="AI34" s="123" t="str">
        <f aca="false">IF(ISBLANK(Actuals!K40),"",Actuals!K40)</f>
        <v/>
      </c>
      <c r="AJ34" s="124" t="str">
        <f aca="false">IF(ISBLANK(Actuals!K40),"",'Original Budget'!K40-Actuals!K40)</f>
        <v/>
      </c>
      <c r="AK34" s="124" t="str">
        <f aca="false">IFERROR(IF(ISBLANK(Actuals!K40),"",('Original Budget'!K40-Actuals!K40)/ABS('Original Budget'!K40)),"")</f>
        <v/>
      </c>
      <c r="AL34" s="123" t="n">
        <f aca="false">'Original Budget'!L40</f>
        <v>-1988.67</v>
      </c>
      <c r="AM34" s="123" t="str">
        <f aca="false">IF(ISBLANK(Actuals!L40),"",Actuals!L40)</f>
        <v/>
      </c>
      <c r="AN34" s="124" t="str">
        <f aca="false">IF(ISBLANK(Actuals!L40),"",'Original Budget'!L40-Actuals!L40)</f>
        <v/>
      </c>
      <c r="AO34" s="124" t="str">
        <f aca="false">IFERROR(IF(ISBLANK(Actuals!L40),"",('Original Budget'!L40-Actuals!L40)/ABS('Original Budget'!L40)),"")</f>
        <v/>
      </c>
      <c r="AP34" s="123" t="n">
        <f aca="false">'Original Budget'!M40</f>
        <v>-1988.67</v>
      </c>
      <c r="AQ34" s="123" t="str">
        <f aca="false">IF(ISBLANK(Actuals!M40),"",Actuals!M40)</f>
        <v/>
      </c>
      <c r="AR34" s="124" t="str">
        <f aca="false">IF(ISBLANK(Actuals!M40),"",'Original Budget'!M40-Actuals!M40)</f>
        <v/>
      </c>
      <c r="AS34" s="124" t="str">
        <f aca="false">IFERROR(IF(ISBLANK(Actuals!M40),"",('Original Budget'!M40-Actuals!M40)/ABS('Original Budget'!M40)),"")</f>
        <v/>
      </c>
      <c r="AT34" s="123" t="n">
        <f aca="false">'Original Budget'!N40</f>
        <v>-1988.67</v>
      </c>
      <c r="AU34" s="123" t="str">
        <f aca="false">IF(ISBLANK(Actuals!N40),"",Actuals!N40)</f>
        <v/>
      </c>
      <c r="AV34" s="124" t="str">
        <f aca="false">IF(ISBLANK(Actuals!N40),"",'Original Budget'!N40-Actuals!N40)</f>
        <v/>
      </c>
      <c r="AW34" s="124" t="str">
        <f aca="false">IFERROR(IF(ISBLANK(Actuals!N40),"",('Original Budget'!N40-Actuals!N40)/ABS('Original Budget'!N40)),"")</f>
        <v/>
      </c>
      <c r="AX34" s="125" t="n">
        <f aca="false">SUMPRODUCT((Actuals!C40:N40&lt;&gt;"")*('Original Budget'!C40:N40))</f>
        <v>-11932.03</v>
      </c>
      <c r="AY34" s="125" t="n">
        <f aca="false">SUM(Actuals!C40:N40)</f>
        <v>-13904.24</v>
      </c>
      <c r="AZ34" s="126" t="n">
        <f aca="false">AX34-AY34</f>
        <v>1972.21</v>
      </c>
    </row>
    <row r="35" customFormat="false" ht="15" hidden="false" customHeight="true" outlineLevel="0" collapsed="false">
      <c r="A35" s="122" t="s">
        <v>80</v>
      </c>
      <c r="B35" s="123" t="n">
        <f aca="false">'Original Budget'!C41</f>
        <v>0</v>
      </c>
      <c r="C35" s="123" t="n">
        <f aca="false">IF(ISBLANK(Actuals!C41),"",Actuals!C41)</f>
        <v>0</v>
      </c>
      <c r="D35" s="124" t="n">
        <f aca="false">IF(ISBLANK(Actuals!C41),"",'Original Budget'!C41-Actuals!C41)</f>
        <v>0</v>
      </c>
      <c r="E35" s="124" t="str">
        <f aca="false">IFERROR(IF(ISBLANK(Actuals!C41),"",('Original Budget'!C41-Actuals!C41)/ABS('Original Budget'!C41)),"")</f>
        <v/>
      </c>
      <c r="F35" s="123" t="n">
        <f aca="false">'Original Budget'!D41</f>
        <v>0</v>
      </c>
      <c r="G35" s="123" t="n">
        <f aca="false">IF(ISBLANK(Actuals!D41),"",Actuals!D41)</f>
        <v>0</v>
      </c>
      <c r="H35" s="124" t="n">
        <f aca="false">IF(ISBLANK(Actuals!D41),"",'Original Budget'!D41-Actuals!D41)</f>
        <v>0</v>
      </c>
      <c r="I35" s="124" t="str">
        <f aca="false">IFERROR(IF(ISBLANK(Actuals!D41),"",('Original Budget'!D41-Actuals!D41)/ABS('Original Budget'!D41)),"")</f>
        <v/>
      </c>
      <c r="J35" s="123" t="n">
        <f aca="false">'Original Budget'!E41</f>
        <v>-41990</v>
      </c>
      <c r="K35" s="123" t="n">
        <f aca="false">IF(ISBLANK(Actuals!E41),"",Actuals!E41)</f>
        <v>-41990</v>
      </c>
      <c r="L35" s="124" t="n">
        <f aca="false">IF(ISBLANK(Actuals!E41),"",'Original Budget'!E41-Actuals!E41)</f>
        <v>0</v>
      </c>
      <c r="M35" s="124" t="n">
        <f aca="false">IFERROR(IF(ISBLANK(Actuals!E41),"",('Original Budget'!E41-Actuals!E41)/ABS('Original Budget'!E41)),"")</f>
        <v>0</v>
      </c>
      <c r="N35" s="123" t="n">
        <f aca="false">'Original Budget'!F41</f>
        <v>0</v>
      </c>
      <c r="O35" s="123" t="n">
        <f aca="false">IF(ISBLANK(Actuals!F41),"",Actuals!F41)</f>
        <v>-42500</v>
      </c>
      <c r="P35" s="124" t="n">
        <f aca="false">IF(ISBLANK(Actuals!F41),"",'Original Budget'!F41-Actuals!F41)</f>
        <v>42500</v>
      </c>
      <c r="Q35" s="124" t="str">
        <f aca="false">IFERROR(IF(ISBLANK(Actuals!F41),"",('Original Budget'!F41-Actuals!F41)/ABS('Original Budget'!F41)),"")</f>
        <v/>
      </c>
      <c r="R35" s="123" t="n">
        <f aca="false">'Original Budget'!G41</f>
        <v>-44250</v>
      </c>
      <c r="S35" s="123" t="n">
        <f aca="false">IF(ISBLANK(Actuals!G41),"",Actuals!G41)</f>
        <v>-21000</v>
      </c>
      <c r="T35" s="124" t="n">
        <f aca="false">IF(ISBLANK(Actuals!G41),"",'Original Budget'!G41-Actuals!G41)</f>
        <v>-23250</v>
      </c>
      <c r="U35" s="124" t="n">
        <f aca="false">IFERROR(IF(ISBLANK(Actuals!G41),"",('Original Budget'!G41-Actuals!G41)/ABS('Original Budget'!G41)),"")</f>
        <v>-0.525423728813559</v>
      </c>
      <c r="V35" s="123" t="n">
        <f aca="false">'Original Budget'!H41</f>
        <v>-45000</v>
      </c>
      <c r="W35" s="123" t="n">
        <f aca="false">IF(ISBLANK(Actuals!H41),"",Actuals!H41)</f>
        <v>0</v>
      </c>
      <c r="X35" s="124" t="n">
        <f aca="false">IF(ISBLANK(Actuals!H41),"",'Original Budget'!H41-Actuals!H41)</f>
        <v>-45000</v>
      </c>
      <c r="Y35" s="124" t="n">
        <f aca="false">IFERROR(IF(ISBLANK(Actuals!H41),"",('Original Budget'!H41-Actuals!H41)/ABS('Original Budget'!H41)),"")</f>
        <v>-1</v>
      </c>
      <c r="Z35" s="123" t="n">
        <f aca="false">'Original Budget'!I41</f>
        <v>-19500</v>
      </c>
      <c r="AA35" s="123" t="str">
        <f aca="false">IF(ISBLANK(Actuals!I41),"",Actuals!I41)</f>
        <v/>
      </c>
      <c r="AB35" s="124" t="str">
        <f aca="false">IF(ISBLANK(Actuals!I41),"",'Original Budget'!I41-Actuals!I41)</f>
        <v/>
      </c>
      <c r="AC35" s="124" t="str">
        <f aca="false">IFERROR(IF(ISBLANK(Actuals!I41),"",('Original Budget'!I41-Actuals!I41)/ABS('Original Budget'!I41)),"")</f>
        <v/>
      </c>
      <c r="AD35" s="123" t="n">
        <f aca="false">'Original Budget'!J41</f>
        <v>0</v>
      </c>
      <c r="AE35" s="123" t="str">
        <f aca="false">IF(ISBLANK(Actuals!J41),"",Actuals!J41)</f>
        <v/>
      </c>
      <c r="AF35" s="124" t="str">
        <f aca="false">IF(ISBLANK(Actuals!J41),"",'Original Budget'!J41-Actuals!J41)</f>
        <v/>
      </c>
      <c r="AG35" s="124" t="str">
        <f aca="false">IFERROR(IF(ISBLANK(Actuals!J41),"",('Original Budget'!J41-Actuals!J41)/ABS('Original Budget'!J41)),"")</f>
        <v/>
      </c>
      <c r="AH35" s="123" t="n">
        <f aca="false">'Original Budget'!K41</f>
        <v>0</v>
      </c>
      <c r="AI35" s="123" t="str">
        <f aca="false">IF(ISBLANK(Actuals!K41),"",Actuals!K41)</f>
        <v/>
      </c>
      <c r="AJ35" s="124" t="str">
        <f aca="false">IF(ISBLANK(Actuals!K41),"",'Original Budget'!K41-Actuals!K41)</f>
        <v/>
      </c>
      <c r="AK35" s="124" t="str">
        <f aca="false">IFERROR(IF(ISBLANK(Actuals!K41),"",('Original Budget'!K41-Actuals!K41)/ABS('Original Budget'!K41)),"")</f>
        <v/>
      </c>
      <c r="AL35" s="123" t="n">
        <f aca="false">'Original Budget'!L41</f>
        <v>-37500</v>
      </c>
      <c r="AM35" s="123" t="str">
        <f aca="false">IF(ISBLANK(Actuals!L41),"",Actuals!L41)</f>
        <v/>
      </c>
      <c r="AN35" s="124" t="str">
        <f aca="false">IF(ISBLANK(Actuals!L41),"",'Original Budget'!L41-Actuals!L41)</f>
        <v/>
      </c>
      <c r="AO35" s="124" t="str">
        <f aca="false">IFERROR(IF(ISBLANK(Actuals!L41),"",('Original Budget'!L41-Actuals!L41)/ABS('Original Budget'!L41)),"")</f>
        <v/>
      </c>
      <c r="AP35" s="123" t="n">
        <f aca="false">'Original Budget'!M41</f>
        <v>-54000</v>
      </c>
      <c r="AQ35" s="123" t="str">
        <f aca="false">IF(ISBLANK(Actuals!M41),"",Actuals!M41)</f>
        <v/>
      </c>
      <c r="AR35" s="124" t="str">
        <f aca="false">IF(ISBLANK(Actuals!M41),"",'Original Budget'!M41-Actuals!M41)</f>
        <v/>
      </c>
      <c r="AS35" s="124" t="str">
        <f aca="false">IFERROR(IF(ISBLANK(Actuals!M41),"",('Original Budget'!M41-Actuals!M41)/ABS('Original Budget'!M41)),"")</f>
        <v/>
      </c>
      <c r="AT35" s="123" t="n">
        <f aca="false">'Original Budget'!N41</f>
        <v>0</v>
      </c>
      <c r="AU35" s="123" t="str">
        <f aca="false">IF(ISBLANK(Actuals!N41),"",Actuals!N41)</f>
        <v/>
      </c>
      <c r="AV35" s="124" t="str">
        <f aca="false">IF(ISBLANK(Actuals!N41),"",'Original Budget'!N41-Actuals!N41)</f>
        <v/>
      </c>
      <c r="AW35" s="124" t="str">
        <f aca="false">IFERROR(IF(ISBLANK(Actuals!N41),"",('Original Budget'!N41-Actuals!N41)/ABS('Original Budget'!N41)),"")</f>
        <v/>
      </c>
      <c r="AX35" s="125" t="n">
        <f aca="false">SUMPRODUCT((Actuals!C41:N41&lt;&gt;"")*('Original Budget'!C41:N41))</f>
        <v>-131240</v>
      </c>
      <c r="AY35" s="125" t="n">
        <f aca="false">SUM(Actuals!C41:N41)</f>
        <v>-105490</v>
      </c>
      <c r="AZ35" s="126" t="n">
        <f aca="false">AX35-AY35</f>
        <v>-25750</v>
      </c>
    </row>
    <row r="36" customFormat="false" ht="15" hidden="false" customHeight="true" outlineLevel="0" collapsed="false">
      <c r="A36" s="122" t="s">
        <v>81</v>
      </c>
      <c r="B36" s="123" t="n">
        <f aca="false">'Original Budget'!C42</f>
        <v>-165</v>
      </c>
      <c r="C36" s="123" t="n">
        <f aca="false">IF(ISBLANK(Actuals!C42),"",Actuals!C42)</f>
        <v>-165</v>
      </c>
      <c r="D36" s="124" t="n">
        <f aca="false">IF(ISBLANK(Actuals!C42),"",'Original Budget'!C42-Actuals!C42)</f>
        <v>0</v>
      </c>
      <c r="E36" s="124" t="n">
        <f aca="false">IFERROR(IF(ISBLANK(Actuals!C42),"",('Original Budget'!C42-Actuals!C42)/ABS('Original Budget'!C42)),"")</f>
        <v>0</v>
      </c>
      <c r="F36" s="123" t="n">
        <f aca="false">'Original Budget'!D42</f>
        <v>0</v>
      </c>
      <c r="G36" s="123" t="n">
        <f aca="false">IF(ISBLANK(Actuals!D42),"",Actuals!D42)</f>
        <v>0</v>
      </c>
      <c r="H36" s="124" t="n">
        <f aca="false">IF(ISBLANK(Actuals!D42),"",'Original Budget'!D42-Actuals!D42)</f>
        <v>0</v>
      </c>
      <c r="I36" s="124" t="str">
        <f aca="false">IFERROR(IF(ISBLANK(Actuals!D42),"",('Original Budget'!D42-Actuals!D42)/ABS('Original Budget'!D42)),"")</f>
        <v/>
      </c>
      <c r="J36" s="123" t="n">
        <f aca="false">'Original Budget'!E42</f>
        <v>0</v>
      </c>
      <c r="K36" s="123" t="n">
        <f aca="false">IF(ISBLANK(Actuals!E42),"",Actuals!E42)</f>
        <v>0</v>
      </c>
      <c r="L36" s="124" t="n">
        <f aca="false">IF(ISBLANK(Actuals!E42),"",'Original Budget'!E42-Actuals!E42)</f>
        <v>0</v>
      </c>
      <c r="M36" s="124" t="str">
        <f aca="false">IFERROR(IF(ISBLANK(Actuals!E42),"",('Original Budget'!E42-Actuals!E42)/ABS('Original Budget'!E42)),"")</f>
        <v/>
      </c>
      <c r="N36" s="123" t="n">
        <f aca="false">'Original Budget'!F42</f>
        <v>-55</v>
      </c>
      <c r="O36" s="123" t="n">
        <f aca="false">IF(ISBLANK(Actuals!F42),"",Actuals!F42)</f>
        <v>-165</v>
      </c>
      <c r="P36" s="124" t="n">
        <f aca="false">IF(ISBLANK(Actuals!F42),"",'Original Budget'!F42-Actuals!F42)</f>
        <v>110</v>
      </c>
      <c r="Q36" s="124" t="n">
        <f aca="false">IFERROR(IF(ISBLANK(Actuals!F42),"",('Original Budget'!F42-Actuals!F42)/ABS('Original Budget'!F42)),"")</f>
        <v>2</v>
      </c>
      <c r="R36" s="123" t="n">
        <f aca="false">'Original Budget'!G42</f>
        <v>-55</v>
      </c>
      <c r="S36" s="123" t="n">
        <f aca="false">IF(ISBLANK(Actuals!G42),"",Actuals!G42)</f>
        <v>0</v>
      </c>
      <c r="T36" s="124" t="n">
        <f aca="false">IF(ISBLANK(Actuals!G42),"",'Original Budget'!G42-Actuals!G42)</f>
        <v>-55</v>
      </c>
      <c r="U36" s="124" t="n">
        <f aca="false">IFERROR(IF(ISBLANK(Actuals!G42),"",('Original Budget'!G42-Actuals!G42)/ABS('Original Budget'!G42)),"")</f>
        <v>-1</v>
      </c>
      <c r="V36" s="123" t="n">
        <f aca="false">'Original Budget'!H42</f>
        <v>-55</v>
      </c>
      <c r="W36" s="123" t="n">
        <f aca="false">IF(ISBLANK(Actuals!H42),"",Actuals!H42)</f>
        <v>-165</v>
      </c>
      <c r="X36" s="124" t="n">
        <f aca="false">IF(ISBLANK(Actuals!H42),"",'Original Budget'!H42-Actuals!H42)</f>
        <v>110</v>
      </c>
      <c r="Y36" s="124" t="n">
        <f aca="false">IFERROR(IF(ISBLANK(Actuals!H42),"",('Original Budget'!H42-Actuals!H42)/ABS('Original Budget'!H42)),"")</f>
        <v>2</v>
      </c>
      <c r="Z36" s="123" t="n">
        <f aca="false">'Original Budget'!I42</f>
        <v>-55</v>
      </c>
      <c r="AA36" s="123" t="str">
        <f aca="false">IF(ISBLANK(Actuals!I42),"",Actuals!I42)</f>
        <v/>
      </c>
      <c r="AB36" s="124" t="str">
        <f aca="false">IF(ISBLANK(Actuals!I42),"",'Original Budget'!I42-Actuals!I42)</f>
        <v/>
      </c>
      <c r="AC36" s="124" t="str">
        <f aca="false">IFERROR(IF(ISBLANK(Actuals!I42),"",('Original Budget'!I42-Actuals!I42)/ABS('Original Budget'!I42)),"")</f>
        <v/>
      </c>
      <c r="AD36" s="123" t="n">
        <f aca="false">'Original Budget'!J42</f>
        <v>-55</v>
      </c>
      <c r="AE36" s="123" t="str">
        <f aca="false">IF(ISBLANK(Actuals!J42),"",Actuals!J42)</f>
        <v/>
      </c>
      <c r="AF36" s="124" t="str">
        <f aca="false">IF(ISBLANK(Actuals!J42),"",'Original Budget'!J42-Actuals!J42)</f>
        <v/>
      </c>
      <c r="AG36" s="124" t="str">
        <f aca="false">IFERROR(IF(ISBLANK(Actuals!J42),"",('Original Budget'!J42-Actuals!J42)/ABS('Original Budget'!J42)),"")</f>
        <v/>
      </c>
      <c r="AH36" s="123" t="n">
        <f aca="false">'Original Budget'!K42</f>
        <v>-55</v>
      </c>
      <c r="AI36" s="123" t="str">
        <f aca="false">IF(ISBLANK(Actuals!K42),"",Actuals!K42)</f>
        <v/>
      </c>
      <c r="AJ36" s="124" t="str">
        <f aca="false">IF(ISBLANK(Actuals!K42),"",'Original Budget'!K42-Actuals!K42)</f>
        <v/>
      </c>
      <c r="AK36" s="124" t="str">
        <f aca="false">IFERROR(IF(ISBLANK(Actuals!K42),"",('Original Budget'!K42-Actuals!K42)/ABS('Original Budget'!K42)),"")</f>
        <v/>
      </c>
      <c r="AL36" s="123" t="n">
        <f aca="false">'Original Budget'!L42</f>
        <v>-55</v>
      </c>
      <c r="AM36" s="123" t="str">
        <f aca="false">IF(ISBLANK(Actuals!L42),"",Actuals!L42)</f>
        <v/>
      </c>
      <c r="AN36" s="124" t="str">
        <f aca="false">IF(ISBLANK(Actuals!L42),"",'Original Budget'!L42-Actuals!L42)</f>
        <v/>
      </c>
      <c r="AO36" s="124" t="str">
        <f aca="false">IFERROR(IF(ISBLANK(Actuals!L42),"",('Original Budget'!L42-Actuals!L42)/ABS('Original Budget'!L42)),"")</f>
        <v/>
      </c>
      <c r="AP36" s="123" t="n">
        <f aca="false">'Original Budget'!M42</f>
        <v>-55</v>
      </c>
      <c r="AQ36" s="123" t="str">
        <f aca="false">IF(ISBLANK(Actuals!M42),"",Actuals!M42)</f>
        <v/>
      </c>
      <c r="AR36" s="124" t="str">
        <f aca="false">IF(ISBLANK(Actuals!M42),"",'Original Budget'!M42-Actuals!M42)</f>
        <v/>
      </c>
      <c r="AS36" s="124" t="str">
        <f aca="false">IFERROR(IF(ISBLANK(Actuals!M42),"",('Original Budget'!M42-Actuals!M42)/ABS('Original Budget'!M42)),"")</f>
        <v/>
      </c>
      <c r="AT36" s="123" t="n">
        <f aca="false">'Original Budget'!N42</f>
        <v>-55</v>
      </c>
      <c r="AU36" s="123" t="str">
        <f aca="false">IF(ISBLANK(Actuals!N42),"",Actuals!N42)</f>
        <v/>
      </c>
      <c r="AV36" s="124" t="str">
        <f aca="false">IF(ISBLANK(Actuals!N42),"",'Original Budget'!N42-Actuals!N42)</f>
        <v/>
      </c>
      <c r="AW36" s="124" t="str">
        <f aca="false">IFERROR(IF(ISBLANK(Actuals!N42),"",('Original Budget'!N42-Actuals!N42)/ABS('Original Budget'!N42)),"")</f>
        <v/>
      </c>
      <c r="AX36" s="125" t="n">
        <f aca="false">SUMPRODUCT((Actuals!C42:N42&lt;&gt;"")*('Original Budget'!C42:N42))</f>
        <v>-330</v>
      </c>
      <c r="AY36" s="125" t="n">
        <f aca="false">SUM(Actuals!C42:N42)</f>
        <v>-495</v>
      </c>
      <c r="AZ36" s="126" t="n">
        <f aca="false">AX36-AY36</f>
        <v>165</v>
      </c>
    </row>
    <row r="37" customFormat="false" ht="15" hidden="false" customHeight="true" outlineLevel="0" collapsed="false">
      <c r="A37" s="122" t="s">
        <v>82</v>
      </c>
      <c r="B37" s="123" t="n">
        <f aca="false">'Original Budget'!C43</f>
        <v>0</v>
      </c>
      <c r="C37" s="123" t="n">
        <f aca="false">IF(ISBLANK(Actuals!C43),"",Actuals!C43)</f>
        <v>0</v>
      </c>
      <c r="D37" s="124" t="n">
        <f aca="false">IF(ISBLANK(Actuals!C43),"",'Original Budget'!C43-Actuals!C43)</f>
        <v>0</v>
      </c>
      <c r="E37" s="124" t="str">
        <f aca="false">IFERROR(IF(ISBLANK(Actuals!C43),"",('Original Budget'!C43-Actuals!C43)/ABS('Original Budget'!C43)),"")</f>
        <v/>
      </c>
      <c r="F37" s="123" t="n">
        <f aca="false">'Original Budget'!D43</f>
        <v>0</v>
      </c>
      <c r="G37" s="123" t="n">
        <f aca="false">IF(ISBLANK(Actuals!D43),"",Actuals!D43)</f>
        <v>0</v>
      </c>
      <c r="H37" s="124" t="n">
        <f aca="false">IF(ISBLANK(Actuals!D43),"",'Original Budget'!D43-Actuals!D43)</f>
        <v>0</v>
      </c>
      <c r="I37" s="124" t="str">
        <f aca="false">IFERROR(IF(ISBLANK(Actuals!D43),"",('Original Budget'!D43-Actuals!D43)/ABS('Original Budget'!D43)),"")</f>
        <v/>
      </c>
      <c r="J37" s="123" t="n">
        <f aca="false">'Original Budget'!E43</f>
        <v>0</v>
      </c>
      <c r="K37" s="123" t="n">
        <f aca="false">IF(ISBLANK(Actuals!E43),"",Actuals!E43)</f>
        <v>0</v>
      </c>
      <c r="L37" s="124" t="n">
        <f aca="false">IF(ISBLANK(Actuals!E43),"",'Original Budget'!E43-Actuals!E43)</f>
        <v>0</v>
      </c>
      <c r="M37" s="124" t="str">
        <f aca="false">IFERROR(IF(ISBLANK(Actuals!E43),"",('Original Budget'!E43-Actuals!E43)/ABS('Original Budget'!E43)),"")</f>
        <v/>
      </c>
      <c r="N37" s="123" t="n">
        <f aca="false">'Original Budget'!F43</f>
        <v>0</v>
      </c>
      <c r="O37" s="123" t="n">
        <f aca="false">IF(ISBLANK(Actuals!F43),"",Actuals!F43)</f>
        <v>-1036.49</v>
      </c>
      <c r="P37" s="124" t="n">
        <f aca="false">IF(ISBLANK(Actuals!F43),"",'Original Budget'!F43-Actuals!F43)</f>
        <v>1036.49</v>
      </c>
      <c r="Q37" s="124" t="str">
        <f aca="false">IFERROR(IF(ISBLANK(Actuals!F43),"",('Original Budget'!F43-Actuals!F43)/ABS('Original Budget'!F43)),"")</f>
        <v/>
      </c>
      <c r="R37" s="123" t="n">
        <f aca="false">'Original Budget'!G43</f>
        <v>0</v>
      </c>
      <c r="S37" s="123" t="n">
        <f aca="false">IF(ISBLANK(Actuals!G43),"",Actuals!G43)</f>
        <v>0</v>
      </c>
      <c r="T37" s="124" t="n">
        <f aca="false">IF(ISBLANK(Actuals!G43),"",'Original Budget'!G43-Actuals!G43)</f>
        <v>0</v>
      </c>
      <c r="U37" s="124" t="str">
        <f aca="false">IFERROR(IF(ISBLANK(Actuals!G43),"",('Original Budget'!G43-Actuals!G43)/ABS('Original Budget'!G43)),"")</f>
        <v/>
      </c>
      <c r="V37" s="123" t="n">
        <f aca="false">'Original Budget'!H43</f>
        <v>0</v>
      </c>
      <c r="W37" s="123" t="n">
        <f aca="false">IF(ISBLANK(Actuals!H43),"",Actuals!H43)</f>
        <v>-4308.58</v>
      </c>
      <c r="X37" s="124" t="n">
        <f aca="false">IF(ISBLANK(Actuals!H43),"",'Original Budget'!H43-Actuals!H43)</f>
        <v>4308.58</v>
      </c>
      <c r="Y37" s="124" t="str">
        <f aca="false">IFERROR(IF(ISBLANK(Actuals!H43),"",('Original Budget'!H43-Actuals!H43)/ABS('Original Budget'!H43)),"")</f>
        <v/>
      </c>
      <c r="Z37" s="123" t="n">
        <f aca="false">'Original Budget'!I43</f>
        <v>0</v>
      </c>
      <c r="AA37" s="123" t="str">
        <f aca="false">IF(ISBLANK(Actuals!I43),"",Actuals!I43)</f>
        <v/>
      </c>
      <c r="AB37" s="124" t="str">
        <f aca="false">IF(ISBLANK(Actuals!I43),"",'Original Budget'!I43-Actuals!I43)</f>
        <v/>
      </c>
      <c r="AC37" s="124" t="str">
        <f aca="false">IFERROR(IF(ISBLANK(Actuals!I43),"",('Original Budget'!I43-Actuals!I43)/ABS('Original Budget'!I43)),"")</f>
        <v/>
      </c>
      <c r="AD37" s="123" t="n">
        <f aca="false">'Original Budget'!J43</f>
        <v>0</v>
      </c>
      <c r="AE37" s="123" t="str">
        <f aca="false">IF(ISBLANK(Actuals!J43),"",Actuals!J43)</f>
        <v/>
      </c>
      <c r="AF37" s="124" t="str">
        <f aca="false">IF(ISBLANK(Actuals!J43),"",'Original Budget'!J43-Actuals!J43)</f>
        <v/>
      </c>
      <c r="AG37" s="124" t="str">
        <f aca="false">IFERROR(IF(ISBLANK(Actuals!J43),"",('Original Budget'!J43-Actuals!J43)/ABS('Original Budget'!J43)),"")</f>
        <v/>
      </c>
      <c r="AH37" s="123" t="n">
        <f aca="false">'Original Budget'!K43</f>
        <v>0</v>
      </c>
      <c r="AI37" s="123" t="str">
        <f aca="false">IF(ISBLANK(Actuals!K43),"",Actuals!K43)</f>
        <v/>
      </c>
      <c r="AJ37" s="124" t="str">
        <f aca="false">IF(ISBLANK(Actuals!K43),"",'Original Budget'!K43-Actuals!K43)</f>
        <v/>
      </c>
      <c r="AK37" s="124" t="str">
        <f aca="false">IFERROR(IF(ISBLANK(Actuals!K43),"",('Original Budget'!K43-Actuals!K43)/ABS('Original Budget'!K43)),"")</f>
        <v/>
      </c>
      <c r="AL37" s="123" t="n">
        <f aca="false">'Original Budget'!L43</f>
        <v>0</v>
      </c>
      <c r="AM37" s="123" t="str">
        <f aca="false">IF(ISBLANK(Actuals!L43),"",Actuals!L43)</f>
        <v/>
      </c>
      <c r="AN37" s="124" t="str">
        <f aca="false">IF(ISBLANK(Actuals!L43),"",'Original Budget'!L43-Actuals!L43)</f>
        <v/>
      </c>
      <c r="AO37" s="124" t="str">
        <f aca="false">IFERROR(IF(ISBLANK(Actuals!L43),"",('Original Budget'!L43-Actuals!L43)/ABS('Original Budget'!L43)),"")</f>
        <v/>
      </c>
      <c r="AP37" s="123" t="n">
        <f aca="false">'Original Budget'!M43</f>
        <v>0</v>
      </c>
      <c r="AQ37" s="123" t="str">
        <f aca="false">IF(ISBLANK(Actuals!M43),"",Actuals!M43)</f>
        <v/>
      </c>
      <c r="AR37" s="124" t="str">
        <f aca="false">IF(ISBLANK(Actuals!M43),"",'Original Budget'!M43-Actuals!M43)</f>
        <v/>
      </c>
      <c r="AS37" s="124" t="str">
        <f aca="false">IFERROR(IF(ISBLANK(Actuals!M43),"",('Original Budget'!M43-Actuals!M43)/ABS('Original Budget'!M43)),"")</f>
        <v/>
      </c>
      <c r="AT37" s="123" t="n">
        <f aca="false">'Original Budget'!N43</f>
        <v>0</v>
      </c>
      <c r="AU37" s="123" t="str">
        <f aca="false">IF(ISBLANK(Actuals!N43),"",Actuals!N43)</f>
        <v/>
      </c>
      <c r="AV37" s="124" t="str">
        <f aca="false">IF(ISBLANK(Actuals!N43),"",'Original Budget'!N43-Actuals!N43)</f>
        <v/>
      </c>
      <c r="AW37" s="124" t="str">
        <f aca="false">IFERROR(IF(ISBLANK(Actuals!N43),"",('Original Budget'!N43-Actuals!N43)/ABS('Original Budget'!N43)),"")</f>
        <v/>
      </c>
      <c r="AX37" s="125" t="n">
        <f aca="false">SUMPRODUCT((Actuals!C43:N43&lt;&gt;"")*('Original Budget'!C43:N43))</f>
        <v>0</v>
      </c>
      <c r="AY37" s="125" t="n">
        <f aca="false">SUM(Actuals!C43:N43)</f>
        <v>-5345.07</v>
      </c>
      <c r="AZ37" s="126" t="n">
        <f aca="false">AX37-AY37</f>
        <v>5345.07</v>
      </c>
    </row>
    <row r="38" customFormat="false" ht="15" hidden="false" customHeight="true" outlineLevel="0" collapsed="false">
      <c r="A38" s="122" t="s">
        <v>83</v>
      </c>
      <c r="B38" s="123" t="n">
        <f aca="false">'Original Budget'!C44</f>
        <v>-550</v>
      </c>
      <c r="C38" s="123" t="n">
        <f aca="false">IF(ISBLANK(Actuals!C44),"",Actuals!C44)</f>
        <v>-550</v>
      </c>
      <c r="D38" s="124" t="n">
        <f aca="false">IF(ISBLANK(Actuals!C44),"",'Original Budget'!C44-Actuals!C44)</f>
        <v>0</v>
      </c>
      <c r="E38" s="124" t="n">
        <f aca="false">IFERROR(IF(ISBLANK(Actuals!C44),"",('Original Budget'!C44-Actuals!C44)/ABS('Original Budget'!C44)),"")</f>
        <v>0</v>
      </c>
      <c r="F38" s="123" t="n">
        <f aca="false">'Original Budget'!D44</f>
        <v>-550</v>
      </c>
      <c r="G38" s="123" t="n">
        <f aca="false">IF(ISBLANK(Actuals!D44),"",Actuals!D44)</f>
        <v>-550</v>
      </c>
      <c r="H38" s="124" t="n">
        <f aca="false">IF(ISBLANK(Actuals!D44),"",'Original Budget'!D44-Actuals!D44)</f>
        <v>0</v>
      </c>
      <c r="I38" s="124" t="n">
        <f aca="false">IFERROR(IF(ISBLANK(Actuals!D44),"",('Original Budget'!D44-Actuals!D44)/ABS('Original Budget'!D44)),"")</f>
        <v>0</v>
      </c>
      <c r="J38" s="123" t="n">
        <f aca="false">'Original Budget'!E44</f>
        <v>-550</v>
      </c>
      <c r="K38" s="123" t="n">
        <f aca="false">IF(ISBLANK(Actuals!E44),"",Actuals!E44)</f>
        <v>-550</v>
      </c>
      <c r="L38" s="124" t="n">
        <f aca="false">IF(ISBLANK(Actuals!E44),"",'Original Budget'!E44-Actuals!E44)</f>
        <v>0</v>
      </c>
      <c r="M38" s="124" t="n">
        <f aca="false">IFERROR(IF(ISBLANK(Actuals!E44),"",('Original Budget'!E44-Actuals!E44)/ABS('Original Budget'!E44)),"")</f>
        <v>0</v>
      </c>
      <c r="N38" s="123" t="n">
        <f aca="false">'Original Budget'!F44</f>
        <v>-550</v>
      </c>
      <c r="O38" s="123" t="n">
        <f aca="false">IF(ISBLANK(Actuals!F44),"",Actuals!F44)</f>
        <v>-600</v>
      </c>
      <c r="P38" s="124" t="n">
        <f aca="false">IF(ISBLANK(Actuals!F44),"",'Original Budget'!F44-Actuals!F44)</f>
        <v>50</v>
      </c>
      <c r="Q38" s="124" t="n">
        <f aca="false">IFERROR(IF(ISBLANK(Actuals!F44),"",('Original Budget'!F44-Actuals!F44)/ABS('Original Budget'!F44)),"")</f>
        <v>0.0909090909090909</v>
      </c>
      <c r="R38" s="123" t="n">
        <f aca="false">'Original Budget'!G44</f>
        <v>-550</v>
      </c>
      <c r="S38" s="123" t="n">
        <f aca="false">IF(ISBLANK(Actuals!G44),"",Actuals!G44)</f>
        <v>-650</v>
      </c>
      <c r="T38" s="124" t="n">
        <f aca="false">IF(ISBLANK(Actuals!G44),"",'Original Budget'!G44-Actuals!G44)</f>
        <v>100</v>
      </c>
      <c r="U38" s="124" t="n">
        <f aca="false">IFERROR(IF(ISBLANK(Actuals!G44),"",('Original Budget'!G44-Actuals!G44)/ABS('Original Budget'!G44)),"")</f>
        <v>0.181818181818182</v>
      </c>
      <c r="V38" s="123" t="n">
        <f aca="false">'Original Budget'!H44</f>
        <v>-550</v>
      </c>
      <c r="W38" s="123" t="n">
        <f aca="false">IF(ISBLANK(Actuals!H44),"",Actuals!H44)</f>
        <v>-575</v>
      </c>
      <c r="X38" s="124" t="n">
        <f aca="false">IF(ISBLANK(Actuals!H44),"",'Original Budget'!H44-Actuals!H44)</f>
        <v>25</v>
      </c>
      <c r="Y38" s="124" t="n">
        <f aca="false">IFERROR(IF(ISBLANK(Actuals!H44),"",('Original Budget'!H44-Actuals!H44)/ABS('Original Budget'!H44)),"")</f>
        <v>0.0454545454545455</v>
      </c>
      <c r="Z38" s="123" t="n">
        <f aca="false">'Original Budget'!I44</f>
        <v>-550</v>
      </c>
      <c r="AA38" s="123" t="str">
        <f aca="false">IF(ISBLANK(Actuals!I44),"",Actuals!I44)</f>
        <v/>
      </c>
      <c r="AB38" s="124" t="str">
        <f aca="false">IF(ISBLANK(Actuals!I44),"",'Original Budget'!I44-Actuals!I44)</f>
        <v/>
      </c>
      <c r="AC38" s="124" t="str">
        <f aca="false">IFERROR(IF(ISBLANK(Actuals!I44),"",('Original Budget'!I44-Actuals!I44)/ABS('Original Budget'!I44)),"")</f>
        <v/>
      </c>
      <c r="AD38" s="123" t="n">
        <f aca="false">'Original Budget'!J44</f>
        <v>-550</v>
      </c>
      <c r="AE38" s="123" t="str">
        <f aca="false">IF(ISBLANK(Actuals!J44),"",Actuals!J44)</f>
        <v/>
      </c>
      <c r="AF38" s="124" t="str">
        <f aca="false">IF(ISBLANK(Actuals!J44),"",'Original Budget'!J44-Actuals!J44)</f>
        <v/>
      </c>
      <c r="AG38" s="124" t="str">
        <f aca="false">IFERROR(IF(ISBLANK(Actuals!J44),"",('Original Budget'!J44-Actuals!J44)/ABS('Original Budget'!J44)),"")</f>
        <v/>
      </c>
      <c r="AH38" s="123" t="n">
        <f aca="false">'Original Budget'!K44</f>
        <v>-550</v>
      </c>
      <c r="AI38" s="123" t="str">
        <f aca="false">IF(ISBLANK(Actuals!K44),"",Actuals!K44)</f>
        <v/>
      </c>
      <c r="AJ38" s="124" t="str">
        <f aca="false">IF(ISBLANK(Actuals!K44),"",'Original Budget'!K44-Actuals!K44)</f>
        <v/>
      </c>
      <c r="AK38" s="124" t="str">
        <f aca="false">IFERROR(IF(ISBLANK(Actuals!K44),"",('Original Budget'!K44-Actuals!K44)/ABS('Original Budget'!K44)),"")</f>
        <v/>
      </c>
      <c r="AL38" s="123" t="n">
        <f aca="false">'Original Budget'!L44</f>
        <v>-550</v>
      </c>
      <c r="AM38" s="123" t="str">
        <f aca="false">IF(ISBLANK(Actuals!L44),"",Actuals!L44)</f>
        <v/>
      </c>
      <c r="AN38" s="124" t="str">
        <f aca="false">IF(ISBLANK(Actuals!L44),"",'Original Budget'!L44-Actuals!L44)</f>
        <v/>
      </c>
      <c r="AO38" s="124" t="str">
        <f aca="false">IFERROR(IF(ISBLANK(Actuals!L44),"",('Original Budget'!L44-Actuals!L44)/ABS('Original Budget'!L44)),"")</f>
        <v/>
      </c>
      <c r="AP38" s="123" t="n">
        <f aca="false">'Original Budget'!M44</f>
        <v>-550</v>
      </c>
      <c r="AQ38" s="123" t="str">
        <f aca="false">IF(ISBLANK(Actuals!M44),"",Actuals!M44)</f>
        <v/>
      </c>
      <c r="AR38" s="124" t="str">
        <f aca="false">IF(ISBLANK(Actuals!M44),"",'Original Budget'!M44-Actuals!M44)</f>
        <v/>
      </c>
      <c r="AS38" s="124" t="str">
        <f aca="false">IFERROR(IF(ISBLANK(Actuals!M44),"",('Original Budget'!M44-Actuals!M44)/ABS('Original Budget'!M44)),"")</f>
        <v/>
      </c>
      <c r="AT38" s="123" t="n">
        <f aca="false">'Original Budget'!N44</f>
        <v>-550</v>
      </c>
      <c r="AU38" s="123" t="str">
        <f aca="false">IF(ISBLANK(Actuals!N44),"",Actuals!N44)</f>
        <v/>
      </c>
      <c r="AV38" s="124" t="str">
        <f aca="false">IF(ISBLANK(Actuals!N44),"",'Original Budget'!N44-Actuals!N44)</f>
        <v/>
      </c>
      <c r="AW38" s="124" t="str">
        <f aca="false">IFERROR(IF(ISBLANK(Actuals!N44),"",('Original Budget'!N44-Actuals!N44)/ABS('Original Budget'!N44)),"")</f>
        <v/>
      </c>
      <c r="AX38" s="125" t="n">
        <f aca="false">SUMPRODUCT((Actuals!C44:N44&lt;&gt;"")*('Original Budget'!C44:N44))</f>
        <v>-3300</v>
      </c>
      <c r="AY38" s="125" t="n">
        <f aca="false">SUM(Actuals!C44:N44)</f>
        <v>-3475</v>
      </c>
      <c r="AZ38" s="126" t="n">
        <f aca="false">AX38-AY38</f>
        <v>175</v>
      </c>
    </row>
    <row r="39" customFormat="false" ht="15" hidden="false" customHeight="true" outlineLevel="0" collapsed="false">
      <c r="A39" s="122" t="s">
        <v>84</v>
      </c>
      <c r="B39" s="123" t="n">
        <f aca="false">'Original Budget'!C45</f>
        <v>-19223.75</v>
      </c>
      <c r="C39" s="123" t="n">
        <f aca="false">IF(ISBLANK(Actuals!C45),"",Actuals!C45)</f>
        <v>-19223.75</v>
      </c>
      <c r="D39" s="124" t="n">
        <f aca="false">IF(ISBLANK(Actuals!C45),"",'Original Budget'!C45-Actuals!C45)</f>
        <v>0</v>
      </c>
      <c r="E39" s="124" t="n">
        <f aca="false">IFERROR(IF(ISBLANK(Actuals!C45),"",('Original Budget'!C45-Actuals!C45)/ABS('Original Budget'!C45)),"")</f>
        <v>0</v>
      </c>
      <c r="F39" s="123" t="n">
        <f aca="false">'Original Budget'!D45</f>
        <v>-13381.97</v>
      </c>
      <c r="G39" s="123" t="n">
        <f aca="false">IF(ISBLANK(Actuals!D45),"",Actuals!D45)</f>
        <v>-13381.97</v>
      </c>
      <c r="H39" s="124" t="n">
        <f aca="false">IF(ISBLANK(Actuals!D45),"",'Original Budget'!D45-Actuals!D45)</f>
        <v>0</v>
      </c>
      <c r="I39" s="124" t="n">
        <f aca="false">IFERROR(IF(ISBLANK(Actuals!D45),"",('Original Budget'!D45-Actuals!D45)/ABS('Original Budget'!D45)),"")</f>
        <v>0</v>
      </c>
      <c r="J39" s="123" t="n">
        <f aca="false">'Original Budget'!E45</f>
        <v>-20308.69</v>
      </c>
      <c r="K39" s="123" t="n">
        <f aca="false">IF(ISBLANK(Actuals!E45),"",Actuals!E45)</f>
        <v>-20308.69</v>
      </c>
      <c r="L39" s="124" t="n">
        <f aca="false">IF(ISBLANK(Actuals!E45),"",'Original Budget'!E45-Actuals!E45)</f>
        <v>0</v>
      </c>
      <c r="M39" s="124" t="n">
        <f aca="false">IFERROR(IF(ISBLANK(Actuals!E45),"",('Original Budget'!E45-Actuals!E45)/ABS('Original Budget'!E45)),"")</f>
        <v>0</v>
      </c>
      <c r="N39" s="123" t="n">
        <f aca="false">'Original Budget'!F45</f>
        <v>-17638.14</v>
      </c>
      <c r="O39" s="123" t="n">
        <f aca="false">IF(ISBLANK(Actuals!F45),"",Actuals!F45)</f>
        <v>-16948.76</v>
      </c>
      <c r="P39" s="124" t="n">
        <f aca="false">IF(ISBLANK(Actuals!F45),"",'Original Budget'!F45-Actuals!F45)</f>
        <v>-689.380000000001</v>
      </c>
      <c r="Q39" s="124" t="n">
        <f aca="false">IFERROR(IF(ISBLANK(Actuals!F45),"",('Original Budget'!F45-Actuals!F45)/ABS('Original Budget'!F45)),"")</f>
        <v>-0.0390846200336317</v>
      </c>
      <c r="R39" s="123" t="n">
        <f aca="false">'Original Budget'!G45</f>
        <v>-17638.14</v>
      </c>
      <c r="S39" s="123" t="n">
        <f aca="false">IF(ISBLANK(Actuals!G45),"",Actuals!G45)</f>
        <v>-29716.98</v>
      </c>
      <c r="T39" s="124" t="n">
        <f aca="false">IF(ISBLANK(Actuals!G45),"",'Original Budget'!G45-Actuals!G45)</f>
        <v>12078.84</v>
      </c>
      <c r="U39" s="124" t="n">
        <f aca="false">IFERROR(IF(ISBLANK(Actuals!G45),"",('Original Budget'!G45-Actuals!G45)/ABS('Original Budget'!G45)),"")</f>
        <v>0.684813704846429</v>
      </c>
      <c r="V39" s="123" t="n">
        <f aca="false">'Original Budget'!H45</f>
        <v>-17638.14</v>
      </c>
      <c r="W39" s="123" t="n">
        <f aca="false">IF(ISBLANK(Actuals!H45),"",Actuals!H45)</f>
        <v>-11335.64</v>
      </c>
      <c r="X39" s="124" t="n">
        <f aca="false">IF(ISBLANK(Actuals!H45),"",'Original Budget'!H45-Actuals!H45)</f>
        <v>-6302.5</v>
      </c>
      <c r="Y39" s="124" t="n">
        <f aca="false">IFERROR(IF(ISBLANK(Actuals!H45),"",('Original Budget'!H45-Actuals!H45)/ABS('Original Budget'!H45)),"")</f>
        <v>-0.357322257335524</v>
      </c>
      <c r="Z39" s="123" t="n">
        <f aca="false">'Original Budget'!I45</f>
        <v>-17638.14</v>
      </c>
      <c r="AA39" s="123" t="str">
        <f aca="false">IF(ISBLANK(Actuals!I45),"",Actuals!I45)</f>
        <v/>
      </c>
      <c r="AB39" s="124" t="str">
        <f aca="false">IF(ISBLANK(Actuals!I45),"",'Original Budget'!I45-Actuals!I45)</f>
        <v/>
      </c>
      <c r="AC39" s="124" t="str">
        <f aca="false">IFERROR(IF(ISBLANK(Actuals!I45),"",('Original Budget'!I45-Actuals!I45)/ABS('Original Budget'!I45)),"")</f>
        <v/>
      </c>
      <c r="AD39" s="123" t="n">
        <f aca="false">'Original Budget'!J45</f>
        <v>-17638.14</v>
      </c>
      <c r="AE39" s="123" t="str">
        <f aca="false">IF(ISBLANK(Actuals!J45),"",Actuals!J45)</f>
        <v/>
      </c>
      <c r="AF39" s="124" t="str">
        <f aca="false">IF(ISBLANK(Actuals!J45),"",'Original Budget'!J45-Actuals!J45)</f>
        <v/>
      </c>
      <c r="AG39" s="124" t="str">
        <f aca="false">IFERROR(IF(ISBLANK(Actuals!J45),"",('Original Budget'!J45-Actuals!J45)/ABS('Original Budget'!J45)),"")</f>
        <v/>
      </c>
      <c r="AH39" s="123" t="n">
        <f aca="false">'Original Budget'!K45</f>
        <v>-17638.14</v>
      </c>
      <c r="AI39" s="123" t="str">
        <f aca="false">IF(ISBLANK(Actuals!K45),"",Actuals!K45)</f>
        <v/>
      </c>
      <c r="AJ39" s="124" t="str">
        <f aca="false">IF(ISBLANK(Actuals!K45),"",'Original Budget'!K45-Actuals!K45)</f>
        <v/>
      </c>
      <c r="AK39" s="124" t="str">
        <f aca="false">IFERROR(IF(ISBLANK(Actuals!K45),"",('Original Budget'!K45-Actuals!K45)/ABS('Original Budget'!K45)),"")</f>
        <v/>
      </c>
      <c r="AL39" s="123" t="n">
        <f aca="false">'Original Budget'!L45</f>
        <v>-17638.14</v>
      </c>
      <c r="AM39" s="123" t="str">
        <f aca="false">IF(ISBLANK(Actuals!L45),"",Actuals!L45)</f>
        <v/>
      </c>
      <c r="AN39" s="124" t="str">
        <f aca="false">IF(ISBLANK(Actuals!L45),"",'Original Budget'!L45-Actuals!L45)</f>
        <v/>
      </c>
      <c r="AO39" s="124" t="str">
        <f aca="false">IFERROR(IF(ISBLANK(Actuals!L45),"",('Original Budget'!L45-Actuals!L45)/ABS('Original Budget'!L45)),"")</f>
        <v/>
      </c>
      <c r="AP39" s="123" t="n">
        <f aca="false">'Original Budget'!M45</f>
        <v>-17638.14</v>
      </c>
      <c r="AQ39" s="123" t="str">
        <f aca="false">IF(ISBLANK(Actuals!M45),"",Actuals!M45)</f>
        <v/>
      </c>
      <c r="AR39" s="124" t="str">
        <f aca="false">IF(ISBLANK(Actuals!M45),"",'Original Budget'!M45-Actuals!M45)</f>
        <v/>
      </c>
      <c r="AS39" s="124" t="str">
        <f aca="false">IFERROR(IF(ISBLANK(Actuals!M45),"",('Original Budget'!M45-Actuals!M45)/ABS('Original Budget'!M45)),"")</f>
        <v/>
      </c>
      <c r="AT39" s="123" t="n">
        <f aca="false">'Original Budget'!N45</f>
        <v>-17638.14</v>
      </c>
      <c r="AU39" s="123" t="str">
        <f aca="false">IF(ISBLANK(Actuals!N45),"",Actuals!N45)</f>
        <v/>
      </c>
      <c r="AV39" s="124" t="str">
        <f aca="false">IF(ISBLANK(Actuals!N45),"",'Original Budget'!N45-Actuals!N45)</f>
        <v/>
      </c>
      <c r="AW39" s="124" t="str">
        <f aca="false">IFERROR(IF(ISBLANK(Actuals!N45),"",('Original Budget'!N45-Actuals!N45)/ABS('Original Budget'!N45)),"")</f>
        <v/>
      </c>
      <c r="AX39" s="125" t="n">
        <f aca="false">SUMPRODUCT((Actuals!C45:N45&lt;&gt;"")*('Original Budget'!C45:N45))</f>
        <v>-105828.83</v>
      </c>
      <c r="AY39" s="125" t="n">
        <f aca="false">SUM(Actuals!C45:N45)</f>
        <v>-110915.79</v>
      </c>
      <c r="AZ39" s="126" t="n">
        <f aca="false">AX39-AY39</f>
        <v>5086.95999999999</v>
      </c>
    </row>
    <row r="40" customFormat="false" ht="15" hidden="false" customHeight="true" outlineLevel="0" collapsed="false">
      <c r="A40" s="122" t="s">
        <v>85</v>
      </c>
      <c r="B40" s="123" t="n">
        <f aca="false">'Original Budget'!C46</f>
        <v>-1909.98</v>
      </c>
      <c r="C40" s="123" t="n">
        <f aca="false">IF(ISBLANK(Actuals!C46),"",Actuals!C46)</f>
        <v>-1909.98</v>
      </c>
      <c r="D40" s="124" t="n">
        <f aca="false">IF(ISBLANK(Actuals!C46),"",'Original Budget'!C46-Actuals!C46)</f>
        <v>0</v>
      </c>
      <c r="E40" s="124" t="n">
        <f aca="false">IFERROR(IF(ISBLANK(Actuals!C46),"",('Original Budget'!C46-Actuals!C46)/ABS('Original Budget'!C46)),"")</f>
        <v>0</v>
      </c>
      <c r="F40" s="123" t="n">
        <f aca="false">'Original Budget'!D46</f>
        <v>-190.1</v>
      </c>
      <c r="G40" s="123" t="n">
        <f aca="false">IF(ISBLANK(Actuals!D46),"",Actuals!D46)</f>
        <v>-190.1</v>
      </c>
      <c r="H40" s="124" t="n">
        <f aca="false">IF(ISBLANK(Actuals!D46),"",'Original Budget'!D46-Actuals!D46)</f>
        <v>0</v>
      </c>
      <c r="I40" s="124" t="n">
        <f aca="false">IFERROR(IF(ISBLANK(Actuals!D46),"",('Original Budget'!D46-Actuals!D46)/ABS('Original Budget'!D46)),"")</f>
        <v>0</v>
      </c>
      <c r="J40" s="123" t="n">
        <f aca="false">'Original Budget'!E46</f>
        <v>-2166.92</v>
      </c>
      <c r="K40" s="123" t="n">
        <f aca="false">IF(ISBLANK(Actuals!E46),"",Actuals!E46)</f>
        <v>-2166.92</v>
      </c>
      <c r="L40" s="124" t="n">
        <f aca="false">IF(ISBLANK(Actuals!E46),"",'Original Budget'!E46-Actuals!E46)</f>
        <v>0</v>
      </c>
      <c r="M40" s="124" t="n">
        <f aca="false">IFERROR(IF(ISBLANK(Actuals!E46),"",('Original Budget'!E46-Actuals!E46)/ABS('Original Budget'!E46)),"")</f>
        <v>0</v>
      </c>
      <c r="N40" s="123" t="n">
        <f aca="false">'Original Budget'!F46</f>
        <v>-1422.33</v>
      </c>
      <c r="O40" s="123" t="n">
        <f aca="false">IF(ISBLANK(Actuals!F46),"",Actuals!F46)</f>
        <v>-1816.95</v>
      </c>
      <c r="P40" s="124" t="n">
        <f aca="false">IF(ISBLANK(Actuals!F46),"",'Original Budget'!F46-Actuals!F46)</f>
        <v>394.62</v>
      </c>
      <c r="Q40" s="124" t="n">
        <f aca="false">IFERROR(IF(ISBLANK(Actuals!F46),"",('Original Budget'!F46-Actuals!F46)/ABS('Original Budget'!F46)),"")</f>
        <v>0.277446162283015</v>
      </c>
      <c r="R40" s="123" t="n">
        <f aca="false">'Original Budget'!G46</f>
        <v>-1422.33</v>
      </c>
      <c r="S40" s="123" t="n">
        <f aca="false">IF(ISBLANK(Actuals!G46),"",Actuals!G46)</f>
        <v>-1452.9</v>
      </c>
      <c r="T40" s="124" t="n">
        <f aca="false">IF(ISBLANK(Actuals!G46),"",'Original Budget'!G46-Actuals!G46)</f>
        <v>30.5700000000002</v>
      </c>
      <c r="U40" s="124" t="n">
        <f aca="false">IFERROR(IF(ISBLANK(Actuals!G46),"",('Original Budget'!G46-Actuals!G46)/ABS('Original Budget'!G46)),"")</f>
        <v>0.0214929024909832</v>
      </c>
      <c r="V40" s="123" t="n">
        <f aca="false">'Original Budget'!H46</f>
        <v>-1422.33</v>
      </c>
      <c r="W40" s="123" t="n">
        <f aca="false">IF(ISBLANK(Actuals!H46),"",Actuals!H46)</f>
        <v>-13918.31</v>
      </c>
      <c r="X40" s="124" t="n">
        <f aca="false">IF(ISBLANK(Actuals!H46),"",'Original Budget'!H46-Actuals!H46)</f>
        <v>12495.98</v>
      </c>
      <c r="Y40" s="124" t="n">
        <f aca="false">IFERROR(IF(ISBLANK(Actuals!H46),"",('Original Budget'!H46-Actuals!H46)/ABS('Original Budget'!H46)),"")</f>
        <v>8.78557015601161</v>
      </c>
      <c r="Z40" s="123" t="n">
        <f aca="false">'Original Budget'!I46</f>
        <v>-1422.33</v>
      </c>
      <c r="AA40" s="123" t="str">
        <f aca="false">IF(ISBLANK(Actuals!I46),"",Actuals!I46)</f>
        <v/>
      </c>
      <c r="AB40" s="124" t="str">
        <f aca="false">IF(ISBLANK(Actuals!I46),"",'Original Budget'!I46-Actuals!I46)</f>
        <v/>
      </c>
      <c r="AC40" s="124" t="str">
        <f aca="false">IFERROR(IF(ISBLANK(Actuals!I46),"",('Original Budget'!I46-Actuals!I46)/ABS('Original Budget'!I46)),"")</f>
        <v/>
      </c>
      <c r="AD40" s="123" t="n">
        <f aca="false">'Original Budget'!J46</f>
        <v>-1422.33</v>
      </c>
      <c r="AE40" s="123" t="str">
        <f aca="false">IF(ISBLANK(Actuals!J46),"",Actuals!J46)</f>
        <v/>
      </c>
      <c r="AF40" s="124" t="str">
        <f aca="false">IF(ISBLANK(Actuals!J46),"",'Original Budget'!J46-Actuals!J46)</f>
        <v/>
      </c>
      <c r="AG40" s="124" t="str">
        <f aca="false">IFERROR(IF(ISBLANK(Actuals!J46),"",('Original Budget'!J46-Actuals!J46)/ABS('Original Budget'!J46)),"")</f>
        <v/>
      </c>
      <c r="AH40" s="123" t="n">
        <f aca="false">'Original Budget'!K46</f>
        <v>-1422.33</v>
      </c>
      <c r="AI40" s="123" t="str">
        <f aca="false">IF(ISBLANK(Actuals!K46),"",Actuals!K46)</f>
        <v/>
      </c>
      <c r="AJ40" s="124" t="str">
        <f aca="false">IF(ISBLANK(Actuals!K46),"",'Original Budget'!K46-Actuals!K46)</f>
        <v/>
      </c>
      <c r="AK40" s="124" t="str">
        <f aca="false">IFERROR(IF(ISBLANK(Actuals!K46),"",('Original Budget'!K46-Actuals!K46)/ABS('Original Budget'!K46)),"")</f>
        <v/>
      </c>
      <c r="AL40" s="123" t="n">
        <f aca="false">'Original Budget'!L46</f>
        <v>-1422.33</v>
      </c>
      <c r="AM40" s="123" t="str">
        <f aca="false">IF(ISBLANK(Actuals!L46),"",Actuals!L46)</f>
        <v/>
      </c>
      <c r="AN40" s="124" t="str">
        <f aca="false">IF(ISBLANK(Actuals!L46),"",'Original Budget'!L46-Actuals!L46)</f>
        <v/>
      </c>
      <c r="AO40" s="124" t="str">
        <f aca="false">IFERROR(IF(ISBLANK(Actuals!L46),"",('Original Budget'!L46-Actuals!L46)/ABS('Original Budget'!L46)),"")</f>
        <v/>
      </c>
      <c r="AP40" s="123" t="n">
        <f aca="false">'Original Budget'!M46</f>
        <v>-1422.33</v>
      </c>
      <c r="AQ40" s="123" t="str">
        <f aca="false">IF(ISBLANK(Actuals!M46),"",Actuals!M46)</f>
        <v/>
      </c>
      <c r="AR40" s="124" t="str">
        <f aca="false">IF(ISBLANK(Actuals!M46),"",'Original Budget'!M46-Actuals!M46)</f>
        <v/>
      </c>
      <c r="AS40" s="124" t="str">
        <f aca="false">IFERROR(IF(ISBLANK(Actuals!M46),"",('Original Budget'!M46-Actuals!M46)/ABS('Original Budget'!M46)),"")</f>
        <v/>
      </c>
      <c r="AT40" s="123" t="n">
        <f aca="false">'Original Budget'!N46</f>
        <v>-1422.33</v>
      </c>
      <c r="AU40" s="123" t="str">
        <f aca="false">IF(ISBLANK(Actuals!N46),"",Actuals!N46)</f>
        <v/>
      </c>
      <c r="AV40" s="124" t="str">
        <f aca="false">IF(ISBLANK(Actuals!N46),"",'Original Budget'!N46-Actuals!N46)</f>
        <v/>
      </c>
      <c r="AW40" s="124" t="str">
        <f aca="false">IFERROR(IF(ISBLANK(Actuals!N46),"",('Original Budget'!N46-Actuals!N46)/ABS('Original Budget'!N46)),"")</f>
        <v/>
      </c>
      <c r="AX40" s="125" t="n">
        <f aca="false">SUMPRODUCT((Actuals!C46:N46&lt;&gt;"")*('Original Budget'!C46:N46))</f>
        <v>-8533.99</v>
      </c>
      <c r="AY40" s="125" t="n">
        <f aca="false">SUM(Actuals!C46:N46)</f>
        <v>-21455.16</v>
      </c>
      <c r="AZ40" s="126" t="n">
        <f aca="false">AX40-AY40</f>
        <v>12921.17</v>
      </c>
    </row>
    <row r="41" customFormat="false" ht="15" hidden="false" customHeight="true" outlineLevel="0" collapsed="false">
      <c r="A41" s="122" t="s">
        <v>86</v>
      </c>
      <c r="B41" s="123" t="n">
        <f aca="false">'Original Budget'!C47</f>
        <v>-320</v>
      </c>
      <c r="C41" s="123" t="n">
        <f aca="false">IF(ISBLANK(Actuals!C47),"",Actuals!C47)</f>
        <v>-320</v>
      </c>
      <c r="D41" s="124" t="n">
        <f aca="false">IF(ISBLANK(Actuals!C47),"",'Original Budget'!C47-Actuals!C47)</f>
        <v>0</v>
      </c>
      <c r="E41" s="124" t="n">
        <f aca="false">IFERROR(IF(ISBLANK(Actuals!C47),"",('Original Budget'!C47-Actuals!C47)/ABS('Original Budget'!C47)),"")</f>
        <v>0</v>
      </c>
      <c r="F41" s="123" t="n">
        <f aca="false">'Original Budget'!D47</f>
        <v>-160</v>
      </c>
      <c r="G41" s="123" t="n">
        <f aca="false">IF(ISBLANK(Actuals!D47),"",Actuals!D47)</f>
        <v>-160</v>
      </c>
      <c r="H41" s="124" t="n">
        <f aca="false">IF(ISBLANK(Actuals!D47),"",'Original Budget'!D47-Actuals!D47)</f>
        <v>0</v>
      </c>
      <c r="I41" s="124" t="n">
        <f aca="false">IFERROR(IF(ISBLANK(Actuals!D47),"",('Original Budget'!D47-Actuals!D47)/ABS('Original Budget'!D47)),"")</f>
        <v>0</v>
      </c>
      <c r="J41" s="123" t="n">
        <f aca="false">'Original Budget'!E47</f>
        <v>0</v>
      </c>
      <c r="K41" s="123" t="n">
        <f aca="false">IF(ISBLANK(Actuals!E47),"",Actuals!E47)</f>
        <v>0</v>
      </c>
      <c r="L41" s="124" t="n">
        <f aca="false">IF(ISBLANK(Actuals!E47),"",'Original Budget'!E47-Actuals!E47)</f>
        <v>0</v>
      </c>
      <c r="M41" s="124" t="str">
        <f aca="false">IFERROR(IF(ISBLANK(Actuals!E47),"",('Original Budget'!E47-Actuals!E47)/ABS('Original Budget'!E47)),"")</f>
        <v/>
      </c>
      <c r="N41" s="123" t="n">
        <f aca="false">'Original Budget'!F47</f>
        <v>-160</v>
      </c>
      <c r="O41" s="123" t="n">
        <f aca="false">IF(ISBLANK(Actuals!F47),"",Actuals!F47)</f>
        <v>0</v>
      </c>
      <c r="P41" s="124" t="n">
        <f aca="false">IF(ISBLANK(Actuals!F47),"",'Original Budget'!F47-Actuals!F47)</f>
        <v>-160</v>
      </c>
      <c r="Q41" s="124" t="n">
        <f aca="false">IFERROR(IF(ISBLANK(Actuals!F47),"",('Original Budget'!F47-Actuals!F47)/ABS('Original Budget'!F47)),"")</f>
        <v>-1</v>
      </c>
      <c r="R41" s="123" t="n">
        <f aca="false">'Original Budget'!G47</f>
        <v>-160</v>
      </c>
      <c r="S41" s="123" t="n">
        <f aca="false">IF(ISBLANK(Actuals!G47),"",Actuals!G47)</f>
        <v>-320</v>
      </c>
      <c r="T41" s="124" t="n">
        <f aca="false">IF(ISBLANK(Actuals!G47),"",'Original Budget'!G47-Actuals!G47)</f>
        <v>160</v>
      </c>
      <c r="U41" s="124" t="n">
        <f aca="false">IFERROR(IF(ISBLANK(Actuals!G47),"",('Original Budget'!G47-Actuals!G47)/ABS('Original Budget'!G47)),"")</f>
        <v>1</v>
      </c>
      <c r="V41" s="123" t="n">
        <f aca="false">'Original Budget'!H47</f>
        <v>-160</v>
      </c>
      <c r="W41" s="123" t="n">
        <f aca="false">IF(ISBLANK(Actuals!H47),"",Actuals!H47)</f>
        <v>-320</v>
      </c>
      <c r="X41" s="124" t="n">
        <f aca="false">IF(ISBLANK(Actuals!H47),"",'Original Budget'!H47-Actuals!H47)</f>
        <v>160</v>
      </c>
      <c r="Y41" s="124" t="n">
        <f aca="false">IFERROR(IF(ISBLANK(Actuals!H47),"",('Original Budget'!H47-Actuals!H47)/ABS('Original Budget'!H47)),"")</f>
        <v>1</v>
      </c>
      <c r="Z41" s="123" t="n">
        <f aca="false">'Original Budget'!I47</f>
        <v>-160</v>
      </c>
      <c r="AA41" s="123" t="str">
        <f aca="false">IF(ISBLANK(Actuals!I47),"",Actuals!I47)</f>
        <v/>
      </c>
      <c r="AB41" s="124" t="str">
        <f aca="false">IF(ISBLANK(Actuals!I47),"",'Original Budget'!I47-Actuals!I47)</f>
        <v/>
      </c>
      <c r="AC41" s="124" t="str">
        <f aca="false">IFERROR(IF(ISBLANK(Actuals!I47),"",('Original Budget'!I47-Actuals!I47)/ABS('Original Budget'!I47)),"")</f>
        <v/>
      </c>
      <c r="AD41" s="123" t="n">
        <f aca="false">'Original Budget'!J47</f>
        <v>-160</v>
      </c>
      <c r="AE41" s="123" t="str">
        <f aca="false">IF(ISBLANK(Actuals!J47),"",Actuals!J47)</f>
        <v/>
      </c>
      <c r="AF41" s="124" t="str">
        <f aca="false">IF(ISBLANK(Actuals!J47),"",'Original Budget'!J47-Actuals!J47)</f>
        <v/>
      </c>
      <c r="AG41" s="124" t="str">
        <f aca="false">IFERROR(IF(ISBLANK(Actuals!J47),"",('Original Budget'!J47-Actuals!J47)/ABS('Original Budget'!J47)),"")</f>
        <v/>
      </c>
      <c r="AH41" s="123" t="n">
        <f aca="false">'Original Budget'!K47</f>
        <v>-160</v>
      </c>
      <c r="AI41" s="123" t="str">
        <f aca="false">IF(ISBLANK(Actuals!K47),"",Actuals!K47)</f>
        <v/>
      </c>
      <c r="AJ41" s="124" t="str">
        <f aca="false">IF(ISBLANK(Actuals!K47),"",'Original Budget'!K47-Actuals!K47)</f>
        <v/>
      </c>
      <c r="AK41" s="124" t="str">
        <f aca="false">IFERROR(IF(ISBLANK(Actuals!K47),"",('Original Budget'!K47-Actuals!K47)/ABS('Original Budget'!K47)),"")</f>
        <v/>
      </c>
      <c r="AL41" s="123" t="n">
        <f aca="false">'Original Budget'!L47</f>
        <v>-160</v>
      </c>
      <c r="AM41" s="123" t="str">
        <f aca="false">IF(ISBLANK(Actuals!L47),"",Actuals!L47)</f>
        <v/>
      </c>
      <c r="AN41" s="124" t="str">
        <f aca="false">IF(ISBLANK(Actuals!L47),"",'Original Budget'!L47-Actuals!L47)</f>
        <v/>
      </c>
      <c r="AO41" s="124" t="str">
        <f aca="false">IFERROR(IF(ISBLANK(Actuals!L47),"",('Original Budget'!L47-Actuals!L47)/ABS('Original Budget'!L47)),"")</f>
        <v/>
      </c>
      <c r="AP41" s="123" t="n">
        <f aca="false">'Original Budget'!M47</f>
        <v>-160</v>
      </c>
      <c r="AQ41" s="123" t="str">
        <f aca="false">IF(ISBLANK(Actuals!M47),"",Actuals!M47)</f>
        <v/>
      </c>
      <c r="AR41" s="124" t="str">
        <f aca="false">IF(ISBLANK(Actuals!M47),"",'Original Budget'!M47-Actuals!M47)</f>
        <v/>
      </c>
      <c r="AS41" s="124" t="str">
        <f aca="false">IFERROR(IF(ISBLANK(Actuals!M47),"",('Original Budget'!M47-Actuals!M47)/ABS('Original Budget'!M47)),"")</f>
        <v/>
      </c>
      <c r="AT41" s="123" t="n">
        <f aca="false">'Original Budget'!N47</f>
        <v>-160</v>
      </c>
      <c r="AU41" s="123" t="str">
        <f aca="false">IF(ISBLANK(Actuals!N47),"",Actuals!N47)</f>
        <v/>
      </c>
      <c r="AV41" s="124" t="str">
        <f aca="false">IF(ISBLANK(Actuals!N47),"",'Original Budget'!N47-Actuals!N47)</f>
        <v/>
      </c>
      <c r="AW41" s="124" t="str">
        <f aca="false">IFERROR(IF(ISBLANK(Actuals!N47),"",('Original Budget'!N47-Actuals!N47)/ABS('Original Budget'!N47)),"")</f>
        <v/>
      </c>
      <c r="AX41" s="125" t="n">
        <f aca="false">SUMPRODUCT((Actuals!C47:N47&lt;&gt;"")*('Original Budget'!C47:N47))</f>
        <v>-960</v>
      </c>
      <c r="AY41" s="125" t="n">
        <f aca="false">SUM(Actuals!C47:N47)</f>
        <v>-1120</v>
      </c>
      <c r="AZ41" s="126" t="n">
        <f aca="false">AX41-AY41</f>
        <v>160</v>
      </c>
    </row>
    <row r="42" customFormat="false" ht="15" hidden="false" customHeight="true" outlineLevel="0" collapsed="false">
      <c r="A42" s="122" t="s">
        <v>87</v>
      </c>
      <c r="B42" s="123" t="n">
        <f aca="false">'Original Budget'!C48</f>
        <v>-17660.72</v>
      </c>
      <c r="C42" s="123" t="n">
        <f aca="false">IF(ISBLANK(Actuals!C48),"",Actuals!C48)</f>
        <v>-17660.72</v>
      </c>
      <c r="D42" s="124" t="n">
        <f aca="false">IF(ISBLANK(Actuals!C48),"",'Original Budget'!C48-Actuals!C48)</f>
        <v>0</v>
      </c>
      <c r="E42" s="124" t="n">
        <f aca="false">IFERROR(IF(ISBLANK(Actuals!C48),"",('Original Budget'!C48-Actuals!C48)/ABS('Original Budget'!C48)),"")</f>
        <v>0</v>
      </c>
      <c r="F42" s="123" t="n">
        <f aca="false">'Original Budget'!D48</f>
        <v>-5799</v>
      </c>
      <c r="G42" s="123" t="n">
        <f aca="false">IF(ISBLANK(Actuals!D48),"",Actuals!D48)</f>
        <v>-5799</v>
      </c>
      <c r="H42" s="124" t="n">
        <f aca="false">IF(ISBLANK(Actuals!D48),"",'Original Budget'!D48-Actuals!D48)</f>
        <v>0</v>
      </c>
      <c r="I42" s="124" t="n">
        <f aca="false">IFERROR(IF(ISBLANK(Actuals!D48),"",('Original Budget'!D48-Actuals!D48)/ABS('Original Budget'!D48)),"")</f>
        <v>0</v>
      </c>
      <c r="J42" s="123" t="n">
        <f aca="false">'Original Budget'!E48</f>
        <v>-3432.18</v>
      </c>
      <c r="K42" s="123" t="n">
        <f aca="false">IF(ISBLANK(Actuals!E48),"",Actuals!E48)</f>
        <v>-3432.18</v>
      </c>
      <c r="L42" s="124" t="n">
        <f aca="false">IF(ISBLANK(Actuals!E48),"",'Original Budget'!E48-Actuals!E48)</f>
        <v>0</v>
      </c>
      <c r="M42" s="124" t="n">
        <f aca="false">IFERROR(IF(ISBLANK(Actuals!E48),"",('Original Budget'!E48-Actuals!E48)/ABS('Original Budget'!E48)),"")</f>
        <v>0</v>
      </c>
      <c r="N42" s="123" t="n">
        <f aca="false">'Original Budget'!F48</f>
        <v>-5000</v>
      </c>
      <c r="O42" s="123" t="n">
        <f aca="false">IF(ISBLANK(Actuals!F48),"",Actuals!F48)</f>
        <v>0</v>
      </c>
      <c r="P42" s="124" t="n">
        <f aca="false">IF(ISBLANK(Actuals!F48),"",'Original Budget'!F48-Actuals!F48)</f>
        <v>-5000</v>
      </c>
      <c r="Q42" s="124" t="n">
        <f aca="false">IFERROR(IF(ISBLANK(Actuals!F48),"",('Original Budget'!F48-Actuals!F48)/ABS('Original Budget'!F48)),"")</f>
        <v>-1</v>
      </c>
      <c r="R42" s="123" t="n">
        <f aca="false">'Original Budget'!G48</f>
        <v>-5000</v>
      </c>
      <c r="S42" s="123" t="n">
        <f aca="false">IF(ISBLANK(Actuals!G48),"",Actuals!G48)</f>
        <v>-73874.29</v>
      </c>
      <c r="T42" s="124" t="n">
        <f aca="false">IF(ISBLANK(Actuals!G48),"",'Original Budget'!G48-Actuals!G48)</f>
        <v>68874.29</v>
      </c>
      <c r="U42" s="124" t="n">
        <f aca="false">IFERROR(IF(ISBLANK(Actuals!G48),"",('Original Budget'!G48-Actuals!G48)/ABS('Original Budget'!G48)),"")</f>
        <v>13.774858</v>
      </c>
      <c r="V42" s="123" t="n">
        <f aca="false">'Original Budget'!H48</f>
        <v>-5000</v>
      </c>
      <c r="W42" s="123" t="n">
        <f aca="false">IF(ISBLANK(Actuals!H48),"",Actuals!H48)</f>
        <v>0</v>
      </c>
      <c r="X42" s="124" t="n">
        <f aca="false">IF(ISBLANK(Actuals!H48),"",'Original Budget'!H48-Actuals!H48)</f>
        <v>-5000</v>
      </c>
      <c r="Y42" s="124" t="n">
        <f aca="false">IFERROR(IF(ISBLANK(Actuals!H48),"",('Original Budget'!H48-Actuals!H48)/ABS('Original Budget'!H48)),"")</f>
        <v>-1</v>
      </c>
      <c r="Z42" s="123" t="n">
        <f aca="false">'Original Budget'!I48</f>
        <v>-5000</v>
      </c>
      <c r="AA42" s="123" t="str">
        <f aca="false">IF(ISBLANK(Actuals!I48),"",Actuals!I48)</f>
        <v/>
      </c>
      <c r="AB42" s="124" t="str">
        <f aca="false">IF(ISBLANK(Actuals!I48),"",'Original Budget'!I48-Actuals!I48)</f>
        <v/>
      </c>
      <c r="AC42" s="124" t="str">
        <f aca="false">IFERROR(IF(ISBLANK(Actuals!I48),"",('Original Budget'!I48-Actuals!I48)/ABS('Original Budget'!I48)),"")</f>
        <v/>
      </c>
      <c r="AD42" s="123" t="n">
        <f aca="false">'Original Budget'!J48</f>
        <v>-5000</v>
      </c>
      <c r="AE42" s="123" t="str">
        <f aca="false">IF(ISBLANK(Actuals!J48),"",Actuals!J48)</f>
        <v/>
      </c>
      <c r="AF42" s="124" t="str">
        <f aca="false">IF(ISBLANK(Actuals!J48),"",'Original Budget'!J48-Actuals!J48)</f>
        <v/>
      </c>
      <c r="AG42" s="124" t="str">
        <f aca="false">IFERROR(IF(ISBLANK(Actuals!J48),"",('Original Budget'!J48-Actuals!J48)/ABS('Original Budget'!J48)),"")</f>
        <v/>
      </c>
      <c r="AH42" s="123" t="n">
        <f aca="false">'Original Budget'!K48</f>
        <v>-5000</v>
      </c>
      <c r="AI42" s="123" t="str">
        <f aca="false">IF(ISBLANK(Actuals!K48),"",Actuals!K48)</f>
        <v/>
      </c>
      <c r="AJ42" s="124" t="str">
        <f aca="false">IF(ISBLANK(Actuals!K48),"",'Original Budget'!K48-Actuals!K48)</f>
        <v/>
      </c>
      <c r="AK42" s="124" t="str">
        <f aca="false">IFERROR(IF(ISBLANK(Actuals!K48),"",('Original Budget'!K48-Actuals!K48)/ABS('Original Budget'!K48)),"")</f>
        <v/>
      </c>
      <c r="AL42" s="123" t="n">
        <f aca="false">'Original Budget'!L48</f>
        <v>-5000</v>
      </c>
      <c r="AM42" s="123" t="str">
        <f aca="false">IF(ISBLANK(Actuals!L48),"",Actuals!L48)</f>
        <v/>
      </c>
      <c r="AN42" s="124" t="str">
        <f aca="false">IF(ISBLANK(Actuals!L48),"",'Original Budget'!L48-Actuals!L48)</f>
        <v/>
      </c>
      <c r="AO42" s="124" t="str">
        <f aca="false">IFERROR(IF(ISBLANK(Actuals!L48),"",('Original Budget'!L48-Actuals!L48)/ABS('Original Budget'!L48)),"")</f>
        <v/>
      </c>
      <c r="AP42" s="123" t="n">
        <f aca="false">'Original Budget'!M48</f>
        <v>-5000</v>
      </c>
      <c r="AQ42" s="123" t="str">
        <f aca="false">IF(ISBLANK(Actuals!M48),"",Actuals!M48)</f>
        <v/>
      </c>
      <c r="AR42" s="124" t="str">
        <f aca="false">IF(ISBLANK(Actuals!M48),"",'Original Budget'!M48-Actuals!M48)</f>
        <v/>
      </c>
      <c r="AS42" s="124" t="str">
        <f aca="false">IFERROR(IF(ISBLANK(Actuals!M48),"",('Original Budget'!M48-Actuals!M48)/ABS('Original Budget'!M48)),"")</f>
        <v/>
      </c>
      <c r="AT42" s="123" t="n">
        <f aca="false">'Original Budget'!N48</f>
        <v>-5000</v>
      </c>
      <c r="AU42" s="123" t="str">
        <f aca="false">IF(ISBLANK(Actuals!N48),"",Actuals!N48)</f>
        <v/>
      </c>
      <c r="AV42" s="124" t="str">
        <f aca="false">IF(ISBLANK(Actuals!N48),"",'Original Budget'!N48-Actuals!N48)</f>
        <v/>
      </c>
      <c r="AW42" s="124" t="str">
        <f aca="false">IFERROR(IF(ISBLANK(Actuals!N48),"",('Original Budget'!N48-Actuals!N48)/ABS('Original Budget'!N48)),"")</f>
        <v/>
      </c>
      <c r="AX42" s="125" t="n">
        <f aca="false">SUMPRODUCT((Actuals!C48:N48&lt;&gt;"")*('Original Budget'!C48:N48))</f>
        <v>-41891.9</v>
      </c>
      <c r="AY42" s="125" t="n">
        <f aca="false">SUM(Actuals!C48:N48)</f>
        <v>-100766.19</v>
      </c>
      <c r="AZ42" s="126" t="n">
        <f aca="false">AX42-AY42</f>
        <v>58874.29</v>
      </c>
    </row>
    <row r="43" customFormat="false" ht="15" hidden="false" customHeight="true" outlineLevel="0" collapsed="false">
      <c r="A43" s="122" t="s">
        <v>88</v>
      </c>
      <c r="B43" s="123" t="n">
        <f aca="false">'Original Budget'!C49</f>
        <v>-304</v>
      </c>
      <c r="C43" s="123" t="n">
        <f aca="false">IF(ISBLANK(Actuals!C49),"",Actuals!C49)</f>
        <v>-1913.91</v>
      </c>
      <c r="D43" s="124" t="n">
        <f aca="false">IF(ISBLANK(Actuals!C49),"",'Original Budget'!C49-Actuals!C49)</f>
        <v>1609.91</v>
      </c>
      <c r="E43" s="124" t="n">
        <f aca="false">IFERROR(IF(ISBLANK(Actuals!C49),"",('Original Budget'!C49-Actuals!C49)/ABS('Original Budget'!C49)),"")</f>
        <v>5.29575657894737</v>
      </c>
      <c r="F43" s="123" t="n">
        <f aca="false">'Original Budget'!D49</f>
        <v>-644.81</v>
      </c>
      <c r="G43" s="123" t="n">
        <f aca="false">IF(ISBLANK(Actuals!D49),"",Actuals!D49)</f>
        <v>-2254.72</v>
      </c>
      <c r="H43" s="124" t="n">
        <f aca="false">IF(ISBLANK(Actuals!D49),"",'Original Budget'!D49-Actuals!D49)</f>
        <v>1609.91</v>
      </c>
      <c r="I43" s="124" t="n">
        <f aca="false">IFERROR(IF(ISBLANK(Actuals!D49),"",('Original Budget'!D49-Actuals!D49)/ABS('Original Budget'!D49)),"")</f>
        <v>2.49671996402041</v>
      </c>
      <c r="J43" s="123" t="n">
        <f aca="false">'Original Budget'!E49</f>
        <v>-304</v>
      </c>
      <c r="K43" s="123" t="n">
        <f aca="false">IF(ISBLANK(Actuals!E49),"",Actuals!E49)</f>
        <v>-1913.91</v>
      </c>
      <c r="L43" s="124" t="n">
        <f aca="false">IF(ISBLANK(Actuals!E49),"",'Original Budget'!E49-Actuals!E49)</f>
        <v>1609.91</v>
      </c>
      <c r="M43" s="124" t="n">
        <f aca="false">IFERROR(IF(ISBLANK(Actuals!E49),"",('Original Budget'!E49-Actuals!E49)/ABS('Original Budget'!E49)),"")</f>
        <v>5.29575657894737</v>
      </c>
      <c r="N43" s="123" t="n">
        <f aca="false">'Original Budget'!F49</f>
        <v>-417.6</v>
      </c>
      <c r="O43" s="123" t="n">
        <f aca="false">IF(ISBLANK(Actuals!F49),"",Actuals!F49)</f>
        <v>-1609.91</v>
      </c>
      <c r="P43" s="124" t="n">
        <f aca="false">IF(ISBLANK(Actuals!F49),"",'Original Budget'!F49-Actuals!F49)</f>
        <v>1192.31</v>
      </c>
      <c r="Q43" s="124" t="n">
        <f aca="false">IFERROR(IF(ISBLANK(Actuals!F49),"",('Original Budget'!F49-Actuals!F49)/ABS('Original Budget'!F49)),"")</f>
        <v>2.85514846743295</v>
      </c>
      <c r="R43" s="123" t="n">
        <f aca="false">'Original Budget'!G49</f>
        <v>-417.6</v>
      </c>
      <c r="S43" s="123" t="n">
        <f aca="false">IF(ISBLANK(Actuals!G49),"",Actuals!G49)</f>
        <v>-2760.86</v>
      </c>
      <c r="T43" s="124" t="n">
        <f aca="false">IF(ISBLANK(Actuals!G49),"",'Original Budget'!G49-Actuals!G49)</f>
        <v>2343.26</v>
      </c>
      <c r="U43" s="124" t="n">
        <f aca="false">IFERROR(IF(ISBLANK(Actuals!G49),"",('Original Budget'!G49-Actuals!G49)/ABS('Original Budget'!G49)),"")</f>
        <v>5.61125478927203</v>
      </c>
      <c r="V43" s="123" t="n">
        <f aca="false">'Original Budget'!H49</f>
        <v>-417.6</v>
      </c>
      <c r="W43" s="123" t="n">
        <f aca="false">IF(ISBLANK(Actuals!H49),"",Actuals!H49)</f>
        <v>0</v>
      </c>
      <c r="X43" s="124" t="n">
        <f aca="false">IF(ISBLANK(Actuals!H49),"",'Original Budget'!H49-Actuals!H49)</f>
        <v>-417.6</v>
      </c>
      <c r="Y43" s="124" t="n">
        <f aca="false">IFERROR(IF(ISBLANK(Actuals!H49),"",('Original Budget'!H49-Actuals!H49)/ABS('Original Budget'!H49)),"")</f>
        <v>-1</v>
      </c>
      <c r="Z43" s="123" t="n">
        <f aca="false">'Original Budget'!I49</f>
        <v>-417.6</v>
      </c>
      <c r="AA43" s="123" t="str">
        <f aca="false">IF(ISBLANK(Actuals!I49),"",Actuals!I49)</f>
        <v/>
      </c>
      <c r="AB43" s="124" t="str">
        <f aca="false">IF(ISBLANK(Actuals!I49),"",'Original Budget'!I49-Actuals!I49)</f>
        <v/>
      </c>
      <c r="AC43" s="124" t="str">
        <f aca="false">IFERROR(IF(ISBLANK(Actuals!I49),"",('Original Budget'!I49-Actuals!I49)/ABS('Original Budget'!I49)),"")</f>
        <v/>
      </c>
      <c r="AD43" s="123" t="n">
        <f aca="false">'Original Budget'!J49</f>
        <v>-417.6</v>
      </c>
      <c r="AE43" s="123" t="str">
        <f aca="false">IF(ISBLANK(Actuals!J49),"",Actuals!J49)</f>
        <v/>
      </c>
      <c r="AF43" s="124" t="str">
        <f aca="false">IF(ISBLANK(Actuals!J49),"",'Original Budget'!J49-Actuals!J49)</f>
        <v/>
      </c>
      <c r="AG43" s="124" t="str">
        <f aca="false">IFERROR(IF(ISBLANK(Actuals!J49),"",('Original Budget'!J49-Actuals!J49)/ABS('Original Budget'!J49)),"")</f>
        <v/>
      </c>
      <c r="AH43" s="123" t="n">
        <f aca="false">'Original Budget'!K49</f>
        <v>-417.6</v>
      </c>
      <c r="AI43" s="123" t="str">
        <f aca="false">IF(ISBLANK(Actuals!K49),"",Actuals!K49)</f>
        <v/>
      </c>
      <c r="AJ43" s="124" t="str">
        <f aca="false">IF(ISBLANK(Actuals!K49),"",'Original Budget'!K49-Actuals!K49)</f>
        <v/>
      </c>
      <c r="AK43" s="124" t="str">
        <f aca="false">IFERROR(IF(ISBLANK(Actuals!K49),"",('Original Budget'!K49-Actuals!K49)/ABS('Original Budget'!K49)),"")</f>
        <v/>
      </c>
      <c r="AL43" s="123" t="n">
        <f aca="false">'Original Budget'!L49</f>
        <v>-417.6</v>
      </c>
      <c r="AM43" s="123" t="str">
        <f aca="false">IF(ISBLANK(Actuals!L49),"",Actuals!L49)</f>
        <v/>
      </c>
      <c r="AN43" s="124" t="str">
        <f aca="false">IF(ISBLANK(Actuals!L49),"",'Original Budget'!L49-Actuals!L49)</f>
        <v/>
      </c>
      <c r="AO43" s="124" t="str">
        <f aca="false">IFERROR(IF(ISBLANK(Actuals!L49),"",('Original Budget'!L49-Actuals!L49)/ABS('Original Budget'!L49)),"")</f>
        <v/>
      </c>
      <c r="AP43" s="123" t="n">
        <f aca="false">'Original Budget'!M49</f>
        <v>-417.6</v>
      </c>
      <c r="AQ43" s="123" t="str">
        <f aca="false">IF(ISBLANK(Actuals!M49),"",Actuals!M49)</f>
        <v/>
      </c>
      <c r="AR43" s="124" t="str">
        <f aca="false">IF(ISBLANK(Actuals!M49),"",'Original Budget'!M49-Actuals!M49)</f>
        <v/>
      </c>
      <c r="AS43" s="124" t="str">
        <f aca="false">IFERROR(IF(ISBLANK(Actuals!M49),"",('Original Budget'!M49-Actuals!M49)/ABS('Original Budget'!M49)),"")</f>
        <v/>
      </c>
      <c r="AT43" s="123" t="n">
        <f aca="false">'Original Budget'!N49</f>
        <v>-417.6</v>
      </c>
      <c r="AU43" s="123" t="str">
        <f aca="false">IF(ISBLANK(Actuals!N49),"",Actuals!N49)</f>
        <v/>
      </c>
      <c r="AV43" s="124" t="str">
        <f aca="false">IF(ISBLANK(Actuals!N49),"",'Original Budget'!N49-Actuals!N49)</f>
        <v/>
      </c>
      <c r="AW43" s="124" t="str">
        <f aca="false">IFERROR(IF(ISBLANK(Actuals!N49),"",('Original Budget'!N49-Actuals!N49)/ABS('Original Budget'!N49)),"")</f>
        <v/>
      </c>
      <c r="AX43" s="125" t="n">
        <f aca="false">SUMPRODUCT((Actuals!C49:N49&lt;&gt;"")*('Original Budget'!C49:N49))</f>
        <v>-2505.61</v>
      </c>
      <c r="AY43" s="125" t="n">
        <f aca="false">SUM(Actuals!C49:N49)</f>
        <v>-10453.31</v>
      </c>
      <c r="AZ43" s="126" t="n">
        <f aca="false">AX43-AY43</f>
        <v>7947.7</v>
      </c>
    </row>
    <row r="44" customFormat="false" ht="15" hidden="false" customHeight="true" outlineLevel="0" collapsed="false">
      <c r="A44" s="122" t="s">
        <v>89</v>
      </c>
      <c r="B44" s="123" t="n">
        <f aca="false">'Original Budget'!C50</f>
        <v>0</v>
      </c>
      <c r="C44" s="123" t="n">
        <f aca="false">IF(ISBLANK(Actuals!C50),"",Actuals!C50)</f>
        <v>0</v>
      </c>
      <c r="D44" s="124" t="n">
        <f aca="false">IF(ISBLANK(Actuals!C50),"",'Original Budget'!C50-Actuals!C50)</f>
        <v>0</v>
      </c>
      <c r="E44" s="124" t="str">
        <f aca="false">IFERROR(IF(ISBLANK(Actuals!C50),"",('Original Budget'!C50-Actuals!C50)/ABS('Original Budget'!C50)),"")</f>
        <v/>
      </c>
      <c r="F44" s="123" t="n">
        <f aca="false">'Original Budget'!D50</f>
        <v>-75</v>
      </c>
      <c r="G44" s="123" t="n">
        <f aca="false">IF(ISBLANK(Actuals!D50),"",Actuals!D50)</f>
        <v>-75</v>
      </c>
      <c r="H44" s="124" t="n">
        <f aca="false">IF(ISBLANK(Actuals!D50),"",'Original Budget'!D50-Actuals!D50)</f>
        <v>0</v>
      </c>
      <c r="I44" s="124" t="n">
        <f aca="false">IFERROR(IF(ISBLANK(Actuals!D50),"",('Original Budget'!D50-Actuals!D50)/ABS('Original Budget'!D50)),"")</f>
        <v>0</v>
      </c>
      <c r="J44" s="123" t="n">
        <f aca="false">'Original Budget'!E50</f>
        <v>-5</v>
      </c>
      <c r="K44" s="123" t="n">
        <f aca="false">IF(ISBLANK(Actuals!E50),"",Actuals!E50)</f>
        <v>-5</v>
      </c>
      <c r="L44" s="124" t="n">
        <f aca="false">IF(ISBLANK(Actuals!E50),"",'Original Budget'!E50-Actuals!E50)</f>
        <v>0</v>
      </c>
      <c r="M44" s="124" t="n">
        <f aca="false">IFERROR(IF(ISBLANK(Actuals!E50),"",('Original Budget'!E50-Actuals!E50)/ABS('Original Budget'!E50)),"")</f>
        <v>0</v>
      </c>
      <c r="N44" s="123" t="n">
        <f aca="false">'Original Budget'!F50</f>
        <v>-26.67</v>
      </c>
      <c r="O44" s="123" t="n">
        <f aca="false">IF(ISBLANK(Actuals!F50),"",Actuals!F50)</f>
        <v>0</v>
      </c>
      <c r="P44" s="124" t="n">
        <f aca="false">IF(ISBLANK(Actuals!F50),"",'Original Budget'!F50-Actuals!F50)</f>
        <v>-26.67</v>
      </c>
      <c r="Q44" s="124" t="n">
        <f aca="false">IFERROR(IF(ISBLANK(Actuals!F50),"",('Original Budget'!F50-Actuals!F50)/ABS('Original Budget'!F50)),"")</f>
        <v>-1</v>
      </c>
      <c r="R44" s="123" t="n">
        <f aca="false">'Original Budget'!G50</f>
        <v>-26.67</v>
      </c>
      <c r="S44" s="123" t="n">
        <f aca="false">IF(ISBLANK(Actuals!G50),"",Actuals!G50)</f>
        <v>0</v>
      </c>
      <c r="T44" s="124" t="n">
        <f aca="false">IF(ISBLANK(Actuals!G50),"",'Original Budget'!G50-Actuals!G50)</f>
        <v>-26.67</v>
      </c>
      <c r="U44" s="124" t="n">
        <f aca="false">IFERROR(IF(ISBLANK(Actuals!G50),"",('Original Budget'!G50-Actuals!G50)/ABS('Original Budget'!G50)),"")</f>
        <v>-1</v>
      </c>
      <c r="V44" s="123" t="n">
        <f aca="false">'Original Budget'!H50</f>
        <v>-26.67</v>
      </c>
      <c r="W44" s="123" t="n">
        <f aca="false">IF(ISBLANK(Actuals!H50),"",Actuals!H50)</f>
        <v>0</v>
      </c>
      <c r="X44" s="124" t="n">
        <f aca="false">IF(ISBLANK(Actuals!H50),"",'Original Budget'!H50-Actuals!H50)</f>
        <v>-26.67</v>
      </c>
      <c r="Y44" s="124" t="n">
        <f aca="false">IFERROR(IF(ISBLANK(Actuals!H50),"",('Original Budget'!H50-Actuals!H50)/ABS('Original Budget'!H50)),"")</f>
        <v>-1</v>
      </c>
      <c r="Z44" s="123" t="n">
        <f aca="false">'Original Budget'!I50</f>
        <v>-26.67</v>
      </c>
      <c r="AA44" s="123" t="str">
        <f aca="false">IF(ISBLANK(Actuals!I50),"",Actuals!I50)</f>
        <v/>
      </c>
      <c r="AB44" s="124" t="str">
        <f aca="false">IF(ISBLANK(Actuals!I50),"",'Original Budget'!I50-Actuals!I50)</f>
        <v/>
      </c>
      <c r="AC44" s="124" t="str">
        <f aca="false">IFERROR(IF(ISBLANK(Actuals!I50),"",('Original Budget'!I50-Actuals!I50)/ABS('Original Budget'!I50)),"")</f>
        <v/>
      </c>
      <c r="AD44" s="123" t="n">
        <f aca="false">'Original Budget'!J50</f>
        <v>-26.67</v>
      </c>
      <c r="AE44" s="123" t="str">
        <f aca="false">IF(ISBLANK(Actuals!J50),"",Actuals!J50)</f>
        <v/>
      </c>
      <c r="AF44" s="124" t="str">
        <f aca="false">IF(ISBLANK(Actuals!J50),"",'Original Budget'!J50-Actuals!J50)</f>
        <v/>
      </c>
      <c r="AG44" s="124" t="str">
        <f aca="false">IFERROR(IF(ISBLANK(Actuals!J50),"",('Original Budget'!J50-Actuals!J50)/ABS('Original Budget'!J50)),"")</f>
        <v/>
      </c>
      <c r="AH44" s="123" t="n">
        <f aca="false">'Original Budget'!K50</f>
        <v>-26.67</v>
      </c>
      <c r="AI44" s="123" t="str">
        <f aca="false">IF(ISBLANK(Actuals!K50),"",Actuals!K50)</f>
        <v/>
      </c>
      <c r="AJ44" s="124" t="str">
        <f aca="false">IF(ISBLANK(Actuals!K50),"",'Original Budget'!K50-Actuals!K50)</f>
        <v/>
      </c>
      <c r="AK44" s="124" t="str">
        <f aca="false">IFERROR(IF(ISBLANK(Actuals!K50),"",('Original Budget'!K50-Actuals!K50)/ABS('Original Budget'!K50)),"")</f>
        <v/>
      </c>
      <c r="AL44" s="123" t="n">
        <f aca="false">'Original Budget'!L50</f>
        <v>-26.67</v>
      </c>
      <c r="AM44" s="123" t="str">
        <f aca="false">IF(ISBLANK(Actuals!L50),"",Actuals!L50)</f>
        <v/>
      </c>
      <c r="AN44" s="124" t="str">
        <f aca="false">IF(ISBLANK(Actuals!L50),"",'Original Budget'!L50-Actuals!L50)</f>
        <v/>
      </c>
      <c r="AO44" s="124" t="str">
        <f aca="false">IFERROR(IF(ISBLANK(Actuals!L50),"",('Original Budget'!L50-Actuals!L50)/ABS('Original Budget'!L50)),"")</f>
        <v/>
      </c>
      <c r="AP44" s="123" t="n">
        <f aca="false">'Original Budget'!M50</f>
        <v>-26.67</v>
      </c>
      <c r="AQ44" s="123" t="str">
        <f aca="false">IF(ISBLANK(Actuals!M50),"",Actuals!M50)</f>
        <v/>
      </c>
      <c r="AR44" s="124" t="str">
        <f aca="false">IF(ISBLANK(Actuals!M50),"",'Original Budget'!M50-Actuals!M50)</f>
        <v/>
      </c>
      <c r="AS44" s="124" t="str">
        <f aca="false">IFERROR(IF(ISBLANK(Actuals!M50),"",('Original Budget'!M50-Actuals!M50)/ABS('Original Budget'!M50)),"")</f>
        <v/>
      </c>
      <c r="AT44" s="123" t="n">
        <f aca="false">'Original Budget'!N50</f>
        <v>-26.67</v>
      </c>
      <c r="AU44" s="123" t="str">
        <f aca="false">IF(ISBLANK(Actuals!N50),"",Actuals!N50)</f>
        <v/>
      </c>
      <c r="AV44" s="124" t="str">
        <f aca="false">IF(ISBLANK(Actuals!N50),"",'Original Budget'!N50-Actuals!N50)</f>
        <v/>
      </c>
      <c r="AW44" s="124" t="str">
        <f aca="false">IFERROR(IF(ISBLANK(Actuals!N50),"",('Original Budget'!N50-Actuals!N50)/ABS('Original Budget'!N50)),"")</f>
        <v/>
      </c>
      <c r="AX44" s="125" t="n">
        <f aca="false">SUMPRODUCT((Actuals!C50:N50&lt;&gt;"")*('Original Budget'!C50:N50))</f>
        <v>-160.01</v>
      </c>
      <c r="AY44" s="125" t="n">
        <f aca="false">SUM(Actuals!C50:N50)</f>
        <v>-80</v>
      </c>
      <c r="AZ44" s="126" t="n">
        <f aca="false">AX44-AY44</f>
        <v>-80.01</v>
      </c>
    </row>
    <row r="45" customFormat="false" ht="15" hidden="false" customHeight="true" outlineLevel="0" collapsed="false">
      <c r="A45" s="122" t="s">
        <v>90</v>
      </c>
      <c r="B45" s="123" t="n">
        <f aca="false">'Original Budget'!C51</f>
        <v>0</v>
      </c>
      <c r="C45" s="123" t="n">
        <f aca="false">IF(ISBLANK(Actuals!C51),"",Actuals!C51)</f>
        <v>0</v>
      </c>
      <c r="D45" s="124" t="n">
        <f aca="false">IF(ISBLANK(Actuals!C51),"",'Original Budget'!C51-Actuals!C51)</f>
        <v>0</v>
      </c>
      <c r="E45" s="124" t="str">
        <f aca="false">IFERROR(IF(ISBLANK(Actuals!C51),"",('Original Budget'!C51-Actuals!C51)/ABS('Original Budget'!C51)),"")</f>
        <v/>
      </c>
      <c r="F45" s="123" t="n">
        <f aca="false">'Original Budget'!D51</f>
        <v>-63</v>
      </c>
      <c r="G45" s="123" t="n">
        <f aca="false">IF(ISBLANK(Actuals!D51),"",Actuals!D51)</f>
        <v>-63</v>
      </c>
      <c r="H45" s="124" t="n">
        <f aca="false">IF(ISBLANK(Actuals!D51),"",'Original Budget'!D51-Actuals!D51)</f>
        <v>0</v>
      </c>
      <c r="I45" s="124" t="n">
        <f aca="false">IFERROR(IF(ISBLANK(Actuals!D51),"",('Original Budget'!D51-Actuals!D51)/ABS('Original Budget'!D51)),"")</f>
        <v>0</v>
      </c>
      <c r="J45" s="123" t="n">
        <f aca="false">'Original Budget'!E51</f>
        <v>0</v>
      </c>
      <c r="K45" s="123" t="n">
        <f aca="false">IF(ISBLANK(Actuals!E51),"",Actuals!E51)</f>
        <v>0</v>
      </c>
      <c r="L45" s="124" t="n">
        <f aca="false">IF(ISBLANK(Actuals!E51),"",'Original Budget'!E51-Actuals!E51)</f>
        <v>0</v>
      </c>
      <c r="M45" s="124" t="str">
        <f aca="false">IFERROR(IF(ISBLANK(Actuals!E51),"",('Original Budget'!E51-Actuals!E51)/ABS('Original Budget'!E51)),"")</f>
        <v/>
      </c>
      <c r="N45" s="123" t="n">
        <f aca="false">'Original Budget'!F51</f>
        <v>-21</v>
      </c>
      <c r="O45" s="123" t="n">
        <f aca="false">IF(ISBLANK(Actuals!F51),"",Actuals!F51)</f>
        <v>0</v>
      </c>
      <c r="P45" s="124" t="n">
        <f aca="false">IF(ISBLANK(Actuals!F51),"",'Original Budget'!F51-Actuals!F51)</f>
        <v>-21</v>
      </c>
      <c r="Q45" s="124" t="n">
        <f aca="false">IFERROR(IF(ISBLANK(Actuals!F51),"",('Original Budget'!F51-Actuals!F51)/ABS('Original Budget'!F51)),"")</f>
        <v>-1</v>
      </c>
      <c r="R45" s="123" t="n">
        <f aca="false">'Original Budget'!G51</f>
        <v>-21</v>
      </c>
      <c r="S45" s="123" t="n">
        <f aca="false">IF(ISBLANK(Actuals!G51),"",Actuals!G51)</f>
        <v>0</v>
      </c>
      <c r="T45" s="124" t="n">
        <f aca="false">IF(ISBLANK(Actuals!G51),"",'Original Budget'!G51-Actuals!G51)</f>
        <v>-21</v>
      </c>
      <c r="U45" s="124" t="n">
        <f aca="false">IFERROR(IF(ISBLANK(Actuals!G51),"",('Original Budget'!G51-Actuals!G51)/ABS('Original Budget'!G51)),"")</f>
        <v>-1</v>
      </c>
      <c r="V45" s="123" t="n">
        <f aca="false">'Original Budget'!H51</f>
        <v>-21</v>
      </c>
      <c r="W45" s="123" t="n">
        <f aca="false">IF(ISBLANK(Actuals!H51),"",Actuals!H51)</f>
        <v>0</v>
      </c>
      <c r="X45" s="124" t="n">
        <f aca="false">IF(ISBLANK(Actuals!H51),"",'Original Budget'!H51-Actuals!H51)</f>
        <v>-21</v>
      </c>
      <c r="Y45" s="124" t="n">
        <f aca="false">IFERROR(IF(ISBLANK(Actuals!H51),"",('Original Budget'!H51-Actuals!H51)/ABS('Original Budget'!H51)),"")</f>
        <v>-1</v>
      </c>
      <c r="Z45" s="123" t="n">
        <f aca="false">'Original Budget'!I51</f>
        <v>-21</v>
      </c>
      <c r="AA45" s="123" t="str">
        <f aca="false">IF(ISBLANK(Actuals!I51),"",Actuals!I51)</f>
        <v/>
      </c>
      <c r="AB45" s="124" t="str">
        <f aca="false">IF(ISBLANK(Actuals!I51),"",'Original Budget'!I51-Actuals!I51)</f>
        <v/>
      </c>
      <c r="AC45" s="124" t="str">
        <f aca="false">IFERROR(IF(ISBLANK(Actuals!I51),"",('Original Budget'!I51-Actuals!I51)/ABS('Original Budget'!I51)),"")</f>
        <v/>
      </c>
      <c r="AD45" s="123" t="n">
        <f aca="false">'Original Budget'!J51</f>
        <v>-21</v>
      </c>
      <c r="AE45" s="123" t="str">
        <f aca="false">IF(ISBLANK(Actuals!J51),"",Actuals!J51)</f>
        <v/>
      </c>
      <c r="AF45" s="124" t="str">
        <f aca="false">IF(ISBLANK(Actuals!J51),"",'Original Budget'!J51-Actuals!J51)</f>
        <v/>
      </c>
      <c r="AG45" s="124" t="str">
        <f aca="false">IFERROR(IF(ISBLANK(Actuals!J51),"",('Original Budget'!J51-Actuals!J51)/ABS('Original Budget'!J51)),"")</f>
        <v/>
      </c>
      <c r="AH45" s="123" t="n">
        <f aca="false">'Original Budget'!K51</f>
        <v>-21</v>
      </c>
      <c r="AI45" s="123" t="str">
        <f aca="false">IF(ISBLANK(Actuals!K51),"",Actuals!K51)</f>
        <v/>
      </c>
      <c r="AJ45" s="124" t="str">
        <f aca="false">IF(ISBLANK(Actuals!K51),"",'Original Budget'!K51-Actuals!K51)</f>
        <v/>
      </c>
      <c r="AK45" s="124" t="str">
        <f aca="false">IFERROR(IF(ISBLANK(Actuals!K51),"",('Original Budget'!K51-Actuals!K51)/ABS('Original Budget'!K51)),"")</f>
        <v/>
      </c>
      <c r="AL45" s="123" t="n">
        <f aca="false">'Original Budget'!L51</f>
        <v>-21</v>
      </c>
      <c r="AM45" s="123" t="str">
        <f aca="false">IF(ISBLANK(Actuals!L51),"",Actuals!L51)</f>
        <v/>
      </c>
      <c r="AN45" s="124" t="str">
        <f aca="false">IF(ISBLANK(Actuals!L51),"",'Original Budget'!L51-Actuals!L51)</f>
        <v/>
      </c>
      <c r="AO45" s="124" t="str">
        <f aca="false">IFERROR(IF(ISBLANK(Actuals!L51),"",('Original Budget'!L51-Actuals!L51)/ABS('Original Budget'!L51)),"")</f>
        <v/>
      </c>
      <c r="AP45" s="123" t="n">
        <f aca="false">'Original Budget'!M51</f>
        <v>-21</v>
      </c>
      <c r="AQ45" s="123" t="str">
        <f aca="false">IF(ISBLANK(Actuals!M51),"",Actuals!M51)</f>
        <v/>
      </c>
      <c r="AR45" s="124" t="str">
        <f aca="false">IF(ISBLANK(Actuals!M51),"",'Original Budget'!M51-Actuals!M51)</f>
        <v/>
      </c>
      <c r="AS45" s="124" t="str">
        <f aca="false">IFERROR(IF(ISBLANK(Actuals!M51),"",('Original Budget'!M51-Actuals!M51)/ABS('Original Budget'!M51)),"")</f>
        <v/>
      </c>
      <c r="AT45" s="123" t="n">
        <f aca="false">'Original Budget'!N51</f>
        <v>-21</v>
      </c>
      <c r="AU45" s="123" t="str">
        <f aca="false">IF(ISBLANK(Actuals!N51),"",Actuals!N51)</f>
        <v/>
      </c>
      <c r="AV45" s="124" t="str">
        <f aca="false">IF(ISBLANK(Actuals!N51),"",'Original Budget'!N51-Actuals!N51)</f>
        <v/>
      </c>
      <c r="AW45" s="124" t="str">
        <f aca="false">IFERROR(IF(ISBLANK(Actuals!N51),"",('Original Budget'!N51-Actuals!N51)/ABS('Original Budget'!N51)),"")</f>
        <v/>
      </c>
      <c r="AX45" s="125" t="n">
        <f aca="false">SUMPRODUCT((Actuals!C51:N51&lt;&gt;"")*('Original Budget'!C51:N51))</f>
        <v>-126</v>
      </c>
      <c r="AY45" s="125" t="n">
        <f aca="false">SUM(Actuals!C51:N51)</f>
        <v>-63</v>
      </c>
      <c r="AZ45" s="126" t="n">
        <f aca="false">AX45-AY45</f>
        <v>-63</v>
      </c>
    </row>
    <row r="46" customFormat="false" ht="15" hidden="false" customHeight="true" outlineLevel="0" collapsed="false">
      <c r="A46" s="122" t="s">
        <v>299</v>
      </c>
      <c r="B46" s="123" t="n">
        <f aca="false">'Original Budget'!C52</f>
        <v>0</v>
      </c>
      <c r="C46" s="123" t="str">
        <f aca="false">IF(ISBLANK(Actuals!C52),"",Actuals!C52)</f>
        <v/>
      </c>
      <c r="D46" s="124" t="str">
        <f aca="false">IF(ISBLANK(Actuals!C52),"",'Original Budget'!C52-Actuals!C52)</f>
        <v/>
      </c>
      <c r="E46" s="124" t="str">
        <f aca="false">IFERROR(IF(ISBLANK(Actuals!C52),"",('Original Budget'!C52-Actuals!C52)/ABS('Original Budget'!C52)),"")</f>
        <v/>
      </c>
      <c r="F46" s="123" t="n">
        <f aca="false">'Original Budget'!D52</f>
        <v>0</v>
      </c>
      <c r="G46" s="123" t="str">
        <f aca="false">IF(ISBLANK(Actuals!D52),"",Actuals!D52)</f>
        <v/>
      </c>
      <c r="H46" s="124" t="str">
        <f aca="false">IF(ISBLANK(Actuals!D52),"",'Original Budget'!D52-Actuals!D52)</f>
        <v/>
      </c>
      <c r="I46" s="124" t="str">
        <f aca="false">IFERROR(IF(ISBLANK(Actuals!D52),"",('Original Budget'!D52-Actuals!D52)/ABS('Original Budget'!D52)),"")</f>
        <v/>
      </c>
      <c r="J46" s="123" t="n">
        <f aca="false">'Original Budget'!E52</f>
        <v>0</v>
      </c>
      <c r="K46" s="123" t="str">
        <f aca="false">IF(ISBLANK(Actuals!E52),"",Actuals!E52)</f>
        <v/>
      </c>
      <c r="L46" s="124" t="str">
        <f aca="false">IF(ISBLANK(Actuals!E52),"",'Original Budget'!E52-Actuals!E52)</f>
        <v/>
      </c>
      <c r="M46" s="124" t="str">
        <f aca="false">IFERROR(IF(ISBLANK(Actuals!E52),"",('Original Budget'!E52-Actuals!E52)/ABS('Original Budget'!E52)),"")</f>
        <v/>
      </c>
      <c r="N46" s="123" t="n">
        <f aca="false">'Original Budget'!F52</f>
        <v>0</v>
      </c>
      <c r="O46" s="123" t="str">
        <f aca="false">IF(ISBLANK(Actuals!F52),"",Actuals!F52)</f>
        <v/>
      </c>
      <c r="P46" s="124" t="str">
        <f aca="false">IF(ISBLANK(Actuals!F52),"",'Original Budget'!F52-Actuals!F52)</f>
        <v/>
      </c>
      <c r="Q46" s="124" t="str">
        <f aca="false">IFERROR(IF(ISBLANK(Actuals!F52),"",('Original Budget'!F52-Actuals!F52)/ABS('Original Budget'!F52)),"")</f>
        <v/>
      </c>
      <c r="R46" s="123" t="n">
        <f aca="false">'Original Budget'!G52</f>
        <v>0</v>
      </c>
      <c r="S46" s="123" t="str">
        <f aca="false">IF(ISBLANK(Actuals!G52),"",Actuals!G52)</f>
        <v/>
      </c>
      <c r="T46" s="124" t="str">
        <f aca="false">IF(ISBLANK(Actuals!G52),"",'Original Budget'!G52-Actuals!G52)</f>
        <v/>
      </c>
      <c r="U46" s="124" t="str">
        <f aca="false">IFERROR(IF(ISBLANK(Actuals!G52),"",('Original Budget'!G52-Actuals!G52)/ABS('Original Budget'!G52)),"")</f>
        <v/>
      </c>
      <c r="V46" s="123" t="n">
        <f aca="false">'Original Budget'!H52</f>
        <v>0</v>
      </c>
      <c r="W46" s="123" t="str">
        <f aca="false">IF(ISBLANK(Actuals!H52),"",Actuals!H52)</f>
        <v/>
      </c>
      <c r="X46" s="124" t="str">
        <f aca="false">IF(ISBLANK(Actuals!H52),"",'Original Budget'!H52-Actuals!H52)</f>
        <v/>
      </c>
      <c r="Y46" s="124" t="str">
        <f aca="false">IFERROR(IF(ISBLANK(Actuals!H52),"",('Original Budget'!H52-Actuals!H52)/ABS('Original Budget'!H52)),"")</f>
        <v/>
      </c>
      <c r="Z46" s="123" t="n">
        <f aca="false">'Original Budget'!I52</f>
        <v>0</v>
      </c>
      <c r="AA46" s="123" t="str">
        <f aca="false">IF(ISBLANK(Actuals!I52),"",Actuals!I52)</f>
        <v/>
      </c>
      <c r="AB46" s="124" t="str">
        <f aca="false">IF(ISBLANK(Actuals!I52),"",'Original Budget'!I52-Actuals!I52)</f>
        <v/>
      </c>
      <c r="AC46" s="124" t="str">
        <f aca="false">IFERROR(IF(ISBLANK(Actuals!I52),"",('Original Budget'!I52-Actuals!I52)/ABS('Original Budget'!I52)),"")</f>
        <v/>
      </c>
      <c r="AD46" s="123" t="n">
        <f aca="false">'Original Budget'!J52</f>
        <v>0</v>
      </c>
      <c r="AE46" s="123" t="str">
        <f aca="false">IF(ISBLANK(Actuals!J52),"",Actuals!J52)</f>
        <v/>
      </c>
      <c r="AF46" s="124" t="str">
        <f aca="false">IF(ISBLANK(Actuals!J52),"",'Original Budget'!J52-Actuals!J52)</f>
        <v/>
      </c>
      <c r="AG46" s="124" t="str">
        <f aca="false">IFERROR(IF(ISBLANK(Actuals!J52),"",('Original Budget'!J52-Actuals!J52)/ABS('Original Budget'!J52)),"")</f>
        <v/>
      </c>
      <c r="AH46" s="123" t="n">
        <f aca="false">'Original Budget'!K52</f>
        <v>0</v>
      </c>
      <c r="AI46" s="123" t="str">
        <f aca="false">IF(ISBLANK(Actuals!K52),"",Actuals!K52)</f>
        <v/>
      </c>
      <c r="AJ46" s="124" t="str">
        <f aca="false">IF(ISBLANK(Actuals!K52),"",'Original Budget'!K52-Actuals!K52)</f>
        <v/>
      </c>
      <c r="AK46" s="124" t="str">
        <f aca="false">IFERROR(IF(ISBLANK(Actuals!K52),"",('Original Budget'!K52-Actuals!K52)/ABS('Original Budget'!K52)),"")</f>
        <v/>
      </c>
      <c r="AL46" s="123" t="n">
        <f aca="false">'Original Budget'!L52</f>
        <v>0</v>
      </c>
      <c r="AM46" s="123" t="str">
        <f aca="false">IF(ISBLANK(Actuals!L52),"",Actuals!L52)</f>
        <v/>
      </c>
      <c r="AN46" s="124" t="str">
        <f aca="false">IF(ISBLANK(Actuals!L52),"",'Original Budget'!L52-Actuals!L52)</f>
        <v/>
      </c>
      <c r="AO46" s="124" t="str">
        <f aca="false">IFERROR(IF(ISBLANK(Actuals!L52),"",('Original Budget'!L52-Actuals!L52)/ABS('Original Budget'!L52)),"")</f>
        <v/>
      </c>
      <c r="AP46" s="123" t="n">
        <f aca="false">'Original Budget'!M52</f>
        <v>0</v>
      </c>
      <c r="AQ46" s="123" t="str">
        <f aca="false">IF(ISBLANK(Actuals!M52),"",Actuals!M52)</f>
        <v/>
      </c>
      <c r="AR46" s="124" t="str">
        <f aca="false">IF(ISBLANK(Actuals!M52),"",'Original Budget'!M52-Actuals!M52)</f>
        <v/>
      </c>
      <c r="AS46" s="124" t="str">
        <f aca="false">IFERROR(IF(ISBLANK(Actuals!M52),"",('Original Budget'!M52-Actuals!M52)/ABS('Original Budget'!M52)),"")</f>
        <v/>
      </c>
      <c r="AT46" s="123" t="n">
        <f aca="false">'Original Budget'!N52</f>
        <v>0</v>
      </c>
      <c r="AU46" s="123" t="str">
        <f aca="false">IF(ISBLANK(Actuals!N52),"",Actuals!N52)</f>
        <v/>
      </c>
      <c r="AV46" s="124" t="str">
        <f aca="false">IF(ISBLANK(Actuals!N52),"",'Original Budget'!N52-Actuals!N52)</f>
        <v/>
      </c>
      <c r="AW46" s="124" t="str">
        <f aca="false">IFERROR(IF(ISBLANK(Actuals!N52),"",('Original Budget'!N52-Actuals!N52)/ABS('Original Budget'!N52)),"")</f>
        <v/>
      </c>
      <c r="AX46" s="125" t="n">
        <f aca="false">SUMPRODUCT((Actuals!C52:N52&lt;&gt;"")*('Original Budget'!C52:N52))</f>
        <v>0</v>
      </c>
      <c r="AY46" s="125" t="n">
        <f aca="false">SUM(Actuals!C52:N52)</f>
        <v>0</v>
      </c>
      <c r="AZ46" s="126" t="n">
        <f aca="false">AX46-AY46</f>
        <v>0</v>
      </c>
    </row>
    <row r="47" customFormat="false" ht="15" hidden="false" customHeight="true" outlineLevel="0" collapsed="false">
      <c r="A47" s="122" t="s">
        <v>92</v>
      </c>
      <c r="B47" s="123" t="n">
        <f aca="false">'Original Budget'!C53</f>
        <v>0</v>
      </c>
      <c r="C47" s="123" t="n">
        <f aca="false">IF(ISBLANK(Actuals!C53),"",Actuals!C53)</f>
        <v>0</v>
      </c>
      <c r="D47" s="124" t="n">
        <f aca="false">IF(ISBLANK(Actuals!C53),"",'Original Budget'!C53-Actuals!C53)</f>
        <v>0</v>
      </c>
      <c r="E47" s="124" t="str">
        <f aca="false">IFERROR(IF(ISBLANK(Actuals!C53),"",('Original Budget'!C53-Actuals!C53)/ABS('Original Budget'!C53)),"")</f>
        <v/>
      </c>
      <c r="F47" s="123" t="n">
        <f aca="false">'Original Budget'!D53</f>
        <v>0</v>
      </c>
      <c r="G47" s="123" t="n">
        <f aca="false">IF(ISBLANK(Actuals!D53),"",Actuals!D53)</f>
        <v>0</v>
      </c>
      <c r="H47" s="124" t="n">
        <f aca="false">IF(ISBLANK(Actuals!D53),"",'Original Budget'!D53-Actuals!D53)</f>
        <v>0</v>
      </c>
      <c r="I47" s="124" t="str">
        <f aca="false">IFERROR(IF(ISBLANK(Actuals!D53),"",('Original Budget'!D53-Actuals!D53)/ABS('Original Budget'!D53)),"")</f>
        <v/>
      </c>
      <c r="J47" s="123" t="n">
        <f aca="false">'Original Budget'!E53</f>
        <v>-11105.35</v>
      </c>
      <c r="K47" s="123" t="n">
        <f aca="false">IF(ISBLANK(Actuals!E53),"",Actuals!E53)</f>
        <v>-11105.35</v>
      </c>
      <c r="L47" s="124" t="n">
        <f aca="false">IF(ISBLANK(Actuals!E53),"",'Original Budget'!E53-Actuals!E53)</f>
        <v>0</v>
      </c>
      <c r="M47" s="124" t="n">
        <f aca="false">IFERROR(IF(ISBLANK(Actuals!E53),"",('Original Budget'!E53-Actuals!E53)/ABS('Original Budget'!E53)),"")</f>
        <v>0</v>
      </c>
      <c r="N47" s="123" t="n">
        <f aca="false">'Original Budget'!F53</f>
        <v>-3701.78</v>
      </c>
      <c r="O47" s="123" t="n">
        <f aca="false">IF(ISBLANK(Actuals!F53),"",Actuals!F53)</f>
        <v>0</v>
      </c>
      <c r="P47" s="124" t="n">
        <f aca="false">IF(ISBLANK(Actuals!F53),"",'Original Budget'!F53-Actuals!F53)</f>
        <v>-3701.78</v>
      </c>
      <c r="Q47" s="124" t="n">
        <f aca="false">IFERROR(IF(ISBLANK(Actuals!F53),"",('Original Budget'!F53-Actuals!F53)/ABS('Original Budget'!F53)),"")</f>
        <v>-1</v>
      </c>
      <c r="R47" s="123" t="n">
        <f aca="false">'Original Budget'!G53</f>
        <v>-3701.78</v>
      </c>
      <c r="S47" s="123" t="n">
        <f aca="false">IF(ISBLANK(Actuals!G53),"",Actuals!G53)</f>
        <v>0</v>
      </c>
      <c r="T47" s="124" t="n">
        <f aca="false">IF(ISBLANK(Actuals!G53),"",'Original Budget'!G53-Actuals!G53)</f>
        <v>-3701.78</v>
      </c>
      <c r="U47" s="124" t="n">
        <f aca="false">IFERROR(IF(ISBLANK(Actuals!G53),"",('Original Budget'!G53-Actuals!G53)/ABS('Original Budget'!G53)),"")</f>
        <v>-1</v>
      </c>
      <c r="V47" s="123" t="n">
        <f aca="false">'Original Budget'!H53</f>
        <v>-3701.78</v>
      </c>
      <c r="W47" s="123" t="n">
        <f aca="false">IF(ISBLANK(Actuals!H53),"",Actuals!H53)</f>
        <v>0</v>
      </c>
      <c r="X47" s="124" t="n">
        <f aca="false">IF(ISBLANK(Actuals!H53),"",'Original Budget'!H53-Actuals!H53)</f>
        <v>-3701.78</v>
      </c>
      <c r="Y47" s="124" t="n">
        <f aca="false">IFERROR(IF(ISBLANK(Actuals!H53),"",('Original Budget'!H53-Actuals!H53)/ABS('Original Budget'!H53)),"")</f>
        <v>-1</v>
      </c>
      <c r="Z47" s="123" t="n">
        <f aca="false">'Original Budget'!I53</f>
        <v>-3701.78</v>
      </c>
      <c r="AA47" s="123" t="str">
        <f aca="false">IF(ISBLANK(Actuals!I53),"",Actuals!I53)</f>
        <v/>
      </c>
      <c r="AB47" s="124" t="str">
        <f aca="false">IF(ISBLANK(Actuals!I53),"",'Original Budget'!I53-Actuals!I53)</f>
        <v/>
      </c>
      <c r="AC47" s="124" t="str">
        <f aca="false">IFERROR(IF(ISBLANK(Actuals!I53),"",('Original Budget'!I53-Actuals!I53)/ABS('Original Budget'!I53)),"")</f>
        <v/>
      </c>
      <c r="AD47" s="123" t="n">
        <f aca="false">'Original Budget'!J53</f>
        <v>-3701.78</v>
      </c>
      <c r="AE47" s="123" t="str">
        <f aca="false">IF(ISBLANK(Actuals!J53),"",Actuals!J53)</f>
        <v/>
      </c>
      <c r="AF47" s="124" t="str">
        <f aca="false">IF(ISBLANK(Actuals!J53),"",'Original Budget'!J53-Actuals!J53)</f>
        <v/>
      </c>
      <c r="AG47" s="124" t="str">
        <f aca="false">IFERROR(IF(ISBLANK(Actuals!J53),"",('Original Budget'!J53-Actuals!J53)/ABS('Original Budget'!J53)),"")</f>
        <v/>
      </c>
      <c r="AH47" s="123" t="n">
        <f aca="false">'Original Budget'!K53</f>
        <v>-3701.78</v>
      </c>
      <c r="AI47" s="123" t="str">
        <f aca="false">IF(ISBLANK(Actuals!K53),"",Actuals!K53)</f>
        <v/>
      </c>
      <c r="AJ47" s="124" t="str">
        <f aca="false">IF(ISBLANK(Actuals!K53),"",'Original Budget'!K53-Actuals!K53)</f>
        <v/>
      </c>
      <c r="AK47" s="124" t="str">
        <f aca="false">IFERROR(IF(ISBLANK(Actuals!K53),"",('Original Budget'!K53-Actuals!K53)/ABS('Original Budget'!K53)),"")</f>
        <v/>
      </c>
      <c r="AL47" s="123" t="n">
        <f aca="false">'Original Budget'!L53</f>
        <v>-3701.78</v>
      </c>
      <c r="AM47" s="123" t="str">
        <f aca="false">IF(ISBLANK(Actuals!L53),"",Actuals!L53)</f>
        <v/>
      </c>
      <c r="AN47" s="124" t="str">
        <f aca="false">IF(ISBLANK(Actuals!L53),"",'Original Budget'!L53-Actuals!L53)</f>
        <v/>
      </c>
      <c r="AO47" s="124" t="str">
        <f aca="false">IFERROR(IF(ISBLANK(Actuals!L53),"",('Original Budget'!L53-Actuals!L53)/ABS('Original Budget'!L53)),"")</f>
        <v/>
      </c>
      <c r="AP47" s="123" t="n">
        <f aca="false">'Original Budget'!M53</f>
        <v>-3701.78</v>
      </c>
      <c r="AQ47" s="123" t="str">
        <f aca="false">IF(ISBLANK(Actuals!M53),"",Actuals!M53)</f>
        <v/>
      </c>
      <c r="AR47" s="124" t="str">
        <f aca="false">IF(ISBLANK(Actuals!M53),"",'Original Budget'!M53-Actuals!M53)</f>
        <v/>
      </c>
      <c r="AS47" s="124" t="str">
        <f aca="false">IFERROR(IF(ISBLANK(Actuals!M53),"",('Original Budget'!M53-Actuals!M53)/ABS('Original Budget'!M53)),"")</f>
        <v/>
      </c>
      <c r="AT47" s="123" t="n">
        <f aca="false">'Original Budget'!N53</f>
        <v>-3701.78</v>
      </c>
      <c r="AU47" s="123" t="str">
        <f aca="false">IF(ISBLANK(Actuals!N53),"",Actuals!N53)</f>
        <v/>
      </c>
      <c r="AV47" s="124" t="str">
        <f aca="false">IF(ISBLANK(Actuals!N53),"",'Original Budget'!N53-Actuals!N53)</f>
        <v/>
      </c>
      <c r="AW47" s="124" t="str">
        <f aca="false">IFERROR(IF(ISBLANK(Actuals!N53),"",('Original Budget'!N53-Actuals!N53)/ABS('Original Budget'!N53)),"")</f>
        <v/>
      </c>
      <c r="AX47" s="125" t="n">
        <f aca="false">SUMPRODUCT((Actuals!C53:N53&lt;&gt;"")*('Original Budget'!C53:N53))</f>
        <v>-22210.69</v>
      </c>
      <c r="AY47" s="125" t="n">
        <f aca="false">SUM(Actuals!C53:N53)</f>
        <v>-11105.35</v>
      </c>
      <c r="AZ47" s="126" t="n">
        <f aca="false">AX47-AY47</f>
        <v>-11105.34</v>
      </c>
    </row>
    <row r="48" customFormat="false" ht="15" hidden="false" customHeight="true" outlineLevel="0" collapsed="false">
      <c r="A48" s="122" t="s">
        <v>300</v>
      </c>
      <c r="B48" s="123" t="n">
        <f aca="false">'Original Budget'!C54</f>
        <v>0</v>
      </c>
      <c r="C48" s="123" t="str">
        <f aca="false">IF(ISBLANK(Actuals!C54),"",Actuals!C54)</f>
        <v/>
      </c>
      <c r="D48" s="124" t="str">
        <f aca="false">IF(ISBLANK(Actuals!C54),"",'Original Budget'!C54-Actuals!C54)</f>
        <v/>
      </c>
      <c r="E48" s="124" t="str">
        <f aca="false">IFERROR(IF(ISBLANK(Actuals!C54),"",('Original Budget'!C54-Actuals!C54)/ABS('Original Budget'!C54)),"")</f>
        <v/>
      </c>
      <c r="F48" s="123" t="n">
        <f aca="false">'Original Budget'!D54</f>
        <v>0</v>
      </c>
      <c r="G48" s="123" t="str">
        <f aca="false">IF(ISBLANK(Actuals!D54),"",Actuals!D54)</f>
        <v/>
      </c>
      <c r="H48" s="124" t="str">
        <f aca="false">IF(ISBLANK(Actuals!D54),"",'Original Budget'!D54-Actuals!D54)</f>
        <v/>
      </c>
      <c r="I48" s="124" t="str">
        <f aca="false">IFERROR(IF(ISBLANK(Actuals!D54),"",('Original Budget'!D54-Actuals!D54)/ABS('Original Budget'!D54)),"")</f>
        <v/>
      </c>
      <c r="J48" s="123" t="n">
        <f aca="false">'Original Budget'!E54</f>
        <v>0</v>
      </c>
      <c r="K48" s="123" t="str">
        <f aca="false">IF(ISBLANK(Actuals!E54),"",Actuals!E54)</f>
        <v/>
      </c>
      <c r="L48" s="124" t="str">
        <f aca="false">IF(ISBLANK(Actuals!E54),"",'Original Budget'!E54-Actuals!E54)</f>
        <v/>
      </c>
      <c r="M48" s="124" t="str">
        <f aca="false">IFERROR(IF(ISBLANK(Actuals!E54),"",('Original Budget'!E54-Actuals!E54)/ABS('Original Budget'!E54)),"")</f>
        <v/>
      </c>
      <c r="N48" s="123" t="n">
        <f aca="false">'Original Budget'!F54</f>
        <v>0</v>
      </c>
      <c r="O48" s="123" t="str">
        <f aca="false">IF(ISBLANK(Actuals!F54),"",Actuals!F54)</f>
        <v/>
      </c>
      <c r="P48" s="124" t="str">
        <f aca="false">IF(ISBLANK(Actuals!F54),"",'Original Budget'!F54-Actuals!F54)</f>
        <v/>
      </c>
      <c r="Q48" s="124" t="str">
        <f aca="false">IFERROR(IF(ISBLANK(Actuals!F54),"",('Original Budget'!F54-Actuals!F54)/ABS('Original Budget'!F54)),"")</f>
        <v/>
      </c>
      <c r="R48" s="123" t="n">
        <f aca="false">'Original Budget'!G54</f>
        <v>0</v>
      </c>
      <c r="S48" s="123" t="str">
        <f aca="false">IF(ISBLANK(Actuals!G54),"",Actuals!G54)</f>
        <v/>
      </c>
      <c r="T48" s="124" t="str">
        <f aca="false">IF(ISBLANK(Actuals!G54),"",'Original Budget'!G54-Actuals!G54)</f>
        <v/>
      </c>
      <c r="U48" s="124" t="str">
        <f aca="false">IFERROR(IF(ISBLANK(Actuals!G54),"",('Original Budget'!G54-Actuals!G54)/ABS('Original Budget'!G54)),"")</f>
        <v/>
      </c>
      <c r="V48" s="123" t="n">
        <f aca="false">'Original Budget'!H54</f>
        <v>0</v>
      </c>
      <c r="W48" s="123" t="n">
        <f aca="false">IF(ISBLANK(Actuals!H54),"",Actuals!H54)</f>
        <v>-612.68</v>
      </c>
      <c r="X48" s="124" t="n">
        <f aca="false">IF(ISBLANK(Actuals!H54),"",'Original Budget'!H54-Actuals!H54)</f>
        <v>612.68</v>
      </c>
      <c r="Y48" s="124" t="str">
        <f aca="false">IFERROR(IF(ISBLANK(Actuals!H54),"",('Original Budget'!H54-Actuals!H54)/ABS('Original Budget'!H54)),"")</f>
        <v/>
      </c>
      <c r="Z48" s="123" t="n">
        <f aca="false">'Original Budget'!I54</f>
        <v>0</v>
      </c>
      <c r="AA48" s="123" t="str">
        <f aca="false">IF(ISBLANK(Actuals!I54),"",Actuals!I54)</f>
        <v/>
      </c>
      <c r="AB48" s="124" t="str">
        <f aca="false">IF(ISBLANK(Actuals!I54),"",'Original Budget'!I54-Actuals!I54)</f>
        <v/>
      </c>
      <c r="AC48" s="124" t="str">
        <f aca="false">IFERROR(IF(ISBLANK(Actuals!I54),"",('Original Budget'!I54-Actuals!I54)/ABS('Original Budget'!I54)),"")</f>
        <v/>
      </c>
      <c r="AD48" s="123" t="n">
        <f aca="false">'Original Budget'!J54</f>
        <v>0</v>
      </c>
      <c r="AE48" s="123" t="str">
        <f aca="false">IF(ISBLANK(Actuals!J54),"",Actuals!J54)</f>
        <v/>
      </c>
      <c r="AF48" s="124" t="str">
        <f aca="false">IF(ISBLANK(Actuals!J54),"",'Original Budget'!J54-Actuals!J54)</f>
        <v/>
      </c>
      <c r="AG48" s="124" t="str">
        <f aca="false">IFERROR(IF(ISBLANK(Actuals!J54),"",('Original Budget'!J54-Actuals!J54)/ABS('Original Budget'!J54)),"")</f>
        <v/>
      </c>
      <c r="AH48" s="123" t="n">
        <f aca="false">'Original Budget'!K54</f>
        <v>0</v>
      </c>
      <c r="AI48" s="123" t="str">
        <f aca="false">IF(ISBLANK(Actuals!K54),"",Actuals!K54)</f>
        <v/>
      </c>
      <c r="AJ48" s="124" t="str">
        <f aca="false">IF(ISBLANK(Actuals!K54),"",'Original Budget'!K54-Actuals!K54)</f>
        <v/>
      </c>
      <c r="AK48" s="124" t="str">
        <f aca="false">IFERROR(IF(ISBLANK(Actuals!K54),"",('Original Budget'!K54-Actuals!K54)/ABS('Original Budget'!K54)),"")</f>
        <v/>
      </c>
      <c r="AL48" s="123" t="n">
        <f aca="false">'Original Budget'!L54</f>
        <v>0</v>
      </c>
      <c r="AM48" s="123" t="str">
        <f aca="false">IF(ISBLANK(Actuals!L54),"",Actuals!L54)</f>
        <v/>
      </c>
      <c r="AN48" s="124" t="str">
        <f aca="false">IF(ISBLANK(Actuals!L54),"",'Original Budget'!L54-Actuals!L54)</f>
        <v/>
      </c>
      <c r="AO48" s="124" t="str">
        <f aca="false">IFERROR(IF(ISBLANK(Actuals!L54),"",('Original Budget'!L54-Actuals!L54)/ABS('Original Budget'!L54)),"")</f>
        <v/>
      </c>
      <c r="AP48" s="123" t="n">
        <f aca="false">'Original Budget'!M54</f>
        <v>0</v>
      </c>
      <c r="AQ48" s="123" t="str">
        <f aca="false">IF(ISBLANK(Actuals!M54),"",Actuals!M54)</f>
        <v/>
      </c>
      <c r="AR48" s="124" t="str">
        <f aca="false">IF(ISBLANK(Actuals!M54),"",'Original Budget'!M54-Actuals!M54)</f>
        <v/>
      </c>
      <c r="AS48" s="124" t="str">
        <f aca="false">IFERROR(IF(ISBLANK(Actuals!M54),"",('Original Budget'!M54-Actuals!M54)/ABS('Original Budget'!M54)),"")</f>
        <v/>
      </c>
      <c r="AT48" s="123" t="n">
        <f aca="false">'Original Budget'!N54</f>
        <v>0</v>
      </c>
      <c r="AU48" s="123" t="str">
        <f aca="false">IF(ISBLANK(Actuals!N54),"",Actuals!N54)</f>
        <v/>
      </c>
      <c r="AV48" s="124" t="str">
        <f aca="false">IF(ISBLANK(Actuals!N54),"",'Original Budget'!N54-Actuals!N54)</f>
        <v/>
      </c>
      <c r="AW48" s="124" t="str">
        <f aca="false">IFERROR(IF(ISBLANK(Actuals!N54),"",('Original Budget'!N54-Actuals!N54)/ABS('Original Budget'!N54)),"")</f>
        <v/>
      </c>
      <c r="AX48" s="125" t="n">
        <f aca="false">SUMPRODUCT((Actuals!C54:N54&lt;&gt;"")*('Original Budget'!C54:N54))</f>
        <v>0</v>
      </c>
      <c r="AY48" s="125" t="n">
        <f aca="false">SUM(Actuals!C54:N54)</f>
        <v>-612.68</v>
      </c>
      <c r="AZ48" s="126" t="n">
        <f aca="false">AX48-AY48</f>
        <v>612.68</v>
      </c>
    </row>
    <row r="49" customFormat="false" ht="15" hidden="false" customHeight="true" outlineLevel="0" collapsed="false">
      <c r="A49" s="122" t="s">
        <v>97</v>
      </c>
      <c r="B49" s="123" t="n">
        <f aca="false">'Original Budget'!C64</f>
        <v>833.33</v>
      </c>
      <c r="C49" s="123" t="n">
        <f aca="false">IF(ISBLANK(Actuals!C64),"",Actuals!C64)</f>
        <v>833.33</v>
      </c>
      <c r="D49" s="124" t="n">
        <f aca="false">IF(ISBLANK(Actuals!C64),"",'Original Budget'!C64-Actuals!C64)</f>
        <v>0</v>
      </c>
      <c r="E49" s="124" t="n">
        <f aca="false">IFERROR(IF(ISBLANK(Actuals!C64),"",('Original Budget'!C64-Actuals!C64)/ABS('Original Budget'!C64)),"")</f>
        <v>0</v>
      </c>
      <c r="F49" s="123" t="n">
        <f aca="false">'Original Budget'!D64</f>
        <v>833.33</v>
      </c>
      <c r="G49" s="123" t="n">
        <f aca="false">IF(ISBLANK(Actuals!D64),"",Actuals!D64)</f>
        <v>833.33</v>
      </c>
      <c r="H49" s="124" t="n">
        <f aca="false">IF(ISBLANK(Actuals!D64),"",'Original Budget'!D64-Actuals!D64)</f>
        <v>0</v>
      </c>
      <c r="I49" s="124" t="n">
        <f aca="false">IFERROR(IF(ISBLANK(Actuals!D64),"",('Original Budget'!D64-Actuals!D64)/ABS('Original Budget'!D64)),"")</f>
        <v>0</v>
      </c>
      <c r="J49" s="123" t="n">
        <f aca="false">'Original Budget'!E64</f>
        <v>833.33</v>
      </c>
      <c r="K49" s="123" t="n">
        <f aca="false">IF(ISBLANK(Actuals!E64),"",Actuals!E64)</f>
        <v>833.33</v>
      </c>
      <c r="L49" s="124" t="n">
        <f aca="false">IF(ISBLANK(Actuals!E64),"",'Original Budget'!E64-Actuals!E64)</f>
        <v>0</v>
      </c>
      <c r="M49" s="124" t="n">
        <f aca="false">IFERROR(IF(ISBLANK(Actuals!E64),"",('Original Budget'!E64-Actuals!E64)/ABS('Original Budget'!E64)),"")</f>
        <v>0</v>
      </c>
      <c r="N49" s="123" t="n">
        <f aca="false">'Original Budget'!F64</f>
        <v>833.33</v>
      </c>
      <c r="O49" s="123" t="n">
        <f aca="false">IF(ISBLANK(Actuals!F64),"",Actuals!F64)</f>
        <v>833.33</v>
      </c>
      <c r="P49" s="124" t="n">
        <f aca="false">IF(ISBLANK(Actuals!F64),"",'Original Budget'!F64-Actuals!F64)</f>
        <v>0</v>
      </c>
      <c r="Q49" s="124" t="n">
        <f aca="false">IFERROR(IF(ISBLANK(Actuals!F64),"",('Original Budget'!F64-Actuals!F64)/ABS('Original Budget'!F64)),"")</f>
        <v>0</v>
      </c>
      <c r="R49" s="123" t="n">
        <f aca="false">'Original Budget'!G64</f>
        <v>833.33</v>
      </c>
      <c r="S49" s="123" t="n">
        <f aca="false">IF(ISBLANK(Actuals!G64),"",Actuals!G64)</f>
        <v>833.33</v>
      </c>
      <c r="T49" s="124" t="n">
        <f aca="false">IF(ISBLANK(Actuals!G64),"",'Original Budget'!G64-Actuals!G64)</f>
        <v>0</v>
      </c>
      <c r="U49" s="124" t="n">
        <f aca="false">IFERROR(IF(ISBLANK(Actuals!G64),"",('Original Budget'!G64-Actuals!G64)/ABS('Original Budget'!G64)),"")</f>
        <v>0</v>
      </c>
      <c r="V49" s="123" t="n">
        <f aca="false">'Original Budget'!H64</f>
        <v>833.33</v>
      </c>
      <c r="W49" s="123" t="n">
        <f aca="false">IF(ISBLANK(Actuals!H64),"",Actuals!H64)</f>
        <v>833.33</v>
      </c>
      <c r="X49" s="124" t="n">
        <f aca="false">IF(ISBLANK(Actuals!H64),"",'Original Budget'!H64-Actuals!H64)</f>
        <v>0</v>
      </c>
      <c r="Y49" s="124" t="n">
        <f aca="false">IFERROR(IF(ISBLANK(Actuals!H64),"",('Original Budget'!H64-Actuals!H64)/ABS('Original Budget'!H64)),"")</f>
        <v>0</v>
      </c>
      <c r="Z49" s="123" t="n">
        <f aca="false">'Original Budget'!I64</f>
        <v>833.33</v>
      </c>
      <c r="AA49" s="123" t="str">
        <f aca="false">IF(ISBLANK(Actuals!I64),"",Actuals!I64)</f>
        <v/>
      </c>
      <c r="AB49" s="124" t="str">
        <f aca="false">IF(ISBLANK(Actuals!I64),"",'Original Budget'!I64-Actuals!I64)</f>
        <v/>
      </c>
      <c r="AC49" s="124" t="str">
        <f aca="false">IFERROR(IF(ISBLANK(Actuals!I64),"",('Original Budget'!I64-Actuals!I64)/ABS('Original Budget'!I64)),"")</f>
        <v/>
      </c>
      <c r="AD49" s="123" t="n">
        <f aca="false">'Original Budget'!J64</f>
        <v>833.33</v>
      </c>
      <c r="AE49" s="123" t="str">
        <f aca="false">IF(ISBLANK(Actuals!J64),"",Actuals!J64)</f>
        <v/>
      </c>
      <c r="AF49" s="124" t="str">
        <f aca="false">IF(ISBLANK(Actuals!J64),"",'Original Budget'!J64-Actuals!J64)</f>
        <v/>
      </c>
      <c r="AG49" s="124" t="str">
        <f aca="false">IFERROR(IF(ISBLANK(Actuals!J64),"",('Original Budget'!J64-Actuals!J64)/ABS('Original Budget'!J64)),"")</f>
        <v/>
      </c>
      <c r="AH49" s="123" t="n">
        <f aca="false">'Original Budget'!K64</f>
        <v>0</v>
      </c>
      <c r="AI49" s="123" t="str">
        <f aca="false">IF(ISBLANK(Actuals!K64),"",Actuals!K64)</f>
        <v/>
      </c>
      <c r="AJ49" s="124" t="str">
        <f aca="false">IF(ISBLANK(Actuals!K64),"",'Original Budget'!K64-Actuals!K64)</f>
        <v/>
      </c>
      <c r="AK49" s="124" t="str">
        <f aca="false">IFERROR(IF(ISBLANK(Actuals!K64),"",('Original Budget'!K64-Actuals!K64)/ABS('Original Budget'!K64)),"")</f>
        <v/>
      </c>
      <c r="AL49" s="123" t="n">
        <f aca="false">'Original Budget'!L64</f>
        <v>0</v>
      </c>
      <c r="AM49" s="123" t="str">
        <f aca="false">IF(ISBLANK(Actuals!L64),"",Actuals!L64)</f>
        <v/>
      </c>
      <c r="AN49" s="124" t="str">
        <f aca="false">IF(ISBLANK(Actuals!L64),"",'Original Budget'!L64-Actuals!L64)</f>
        <v/>
      </c>
      <c r="AO49" s="124" t="str">
        <f aca="false">IFERROR(IF(ISBLANK(Actuals!L64),"",('Original Budget'!L64-Actuals!L64)/ABS('Original Budget'!L64)),"")</f>
        <v/>
      </c>
      <c r="AP49" s="123" t="n">
        <f aca="false">'Original Budget'!M64</f>
        <v>0</v>
      </c>
      <c r="AQ49" s="123" t="str">
        <f aca="false">IF(ISBLANK(Actuals!M64),"",Actuals!M64)</f>
        <v/>
      </c>
      <c r="AR49" s="124" t="str">
        <f aca="false">IF(ISBLANK(Actuals!M64),"",'Original Budget'!M64-Actuals!M64)</f>
        <v/>
      </c>
      <c r="AS49" s="124" t="str">
        <f aca="false">IFERROR(IF(ISBLANK(Actuals!M64),"",('Original Budget'!M64-Actuals!M64)/ABS('Original Budget'!M64)),"")</f>
        <v/>
      </c>
      <c r="AT49" s="123" t="n">
        <f aca="false">'Original Budget'!N64</f>
        <v>0</v>
      </c>
      <c r="AU49" s="123" t="str">
        <f aca="false">IF(ISBLANK(Actuals!N64),"",Actuals!N64)</f>
        <v/>
      </c>
      <c r="AV49" s="124" t="str">
        <f aca="false">IF(ISBLANK(Actuals!N64),"",'Original Budget'!N64-Actuals!N64)</f>
        <v/>
      </c>
      <c r="AW49" s="124" t="str">
        <f aca="false">IFERROR(IF(ISBLANK(Actuals!N64),"",('Original Budget'!N64-Actuals!N64)/ABS('Original Budget'!N64)),"")</f>
        <v/>
      </c>
      <c r="AX49" s="125" t="n">
        <f aca="false">SUMPRODUCT((Actuals!C64:N64&lt;&gt;"")*('Original Budget'!C64:N64))</f>
        <v>4999.98</v>
      </c>
      <c r="AY49" s="125" t="n">
        <f aca="false">SUM(Actuals!C64:N64)</f>
        <v>4999.98</v>
      </c>
      <c r="AZ49" s="126" t="n">
        <f aca="false">AX49-AY49</f>
        <v>0</v>
      </c>
    </row>
    <row r="50" customFormat="false" ht="15" hidden="false" customHeight="true" outlineLevel="0" collapsed="false">
      <c r="A50" s="122" t="s">
        <v>98</v>
      </c>
      <c r="B50" s="123" t="n">
        <f aca="false">'Original Budget'!C65</f>
        <v>23906.25</v>
      </c>
      <c r="C50" s="123" t="n">
        <f aca="false">IF(ISBLANK(Actuals!C65),"",Actuals!C65)</f>
        <v>23906.25</v>
      </c>
      <c r="D50" s="124" t="n">
        <f aca="false">IF(ISBLANK(Actuals!C65),"",'Original Budget'!C65-Actuals!C65)</f>
        <v>0</v>
      </c>
      <c r="E50" s="124" t="n">
        <f aca="false">IFERROR(IF(ISBLANK(Actuals!C65),"",('Original Budget'!C65-Actuals!C65)/ABS('Original Budget'!C65)),"")</f>
        <v>0</v>
      </c>
      <c r="F50" s="123" t="n">
        <f aca="false">'Original Budget'!D65</f>
        <v>23906.25</v>
      </c>
      <c r="G50" s="123" t="n">
        <f aca="false">IF(ISBLANK(Actuals!D65),"",Actuals!D65)</f>
        <v>23906.25</v>
      </c>
      <c r="H50" s="124" t="n">
        <f aca="false">IF(ISBLANK(Actuals!D65),"",'Original Budget'!D65-Actuals!D65)</f>
        <v>0</v>
      </c>
      <c r="I50" s="124" t="n">
        <f aca="false">IFERROR(IF(ISBLANK(Actuals!D65),"",('Original Budget'!D65-Actuals!D65)/ABS('Original Budget'!D65)),"")</f>
        <v>0</v>
      </c>
      <c r="J50" s="123" t="n">
        <f aca="false">'Original Budget'!E65</f>
        <v>23906.25</v>
      </c>
      <c r="K50" s="123" t="n">
        <f aca="false">IF(ISBLANK(Actuals!E65),"",Actuals!E65)</f>
        <v>23906.25</v>
      </c>
      <c r="L50" s="124" t="n">
        <f aca="false">IF(ISBLANK(Actuals!E65),"",'Original Budget'!E65-Actuals!E65)</f>
        <v>0</v>
      </c>
      <c r="M50" s="124" t="n">
        <f aca="false">IFERROR(IF(ISBLANK(Actuals!E65),"",('Original Budget'!E65-Actuals!E65)/ABS('Original Budget'!E65)),"")</f>
        <v>0</v>
      </c>
      <c r="N50" s="123" t="n">
        <f aca="false">'Original Budget'!F65</f>
        <v>23906.25</v>
      </c>
      <c r="O50" s="123" t="n">
        <f aca="false">IF(ISBLANK(Actuals!F65),"",Actuals!F65)</f>
        <v>23906.25</v>
      </c>
      <c r="P50" s="124" t="n">
        <f aca="false">IF(ISBLANK(Actuals!F65),"",'Original Budget'!F65-Actuals!F65)</f>
        <v>0</v>
      </c>
      <c r="Q50" s="124" t="n">
        <f aca="false">IFERROR(IF(ISBLANK(Actuals!F65),"",('Original Budget'!F65-Actuals!F65)/ABS('Original Budget'!F65)),"")</f>
        <v>0</v>
      </c>
      <c r="R50" s="123" t="n">
        <f aca="false">'Original Budget'!G65</f>
        <v>23906.25</v>
      </c>
      <c r="S50" s="123" t="n">
        <f aca="false">IF(ISBLANK(Actuals!G65),"",Actuals!G65)</f>
        <v>23906.25</v>
      </c>
      <c r="T50" s="124" t="n">
        <f aca="false">IF(ISBLANK(Actuals!G65),"",'Original Budget'!G65-Actuals!G65)</f>
        <v>0</v>
      </c>
      <c r="U50" s="124" t="n">
        <f aca="false">IFERROR(IF(ISBLANK(Actuals!G65),"",('Original Budget'!G65-Actuals!G65)/ABS('Original Budget'!G65)),"")</f>
        <v>0</v>
      </c>
      <c r="V50" s="123" t="n">
        <f aca="false">'Original Budget'!H65</f>
        <v>23906.25</v>
      </c>
      <c r="W50" s="123" t="n">
        <f aca="false">IF(ISBLANK(Actuals!H65),"",Actuals!H65)</f>
        <v>23906.25</v>
      </c>
      <c r="X50" s="124" t="n">
        <f aca="false">IF(ISBLANK(Actuals!H65),"",'Original Budget'!H65-Actuals!H65)</f>
        <v>0</v>
      </c>
      <c r="Y50" s="124" t="n">
        <f aca="false">IFERROR(IF(ISBLANK(Actuals!H65),"",('Original Budget'!H65-Actuals!H65)/ABS('Original Budget'!H65)),"")</f>
        <v>0</v>
      </c>
      <c r="Z50" s="123" t="n">
        <f aca="false">'Original Budget'!I65</f>
        <v>23906.25</v>
      </c>
      <c r="AA50" s="123" t="str">
        <f aca="false">IF(ISBLANK(Actuals!I65),"",Actuals!I65)</f>
        <v/>
      </c>
      <c r="AB50" s="124" t="str">
        <f aca="false">IF(ISBLANK(Actuals!I65),"",'Original Budget'!I65-Actuals!I65)</f>
        <v/>
      </c>
      <c r="AC50" s="124" t="str">
        <f aca="false">IFERROR(IF(ISBLANK(Actuals!I65),"",('Original Budget'!I65-Actuals!I65)/ABS('Original Budget'!I65)),"")</f>
        <v/>
      </c>
      <c r="AD50" s="123" t="n">
        <f aca="false">'Original Budget'!J65</f>
        <v>23906.25</v>
      </c>
      <c r="AE50" s="123" t="str">
        <f aca="false">IF(ISBLANK(Actuals!J65),"",Actuals!J65)</f>
        <v/>
      </c>
      <c r="AF50" s="124" t="str">
        <f aca="false">IF(ISBLANK(Actuals!J65),"",'Original Budget'!J65-Actuals!J65)</f>
        <v/>
      </c>
      <c r="AG50" s="124" t="str">
        <f aca="false">IFERROR(IF(ISBLANK(Actuals!J65),"",('Original Budget'!J65-Actuals!J65)/ABS('Original Budget'!J65)),"")</f>
        <v/>
      </c>
      <c r="AH50" s="123" t="n">
        <f aca="false">'Original Budget'!K65</f>
        <v>23906.25</v>
      </c>
      <c r="AI50" s="123" t="str">
        <f aca="false">IF(ISBLANK(Actuals!K65),"",Actuals!K65)</f>
        <v/>
      </c>
      <c r="AJ50" s="124" t="str">
        <f aca="false">IF(ISBLANK(Actuals!K65),"",'Original Budget'!K65-Actuals!K65)</f>
        <v/>
      </c>
      <c r="AK50" s="124" t="str">
        <f aca="false">IFERROR(IF(ISBLANK(Actuals!K65),"",('Original Budget'!K65-Actuals!K65)/ABS('Original Budget'!K65)),"")</f>
        <v/>
      </c>
      <c r="AL50" s="123" t="n">
        <f aca="false">'Original Budget'!L65</f>
        <v>23906.25</v>
      </c>
      <c r="AM50" s="123" t="str">
        <f aca="false">IF(ISBLANK(Actuals!L65),"",Actuals!L65)</f>
        <v/>
      </c>
      <c r="AN50" s="124" t="str">
        <f aca="false">IF(ISBLANK(Actuals!L65),"",'Original Budget'!L65-Actuals!L65)</f>
        <v/>
      </c>
      <c r="AO50" s="124" t="str">
        <f aca="false">IFERROR(IF(ISBLANK(Actuals!L65),"",('Original Budget'!L65-Actuals!L65)/ABS('Original Budget'!L65)),"")</f>
        <v/>
      </c>
      <c r="AP50" s="123" t="n">
        <f aca="false">'Original Budget'!M65</f>
        <v>23906.25</v>
      </c>
      <c r="AQ50" s="123" t="str">
        <f aca="false">IF(ISBLANK(Actuals!M65),"",Actuals!M65)</f>
        <v/>
      </c>
      <c r="AR50" s="124" t="str">
        <f aca="false">IF(ISBLANK(Actuals!M65),"",'Original Budget'!M65-Actuals!M65)</f>
        <v/>
      </c>
      <c r="AS50" s="124" t="str">
        <f aca="false">IFERROR(IF(ISBLANK(Actuals!M65),"",('Original Budget'!M65-Actuals!M65)/ABS('Original Budget'!M65)),"")</f>
        <v/>
      </c>
      <c r="AT50" s="123" t="n">
        <f aca="false">'Original Budget'!N65</f>
        <v>23906.25</v>
      </c>
      <c r="AU50" s="123" t="str">
        <f aca="false">IF(ISBLANK(Actuals!N65),"",Actuals!N65)</f>
        <v/>
      </c>
      <c r="AV50" s="124" t="str">
        <f aca="false">IF(ISBLANK(Actuals!N65),"",'Original Budget'!N65-Actuals!N65)</f>
        <v/>
      </c>
      <c r="AW50" s="124" t="str">
        <f aca="false">IFERROR(IF(ISBLANK(Actuals!N65),"",('Original Budget'!N65-Actuals!N65)/ABS('Original Budget'!N65)),"")</f>
        <v/>
      </c>
      <c r="AX50" s="125" t="n">
        <f aca="false">SUMPRODUCT((Actuals!C65:N65&lt;&gt;"")*('Original Budget'!C65:N65))</f>
        <v>143437.5</v>
      </c>
      <c r="AY50" s="125" t="n">
        <f aca="false">SUM(Actuals!C65:N65)</f>
        <v>143437.5</v>
      </c>
      <c r="AZ50" s="126" t="n">
        <f aca="false">AX50-AY50</f>
        <v>0</v>
      </c>
    </row>
    <row r="51" customFormat="false" ht="15" hidden="false" customHeight="true" outlineLevel="0" collapsed="false">
      <c r="A51" s="122" t="s">
        <v>99</v>
      </c>
      <c r="B51" s="123" t="n">
        <f aca="false">'Original Budget'!C66</f>
        <v>0</v>
      </c>
      <c r="C51" s="123" t="str">
        <f aca="false">IF(ISBLANK(Actuals!C66),"",Actuals!C66)</f>
        <v/>
      </c>
      <c r="D51" s="124" t="str">
        <f aca="false">IF(ISBLANK(Actuals!C66),"",'Original Budget'!C66-Actuals!C66)</f>
        <v/>
      </c>
      <c r="E51" s="124" t="str">
        <f aca="false">IFERROR(IF(ISBLANK(Actuals!C66),"",('Original Budget'!C66-Actuals!C66)/ABS('Original Budget'!C66)),"")</f>
        <v/>
      </c>
      <c r="F51" s="123" t="n">
        <f aca="false">'Original Budget'!D66</f>
        <v>0</v>
      </c>
      <c r="G51" s="123" t="str">
        <f aca="false">IF(ISBLANK(Actuals!D66),"",Actuals!D66)</f>
        <v/>
      </c>
      <c r="H51" s="124" t="str">
        <f aca="false">IF(ISBLANK(Actuals!D66),"",'Original Budget'!D66-Actuals!D66)</f>
        <v/>
      </c>
      <c r="I51" s="124" t="str">
        <f aca="false">IFERROR(IF(ISBLANK(Actuals!D66),"",('Original Budget'!D66-Actuals!D66)/ABS('Original Budget'!D66)),"")</f>
        <v/>
      </c>
      <c r="J51" s="123" t="n">
        <f aca="false">'Original Budget'!E66</f>
        <v>0</v>
      </c>
      <c r="K51" s="123" t="str">
        <f aca="false">IF(ISBLANK(Actuals!E66),"",Actuals!E66)</f>
        <v/>
      </c>
      <c r="L51" s="124" t="str">
        <f aca="false">IF(ISBLANK(Actuals!E66),"",'Original Budget'!E66-Actuals!E66)</f>
        <v/>
      </c>
      <c r="M51" s="124" t="str">
        <f aca="false">IFERROR(IF(ISBLANK(Actuals!E66),"",('Original Budget'!E66-Actuals!E66)/ABS('Original Budget'!E66)),"")</f>
        <v/>
      </c>
      <c r="N51" s="123" t="n">
        <f aca="false">'Original Budget'!F66</f>
        <v>0</v>
      </c>
      <c r="O51" s="123" t="str">
        <f aca="false">IF(ISBLANK(Actuals!F66),"",Actuals!F66)</f>
        <v/>
      </c>
      <c r="P51" s="124" t="str">
        <f aca="false">IF(ISBLANK(Actuals!F66),"",'Original Budget'!F66-Actuals!F66)</f>
        <v/>
      </c>
      <c r="Q51" s="124" t="str">
        <f aca="false">IFERROR(IF(ISBLANK(Actuals!F66),"",('Original Budget'!F66-Actuals!F66)/ABS('Original Budget'!F66)),"")</f>
        <v/>
      </c>
      <c r="R51" s="123" t="n">
        <f aca="false">'Original Budget'!G66</f>
        <v>0</v>
      </c>
      <c r="S51" s="123" t="str">
        <f aca="false">IF(ISBLANK(Actuals!G66),"",Actuals!G66)</f>
        <v/>
      </c>
      <c r="T51" s="124" t="str">
        <f aca="false">IF(ISBLANK(Actuals!G66),"",'Original Budget'!G66-Actuals!G66)</f>
        <v/>
      </c>
      <c r="U51" s="124" t="str">
        <f aca="false">IFERROR(IF(ISBLANK(Actuals!G66),"",('Original Budget'!G66-Actuals!G66)/ABS('Original Budget'!G66)),"")</f>
        <v/>
      </c>
      <c r="V51" s="123" t="n">
        <f aca="false">'Original Budget'!H66</f>
        <v>0</v>
      </c>
      <c r="W51" s="123" t="str">
        <f aca="false">IF(ISBLANK(Actuals!H66),"",Actuals!H66)</f>
        <v/>
      </c>
      <c r="X51" s="124" t="str">
        <f aca="false">IF(ISBLANK(Actuals!H66),"",'Original Budget'!H66-Actuals!H66)</f>
        <v/>
      </c>
      <c r="Y51" s="124" t="str">
        <f aca="false">IFERROR(IF(ISBLANK(Actuals!H66),"",('Original Budget'!H66-Actuals!H66)/ABS('Original Budget'!H66)),"")</f>
        <v/>
      </c>
      <c r="Z51" s="123" t="n">
        <f aca="false">'Original Budget'!I66</f>
        <v>0</v>
      </c>
      <c r="AA51" s="123" t="str">
        <f aca="false">IF(ISBLANK(Actuals!I66),"",Actuals!I66)</f>
        <v/>
      </c>
      <c r="AB51" s="124" t="str">
        <f aca="false">IF(ISBLANK(Actuals!I66),"",'Original Budget'!I66-Actuals!I66)</f>
        <v/>
      </c>
      <c r="AC51" s="124" t="str">
        <f aca="false">IFERROR(IF(ISBLANK(Actuals!I66),"",('Original Budget'!I66-Actuals!I66)/ABS('Original Budget'!I66)),"")</f>
        <v/>
      </c>
      <c r="AD51" s="123" t="n">
        <f aca="false">'Original Budget'!J66</f>
        <v>0</v>
      </c>
      <c r="AE51" s="123" t="str">
        <f aca="false">IF(ISBLANK(Actuals!J66),"",Actuals!J66)</f>
        <v/>
      </c>
      <c r="AF51" s="124" t="str">
        <f aca="false">IF(ISBLANK(Actuals!J66),"",'Original Budget'!J66-Actuals!J66)</f>
        <v/>
      </c>
      <c r="AG51" s="124" t="str">
        <f aca="false">IFERROR(IF(ISBLANK(Actuals!J66),"",('Original Budget'!J66-Actuals!J66)/ABS('Original Budget'!J66)),"")</f>
        <v/>
      </c>
      <c r="AH51" s="123" t="n">
        <f aca="false">'Original Budget'!K66</f>
        <v>0</v>
      </c>
      <c r="AI51" s="123" t="str">
        <f aca="false">IF(ISBLANK(Actuals!K66),"",Actuals!K66)</f>
        <v/>
      </c>
      <c r="AJ51" s="124" t="str">
        <f aca="false">IF(ISBLANK(Actuals!K66),"",'Original Budget'!K66-Actuals!K66)</f>
        <v/>
      </c>
      <c r="AK51" s="124" t="str">
        <f aca="false">IFERROR(IF(ISBLANK(Actuals!K66),"",('Original Budget'!K66-Actuals!K66)/ABS('Original Budget'!K66)),"")</f>
        <v/>
      </c>
      <c r="AL51" s="123" t="n">
        <f aca="false">'Original Budget'!L66</f>
        <v>0</v>
      </c>
      <c r="AM51" s="123" t="str">
        <f aca="false">IF(ISBLANK(Actuals!L66),"",Actuals!L66)</f>
        <v/>
      </c>
      <c r="AN51" s="124" t="str">
        <f aca="false">IF(ISBLANK(Actuals!L66),"",'Original Budget'!L66-Actuals!L66)</f>
        <v/>
      </c>
      <c r="AO51" s="124" t="str">
        <f aca="false">IFERROR(IF(ISBLANK(Actuals!L66),"",('Original Budget'!L66-Actuals!L66)/ABS('Original Budget'!L66)),"")</f>
        <v/>
      </c>
      <c r="AP51" s="123" t="n">
        <f aca="false">'Original Budget'!M66</f>
        <v>0</v>
      </c>
      <c r="AQ51" s="123" t="str">
        <f aca="false">IF(ISBLANK(Actuals!M66),"",Actuals!M66)</f>
        <v/>
      </c>
      <c r="AR51" s="124" t="str">
        <f aca="false">IF(ISBLANK(Actuals!M66),"",'Original Budget'!M66-Actuals!M66)</f>
        <v/>
      </c>
      <c r="AS51" s="124" t="str">
        <f aca="false">IFERROR(IF(ISBLANK(Actuals!M66),"",('Original Budget'!M66-Actuals!M66)/ABS('Original Budget'!M66)),"")</f>
        <v/>
      </c>
      <c r="AT51" s="123" t="n">
        <f aca="false">'Original Budget'!N66</f>
        <v>0</v>
      </c>
      <c r="AU51" s="123" t="str">
        <f aca="false">IF(ISBLANK(Actuals!N66),"",Actuals!N66)</f>
        <v/>
      </c>
      <c r="AV51" s="124" t="str">
        <f aca="false">IF(ISBLANK(Actuals!N66),"",'Original Budget'!N66-Actuals!N66)</f>
        <v/>
      </c>
      <c r="AW51" s="124" t="str">
        <f aca="false">IFERROR(IF(ISBLANK(Actuals!N66),"",('Original Budget'!N66-Actuals!N66)/ABS('Original Budget'!N66)),"")</f>
        <v/>
      </c>
      <c r="AX51" s="125" t="n">
        <f aca="false">SUMPRODUCT((Actuals!C66:N66&lt;&gt;"")*('Original Budget'!C66:N66))</f>
        <v>0</v>
      </c>
      <c r="AY51" s="125" t="n">
        <f aca="false">SUM(Actuals!C66:N66)</f>
        <v>0</v>
      </c>
      <c r="AZ51" s="126" t="n">
        <f aca="false">AX51-AY51</f>
        <v>0</v>
      </c>
    </row>
    <row r="52" customFormat="false" ht="15" hidden="false" customHeight="true" outlineLevel="0" collapsed="false">
      <c r="A52" s="122" t="s">
        <v>100</v>
      </c>
      <c r="B52" s="123" t="n">
        <f aca="false">'Original Budget'!C67</f>
        <v>0</v>
      </c>
      <c r="C52" s="123" t="str">
        <f aca="false">IF(ISBLANK(Actuals!C67),"",Actuals!C67)</f>
        <v/>
      </c>
      <c r="D52" s="124" t="str">
        <f aca="false">IF(ISBLANK(Actuals!C67),"",'Original Budget'!C67-Actuals!C67)</f>
        <v/>
      </c>
      <c r="E52" s="124" t="str">
        <f aca="false">IFERROR(IF(ISBLANK(Actuals!C67),"",('Original Budget'!C67-Actuals!C67)/ABS('Original Budget'!C67)),"")</f>
        <v/>
      </c>
      <c r="F52" s="123" t="n">
        <f aca="false">'Original Budget'!D67</f>
        <v>0</v>
      </c>
      <c r="G52" s="123" t="str">
        <f aca="false">IF(ISBLANK(Actuals!D67),"",Actuals!D67)</f>
        <v/>
      </c>
      <c r="H52" s="124" t="str">
        <f aca="false">IF(ISBLANK(Actuals!D67),"",'Original Budget'!D67-Actuals!D67)</f>
        <v/>
      </c>
      <c r="I52" s="124" t="str">
        <f aca="false">IFERROR(IF(ISBLANK(Actuals!D67),"",('Original Budget'!D67-Actuals!D67)/ABS('Original Budget'!D67)),"")</f>
        <v/>
      </c>
      <c r="J52" s="123" t="n">
        <f aca="false">'Original Budget'!E67</f>
        <v>0</v>
      </c>
      <c r="K52" s="123" t="str">
        <f aca="false">IF(ISBLANK(Actuals!E67),"",Actuals!E67)</f>
        <v/>
      </c>
      <c r="L52" s="124" t="str">
        <f aca="false">IF(ISBLANK(Actuals!E67),"",'Original Budget'!E67-Actuals!E67)</f>
        <v/>
      </c>
      <c r="M52" s="124" t="str">
        <f aca="false">IFERROR(IF(ISBLANK(Actuals!E67),"",('Original Budget'!E67-Actuals!E67)/ABS('Original Budget'!E67)),"")</f>
        <v/>
      </c>
      <c r="N52" s="123" t="n">
        <f aca="false">'Original Budget'!F67</f>
        <v>0</v>
      </c>
      <c r="O52" s="123" t="str">
        <f aca="false">IF(ISBLANK(Actuals!F67),"",Actuals!F67)</f>
        <v/>
      </c>
      <c r="P52" s="124" t="str">
        <f aca="false">IF(ISBLANK(Actuals!F67),"",'Original Budget'!F67-Actuals!F67)</f>
        <v/>
      </c>
      <c r="Q52" s="124" t="str">
        <f aca="false">IFERROR(IF(ISBLANK(Actuals!F67),"",('Original Budget'!F67-Actuals!F67)/ABS('Original Budget'!F67)),"")</f>
        <v/>
      </c>
      <c r="R52" s="123" t="n">
        <f aca="false">'Original Budget'!G67</f>
        <v>0</v>
      </c>
      <c r="S52" s="123" t="str">
        <f aca="false">IF(ISBLANK(Actuals!G67),"",Actuals!G67)</f>
        <v/>
      </c>
      <c r="T52" s="124" t="str">
        <f aca="false">IF(ISBLANK(Actuals!G67),"",'Original Budget'!G67-Actuals!G67)</f>
        <v/>
      </c>
      <c r="U52" s="124" t="str">
        <f aca="false">IFERROR(IF(ISBLANK(Actuals!G67),"",('Original Budget'!G67-Actuals!G67)/ABS('Original Budget'!G67)),"")</f>
        <v/>
      </c>
      <c r="V52" s="123" t="n">
        <f aca="false">'Original Budget'!H67</f>
        <v>0</v>
      </c>
      <c r="W52" s="123" t="str">
        <f aca="false">IF(ISBLANK(Actuals!H67),"",Actuals!H67)</f>
        <v/>
      </c>
      <c r="X52" s="124" t="str">
        <f aca="false">IF(ISBLANK(Actuals!H67),"",'Original Budget'!H67-Actuals!H67)</f>
        <v/>
      </c>
      <c r="Y52" s="124" t="str">
        <f aca="false">IFERROR(IF(ISBLANK(Actuals!H67),"",('Original Budget'!H67-Actuals!H67)/ABS('Original Budget'!H67)),"")</f>
        <v/>
      </c>
      <c r="Z52" s="123" t="n">
        <f aca="false">'Original Budget'!I67</f>
        <v>0</v>
      </c>
      <c r="AA52" s="123" t="str">
        <f aca="false">IF(ISBLANK(Actuals!I67),"",Actuals!I67)</f>
        <v/>
      </c>
      <c r="AB52" s="124" t="str">
        <f aca="false">IF(ISBLANK(Actuals!I67),"",'Original Budget'!I67-Actuals!I67)</f>
        <v/>
      </c>
      <c r="AC52" s="124" t="str">
        <f aca="false">IFERROR(IF(ISBLANK(Actuals!I67),"",('Original Budget'!I67-Actuals!I67)/ABS('Original Budget'!I67)),"")</f>
        <v/>
      </c>
      <c r="AD52" s="123" t="n">
        <f aca="false">'Original Budget'!J67</f>
        <v>0</v>
      </c>
      <c r="AE52" s="123" t="str">
        <f aca="false">IF(ISBLANK(Actuals!J67),"",Actuals!J67)</f>
        <v/>
      </c>
      <c r="AF52" s="124" t="str">
        <f aca="false">IF(ISBLANK(Actuals!J67),"",'Original Budget'!J67-Actuals!J67)</f>
        <v/>
      </c>
      <c r="AG52" s="124" t="str">
        <f aca="false">IFERROR(IF(ISBLANK(Actuals!J67),"",('Original Budget'!J67-Actuals!J67)/ABS('Original Budget'!J67)),"")</f>
        <v/>
      </c>
      <c r="AH52" s="123" t="n">
        <f aca="false">'Original Budget'!K67</f>
        <v>0</v>
      </c>
      <c r="AI52" s="123" t="str">
        <f aca="false">IF(ISBLANK(Actuals!K67),"",Actuals!K67)</f>
        <v/>
      </c>
      <c r="AJ52" s="124" t="str">
        <f aca="false">IF(ISBLANK(Actuals!K67),"",'Original Budget'!K67-Actuals!K67)</f>
        <v/>
      </c>
      <c r="AK52" s="124" t="str">
        <f aca="false">IFERROR(IF(ISBLANK(Actuals!K67),"",('Original Budget'!K67-Actuals!K67)/ABS('Original Budget'!K67)),"")</f>
        <v/>
      </c>
      <c r="AL52" s="123" t="n">
        <f aca="false">'Original Budget'!L67</f>
        <v>0</v>
      </c>
      <c r="AM52" s="123" t="str">
        <f aca="false">IF(ISBLANK(Actuals!L67),"",Actuals!L67)</f>
        <v/>
      </c>
      <c r="AN52" s="124" t="str">
        <f aca="false">IF(ISBLANK(Actuals!L67),"",'Original Budget'!L67-Actuals!L67)</f>
        <v/>
      </c>
      <c r="AO52" s="124" t="str">
        <f aca="false">IFERROR(IF(ISBLANK(Actuals!L67),"",('Original Budget'!L67-Actuals!L67)/ABS('Original Budget'!L67)),"")</f>
        <v/>
      </c>
      <c r="AP52" s="123" t="n">
        <f aca="false">'Original Budget'!M67</f>
        <v>0</v>
      </c>
      <c r="AQ52" s="123" t="str">
        <f aca="false">IF(ISBLANK(Actuals!M67),"",Actuals!M67)</f>
        <v/>
      </c>
      <c r="AR52" s="124" t="str">
        <f aca="false">IF(ISBLANK(Actuals!M67),"",'Original Budget'!M67-Actuals!M67)</f>
        <v/>
      </c>
      <c r="AS52" s="124" t="str">
        <f aca="false">IFERROR(IF(ISBLANK(Actuals!M67),"",('Original Budget'!M67-Actuals!M67)/ABS('Original Budget'!M67)),"")</f>
        <v/>
      </c>
      <c r="AT52" s="123" t="n">
        <f aca="false">'Original Budget'!N67</f>
        <v>0</v>
      </c>
      <c r="AU52" s="123" t="str">
        <f aca="false">IF(ISBLANK(Actuals!N67),"",Actuals!N67)</f>
        <v/>
      </c>
      <c r="AV52" s="124" t="str">
        <f aca="false">IF(ISBLANK(Actuals!N67),"",'Original Budget'!N67-Actuals!N67)</f>
        <v/>
      </c>
      <c r="AW52" s="124" t="str">
        <f aca="false">IFERROR(IF(ISBLANK(Actuals!N67),"",('Original Budget'!N67-Actuals!N67)/ABS('Original Budget'!N67)),"")</f>
        <v/>
      </c>
      <c r="AX52" s="125" t="n">
        <f aca="false">SUMPRODUCT((Actuals!C67:N67&lt;&gt;"")*('Original Budget'!C67:N67))</f>
        <v>0</v>
      </c>
      <c r="AY52" s="125" t="n">
        <f aca="false">SUM(Actuals!C67:N67)</f>
        <v>0</v>
      </c>
      <c r="AZ52" s="126" t="n">
        <f aca="false">AX52-AY52</f>
        <v>0</v>
      </c>
    </row>
    <row r="53" customFormat="false" ht="15" hidden="false" customHeight="true" outlineLevel="0" collapsed="false">
      <c r="A53" s="122" t="s">
        <v>101</v>
      </c>
      <c r="B53" s="123" t="n">
        <f aca="false">'Original Budget'!C68</f>
        <v>0</v>
      </c>
      <c r="C53" s="123" t="str">
        <f aca="false">IF(ISBLANK(Actuals!C68),"",Actuals!C68)</f>
        <v/>
      </c>
      <c r="D53" s="124" t="str">
        <f aca="false">IF(ISBLANK(Actuals!C68),"",'Original Budget'!C68-Actuals!C68)</f>
        <v/>
      </c>
      <c r="E53" s="124" t="str">
        <f aca="false">IFERROR(IF(ISBLANK(Actuals!C68),"",('Original Budget'!C68-Actuals!C68)/ABS('Original Budget'!C68)),"")</f>
        <v/>
      </c>
      <c r="F53" s="123" t="n">
        <f aca="false">'Original Budget'!D68</f>
        <v>0</v>
      </c>
      <c r="G53" s="123" t="str">
        <f aca="false">IF(ISBLANK(Actuals!D68),"",Actuals!D68)</f>
        <v/>
      </c>
      <c r="H53" s="124" t="str">
        <f aca="false">IF(ISBLANK(Actuals!D68),"",'Original Budget'!D68-Actuals!D68)</f>
        <v/>
      </c>
      <c r="I53" s="124" t="str">
        <f aca="false">IFERROR(IF(ISBLANK(Actuals!D68),"",('Original Budget'!D68-Actuals!D68)/ABS('Original Budget'!D68)),"")</f>
        <v/>
      </c>
      <c r="J53" s="123" t="n">
        <f aca="false">'Original Budget'!E68</f>
        <v>0</v>
      </c>
      <c r="K53" s="123" t="str">
        <f aca="false">IF(ISBLANK(Actuals!E68),"",Actuals!E68)</f>
        <v/>
      </c>
      <c r="L53" s="124" t="str">
        <f aca="false">IF(ISBLANK(Actuals!E68),"",'Original Budget'!E68-Actuals!E68)</f>
        <v/>
      </c>
      <c r="M53" s="124" t="str">
        <f aca="false">IFERROR(IF(ISBLANK(Actuals!E68),"",('Original Budget'!E68-Actuals!E68)/ABS('Original Budget'!E68)),"")</f>
        <v/>
      </c>
      <c r="N53" s="123" t="n">
        <f aca="false">'Original Budget'!F68</f>
        <v>0</v>
      </c>
      <c r="O53" s="123" t="str">
        <f aca="false">IF(ISBLANK(Actuals!F68),"",Actuals!F68)</f>
        <v/>
      </c>
      <c r="P53" s="124" t="str">
        <f aca="false">IF(ISBLANK(Actuals!F68),"",'Original Budget'!F68-Actuals!F68)</f>
        <v/>
      </c>
      <c r="Q53" s="124" t="str">
        <f aca="false">IFERROR(IF(ISBLANK(Actuals!F68),"",('Original Budget'!F68-Actuals!F68)/ABS('Original Budget'!F68)),"")</f>
        <v/>
      </c>
      <c r="R53" s="123" t="n">
        <f aca="false">'Original Budget'!G68</f>
        <v>0</v>
      </c>
      <c r="S53" s="123" t="str">
        <f aca="false">IF(ISBLANK(Actuals!G68),"",Actuals!G68)</f>
        <v/>
      </c>
      <c r="T53" s="124" t="str">
        <f aca="false">IF(ISBLANK(Actuals!G68),"",'Original Budget'!G68-Actuals!G68)</f>
        <v/>
      </c>
      <c r="U53" s="124" t="str">
        <f aca="false">IFERROR(IF(ISBLANK(Actuals!G68),"",('Original Budget'!G68-Actuals!G68)/ABS('Original Budget'!G68)),"")</f>
        <v/>
      </c>
      <c r="V53" s="123" t="n">
        <f aca="false">'Original Budget'!H68</f>
        <v>0</v>
      </c>
      <c r="W53" s="123" t="str">
        <f aca="false">IF(ISBLANK(Actuals!H68),"",Actuals!H68)</f>
        <v/>
      </c>
      <c r="X53" s="124" t="str">
        <f aca="false">IF(ISBLANK(Actuals!H68),"",'Original Budget'!H68-Actuals!H68)</f>
        <v/>
      </c>
      <c r="Y53" s="124" t="str">
        <f aca="false">IFERROR(IF(ISBLANK(Actuals!H68),"",('Original Budget'!H68-Actuals!H68)/ABS('Original Budget'!H68)),"")</f>
        <v/>
      </c>
      <c r="Z53" s="123" t="n">
        <f aca="false">'Original Budget'!I68</f>
        <v>0</v>
      </c>
      <c r="AA53" s="123" t="str">
        <f aca="false">IF(ISBLANK(Actuals!I68),"",Actuals!I68)</f>
        <v/>
      </c>
      <c r="AB53" s="124" t="str">
        <f aca="false">IF(ISBLANK(Actuals!I68),"",'Original Budget'!I68-Actuals!I68)</f>
        <v/>
      </c>
      <c r="AC53" s="124" t="str">
        <f aca="false">IFERROR(IF(ISBLANK(Actuals!I68),"",('Original Budget'!I68-Actuals!I68)/ABS('Original Budget'!I68)),"")</f>
        <v/>
      </c>
      <c r="AD53" s="123" t="n">
        <f aca="false">'Original Budget'!J68</f>
        <v>0</v>
      </c>
      <c r="AE53" s="123" t="str">
        <f aca="false">IF(ISBLANK(Actuals!J68),"",Actuals!J68)</f>
        <v/>
      </c>
      <c r="AF53" s="124" t="str">
        <f aca="false">IF(ISBLANK(Actuals!J68),"",'Original Budget'!J68-Actuals!J68)</f>
        <v/>
      </c>
      <c r="AG53" s="124" t="str">
        <f aca="false">IFERROR(IF(ISBLANK(Actuals!J68),"",('Original Budget'!J68-Actuals!J68)/ABS('Original Budget'!J68)),"")</f>
        <v/>
      </c>
      <c r="AH53" s="123" t="n">
        <f aca="false">'Original Budget'!K68</f>
        <v>0</v>
      </c>
      <c r="AI53" s="123" t="str">
        <f aca="false">IF(ISBLANK(Actuals!K68),"",Actuals!K68)</f>
        <v/>
      </c>
      <c r="AJ53" s="124" t="str">
        <f aca="false">IF(ISBLANK(Actuals!K68),"",'Original Budget'!K68-Actuals!K68)</f>
        <v/>
      </c>
      <c r="AK53" s="124" t="str">
        <f aca="false">IFERROR(IF(ISBLANK(Actuals!K68),"",('Original Budget'!K68-Actuals!K68)/ABS('Original Budget'!K68)),"")</f>
        <v/>
      </c>
      <c r="AL53" s="123" t="n">
        <f aca="false">'Original Budget'!L68</f>
        <v>0</v>
      </c>
      <c r="AM53" s="123" t="str">
        <f aca="false">IF(ISBLANK(Actuals!L68),"",Actuals!L68)</f>
        <v/>
      </c>
      <c r="AN53" s="124" t="str">
        <f aca="false">IF(ISBLANK(Actuals!L68),"",'Original Budget'!L68-Actuals!L68)</f>
        <v/>
      </c>
      <c r="AO53" s="124" t="str">
        <f aca="false">IFERROR(IF(ISBLANK(Actuals!L68),"",('Original Budget'!L68-Actuals!L68)/ABS('Original Budget'!L68)),"")</f>
        <v/>
      </c>
      <c r="AP53" s="123" t="n">
        <f aca="false">'Original Budget'!M68</f>
        <v>0</v>
      </c>
      <c r="AQ53" s="123" t="str">
        <f aca="false">IF(ISBLANK(Actuals!M68),"",Actuals!M68)</f>
        <v/>
      </c>
      <c r="AR53" s="124" t="str">
        <f aca="false">IF(ISBLANK(Actuals!M68),"",'Original Budget'!M68-Actuals!M68)</f>
        <v/>
      </c>
      <c r="AS53" s="124" t="str">
        <f aca="false">IFERROR(IF(ISBLANK(Actuals!M68),"",('Original Budget'!M68-Actuals!M68)/ABS('Original Budget'!M68)),"")</f>
        <v/>
      </c>
      <c r="AT53" s="123" t="n">
        <f aca="false">'Original Budget'!N68</f>
        <v>0</v>
      </c>
      <c r="AU53" s="123" t="str">
        <f aca="false">IF(ISBLANK(Actuals!N68),"",Actuals!N68)</f>
        <v/>
      </c>
      <c r="AV53" s="124" t="str">
        <f aca="false">IF(ISBLANK(Actuals!N68),"",'Original Budget'!N68-Actuals!N68)</f>
        <v/>
      </c>
      <c r="AW53" s="124" t="str">
        <f aca="false">IFERROR(IF(ISBLANK(Actuals!N68),"",('Original Budget'!N68-Actuals!N68)/ABS('Original Budget'!N68)),"")</f>
        <v/>
      </c>
      <c r="AX53" s="125" t="n">
        <f aca="false">SUMPRODUCT((Actuals!C68:N68&lt;&gt;"")*('Original Budget'!C68:N68))</f>
        <v>0</v>
      </c>
      <c r="AY53" s="125" t="n">
        <f aca="false">SUM(Actuals!C68:N68)</f>
        <v>0</v>
      </c>
      <c r="AZ53" s="126" t="n">
        <f aca="false">AX53-AY53</f>
        <v>0</v>
      </c>
    </row>
    <row r="54" customFormat="false" ht="15" hidden="false" customHeight="true" outlineLevel="0" collapsed="false">
      <c r="A54" s="122" t="s">
        <v>102</v>
      </c>
      <c r="B54" s="123" t="n">
        <f aca="false">'Original Budget'!C69</f>
        <v>9375</v>
      </c>
      <c r="C54" s="123" t="n">
        <f aca="false">IF(ISBLANK(Actuals!C69),"",Actuals!C69)</f>
        <v>9375</v>
      </c>
      <c r="D54" s="124" t="n">
        <f aca="false">IF(ISBLANK(Actuals!C69),"",'Original Budget'!C69-Actuals!C69)</f>
        <v>0</v>
      </c>
      <c r="E54" s="124" t="n">
        <f aca="false">IFERROR(IF(ISBLANK(Actuals!C69),"",('Original Budget'!C69-Actuals!C69)/ABS('Original Budget'!C69)),"")</f>
        <v>0</v>
      </c>
      <c r="F54" s="123" t="n">
        <f aca="false">'Original Budget'!D69</f>
        <v>9375</v>
      </c>
      <c r="G54" s="123" t="n">
        <f aca="false">IF(ISBLANK(Actuals!D69),"",Actuals!D69)</f>
        <v>9375</v>
      </c>
      <c r="H54" s="124" t="n">
        <f aca="false">IF(ISBLANK(Actuals!D69),"",'Original Budget'!D69-Actuals!D69)</f>
        <v>0</v>
      </c>
      <c r="I54" s="124" t="n">
        <f aca="false">IFERROR(IF(ISBLANK(Actuals!D69),"",('Original Budget'!D69-Actuals!D69)/ABS('Original Budget'!D69)),"")</f>
        <v>0</v>
      </c>
      <c r="J54" s="123" t="n">
        <f aca="false">'Original Budget'!E69</f>
        <v>9375</v>
      </c>
      <c r="K54" s="123" t="n">
        <f aca="false">IF(ISBLANK(Actuals!E69),"",Actuals!E69)</f>
        <v>9375</v>
      </c>
      <c r="L54" s="124" t="n">
        <f aca="false">IF(ISBLANK(Actuals!E69),"",'Original Budget'!E69-Actuals!E69)</f>
        <v>0</v>
      </c>
      <c r="M54" s="124" t="n">
        <f aca="false">IFERROR(IF(ISBLANK(Actuals!E69),"",('Original Budget'!E69-Actuals!E69)/ABS('Original Budget'!E69)),"")</f>
        <v>0</v>
      </c>
      <c r="N54" s="123" t="n">
        <f aca="false">'Original Budget'!F69</f>
        <v>9375</v>
      </c>
      <c r="O54" s="123" t="n">
        <f aca="false">IF(ISBLANK(Actuals!F69),"",Actuals!F69)</f>
        <v>9375</v>
      </c>
      <c r="P54" s="124" t="n">
        <f aca="false">IF(ISBLANK(Actuals!F69),"",'Original Budget'!F69-Actuals!F69)</f>
        <v>0</v>
      </c>
      <c r="Q54" s="124" t="n">
        <f aca="false">IFERROR(IF(ISBLANK(Actuals!F69),"",('Original Budget'!F69-Actuals!F69)/ABS('Original Budget'!F69)),"")</f>
        <v>0</v>
      </c>
      <c r="R54" s="123" t="n">
        <f aca="false">'Original Budget'!G69</f>
        <v>9375</v>
      </c>
      <c r="S54" s="123" t="n">
        <f aca="false">IF(ISBLANK(Actuals!G69),"",Actuals!G69)</f>
        <v>9375</v>
      </c>
      <c r="T54" s="124" t="n">
        <f aca="false">IF(ISBLANK(Actuals!G69),"",'Original Budget'!G69-Actuals!G69)</f>
        <v>0</v>
      </c>
      <c r="U54" s="124" t="n">
        <f aca="false">IFERROR(IF(ISBLANK(Actuals!G69),"",('Original Budget'!G69-Actuals!G69)/ABS('Original Budget'!G69)),"")</f>
        <v>0</v>
      </c>
      <c r="V54" s="123" t="n">
        <f aca="false">'Original Budget'!H69</f>
        <v>9375</v>
      </c>
      <c r="W54" s="123" t="n">
        <f aca="false">IF(ISBLANK(Actuals!H69),"",Actuals!H69)</f>
        <v>9375</v>
      </c>
      <c r="X54" s="124" t="n">
        <f aca="false">IF(ISBLANK(Actuals!H69),"",'Original Budget'!H69-Actuals!H69)</f>
        <v>0</v>
      </c>
      <c r="Y54" s="124" t="n">
        <f aca="false">IFERROR(IF(ISBLANK(Actuals!H69),"",('Original Budget'!H69-Actuals!H69)/ABS('Original Budget'!H69)),"")</f>
        <v>0</v>
      </c>
      <c r="Z54" s="123" t="n">
        <f aca="false">'Original Budget'!I69</f>
        <v>9375</v>
      </c>
      <c r="AA54" s="123" t="str">
        <f aca="false">IF(ISBLANK(Actuals!I69),"",Actuals!I69)</f>
        <v/>
      </c>
      <c r="AB54" s="124" t="str">
        <f aca="false">IF(ISBLANK(Actuals!I69),"",'Original Budget'!I69-Actuals!I69)</f>
        <v/>
      </c>
      <c r="AC54" s="124" t="str">
        <f aca="false">IFERROR(IF(ISBLANK(Actuals!I69),"",('Original Budget'!I69-Actuals!I69)/ABS('Original Budget'!I69)),"")</f>
        <v/>
      </c>
      <c r="AD54" s="123" t="n">
        <f aca="false">'Original Budget'!J69</f>
        <v>9375</v>
      </c>
      <c r="AE54" s="123" t="str">
        <f aca="false">IF(ISBLANK(Actuals!J69),"",Actuals!J69)</f>
        <v/>
      </c>
      <c r="AF54" s="124" t="str">
        <f aca="false">IF(ISBLANK(Actuals!J69),"",'Original Budget'!J69-Actuals!J69)</f>
        <v/>
      </c>
      <c r="AG54" s="124" t="str">
        <f aca="false">IFERROR(IF(ISBLANK(Actuals!J69),"",('Original Budget'!J69-Actuals!J69)/ABS('Original Budget'!J69)),"")</f>
        <v/>
      </c>
      <c r="AH54" s="123" t="n">
        <f aca="false">'Original Budget'!K69</f>
        <v>9375</v>
      </c>
      <c r="AI54" s="123" t="str">
        <f aca="false">IF(ISBLANK(Actuals!K69),"",Actuals!K69)</f>
        <v/>
      </c>
      <c r="AJ54" s="124" t="str">
        <f aca="false">IF(ISBLANK(Actuals!K69),"",'Original Budget'!K69-Actuals!K69)</f>
        <v/>
      </c>
      <c r="AK54" s="124" t="str">
        <f aca="false">IFERROR(IF(ISBLANK(Actuals!K69),"",('Original Budget'!K69-Actuals!K69)/ABS('Original Budget'!K69)),"")</f>
        <v/>
      </c>
      <c r="AL54" s="123" t="n">
        <f aca="false">'Original Budget'!L69</f>
        <v>9375</v>
      </c>
      <c r="AM54" s="123" t="str">
        <f aca="false">IF(ISBLANK(Actuals!L69),"",Actuals!L69)</f>
        <v/>
      </c>
      <c r="AN54" s="124" t="str">
        <f aca="false">IF(ISBLANK(Actuals!L69),"",'Original Budget'!L69-Actuals!L69)</f>
        <v/>
      </c>
      <c r="AO54" s="124" t="str">
        <f aca="false">IFERROR(IF(ISBLANK(Actuals!L69),"",('Original Budget'!L69-Actuals!L69)/ABS('Original Budget'!L69)),"")</f>
        <v/>
      </c>
      <c r="AP54" s="123" t="n">
        <f aca="false">'Original Budget'!M69</f>
        <v>0</v>
      </c>
      <c r="AQ54" s="123" t="str">
        <f aca="false">IF(ISBLANK(Actuals!M69),"",Actuals!M69)</f>
        <v/>
      </c>
      <c r="AR54" s="124" t="str">
        <f aca="false">IF(ISBLANK(Actuals!M69),"",'Original Budget'!M69-Actuals!M69)</f>
        <v/>
      </c>
      <c r="AS54" s="124" t="str">
        <f aca="false">IFERROR(IF(ISBLANK(Actuals!M69),"",('Original Budget'!M69-Actuals!M69)/ABS('Original Budget'!M69)),"")</f>
        <v/>
      </c>
      <c r="AT54" s="123" t="n">
        <f aca="false">'Original Budget'!N69</f>
        <v>0</v>
      </c>
      <c r="AU54" s="123" t="str">
        <f aca="false">IF(ISBLANK(Actuals!N69),"",Actuals!N69)</f>
        <v/>
      </c>
      <c r="AV54" s="124" t="str">
        <f aca="false">IF(ISBLANK(Actuals!N69),"",'Original Budget'!N69-Actuals!N69)</f>
        <v/>
      </c>
      <c r="AW54" s="124" t="str">
        <f aca="false">IFERROR(IF(ISBLANK(Actuals!N69),"",('Original Budget'!N69-Actuals!N69)/ABS('Original Budget'!N69)),"")</f>
        <v/>
      </c>
      <c r="AX54" s="125" t="n">
        <f aca="false">SUMPRODUCT((Actuals!C69:N69&lt;&gt;"")*('Original Budget'!C69:N69))</f>
        <v>56250</v>
      </c>
      <c r="AY54" s="125" t="n">
        <f aca="false">SUM(Actuals!C69:N69)</f>
        <v>56250</v>
      </c>
      <c r="AZ54" s="126" t="n">
        <f aca="false">AX54-AY54</f>
        <v>0</v>
      </c>
    </row>
    <row r="55" customFormat="false" ht="15" hidden="false" customHeight="true" outlineLevel="0" collapsed="false">
      <c r="A55" s="122" t="s">
        <v>103</v>
      </c>
      <c r="B55" s="123" t="n">
        <f aca="false">'Original Budget'!C70</f>
        <v>0</v>
      </c>
      <c r="C55" s="123" t="str">
        <f aca="false">IF(ISBLANK(Actuals!C70),"",Actuals!C70)</f>
        <v/>
      </c>
      <c r="D55" s="124" t="str">
        <f aca="false">IF(ISBLANK(Actuals!C70),"",'Original Budget'!C70-Actuals!C70)</f>
        <v/>
      </c>
      <c r="E55" s="124" t="str">
        <f aca="false">IFERROR(IF(ISBLANK(Actuals!C70),"",('Original Budget'!C70-Actuals!C70)/ABS('Original Budget'!C70)),"")</f>
        <v/>
      </c>
      <c r="F55" s="123" t="n">
        <f aca="false">'Original Budget'!D70</f>
        <v>0</v>
      </c>
      <c r="G55" s="123" t="str">
        <f aca="false">IF(ISBLANK(Actuals!D70),"",Actuals!D70)</f>
        <v/>
      </c>
      <c r="H55" s="124" t="str">
        <f aca="false">IF(ISBLANK(Actuals!D70),"",'Original Budget'!D70-Actuals!D70)</f>
        <v/>
      </c>
      <c r="I55" s="124" t="str">
        <f aca="false">IFERROR(IF(ISBLANK(Actuals!D70),"",('Original Budget'!D70-Actuals!D70)/ABS('Original Budget'!D70)),"")</f>
        <v/>
      </c>
      <c r="J55" s="123" t="n">
        <f aca="false">'Original Budget'!E70</f>
        <v>0</v>
      </c>
      <c r="K55" s="123" t="str">
        <f aca="false">IF(ISBLANK(Actuals!E70),"",Actuals!E70)</f>
        <v/>
      </c>
      <c r="L55" s="124" t="str">
        <f aca="false">IF(ISBLANK(Actuals!E70),"",'Original Budget'!E70-Actuals!E70)</f>
        <v/>
      </c>
      <c r="M55" s="124" t="str">
        <f aca="false">IFERROR(IF(ISBLANK(Actuals!E70),"",('Original Budget'!E70-Actuals!E70)/ABS('Original Budget'!E70)),"")</f>
        <v/>
      </c>
      <c r="N55" s="123" t="n">
        <f aca="false">'Original Budget'!F70</f>
        <v>9500</v>
      </c>
      <c r="O55" s="123" t="str">
        <f aca="false">IF(ISBLANK(Actuals!F70),"",Actuals!F70)</f>
        <v/>
      </c>
      <c r="P55" s="124" t="str">
        <f aca="false">IF(ISBLANK(Actuals!F70),"",'Original Budget'!F70-Actuals!F70)</f>
        <v/>
      </c>
      <c r="Q55" s="124" t="str">
        <f aca="false">IFERROR(IF(ISBLANK(Actuals!F70),"",('Original Budget'!F70-Actuals!F70)/ABS('Original Budget'!F70)),"")</f>
        <v/>
      </c>
      <c r="R55" s="123" t="n">
        <f aca="false">'Original Budget'!G70</f>
        <v>9500</v>
      </c>
      <c r="S55" s="123" t="str">
        <f aca="false">IF(ISBLANK(Actuals!G70),"",Actuals!G70)</f>
        <v/>
      </c>
      <c r="T55" s="124" t="str">
        <f aca="false">IF(ISBLANK(Actuals!G70),"",'Original Budget'!G70-Actuals!G70)</f>
        <v/>
      </c>
      <c r="U55" s="124" t="str">
        <f aca="false">IFERROR(IF(ISBLANK(Actuals!G70),"",('Original Budget'!G70-Actuals!G70)/ABS('Original Budget'!G70)),"")</f>
        <v/>
      </c>
      <c r="V55" s="123" t="n">
        <f aca="false">'Original Budget'!H70</f>
        <v>9500</v>
      </c>
      <c r="W55" s="123" t="str">
        <f aca="false">IF(ISBLANK(Actuals!H70),"",Actuals!H70)</f>
        <v/>
      </c>
      <c r="X55" s="124" t="str">
        <f aca="false">IF(ISBLANK(Actuals!H70),"",'Original Budget'!H70-Actuals!H70)</f>
        <v/>
      </c>
      <c r="Y55" s="124" t="str">
        <f aca="false">IFERROR(IF(ISBLANK(Actuals!H70),"",('Original Budget'!H70-Actuals!H70)/ABS('Original Budget'!H70)),"")</f>
        <v/>
      </c>
      <c r="Z55" s="123" t="n">
        <f aca="false">'Original Budget'!I70</f>
        <v>9500</v>
      </c>
      <c r="AA55" s="123" t="str">
        <f aca="false">IF(ISBLANK(Actuals!I70),"",Actuals!I70)</f>
        <v/>
      </c>
      <c r="AB55" s="124" t="str">
        <f aca="false">IF(ISBLANK(Actuals!I70),"",'Original Budget'!I70-Actuals!I70)</f>
        <v/>
      </c>
      <c r="AC55" s="124" t="str">
        <f aca="false">IFERROR(IF(ISBLANK(Actuals!I70),"",('Original Budget'!I70-Actuals!I70)/ABS('Original Budget'!I70)),"")</f>
        <v/>
      </c>
      <c r="AD55" s="123" t="n">
        <f aca="false">'Original Budget'!J70</f>
        <v>9500</v>
      </c>
      <c r="AE55" s="123" t="str">
        <f aca="false">IF(ISBLANK(Actuals!J70),"",Actuals!J70)</f>
        <v/>
      </c>
      <c r="AF55" s="124" t="str">
        <f aca="false">IF(ISBLANK(Actuals!J70),"",'Original Budget'!J70-Actuals!J70)</f>
        <v/>
      </c>
      <c r="AG55" s="124" t="str">
        <f aca="false">IFERROR(IF(ISBLANK(Actuals!J70),"",('Original Budget'!J70-Actuals!J70)/ABS('Original Budget'!J70)),"")</f>
        <v/>
      </c>
      <c r="AH55" s="123" t="n">
        <f aca="false">'Original Budget'!K70</f>
        <v>9500</v>
      </c>
      <c r="AI55" s="123" t="str">
        <f aca="false">IF(ISBLANK(Actuals!K70),"",Actuals!K70)</f>
        <v/>
      </c>
      <c r="AJ55" s="124" t="str">
        <f aca="false">IF(ISBLANK(Actuals!K70),"",'Original Budget'!K70-Actuals!K70)</f>
        <v/>
      </c>
      <c r="AK55" s="124" t="str">
        <f aca="false">IFERROR(IF(ISBLANK(Actuals!K70),"",('Original Budget'!K70-Actuals!K70)/ABS('Original Budget'!K70)),"")</f>
        <v/>
      </c>
      <c r="AL55" s="123" t="n">
        <f aca="false">'Original Budget'!L70</f>
        <v>9500</v>
      </c>
      <c r="AM55" s="123" t="str">
        <f aca="false">IF(ISBLANK(Actuals!L70),"",Actuals!L70)</f>
        <v/>
      </c>
      <c r="AN55" s="124" t="str">
        <f aca="false">IF(ISBLANK(Actuals!L70),"",'Original Budget'!L70-Actuals!L70)</f>
        <v/>
      </c>
      <c r="AO55" s="124" t="str">
        <f aca="false">IFERROR(IF(ISBLANK(Actuals!L70),"",('Original Budget'!L70-Actuals!L70)/ABS('Original Budget'!L70)),"")</f>
        <v/>
      </c>
      <c r="AP55" s="123" t="n">
        <f aca="false">'Original Budget'!M70</f>
        <v>9500</v>
      </c>
      <c r="AQ55" s="123" t="str">
        <f aca="false">IF(ISBLANK(Actuals!M70),"",Actuals!M70)</f>
        <v/>
      </c>
      <c r="AR55" s="124" t="str">
        <f aca="false">IF(ISBLANK(Actuals!M70),"",'Original Budget'!M70-Actuals!M70)</f>
        <v/>
      </c>
      <c r="AS55" s="124" t="str">
        <f aca="false">IFERROR(IF(ISBLANK(Actuals!M70),"",('Original Budget'!M70-Actuals!M70)/ABS('Original Budget'!M70)),"")</f>
        <v/>
      </c>
      <c r="AT55" s="123" t="n">
        <f aca="false">'Original Budget'!N70</f>
        <v>9500</v>
      </c>
      <c r="AU55" s="123" t="str">
        <f aca="false">IF(ISBLANK(Actuals!N70),"",Actuals!N70)</f>
        <v/>
      </c>
      <c r="AV55" s="124" t="str">
        <f aca="false">IF(ISBLANK(Actuals!N70),"",'Original Budget'!N70-Actuals!N70)</f>
        <v/>
      </c>
      <c r="AW55" s="124" t="str">
        <f aca="false">IFERROR(IF(ISBLANK(Actuals!N70),"",('Original Budget'!N70-Actuals!N70)/ABS('Original Budget'!N70)),"")</f>
        <v/>
      </c>
      <c r="AX55" s="125" t="n">
        <f aca="false">SUMPRODUCT((Actuals!C70:N70&lt;&gt;"")*('Original Budget'!C70:N70))</f>
        <v>0</v>
      </c>
      <c r="AY55" s="125" t="n">
        <f aca="false">SUM(Actuals!C70:N70)</f>
        <v>0</v>
      </c>
      <c r="AZ55" s="126" t="n">
        <f aca="false">AX55-AY55</f>
        <v>0</v>
      </c>
    </row>
    <row r="56" customFormat="false" ht="15" hidden="false" customHeight="true" outlineLevel="0" collapsed="false">
      <c r="A56" s="122" t="s">
        <v>104</v>
      </c>
      <c r="B56" s="123" t="n">
        <f aca="false">'Original Budget'!C71</f>
        <v>0</v>
      </c>
      <c r="C56" s="123" t="str">
        <f aca="false">IF(ISBLANK(Actuals!C71),"",Actuals!C71)</f>
        <v/>
      </c>
      <c r="D56" s="124" t="str">
        <f aca="false">IF(ISBLANK(Actuals!C71),"",'Original Budget'!C71-Actuals!C71)</f>
        <v/>
      </c>
      <c r="E56" s="124" t="str">
        <f aca="false">IFERROR(IF(ISBLANK(Actuals!C71),"",('Original Budget'!C71-Actuals!C71)/ABS('Original Budget'!C71)),"")</f>
        <v/>
      </c>
      <c r="F56" s="123" t="n">
        <f aca="false">'Original Budget'!D71</f>
        <v>0</v>
      </c>
      <c r="G56" s="123" t="str">
        <f aca="false">IF(ISBLANK(Actuals!D71),"",Actuals!D71)</f>
        <v/>
      </c>
      <c r="H56" s="124" t="str">
        <f aca="false">IF(ISBLANK(Actuals!D71),"",'Original Budget'!D71-Actuals!D71)</f>
        <v/>
      </c>
      <c r="I56" s="124" t="str">
        <f aca="false">IFERROR(IF(ISBLANK(Actuals!D71),"",('Original Budget'!D71-Actuals!D71)/ABS('Original Budget'!D71)),"")</f>
        <v/>
      </c>
      <c r="J56" s="123" t="n">
        <f aca="false">'Original Budget'!E71</f>
        <v>0</v>
      </c>
      <c r="K56" s="123" t="str">
        <f aca="false">IF(ISBLANK(Actuals!E71),"",Actuals!E71)</f>
        <v/>
      </c>
      <c r="L56" s="124" t="str">
        <f aca="false">IF(ISBLANK(Actuals!E71),"",'Original Budget'!E71-Actuals!E71)</f>
        <v/>
      </c>
      <c r="M56" s="124" t="str">
        <f aca="false">IFERROR(IF(ISBLANK(Actuals!E71),"",('Original Budget'!E71-Actuals!E71)/ABS('Original Budget'!E71)),"")</f>
        <v/>
      </c>
      <c r="N56" s="123" t="n">
        <f aca="false">'Original Budget'!F71</f>
        <v>0</v>
      </c>
      <c r="O56" s="123" t="str">
        <f aca="false">IF(ISBLANK(Actuals!F71),"",Actuals!F71)</f>
        <v/>
      </c>
      <c r="P56" s="124" t="str">
        <f aca="false">IF(ISBLANK(Actuals!F71),"",'Original Budget'!F71-Actuals!F71)</f>
        <v/>
      </c>
      <c r="Q56" s="124" t="str">
        <f aca="false">IFERROR(IF(ISBLANK(Actuals!F71),"",('Original Budget'!F71-Actuals!F71)/ABS('Original Budget'!F71)),"")</f>
        <v/>
      </c>
      <c r="R56" s="123" t="n">
        <f aca="false">'Original Budget'!G71</f>
        <v>0</v>
      </c>
      <c r="S56" s="123" t="str">
        <f aca="false">IF(ISBLANK(Actuals!G71),"",Actuals!G71)</f>
        <v/>
      </c>
      <c r="T56" s="124" t="str">
        <f aca="false">IF(ISBLANK(Actuals!G71),"",'Original Budget'!G71-Actuals!G71)</f>
        <v/>
      </c>
      <c r="U56" s="124" t="str">
        <f aca="false">IFERROR(IF(ISBLANK(Actuals!G71),"",('Original Budget'!G71-Actuals!G71)/ABS('Original Budget'!G71)),"")</f>
        <v/>
      </c>
      <c r="V56" s="123" t="n">
        <f aca="false">'Original Budget'!H71</f>
        <v>0</v>
      </c>
      <c r="W56" s="123" t="str">
        <f aca="false">IF(ISBLANK(Actuals!H71),"",Actuals!H71)</f>
        <v/>
      </c>
      <c r="X56" s="124" t="str">
        <f aca="false">IF(ISBLANK(Actuals!H71),"",'Original Budget'!H71-Actuals!H71)</f>
        <v/>
      </c>
      <c r="Y56" s="124" t="str">
        <f aca="false">IFERROR(IF(ISBLANK(Actuals!H71),"",('Original Budget'!H71-Actuals!H71)/ABS('Original Budget'!H71)),"")</f>
        <v/>
      </c>
      <c r="Z56" s="123" t="n">
        <f aca="false">'Original Budget'!I71</f>
        <v>0</v>
      </c>
      <c r="AA56" s="123" t="str">
        <f aca="false">IF(ISBLANK(Actuals!I71),"",Actuals!I71)</f>
        <v/>
      </c>
      <c r="AB56" s="124" t="str">
        <f aca="false">IF(ISBLANK(Actuals!I71),"",'Original Budget'!I71-Actuals!I71)</f>
        <v/>
      </c>
      <c r="AC56" s="124" t="str">
        <f aca="false">IFERROR(IF(ISBLANK(Actuals!I71),"",('Original Budget'!I71-Actuals!I71)/ABS('Original Budget'!I71)),"")</f>
        <v/>
      </c>
      <c r="AD56" s="123" t="n">
        <f aca="false">'Original Budget'!J71</f>
        <v>0</v>
      </c>
      <c r="AE56" s="123" t="str">
        <f aca="false">IF(ISBLANK(Actuals!J71),"",Actuals!J71)</f>
        <v/>
      </c>
      <c r="AF56" s="124" t="str">
        <f aca="false">IF(ISBLANK(Actuals!J71),"",'Original Budget'!J71-Actuals!J71)</f>
        <v/>
      </c>
      <c r="AG56" s="124" t="str">
        <f aca="false">IFERROR(IF(ISBLANK(Actuals!J71),"",('Original Budget'!J71-Actuals!J71)/ABS('Original Budget'!J71)),"")</f>
        <v/>
      </c>
      <c r="AH56" s="123" t="n">
        <f aca="false">'Original Budget'!K71</f>
        <v>0</v>
      </c>
      <c r="AI56" s="123" t="str">
        <f aca="false">IF(ISBLANK(Actuals!K71),"",Actuals!K71)</f>
        <v/>
      </c>
      <c r="AJ56" s="124" t="str">
        <f aca="false">IF(ISBLANK(Actuals!K71),"",'Original Budget'!K71-Actuals!K71)</f>
        <v/>
      </c>
      <c r="AK56" s="124" t="str">
        <f aca="false">IFERROR(IF(ISBLANK(Actuals!K71),"",('Original Budget'!K71-Actuals!K71)/ABS('Original Budget'!K71)),"")</f>
        <v/>
      </c>
      <c r="AL56" s="123" t="n">
        <f aca="false">'Original Budget'!L71</f>
        <v>0</v>
      </c>
      <c r="AM56" s="123" t="str">
        <f aca="false">IF(ISBLANK(Actuals!L71),"",Actuals!L71)</f>
        <v/>
      </c>
      <c r="AN56" s="124" t="str">
        <f aca="false">IF(ISBLANK(Actuals!L71),"",'Original Budget'!L71-Actuals!L71)</f>
        <v/>
      </c>
      <c r="AO56" s="124" t="str">
        <f aca="false">IFERROR(IF(ISBLANK(Actuals!L71),"",('Original Budget'!L71-Actuals!L71)/ABS('Original Budget'!L71)),"")</f>
        <v/>
      </c>
      <c r="AP56" s="123" t="n">
        <f aca="false">'Original Budget'!M71</f>
        <v>0</v>
      </c>
      <c r="AQ56" s="123" t="str">
        <f aca="false">IF(ISBLANK(Actuals!M71),"",Actuals!M71)</f>
        <v/>
      </c>
      <c r="AR56" s="124" t="str">
        <f aca="false">IF(ISBLANK(Actuals!M71),"",'Original Budget'!M71-Actuals!M71)</f>
        <v/>
      </c>
      <c r="AS56" s="124" t="str">
        <f aca="false">IFERROR(IF(ISBLANK(Actuals!M71),"",('Original Budget'!M71-Actuals!M71)/ABS('Original Budget'!M71)),"")</f>
        <v/>
      </c>
      <c r="AT56" s="123" t="n">
        <f aca="false">'Original Budget'!N71</f>
        <v>0</v>
      </c>
      <c r="AU56" s="123" t="str">
        <f aca="false">IF(ISBLANK(Actuals!N71),"",Actuals!N71)</f>
        <v/>
      </c>
      <c r="AV56" s="124" t="str">
        <f aca="false">IF(ISBLANK(Actuals!N71),"",'Original Budget'!N71-Actuals!N71)</f>
        <v/>
      </c>
      <c r="AW56" s="124" t="str">
        <f aca="false">IFERROR(IF(ISBLANK(Actuals!N71),"",('Original Budget'!N71-Actuals!N71)/ABS('Original Budget'!N71)),"")</f>
        <v/>
      </c>
      <c r="AX56" s="125" t="n">
        <f aca="false">SUMPRODUCT((Actuals!C71:N71&lt;&gt;"")*('Original Budget'!C71:N71))</f>
        <v>0</v>
      </c>
      <c r="AY56" s="125" t="n">
        <f aca="false">SUM(Actuals!C71:N71)</f>
        <v>0</v>
      </c>
      <c r="AZ56" s="126" t="n">
        <f aca="false">AX56-AY56</f>
        <v>0</v>
      </c>
    </row>
    <row r="57" customFormat="false" ht="15" hidden="false" customHeight="true" outlineLevel="0" collapsed="false">
      <c r="A57" s="122" t="s">
        <v>105</v>
      </c>
      <c r="B57" s="123" t="n">
        <f aca="false">'Original Budget'!C72</f>
        <v>0</v>
      </c>
      <c r="C57" s="123" t="str">
        <f aca="false">IF(ISBLANK(Actuals!C72),"",Actuals!C72)</f>
        <v/>
      </c>
      <c r="D57" s="124" t="str">
        <f aca="false">IF(ISBLANK(Actuals!C72),"",'Original Budget'!C72-Actuals!C72)</f>
        <v/>
      </c>
      <c r="E57" s="124" t="str">
        <f aca="false">IFERROR(IF(ISBLANK(Actuals!C72),"",('Original Budget'!C72-Actuals!C72)/ABS('Original Budget'!C72)),"")</f>
        <v/>
      </c>
      <c r="F57" s="123" t="n">
        <f aca="false">'Original Budget'!D72</f>
        <v>0</v>
      </c>
      <c r="G57" s="123" t="str">
        <f aca="false">IF(ISBLANK(Actuals!D72),"",Actuals!D72)</f>
        <v/>
      </c>
      <c r="H57" s="124" t="str">
        <f aca="false">IF(ISBLANK(Actuals!D72),"",'Original Budget'!D72-Actuals!D72)</f>
        <v/>
      </c>
      <c r="I57" s="124" t="str">
        <f aca="false">IFERROR(IF(ISBLANK(Actuals!D72),"",('Original Budget'!D72-Actuals!D72)/ABS('Original Budget'!D72)),"")</f>
        <v/>
      </c>
      <c r="J57" s="123" t="n">
        <f aca="false">'Original Budget'!E72</f>
        <v>0</v>
      </c>
      <c r="K57" s="123" t="str">
        <f aca="false">IF(ISBLANK(Actuals!E72),"",Actuals!E72)</f>
        <v/>
      </c>
      <c r="L57" s="124" t="str">
        <f aca="false">IF(ISBLANK(Actuals!E72),"",'Original Budget'!E72-Actuals!E72)</f>
        <v/>
      </c>
      <c r="M57" s="124" t="str">
        <f aca="false">IFERROR(IF(ISBLANK(Actuals!E72),"",('Original Budget'!E72-Actuals!E72)/ABS('Original Budget'!E72)),"")</f>
        <v/>
      </c>
      <c r="N57" s="123" t="n">
        <f aca="false">'Original Budget'!F72</f>
        <v>0</v>
      </c>
      <c r="O57" s="123" t="str">
        <f aca="false">IF(ISBLANK(Actuals!F72),"",Actuals!F72)</f>
        <v/>
      </c>
      <c r="P57" s="124" t="str">
        <f aca="false">IF(ISBLANK(Actuals!F72),"",'Original Budget'!F72-Actuals!F72)</f>
        <v/>
      </c>
      <c r="Q57" s="124" t="str">
        <f aca="false">IFERROR(IF(ISBLANK(Actuals!F72),"",('Original Budget'!F72-Actuals!F72)/ABS('Original Budget'!F72)),"")</f>
        <v/>
      </c>
      <c r="R57" s="123" t="n">
        <f aca="false">'Original Budget'!G72</f>
        <v>0</v>
      </c>
      <c r="S57" s="123" t="str">
        <f aca="false">IF(ISBLANK(Actuals!G72),"",Actuals!G72)</f>
        <v/>
      </c>
      <c r="T57" s="124" t="str">
        <f aca="false">IF(ISBLANK(Actuals!G72),"",'Original Budget'!G72-Actuals!G72)</f>
        <v/>
      </c>
      <c r="U57" s="124" t="str">
        <f aca="false">IFERROR(IF(ISBLANK(Actuals!G72),"",('Original Budget'!G72-Actuals!G72)/ABS('Original Budget'!G72)),"")</f>
        <v/>
      </c>
      <c r="V57" s="123" t="n">
        <f aca="false">'Original Budget'!H72</f>
        <v>0</v>
      </c>
      <c r="W57" s="123" t="str">
        <f aca="false">IF(ISBLANK(Actuals!H72),"",Actuals!H72)</f>
        <v/>
      </c>
      <c r="X57" s="124" t="str">
        <f aca="false">IF(ISBLANK(Actuals!H72),"",'Original Budget'!H72-Actuals!H72)</f>
        <v/>
      </c>
      <c r="Y57" s="124" t="str">
        <f aca="false">IFERROR(IF(ISBLANK(Actuals!H72),"",('Original Budget'!H72-Actuals!H72)/ABS('Original Budget'!H72)),"")</f>
        <v/>
      </c>
      <c r="Z57" s="123" t="n">
        <f aca="false">'Original Budget'!I72</f>
        <v>0</v>
      </c>
      <c r="AA57" s="123" t="str">
        <f aca="false">IF(ISBLANK(Actuals!I72),"",Actuals!I72)</f>
        <v/>
      </c>
      <c r="AB57" s="124" t="str">
        <f aca="false">IF(ISBLANK(Actuals!I72),"",'Original Budget'!I72-Actuals!I72)</f>
        <v/>
      </c>
      <c r="AC57" s="124" t="str">
        <f aca="false">IFERROR(IF(ISBLANK(Actuals!I72),"",('Original Budget'!I72-Actuals!I72)/ABS('Original Budget'!I72)),"")</f>
        <v/>
      </c>
      <c r="AD57" s="123" t="n">
        <f aca="false">'Original Budget'!J72</f>
        <v>0</v>
      </c>
      <c r="AE57" s="123" t="str">
        <f aca="false">IF(ISBLANK(Actuals!J72),"",Actuals!J72)</f>
        <v/>
      </c>
      <c r="AF57" s="124" t="str">
        <f aca="false">IF(ISBLANK(Actuals!J72),"",'Original Budget'!J72-Actuals!J72)</f>
        <v/>
      </c>
      <c r="AG57" s="124" t="str">
        <f aca="false">IFERROR(IF(ISBLANK(Actuals!J72),"",('Original Budget'!J72-Actuals!J72)/ABS('Original Budget'!J72)),"")</f>
        <v/>
      </c>
      <c r="AH57" s="123" t="n">
        <f aca="false">'Original Budget'!K72</f>
        <v>0</v>
      </c>
      <c r="AI57" s="123" t="str">
        <f aca="false">IF(ISBLANK(Actuals!K72),"",Actuals!K72)</f>
        <v/>
      </c>
      <c r="AJ57" s="124" t="str">
        <f aca="false">IF(ISBLANK(Actuals!K72),"",'Original Budget'!K72-Actuals!K72)</f>
        <v/>
      </c>
      <c r="AK57" s="124" t="str">
        <f aca="false">IFERROR(IF(ISBLANK(Actuals!K72),"",('Original Budget'!K72-Actuals!K72)/ABS('Original Budget'!K72)),"")</f>
        <v/>
      </c>
      <c r="AL57" s="123" t="n">
        <f aca="false">'Original Budget'!L72</f>
        <v>0</v>
      </c>
      <c r="AM57" s="123" t="str">
        <f aca="false">IF(ISBLANK(Actuals!L72),"",Actuals!L72)</f>
        <v/>
      </c>
      <c r="AN57" s="124" t="str">
        <f aca="false">IF(ISBLANK(Actuals!L72),"",'Original Budget'!L72-Actuals!L72)</f>
        <v/>
      </c>
      <c r="AO57" s="124" t="str">
        <f aca="false">IFERROR(IF(ISBLANK(Actuals!L72),"",('Original Budget'!L72-Actuals!L72)/ABS('Original Budget'!L72)),"")</f>
        <v/>
      </c>
      <c r="AP57" s="123" t="n">
        <f aca="false">'Original Budget'!M72</f>
        <v>0</v>
      </c>
      <c r="AQ57" s="123" t="str">
        <f aca="false">IF(ISBLANK(Actuals!M72),"",Actuals!M72)</f>
        <v/>
      </c>
      <c r="AR57" s="124" t="str">
        <f aca="false">IF(ISBLANK(Actuals!M72),"",'Original Budget'!M72-Actuals!M72)</f>
        <v/>
      </c>
      <c r="AS57" s="124" t="str">
        <f aca="false">IFERROR(IF(ISBLANK(Actuals!M72),"",('Original Budget'!M72-Actuals!M72)/ABS('Original Budget'!M72)),"")</f>
        <v/>
      </c>
      <c r="AT57" s="123" t="n">
        <f aca="false">'Original Budget'!N72</f>
        <v>0</v>
      </c>
      <c r="AU57" s="123" t="str">
        <f aca="false">IF(ISBLANK(Actuals!N72),"",Actuals!N72)</f>
        <v/>
      </c>
      <c r="AV57" s="124" t="str">
        <f aca="false">IF(ISBLANK(Actuals!N72),"",'Original Budget'!N72-Actuals!N72)</f>
        <v/>
      </c>
      <c r="AW57" s="124" t="str">
        <f aca="false">IFERROR(IF(ISBLANK(Actuals!N72),"",('Original Budget'!N72-Actuals!N72)/ABS('Original Budget'!N72)),"")</f>
        <v/>
      </c>
      <c r="AX57" s="125" t="n">
        <f aca="false">SUMPRODUCT((Actuals!C72:N72&lt;&gt;"")*('Original Budget'!C72:N72))</f>
        <v>0</v>
      </c>
      <c r="AY57" s="125" t="n">
        <f aca="false">SUM(Actuals!C72:N72)</f>
        <v>0</v>
      </c>
      <c r="AZ57" s="126" t="n">
        <f aca="false">AX57-AY57</f>
        <v>0</v>
      </c>
    </row>
    <row r="58" customFormat="false" ht="15" hidden="false" customHeight="true" outlineLevel="0" collapsed="false">
      <c r="A58" s="122" t="s">
        <v>106</v>
      </c>
      <c r="B58" s="123" t="n">
        <f aca="false">'Original Budget'!C73</f>
        <v>0</v>
      </c>
      <c r="C58" s="123" t="str">
        <f aca="false">IF(ISBLANK(Actuals!C73),"",Actuals!C73)</f>
        <v/>
      </c>
      <c r="D58" s="124" t="str">
        <f aca="false">IF(ISBLANK(Actuals!C73),"",'Original Budget'!C73-Actuals!C73)</f>
        <v/>
      </c>
      <c r="E58" s="124" t="str">
        <f aca="false">IFERROR(IF(ISBLANK(Actuals!C73),"",('Original Budget'!C73-Actuals!C73)/ABS('Original Budget'!C73)),"")</f>
        <v/>
      </c>
      <c r="F58" s="123" t="n">
        <f aca="false">'Original Budget'!D73</f>
        <v>0</v>
      </c>
      <c r="G58" s="123" t="str">
        <f aca="false">IF(ISBLANK(Actuals!D73),"",Actuals!D73)</f>
        <v/>
      </c>
      <c r="H58" s="124" t="str">
        <f aca="false">IF(ISBLANK(Actuals!D73),"",'Original Budget'!D73-Actuals!D73)</f>
        <v/>
      </c>
      <c r="I58" s="124" t="str">
        <f aca="false">IFERROR(IF(ISBLANK(Actuals!D73),"",('Original Budget'!D73-Actuals!D73)/ABS('Original Budget'!D73)),"")</f>
        <v/>
      </c>
      <c r="J58" s="123" t="n">
        <f aca="false">'Original Budget'!E73</f>
        <v>0</v>
      </c>
      <c r="K58" s="123" t="str">
        <f aca="false">IF(ISBLANK(Actuals!E73),"",Actuals!E73)</f>
        <v/>
      </c>
      <c r="L58" s="124" t="str">
        <f aca="false">IF(ISBLANK(Actuals!E73),"",'Original Budget'!E73-Actuals!E73)</f>
        <v/>
      </c>
      <c r="M58" s="124" t="str">
        <f aca="false">IFERROR(IF(ISBLANK(Actuals!E73),"",('Original Budget'!E73-Actuals!E73)/ABS('Original Budget'!E73)),"")</f>
        <v/>
      </c>
      <c r="N58" s="123" t="n">
        <f aca="false">'Original Budget'!F73</f>
        <v>0</v>
      </c>
      <c r="O58" s="123" t="str">
        <f aca="false">IF(ISBLANK(Actuals!F73),"",Actuals!F73)</f>
        <v/>
      </c>
      <c r="P58" s="124" t="str">
        <f aca="false">IF(ISBLANK(Actuals!F73),"",'Original Budget'!F73-Actuals!F73)</f>
        <v/>
      </c>
      <c r="Q58" s="124" t="str">
        <f aca="false">IFERROR(IF(ISBLANK(Actuals!F73),"",('Original Budget'!F73-Actuals!F73)/ABS('Original Budget'!F73)),"")</f>
        <v/>
      </c>
      <c r="R58" s="123" t="n">
        <f aca="false">'Original Budget'!G73</f>
        <v>0</v>
      </c>
      <c r="S58" s="123" t="str">
        <f aca="false">IF(ISBLANK(Actuals!G73),"",Actuals!G73)</f>
        <v/>
      </c>
      <c r="T58" s="124" t="str">
        <f aca="false">IF(ISBLANK(Actuals!G73),"",'Original Budget'!G73-Actuals!G73)</f>
        <v/>
      </c>
      <c r="U58" s="124" t="str">
        <f aca="false">IFERROR(IF(ISBLANK(Actuals!G73),"",('Original Budget'!G73-Actuals!G73)/ABS('Original Budget'!G73)),"")</f>
        <v/>
      </c>
      <c r="V58" s="123" t="n">
        <f aca="false">'Original Budget'!H73</f>
        <v>0</v>
      </c>
      <c r="W58" s="123" t="str">
        <f aca="false">IF(ISBLANK(Actuals!H73),"",Actuals!H73)</f>
        <v/>
      </c>
      <c r="X58" s="124" t="str">
        <f aca="false">IF(ISBLANK(Actuals!H73),"",'Original Budget'!H73-Actuals!H73)</f>
        <v/>
      </c>
      <c r="Y58" s="124" t="str">
        <f aca="false">IFERROR(IF(ISBLANK(Actuals!H73),"",('Original Budget'!H73-Actuals!H73)/ABS('Original Budget'!H73)),"")</f>
        <v/>
      </c>
      <c r="Z58" s="123" t="n">
        <f aca="false">'Original Budget'!I73</f>
        <v>0</v>
      </c>
      <c r="AA58" s="123" t="str">
        <f aca="false">IF(ISBLANK(Actuals!I73),"",Actuals!I73)</f>
        <v/>
      </c>
      <c r="AB58" s="124" t="str">
        <f aca="false">IF(ISBLANK(Actuals!I73),"",'Original Budget'!I73-Actuals!I73)</f>
        <v/>
      </c>
      <c r="AC58" s="124" t="str">
        <f aca="false">IFERROR(IF(ISBLANK(Actuals!I73),"",('Original Budget'!I73-Actuals!I73)/ABS('Original Budget'!I73)),"")</f>
        <v/>
      </c>
      <c r="AD58" s="123" t="n">
        <f aca="false">'Original Budget'!J73</f>
        <v>0</v>
      </c>
      <c r="AE58" s="123" t="str">
        <f aca="false">IF(ISBLANK(Actuals!J73),"",Actuals!J73)</f>
        <v/>
      </c>
      <c r="AF58" s="124" t="str">
        <f aca="false">IF(ISBLANK(Actuals!J73),"",'Original Budget'!J73-Actuals!J73)</f>
        <v/>
      </c>
      <c r="AG58" s="124" t="str">
        <f aca="false">IFERROR(IF(ISBLANK(Actuals!J73),"",('Original Budget'!J73-Actuals!J73)/ABS('Original Budget'!J73)),"")</f>
        <v/>
      </c>
      <c r="AH58" s="123" t="n">
        <f aca="false">'Original Budget'!K73</f>
        <v>0</v>
      </c>
      <c r="AI58" s="123" t="str">
        <f aca="false">IF(ISBLANK(Actuals!K73),"",Actuals!K73)</f>
        <v/>
      </c>
      <c r="AJ58" s="124" t="str">
        <f aca="false">IF(ISBLANK(Actuals!K73),"",'Original Budget'!K73-Actuals!K73)</f>
        <v/>
      </c>
      <c r="AK58" s="124" t="str">
        <f aca="false">IFERROR(IF(ISBLANK(Actuals!K73),"",('Original Budget'!K73-Actuals!K73)/ABS('Original Budget'!K73)),"")</f>
        <v/>
      </c>
      <c r="AL58" s="123" t="n">
        <f aca="false">'Original Budget'!L73</f>
        <v>0</v>
      </c>
      <c r="AM58" s="123" t="str">
        <f aca="false">IF(ISBLANK(Actuals!L73),"",Actuals!L73)</f>
        <v/>
      </c>
      <c r="AN58" s="124" t="str">
        <f aca="false">IF(ISBLANK(Actuals!L73),"",'Original Budget'!L73-Actuals!L73)</f>
        <v/>
      </c>
      <c r="AO58" s="124" t="str">
        <f aca="false">IFERROR(IF(ISBLANK(Actuals!L73),"",('Original Budget'!L73-Actuals!L73)/ABS('Original Budget'!L73)),"")</f>
        <v/>
      </c>
      <c r="AP58" s="123" t="n">
        <f aca="false">'Original Budget'!M73</f>
        <v>0</v>
      </c>
      <c r="AQ58" s="123" t="str">
        <f aca="false">IF(ISBLANK(Actuals!M73),"",Actuals!M73)</f>
        <v/>
      </c>
      <c r="AR58" s="124" t="str">
        <f aca="false">IF(ISBLANK(Actuals!M73),"",'Original Budget'!M73-Actuals!M73)</f>
        <v/>
      </c>
      <c r="AS58" s="124" t="str">
        <f aca="false">IFERROR(IF(ISBLANK(Actuals!M73),"",('Original Budget'!M73-Actuals!M73)/ABS('Original Budget'!M73)),"")</f>
        <v/>
      </c>
      <c r="AT58" s="123" t="n">
        <f aca="false">'Original Budget'!N73</f>
        <v>0</v>
      </c>
      <c r="AU58" s="123" t="str">
        <f aca="false">IF(ISBLANK(Actuals!N73),"",Actuals!N73)</f>
        <v/>
      </c>
      <c r="AV58" s="124" t="str">
        <f aca="false">IF(ISBLANK(Actuals!N73),"",'Original Budget'!N73-Actuals!N73)</f>
        <v/>
      </c>
      <c r="AW58" s="124" t="str">
        <f aca="false">IFERROR(IF(ISBLANK(Actuals!N73),"",('Original Budget'!N73-Actuals!N73)/ABS('Original Budget'!N73)),"")</f>
        <v/>
      </c>
      <c r="AX58" s="125" t="n">
        <f aca="false">SUMPRODUCT((Actuals!C73:N73&lt;&gt;"")*('Original Budget'!C73:N73))</f>
        <v>0</v>
      </c>
      <c r="AY58" s="125" t="n">
        <f aca="false">SUM(Actuals!C73:N73)</f>
        <v>0</v>
      </c>
      <c r="AZ58" s="126" t="n">
        <f aca="false">AX58-AY58</f>
        <v>0</v>
      </c>
    </row>
    <row r="59" customFormat="false" ht="15" hidden="false" customHeight="true" outlineLevel="0" collapsed="false">
      <c r="A59" s="122" t="s">
        <v>107</v>
      </c>
      <c r="B59" s="123" t="n">
        <f aca="false">'Original Budget'!C74</f>
        <v>0</v>
      </c>
      <c r="C59" s="123" t="str">
        <f aca="false">IF(ISBLANK(Actuals!C74),"",Actuals!C74)</f>
        <v/>
      </c>
      <c r="D59" s="124" t="str">
        <f aca="false">IF(ISBLANK(Actuals!C74),"",'Original Budget'!C74-Actuals!C74)</f>
        <v/>
      </c>
      <c r="E59" s="124" t="str">
        <f aca="false">IFERROR(IF(ISBLANK(Actuals!C74),"",('Original Budget'!C74-Actuals!C74)/ABS('Original Budget'!C74)),"")</f>
        <v/>
      </c>
      <c r="F59" s="123" t="n">
        <f aca="false">'Original Budget'!D74</f>
        <v>0</v>
      </c>
      <c r="G59" s="123" t="str">
        <f aca="false">IF(ISBLANK(Actuals!D74),"",Actuals!D74)</f>
        <v/>
      </c>
      <c r="H59" s="124" t="str">
        <f aca="false">IF(ISBLANK(Actuals!D74),"",'Original Budget'!D74-Actuals!D74)</f>
        <v/>
      </c>
      <c r="I59" s="124" t="str">
        <f aca="false">IFERROR(IF(ISBLANK(Actuals!D74),"",('Original Budget'!D74-Actuals!D74)/ABS('Original Budget'!D74)),"")</f>
        <v/>
      </c>
      <c r="J59" s="123" t="n">
        <f aca="false">'Original Budget'!E74</f>
        <v>0</v>
      </c>
      <c r="K59" s="123" t="str">
        <f aca="false">IF(ISBLANK(Actuals!E74),"",Actuals!E74)</f>
        <v/>
      </c>
      <c r="L59" s="124" t="str">
        <f aca="false">IF(ISBLANK(Actuals!E74),"",'Original Budget'!E74-Actuals!E74)</f>
        <v/>
      </c>
      <c r="M59" s="124" t="str">
        <f aca="false">IFERROR(IF(ISBLANK(Actuals!E74),"",('Original Budget'!E74-Actuals!E74)/ABS('Original Budget'!E74)),"")</f>
        <v/>
      </c>
      <c r="N59" s="123" t="n">
        <f aca="false">'Original Budget'!F74</f>
        <v>0</v>
      </c>
      <c r="O59" s="123" t="str">
        <f aca="false">IF(ISBLANK(Actuals!F74),"",Actuals!F74)</f>
        <v/>
      </c>
      <c r="P59" s="124" t="str">
        <f aca="false">IF(ISBLANK(Actuals!F74),"",'Original Budget'!F74-Actuals!F74)</f>
        <v/>
      </c>
      <c r="Q59" s="124" t="str">
        <f aca="false">IFERROR(IF(ISBLANK(Actuals!F74),"",('Original Budget'!F74-Actuals!F74)/ABS('Original Budget'!F74)),"")</f>
        <v/>
      </c>
      <c r="R59" s="123" t="n">
        <f aca="false">'Original Budget'!G74</f>
        <v>0</v>
      </c>
      <c r="S59" s="123" t="str">
        <f aca="false">IF(ISBLANK(Actuals!G74),"",Actuals!G74)</f>
        <v/>
      </c>
      <c r="T59" s="124" t="str">
        <f aca="false">IF(ISBLANK(Actuals!G74),"",'Original Budget'!G74-Actuals!G74)</f>
        <v/>
      </c>
      <c r="U59" s="124" t="str">
        <f aca="false">IFERROR(IF(ISBLANK(Actuals!G74),"",('Original Budget'!G74-Actuals!G74)/ABS('Original Budget'!G74)),"")</f>
        <v/>
      </c>
      <c r="V59" s="123" t="n">
        <f aca="false">'Original Budget'!H74</f>
        <v>0</v>
      </c>
      <c r="W59" s="123" t="str">
        <f aca="false">IF(ISBLANK(Actuals!H74),"",Actuals!H74)</f>
        <v/>
      </c>
      <c r="X59" s="124" t="str">
        <f aca="false">IF(ISBLANK(Actuals!H74),"",'Original Budget'!H74-Actuals!H74)</f>
        <v/>
      </c>
      <c r="Y59" s="124" t="str">
        <f aca="false">IFERROR(IF(ISBLANK(Actuals!H74),"",('Original Budget'!H74-Actuals!H74)/ABS('Original Budget'!H74)),"")</f>
        <v/>
      </c>
      <c r="Z59" s="123" t="n">
        <f aca="false">'Original Budget'!I74</f>
        <v>0</v>
      </c>
      <c r="AA59" s="123" t="str">
        <f aca="false">IF(ISBLANK(Actuals!I74),"",Actuals!I74)</f>
        <v/>
      </c>
      <c r="AB59" s="124" t="str">
        <f aca="false">IF(ISBLANK(Actuals!I74),"",'Original Budget'!I74-Actuals!I74)</f>
        <v/>
      </c>
      <c r="AC59" s="124" t="str">
        <f aca="false">IFERROR(IF(ISBLANK(Actuals!I74),"",('Original Budget'!I74-Actuals!I74)/ABS('Original Budget'!I74)),"")</f>
        <v/>
      </c>
      <c r="AD59" s="123" t="n">
        <f aca="false">'Original Budget'!J74</f>
        <v>0</v>
      </c>
      <c r="AE59" s="123" t="str">
        <f aca="false">IF(ISBLANK(Actuals!J74),"",Actuals!J74)</f>
        <v/>
      </c>
      <c r="AF59" s="124" t="str">
        <f aca="false">IF(ISBLANK(Actuals!J74),"",'Original Budget'!J74-Actuals!J74)</f>
        <v/>
      </c>
      <c r="AG59" s="124" t="str">
        <f aca="false">IFERROR(IF(ISBLANK(Actuals!J74),"",('Original Budget'!J74-Actuals!J74)/ABS('Original Budget'!J74)),"")</f>
        <v/>
      </c>
      <c r="AH59" s="123" t="n">
        <f aca="false">'Original Budget'!K74</f>
        <v>0</v>
      </c>
      <c r="AI59" s="123" t="str">
        <f aca="false">IF(ISBLANK(Actuals!K74),"",Actuals!K74)</f>
        <v/>
      </c>
      <c r="AJ59" s="124" t="str">
        <f aca="false">IF(ISBLANK(Actuals!K74),"",'Original Budget'!K74-Actuals!K74)</f>
        <v/>
      </c>
      <c r="AK59" s="124" t="str">
        <f aca="false">IFERROR(IF(ISBLANK(Actuals!K74),"",('Original Budget'!K74-Actuals!K74)/ABS('Original Budget'!K74)),"")</f>
        <v/>
      </c>
      <c r="AL59" s="123" t="n">
        <f aca="false">'Original Budget'!L74</f>
        <v>0</v>
      </c>
      <c r="AM59" s="123" t="str">
        <f aca="false">IF(ISBLANK(Actuals!L74),"",Actuals!L74)</f>
        <v/>
      </c>
      <c r="AN59" s="124" t="str">
        <f aca="false">IF(ISBLANK(Actuals!L74),"",'Original Budget'!L74-Actuals!L74)</f>
        <v/>
      </c>
      <c r="AO59" s="124" t="str">
        <f aca="false">IFERROR(IF(ISBLANK(Actuals!L74),"",('Original Budget'!L74-Actuals!L74)/ABS('Original Budget'!L74)),"")</f>
        <v/>
      </c>
      <c r="AP59" s="123" t="n">
        <f aca="false">'Original Budget'!M74</f>
        <v>0</v>
      </c>
      <c r="AQ59" s="123" t="str">
        <f aca="false">IF(ISBLANK(Actuals!M74),"",Actuals!M74)</f>
        <v/>
      </c>
      <c r="AR59" s="124" t="str">
        <f aca="false">IF(ISBLANK(Actuals!M74),"",'Original Budget'!M74-Actuals!M74)</f>
        <v/>
      </c>
      <c r="AS59" s="124" t="str">
        <f aca="false">IFERROR(IF(ISBLANK(Actuals!M74),"",('Original Budget'!M74-Actuals!M74)/ABS('Original Budget'!M74)),"")</f>
        <v/>
      </c>
      <c r="AT59" s="123" t="n">
        <f aca="false">'Original Budget'!N74</f>
        <v>0</v>
      </c>
      <c r="AU59" s="123" t="str">
        <f aca="false">IF(ISBLANK(Actuals!N74),"",Actuals!N74)</f>
        <v/>
      </c>
      <c r="AV59" s="124" t="str">
        <f aca="false">IF(ISBLANK(Actuals!N74),"",'Original Budget'!N74-Actuals!N74)</f>
        <v/>
      </c>
      <c r="AW59" s="124" t="str">
        <f aca="false">IFERROR(IF(ISBLANK(Actuals!N74),"",('Original Budget'!N74-Actuals!N74)/ABS('Original Budget'!N74)),"")</f>
        <v/>
      </c>
      <c r="AX59" s="125" t="n">
        <f aca="false">SUMPRODUCT((Actuals!C74:N74&lt;&gt;"")*('Original Budget'!C74:N74))</f>
        <v>0</v>
      </c>
      <c r="AY59" s="125" t="n">
        <f aca="false">SUM(Actuals!C74:N74)</f>
        <v>0</v>
      </c>
      <c r="AZ59" s="126" t="n">
        <f aca="false">AX59-AY59</f>
        <v>0</v>
      </c>
    </row>
    <row r="60" customFormat="false" ht="15" hidden="false" customHeight="true" outlineLevel="0" collapsed="false">
      <c r="A60" s="122" t="s">
        <v>108</v>
      </c>
      <c r="B60" s="123" t="n">
        <f aca="false">'Original Budget'!C75</f>
        <v>0</v>
      </c>
      <c r="C60" s="123" t="str">
        <f aca="false">IF(ISBLANK(Actuals!C75),"",Actuals!C75)</f>
        <v/>
      </c>
      <c r="D60" s="124" t="str">
        <f aca="false">IF(ISBLANK(Actuals!C75),"",'Original Budget'!C75-Actuals!C75)</f>
        <v/>
      </c>
      <c r="E60" s="124" t="str">
        <f aca="false">IFERROR(IF(ISBLANK(Actuals!C75),"",('Original Budget'!C75-Actuals!C75)/ABS('Original Budget'!C75)),"")</f>
        <v/>
      </c>
      <c r="F60" s="123" t="n">
        <f aca="false">'Original Budget'!D75</f>
        <v>0</v>
      </c>
      <c r="G60" s="123" t="str">
        <f aca="false">IF(ISBLANK(Actuals!D75),"",Actuals!D75)</f>
        <v/>
      </c>
      <c r="H60" s="124" t="str">
        <f aca="false">IF(ISBLANK(Actuals!D75),"",'Original Budget'!D75-Actuals!D75)</f>
        <v/>
      </c>
      <c r="I60" s="124" t="str">
        <f aca="false">IFERROR(IF(ISBLANK(Actuals!D75),"",('Original Budget'!D75-Actuals!D75)/ABS('Original Budget'!D75)),"")</f>
        <v/>
      </c>
      <c r="J60" s="123" t="n">
        <f aca="false">'Original Budget'!E75</f>
        <v>0</v>
      </c>
      <c r="K60" s="123" t="str">
        <f aca="false">IF(ISBLANK(Actuals!E75),"",Actuals!E75)</f>
        <v/>
      </c>
      <c r="L60" s="124" t="str">
        <f aca="false">IF(ISBLANK(Actuals!E75),"",'Original Budget'!E75-Actuals!E75)</f>
        <v/>
      </c>
      <c r="M60" s="124" t="str">
        <f aca="false">IFERROR(IF(ISBLANK(Actuals!E75),"",('Original Budget'!E75-Actuals!E75)/ABS('Original Budget'!E75)),"")</f>
        <v/>
      </c>
      <c r="N60" s="123" t="n">
        <f aca="false">'Original Budget'!F75</f>
        <v>0</v>
      </c>
      <c r="O60" s="123" t="str">
        <f aca="false">IF(ISBLANK(Actuals!F75),"",Actuals!F75)</f>
        <v/>
      </c>
      <c r="P60" s="124" t="str">
        <f aca="false">IF(ISBLANK(Actuals!F75),"",'Original Budget'!F75-Actuals!F75)</f>
        <v/>
      </c>
      <c r="Q60" s="124" t="str">
        <f aca="false">IFERROR(IF(ISBLANK(Actuals!F75),"",('Original Budget'!F75-Actuals!F75)/ABS('Original Budget'!F75)),"")</f>
        <v/>
      </c>
      <c r="R60" s="123" t="n">
        <f aca="false">'Original Budget'!G75</f>
        <v>0</v>
      </c>
      <c r="S60" s="123" t="str">
        <f aca="false">IF(ISBLANK(Actuals!G75),"",Actuals!G75)</f>
        <v/>
      </c>
      <c r="T60" s="124" t="str">
        <f aca="false">IF(ISBLANK(Actuals!G75),"",'Original Budget'!G75-Actuals!G75)</f>
        <v/>
      </c>
      <c r="U60" s="124" t="str">
        <f aca="false">IFERROR(IF(ISBLANK(Actuals!G75),"",('Original Budget'!G75-Actuals!G75)/ABS('Original Budget'!G75)),"")</f>
        <v/>
      </c>
      <c r="V60" s="123" t="n">
        <f aca="false">'Original Budget'!H75</f>
        <v>0</v>
      </c>
      <c r="W60" s="123" t="str">
        <f aca="false">IF(ISBLANK(Actuals!H75),"",Actuals!H75)</f>
        <v/>
      </c>
      <c r="X60" s="124" t="str">
        <f aca="false">IF(ISBLANK(Actuals!H75),"",'Original Budget'!H75-Actuals!H75)</f>
        <v/>
      </c>
      <c r="Y60" s="124" t="str">
        <f aca="false">IFERROR(IF(ISBLANK(Actuals!H75),"",('Original Budget'!H75-Actuals!H75)/ABS('Original Budget'!H75)),"")</f>
        <v/>
      </c>
      <c r="Z60" s="123" t="n">
        <f aca="false">'Original Budget'!I75</f>
        <v>0</v>
      </c>
      <c r="AA60" s="123" t="str">
        <f aca="false">IF(ISBLANK(Actuals!I75),"",Actuals!I75)</f>
        <v/>
      </c>
      <c r="AB60" s="124" t="str">
        <f aca="false">IF(ISBLANK(Actuals!I75),"",'Original Budget'!I75-Actuals!I75)</f>
        <v/>
      </c>
      <c r="AC60" s="124" t="str">
        <f aca="false">IFERROR(IF(ISBLANK(Actuals!I75),"",('Original Budget'!I75-Actuals!I75)/ABS('Original Budget'!I75)),"")</f>
        <v/>
      </c>
      <c r="AD60" s="123" t="n">
        <f aca="false">'Original Budget'!J75</f>
        <v>0</v>
      </c>
      <c r="AE60" s="123" t="str">
        <f aca="false">IF(ISBLANK(Actuals!J75),"",Actuals!J75)</f>
        <v/>
      </c>
      <c r="AF60" s="124" t="str">
        <f aca="false">IF(ISBLANK(Actuals!J75),"",'Original Budget'!J75-Actuals!J75)</f>
        <v/>
      </c>
      <c r="AG60" s="124" t="str">
        <f aca="false">IFERROR(IF(ISBLANK(Actuals!J75),"",('Original Budget'!J75-Actuals!J75)/ABS('Original Budget'!J75)),"")</f>
        <v/>
      </c>
      <c r="AH60" s="123" t="n">
        <f aca="false">'Original Budget'!K75</f>
        <v>0</v>
      </c>
      <c r="AI60" s="123" t="str">
        <f aca="false">IF(ISBLANK(Actuals!K75),"",Actuals!K75)</f>
        <v/>
      </c>
      <c r="AJ60" s="124" t="str">
        <f aca="false">IF(ISBLANK(Actuals!K75),"",'Original Budget'!K75-Actuals!K75)</f>
        <v/>
      </c>
      <c r="AK60" s="124" t="str">
        <f aca="false">IFERROR(IF(ISBLANK(Actuals!K75),"",('Original Budget'!K75-Actuals!K75)/ABS('Original Budget'!K75)),"")</f>
        <v/>
      </c>
      <c r="AL60" s="123" t="n">
        <f aca="false">'Original Budget'!L75</f>
        <v>0</v>
      </c>
      <c r="AM60" s="123" t="str">
        <f aca="false">IF(ISBLANK(Actuals!L75),"",Actuals!L75)</f>
        <v/>
      </c>
      <c r="AN60" s="124" t="str">
        <f aca="false">IF(ISBLANK(Actuals!L75),"",'Original Budget'!L75-Actuals!L75)</f>
        <v/>
      </c>
      <c r="AO60" s="124" t="str">
        <f aca="false">IFERROR(IF(ISBLANK(Actuals!L75),"",('Original Budget'!L75-Actuals!L75)/ABS('Original Budget'!L75)),"")</f>
        <v/>
      </c>
      <c r="AP60" s="123" t="n">
        <f aca="false">'Original Budget'!M75</f>
        <v>0</v>
      </c>
      <c r="AQ60" s="123" t="str">
        <f aca="false">IF(ISBLANK(Actuals!M75),"",Actuals!M75)</f>
        <v/>
      </c>
      <c r="AR60" s="124" t="str">
        <f aca="false">IF(ISBLANK(Actuals!M75),"",'Original Budget'!M75-Actuals!M75)</f>
        <v/>
      </c>
      <c r="AS60" s="124" t="str">
        <f aca="false">IFERROR(IF(ISBLANK(Actuals!M75),"",('Original Budget'!M75-Actuals!M75)/ABS('Original Budget'!M75)),"")</f>
        <v/>
      </c>
      <c r="AT60" s="123" t="n">
        <f aca="false">'Original Budget'!N75</f>
        <v>0</v>
      </c>
      <c r="AU60" s="123" t="str">
        <f aca="false">IF(ISBLANK(Actuals!N75),"",Actuals!N75)</f>
        <v/>
      </c>
      <c r="AV60" s="124" t="str">
        <f aca="false">IF(ISBLANK(Actuals!N75),"",'Original Budget'!N75-Actuals!N75)</f>
        <v/>
      </c>
      <c r="AW60" s="124" t="str">
        <f aca="false">IFERROR(IF(ISBLANK(Actuals!N75),"",('Original Budget'!N75-Actuals!N75)/ABS('Original Budget'!N75)),"")</f>
        <v/>
      </c>
      <c r="AX60" s="125" t="n">
        <f aca="false">SUMPRODUCT((Actuals!C75:N75&lt;&gt;"")*('Original Budget'!C75:N75))</f>
        <v>0</v>
      </c>
      <c r="AY60" s="125" t="n">
        <f aca="false">SUM(Actuals!C75:N75)</f>
        <v>0</v>
      </c>
      <c r="AZ60" s="126" t="n">
        <f aca="false">AX60-AY60</f>
        <v>0</v>
      </c>
    </row>
    <row r="61" customFormat="false" ht="15" hidden="false" customHeight="true" outlineLevel="0" collapsed="false">
      <c r="A61" s="122" t="s">
        <v>109</v>
      </c>
      <c r="B61" s="123" t="n">
        <f aca="false">'Original Budget'!C76</f>
        <v>0</v>
      </c>
      <c r="C61" s="123" t="str">
        <f aca="false">IF(ISBLANK(Actuals!C76),"",Actuals!C76)</f>
        <v/>
      </c>
      <c r="D61" s="124" t="str">
        <f aca="false">IF(ISBLANK(Actuals!C76),"",'Original Budget'!C76-Actuals!C76)</f>
        <v/>
      </c>
      <c r="E61" s="124" t="str">
        <f aca="false">IFERROR(IF(ISBLANK(Actuals!C76),"",('Original Budget'!C76-Actuals!C76)/ABS('Original Budget'!C76)),"")</f>
        <v/>
      </c>
      <c r="F61" s="123" t="n">
        <f aca="false">'Original Budget'!D76</f>
        <v>0</v>
      </c>
      <c r="G61" s="123" t="str">
        <f aca="false">IF(ISBLANK(Actuals!D76),"",Actuals!D76)</f>
        <v/>
      </c>
      <c r="H61" s="124" t="str">
        <f aca="false">IF(ISBLANK(Actuals!D76),"",'Original Budget'!D76-Actuals!D76)</f>
        <v/>
      </c>
      <c r="I61" s="124" t="str">
        <f aca="false">IFERROR(IF(ISBLANK(Actuals!D76),"",('Original Budget'!D76-Actuals!D76)/ABS('Original Budget'!D76)),"")</f>
        <v/>
      </c>
      <c r="J61" s="123" t="n">
        <f aca="false">'Original Budget'!E76</f>
        <v>0</v>
      </c>
      <c r="K61" s="123" t="str">
        <f aca="false">IF(ISBLANK(Actuals!E76),"",Actuals!E76)</f>
        <v/>
      </c>
      <c r="L61" s="124" t="str">
        <f aca="false">IF(ISBLANK(Actuals!E76),"",'Original Budget'!E76-Actuals!E76)</f>
        <v/>
      </c>
      <c r="M61" s="124" t="str">
        <f aca="false">IFERROR(IF(ISBLANK(Actuals!E76),"",('Original Budget'!E76-Actuals!E76)/ABS('Original Budget'!E76)),"")</f>
        <v/>
      </c>
      <c r="N61" s="123" t="n">
        <f aca="false">'Original Budget'!F76</f>
        <v>0</v>
      </c>
      <c r="O61" s="123" t="str">
        <f aca="false">IF(ISBLANK(Actuals!F76),"",Actuals!F76)</f>
        <v/>
      </c>
      <c r="P61" s="124" t="str">
        <f aca="false">IF(ISBLANK(Actuals!F76),"",'Original Budget'!F76-Actuals!F76)</f>
        <v/>
      </c>
      <c r="Q61" s="124" t="str">
        <f aca="false">IFERROR(IF(ISBLANK(Actuals!F76),"",('Original Budget'!F76-Actuals!F76)/ABS('Original Budget'!F76)),"")</f>
        <v/>
      </c>
      <c r="R61" s="123" t="n">
        <f aca="false">'Original Budget'!G76</f>
        <v>0</v>
      </c>
      <c r="S61" s="123" t="str">
        <f aca="false">IF(ISBLANK(Actuals!G76),"",Actuals!G76)</f>
        <v/>
      </c>
      <c r="T61" s="124" t="str">
        <f aca="false">IF(ISBLANK(Actuals!G76),"",'Original Budget'!G76-Actuals!G76)</f>
        <v/>
      </c>
      <c r="U61" s="124" t="str">
        <f aca="false">IFERROR(IF(ISBLANK(Actuals!G76),"",('Original Budget'!G76-Actuals!G76)/ABS('Original Budget'!G76)),"")</f>
        <v/>
      </c>
      <c r="V61" s="123" t="n">
        <f aca="false">'Original Budget'!H76</f>
        <v>0</v>
      </c>
      <c r="W61" s="123" t="str">
        <f aca="false">IF(ISBLANK(Actuals!H76),"",Actuals!H76)</f>
        <v/>
      </c>
      <c r="X61" s="124" t="str">
        <f aca="false">IF(ISBLANK(Actuals!H76),"",'Original Budget'!H76-Actuals!H76)</f>
        <v/>
      </c>
      <c r="Y61" s="124" t="str">
        <f aca="false">IFERROR(IF(ISBLANK(Actuals!H76),"",('Original Budget'!H76-Actuals!H76)/ABS('Original Budget'!H76)),"")</f>
        <v/>
      </c>
      <c r="Z61" s="123" t="n">
        <f aca="false">'Original Budget'!I76</f>
        <v>0</v>
      </c>
      <c r="AA61" s="123" t="str">
        <f aca="false">IF(ISBLANK(Actuals!I76),"",Actuals!I76)</f>
        <v/>
      </c>
      <c r="AB61" s="124" t="str">
        <f aca="false">IF(ISBLANK(Actuals!I76),"",'Original Budget'!I76-Actuals!I76)</f>
        <v/>
      </c>
      <c r="AC61" s="124" t="str">
        <f aca="false">IFERROR(IF(ISBLANK(Actuals!I76),"",('Original Budget'!I76-Actuals!I76)/ABS('Original Budget'!I76)),"")</f>
        <v/>
      </c>
      <c r="AD61" s="123" t="n">
        <f aca="false">'Original Budget'!J76</f>
        <v>0</v>
      </c>
      <c r="AE61" s="123" t="str">
        <f aca="false">IF(ISBLANK(Actuals!J76),"",Actuals!J76)</f>
        <v/>
      </c>
      <c r="AF61" s="124" t="str">
        <f aca="false">IF(ISBLANK(Actuals!J76),"",'Original Budget'!J76-Actuals!J76)</f>
        <v/>
      </c>
      <c r="AG61" s="124" t="str">
        <f aca="false">IFERROR(IF(ISBLANK(Actuals!J76),"",('Original Budget'!J76-Actuals!J76)/ABS('Original Budget'!J76)),"")</f>
        <v/>
      </c>
      <c r="AH61" s="123" t="n">
        <f aca="false">'Original Budget'!K76</f>
        <v>0</v>
      </c>
      <c r="AI61" s="123" t="str">
        <f aca="false">IF(ISBLANK(Actuals!K76),"",Actuals!K76)</f>
        <v/>
      </c>
      <c r="AJ61" s="124" t="str">
        <f aca="false">IF(ISBLANK(Actuals!K76),"",'Original Budget'!K76-Actuals!K76)</f>
        <v/>
      </c>
      <c r="AK61" s="124" t="str">
        <f aca="false">IFERROR(IF(ISBLANK(Actuals!K76),"",('Original Budget'!K76-Actuals!K76)/ABS('Original Budget'!K76)),"")</f>
        <v/>
      </c>
      <c r="AL61" s="123" t="n">
        <f aca="false">'Original Budget'!L76</f>
        <v>0</v>
      </c>
      <c r="AM61" s="123" t="str">
        <f aca="false">IF(ISBLANK(Actuals!L76),"",Actuals!L76)</f>
        <v/>
      </c>
      <c r="AN61" s="124" t="str">
        <f aca="false">IF(ISBLANK(Actuals!L76),"",'Original Budget'!L76-Actuals!L76)</f>
        <v/>
      </c>
      <c r="AO61" s="124" t="str">
        <f aca="false">IFERROR(IF(ISBLANK(Actuals!L76),"",('Original Budget'!L76-Actuals!L76)/ABS('Original Budget'!L76)),"")</f>
        <v/>
      </c>
      <c r="AP61" s="123" t="n">
        <f aca="false">'Original Budget'!M76</f>
        <v>0</v>
      </c>
      <c r="AQ61" s="123" t="str">
        <f aca="false">IF(ISBLANK(Actuals!M76),"",Actuals!M76)</f>
        <v/>
      </c>
      <c r="AR61" s="124" t="str">
        <f aca="false">IF(ISBLANK(Actuals!M76),"",'Original Budget'!M76-Actuals!M76)</f>
        <v/>
      </c>
      <c r="AS61" s="124" t="str">
        <f aca="false">IFERROR(IF(ISBLANK(Actuals!M76),"",('Original Budget'!M76-Actuals!M76)/ABS('Original Budget'!M76)),"")</f>
        <v/>
      </c>
      <c r="AT61" s="123" t="n">
        <f aca="false">'Original Budget'!N76</f>
        <v>0</v>
      </c>
      <c r="AU61" s="123" t="str">
        <f aca="false">IF(ISBLANK(Actuals!N76),"",Actuals!N76)</f>
        <v/>
      </c>
      <c r="AV61" s="124" t="str">
        <f aca="false">IF(ISBLANK(Actuals!N76),"",'Original Budget'!N76-Actuals!N76)</f>
        <v/>
      </c>
      <c r="AW61" s="124" t="str">
        <f aca="false">IFERROR(IF(ISBLANK(Actuals!N76),"",('Original Budget'!N76-Actuals!N76)/ABS('Original Budget'!N76)),"")</f>
        <v/>
      </c>
      <c r="AX61" s="125" t="n">
        <f aca="false">SUMPRODUCT((Actuals!C76:N76&lt;&gt;"")*('Original Budget'!C76:N76))</f>
        <v>0</v>
      </c>
      <c r="AY61" s="125" t="n">
        <f aca="false">SUM(Actuals!C76:N76)</f>
        <v>0</v>
      </c>
      <c r="AZ61" s="126" t="n">
        <f aca="false">AX61-AY61</f>
        <v>0</v>
      </c>
    </row>
    <row r="62" customFormat="false" ht="15" hidden="false" customHeight="true" outlineLevel="0" collapsed="false">
      <c r="A62" s="122" t="s">
        <v>110</v>
      </c>
      <c r="B62" s="123" t="n">
        <f aca="false">'Original Budget'!C77</f>
        <v>0</v>
      </c>
      <c r="C62" s="123" t="str">
        <f aca="false">IF(ISBLANK(Actuals!C77),"",Actuals!C77)</f>
        <v/>
      </c>
      <c r="D62" s="124" t="str">
        <f aca="false">IF(ISBLANK(Actuals!C77),"",'Original Budget'!C77-Actuals!C77)</f>
        <v/>
      </c>
      <c r="E62" s="124" t="str">
        <f aca="false">IFERROR(IF(ISBLANK(Actuals!C77),"",('Original Budget'!C77-Actuals!C77)/ABS('Original Budget'!C77)),"")</f>
        <v/>
      </c>
      <c r="F62" s="123" t="n">
        <f aca="false">'Original Budget'!D77</f>
        <v>0</v>
      </c>
      <c r="G62" s="123" t="str">
        <f aca="false">IF(ISBLANK(Actuals!D77),"",Actuals!D77)</f>
        <v/>
      </c>
      <c r="H62" s="124" t="str">
        <f aca="false">IF(ISBLANK(Actuals!D77),"",'Original Budget'!D77-Actuals!D77)</f>
        <v/>
      </c>
      <c r="I62" s="124" t="str">
        <f aca="false">IFERROR(IF(ISBLANK(Actuals!D77),"",('Original Budget'!D77-Actuals!D77)/ABS('Original Budget'!D77)),"")</f>
        <v/>
      </c>
      <c r="J62" s="123" t="n">
        <f aca="false">'Original Budget'!E77</f>
        <v>0</v>
      </c>
      <c r="K62" s="123" t="str">
        <f aca="false">IF(ISBLANK(Actuals!E77),"",Actuals!E77)</f>
        <v/>
      </c>
      <c r="L62" s="124" t="str">
        <f aca="false">IF(ISBLANK(Actuals!E77),"",'Original Budget'!E77-Actuals!E77)</f>
        <v/>
      </c>
      <c r="M62" s="124" t="str">
        <f aca="false">IFERROR(IF(ISBLANK(Actuals!E77),"",('Original Budget'!E77-Actuals!E77)/ABS('Original Budget'!E77)),"")</f>
        <v/>
      </c>
      <c r="N62" s="123" t="n">
        <f aca="false">'Original Budget'!F77</f>
        <v>0</v>
      </c>
      <c r="O62" s="123" t="str">
        <f aca="false">IF(ISBLANK(Actuals!F77),"",Actuals!F77)</f>
        <v/>
      </c>
      <c r="P62" s="124" t="str">
        <f aca="false">IF(ISBLANK(Actuals!F77),"",'Original Budget'!F77-Actuals!F77)</f>
        <v/>
      </c>
      <c r="Q62" s="124" t="str">
        <f aca="false">IFERROR(IF(ISBLANK(Actuals!F77),"",('Original Budget'!F77-Actuals!F77)/ABS('Original Budget'!F77)),"")</f>
        <v/>
      </c>
      <c r="R62" s="123" t="n">
        <f aca="false">'Original Budget'!G77</f>
        <v>0</v>
      </c>
      <c r="S62" s="123" t="str">
        <f aca="false">IF(ISBLANK(Actuals!G77),"",Actuals!G77)</f>
        <v/>
      </c>
      <c r="T62" s="124" t="str">
        <f aca="false">IF(ISBLANK(Actuals!G77),"",'Original Budget'!G77-Actuals!G77)</f>
        <v/>
      </c>
      <c r="U62" s="124" t="str">
        <f aca="false">IFERROR(IF(ISBLANK(Actuals!G77),"",('Original Budget'!G77-Actuals!G77)/ABS('Original Budget'!G77)),"")</f>
        <v/>
      </c>
      <c r="V62" s="123" t="n">
        <f aca="false">'Original Budget'!H77</f>
        <v>0</v>
      </c>
      <c r="W62" s="123" t="str">
        <f aca="false">IF(ISBLANK(Actuals!H77),"",Actuals!H77)</f>
        <v/>
      </c>
      <c r="X62" s="124" t="str">
        <f aca="false">IF(ISBLANK(Actuals!H77),"",'Original Budget'!H77-Actuals!H77)</f>
        <v/>
      </c>
      <c r="Y62" s="124" t="str">
        <f aca="false">IFERROR(IF(ISBLANK(Actuals!H77),"",('Original Budget'!H77-Actuals!H77)/ABS('Original Budget'!H77)),"")</f>
        <v/>
      </c>
      <c r="Z62" s="123" t="n">
        <f aca="false">'Original Budget'!I77</f>
        <v>0</v>
      </c>
      <c r="AA62" s="123" t="str">
        <f aca="false">IF(ISBLANK(Actuals!I77),"",Actuals!I77)</f>
        <v/>
      </c>
      <c r="AB62" s="124" t="str">
        <f aca="false">IF(ISBLANK(Actuals!I77),"",'Original Budget'!I77-Actuals!I77)</f>
        <v/>
      </c>
      <c r="AC62" s="124" t="str">
        <f aca="false">IFERROR(IF(ISBLANK(Actuals!I77),"",('Original Budget'!I77-Actuals!I77)/ABS('Original Budget'!I77)),"")</f>
        <v/>
      </c>
      <c r="AD62" s="123" t="n">
        <f aca="false">'Original Budget'!J77</f>
        <v>0</v>
      </c>
      <c r="AE62" s="123" t="str">
        <f aca="false">IF(ISBLANK(Actuals!J77),"",Actuals!J77)</f>
        <v/>
      </c>
      <c r="AF62" s="124" t="str">
        <f aca="false">IF(ISBLANK(Actuals!J77),"",'Original Budget'!J77-Actuals!J77)</f>
        <v/>
      </c>
      <c r="AG62" s="124" t="str">
        <f aca="false">IFERROR(IF(ISBLANK(Actuals!J77),"",('Original Budget'!J77-Actuals!J77)/ABS('Original Budget'!J77)),"")</f>
        <v/>
      </c>
      <c r="AH62" s="123" t="n">
        <f aca="false">'Original Budget'!K77</f>
        <v>0</v>
      </c>
      <c r="AI62" s="123" t="str">
        <f aca="false">IF(ISBLANK(Actuals!K77),"",Actuals!K77)</f>
        <v/>
      </c>
      <c r="AJ62" s="124" t="str">
        <f aca="false">IF(ISBLANK(Actuals!K77),"",'Original Budget'!K77-Actuals!K77)</f>
        <v/>
      </c>
      <c r="AK62" s="124" t="str">
        <f aca="false">IFERROR(IF(ISBLANK(Actuals!K77),"",('Original Budget'!K77-Actuals!K77)/ABS('Original Budget'!K77)),"")</f>
        <v/>
      </c>
      <c r="AL62" s="123" t="n">
        <f aca="false">'Original Budget'!L77</f>
        <v>0</v>
      </c>
      <c r="AM62" s="123" t="str">
        <f aca="false">IF(ISBLANK(Actuals!L77),"",Actuals!L77)</f>
        <v/>
      </c>
      <c r="AN62" s="124" t="str">
        <f aca="false">IF(ISBLANK(Actuals!L77),"",'Original Budget'!L77-Actuals!L77)</f>
        <v/>
      </c>
      <c r="AO62" s="124" t="str">
        <f aca="false">IFERROR(IF(ISBLANK(Actuals!L77),"",('Original Budget'!L77-Actuals!L77)/ABS('Original Budget'!L77)),"")</f>
        <v/>
      </c>
      <c r="AP62" s="123" t="n">
        <f aca="false">'Original Budget'!M77</f>
        <v>0</v>
      </c>
      <c r="AQ62" s="123" t="str">
        <f aca="false">IF(ISBLANK(Actuals!M77),"",Actuals!M77)</f>
        <v/>
      </c>
      <c r="AR62" s="124" t="str">
        <f aca="false">IF(ISBLANK(Actuals!M77),"",'Original Budget'!M77-Actuals!M77)</f>
        <v/>
      </c>
      <c r="AS62" s="124" t="str">
        <f aca="false">IFERROR(IF(ISBLANK(Actuals!M77),"",('Original Budget'!M77-Actuals!M77)/ABS('Original Budget'!M77)),"")</f>
        <v/>
      </c>
      <c r="AT62" s="123" t="n">
        <f aca="false">'Original Budget'!N77</f>
        <v>0</v>
      </c>
      <c r="AU62" s="123" t="str">
        <f aca="false">IF(ISBLANK(Actuals!N77),"",Actuals!N77)</f>
        <v/>
      </c>
      <c r="AV62" s="124" t="str">
        <f aca="false">IF(ISBLANK(Actuals!N77),"",'Original Budget'!N77-Actuals!N77)</f>
        <v/>
      </c>
      <c r="AW62" s="124" t="str">
        <f aca="false">IFERROR(IF(ISBLANK(Actuals!N77),"",('Original Budget'!N77-Actuals!N77)/ABS('Original Budget'!N77)),"")</f>
        <v/>
      </c>
      <c r="AX62" s="125" t="n">
        <f aca="false">SUMPRODUCT((Actuals!C77:N77&lt;&gt;"")*('Original Budget'!C77:N77))</f>
        <v>0</v>
      </c>
      <c r="AY62" s="125" t="n">
        <f aca="false">SUM(Actuals!C77:N77)</f>
        <v>0</v>
      </c>
      <c r="AZ62" s="126" t="n">
        <f aca="false">AX62-AY62</f>
        <v>0</v>
      </c>
    </row>
    <row r="63" customFormat="false" ht="15" hidden="false" customHeight="true" outlineLevel="0" collapsed="false">
      <c r="A63" s="122" t="s">
        <v>111</v>
      </c>
      <c r="B63" s="123" t="n">
        <f aca="false">'Original Budget'!C78</f>
        <v>0</v>
      </c>
      <c r="C63" s="123" t="str">
        <f aca="false">IF(ISBLANK(Actuals!C78),"",Actuals!C78)</f>
        <v/>
      </c>
      <c r="D63" s="124" t="str">
        <f aca="false">IF(ISBLANK(Actuals!C78),"",'Original Budget'!C78-Actuals!C78)</f>
        <v/>
      </c>
      <c r="E63" s="124" t="str">
        <f aca="false">IFERROR(IF(ISBLANK(Actuals!C78),"",('Original Budget'!C78-Actuals!C78)/ABS('Original Budget'!C78)),"")</f>
        <v/>
      </c>
      <c r="F63" s="123" t="n">
        <f aca="false">'Original Budget'!D78</f>
        <v>0</v>
      </c>
      <c r="G63" s="123" t="str">
        <f aca="false">IF(ISBLANK(Actuals!D78),"",Actuals!D78)</f>
        <v/>
      </c>
      <c r="H63" s="124" t="str">
        <f aca="false">IF(ISBLANK(Actuals!D78),"",'Original Budget'!D78-Actuals!D78)</f>
        <v/>
      </c>
      <c r="I63" s="124" t="str">
        <f aca="false">IFERROR(IF(ISBLANK(Actuals!D78),"",('Original Budget'!D78-Actuals!D78)/ABS('Original Budget'!D78)),"")</f>
        <v/>
      </c>
      <c r="J63" s="123" t="n">
        <f aca="false">'Original Budget'!E78</f>
        <v>0</v>
      </c>
      <c r="K63" s="123" t="str">
        <f aca="false">IF(ISBLANK(Actuals!E78),"",Actuals!E78)</f>
        <v/>
      </c>
      <c r="L63" s="124" t="str">
        <f aca="false">IF(ISBLANK(Actuals!E78),"",'Original Budget'!E78-Actuals!E78)</f>
        <v/>
      </c>
      <c r="M63" s="124" t="str">
        <f aca="false">IFERROR(IF(ISBLANK(Actuals!E78),"",('Original Budget'!E78-Actuals!E78)/ABS('Original Budget'!E78)),"")</f>
        <v/>
      </c>
      <c r="N63" s="123" t="n">
        <f aca="false">'Original Budget'!F78</f>
        <v>0</v>
      </c>
      <c r="O63" s="123" t="str">
        <f aca="false">IF(ISBLANK(Actuals!F78),"",Actuals!F78)</f>
        <v/>
      </c>
      <c r="P63" s="124" t="str">
        <f aca="false">IF(ISBLANK(Actuals!F78),"",'Original Budget'!F78-Actuals!F78)</f>
        <v/>
      </c>
      <c r="Q63" s="124" t="str">
        <f aca="false">IFERROR(IF(ISBLANK(Actuals!F78),"",('Original Budget'!F78-Actuals!F78)/ABS('Original Budget'!F78)),"")</f>
        <v/>
      </c>
      <c r="R63" s="123" t="n">
        <f aca="false">'Original Budget'!G78</f>
        <v>0</v>
      </c>
      <c r="S63" s="123" t="str">
        <f aca="false">IF(ISBLANK(Actuals!G78),"",Actuals!G78)</f>
        <v/>
      </c>
      <c r="T63" s="124" t="str">
        <f aca="false">IF(ISBLANK(Actuals!G78),"",'Original Budget'!G78-Actuals!G78)</f>
        <v/>
      </c>
      <c r="U63" s="124" t="str">
        <f aca="false">IFERROR(IF(ISBLANK(Actuals!G78),"",('Original Budget'!G78-Actuals!G78)/ABS('Original Budget'!G78)),"")</f>
        <v/>
      </c>
      <c r="V63" s="123" t="n">
        <f aca="false">'Original Budget'!H78</f>
        <v>0</v>
      </c>
      <c r="W63" s="123" t="str">
        <f aca="false">IF(ISBLANK(Actuals!H78),"",Actuals!H78)</f>
        <v/>
      </c>
      <c r="X63" s="124" t="str">
        <f aca="false">IF(ISBLANK(Actuals!H78),"",'Original Budget'!H78-Actuals!H78)</f>
        <v/>
      </c>
      <c r="Y63" s="124" t="str">
        <f aca="false">IFERROR(IF(ISBLANK(Actuals!H78),"",('Original Budget'!H78-Actuals!H78)/ABS('Original Budget'!H78)),"")</f>
        <v/>
      </c>
      <c r="Z63" s="123" t="n">
        <f aca="false">'Original Budget'!I78</f>
        <v>0</v>
      </c>
      <c r="AA63" s="123" t="str">
        <f aca="false">IF(ISBLANK(Actuals!I78),"",Actuals!I78)</f>
        <v/>
      </c>
      <c r="AB63" s="124" t="str">
        <f aca="false">IF(ISBLANK(Actuals!I78),"",'Original Budget'!I78-Actuals!I78)</f>
        <v/>
      </c>
      <c r="AC63" s="124" t="str">
        <f aca="false">IFERROR(IF(ISBLANK(Actuals!I78),"",('Original Budget'!I78-Actuals!I78)/ABS('Original Budget'!I78)),"")</f>
        <v/>
      </c>
      <c r="AD63" s="123" t="n">
        <f aca="false">'Original Budget'!J78</f>
        <v>0</v>
      </c>
      <c r="AE63" s="123" t="str">
        <f aca="false">IF(ISBLANK(Actuals!J78),"",Actuals!J78)</f>
        <v/>
      </c>
      <c r="AF63" s="124" t="str">
        <f aca="false">IF(ISBLANK(Actuals!J78),"",'Original Budget'!J78-Actuals!J78)</f>
        <v/>
      </c>
      <c r="AG63" s="124" t="str">
        <f aca="false">IFERROR(IF(ISBLANK(Actuals!J78),"",('Original Budget'!J78-Actuals!J78)/ABS('Original Budget'!J78)),"")</f>
        <v/>
      </c>
      <c r="AH63" s="123" t="n">
        <f aca="false">'Original Budget'!K78</f>
        <v>0</v>
      </c>
      <c r="AI63" s="123" t="str">
        <f aca="false">IF(ISBLANK(Actuals!K78),"",Actuals!K78)</f>
        <v/>
      </c>
      <c r="AJ63" s="124" t="str">
        <f aca="false">IF(ISBLANK(Actuals!K78),"",'Original Budget'!K78-Actuals!K78)</f>
        <v/>
      </c>
      <c r="AK63" s="124" t="str">
        <f aca="false">IFERROR(IF(ISBLANK(Actuals!K78),"",('Original Budget'!K78-Actuals!K78)/ABS('Original Budget'!K78)),"")</f>
        <v/>
      </c>
      <c r="AL63" s="123" t="n">
        <f aca="false">'Original Budget'!L78</f>
        <v>0</v>
      </c>
      <c r="AM63" s="123" t="str">
        <f aca="false">IF(ISBLANK(Actuals!L78),"",Actuals!L78)</f>
        <v/>
      </c>
      <c r="AN63" s="124" t="str">
        <f aca="false">IF(ISBLANK(Actuals!L78),"",'Original Budget'!L78-Actuals!L78)</f>
        <v/>
      </c>
      <c r="AO63" s="124" t="str">
        <f aca="false">IFERROR(IF(ISBLANK(Actuals!L78),"",('Original Budget'!L78-Actuals!L78)/ABS('Original Budget'!L78)),"")</f>
        <v/>
      </c>
      <c r="AP63" s="123" t="n">
        <f aca="false">'Original Budget'!M78</f>
        <v>0</v>
      </c>
      <c r="AQ63" s="123" t="str">
        <f aca="false">IF(ISBLANK(Actuals!M78),"",Actuals!M78)</f>
        <v/>
      </c>
      <c r="AR63" s="124" t="str">
        <f aca="false">IF(ISBLANK(Actuals!M78),"",'Original Budget'!M78-Actuals!M78)</f>
        <v/>
      </c>
      <c r="AS63" s="124" t="str">
        <f aca="false">IFERROR(IF(ISBLANK(Actuals!M78),"",('Original Budget'!M78-Actuals!M78)/ABS('Original Budget'!M78)),"")</f>
        <v/>
      </c>
      <c r="AT63" s="123" t="n">
        <f aca="false">'Original Budget'!N78</f>
        <v>0</v>
      </c>
      <c r="AU63" s="123" t="str">
        <f aca="false">IF(ISBLANK(Actuals!N78),"",Actuals!N78)</f>
        <v/>
      </c>
      <c r="AV63" s="124" t="str">
        <f aca="false">IF(ISBLANK(Actuals!N78),"",'Original Budget'!N78-Actuals!N78)</f>
        <v/>
      </c>
      <c r="AW63" s="124" t="str">
        <f aca="false">IFERROR(IF(ISBLANK(Actuals!N78),"",('Original Budget'!N78-Actuals!N78)/ABS('Original Budget'!N78)),"")</f>
        <v/>
      </c>
      <c r="AX63" s="125" t="n">
        <f aca="false">SUMPRODUCT((Actuals!C78:N78&lt;&gt;"")*('Original Budget'!C78:N78))</f>
        <v>0</v>
      </c>
      <c r="AY63" s="125" t="n">
        <f aca="false">SUM(Actuals!C78:N78)</f>
        <v>0</v>
      </c>
      <c r="AZ63" s="126" t="n">
        <f aca="false">AX63-AY63</f>
        <v>0</v>
      </c>
    </row>
    <row r="64" customFormat="false" ht="15" hidden="false" customHeight="true" outlineLevel="0" collapsed="false">
      <c r="A64" s="122" t="s">
        <v>112</v>
      </c>
      <c r="B64" s="123" t="n">
        <f aca="false">'Original Budget'!C79</f>
        <v>0</v>
      </c>
      <c r="C64" s="123" t="str">
        <f aca="false">IF(ISBLANK(Actuals!C79),"",Actuals!C79)</f>
        <v/>
      </c>
      <c r="D64" s="124" t="str">
        <f aca="false">IF(ISBLANK(Actuals!C79),"",'Original Budget'!C79-Actuals!C79)</f>
        <v/>
      </c>
      <c r="E64" s="124" t="str">
        <f aca="false">IFERROR(IF(ISBLANK(Actuals!C79),"",('Original Budget'!C79-Actuals!C79)/ABS('Original Budget'!C79)),"")</f>
        <v/>
      </c>
      <c r="F64" s="123" t="n">
        <f aca="false">'Original Budget'!D79</f>
        <v>0</v>
      </c>
      <c r="G64" s="123" t="str">
        <f aca="false">IF(ISBLANK(Actuals!D79),"",Actuals!D79)</f>
        <v/>
      </c>
      <c r="H64" s="124" t="str">
        <f aca="false">IF(ISBLANK(Actuals!D79),"",'Original Budget'!D79-Actuals!D79)</f>
        <v/>
      </c>
      <c r="I64" s="124" t="str">
        <f aca="false">IFERROR(IF(ISBLANK(Actuals!D79),"",('Original Budget'!D79-Actuals!D79)/ABS('Original Budget'!D79)),"")</f>
        <v/>
      </c>
      <c r="J64" s="123" t="n">
        <f aca="false">'Original Budget'!E79</f>
        <v>0</v>
      </c>
      <c r="K64" s="123" t="str">
        <f aca="false">IF(ISBLANK(Actuals!E79),"",Actuals!E79)</f>
        <v/>
      </c>
      <c r="L64" s="124" t="str">
        <f aca="false">IF(ISBLANK(Actuals!E79),"",'Original Budget'!E79-Actuals!E79)</f>
        <v/>
      </c>
      <c r="M64" s="124" t="str">
        <f aca="false">IFERROR(IF(ISBLANK(Actuals!E79),"",('Original Budget'!E79-Actuals!E79)/ABS('Original Budget'!E79)),"")</f>
        <v/>
      </c>
      <c r="N64" s="123" t="n">
        <f aca="false">'Original Budget'!F79</f>
        <v>0</v>
      </c>
      <c r="O64" s="123" t="str">
        <f aca="false">IF(ISBLANK(Actuals!F79),"",Actuals!F79)</f>
        <v/>
      </c>
      <c r="P64" s="124" t="str">
        <f aca="false">IF(ISBLANK(Actuals!F79),"",'Original Budget'!F79-Actuals!F79)</f>
        <v/>
      </c>
      <c r="Q64" s="124" t="str">
        <f aca="false">IFERROR(IF(ISBLANK(Actuals!F79),"",('Original Budget'!F79-Actuals!F79)/ABS('Original Budget'!F79)),"")</f>
        <v/>
      </c>
      <c r="R64" s="123" t="n">
        <f aca="false">'Original Budget'!G79</f>
        <v>0</v>
      </c>
      <c r="S64" s="123" t="str">
        <f aca="false">IF(ISBLANK(Actuals!G79),"",Actuals!G79)</f>
        <v/>
      </c>
      <c r="T64" s="124" t="str">
        <f aca="false">IF(ISBLANK(Actuals!G79),"",'Original Budget'!G79-Actuals!G79)</f>
        <v/>
      </c>
      <c r="U64" s="124" t="str">
        <f aca="false">IFERROR(IF(ISBLANK(Actuals!G79),"",('Original Budget'!G79-Actuals!G79)/ABS('Original Budget'!G79)),"")</f>
        <v/>
      </c>
      <c r="V64" s="123" t="n">
        <f aca="false">'Original Budget'!H79</f>
        <v>0</v>
      </c>
      <c r="W64" s="123" t="str">
        <f aca="false">IF(ISBLANK(Actuals!H79),"",Actuals!H79)</f>
        <v/>
      </c>
      <c r="X64" s="124" t="str">
        <f aca="false">IF(ISBLANK(Actuals!H79),"",'Original Budget'!H79-Actuals!H79)</f>
        <v/>
      </c>
      <c r="Y64" s="124" t="str">
        <f aca="false">IFERROR(IF(ISBLANK(Actuals!H79),"",('Original Budget'!H79-Actuals!H79)/ABS('Original Budget'!H79)),"")</f>
        <v/>
      </c>
      <c r="Z64" s="123" t="n">
        <f aca="false">'Original Budget'!I79</f>
        <v>0</v>
      </c>
      <c r="AA64" s="123" t="str">
        <f aca="false">IF(ISBLANK(Actuals!I79),"",Actuals!I79)</f>
        <v/>
      </c>
      <c r="AB64" s="124" t="str">
        <f aca="false">IF(ISBLANK(Actuals!I79),"",'Original Budget'!I79-Actuals!I79)</f>
        <v/>
      </c>
      <c r="AC64" s="124" t="str">
        <f aca="false">IFERROR(IF(ISBLANK(Actuals!I79),"",('Original Budget'!I79-Actuals!I79)/ABS('Original Budget'!I79)),"")</f>
        <v/>
      </c>
      <c r="AD64" s="123" t="n">
        <f aca="false">'Original Budget'!J79</f>
        <v>0</v>
      </c>
      <c r="AE64" s="123" t="str">
        <f aca="false">IF(ISBLANK(Actuals!J79),"",Actuals!J79)</f>
        <v/>
      </c>
      <c r="AF64" s="124" t="str">
        <f aca="false">IF(ISBLANK(Actuals!J79),"",'Original Budget'!J79-Actuals!J79)</f>
        <v/>
      </c>
      <c r="AG64" s="124" t="str">
        <f aca="false">IFERROR(IF(ISBLANK(Actuals!J79),"",('Original Budget'!J79-Actuals!J79)/ABS('Original Budget'!J79)),"")</f>
        <v/>
      </c>
      <c r="AH64" s="123" t="n">
        <f aca="false">'Original Budget'!K79</f>
        <v>0</v>
      </c>
      <c r="AI64" s="123" t="str">
        <f aca="false">IF(ISBLANK(Actuals!K79),"",Actuals!K79)</f>
        <v/>
      </c>
      <c r="AJ64" s="124" t="str">
        <f aca="false">IF(ISBLANK(Actuals!K79),"",'Original Budget'!K79-Actuals!K79)</f>
        <v/>
      </c>
      <c r="AK64" s="124" t="str">
        <f aca="false">IFERROR(IF(ISBLANK(Actuals!K79),"",('Original Budget'!K79-Actuals!K79)/ABS('Original Budget'!K79)),"")</f>
        <v/>
      </c>
      <c r="AL64" s="123" t="n">
        <f aca="false">'Original Budget'!L79</f>
        <v>0</v>
      </c>
      <c r="AM64" s="123" t="str">
        <f aca="false">IF(ISBLANK(Actuals!L79),"",Actuals!L79)</f>
        <v/>
      </c>
      <c r="AN64" s="124" t="str">
        <f aca="false">IF(ISBLANK(Actuals!L79),"",'Original Budget'!L79-Actuals!L79)</f>
        <v/>
      </c>
      <c r="AO64" s="124" t="str">
        <f aca="false">IFERROR(IF(ISBLANK(Actuals!L79),"",('Original Budget'!L79-Actuals!L79)/ABS('Original Budget'!L79)),"")</f>
        <v/>
      </c>
      <c r="AP64" s="123" t="n">
        <f aca="false">'Original Budget'!M79</f>
        <v>0</v>
      </c>
      <c r="AQ64" s="123" t="str">
        <f aca="false">IF(ISBLANK(Actuals!M79),"",Actuals!M79)</f>
        <v/>
      </c>
      <c r="AR64" s="124" t="str">
        <f aca="false">IF(ISBLANK(Actuals!M79),"",'Original Budget'!M79-Actuals!M79)</f>
        <v/>
      </c>
      <c r="AS64" s="124" t="str">
        <f aca="false">IFERROR(IF(ISBLANK(Actuals!M79),"",('Original Budget'!M79-Actuals!M79)/ABS('Original Budget'!M79)),"")</f>
        <v/>
      </c>
      <c r="AT64" s="123" t="n">
        <f aca="false">'Original Budget'!N79</f>
        <v>0</v>
      </c>
      <c r="AU64" s="123" t="str">
        <f aca="false">IF(ISBLANK(Actuals!N79),"",Actuals!N79)</f>
        <v/>
      </c>
      <c r="AV64" s="124" t="str">
        <f aca="false">IF(ISBLANK(Actuals!N79),"",'Original Budget'!N79-Actuals!N79)</f>
        <v/>
      </c>
      <c r="AW64" s="124" t="str">
        <f aca="false">IFERROR(IF(ISBLANK(Actuals!N79),"",('Original Budget'!N79-Actuals!N79)/ABS('Original Budget'!N79)),"")</f>
        <v/>
      </c>
      <c r="AX64" s="125" t="n">
        <f aca="false">SUMPRODUCT((Actuals!C79:N79&lt;&gt;"")*('Original Budget'!C79:N79))</f>
        <v>0</v>
      </c>
      <c r="AY64" s="125" t="n">
        <f aca="false">SUM(Actuals!C79:N79)</f>
        <v>0</v>
      </c>
      <c r="AZ64" s="126" t="n">
        <f aca="false">AX64-AY64</f>
        <v>0</v>
      </c>
    </row>
    <row r="65" customFormat="false" ht="15" hidden="false" customHeight="true" outlineLevel="0" collapsed="false">
      <c r="A65" s="122" t="s">
        <v>113</v>
      </c>
      <c r="B65" s="123" t="n">
        <f aca="false">'Original Budget'!C80</f>
        <v>0</v>
      </c>
      <c r="C65" s="123" t="str">
        <f aca="false">IF(ISBLANK(Actuals!C80),"",Actuals!C80)</f>
        <v/>
      </c>
      <c r="D65" s="124" t="str">
        <f aca="false">IF(ISBLANK(Actuals!C80),"",'Original Budget'!C80-Actuals!C80)</f>
        <v/>
      </c>
      <c r="E65" s="124" t="str">
        <f aca="false">IFERROR(IF(ISBLANK(Actuals!C80),"",('Original Budget'!C80-Actuals!C80)/ABS('Original Budget'!C80)),"")</f>
        <v/>
      </c>
      <c r="F65" s="123" t="n">
        <f aca="false">'Original Budget'!D80</f>
        <v>0</v>
      </c>
      <c r="G65" s="123" t="str">
        <f aca="false">IF(ISBLANK(Actuals!D80),"",Actuals!D80)</f>
        <v/>
      </c>
      <c r="H65" s="124" t="str">
        <f aca="false">IF(ISBLANK(Actuals!D80),"",'Original Budget'!D80-Actuals!D80)</f>
        <v/>
      </c>
      <c r="I65" s="124" t="str">
        <f aca="false">IFERROR(IF(ISBLANK(Actuals!D80),"",('Original Budget'!D80-Actuals!D80)/ABS('Original Budget'!D80)),"")</f>
        <v/>
      </c>
      <c r="J65" s="123" t="n">
        <f aca="false">'Original Budget'!E80</f>
        <v>0</v>
      </c>
      <c r="K65" s="123" t="str">
        <f aca="false">IF(ISBLANK(Actuals!E80),"",Actuals!E80)</f>
        <v/>
      </c>
      <c r="L65" s="124" t="str">
        <f aca="false">IF(ISBLANK(Actuals!E80),"",'Original Budget'!E80-Actuals!E80)</f>
        <v/>
      </c>
      <c r="M65" s="124" t="str">
        <f aca="false">IFERROR(IF(ISBLANK(Actuals!E80),"",('Original Budget'!E80-Actuals!E80)/ABS('Original Budget'!E80)),"")</f>
        <v/>
      </c>
      <c r="N65" s="123" t="n">
        <f aca="false">'Original Budget'!F80</f>
        <v>0</v>
      </c>
      <c r="O65" s="123" t="str">
        <f aca="false">IF(ISBLANK(Actuals!F80),"",Actuals!F80)</f>
        <v/>
      </c>
      <c r="P65" s="124" t="str">
        <f aca="false">IF(ISBLANK(Actuals!F80),"",'Original Budget'!F80-Actuals!F80)</f>
        <v/>
      </c>
      <c r="Q65" s="124" t="str">
        <f aca="false">IFERROR(IF(ISBLANK(Actuals!F80),"",('Original Budget'!F80-Actuals!F80)/ABS('Original Budget'!F80)),"")</f>
        <v/>
      </c>
      <c r="R65" s="123" t="n">
        <f aca="false">'Original Budget'!G80</f>
        <v>0</v>
      </c>
      <c r="S65" s="123" t="str">
        <f aca="false">IF(ISBLANK(Actuals!G80),"",Actuals!G80)</f>
        <v/>
      </c>
      <c r="T65" s="124" t="str">
        <f aca="false">IF(ISBLANK(Actuals!G80),"",'Original Budget'!G80-Actuals!G80)</f>
        <v/>
      </c>
      <c r="U65" s="124" t="str">
        <f aca="false">IFERROR(IF(ISBLANK(Actuals!G80),"",('Original Budget'!G80-Actuals!G80)/ABS('Original Budget'!G80)),"")</f>
        <v/>
      </c>
      <c r="V65" s="123" t="n">
        <f aca="false">'Original Budget'!H80</f>
        <v>0</v>
      </c>
      <c r="W65" s="123" t="str">
        <f aca="false">IF(ISBLANK(Actuals!H80),"",Actuals!H80)</f>
        <v/>
      </c>
      <c r="X65" s="124" t="str">
        <f aca="false">IF(ISBLANK(Actuals!H80),"",'Original Budget'!H80-Actuals!H80)</f>
        <v/>
      </c>
      <c r="Y65" s="124" t="str">
        <f aca="false">IFERROR(IF(ISBLANK(Actuals!H80),"",('Original Budget'!H80-Actuals!H80)/ABS('Original Budget'!H80)),"")</f>
        <v/>
      </c>
      <c r="Z65" s="123" t="n">
        <f aca="false">'Original Budget'!I80</f>
        <v>0</v>
      </c>
      <c r="AA65" s="123" t="str">
        <f aca="false">IF(ISBLANK(Actuals!I80),"",Actuals!I80)</f>
        <v/>
      </c>
      <c r="AB65" s="124" t="str">
        <f aca="false">IF(ISBLANK(Actuals!I80),"",'Original Budget'!I80-Actuals!I80)</f>
        <v/>
      </c>
      <c r="AC65" s="124" t="str">
        <f aca="false">IFERROR(IF(ISBLANK(Actuals!I80),"",('Original Budget'!I80-Actuals!I80)/ABS('Original Budget'!I80)),"")</f>
        <v/>
      </c>
      <c r="AD65" s="123" t="n">
        <f aca="false">'Original Budget'!J80</f>
        <v>0</v>
      </c>
      <c r="AE65" s="123" t="str">
        <f aca="false">IF(ISBLANK(Actuals!J80),"",Actuals!J80)</f>
        <v/>
      </c>
      <c r="AF65" s="124" t="str">
        <f aca="false">IF(ISBLANK(Actuals!J80),"",'Original Budget'!J80-Actuals!J80)</f>
        <v/>
      </c>
      <c r="AG65" s="124" t="str">
        <f aca="false">IFERROR(IF(ISBLANK(Actuals!J80),"",('Original Budget'!J80-Actuals!J80)/ABS('Original Budget'!J80)),"")</f>
        <v/>
      </c>
      <c r="AH65" s="123" t="n">
        <f aca="false">'Original Budget'!K80</f>
        <v>0</v>
      </c>
      <c r="AI65" s="123" t="str">
        <f aca="false">IF(ISBLANK(Actuals!K80),"",Actuals!K80)</f>
        <v/>
      </c>
      <c r="AJ65" s="124" t="str">
        <f aca="false">IF(ISBLANK(Actuals!K80),"",'Original Budget'!K80-Actuals!K80)</f>
        <v/>
      </c>
      <c r="AK65" s="124" t="str">
        <f aca="false">IFERROR(IF(ISBLANK(Actuals!K80),"",('Original Budget'!K80-Actuals!K80)/ABS('Original Budget'!K80)),"")</f>
        <v/>
      </c>
      <c r="AL65" s="123" t="n">
        <f aca="false">'Original Budget'!L80</f>
        <v>0</v>
      </c>
      <c r="AM65" s="123" t="str">
        <f aca="false">IF(ISBLANK(Actuals!L80),"",Actuals!L80)</f>
        <v/>
      </c>
      <c r="AN65" s="124" t="str">
        <f aca="false">IF(ISBLANK(Actuals!L80),"",'Original Budget'!L80-Actuals!L80)</f>
        <v/>
      </c>
      <c r="AO65" s="124" t="str">
        <f aca="false">IFERROR(IF(ISBLANK(Actuals!L80),"",('Original Budget'!L80-Actuals!L80)/ABS('Original Budget'!L80)),"")</f>
        <v/>
      </c>
      <c r="AP65" s="123" t="n">
        <f aca="false">'Original Budget'!M80</f>
        <v>0</v>
      </c>
      <c r="AQ65" s="123" t="str">
        <f aca="false">IF(ISBLANK(Actuals!M80),"",Actuals!M80)</f>
        <v/>
      </c>
      <c r="AR65" s="124" t="str">
        <f aca="false">IF(ISBLANK(Actuals!M80),"",'Original Budget'!M80-Actuals!M80)</f>
        <v/>
      </c>
      <c r="AS65" s="124" t="str">
        <f aca="false">IFERROR(IF(ISBLANK(Actuals!M80),"",('Original Budget'!M80-Actuals!M80)/ABS('Original Budget'!M80)),"")</f>
        <v/>
      </c>
      <c r="AT65" s="123" t="n">
        <f aca="false">'Original Budget'!N80</f>
        <v>0</v>
      </c>
      <c r="AU65" s="123" t="str">
        <f aca="false">IF(ISBLANK(Actuals!N80),"",Actuals!N80)</f>
        <v/>
      </c>
      <c r="AV65" s="124" t="str">
        <f aca="false">IF(ISBLANK(Actuals!N80),"",'Original Budget'!N80-Actuals!N80)</f>
        <v/>
      </c>
      <c r="AW65" s="124" t="str">
        <f aca="false">IFERROR(IF(ISBLANK(Actuals!N80),"",('Original Budget'!N80-Actuals!N80)/ABS('Original Budget'!N80)),"")</f>
        <v/>
      </c>
      <c r="AX65" s="125" t="n">
        <f aca="false">SUMPRODUCT((Actuals!C80:N80&lt;&gt;"")*('Original Budget'!C80:N80))</f>
        <v>0</v>
      </c>
      <c r="AY65" s="125" t="n">
        <f aca="false">SUM(Actuals!C80:N80)</f>
        <v>0</v>
      </c>
      <c r="AZ65" s="126" t="n">
        <f aca="false">AX65-AY65</f>
        <v>0</v>
      </c>
    </row>
    <row r="66" customFormat="false" ht="15" hidden="false" customHeight="false" outlineLevel="0" collapsed="false">
      <c r="A66" s="127" t="s">
        <v>114</v>
      </c>
      <c r="B66" s="123" t="n">
        <f aca="false">'Original Budget'!C63</f>
        <v>0</v>
      </c>
      <c r="C66" s="123" t="str">
        <f aca="false">IF(ISBLANK(Actuals!C63),"",Actuals!C63)</f>
        <v/>
      </c>
      <c r="D66" s="124" t="str">
        <f aca="false">IF(ISBLANK(Actuals!C63),"",'Original Budget'!C63-Actuals!C63)</f>
        <v/>
      </c>
      <c r="E66" s="124" t="str">
        <f aca="false">IFERROR(IF(ISBLANK(Actuals!C63),"",('Original Budget'!C63-Actuals!C63)/ABS('Original Budget'!C63)),"")</f>
        <v/>
      </c>
      <c r="F66" s="123" t="n">
        <f aca="false">'Original Budget'!D63</f>
        <v>0</v>
      </c>
      <c r="G66" s="123" t="str">
        <f aca="false">IF(ISBLANK(Actuals!D63),"",Actuals!D63)</f>
        <v/>
      </c>
      <c r="H66" s="124" t="str">
        <f aca="false">IF(ISBLANK(Actuals!D63),"",'Original Budget'!D63-Actuals!D63)</f>
        <v/>
      </c>
      <c r="I66" s="124" t="str">
        <f aca="false">IFERROR(IF(ISBLANK(Actuals!D63),"",('Original Budget'!D63-Actuals!D63)/ABS('Original Budget'!D63)),"")</f>
        <v/>
      </c>
      <c r="J66" s="123" t="n">
        <f aca="false">'Original Budget'!E63</f>
        <v>0</v>
      </c>
      <c r="K66" s="123" t="str">
        <f aca="false">IF(ISBLANK(Actuals!E63),"",Actuals!E63)</f>
        <v/>
      </c>
      <c r="L66" s="124" t="str">
        <f aca="false">IF(ISBLANK(Actuals!E63),"",'Original Budget'!E63-Actuals!E63)</f>
        <v/>
      </c>
      <c r="M66" s="124" t="str">
        <f aca="false">IFERROR(IF(ISBLANK(Actuals!E63),"",('Original Budget'!E63-Actuals!E63)/ABS('Original Budget'!E63)),"")</f>
        <v/>
      </c>
      <c r="N66" s="123" t="n">
        <f aca="false">'Original Budget'!F63</f>
        <v>0</v>
      </c>
      <c r="O66" s="123" t="str">
        <f aca="false">IF(ISBLANK(Actuals!F63),"",Actuals!F63)</f>
        <v/>
      </c>
      <c r="P66" s="124" t="str">
        <f aca="false">IF(ISBLANK(Actuals!F63),"",'Original Budget'!F63-Actuals!F63)</f>
        <v/>
      </c>
      <c r="Q66" s="124" t="str">
        <f aca="false">IFERROR(IF(ISBLANK(Actuals!F63),"",('Original Budget'!F63-Actuals!F63)/ABS('Original Budget'!F63)),"")</f>
        <v/>
      </c>
      <c r="R66" s="123" t="n">
        <f aca="false">'Original Budget'!G63</f>
        <v>0</v>
      </c>
      <c r="S66" s="123" t="str">
        <f aca="false">IF(ISBLANK(Actuals!G63),"",Actuals!G63)</f>
        <v/>
      </c>
      <c r="T66" s="124" t="str">
        <f aca="false">IF(ISBLANK(Actuals!G63),"",'Original Budget'!G63-Actuals!G63)</f>
        <v/>
      </c>
      <c r="U66" s="124" t="str">
        <f aca="false">IFERROR(IF(ISBLANK(Actuals!G63),"",('Original Budget'!G63-Actuals!G63)/ABS('Original Budget'!G63)),"")</f>
        <v/>
      </c>
      <c r="V66" s="123" t="n">
        <f aca="false">'Original Budget'!H63</f>
        <v>0</v>
      </c>
      <c r="W66" s="123" t="n">
        <f aca="false">IF(ISBLANK(Actuals!H63),"",Actuals!H63)</f>
        <v>299000</v>
      </c>
      <c r="X66" s="124" t="n">
        <f aca="false">IF(ISBLANK(Actuals!H63),"",'Original Budget'!H63-Actuals!H63)</f>
        <v>-299000</v>
      </c>
      <c r="Y66" s="124" t="str">
        <f aca="false">IFERROR(IF(ISBLANK(Actuals!H63),"",('Original Budget'!H63-Actuals!H63)/ABS('Original Budget'!H63)),"")</f>
        <v/>
      </c>
      <c r="Z66" s="123" t="n">
        <f aca="false">'Original Budget'!I63</f>
        <v>0</v>
      </c>
      <c r="AA66" s="123" t="str">
        <f aca="false">IF(ISBLANK(Actuals!I63),"",Actuals!I63)</f>
        <v/>
      </c>
      <c r="AB66" s="124" t="str">
        <f aca="false">IF(ISBLANK(Actuals!I63),"",'Original Budget'!I63-Actuals!I63)</f>
        <v/>
      </c>
      <c r="AC66" s="124" t="str">
        <f aca="false">IFERROR(IF(ISBLANK(Actuals!I63),"",('Original Budget'!I63-Actuals!I63)/ABS('Original Budget'!I63)),"")</f>
        <v/>
      </c>
      <c r="AD66" s="123" t="n">
        <f aca="false">'Original Budget'!J63</f>
        <v>0</v>
      </c>
      <c r="AE66" s="123" t="str">
        <f aca="false">IF(ISBLANK(Actuals!J63),"",Actuals!J63)</f>
        <v/>
      </c>
      <c r="AF66" s="124" t="str">
        <f aca="false">IF(ISBLANK(Actuals!J63),"",'Original Budget'!J63-Actuals!J63)</f>
        <v/>
      </c>
      <c r="AG66" s="124" t="str">
        <f aca="false">IFERROR(IF(ISBLANK(Actuals!J63),"",('Original Budget'!J63-Actuals!J63)/ABS('Original Budget'!J63)),"")</f>
        <v/>
      </c>
      <c r="AH66" s="123" t="n">
        <f aca="false">'Original Budget'!K63</f>
        <v>0</v>
      </c>
      <c r="AI66" s="123" t="str">
        <f aca="false">IF(ISBLANK(Actuals!K63),"",Actuals!K63)</f>
        <v/>
      </c>
      <c r="AJ66" s="124" t="str">
        <f aca="false">IF(ISBLANK(Actuals!K63),"",'Original Budget'!K63-Actuals!K63)</f>
        <v/>
      </c>
      <c r="AK66" s="124" t="str">
        <f aca="false">IFERROR(IF(ISBLANK(Actuals!K63),"",('Original Budget'!K63-Actuals!K63)/ABS('Original Budget'!K63)),"")</f>
        <v/>
      </c>
      <c r="AL66" s="123" t="n">
        <f aca="false">'Original Budget'!L63</f>
        <v>0</v>
      </c>
      <c r="AM66" s="123" t="str">
        <f aca="false">IF(ISBLANK(Actuals!L63),"",Actuals!L63)</f>
        <v/>
      </c>
      <c r="AN66" s="124" t="str">
        <f aca="false">IF(ISBLANK(Actuals!L63),"",'Original Budget'!L63-Actuals!L63)</f>
        <v/>
      </c>
      <c r="AO66" s="124" t="str">
        <f aca="false">IFERROR(IF(ISBLANK(Actuals!L63),"",('Original Budget'!L63-Actuals!L63)/ABS('Original Budget'!L63)),"")</f>
        <v/>
      </c>
      <c r="AP66" s="123" t="n">
        <f aca="false">'Original Budget'!M63</f>
        <v>0</v>
      </c>
      <c r="AQ66" s="123" t="str">
        <f aca="false">IF(ISBLANK(Actuals!M63),"",Actuals!M63)</f>
        <v/>
      </c>
      <c r="AR66" s="124" t="str">
        <f aca="false">IF(ISBLANK(Actuals!M63),"",'Original Budget'!M63-Actuals!M63)</f>
        <v/>
      </c>
      <c r="AS66" s="124" t="str">
        <f aca="false">IFERROR(IF(ISBLANK(Actuals!M63),"",('Original Budget'!M63-Actuals!M63)/ABS('Original Budget'!M63)),"")</f>
        <v/>
      </c>
      <c r="AT66" s="123" t="n">
        <f aca="false">'Original Budget'!N63</f>
        <v>0</v>
      </c>
      <c r="AU66" s="123" t="str">
        <f aca="false">IF(ISBLANK(Actuals!N63),"",Actuals!N63)</f>
        <v/>
      </c>
      <c r="AV66" s="124" t="str">
        <f aca="false">IF(ISBLANK(Actuals!N63),"",'Original Budget'!N63-Actuals!N63)</f>
        <v/>
      </c>
      <c r="AW66" s="124" t="str">
        <f aca="false">IFERROR(IF(ISBLANK(Actuals!N63),"",('Original Budget'!N63-Actuals!N63)/ABS('Original Budget'!N63)),"")</f>
        <v/>
      </c>
      <c r="AX66" s="125" t="n">
        <f aca="false">SUMPRODUCT((Actuals!C63:N66&lt;&gt;"")*('Original Budget'!C63:N66))</f>
        <v>148437.48</v>
      </c>
      <c r="AY66" s="125" t="n">
        <f aca="false">SUM(Actuals!C63:N66)</f>
        <v>447437.48</v>
      </c>
      <c r="AZ66" s="126" t="n">
        <f aca="false">AX66-AY66</f>
        <v>-299000</v>
      </c>
    </row>
    <row r="67" customFormat="false" ht="15" hidden="false" customHeight="true" outlineLevel="0" collapsed="false">
      <c r="A67" s="122" t="s">
        <v>60</v>
      </c>
      <c r="B67" s="123" t="n">
        <f aca="false">'Original Budget'!C83</f>
        <v>-54421</v>
      </c>
      <c r="C67" s="123" t="n">
        <f aca="false">IF(ISBLANK(Actuals!C83),"",Actuals!C83)</f>
        <v>-54421</v>
      </c>
      <c r="D67" s="124" t="n">
        <f aca="false">IF(ISBLANK(Actuals!C83),"",'Original Budget'!C83-Actuals!C83)</f>
        <v>0</v>
      </c>
      <c r="E67" s="124" t="n">
        <f aca="false">IFERROR(IF(ISBLANK(Actuals!C83),"",('Original Budget'!C83-Actuals!C83)/ABS('Original Budget'!C83)),"")</f>
        <v>0</v>
      </c>
      <c r="F67" s="123" t="n">
        <f aca="false">'Original Budget'!D83</f>
        <v>-54166.68</v>
      </c>
      <c r="G67" s="123" t="n">
        <f aca="false">IF(ISBLANK(Actuals!D83),"",Actuals!D83)</f>
        <v>-54166.68</v>
      </c>
      <c r="H67" s="124" t="n">
        <f aca="false">IF(ISBLANK(Actuals!D83),"",'Original Budget'!D83-Actuals!D83)</f>
        <v>0</v>
      </c>
      <c r="I67" s="124" t="n">
        <f aca="false">IFERROR(IF(ISBLANK(Actuals!D83),"",('Original Budget'!D83-Actuals!D83)/ABS('Original Budget'!D83)),"")</f>
        <v>0</v>
      </c>
      <c r="J67" s="123" t="n">
        <f aca="false">'Original Budget'!E83</f>
        <v>-54166.68</v>
      </c>
      <c r="K67" s="123" t="n">
        <f aca="false">IF(ISBLANK(Actuals!E83),"",Actuals!E83)</f>
        <v>-54166.68</v>
      </c>
      <c r="L67" s="124" t="n">
        <f aca="false">IF(ISBLANK(Actuals!E83),"",'Original Budget'!E83-Actuals!E83)</f>
        <v>0</v>
      </c>
      <c r="M67" s="124" t="n">
        <f aca="false">IFERROR(IF(ISBLANK(Actuals!E83),"",('Original Budget'!E83-Actuals!E83)/ABS('Original Budget'!E83)),"")</f>
        <v>0</v>
      </c>
      <c r="N67" s="123" t="n">
        <f aca="false">'Original Budget'!F83</f>
        <v>-11458.3333333333</v>
      </c>
      <c r="O67" s="123" t="n">
        <f aca="false">IF(ISBLANK(Actuals!F83),"",Actuals!F83)</f>
        <v>-54166.68</v>
      </c>
      <c r="P67" s="124" t="n">
        <f aca="false">IF(ISBLANK(Actuals!F83),"",'Original Budget'!F83-Actuals!F83)</f>
        <v>42708.3466666667</v>
      </c>
      <c r="Q67" s="124" t="n">
        <f aca="false">IFERROR(IF(ISBLANK(Actuals!F83),"",('Original Budget'!F83-Actuals!F83)/ABS('Original Budget'!F83)),"")</f>
        <v>3.72727389090911</v>
      </c>
      <c r="R67" s="123" t="n">
        <f aca="false">'Original Budget'!G83</f>
        <v>-11458.3333333333</v>
      </c>
      <c r="S67" s="123" t="n">
        <f aca="false">IF(ISBLANK(Actuals!G83),"",Actuals!G83)</f>
        <v>-54166.68</v>
      </c>
      <c r="T67" s="124" t="n">
        <f aca="false">IF(ISBLANK(Actuals!G83),"",'Original Budget'!G83-Actuals!G83)</f>
        <v>42708.3466666667</v>
      </c>
      <c r="U67" s="124" t="n">
        <f aca="false">IFERROR(IF(ISBLANK(Actuals!G83),"",('Original Budget'!G83-Actuals!G83)/ABS('Original Budget'!G83)),"")</f>
        <v>3.72727389090911</v>
      </c>
      <c r="V67" s="123" t="n">
        <f aca="false">'Original Budget'!H83</f>
        <v>-11458.3333333333</v>
      </c>
      <c r="W67" s="123" t="n">
        <f aca="false">IF(ISBLANK(Actuals!H83),"",Actuals!H83)</f>
        <v>-54166.68</v>
      </c>
      <c r="X67" s="124" t="n">
        <f aca="false">IF(ISBLANK(Actuals!H83),"",'Original Budget'!H83-Actuals!H83)</f>
        <v>42708.3466666667</v>
      </c>
      <c r="Y67" s="124" t="n">
        <f aca="false">IFERROR(IF(ISBLANK(Actuals!H83),"",('Original Budget'!H83-Actuals!H83)/ABS('Original Budget'!H83)),"")</f>
        <v>3.72727389090911</v>
      </c>
      <c r="Z67" s="123" t="n">
        <f aca="false">'Original Budget'!I83</f>
        <v>-11458.3333333333</v>
      </c>
      <c r="AA67" s="123" t="str">
        <f aca="false">IF(ISBLANK(Actuals!I83),"",Actuals!I83)</f>
        <v/>
      </c>
      <c r="AB67" s="124" t="str">
        <f aca="false">IF(ISBLANK(Actuals!I83),"",'Original Budget'!I83-Actuals!I83)</f>
        <v/>
      </c>
      <c r="AC67" s="124" t="str">
        <f aca="false">IFERROR(IF(ISBLANK(Actuals!I83),"",('Original Budget'!I83-Actuals!I83)/ABS('Original Budget'!I83)),"")</f>
        <v/>
      </c>
      <c r="AD67" s="123" t="n">
        <f aca="false">'Original Budget'!J83</f>
        <v>-11458.3333333333</v>
      </c>
      <c r="AE67" s="123" t="str">
        <f aca="false">IF(ISBLANK(Actuals!J83),"",Actuals!J83)</f>
        <v/>
      </c>
      <c r="AF67" s="124" t="str">
        <f aca="false">IF(ISBLANK(Actuals!J83),"",'Original Budget'!J83-Actuals!J83)</f>
        <v/>
      </c>
      <c r="AG67" s="124" t="str">
        <f aca="false">IFERROR(IF(ISBLANK(Actuals!J83),"",('Original Budget'!J83-Actuals!J83)/ABS('Original Budget'!J83)),"")</f>
        <v/>
      </c>
      <c r="AH67" s="123" t="n">
        <f aca="false">'Original Budget'!K83</f>
        <v>-11458.3333333333</v>
      </c>
      <c r="AI67" s="123" t="str">
        <f aca="false">IF(ISBLANK(Actuals!K83),"",Actuals!K83)</f>
        <v/>
      </c>
      <c r="AJ67" s="124" t="str">
        <f aca="false">IF(ISBLANK(Actuals!K83),"",'Original Budget'!K83-Actuals!K83)</f>
        <v/>
      </c>
      <c r="AK67" s="124" t="str">
        <f aca="false">IFERROR(IF(ISBLANK(Actuals!K83),"",('Original Budget'!K83-Actuals!K83)/ABS('Original Budget'!K83)),"")</f>
        <v/>
      </c>
      <c r="AL67" s="123" t="n">
        <f aca="false">'Original Budget'!L83</f>
        <v>-11458.3333333333</v>
      </c>
      <c r="AM67" s="123" t="str">
        <f aca="false">IF(ISBLANK(Actuals!L83),"",Actuals!L83)</f>
        <v/>
      </c>
      <c r="AN67" s="124" t="str">
        <f aca="false">IF(ISBLANK(Actuals!L83),"",'Original Budget'!L83-Actuals!L83)</f>
        <v/>
      </c>
      <c r="AO67" s="124" t="str">
        <f aca="false">IFERROR(IF(ISBLANK(Actuals!L83),"",('Original Budget'!L83-Actuals!L83)/ABS('Original Budget'!L83)),"")</f>
        <v/>
      </c>
      <c r="AP67" s="123" t="n">
        <f aca="false">'Original Budget'!M83</f>
        <v>-11458.3333333333</v>
      </c>
      <c r="AQ67" s="123" t="str">
        <f aca="false">IF(ISBLANK(Actuals!M83),"",Actuals!M83)</f>
        <v/>
      </c>
      <c r="AR67" s="124" t="str">
        <f aca="false">IF(ISBLANK(Actuals!M83),"",'Original Budget'!M83-Actuals!M83)</f>
        <v/>
      </c>
      <c r="AS67" s="124" t="str">
        <f aca="false">IFERROR(IF(ISBLANK(Actuals!M83),"",('Original Budget'!M83-Actuals!M83)/ABS('Original Budget'!M83)),"")</f>
        <v/>
      </c>
      <c r="AT67" s="123" t="n">
        <f aca="false">'Original Budget'!N83</f>
        <v>-11458.3333333333</v>
      </c>
      <c r="AU67" s="123" t="str">
        <f aca="false">IF(ISBLANK(Actuals!N83),"",Actuals!N83)</f>
        <v/>
      </c>
      <c r="AV67" s="124" t="str">
        <f aca="false">IF(ISBLANK(Actuals!N83),"",'Original Budget'!N83-Actuals!N83)</f>
        <v/>
      </c>
      <c r="AW67" s="124" t="str">
        <f aca="false">IFERROR(IF(ISBLANK(Actuals!N83),"",('Original Budget'!N83-Actuals!N83)/ABS('Original Budget'!N83)),"")</f>
        <v/>
      </c>
      <c r="AX67" s="125" t="n">
        <f aca="false">SUMPRODUCT((Actuals!C83:N83&lt;&gt;"")*('Original Budget'!C83:N83))</f>
        <v>-197129.36</v>
      </c>
      <c r="AY67" s="125" t="n">
        <f aca="false">SUM(Actuals!C83:N83)</f>
        <v>-325254.4</v>
      </c>
      <c r="AZ67" s="126" t="n">
        <f aca="false">AX67-AY67</f>
        <v>128125.04</v>
      </c>
    </row>
    <row r="68" customFormat="false" ht="15" hidden="false" customHeight="true" outlineLevel="0" collapsed="false">
      <c r="A68" s="122" t="s">
        <v>61</v>
      </c>
      <c r="B68" s="123" t="n">
        <f aca="false">'Original Budget'!C84</f>
        <v>-5302</v>
      </c>
      <c r="C68" s="123" t="n">
        <f aca="false">IF(ISBLANK(Actuals!C84),"",Actuals!C84)</f>
        <v>-5302</v>
      </c>
      <c r="D68" s="124" t="n">
        <f aca="false">IF(ISBLANK(Actuals!C84),"",'Original Budget'!C84-Actuals!C84)</f>
        <v>0</v>
      </c>
      <c r="E68" s="124" t="n">
        <f aca="false">IFERROR(IF(ISBLANK(Actuals!C84),"",('Original Budget'!C84-Actuals!C84)/ABS('Original Budget'!C84)),"")</f>
        <v>0</v>
      </c>
      <c r="F68" s="123" t="n">
        <f aca="false">'Original Budget'!D84</f>
        <v>-4279.79</v>
      </c>
      <c r="G68" s="123" t="n">
        <f aca="false">IF(ISBLANK(Actuals!D84),"",Actuals!D84)</f>
        <v>-4279.79</v>
      </c>
      <c r="H68" s="124" t="n">
        <f aca="false">IF(ISBLANK(Actuals!D84),"",'Original Budget'!D84-Actuals!D84)</f>
        <v>0</v>
      </c>
      <c r="I68" s="124" t="n">
        <f aca="false">IFERROR(IF(ISBLANK(Actuals!D84),"",('Original Budget'!D84-Actuals!D84)/ABS('Original Budget'!D84)),"")</f>
        <v>0</v>
      </c>
      <c r="J68" s="123" t="n">
        <f aca="false">'Original Budget'!E84</f>
        <v>-4145.97</v>
      </c>
      <c r="K68" s="123" t="n">
        <f aca="false">IF(ISBLANK(Actuals!E84),"",Actuals!E84)</f>
        <v>-4145.97</v>
      </c>
      <c r="L68" s="124" t="n">
        <f aca="false">IF(ISBLANK(Actuals!E84),"",'Original Budget'!E84-Actuals!E84)</f>
        <v>0</v>
      </c>
      <c r="M68" s="124" t="n">
        <f aca="false">IFERROR(IF(ISBLANK(Actuals!E84),"",('Original Budget'!E84-Actuals!E84)/ABS('Original Budget'!E84)),"")</f>
        <v>0</v>
      </c>
      <c r="N68" s="123" t="n">
        <f aca="false">'Original Budget'!F84</f>
        <v>-802.083333333334</v>
      </c>
      <c r="O68" s="123" t="n">
        <f aca="false">IF(ISBLANK(Actuals!F84),"",Actuals!F84)</f>
        <v>-4145.96</v>
      </c>
      <c r="P68" s="124" t="n">
        <f aca="false">IF(ISBLANK(Actuals!F84),"",'Original Budget'!F84-Actuals!F84)</f>
        <v>3343.87666666667</v>
      </c>
      <c r="Q68" s="124" t="n">
        <f aca="false">IFERROR(IF(ISBLANK(Actuals!F84),"",('Original Budget'!F84-Actuals!F84)/ABS('Original Budget'!F84)),"")</f>
        <v>4.16898909090909</v>
      </c>
      <c r="R68" s="123" t="n">
        <f aca="false">'Original Budget'!G84</f>
        <v>-802.083333333334</v>
      </c>
      <c r="S68" s="123" t="n">
        <f aca="false">IF(ISBLANK(Actuals!G84),"",Actuals!G84)</f>
        <v>-4145.99</v>
      </c>
      <c r="T68" s="124" t="n">
        <f aca="false">IF(ISBLANK(Actuals!G84),"",'Original Budget'!G84-Actuals!G84)</f>
        <v>3343.90666666667</v>
      </c>
      <c r="U68" s="124" t="n">
        <f aca="false">IFERROR(IF(ISBLANK(Actuals!G84),"",('Original Budget'!G84-Actuals!G84)/ABS('Original Budget'!G84)),"")</f>
        <v>4.16902649350649</v>
      </c>
      <c r="V68" s="123" t="n">
        <f aca="false">'Original Budget'!H84</f>
        <v>-802.083333333334</v>
      </c>
      <c r="W68" s="123" t="n">
        <f aca="false">IF(ISBLANK(Actuals!H84),"",Actuals!H84)</f>
        <v>-4145.95</v>
      </c>
      <c r="X68" s="124" t="n">
        <f aca="false">IF(ISBLANK(Actuals!H84),"",'Original Budget'!H84-Actuals!H84)</f>
        <v>3343.86666666667</v>
      </c>
      <c r="Y68" s="124" t="n">
        <f aca="false">IFERROR(IF(ISBLANK(Actuals!H84),"",('Original Budget'!H84-Actuals!H84)/ABS('Original Budget'!H84)),"")</f>
        <v>4.16897662337662</v>
      </c>
      <c r="Z68" s="123" t="n">
        <f aca="false">'Original Budget'!I84</f>
        <v>-802.083333333334</v>
      </c>
      <c r="AA68" s="123" t="str">
        <f aca="false">IF(ISBLANK(Actuals!I84),"",Actuals!I84)</f>
        <v/>
      </c>
      <c r="AB68" s="124" t="str">
        <f aca="false">IF(ISBLANK(Actuals!I84),"",'Original Budget'!I84-Actuals!I84)</f>
        <v/>
      </c>
      <c r="AC68" s="124" t="str">
        <f aca="false">IFERROR(IF(ISBLANK(Actuals!I84),"",('Original Budget'!I84-Actuals!I84)/ABS('Original Budget'!I84)),"")</f>
        <v/>
      </c>
      <c r="AD68" s="123" t="n">
        <f aca="false">'Original Budget'!J84</f>
        <v>-802.083333333334</v>
      </c>
      <c r="AE68" s="123" t="str">
        <f aca="false">IF(ISBLANK(Actuals!J84),"",Actuals!J84)</f>
        <v/>
      </c>
      <c r="AF68" s="124" t="str">
        <f aca="false">IF(ISBLANK(Actuals!J84),"",'Original Budget'!J84-Actuals!J84)</f>
        <v/>
      </c>
      <c r="AG68" s="124" t="str">
        <f aca="false">IFERROR(IF(ISBLANK(Actuals!J84),"",('Original Budget'!J84-Actuals!J84)/ABS('Original Budget'!J84)),"")</f>
        <v/>
      </c>
      <c r="AH68" s="123" t="n">
        <f aca="false">'Original Budget'!K84</f>
        <v>-802.083333333334</v>
      </c>
      <c r="AI68" s="123" t="str">
        <f aca="false">IF(ISBLANK(Actuals!K84),"",Actuals!K84)</f>
        <v/>
      </c>
      <c r="AJ68" s="124" t="str">
        <f aca="false">IF(ISBLANK(Actuals!K84),"",'Original Budget'!K84-Actuals!K84)</f>
        <v/>
      </c>
      <c r="AK68" s="124" t="str">
        <f aca="false">IFERROR(IF(ISBLANK(Actuals!K84),"",('Original Budget'!K84-Actuals!K84)/ABS('Original Budget'!K84)),"")</f>
        <v/>
      </c>
      <c r="AL68" s="123" t="n">
        <f aca="false">'Original Budget'!L84</f>
        <v>-802.083333333334</v>
      </c>
      <c r="AM68" s="123" t="str">
        <f aca="false">IF(ISBLANK(Actuals!L84),"",Actuals!L84)</f>
        <v/>
      </c>
      <c r="AN68" s="124" t="str">
        <f aca="false">IF(ISBLANK(Actuals!L84),"",'Original Budget'!L84-Actuals!L84)</f>
        <v/>
      </c>
      <c r="AO68" s="124" t="str">
        <f aca="false">IFERROR(IF(ISBLANK(Actuals!L84),"",('Original Budget'!L84-Actuals!L84)/ABS('Original Budget'!L84)),"")</f>
        <v/>
      </c>
      <c r="AP68" s="123" t="n">
        <f aca="false">'Original Budget'!M84</f>
        <v>-802.083333333334</v>
      </c>
      <c r="AQ68" s="123" t="str">
        <f aca="false">IF(ISBLANK(Actuals!M84),"",Actuals!M84)</f>
        <v/>
      </c>
      <c r="AR68" s="124" t="str">
        <f aca="false">IF(ISBLANK(Actuals!M84),"",'Original Budget'!M84-Actuals!M84)</f>
        <v/>
      </c>
      <c r="AS68" s="124" t="str">
        <f aca="false">IFERROR(IF(ISBLANK(Actuals!M84),"",('Original Budget'!M84-Actuals!M84)/ABS('Original Budget'!M84)),"")</f>
        <v/>
      </c>
      <c r="AT68" s="123" t="n">
        <f aca="false">'Original Budget'!N84</f>
        <v>-802.083333333334</v>
      </c>
      <c r="AU68" s="123" t="str">
        <f aca="false">IF(ISBLANK(Actuals!N84),"",Actuals!N84)</f>
        <v/>
      </c>
      <c r="AV68" s="124" t="str">
        <f aca="false">IF(ISBLANK(Actuals!N84),"",'Original Budget'!N84-Actuals!N84)</f>
        <v/>
      </c>
      <c r="AW68" s="124" t="str">
        <f aca="false">IFERROR(IF(ISBLANK(Actuals!N84),"",('Original Budget'!N84-Actuals!N84)/ABS('Original Budget'!N84)),"")</f>
        <v/>
      </c>
      <c r="AX68" s="125" t="n">
        <f aca="false">SUMPRODUCT((Actuals!C84:N84&lt;&gt;"")*('Original Budget'!C84:N84))</f>
        <v>-16134.01</v>
      </c>
      <c r="AY68" s="125" t="n">
        <f aca="false">SUM(Actuals!C84:N84)</f>
        <v>-26165.66</v>
      </c>
      <c r="AZ68" s="126" t="n">
        <f aca="false">AX68-AY68</f>
        <v>10031.65</v>
      </c>
    </row>
    <row r="69" customFormat="false" ht="15" hidden="false" customHeight="true" outlineLevel="0" collapsed="false">
      <c r="A69" s="122" t="s">
        <v>63</v>
      </c>
      <c r="B69" s="123" t="n">
        <f aca="false">'Original Budget'!C85</f>
        <v>-12137.77</v>
      </c>
      <c r="C69" s="123" t="n">
        <f aca="false">IF(ISBLANK(Actuals!C85),"",Actuals!C85)</f>
        <v>-12137.77</v>
      </c>
      <c r="D69" s="124" t="n">
        <f aca="false">IF(ISBLANK(Actuals!C85),"",'Original Budget'!C85-Actuals!C85)</f>
        <v>0</v>
      </c>
      <c r="E69" s="124" t="n">
        <f aca="false">IFERROR(IF(ISBLANK(Actuals!C85),"",('Original Budget'!C85-Actuals!C85)/ABS('Original Budget'!C85)),"")</f>
        <v>0</v>
      </c>
      <c r="F69" s="123" t="n">
        <f aca="false">'Original Budget'!D85</f>
        <v>-12137.78</v>
      </c>
      <c r="G69" s="123" t="n">
        <f aca="false">IF(ISBLANK(Actuals!D85),"",Actuals!D85)</f>
        <v>-12137.78</v>
      </c>
      <c r="H69" s="124" t="n">
        <f aca="false">IF(ISBLANK(Actuals!D85),"",'Original Budget'!D85-Actuals!D85)</f>
        <v>0</v>
      </c>
      <c r="I69" s="124" t="n">
        <f aca="false">IFERROR(IF(ISBLANK(Actuals!D85),"",('Original Budget'!D85-Actuals!D85)/ABS('Original Budget'!D85)),"")</f>
        <v>0</v>
      </c>
      <c r="J69" s="123" t="n">
        <f aca="false">'Original Budget'!E85</f>
        <v>-12137.78</v>
      </c>
      <c r="K69" s="123" t="n">
        <f aca="false">IF(ISBLANK(Actuals!E85),"",Actuals!E85)</f>
        <v>-12137.78</v>
      </c>
      <c r="L69" s="124" t="n">
        <f aca="false">IF(ISBLANK(Actuals!E85),"",'Original Budget'!E85-Actuals!E85)</f>
        <v>0</v>
      </c>
      <c r="M69" s="124" t="n">
        <f aca="false">IFERROR(IF(ISBLANK(Actuals!E85),"",('Original Budget'!E85-Actuals!E85)/ABS('Original Budget'!E85)),"")</f>
        <v>0</v>
      </c>
      <c r="N69" s="123" t="n">
        <f aca="false">'Original Budget'!F85</f>
        <v>-572.916666666667</v>
      </c>
      <c r="O69" s="123" t="n">
        <f aca="false">IF(ISBLANK(Actuals!F85),"",Actuals!F85)</f>
        <v>-12137.78</v>
      </c>
      <c r="P69" s="124" t="n">
        <f aca="false">IF(ISBLANK(Actuals!F85),"",'Original Budget'!F85-Actuals!F85)</f>
        <v>11564.8633333333</v>
      </c>
      <c r="Q69" s="124" t="n">
        <f aca="false">IFERROR(IF(ISBLANK(Actuals!F85),"",('Original Budget'!F85-Actuals!F85)/ABS('Original Budget'!F85)),"")</f>
        <v>20.1859432727273</v>
      </c>
      <c r="R69" s="123" t="n">
        <f aca="false">'Original Budget'!G85</f>
        <v>-572.916666666667</v>
      </c>
      <c r="S69" s="123" t="n">
        <f aca="false">IF(ISBLANK(Actuals!G85),"",Actuals!G85)</f>
        <v>-12137.78</v>
      </c>
      <c r="T69" s="124" t="n">
        <f aca="false">IF(ISBLANK(Actuals!G85),"",'Original Budget'!G85-Actuals!G85)</f>
        <v>11564.8633333333</v>
      </c>
      <c r="U69" s="124" t="n">
        <f aca="false">IFERROR(IF(ISBLANK(Actuals!G85),"",('Original Budget'!G85-Actuals!G85)/ABS('Original Budget'!G85)),"")</f>
        <v>20.1859432727273</v>
      </c>
      <c r="V69" s="123" t="n">
        <f aca="false">'Original Budget'!H85</f>
        <v>-572.916666666667</v>
      </c>
      <c r="W69" s="123" t="n">
        <f aca="false">IF(ISBLANK(Actuals!H85),"",Actuals!H85)</f>
        <v>-12137.78</v>
      </c>
      <c r="X69" s="124" t="n">
        <f aca="false">IF(ISBLANK(Actuals!H85),"",'Original Budget'!H85-Actuals!H85)</f>
        <v>11564.8633333333</v>
      </c>
      <c r="Y69" s="124" t="n">
        <f aca="false">IFERROR(IF(ISBLANK(Actuals!H85),"",('Original Budget'!H85-Actuals!H85)/ABS('Original Budget'!H85)),"")</f>
        <v>20.1859432727273</v>
      </c>
      <c r="Z69" s="123" t="n">
        <f aca="false">'Original Budget'!I85</f>
        <v>-572.916666666667</v>
      </c>
      <c r="AA69" s="123" t="str">
        <f aca="false">IF(ISBLANK(Actuals!I85),"",Actuals!I85)</f>
        <v/>
      </c>
      <c r="AB69" s="124" t="str">
        <f aca="false">IF(ISBLANK(Actuals!I85),"",'Original Budget'!I85-Actuals!I85)</f>
        <v/>
      </c>
      <c r="AC69" s="124" t="str">
        <f aca="false">IFERROR(IF(ISBLANK(Actuals!I85),"",('Original Budget'!I85-Actuals!I85)/ABS('Original Budget'!I85)),"")</f>
        <v/>
      </c>
      <c r="AD69" s="123" t="n">
        <f aca="false">'Original Budget'!J85</f>
        <v>-572.916666666667</v>
      </c>
      <c r="AE69" s="123" t="str">
        <f aca="false">IF(ISBLANK(Actuals!J85),"",Actuals!J85)</f>
        <v/>
      </c>
      <c r="AF69" s="124" t="str">
        <f aca="false">IF(ISBLANK(Actuals!J85),"",'Original Budget'!J85-Actuals!J85)</f>
        <v/>
      </c>
      <c r="AG69" s="124" t="str">
        <f aca="false">IFERROR(IF(ISBLANK(Actuals!J85),"",('Original Budget'!J85-Actuals!J85)/ABS('Original Budget'!J85)),"")</f>
        <v/>
      </c>
      <c r="AH69" s="123" t="n">
        <f aca="false">'Original Budget'!K85</f>
        <v>-572.916666666667</v>
      </c>
      <c r="AI69" s="123" t="str">
        <f aca="false">IF(ISBLANK(Actuals!K85),"",Actuals!K85)</f>
        <v/>
      </c>
      <c r="AJ69" s="124" t="str">
        <f aca="false">IF(ISBLANK(Actuals!K85),"",'Original Budget'!K85-Actuals!K85)</f>
        <v/>
      </c>
      <c r="AK69" s="124" t="str">
        <f aca="false">IFERROR(IF(ISBLANK(Actuals!K85),"",('Original Budget'!K85-Actuals!K85)/ABS('Original Budget'!K85)),"")</f>
        <v/>
      </c>
      <c r="AL69" s="123" t="n">
        <f aca="false">'Original Budget'!L85</f>
        <v>-572.916666666667</v>
      </c>
      <c r="AM69" s="123" t="str">
        <f aca="false">IF(ISBLANK(Actuals!L85),"",Actuals!L85)</f>
        <v/>
      </c>
      <c r="AN69" s="124" t="str">
        <f aca="false">IF(ISBLANK(Actuals!L85),"",'Original Budget'!L85-Actuals!L85)</f>
        <v/>
      </c>
      <c r="AO69" s="124" t="str">
        <f aca="false">IFERROR(IF(ISBLANK(Actuals!L85),"",('Original Budget'!L85-Actuals!L85)/ABS('Original Budget'!L85)),"")</f>
        <v/>
      </c>
      <c r="AP69" s="123" t="n">
        <f aca="false">'Original Budget'!M85</f>
        <v>-572.916666666667</v>
      </c>
      <c r="AQ69" s="123" t="str">
        <f aca="false">IF(ISBLANK(Actuals!M85),"",Actuals!M85)</f>
        <v/>
      </c>
      <c r="AR69" s="124" t="str">
        <f aca="false">IF(ISBLANK(Actuals!M85),"",'Original Budget'!M85-Actuals!M85)</f>
        <v/>
      </c>
      <c r="AS69" s="124" t="str">
        <f aca="false">IFERROR(IF(ISBLANK(Actuals!M85),"",('Original Budget'!M85-Actuals!M85)/ABS('Original Budget'!M85)),"")</f>
        <v/>
      </c>
      <c r="AT69" s="123" t="n">
        <f aca="false">'Original Budget'!N85</f>
        <v>-572.916666666667</v>
      </c>
      <c r="AU69" s="123" t="str">
        <f aca="false">IF(ISBLANK(Actuals!N85),"",Actuals!N85)</f>
        <v/>
      </c>
      <c r="AV69" s="124" t="str">
        <f aca="false">IF(ISBLANK(Actuals!N85),"",'Original Budget'!N85-Actuals!N85)</f>
        <v/>
      </c>
      <c r="AW69" s="124" t="str">
        <f aca="false">IFERROR(IF(ISBLANK(Actuals!N85),"",('Original Budget'!N85-Actuals!N85)/ABS('Original Budget'!N85)),"")</f>
        <v/>
      </c>
      <c r="AX69" s="125" t="n">
        <f aca="false">SUMPRODUCT((Actuals!C85:N85&lt;&gt;"")*('Original Budget'!C85:N85))</f>
        <v>-38132.08</v>
      </c>
      <c r="AY69" s="125" t="n">
        <f aca="false">SUM(Actuals!C85:N85)</f>
        <v>-72826.67</v>
      </c>
      <c r="AZ69" s="126" t="n">
        <f aca="false">AX69-AY69</f>
        <v>34694.59</v>
      </c>
    </row>
    <row r="70" customFormat="false" ht="15" hidden="false" customHeight="true" outlineLevel="0" collapsed="false">
      <c r="A70" s="122" t="s">
        <v>64</v>
      </c>
      <c r="B70" s="123" t="n">
        <f aca="false">'Original Budget'!C86</f>
        <v>-475.76</v>
      </c>
      <c r="C70" s="123" t="n">
        <f aca="false">IF(ISBLANK(Actuals!C86),"",Actuals!C86)</f>
        <v>-475.76</v>
      </c>
      <c r="D70" s="124" t="n">
        <f aca="false">IF(ISBLANK(Actuals!C86),"",'Original Budget'!C86-Actuals!C86)</f>
        <v>0</v>
      </c>
      <c r="E70" s="124" t="n">
        <f aca="false">IFERROR(IF(ISBLANK(Actuals!C86),"",('Original Budget'!C86-Actuals!C86)/ABS('Original Budget'!C86)),"")</f>
        <v>0</v>
      </c>
      <c r="F70" s="123" t="n">
        <f aca="false">'Original Budget'!D86</f>
        <v>-475.76</v>
      </c>
      <c r="G70" s="123" t="n">
        <f aca="false">IF(ISBLANK(Actuals!D86),"",Actuals!D86)</f>
        <v>-475.76</v>
      </c>
      <c r="H70" s="124" t="n">
        <f aca="false">IF(ISBLANK(Actuals!D86),"",'Original Budget'!D86-Actuals!D86)</f>
        <v>0</v>
      </c>
      <c r="I70" s="124" t="n">
        <f aca="false">IFERROR(IF(ISBLANK(Actuals!D86),"",('Original Budget'!D86-Actuals!D86)/ABS('Original Budget'!D86)),"")</f>
        <v>0</v>
      </c>
      <c r="J70" s="123" t="n">
        <f aca="false">'Original Budget'!E86</f>
        <v>-475.76</v>
      </c>
      <c r="K70" s="123" t="n">
        <f aca="false">IF(ISBLANK(Actuals!E86),"",Actuals!E86)</f>
        <v>-475.76</v>
      </c>
      <c r="L70" s="124" t="n">
        <f aca="false">IF(ISBLANK(Actuals!E86),"",'Original Budget'!E86-Actuals!E86)</f>
        <v>0</v>
      </c>
      <c r="M70" s="124" t="n">
        <f aca="false">IFERROR(IF(ISBLANK(Actuals!E86),"",('Original Budget'!E86-Actuals!E86)/ABS('Original Budget'!E86)),"")</f>
        <v>0</v>
      </c>
      <c r="N70" s="123" t="n">
        <f aca="false">'Original Budget'!F86</f>
        <v>-229.166666666667</v>
      </c>
      <c r="O70" s="123" t="n">
        <f aca="false">IF(ISBLANK(Actuals!F86),"",Actuals!F86)</f>
        <v>-475.76</v>
      </c>
      <c r="P70" s="124" t="n">
        <f aca="false">IF(ISBLANK(Actuals!F86),"",'Original Budget'!F86-Actuals!F86)</f>
        <v>246.593333333333</v>
      </c>
      <c r="Q70" s="124" t="n">
        <f aca="false">IFERROR(IF(ISBLANK(Actuals!F86),"",('Original Budget'!F86-Actuals!F86)/ABS('Original Budget'!F86)),"")</f>
        <v>1.07604363636363</v>
      </c>
      <c r="R70" s="123" t="n">
        <f aca="false">'Original Budget'!G86</f>
        <v>-229.166666666667</v>
      </c>
      <c r="S70" s="123" t="n">
        <f aca="false">IF(ISBLANK(Actuals!G86),"",Actuals!G86)</f>
        <v>-475.76</v>
      </c>
      <c r="T70" s="124" t="n">
        <f aca="false">IF(ISBLANK(Actuals!G86),"",'Original Budget'!G86-Actuals!G86)</f>
        <v>246.593333333333</v>
      </c>
      <c r="U70" s="124" t="n">
        <f aca="false">IFERROR(IF(ISBLANK(Actuals!G86),"",('Original Budget'!G86-Actuals!G86)/ABS('Original Budget'!G86)),"")</f>
        <v>1.07604363636363</v>
      </c>
      <c r="V70" s="123" t="n">
        <f aca="false">'Original Budget'!H86</f>
        <v>-229.166666666667</v>
      </c>
      <c r="W70" s="123" t="n">
        <f aca="false">IF(ISBLANK(Actuals!H86),"",Actuals!H86)</f>
        <v>-475.76</v>
      </c>
      <c r="X70" s="124" t="n">
        <f aca="false">IF(ISBLANK(Actuals!H86),"",'Original Budget'!H86-Actuals!H86)</f>
        <v>246.593333333333</v>
      </c>
      <c r="Y70" s="124" t="n">
        <f aca="false">IFERROR(IF(ISBLANK(Actuals!H86),"",('Original Budget'!H86-Actuals!H86)/ABS('Original Budget'!H86)),"")</f>
        <v>1.07604363636363</v>
      </c>
      <c r="Z70" s="123" t="n">
        <f aca="false">'Original Budget'!I86</f>
        <v>-229.166666666667</v>
      </c>
      <c r="AA70" s="123" t="str">
        <f aca="false">IF(ISBLANK(Actuals!I86),"",Actuals!I86)</f>
        <v/>
      </c>
      <c r="AB70" s="124" t="str">
        <f aca="false">IF(ISBLANK(Actuals!I86),"",'Original Budget'!I86-Actuals!I86)</f>
        <v/>
      </c>
      <c r="AC70" s="124" t="str">
        <f aca="false">IFERROR(IF(ISBLANK(Actuals!I86),"",('Original Budget'!I86-Actuals!I86)/ABS('Original Budget'!I86)),"")</f>
        <v/>
      </c>
      <c r="AD70" s="123" t="n">
        <f aca="false">'Original Budget'!J86</f>
        <v>-229.166666666667</v>
      </c>
      <c r="AE70" s="123" t="str">
        <f aca="false">IF(ISBLANK(Actuals!J86),"",Actuals!J86)</f>
        <v/>
      </c>
      <c r="AF70" s="124" t="str">
        <f aca="false">IF(ISBLANK(Actuals!J86),"",'Original Budget'!J86-Actuals!J86)</f>
        <v/>
      </c>
      <c r="AG70" s="124" t="str">
        <f aca="false">IFERROR(IF(ISBLANK(Actuals!J86),"",('Original Budget'!J86-Actuals!J86)/ABS('Original Budget'!J86)),"")</f>
        <v/>
      </c>
      <c r="AH70" s="123" t="n">
        <f aca="false">'Original Budget'!K86</f>
        <v>-229.166666666667</v>
      </c>
      <c r="AI70" s="123" t="str">
        <f aca="false">IF(ISBLANK(Actuals!K86),"",Actuals!K86)</f>
        <v/>
      </c>
      <c r="AJ70" s="124" t="str">
        <f aca="false">IF(ISBLANK(Actuals!K86),"",'Original Budget'!K86-Actuals!K86)</f>
        <v/>
      </c>
      <c r="AK70" s="124" t="str">
        <f aca="false">IFERROR(IF(ISBLANK(Actuals!K86),"",('Original Budget'!K86-Actuals!K86)/ABS('Original Budget'!K86)),"")</f>
        <v/>
      </c>
      <c r="AL70" s="123" t="n">
        <f aca="false">'Original Budget'!L86</f>
        <v>-229.166666666667</v>
      </c>
      <c r="AM70" s="123" t="str">
        <f aca="false">IF(ISBLANK(Actuals!L86),"",Actuals!L86)</f>
        <v/>
      </c>
      <c r="AN70" s="124" t="str">
        <f aca="false">IF(ISBLANK(Actuals!L86),"",'Original Budget'!L86-Actuals!L86)</f>
        <v/>
      </c>
      <c r="AO70" s="124" t="str">
        <f aca="false">IFERROR(IF(ISBLANK(Actuals!L86),"",('Original Budget'!L86-Actuals!L86)/ABS('Original Budget'!L86)),"")</f>
        <v/>
      </c>
      <c r="AP70" s="123" t="n">
        <f aca="false">'Original Budget'!M86</f>
        <v>-229.166666666667</v>
      </c>
      <c r="AQ70" s="123" t="str">
        <f aca="false">IF(ISBLANK(Actuals!M86),"",Actuals!M86)</f>
        <v/>
      </c>
      <c r="AR70" s="124" t="str">
        <f aca="false">IF(ISBLANK(Actuals!M86),"",'Original Budget'!M86-Actuals!M86)</f>
        <v/>
      </c>
      <c r="AS70" s="124" t="str">
        <f aca="false">IFERROR(IF(ISBLANK(Actuals!M86),"",('Original Budget'!M86-Actuals!M86)/ABS('Original Budget'!M86)),"")</f>
        <v/>
      </c>
      <c r="AT70" s="123" t="n">
        <f aca="false">'Original Budget'!N86</f>
        <v>-229.166666666667</v>
      </c>
      <c r="AU70" s="123" t="str">
        <f aca="false">IF(ISBLANK(Actuals!N86),"",Actuals!N86)</f>
        <v/>
      </c>
      <c r="AV70" s="124" t="str">
        <f aca="false">IF(ISBLANK(Actuals!N86),"",'Original Budget'!N86-Actuals!N86)</f>
        <v/>
      </c>
      <c r="AW70" s="124" t="str">
        <f aca="false">IFERROR(IF(ISBLANK(Actuals!N86),"",('Original Budget'!N86-Actuals!N86)/ABS('Original Budget'!N86)),"")</f>
        <v/>
      </c>
      <c r="AX70" s="125" t="n">
        <f aca="false">SUMPRODUCT((Actuals!C86:N86&lt;&gt;"")*('Original Budget'!C86:N86))</f>
        <v>-2114.78</v>
      </c>
      <c r="AY70" s="125" t="n">
        <f aca="false">SUM(Actuals!C86:N86)</f>
        <v>-2854.56</v>
      </c>
      <c r="AZ70" s="126" t="n">
        <f aca="false">AX70-AY70</f>
        <v>739.779999999999</v>
      </c>
    </row>
    <row r="71" customFormat="false" ht="15" hidden="false" customHeight="true" outlineLevel="0" collapsed="false">
      <c r="A71" s="122" t="s">
        <v>65</v>
      </c>
      <c r="B71" s="123" t="n">
        <f aca="false">'Original Budget'!C87</f>
        <v>-2200.12</v>
      </c>
      <c r="C71" s="123" t="n">
        <f aca="false">IF(ISBLANK(Actuals!C87),"",Actuals!C87)</f>
        <v>-2200.12</v>
      </c>
      <c r="D71" s="124" t="n">
        <f aca="false">IF(ISBLANK(Actuals!C87),"",'Original Budget'!C87-Actuals!C87)</f>
        <v>0</v>
      </c>
      <c r="E71" s="124" t="n">
        <f aca="false">IFERROR(IF(ISBLANK(Actuals!C87),"",('Original Budget'!C87-Actuals!C87)/ABS('Original Budget'!C87)),"")</f>
        <v>0</v>
      </c>
      <c r="F71" s="123" t="n">
        <f aca="false">'Original Budget'!D87</f>
        <v>-2200.12</v>
      </c>
      <c r="G71" s="123" t="n">
        <f aca="false">IF(ISBLANK(Actuals!D87),"",Actuals!D87)</f>
        <v>-2200.12</v>
      </c>
      <c r="H71" s="124" t="n">
        <f aca="false">IF(ISBLANK(Actuals!D87),"",'Original Budget'!D87-Actuals!D87)</f>
        <v>0</v>
      </c>
      <c r="I71" s="124" t="n">
        <f aca="false">IFERROR(IF(ISBLANK(Actuals!D87),"",('Original Budget'!D87-Actuals!D87)/ABS('Original Budget'!D87)),"")</f>
        <v>0</v>
      </c>
      <c r="J71" s="123" t="n">
        <f aca="false">'Original Budget'!E87</f>
        <v>-2200.12</v>
      </c>
      <c r="K71" s="123" t="n">
        <f aca="false">IF(ISBLANK(Actuals!E87),"",Actuals!E87)</f>
        <v>-2200.12</v>
      </c>
      <c r="L71" s="124" t="n">
        <f aca="false">IF(ISBLANK(Actuals!E87),"",'Original Budget'!E87-Actuals!E87)</f>
        <v>0</v>
      </c>
      <c r="M71" s="124" t="n">
        <f aca="false">IFERROR(IF(ISBLANK(Actuals!E87),"",('Original Budget'!E87-Actuals!E87)/ABS('Original Budget'!E87)),"")</f>
        <v>0</v>
      </c>
      <c r="N71" s="123" t="n">
        <f aca="false">'Original Budget'!F87</f>
        <v>-57.2916666666667</v>
      </c>
      <c r="O71" s="123" t="n">
        <f aca="false">IF(ISBLANK(Actuals!F87),"",Actuals!F87)</f>
        <v>-2200.12</v>
      </c>
      <c r="P71" s="124" t="n">
        <f aca="false">IF(ISBLANK(Actuals!F87),"",'Original Budget'!F87-Actuals!F87)</f>
        <v>2142.82833333333</v>
      </c>
      <c r="Q71" s="124" t="n">
        <f aca="false">IFERROR(IF(ISBLANK(Actuals!F87),"",('Original Budget'!F87-Actuals!F87)/ABS('Original Budget'!F87)),"")</f>
        <v>37.4020945454545</v>
      </c>
      <c r="R71" s="123" t="n">
        <f aca="false">'Original Budget'!G87</f>
        <v>-57.2916666666667</v>
      </c>
      <c r="S71" s="123" t="n">
        <f aca="false">IF(ISBLANK(Actuals!G87),"",Actuals!G87)</f>
        <v>-2200.12</v>
      </c>
      <c r="T71" s="124" t="n">
        <f aca="false">IF(ISBLANK(Actuals!G87),"",'Original Budget'!G87-Actuals!G87)</f>
        <v>2142.82833333333</v>
      </c>
      <c r="U71" s="124" t="n">
        <f aca="false">IFERROR(IF(ISBLANK(Actuals!G87),"",('Original Budget'!G87-Actuals!G87)/ABS('Original Budget'!G87)),"")</f>
        <v>37.4020945454545</v>
      </c>
      <c r="V71" s="123" t="n">
        <f aca="false">'Original Budget'!H87</f>
        <v>-57.2916666666667</v>
      </c>
      <c r="W71" s="123" t="n">
        <f aca="false">IF(ISBLANK(Actuals!H87),"",Actuals!H87)</f>
        <v>-2200.12</v>
      </c>
      <c r="X71" s="124" t="n">
        <f aca="false">IF(ISBLANK(Actuals!H87),"",'Original Budget'!H87-Actuals!H87)</f>
        <v>2142.82833333333</v>
      </c>
      <c r="Y71" s="124" t="n">
        <f aca="false">IFERROR(IF(ISBLANK(Actuals!H87),"",('Original Budget'!H87-Actuals!H87)/ABS('Original Budget'!H87)),"")</f>
        <v>37.4020945454545</v>
      </c>
      <c r="Z71" s="123" t="n">
        <f aca="false">'Original Budget'!I87</f>
        <v>-57.2916666666667</v>
      </c>
      <c r="AA71" s="123" t="str">
        <f aca="false">IF(ISBLANK(Actuals!I87),"",Actuals!I87)</f>
        <v/>
      </c>
      <c r="AB71" s="124" t="str">
        <f aca="false">IF(ISBLANK(Actuals!I87),"",'Original Budget'!I87-Actuals!I87)</f>
        <v/>
      </c>
      <c r="AC71" s="124" t="str">
        <f aca="false">IFERROR(IF(ISBLANK(Actuals!I87),"",('Original Budget'!I87-Actuals!I87)/ABS('Original Budget'!I87)),"")</f>
        <v/>
      </c>
      <c r="AD71" s="123" t="n">
        <f aca="false">'Original Budget'!J87</f>
        <v>-57.2916666666667</v>
      </c>
      <c r="AE71" s="123" t="str">
        <f aca="false">IF(ISBLANK(Actuals!J87),"",Actuals!J87)</f>
        <v/>
      </c>
      <c r="AF71" s="124" t="str">
        <f aca="false">IF(ISBLANK(Actuals!J87),"",'Original Budget'!J87-Actuals!J87)</f>
        <v/>
      </c>
      <c r="AG71" s="124" t="str">
        <f aca="false">IFERROR(IF(ISBLANK(Actuals!J87),"",('Original Budget'!J87-Actuals!J87)/ABS('Original Budget'!J87)),"")</f>
        <v/>
      </c>
      <c r="AH71" s="123" t="n">
        <f aca="false">'Original Budget'!K87</f>
        <v>-57.2916666666667</v>
      </c>
      <c r="AI71" s="123" t="str">
        <f aca="false">IF(ISBLANK(Actuals!K87),"",Actuals!K87)</f>
        <v/>
      </c>
      <c r="AJ71" s="124" t="str">
        <f aca="false">IF(ISBLANK(Actuals!K87),"",'Original Budget'!K87-Actuals!K87)</f>
        <v/>
      </c>
      <c r="AK71" s="124" t="str">
        <f aca="false">IFERROR(IF(ISBLANK(Actuals!K87),"",('Original Budget'!K87-Actuals!K87)/ABS('Original Budget'!K87)),"")</f>
        <v/>
      </c>
      <c r="AL71" s="123" t="n">
        <f aca="false">'Original Budget'!L87</f>
        <v>-57.2916666666667</v>
      </c>
      <c r="AM71" s="123" t="str">
        <f aca="false">IF(ISBLANK(Actuals!L87),"",Actuals!L87)</f>
        <v/>
      </c>
      <c r="AN71" s="124" t="str">
        <f aca="false">IF(ISBLANK(Actuals!L87),"",'Original Budget'!L87-Actuals!L87)</f>
        <v/>
      </c>
      <c r="AO71" s="124" t="str">
        <f aca="false">IFERROR(IF(ISBLANK(Actuals!L87),"",('Original Budget'!L87-Actuals!L87)/ABS('Original Budget'!L87)),"")</f>
        <v/>
      </c>
      <c r="AP71" s="123" t="n">
        <f aca="false">'Original Budget'!M87</f>
        <v>-57.2916666666667</v>
      </c>
      <c r="AQ71" s="123" t="str">
        <f aca="false">IF(ISBLANK(Actuals!M87),"",Actuals!M87)</f>
        <v/>
      </c>
      <c r="AR71" s="124" t="str">
        <f aca="false">IF(ISBLANK(Actuals!M87),"",'Original Budget'!M87-Actuals!M87)</f>
        <v/>
      </c>
      <c r="AS71" s="124" t="str">
        <f aca="false">IFERROR(IF(ISBLANK(Actuals!M87),"",('Original Budget'!M87-Actuals!M87)/ABS('Original Budget'!M87)),"")</f>
        <v/>
      </c>
      <c r="AT71" s="123" t="n">
        <f aca="false">'Original Budget'!N87</f>
        <v>-57.2916666666667</v>
      </c>
      <c r="AU71" s="123" t="str">
        <f aca="false">IF(ISBLANK(Actuals!N87),"",Actuals!N87)</f>
        <v/>
      </c>
      <c r="AV71" s="124" t="str">
        <f aca="false">IF(ISBLANK(Actuals!N87),"",'Original Budget'!N87-Actuals!N87)</f>
        <v/>
      </c>
      <c r="AW71" s="124" t="str">
        <f aca="false">IFERROR(IF(ISBLANK(Actuals!N87),"",('Original Budget'!N87-Actuals!N87)/ABS('Original Budget'!N87)),"")</f>
        <v/>
      </c>
      <c r="AX71" s="125" t="n">
        <f aca="false">SUMPRODUCT((Actuals!C87:N87&lt;&gt;"")*('Original Budget'!C87:N87))</f>
        <v>-6772.235</v>
      </c>
      <c r="AY71" s="125" t="n">
        <f aca="false">SUM(Actuals!C87:N87)</f>
        <v>-13200.72</v>
      </c>
      <c r="AZ71" s="126" t="n">
        <f aca="false">AX71-AY71</f>
        <v>6428.485</v>
      </c>
    </row>
    <row r="72" customFormat="false" ht="15" hidden="false" customHeight="true" outlineLevel="0" collapsed="false">
      <c r="A72" s="122" t="s">
        <v>68</v>
      </c>
      <c r="B72" s="123" t="n">
        <f aca="false">'Original Budget'!C88</f>
        <v>-8848.65</v>
      </c>
      <c r="C72" s="123" t="n">
        <f aca="false">IF(ISBLANK(Actuals!C88),"",Actuals!C88)</f>
        <v>-8848.65</v>
      </c>
      <c r="D72" s="124" t="n">
        <f aca="false">IF(ISBLANK(Actuals!C88),"",'Original Budget'!C88-Actuals!C88)</f>
        <v>0</v>
      </c>
      <c r="E72" s="124" t="n">
        <f aca="false">IFERROR(IF(ISBLANK(Actuals!C88),"",('Original Budget'!C88-Actuals!C88)/ABS('Original Budget'!C88)),"")</f>
        <v>0</v>
      </c>
      <c r="F72" s="123" t="n">
        <f aca="false">'Original Budget'!D88</f>
        <v>-8817.63</v>
      </c>
      <c r="G72" s="123" t="n">
        <f aca="false">IF(ISBLANK(Actuals!D88),"",Actuals!D88)</f>
        <v>-8817.63</v>
      </c>
      <c r="H72" s="124" t="n">
        <f aca="false">IF(ISBLANK(Actuals!D88),"",'Original Budget'!D88-Actuals!D88)</f>
        <v>0</v>
      </c>
      <c r="I72" s="124" t="n">
        <f aca="false">IFERROR(IF(ISBLANK(Actuals!D88),"",('Original Budget'!D88-Actuals!D88)/ABS('Original Budget'!D88)),"")</f>
        <v>0</v>
      </c>
      <c r="J72" s="123" t="n">
        <f aca="false">'Original Budget'!E88</f>
        <v>-3775.91</v>
      </c>
      <c r="K72" s="123" t="n">
        <f aca="false">IF(ISBLANK(Actuals!E88),"",Actuals!E88)</f>
        <v>-3775.91</v>
      </c>
      <c r="L72" s="124" t="n">
        <f aca="false">IF(ISBLANK(Actuals!E88),"",'Original Budget'!E88-Actuals!E88)</f>
        <v>0</v>
      </c>
      <c r="M72" s="124" t="n">
        <f aca="false">IFERROR(IF(ISBLANK(Actuals!E88),"",('Original Budget'!E88-Actuals!E88)/ABS('Original Budget'!E88)),"")</f>
        <v>0</v>
      </c>
      <c r="N72" s="123" t="n">
        <f aca="false">'Original Budget'!F88</f>
        <v>-8500</v>
      </c>
      <c r="O72" s="123" t="n">
        <f aca="false">IF(ISBLANK(Actuals!F88),"",Actuals!F88)</f>
        <v>-8731.12</v>
      </c>
      <c r="P72" s="124" t="n">
        <f aca="false">IF(ISBLANK(Actuals!F88),"",'Original Budget'!F88-Actuals!F88)</f>
        <v>231.120000000001</v>
      </c>
      <c r="Q72" s="124" t="n">
        <f aca="false">IFERROR(IF(ISBLANK(Actuals!F88),"",('Original Budget'!F88-Actuals!F88)/ABS('Original Budget'!F88)),"")</f>
        <v>0.0271905882352942</v>
      </c>
      <c r="R72" s="123" t="n">
        <f aca="false">'Original Budget'!G88</f>
        <v>-8500</v>
      </c>
      <c r="S72" s="123" t="n">
        <f aca="false">IF(ISBLANK(Actuals!G88),"",Actuals!G88)</f>
        <v>-8739.17</v>
      </c>
      <c r="T72" s="124" t="n">
        <f aca="false">IF(ISBLANK(Actuals!G88),"",'Original Budget'!G88-Actuals!G88)</f>
        <v>239.17</v>
      </c>
      <c r="U72" s="124" t="n">
        <f aca="false">IFERROR(IF(ISBLANK(Actuals!G88),"",('Original Budget'!G88-Actuals!G88)/ABS('Original Budget'!G88)),"")</f>
        <v>0.0281376470588235</v>
      </c>
      <c r="V72" s="123" t="n">
        <f aca="false">'Original Budget'!H88</f>
        <v>-8500</v>
      </c>
      <c r="W72" s="123" t="n">
        <f aca="false">IF(ISBLANK(Actuals!H88),"",Actuals!H88)</f>
        <v>-8771.99</v>
      </c>
      <c r="X72" s="124" t="n">
        <f aca="false">IF(ISBLANK(Actuals!H88),"",'Original Budget'!H88-Actuals!H88)</f>
        <v>271.99</v>
      </c>
      <c r="Y72" s="124" t="n">
        <f aca="false">IFERROR(IF(ISBLANK(Actuals!H88),"",('Original Budget'!H88-Actuals!H88)/ABS('Original Budget'!H88)),"")</f>
        <v>0.0319988235294117</v>
      </c>
      <c r="Z72" s="123" t="n">
        <f aca="false">'Original Budget'!I88</f>
        <v>-8500</v>
      </c>
      <c r="AA72" s="123" t="str">
        <f aca="false">IF(ISBLANK(Actuals!I88),"",Actuals!I88)</f>
        <v/>
      </c>
      <c r="AB72" s="124" t="str">
        <f aca="false">IF(ISBLANK(Actuals!I88),"",'Original Budget'!I88-Actuals!I88)</f>
        <v/>
      </c>
      <c r="AC72" s="124" t="str">
        <f aca="false">IFERROR(IF(ISBLANK(Actuals!I88),"",('Original Budget'!I88-Actuals!I88)/ABS('Original Budget'!I88)),"")</f>
        <v/>
      </c>
      <c r="AD72" s="123" t="n">
        <f aca="false">'Original Budget'!J88</f>
        <v>-8500</v>
      </c>
      <c r="AE72" s="123" t="str">
        <f aca="false">IF(ISBLANK(Actuals!J88),"",Actuals!J88)</f>
        <v/>
      </c>
      <c r="AF72" s="124" t="str">
        <f aca="false">IF(ISBLANK(Actuals!J88),"",'Original Budget'!J88-Actuals!J88)</f>
        <v/>
      </c>
      <c r="AG72" s="124" t="str">
        <f aca="false">IFERROR(IF(ISBLANK(Actuals!J88),"",('Original Budget'!J88-Actuals!J88)/ABS('Original Budget'!J88)),"")</f>
        <v/>
      </c>
      <c r="AH72" s="123" t="n">
        <f aca="false">'Original Budget'!K88</f>
        <v>-8500</v>
      </c>
      <c r="AI72" s="123" t="str">
        <f aca="false">IF(ISBLANK(Actuals!K88),"",Actuals!K88)</f>
        <v/>
      </c>
      <c r="AJ72" s="124" t="str">
        <f aca="false">IF(ISBLANK(Actuals!K88),"",'Original Budget'!K88-Actuals!K88)</f>
        <v/>
      </c>
      <c r="AK72" s="124" t="str">
        <f aca="false">IFERROR(IF(ISBLANK(Actuals!K88),"",('Original Budget'!K88-Actuals!K88)/ABS('Original Budget'!K88)),"")</f>
        <v/>
      </c>
      <c r="AL72" s="123" t="n">
        <f aca="false">'Original Budget'!L88</f>
        <v>-8500</v>
      </c>
      <c r="AM72" s="123" t="str">
        <f aca="false">IF(ISBLANK(Actuals!L88),"",Actuals!L88)</f>
        <v/>
      </c>
      <c r="AN72" s="124" t="str">
        <f aca="false">IF(ISBLANK(Actuals!L88),"",'Original Budget'!L88-Actuals!L88)</f>
        <v/>
      </c>
      <c r="AO72" s="124" t="str">
        <f aca="false">IFERROR(IF(ISBLANK(Actuals!L88),"",('Original Budget'!L88-Actuals!L88)/ABS('Original Budget'!L88)),"")</f>
        <v/>
      </c>
      <c r="AP72" s="123" t="n">
        <f aca="false">'Original Budget'!M88</f>
        <v>-8500</v>
      </c>
      <c r="AQ72" s="123" t="str">
        <f aca="false">IF(ISBLANK(Actuals!M88),"",Actuals!M88)</f>
        <v/>
      </c>
      <c r="AR72" s="124" t="str">
        <f aca="false">IF(ISBLANK(Actuals!M88),"",'Original Budget'!M88-Actuals!M88)</f>
        <v/>
      </c>
      <c r="AS72" s="124" t="str">
        <f aca="false">IFERROR(IF(ISBLANK(Actuals!M88),"",('Original Budget'!M88-Actuals!M88)/ABS('Original Budget'!M88)),"")</f>
        <v/>
      </c>
      <c r="AT72" s="123" t="n">
        <f aca="false">'Original Budget'!N88</f>
        <v>-8500</v>
      </c>
      <c r="AU72" s="123" t="str">
        <f aca="false">IF(ISBLANK(Actuals!N88),"",Actuals!N88)</f>
        <v/>
      </c>
      <c r="AV72" s="124" t="str">
        <f aca="false">IF(ISBLANK(Actuals!N88),"",'Original Budget'!N88-Actuals!N88)</f>
        <v/>
      </c>
      <c r="AW72" s="124" t="str">
        <f aca="false">IFERROR(IF(ISBLANK(Actuals!N88),"",('Original Budget'!N88-Actuals!N88)/ABS('Original Budget'!N88)),"")</f>
        <v/>
      </c>
      <c r="AX72" s="125" t="n">
        <f aca="false">SUMPRODUCT((Actuals!C88:N88&lt;&gt;"")*('Original Budget'!C88:N88))</f>
        <v>-46942.19</v>
      </c>
      <c r="AY72" s="125" t="n">
        <f aca="false">SUM(Actuals!C88:N88)</f>
        <v>-47684.47</v>
      </c>
      <c r="AZ72" s="126" t="n">
        <f aca="false">AX72-AY72</f>
        <v>742.279999999992</v>
      </c>
    </row>
    <row r="73" customFormat="false" ht="15" hidden="false" customHeight="true" outlineLevel="0" collapsed="false">
      <c r="A73" s="122" t="s">
        <v>69</v>
      </c>
      <c r="B73" s="123" t="n">
        <f aca="false">'Original Budget'!C89</f>
        <v>-1722.9</v>
      </c>
      <c r="C73" s="123" t="n">
        <f aca="false">IF(ISBLANK(Actuals!C89),"",Actuals!C89)</f>
        <v>-1722.9</v>
      </c>
      <c r="D73" s="124" t="n">
        <f aca="false">IF(ISBLANK(Actuals!C89),"",'Original Budget'!C89-Actuals!C89)</f>
        <v>0</v>
      </c>
      <c r="E73" s="124" t="n">
        <f aca="false">IFERROR(IF(ISBLANK(Actuals!C89),"",('Original Budget'!C89-Actuals!C89)/ABS('Original Budget'!C89)),"")</f>
        <v>0</v>
      </c>
      <c r="F73" s="123" t="n">
        <f aca="false">'Original Budget'!D89</f>
        <v>0</v>
      </c>
      <c r="G73" s="123" t="n">
        <f aca="false">IF(ISBLANK(Actuals!D89),"",Actuals!D89)</f>
        <v>0</v>
      </c>
      <c r="H73" s="124" t="n">
        <f aca="false">IF(ISBLANK(Actuals!D89),"",'Original Budget'!D89-Actuals!D89)</f>
        <v>0</v>
      </c>
      <c r="I73" s="124" t="str">
        <f aca="false">IFERROR(IF(ISBLANK(Actuals!D89),"",('Original Budget'!D89-Actuals!D89)/ABS('Original Budget'!D89)),"")</f>
        <v/>
      </c>
      <c r="J73" s="123" t="n">
        <f aca="false">'Original Budget'!E89</f>
        <v>-28.51</v>
      </c>
      <c r="K73" s="123" t="n">
        <f aca="false">IF(ISBLANK(Actuals!E89),"",Actuals!E89)</f>
        <v>-28.51</v>
      </c>
      <c r="L73" s="124" t="n">
        <f aca="false">IF(ISBLANK(Actuals!E89),"",'Original Budget'!E89-Actuals!E89)</f>
        <v>0</v>
      </c>
      <c r="M73" s="124" t="n">
        <f aca="false">IFERROR(IF(ISBLANK(Actuals!E89),"",('Original Budget'!E89-Actuals!E89)/ABS('Original Budget'!E89)),"")</f>
        <v>0</v>
      </c>
      <c r="N73" s="123" t="n">
        <f aca="false">'Original Budget'!F89</f>
        <v>-583.8</v>
      </c>
      <c r="O73" s="123" t="n">
        <f aca="false">IF(ISBLANK(Actuals!F89),"",Actuals!F89)</f>
        <v>0</v>
      </c>
      <c r="P73" s="124" t="n">
        <f aca="false">IF(ISBLANK(Actuals!F89),"",'Original Budget'!F89-Actuals!F89)</f>
        <v>-583.8</v>
      </c>
      <c r="Q73" s="124" t="n">
        <f aca="false">IFERROR(IF(ISBLANK(Actuals!F89),"",('Original Budget'!F89-Actuals!F89)/ABS('Original Budget'!F89)),"")</f>
        <v>-1</v>
      </c>
      <c r="R73" s="123" t="n">
        <f aca="false">'Original Budget'!G89</f>
        <v>-583.8</v>
      </c>
      <c r="S73" s="123" t="n">
        <f aca="false">IF(ISBLANK(Actuals!G89),"",Actuals!G89)</f>
        <v>-212.12</v>
      </c>
      <c r="T73" s="124" t="n">
        <f aca="false">IF(ISBLANK(Actuals!G89),"",'Original Budget'!G89-Actuals!G89)</f>
        <v>-371.68</v>
      </c>
      <c r="U73" s="124" t="n">
        <f aca="false">IFERROR(IF(ISBLANK(Actuals!G89),"",('Original Budget'!G89-Actuals!G89)/ABS('Original Budget'!G89)),"")</f>
        <v>-0.636656389174375</v>
      </c>
      <c r="V73" s="123" t="n">
        <f aca="false">'Original Budget'!H89</f>
        <v>-583.8</v>
      </c>
      <c r="W73" s="123" t="n">
        <f aca="false">IF(ISBLANK(Actuals!H89),"",Actuals!H89)</f>
        <v>-83.92</v>
      </c>
      <c r="X73" s="124" t="n">
        <f aca="false">IF(ISBLANK(Actuals!H89),"",'Original Budget'!H89-Actuals!H89)</f>
        <v>-499.88</v>
      </c>
      <c r="Y73" s="124" t="n">
        <f aca="false">IFERROR(IF(ISBLANK(Actuals!H89),"",('Original Budget'!H89-Actuals!H89)/ABS('Original Budget'!H89)),"")</f>
        <v>-0.856252141144227</v>
      </c>
      <c r="Z73" s="123" t="n">
        <f aca="false">'Original Budget'!I89</f>
        <v>-583.8</v>
      </c>
      <c r="AA73" s="123" t="str">
        <f aca="false">IF(ISBLANK(Actuals!I89),"",Actuals!I89)</f>
        <v/>
      </c>
      <c r="AB73" s="124" t="str">
        <f aca="false">IF(ISBLANK(Actuals!I89),"",'Original Budget'!I89-Actuals!I89)</f>
        <v/>
      </c>
      <c r="AC73" s="124" t="str">
        <f aca="false">IFERROR(IF(ISBLANK(Actuals!I89),"",('Original Budget'!I89-Actuals!I89)/ABS('Original Budget'!I89)),"")</f>
        <v/>
      </c>
      <c r="AD73" s="123" t="n">
        <f aca="false">'Original Budget'!J89</f>
        <v>-583.8</v>
      </c>
      <c r="AE73" s="123" t="str">
        <f aca="false">IF(ISBLANK(Actuals!J89),"",Actuals!J89)</f>
        <v/>
      </c>
      <c r="AF73" s="124" t="str">
        <f aca="false">IF(ISBLANK(Actuals!J89),"",'Original Budget'!J89-Actuals!J89)</f>
        <v/>
      </c>
      <c r="AG73" s="124" t="str">
        <f aca="false">IFERROR(IF(ISBLANK(Actuals!J89),"",('Original Budget'!J89-Actuals!J89)/ABS('Original Budget'!J89)),"")</f>
        <v/>
      </c>
      <c r="AH73" s="123" t="n">
        <f aca="false">'Original Budget'!K89</f>
        <v>-583.8</v>
      </c>
      <c r="AI73" s="123" t="str">
        <f aca="false">IF(ISBLANK(Actuals!K89),"",Actuals!K89)</f>
        <v/>
      </c>
      <c r="AJ73" s="124" t="str">
        <f aca="false">IF(ISBLANK(Actuals!K89),"",'Original Budget'!K89-Actuals!K89)</f>
        <v/>
      </c>
      <c r="AK73" s="124" t="str">
        <f aca="false">IFERROR(IF(ISBLANK(Actuals!K89),"",('Original Budget'!K89-Actuals!K89)/ABS('Original Budget'!K89)),"")</f>
        <v/>
      </c>
      <c r="AL73" s="123" t="n">
        <f aca="false">'Original Budget'!L89</f>
        <v>-583.8</v>
      </c>
      <c r="AM73" s="123" t="str">
        <f aca="false">IF(ISBLANK(Actuals!L89),"",Actuals!L89)</f>
        <v/>
      </c>
      <c r="AN73" s="124" t="str">
        <f aca="false">IF(ISBLANK(Actuals!L89),"",'Original Budget'!L89-Actuals!L89)</f>
        <v/>
      </c>
      <c r="AO73" s="124" t="str">
        <f aca="false">IFERROR(IF(ISBLANK(Actuals!L89),"",('Original Budget'!L89-Actuals!L89)/ABS('Original Budget'!L89)),"")</f>
        <v/>
      </c>
      <c r="AP73" s="123" t="n">
        <f aca="false">'Original Budget'!M89</f>
        <v>-583.8</v>
      </c>
      <c r="AQ73" s="123" t="str">
        <f aca="false">IF(ISBLANK(Actuals!M89),"",Actuals!M89)</f>
        <v/>
      </c>
      <c r="AR73" s="124" t="str">
        <f aca="false">IF(ISBLANK(Actuals!M89),"",'Original Budget'!M89-Actuals!M89)</f>
        <v/>
      </c>
      <c r="AS73" s="124" t="str">
        <f aca="false">IFERROR(IF(ISBLANK(Actuals!M89),"",('Original Budget'!M89-Actuals!M89)/ABS('Original Budget'!M89)),"")</f>
        <v/>
      </c>
      <c r="AT73" s="123" t="n">
        <f aca="false">'Original Budget'!N89</f>
        <v>-583.8</v>
      </c>
      <c r="AU73" s="123" t="str">
        <f aca="false">IF(ISBLANK(Actuals!N89),"",Actuals!N89)</f>
        <v/>
      </c>
      <c r="AV73" s="124" t="str">
        <f aca="false">IF(ISBLANK(Actuals!N89),"",'Original Budget'!N89-Actuals!N89)</f>
        <v/>
      </c>
      <c r="AW73" s="124" t="str">
        <f aca="false">IFERROR(IF(ISBLANK(Actuals!N89),"",('Original Budget'!N89-Actuals!N89)/ABS('Original Budget'!N89)),"")</f>
        <v/>
      </c>
      <c r="AX73" s="125" t="n">
        <f aca="false">SUMPRODUCT((Actuals!C89:N89&lt;&gt;"")*('Original Budget'!C89:N89))</f>
        <v>-3502.81</v>
      </c>
      <c r="AY73" s="125" t="n">
        <f aca="false">SUM(Actuals!C89:N89)</f>
        <v>-2047.45</v>
      </c>
      <c r="AZ73" s="126" t="n">
        <f aca="false">AX73-AY73</f>
        <v>-1455.36</v>
      </c>
    </row>
    <row r="74" customFormat="false" ht="15" hidden="false" customHeight="true" outlineLevel="0" collapsed="false">
      <c r="A74" s="122" t="s">
        <v>72</v>
      </c>
      <c r="B74" s="123" t="n">
        <f aca="false">'Original Budget'!C90</f>
        <v>-246.85</v>
      </c>
      <c r="C74" s="123" t="n">
        <f aca="false">IF(ISBLANK(Actuals!C90),"",Actuals!C90)</f>
        <v>-246.85</v>
      </c>
      <c r="D74" s="124" t="n">
        <f aca="false">IF(ISBLANK(Actuals!C90),"",'Original Budget'!C90-Actuals!C90)</f>
        <v>0</v>
      </c>
      <c r="E74" s="124" t="n">
        <f aca="false">IFERROR(IF(ISBLANK(Actuals!C90),"",('Original Budget'!C90-Actuals!C90)/ABS('Original Budget'!C90)),"")</f>
        <v>0</v>
      </c>
      <c r="F74" s="123" t="n">
        <f aca="false">'Original Budget'!D90</f>
        <v>0</v>
      </c>
      <c r="G74" s="123" t="n">
        <f aca="false">IF(ISBLANK(Actuals!D90),"",Actuals!D90)</f>
        <v>0</v>
      </c>
      <c r="H74" s="124" t="n">
        <f aca="false">IF(ISBLANK(Actuals!D90),"",'Original Budget'!D90-Actuals!D90)</f>
        <v>0</v>
      </c>
      <c r="I74" s="124" t="str">
        <f aca="false">IFERROR(IF(ISBLANK(Actuals!D90),"",('Original Budget'!D90-Actuals!D90)/ABS('Original Budget'!D90)),"")</f>
        <v/>
      </c>
      <c r="J74" s="123" t="n">
        <f aca="false">'Original Budget'!E90</f>
        <v>-4246.73</v>
      </c>
      <c r="K74" s="123" t="n">
        <f aca="false">IF(ISBLANK(Actuals!E90),"",Actuals!E90)</f>
        <v>-4246.73</v>
      </c>
      <c r="L74" s="124" t="n">
        <f aca="false">IF(ISBLANK(Actuals!E90),"",'Original Budget'!E90-Actuals!E90)</f>
        <v>0</v>
      </c>
      <c r="M74" s="124" t="n">
        <f aca="false">IFERROR(IF(ISBLANK(Actuals!E90),"",('Original Budget'!E90-Actuals!E90)/ABS('Original Budget'!E90)),"")</f>
        <v>0</v>
      </c>
      <c r="N74" s="123" t="n">
        <f aca="false">'Original Budget'!F90</f>
        <v>-1497.86</v>
      </c>
      <c r="O74" s="123" t="n">
        <f aca="false">IF(ISBLANK(Actuals!F90),"",Actuals!F90)</f>
        <v>-3123.87</v>
      </c>
      <c r="P74" s="124" t="n">
        <f aca="false">IF(ISBLANK(Actuals!F90),"",'Original Budget'!F90-Actuals!F90)</f>
        <v>1626.01</v>
      </c>
      <c r="Q74" s="124" t="n">
        <f aca="false">IFERROR(IF(ISBLANK(Actuals!F90),"",('Original Budget'!F90-Actuals!F90)/ABS('Original Budget'!F90)),"")</f>
        <v>1.08555539235977</v>
      </c>
      <c r="R74" s="123" t="n">
        <f aca="false">'Original Budget'!G90</f>
        <v>-1497.86</v>
      </c>
      <c r="S74" s="123" t="n">
        <f aca="false">IF(ISBLANK(Actuals!G90),"",Actuals!G90)</f>
        <v>-3184.88</v>
      </c>
      <c r="T74" s="124" t="n">
        <f aca="false">IF(ISBLANK(Actuals!G90),"",'Original Budget'!G90-Actuals!G90)</f>
        <v>1687.02</v>
      </c>
      <c r="U74" s="124" t="n">
        <f aca="false">IFERROR(IF(ISBLANK(Actuals!G90),"",('Original Budget'!G90-Actuals!G90)/ABS('Original Budget'!G90)),"")</f>
        <v>1.12628683588586</v>
      </c>
      <c r="V74" s="123" t="n">
        <f aca="false">'Original Budget'!H90</f>
        <v>-1497.86</v>
      </c>
      <c r="W74" s="123" t="n">
        <f aca="false">IF(ISBLANK(Actuals!H90),"",Actuals!H90)</f>
        <v>-4015.94</v>
      </c>
      <c r="X74" s="124" t="n">
        <f aca="false">IF(ISBLANK(Actuals!H90),"",'Original Budget'!H90-Actuals!H90)</f>
        <v>2518.08</v>
      </c>
      <c r="Y74" s="124" t="n">
        <f aca="false">IFERROR(IF(ISBLANK(Actuals!H90),"",('Original Budget'!H90-Actuals!H90)/ABS('Original Budget'!H90)),"")</f>
        <v>1.68111839557769</v>
      </c>
      <c r="Z74" s="123" t="n">
        <f aca="false">'Original Budget'!I90</f>
        <v>-1497.86</v>
      </c>
      <c r="AA74" s="123" t="str">
        <f aca="false">IF(ISBLANK(Actuals!I90),"",Actuals!I90)</f>
        <v/>
      </c>
      <c r="AB74" s="124" t="str">
        <f aca="false">IF(ISBLANK(Actuals!I90),"",'Original Budget'!I90-Actuals!I90)</f>
        <v/>
      </c>
      <c r="AC74" s="124" t="str">
        <f aca="false">IFERROR(IF(ISBLANK(Actuals!I90),"",('Original Budget'!I90-Actuals!I90)/ABS('Original Budget'!I90)),"")</f>
        <v/>
      </c>
      <c r="AD74" s="123" t="n">
        <f aca="false">'Original Budget'!J90</f>
        <v>-1497.86</v>
      </c>
      <c r="AE74" s="123" t="str">
        <f aca="false">IF(ISBLANK(Actuals!J90),"",Actuals!J90)</f>
        <v/>
      </c>
      <c r="AF74" s="124" t="str">
        <f aca="false">IF(ISBLANK(Actuals!J90),"",'Original Budget'!J90-Actuals!J90)</f>
        <v/>
      </c>
      <c r="AG74" s="124" t="str">
        <f aca="false">IFERROR(IF(ISBLANK(Actuals!J90),"",('Original Budget'!J90-Actuals!J90)/ABS('Original Budget'!J90)),"")</f>
        <v/>
      </c>
      <c r="AH74" s="123" t="n">
        <f aca="false">'Original Budget'!K90</f>
        <v>-1497.86</v>
      </c>
      <c r="AI74" s="123" t="str">
        <f aca="false">IF(ISBLANK(Actuals!K90),"",Actuals!K90)</f>
        <v/>
      </c>
      <c r="AJ74" s="124" t="str">
        <f aca="false">IF(ISBLANK(Actuals!K90),"",'Original Budget'!K90-Actuals!K90)</f>
        <v/>
      </c>
      <c r="AK74" s="124" t="str">
        <f aca="false">IFERROR(IF(ISBLANK(Actuals!K90),"",('Original Budget'!K90-Actuals!K90)/ABS('Original Budget'!K90)),"")</f>
        <v/>
      </c>
      <c r="AL74" s="123" t="n">
        <f aca="false">'Original Budget'!L90</f>
        <v>-1497.86</v>
      </c>
      <c r="AM74" s="123" t="str">
        <f aca="false">IF(ISBLANK(Actuals!L90),"",Actuals!L90)</f>
        <v/>
      </c>
      <c r="AN74" s="124" t="str">
        <f aca="false">IF(ISBLANK(Actuals!L90),"",'Original Budget'!L90-Actuals!L90)</f>
        <v/>
      </c>
      <c r="AO74" s="124" t="str">
        <f aca="false">IFERROR(IF(ISBLANK(Actuals!L90),"",('Original Budget'!L90-Actuals!L90)/ABS('Original Budget'!L90)),"")</f>
        <v/>
      </c>
      <c r="AP74" s="123" t="n">
        <f aca="false">'Original Budget'!M90</f>
        <v>-1497.86</v>
      </c>
      <c r="AQ74" s="123" t="str">
        <f aca="false">IF(ISBLANK(Actuals!M90),"",Actuals!M90)</f>
        <v/>
      </c>
      <c r="AR74" s="124" t="str">
        <f aca="false">IF(ISBLANK(Actuals!M90),"",'Original Budget'!M90-Actuals!M90)</f>
        <v/>
      </c>
      <c r="AS74" s="124" t="str">
        <f aca="false">IFERROR(IF(ISBLANK(Actuals!M90),"",('Original Budget'!M90-Actuals!M90)/ABS('Original Budget'!M90)),"")</f>
        <v/>
      </c>
      <c r="AT74" s="123" t="n">
        <f aca="false">'Original Budget'!N90</f>
        <v>-1497.86</v>
      </c>
      <c r="AU74" s="123" t="str">
        <f aca="false">IF(ISBLANK(Actuals!N90),"",Actuals!N90)</f>
        <v/>
      </c>
      <c r="AV74" s="124" t="str">
        <f aca="false">IF(ISBLANK(Actuals!N90),"",'Original Budget'!N90-Actuals!N90)</f>
        <v/>
      </c>
      <c r="AW74" s="124" t="str">
        <f aca="false">IFERROR(IF(ISBLANK(Actuals!N90),"",('Original Budget'!N90-Actuals!N90)/ABS('Original Budget'!N90)),"")</f>
        <v/>
      </c>
      <c r="AX74" s="125" t="n">
        <f aca="false">SUMPRODUCT((Actuals!C90:N90&lt;&gt;"")*('Original Budget'!C90:N90))</f>
        <v>-8987.16</v>
      </c>
      <c r="AY74" s="125" t="n">
        <f aca="false">SUM(Actuals!C90:N90)</f>
        <v>-14818.27</v>
      </c>
      <c r="AZ74" s="126" t="n">
        <f aca="false">AX74-AY74</f>
        <v>5831.11</v>
      </c>
    </row>
    <row r="75" customFormat="false" ht="15" hidden="false" customHeight="true" outlineLevel="0" collapsed="false">
      <c r="A75" s="122" t="s">
        <v>118</v>
      </c>
      <c r="B75" s="123" t="n">
        <f aca="false">'Original Budget'!C91</f>
        <v>0</v>
      </c>
      <c r="C75" s="123" t="n">
        <f aca="false">IF(ISBLANK(Actuals!C91),"",Actuals!C91)</f>
        <v>0</v>
      </c>
      <c r="D75" s="124" t="n">
        <f aca="false">IF(ISBLANK(Actuals!C91),"",'Original Budget'!C91-Actuals!C91)</f>
        <v>0</v>
      </c>
      <c r="E75" s="124" t="str">
        <f aca="false">IFERROR(IF(ISBLANK(Actuals!C91),"",('Original Budget'!C91-Actuals!C91)/ABS('Original Budget'!C91)),"")</f>
        <v/>
      </c>
      <c r="F75" s="123" t="n">
        <f aca="false">'Original Budget'!D91</f>
        <v>0</v>
      </c>
      <c r="G75" s="123" t="n">
        <f aca="false">IF(ISBLANK(Actuals!D91),"",Actuals!D91)</f>
        <v>0</v>
      </c>
      <c r="H75" s="124" t="n">
        <f aca="false">IF(ISBLANK(Actuals!D91),"",'Original Budget'!D91-Actuals!D91)</f>
        <v>0</v>
      </c>
      <c r="I75" s="124" t="str">
        <f aca="false">IFERROR(IF(ISBLANK(Actuals!D91),"",('Original Budget'!D91-Actuals!D91)/ABS('Original Budget'!D91)),"")</f>
        <v/>
      </c>
      <c r="J75" s="123" t="n">
        <f aca="false">'Original Budget'!E91</f>
        <v>-870</v>
      </c>
      <c r="K75" s="123" t="n">
        <f aca="false">IF(ISBLANK(Actuals!E91),"",Actuals!E91)</f>
        <v>-870</v>
      </c>
      <c r="L75" s="124" t="n">
        <f aca="false">IF(ISBLANK(Actuals!E91),"",'Original Budget'!E91-Actuals!E91)</f>
        <v>0</v>
      </c>
      <c r="M75" s="124" t="n">
        <f aca="false">IFERROR(IF(ISBLANK(Actuals!E91),"",('Original Budget'!E91-Actuals!E91)/ABS('Original Budget'!E91)),"")</f>
        <v>0</v>
      </c>
      <c r="N75" s="123" t="n">
        <f aca="false">'Original Budget'!F91</f>
        <v>-290</v>
      </c>
      <c r="O75" s="123" t="n">
        <f aca="false">IF(ISBLANK(Actuals!F91),"",Actuals!F91)</f>
        <v>0</v>
      </c>
      <c r="P75" s="124" t="n">
        <f aca="false">IF(ISBLANK(Actuals!F91),"",'Original Budget'!F91-Actuals!F91)</f>
        <v>-290</v>
      </c>
      <c r="Q75" s="124" t="n">
        <f aca="false">IFERROR(IF(ISBLANK(Actuals!F91),"",('Original Budget'!F91-Actuals!F91)/ABS('Original Budget'!F91)),"")</f>
        <v>-1</v>
      </c>
      <c r="R75" s="123" t="n">
        <f aca="false">'Original Budget'!G91</f>
        <v>-290</v>
      </c>
      <c r="S75" s="123" t="n">
        <f aca="false">IF(ISBLANK(Actuals!G91),"",Actuals!G91)</f>
        <v>0</v>
      </c>
      <c r="T75" s="124" t="n">
        <f aca="false">IF(ISBLANK(Actuals!G91),"",'Original Budget'!G91-Actuals!G91)</f>
        <v>-290</v>
      </c>
      <c r="U75" s="124" t="n">
        <f aca="false">IFERROR(IF(ISBLANK(Actuals!G91),"",('Original Budget'!G91-Actuals!G91)/ABS('Original Budget'!G91)),"")</f>
        <v>-1</v>
      </c>
      <c r="V75" s="123" t="n">
        <f aca="false">'Original Budget'!H91</f>
        <v>-290</v>
      </c>
      <c r="W75" s="123" t="n">
        <f aca="false">IF(ISBLANK(Actuals!H91),"",Actuals!H91)</f>
        <v>0</v>
      </c>
      <c r="X75" s="124" t="n">
        <f aca="false">IF(ISBLANK(Actuals!H91),"",'Original Budget'!H91-Actuals!H91)</f>
        <v>-290</v>
      </c>
      <c r="Y75" s="124" t="n">
        <f aca="false">IFERROR(IF(ISBLANK(Actuals!H91),"",('Original Budget'!H91-Actuals!H91)/ABS('Original Budget'!H91)),"")</f>
        <v>-1</v>
      </c>
      <c r="Z75" s="123" t="n">
        <f aca="false">'Original Budget'!I91</f>
        <v>-290</v>
      </c>
      <c r="AA75" s="123" t="str">
        <f aca="false">IF(ISBLANK(Actuals!I91),"",Actuals!I91)</f>
        <v/>
      </c>
      <c r="AB75" s="124" t="str">
        <f aca="false">IF(ISBLANK(Actuals!I91),"",'Original Budget'!I91-Actuals!I91)</f>
        <v/>
      </c>
      <c r="AC75" s="124" t="str">
        <f aca="false">IFERROR(IF(ISBLANK(Actuals!I91),"",('Original Budget'!I91-Actuals!I91)/ABS('Original Budget'!I91)),"")</f>
        <v/>
      </c>
      <c r="AD75" s="123" t="n">
        <f aca="false">'Original Budget'!J91</f>
        <v>-290</v>
      </c>
      <c r="AE75" s="123" t="str">
        <f aca="false">IF(ISBLANK(Actuals!J91),"",Actuals!J91)</f>
        <v/>
      </c>
      <c r="AF75" s="124" t="str">
        <f aca="false">IF(ISBLANK(Actuals!J91),"",'Original Budget'!J91-Actuals!J91)</f>
        <v/>
      </c>
      <c r="AG75" s="124" t="str">
        <f aca="false">IFERROR(IF(ISBLANK(Actuals!J91),"",('Original Budget'!J91-Actuals!J91)/ABS('Original Budget'!J91)),"")</f>
        <v/>
      </c>
      <c r="AH75" s="123" t="n">
        <f aca="false">'Original Budget'!K91</f>
        <v>-290</v>
      </c>
      <c r="AI75" s="123" t="str">
        <f aca="false">IF(ISBLANK(Actuals!K91),"",Actuals!K91)</f>
        <v/>
      </c>
      <c r="AJ75" s="124" t="str">
        <f aca="false">IF(ISBLANK(Actuals!K91),"",'Original Budget'!K91-Actuals!K91)</f>
        <v/>
      </c>
      <c r="AK75" s="124" t="str">
        <f aca="false">IFERROR(IF(ISBLANK(Actuals!K91),"",('Original Budget'!K91-Actuals!K91)/ABS('Original Budget'!K91)),"")</f>
        <v/>
      </c>
      <c r="AL75" s="123" t="n">
        <f aca="false">'Original Budget'!L91</f>
        <v>-290</v>
      </c>
      <c r="AM75" s="123" t="str">
        <f aca="false">IF(ISBLANK(Actuals!L91),"",Actuals!L91)</f>
        <v/>
      </c>
      <c r="AN75" s="124" t="str">
        <f aca="false">IF(ISBLANK(Actuals!L91),"",'Original Budget'!L91-Actuals!L91)</f>
        <v/>
      </c>
      <c r="AO75" s="124" t="str">
        <f aca="false">IFERROR(IF(ISBLANK(Actuals!L91),"",('Original Budget'!L91-Actuals!L91)/ABS('Original Budget'!L91)),"")</f>
        <v/>
      </c>
      <c r="AP75" s="123" t="n">
        <f aca="false">'Original Budget'!M91</f>
        <v>-290</v>
      </c>
      <c r="AQ75" s="123" t="str">
        <f aca="false">IF(ISBLANK(Actuals!M91),"",Actuals!M91)</f>
        <v/>
      </c>
      <c r="AR75" s="124" t="str">
        <f aca="false">IF(ISBLANK(Actuals!M91),"",'Original Budget'!M91-Actuals!M91)</f>
        <v/>
      </c>
      <c r="AS75" s="124" t="str">
        <f aca="false">IFERROR(IF(ISBLANK(Actuals!M91),"",('Original Budget'!M91-Actuals!M91)/ABS('Original Budget'!M91)),"")</f>
        <v/>
      </c>
      <c r="AT75" s="123" t="n">
        <f aca="false">'Original Budget'!N91</f>
        <v>-290</v>
      </c>
      <c r="AU75" s="123" t="str">
        <f aca="false">IF(ISBLANK(Actuals!N91),"",Actuals!N91)</f>
        <v/>
      </c>
      <c r="AV75" s="124" t="str">
        <f aca="false">IF(ISBLANK(Actuals!N91),"",'Original Budget'!N91-Actuals!N91)</f>
        <v/>
      </c>
      <c r="AW75" s="124" t="str">
        <f aca="false">IFERROR(IF(ISBLANK(Actuals!N91),"",('Original Budget'!N91-Actuals!N91)/ABS('Original Budget'!N91)),"")</f>
        <v/>
      </c>
      <c r="AX75" s="125" t="n">
        <f aca="false">SUMPRODUCT((Actuals!C91:N91&lt;&gt;"")*('Original Budget'!C91:N91))</f>
        <v>-1740</v>
      </c>
      <c r="AY75" s="125" t="n">
        <f aca="false">SUM(Actuals!C91:N91)</f>
        <v>-870</v>
      </c>
      <c r="AZ75" s="126" t="n">
        <f aca="false">AX75-AY75</f>
        <v>-870</v>
      </c>
    </row>
    <row r="76" customFormat="false" ht="15" hidden="false" customHeight="true" outlineLevel="0" collapsed="false">
      <c r="A76" s="122" t="s">
        <v>119</v>
      </c>
      <c r="B76" s="123" t="n">
        <f aca="false">'Original Budget'!C92</f>
        <v>-245</v>
      </c>
      <c r="C76" s="123" t="n">
        <f aca="false">IF(ISBLANK(Actuals!C92),"",Actuals!C92)</f>
        <v>-245</v>
      </c>
      <c r="D76" s="124" t="n">
        <f aca="false">IF(ISBLANK(Actuals!C92),"",'Original Budget'!C92-Actuals!C92)</f>
        <v>0</v>
      </c>
      <c r="E76" s="124" t="n">
        <f aca="false">IFERROR(IF(ISBLANK(Actuals!C92),"",('Original Budget'!C92-Actuals!C92)/ABS('Original Budget'!C92)),"")</f>
        <v>0</v>
      </c>
      <c r="F76" s="123" t="n">
        <f aca="false">'Original Budget'!D92</f>
        <v>-245</v>
      </c>
      <c r="G76" s="123" t="n">
        <f aca="false">IF(ISBLANK(Actuals!D92),"",Actuals!D92)</f>
        <v>-245</v>
      </c>
      <c r="H76" s="124" t="n">
        <f aca="false">IF(ISBLANK(Actuals!D92),"",'Original Budget'!D92-Actuals!D92)</f>
        <v>0</v>
      </c>
      <c r="I76" s="124" t="n">
        <f aca="false">IFERROR(IF(ISBLANK(Actuals!D92),"",('Original Budget'!D92-Actuals!D92)/ABS('Original Budget'!D92)),"")</f>
        <v>0</v>
      </c>
      <c r="J76" s="123" t="n">
        <f aca="false">'Original Budget'!E92</f>
        <v>-245</v>
      </c>
      <c r="K76" s="123" t="n">
        <f aca="false">IF(ISBLANK(Actuals!E92),"",Actuals!E92)</f>
        <v>-245</v>
      </c>
      <c r="L76" s="124" t="n">
        <f aca="false">IF(ISBLANK(Actuals!E92),"",'Original Budget'!E92-Actuals!E92)</f>
        <v>0</v>
      </c>
      <c r="M76" s="124" t="n">
        <f aca="false">IFERROR(IF(ISBLANK(Actuals!E92),"",('Original Budget'!E92-Actuals!E92)/ABS('Original Budget'!E92)),"")</f>
        <v>0</v>
      </c>
      <c r="N76" s="123" t="n">
        <f aca="false">'Original Budget'!F92</f>
        <v>-245</v>
      </c>
      <c r="O76" s="123" t="n">
        <f aca="false">IF(ISBLANK(Actuals!F92),"",Actuals!F92)</f>
        <v>-245</v>
      </c>
      <c r="P76" s="124" t="n">
        <f aca="false">IF(ISBLANK(Actuals!F92),"",'Original Budget'!F92-Actuals!F92)</f>
        <v>0</v>
      </c>
      <c r="Q76" s="124" t="n">
        <f aca="false">IFERROR(IF(ISBLANK(Actuals!F92),"",('Original Budget'!F92-Actuals!F92)/ABS('Original Budget'!F92)),"")</f>
        <v>0</v>
      </c>
      <c r="R76" s="123" t="n">
        <f aca="false">'Original Budget'!G92</f>
        <v>-245</v>
      </c>
      <c r="S76" s="123" t="n">
        <f aca="false">IF(ISBLANK(Actuals!G92),"",Actuals!G92)</f>
        <v>-245</v>
      </c>
      <c r="T76" s="124" t="n">
        <f aca="false">IF(ISBLANK(Actuals!G92),"",'Original Budget'!G92-Actuals!G92)</f>
        <v>0</v>
      </c>
      <c r="U76" s="124" t="n">
        <f aca="false">IFERROR(IF(ISBLANK(Actuals!G92),"",('Original Budget'!G92-Actuals!G92)/ABS('Original Budget'!G92)),"")</f>
        <v>0</v>
      </c>
      <c r="V76" s="123" t="n">
        <f aca="false">'Original Budget'!H92</f>
        <v>-245</v>
      </c>
      <c r="W76" s="123" t="n">
        <f aca="false">IF(ISBLANK(Actuals!H92),"",Actuals!H92)</f>
        <v>-245</v>
      </c>
      <c r="X76" s="124" t="n">
        <f aca="false">IF(ISBLANK(Actuals!H92),"",'Original Budget'!H92-Actuals!H92)</f>
        <v>0</v>
      </c>
      <c r="Y76" s="124" t="n">
        <f aca="false">IFERROR(IF(ISBLANK(Actuals!H92),"",('Original Budget'!H92-Actuals!H92)/ABS('Original Budget'!H92)),"")</f>
        <v>0</v>
      </c>
      <c r="Z76" s="123" t="n">
        <f aca="false">'Original Budget'!I92</f>
        <v>-245</v>
      </c>
      <c r="AA76" s="123" t="str">
        <f aca="false">IF(ISBLANK(Actuals!I92),"",Actuals!I92)</f>
        <v/>
      </c>
      <c r="AB76" s="124" t="str">
        <f aca="false">IF(ISBLANK(Actuals!I92),"",'Original Budget'!I92-Actuals!I92)</f>
        <v/>
      </c>
      <c r="AC76" s="124" t="str">
        <f aca="false">IFERROR(IF(ISBLANK(Actuals!I92),"",('Original Budget'!I92-Actuals!I92)/ABS('Original Budget'!I92)),"")</f>
        <v/>
      </c>
      <c r="AD76" s="123" t="n">
        <f aca="false">'Original Budget'!J92</f>
        <v>-245</v>
      </c>
      <c r="AE76" s="123" t="str">
        <f aca="false">IF(ISBLANK(Actuals!J92),"",Actuals!J92)</f>
        <v/>
      </c>
      <c r="AF76" s="124" t="str">
        <f aca="false">IF(ISBLANK(Actuals!J92),"",'Original Budget'!J92-Actuals!J92)</f>
        <v/>
      </c>
      <c r="AG76" s="124" t="str">
        <f aca="false">IFERROR(IF(ISBLANK(Actuals!J92),"",('Original Budget'!J92-Actuals!J92)/ABS('Original Budget'!J92)),"")</f>
        <v/>
      </c>
      <c r="AH76" s="123" t="n">
        <f aca="false">'Original Budget'!K92</f>
        <v>-245</v>
      </c>
      <c r="AI76" s="123" t="str">
        <f aca="false">IF(ISBLANK(Actuals!K92),"",Actuals!K92)</f>
        <v/>
      </c>
      <c r="AJ76" s="124" t="str">
        <f aca="false">IF(ISBLANK(Actuals!K92),"",'Original Budget'!K92-Actuals!K92)</f>
        <v/>
      </c>
      <c r="AK76" s="124" t="str">
        <f aca="false">IFERROR(IF(ISBLANK(Actuals!K92),"",('Original Budget'!K92-Actuals!K92)/ABS('Original Budget'!K92)),"")</f>
        <v/>
      </c>
      <c r="AL76" s="123" t="n">
        <f aca="false">'Original Budget'!L92</f>
        <v>-245</v>
      </c>
      <c r="AM76" s="123" t="str">
        <f aca="false">IF(ISBLANK(Actuals!L92),"",Actuals!L92)</f>
        <v/>
      </c>
      <c r="AN76" s="124" t="str">
        <f aca="false">IF(ISBLANK(Actuals!L92),"",'Original Budget'!L92-Actuals!L92)</f>
        <v/>
      </c>
      <c r="AO76" s="124" t="str">
        <f aca="false">IFERROR(IF(ISBLANK(Actuals!L92),"",('Original Budget'!L92-Actuals!L92)/ABS('Original Budget'!L92)),"")</f>
        <v/>
      </c>
      <c r="AP76" s="123" t="n">
        <f aca="false">'Original Budget'!M92</f>
        <v>-245</v>
      </c>
      <c r="AQ76" s="123" t="str">
        <f aca="false">IF(ISBLANK(Actuals!M92),"",Actuals!M92)</f>
        <v/>
      </c>
      <c r="AR76" s="124" t="str">
        <f aca="false">IF(ISBLANK(Actuals!M92),"",'Original Budget'!M92-Actuals!M92)</f>
        <v/>
      </c>
      <c r="AS76" s="124" t="str">
        <f aca="false">IFERROR(IF(ISBLANK(Actuals!M92),"",('Original Budget'!M92-Actuals!M92)/ABS('Original Budget'!M92)),"")</f>
        <v/>
      </c>
      <c r="AT76" s="123" t="n">
        <f aca="false">'Original Budget'!N92</f>
        <v>-245</v>
      </c>
      <c r="AU76" s="123" t="str">
        <f aca="false">IF(ISBLANK(Actuals!N92),"",Actuals!N92)</f>
        <v/>
      </c>
      <c r="AV76" s="124" t="str">
        <f aca="false">IF(ISBLANK(Actuals!N92),"",'Original Budget'!N92-Actuals!N92)</f>
        <v/>
      </c>
      <c r="AW76" s="124" t="str">
        <f aca="false">IFERROR(IF(ISBLANK(Actuals!N92),"",('Original Budget'!N92-Actuals!N92)/ABS('Original Budget'!N92)),"")</f>
        <v/>
      </c>
      <c r="AX76" s="125" t="n">
        <f aca="false">SUMPRODUCT((Actuals!C92:N92&lt;&gt;"")*('Original Budget'!C92:N92))</f>
        <v>-1470</v>
      </c>
      <c r="AY76" s="125" t="n">
        <f aca="false">SUM(Actuals!C92:N92)</f>
        <v>-1470</v>
      </c>
      <c r="AZ76" s="126" t="n">
        <f aca="false">AX76-AY76</f>
        <v>0</v>
      </c>
    </row>
    <row r="77" customFormat="false" ht="15" hidden="false" customHeight="true" outlineLevel="0" collapsed="false">
      <c r="A77" s="122" t="s">
        <v>120</v>
      </c>
      <c r="B77" s="123" t="n">
        <f aca="false">'Original Budget'!C93</f>
        <v>-986.57</v>
      </c>
      <c r="C77" s="123" t="n">
        <f aca="false">IF(ISBLANK(Actuals!C93),"",Actuals!C93)</f>
        <v>-986.57</v>
      </c>
      <c r="D77" s="124" t="n">
        <f aca="false">IF(ISBLANK(Actuals!C93),"",'Original Budget'!C93-Actuals!C93)</f>
        <v>0</v>
      </c>
      <c r="E77" s="124" t="n">
        <f aca="false">IFERROR(IF(ISBLANK(Actuals!C93),"",('Original Budget'!C93-Actuals!C93)/ABS('Original Budget'!C93)),"")</f>
        <v>0</v>
      </c>
      <c r="F77" s="123" t="n">
        <f aca="false">'Original Budget'!D93</f>
        <v>-1254.61</v>
      </c>
      <c r="G77" s="123" t="n">
        <f aca="false">IF(ISBLANK(Actuals!D93),"",Actuals!D93)</f>
        <v>-1254.61</v>
      </c>
      <c r="H77" s="124" t="n">
        <f aca="false">IF(ISBLANK(Actuals!D93),"",'Original Budget'!D93-Actuals!D93)</f>
        <v>0</v>
      </c>
      <c r="I77" s="124" t="n">
        <f aca="false">IFERROR(IF(ISBLANK(Actuals!D93),"",('Original Budget'!D93-Actuals!D93)/ABS('Original Budget'!D93)),"")</f>
        <v>0</v>
      </c>
      <c r="J77" s="123" t="n">
        <f aca="false">'Original Budget'!E93</f>
        <v>-1297.31</v>
      </c>
      <c r="K77" s="123" t="n">
        <f aca="false">IF(ISBLANK(Actuals!E93),"",Actuals!E93)</f>
        <v>-1297.31</v>
      </c>
      <c r="L77" s="124" t="n">
        <f aca="false">IF(ISBLANK(Actuals!E93),"",'Original Budget'!E93-Actuals!E93)</f>
        <v>0</v>
      </c>
      <c r="M77" s="124" t="n">
        <f aca="false">IFERROR(IF(ISBLANK(Actuals!E93),"",('Original Budget'!E93-Actuals!E93)/ABS('Original Budget'!E93)),"")</f>
        <v>0</v>
      </c>
      <c r="N77" s="123" t="n">
        <f aca="false">'Original Budget'!F93</f>
        <v>-1179.5</v>
      </c>
      <c r="O77" s="123" t="n">
        <f aca="false">IF(ISBLANK(Actuals!F93),"",Actuals!F93)</f>
        <v>-48.78</v>
      </c>
      <c r="P77" s="124" t="n">
        <f aca="false">IF(ISBLANK(Actuals!F93),"",'Original Budget'!F93-Actuals!F93)</f>
        <v>-1130.72</v>
      </c>
      <c r="Q77" s="124" t="n">
        <f aca="false">IFERROR(IF(ISBLANK(Actuals!F93),"",('Original Budget'!F93-Actuals!F93)/ABS('Original Budget'!F93)),"")</f>
        <v>-0.958643493005511</v>
      </c>
      <c r="R77" s="123" t="n">
        <f aca="false">'Original Budget'!G93</f>
        <v>-1179.5</v>
      </c>
      <c r="S77" s="123" t="n">
        <f aca="false">IF(ISBLANK(Actuals!G93),"",Actuals!G93)</f>
        <v>-4199.86</v>
      </c>
      <c r="T77" s="124" t="n">
        <f aca="false">IF(ISBLANK(Actuals!G93),"",'Original Budget'!G93-Actuals!G93)</f>
        <v>3020.36</v>
      </c>
      <c r="U77" s="124" t="n">
        <f aca="false">IFERROR(IF(ISBLANK(Actuals!G93),"",('Original Budget'!G93-Actuals!G93)/ABS('Original Budget'!G93)),"")</f>
        <v>2.56071216617211</v>
      </c>
      <c r="V77" s="123" t="n">
        <f aca="false">'Original Budget'!H93</f>
        <v>-1179.5</v>
      </c>
      <c r="W77" s="123" t="n">
        <f aca="false">IF(ISBLANK(Actuals!H93),"",Actuals!H93)</f>
        <v>-3433.39</v>
      </c>
      <c r="X77" s="124" t="n">
        <f aca="false">IF(ISBLANK(Actuals!H93),"",'Original Budget'!H93-Actuals!H93)</f>
        <v>2253.89</v>
      </c>
      <c r="Y77" s="124" t="n">
        <f aca="false">IFERROR(IF(ISBLANK(Actuals!H93),"",('Original Budget'!H93-Actuals!H93)/ABS('Original Budget'!H93)),"")</f>
        <v>1.91088596863078</v>
      </c>
      <c r="Z77" s="123" t="n">
        <f aca="false">'Original Budget'!I93</f>
        <v>-1179.5</v>
      </c>
      <c r="AA77" s="123" t="str">
        <f aca="false">IF(ISBLANK(Actuals!I93),"",Actuals!I93)</f>
        <v/>
      </c>
      <c r="AB77" s="124" t="str">
        <f aca="false">IF(ISBLANK(Actuals!I93),"",'Original Budget'!I93-Actuals!I93)</f>
        <v/>
      </c>
      <c r="AC77" s="124" t="str">
        <f aca="false">IFERROR(IF(ISBLANK(Actuals!I93),"",('Original Budget'!I93-Actuals!I93)/ABS('Original Budget'!I93)),"")</f>
        <v/>
      </c>
      <c r="AD77" s="123" t="n">
        <f aca="false">'Original Budget'!J93</f>
        <v>-1179.5</v>
      </c>
      <c r="AE77" s="123" t="str">
        <f aca="false">IF(ISBLANK(Actuals!J93),"",Actuals!J93)</f>
        <v/>
      </c>
      <c r="AF77" s="124" t="str">
        <f aca="false">IF(ISBLANK(Actuals!J93),"",'Original Budget'!J93-Actuals!J93)</f>
        <v/>
      </c>
      <c r="AG77" s="124" t="str">
        <f aca="false">IFERROR(IF(ISBLANK(Actuals!J93),"",('Original Budget'!J93-Actuals!J93)/ABS('Original Budget'!J93)),"")</f>
        <v/>
      </c>
      <c r="AH77" s="123" t="n">
        <f aca="false">'Original Budget'!K93</f>
        <v>-1179.5</v>
      </c>
      <c r="AI77" s="123" t="str">
        <f aca="false">IF(ISBLANK(Actuals!K93),"",Actuals!K93)</f>
        <v/>
      </c>
      <c r="AJ77" s="124" t="str">
        <f aca="false">IF(ISBLANK(Actuals!K93),"",'Original Budget'!K93-Actuals!K93)</f>
        <v/>
      </c>
      <c r="AK77" s="124" t="str">
        <f aca="false">IFERROR(IF(ISBLANK(Actuals!K93),"",('Original Budget'!K93-Actuals!K93)/ABS('Original Budget'!K93)),"")</f>
        <v/>
      </c>
      <c r="AL77" s="123" t="n">
        <f aca="false">'Original Budget'!L93</f>
        <v>-1179.5</v>
      </c>
      <c r="AM77" s="123" t="str">
        <f aca="false">IF(ISBLANK(Actuals!L93),"",Actuals!L93)</f>
        <v/>
      </c>
      <c r="AN77" s="124" t="str">
        <f aca="false">IF(ISBLANK(Actuals!L93),"",'Original Budget'!L93-Actuals!L93)</f>
        <v/>
      </c>
      <c r="AO77" s="124" t="str">
        <f aca="false">IFERROR(IF(ISBLANK(Actuals!L93),"",('Original Budget'!L93-Actuals!L93)/ABS('Original Budget'!L93)),"")</f>
        <v/>
      </c>
      <c r="AP77" s="123" t="n">
        <f aca="false">'Original Budget'!M93</f>
        <v>-1179.5</v>
      </c>
      <c r="AQ77" s="123" t="str">
        <f aca="false">IF(ISBLANK(Actuals!M93),"",Actuals!M93)</f>
        <v/>
      </c>
      <c r="AR77" s="124" t="str">
        <f aca="false">IF(ISBLANK(Actuals!M93),"",'Original Budget'!M93-Actuals!M93)</f>
        <v/>
      </c>
      <c r="AS77" s="124" t="str">
        <f aca="false">IFERROR(IF(ISBLANK(Actuals!M93),"",('Original Budget'!M93-Actuals!M93)/ABS('Original Budget'!M93)),"")</f>
        <v/>
      </c>
      <c r="AT77" s="123" t="n">
        <f aca="false">'Original Budget'!N93</f>
        <v>-1179.5</v>
      </c>
      <c r="AU77" s="123" t="str">
        <f aca="false">IF(ISBLANK(Actuals!N93),"",Actuals!N93)</f>
        <v/>
      </c>
      <c r="AV77" s="124" t="str">
        <f aca="false">IF(ISBLANK(Actuals!N93),"",'Original Budget'!N93-Actuals!N93)</f>
        <v/>
      </c>
      <c r="AW77" s="124" t="str">
        <f aca="false">IFERROR(IF(ISBLANK(Actuals!N93),"",('Original Budget'!N93-Actuals!N93)/ABS('Original Budget'!N93)),"")</f>
        <v/>
      </c>
      <c r="AX77" s="125" t="n">
        <f aca="false">SUMPRODUCT((Actuals!C93:N93&lt;&gt;"")*('Original Budget'!C93:N93))</f>
        <v>-7076.99</v>
      </c>
      <c r="AY77" s="125" t="n">
        <f aca="false">SUM(Actuals!C93:N93)</f>
        <v>-11220.52</v>
      </c>
      <c r="AZ77" s="126" t="n">
        <f aca="false">AX77-AY77</f>
        <v>4143.53</v>
      </c>
    </row>
    <row r="78" customFormat="false" ht="15" hidden="false" customHeight="true" outlineLevel="0" collapsed="false">
      <c r="A78" s="122" t="s">
        <v>121</v>
      </c>
      <c r="B78" s="123" t="n">
        <f aca="false">'Original Budget'!C94</f>
        <v>-588.66</v>
      </c>
      <c r="C78" s="123" t="n">
        <f aca="false">IF(ISBLANK(Actuals!C94),"",Actuals!C94)</f>
        <v>-588.66</v>
      </c>
      <c r="D78" s="124" t="n">
        <f aca="false">IF(ISBLANK(Actuals!C94),"",'Original Budget'!C94-Actuals!C94)</f>
        <v>0</v>
      </c>
      <c r="E78" s="124" t="n">
        <f aca="false">IFERROR(IF(ISBLANK(Actuals!C94),"",('Original Budget'!C94-Actuals!C94)/ABS('Original Budget'!C94)),"")</f>
        <v>0</v>
      </c>
      <c r="F78" s="123" t="n">
        <f aca="false">'Original Budget'!D94</f>
        <v>-22.94</v>
      </c>
      <c r="G78" s="123" t="n">
        <f aca="false">IF(ISBLANK(Actuals!D94),"",Actuals!D94)</f>
        <v>-22.94</v>
      </c>
      <c r="H78" s="124" t="n">
        <f aca="false">IF(ISBLANK(Actuals!D94),"",'Original Budget'!D94-Actuals!D94)</f>
        <v>0</v>
      </c>
      <c r="I78" s="124" t="n">
        <f aca="false">IFERROR(IF(ISBLANK(Actuals!D94),"",('Original Budget'!D94-Actuals!D94)/ABS('Original Budget'!D94)),"")</f>
        <v>0</v>
      </c>
      <c r="J78" s="123" t="n">
        <f aca="false">'Original Budget'!E94</f>
        <v>-487.3</v>
      </c>
      <c r="K78" s="123" t="n">
        <f aca="false">IF(ISBLANK(Actuals!E94),"",Actuals!E94)</f>
        <v>-487.3</v>
      </c>
      <c r="L78" s="124" t="n">
        <f aca="false">IF(ISBLANK(Actuals!E94),"",'Original Budget'!E94-Actuals!E94)</f>
        <v>0</v>
      </c>
      <c r="M78" s="124" t="n">
        <f aca="false">IFERROR(IF(ISBLANK(Actuals!E94),"",('Original Budget'!E94-Actuals!E94)/ABS('Original Budget'!E94)),"")</f>
        <v>0</v>
      </c>
      <c r="N78" s="123" t="n">
        <f aca="false">'Original Budget'!F94</f>
        <v>-366.3</v>
      </c>
      <c r="O78" s="123" t="n">
        <f aca="false">IF(ISBLANK(Actuals!F94),"",Actuals!F94)</f>
        <v>-399.98</v>
      </c>
      <c r="P78" s="124" t="n">
        <f aca="false">IF(ISBLANK(Actuals!F94),"",'Original Budget'!F94-Actuals!F94)</f>
        <v>33.68</v>
      </c>
      <c r="Q78" s="124" t="n">
        <f aca="false">IFERROR(IF(ISBLANK(Actuals!F94),"",('Original Budget'!F94-Actuals!F94)/ABS('Original Budget'!F94)),"")</f>
        <v>0.091946491946492</v>
      </c>
      <c r="R78" s="123" t="n">
        <f aca="false">'Original Budget'!G94</f>
        <v>-366.3</v>
      </c>
      <c r="S78" s="123" t="n">
        <f aca="false">IF(ISBLANK(Actuals!G94),"",Actuals!G94)</f>
        <v>-216.15</v>
      </c>
      <c r="T78" s="124" t="n">
        <f aca="false">IF(ISBLANK(Actuals!G94),"",'Original Budget'!G94-Actuals!G94)</f>
        <v>-150.15</v>
      </c>
      <c r="U78" s="124" t="n">
        <f aca="false">IFERROR(IF(ISBLANK(Actuals!G94),"",('Original Budget'!G94-Actuals!G94)/ABS('Original Budget'!G94)),"")</f>
        <v>-0.40990990990991</v>
      </c>
      <c r="V78" s="123" t="n">
        <f aca="false">'Original Budget'!H94</f>
        <v>-366.3</v>
      </c>
      <c r="W78" s="123" t="n">
        <f aca="false">IF(ISBLANK(Actuals!H94),"",Actuals!H94)</f>
        <v>-936.05</v>
      </c>
      <c r="X78" s="124" t="n">
        <f aca="false">IF(ISBLANK(Actuals!H94),"",'Original Budget'!H94-Actuals!H94)</f>
        <v>569.75</v>
      </c>
      <c r="Y78" s="124" t="n">
        <f aca="false">IFERROR(IF(ISBLANK(Actuals!H94),"",('Original Budget'!H94-Actuals!H94)/ABS('Original Budget'!H94)),"")</f>
        <v>1.55541905541906</v>
      </c>
      <c r="Z78" s="123" t="n">
        <f aca="false">'Original Budget'!I94</f>
        <v>-366.3</v>
      </c>
      <c r="AA78" s="123" t="str">
        <f aca="false">IF(ISBLANK(Actuals!I94),"",Actuals!I94)</f>
        <v/>
      </c>
      <c r="AB78" s="124" t="str">
        <f aca="false">IF(ISBLANK(Actuals!I94),"",'Original Budget'!I94-Actuals!I94)</f>
        <v/>
      </c>
      <c r="AC78" s="124" t="str">
        <f aca="false">IFERROR(IF(ISBLANK(Actuals!I94),"",('Original Budget'!I94-Actuals!I94)/ABS('Original Budget'!I94)),"")</f>
        <v/>
      </c>
      <c r="AD78" s="123" t="n">
        <f aca="false">'Original Budget'!J94</f>
        <v>-366.3</v>
      </c>
      <c r="AE78" s="123" t="str">
        <f aca="false">IF(ISBLANK(Actuals!J94),"",Actuals!J94)</f>
        <v/>
      </c>
      <c r="AF78" s="124" t="str">
        <f aca="false">IF(ISBLANK(Actuals!J94),"",'Original Budget'!J94-Actuals!J94)</f>
        <v/>
      </c>
      <c r="AG78" s="124" t="str">
        <f aca="false">IFERROR(IF(ISBLANK(Actuals!J94),"",('Original Budget'!J94-Actuals!J94)/ABS('Original Budget'!J94)),"")</f>
        <v/>
      </c>
      <c r="AH78" s="123" t="n">
        <f aca="false">'Original Budget'!K94</f>
        <v>-366.3</v>
      </c>
      <c r="AI78" s="123" t="str">
        <f aca="false">IF(ISBLANK(Actuals!K94),"",Actuals!K94)</f>
        <v/>
      </c>
      <c r="AJ78" s="124" t="str">
        <f aca="false">IF(ISBLANK(Actuals!K94),"",'Original Budget'!K94-Actuals!K94)</f>
        <v/>
      </c>
      <c r="AK78" s="124" t="str">
        <f aca="false">IFERROR(IF(ISBLANK(Actuals!K94),"",('Original Budget'!K94-Actuals!K94)/ABS('Original Budget'!K94)),"")</f>
        <v/>
      </c>
      <c r="AL78" s="123" t="n">
        <f aca="false">'Original Budget'!L94</f>
        <v>-366.3</v>
      </c>
      <c r="AM78" s="123" t="str">
        <f aca="false">IF(ISBLANK(Actuals!L94),"",Actuals!L94)</f>
        <v/>
      </c>
      <c r="AN78" s="124" t="str">
        <f aca="false">IF(ISBLANK(Actuals!L94),"",'Original Budget'!L94-Actuals!L94)</f>
        <v/>
      </c>
      <c r="AO78" s="124" t="str">
        <f aca="false">IFERROR(IF(ISBLANK(Actuals!L94),"",('Original Budget'!L94-Actuals!L94)/ABS('Original Budget'!L94)),"")</f>
        <v/>
      </c>
      <c r="AP78" s="123" t="n">
        <f aca="false">'Original Budget'!M94</f>
        <v>-366.3</v>
      </c>
      <c r="AQ78" s="123" t="str">
        <f aca="false">IF(ISBLANK(Actuals!M94),"",Actuals!M94)</f>
        <v/>
      </c>
      <c r="AR78" s="124" t="str">
        <f aca="false">IF(ISBLANK(Actuals!M94),"",'Original Budget'!M94-Actuals!M94)</f>
        <v/>
      </c>
      <c r="AS78" s="124" t="str">
        <f aca="false">IFERROR(IF(ISBLANK(Actuals!M94),"",('Original Budget'!M94-Actuals!M94)/ABS('Original Budget'!M94)),"")</f>
        <v/>
      </c>
      <c r="AT78" s="123" t="n">
        <f aca="false">'Original Budget'!N94</f>
        <v>-366.3</v>
      </c>
      <c r="AU78" s="123" t="str">
        <f aca="false">IF(ISBLANK(Actuals!N94),"",Actuals!N94)</f>
        <v/>
      </c>
      <c r="AV78" s="124" t="str">
        <f aca="false">IF(ISBLANK(Actuals!N94),"",'Original Budget'!N94-Actuals!N94)</f>
        <v/>
      </c>
      <c r="AW78" s="124" t="str">
        <f aca="false">IFERROR(IF(ISBLANK(Actuals!N94),"",('Original Budget'!N94-Actuals!N94)/ABS('Original Budget'!N94)),"")</f>
        <v/>
      </c>
      <c r="AX78" s="125" t="n">
        <f aca="false">SUMPRODUCT((Actuals!C94:N94&lt;&gt;"")*('Original Budget'!C94:N94))</f>
        <v>-2197.8</v>
      </c>
      <c r="AY78" s="125" t="n">
        <f aca="false">SUM(Actuals!C94:N94)</f>
        <v>-2651.08</v>
      </c>
      <c r="AZ78" s="126" t="n">
        <f aca="false">AX78-AY78</f>
        <v>453.28</v>
      </c>
    </row>
    <row r="79" customFormat="false" ht="15" hidden="false" customHeight="true" outlineLevel="0" collapsed="false">
      <c r="A79" s="122" t="s">
        <v>122</v>
      </c>
      <c r="B79" s="123" t="n">
        <f aca="false">'Original Budget'!C95</f>
        <v>0</v>
      </c>
      <c r="C79" s="123" t="n">
        <f aca="false">IF(ISBLANK(Actuals!C95),"",Actuals!C95)</f>
        <v>0</v>
      </c>
      <c r="D79" s="124" t="n">
        <f aca="false">IF(ISBLANK(Actuals!C95),"",'Original Budget'!C95-Actuals!C95)</f>
        <v>0</v>
      </c>
      <c r="E79" s="124" t="str">
        <f aca="false">IFERROR(IF(ISBLANK(Actuals!C95),"",('Original Budget'!C95-Actuals!C95)/ABS('Original Budget'!C95)),"")</f>
        <v/>
      </c>
      <c r="F79" s="123" t="n">
        <f aca="false">'Original Budget'!D95</f>
        <v>-92.75</v>
      </c>
      <c r="G79" s="123" t="n">
        <f aca="false">IF(ISBLANK(Actuals!D95),"",Actuals!D95)</f>
        <v>-92.75</v>
      </c>
      <c r="H79" s="124" t="n">
        <f aca="false">IF(ISBLANK(Actuals!D95),"",'Original Budget'!D95-Actuals!D95)</f>
        <v>0</v>
      </c>
      <c r="I79" s="124" t="n">
        <f aca="false">IFERROR(IF(ISBLANK(Actuals!D95),"",('Original Budget'!D95-Actuals!D95)/ABS('Original Budget'!D95)),"")</f>
        <v>0</v>
      </c>
      <c r="J79" s="123" t="n">
        <f aca="false">'Original Budget'!E95</f>
        <v>-57.46</v>
      </c>
      <c r="K79" s="123" t="n">
        <f aca="false">IF(ISBLANK(Actuals!E95),"",Actuals!E95)</f>
        <v>-57.46</v>
      </c>
      <c r="L79" s="124" t="n">
        <f aca="false">IF(ISBLANK(Actuals!E95),"",'Original Budget'!E95-Actuals!E95)</f>
        <v>0</v>
      </c>
      <c r="M79" s="124" t="n">
        <f aca="false">IFERROR(IF(ISBLANK(Actuals!E95),"",('Original Budget'!E95-Actuals!E95)/ABS('Original Budget'!E95)),"")</f>
        <v>0</v>
      </c>
      <c r="N79" s="123" t="n">
        <f aca="false">'Original Budget'!F95</f>
        <v>-50.07</v>
      </c>
      <c r="O79" s="123" t="n">
        <f aca="false">IF(ISBLANK(Actuals!F95),"",Actuals!F95)</f>
        <v>0</v>
      </c>
      <c r="P79" s="124" t="n">
        <f aca="false">IF(ISBLANK(Actuals!F95),"",'Original Budget'!F95-Actuals!F95)</f>
        <v>-50.07</v>
      </c>
      <c r="Q79" s="124" t="n">
        <f aca="false">IFERROR(IF(ISBLANK(Actuals!F95),"",('Original Budget'!F95-Actuals!F95)/ABS('Original Budget'!F95)),"")</f>
        <v>-1</v>
      </c>
      <c r="R79" s="123" t="n">
        <f aca="false">'Original Budget'!G95</f>
        <v>-50.07</v>
      </c>
      <c r="S79" s="123" t="n">
        <f aca="false">IF(ISBLANK(Actuals!G95),"",Actuals!G95)</f>
        <v>-24.3</v>
      </c>
      <c r="T79" s="124" t="n">
        <f aca="false">IF(ISBLANK(Actuals!G95),"",'Original Budget'!G95-Actuals!G95)</f>
        <v>-25.77</v>
      </c>
      <c r="U79" s="124" t="n">
        <f aca="false">IFERROR(IF(ISBLANK(Actuals!G95),"",('Original Budget'!G95-Actuals!G95)/ABS('Original Budget'!G95)),"")</f>
        <v>-0.51467944877172</v>
      </c>
      <c r="V79" s="123" t="n">
        <f aca="false">'Original Budget'!H95</f>
        <v>-50.07</v>
      </c>
      <c r="W79" s="123" t="n">
        <f aca="false">IF(ISBLANK(Actuals!H95),"",Actuals!H95)</f>
        <v>-917.7</v>
      </c>
      <c r="X79" s="124" t="n">
        <f aca="false">IF(ISBLANK(Actuals!H95),"",'Original Budget'!H95-Actuals!H95)</f>
        <v>867.63</v>
      </c>
      <c r="Y79" s="124" t="n">
        <f aca="false">IFERROR(IF(ISBLANK(Actuals!H95),"",('Original Budget'!H95-Actuals!H95)/ABS('Original Budget'!H95)),"")</f>
        <v>17.328340323547</v>
      </c>
      <c r="Z79" s="123" t="n">
        <f aca="false">'Original Budget'!I95</f>
        <v>-50.07</v>
      </c>
      <c r="AA79" s="123" t="str">
        <f aca="false">IF(ISBLANK(Actuals!I95),"",Actuals!I95)</f>
        <v/>
      </c>
      <c r="AB79" s="124" t="str">
        <f aca="false">IF(ISBLANK(Actuals!I95),"",'Original Budget'!I95-Actuals!I95)</f>
        <v/>
      </c>
      <c r="AC79" s="124" t="str">
        <f aca="false">IFERROR(IF(ISBLANK(Actuals!I95),"",('Original Budget'!I95-Actuals!I95)/ABS('Original Budget'!I95)),"")</f>
        <v/>
      </c>
      <c r="AD79" s="123" t="n">
        <f aca="false">'Original Budget'!J95</f>
        <v>-50.07</v>
      </c>
      <c r="AE79" s="123" t="str">
        <f aca="false">IF(ISBLANK(Actuals!J95),"",Actuals!J95)</f>
        <v/>
      </c>
      <c r="AF79" s="124" t="str">
        <f aca="false">IF(ISBLANK(Actuals!J95),"",'Original Budget'!J95-Actuals!J95)</f>
        <v/>
      </c>
      <c r="AG79" s="124" t="str">
        <f aca="false">IFERROR(IF(ISBLANK(Actuals!J95),"",('Original Budget'!J95-Actuals!J95)/ABS('Original Budget'!J95)),"")</f>
        <v/>
      </c>
      <c r="AH79" s="123" t="n">
        <f aca="false">'Original Budget'!K95</f>
        <v>-50.07</v>
      </c>
      <c r="AI79" s="123" t="str">
        <f aca="false">IF(ISBLANK(Actuals!K95),"",Actuals!K95)</f>
        <v/>
      </c>
      <c r="AJ79" s="124" t="str">
        <f aca="false">IF(ISBLANK(Actuals!K95),"",'Original Budget'!K95-Actuals!K95)</f>
        <v/>
      </c>
      <c r="AK79" s="124" t="str">
        <f aca="false">IFERROR(IF(ISBLANK(Actuals!K95),"",('Original Budget'!K95-Actuals!K95)/ABS('Original Budget'!K95)),"")</f>
        <v/>
      </c>
      <c r="AL79" s="123" t="n">
        <f aca="false">'Original Budget'!L95</f>
        <v>-50.07</v>
      </c>
      <c r="AM79" s="123" t="str">
        <f aca="false">IF(ISBLANK(Actuals!L95),"",Actuals!L95)</f>
        <v/>
      </c>
      <c r="AN79" s="124" t="str">
        <f aca="false">IF(ISBLANK(Actuals!L95),"",'Original Budget'!L95-Actuals!L95)</f>
        <v/>
      </c>
      <c r="AO79" s="124" t="str">
        <f aca="false">IFERROR(IF(ISBLANK(Actuals!L95),"",('Original Budget'!L95-Actuals!L95)/ABS('Original Budget'!L95)),"")</f>
        <v/>
      </c>
      <c r="AP79" s="123" t="n">
        <f aca="false">'Original Budget'!M95</f>
        <v>-50.07</v>
      </c>
      <c r="AQ79" s="123" t="str">
        <f aca="false">IF(ISBLANK(Actuals!M95),"",Actuals!M95)</f>
        <v/>
      </c>
      <c r="AR79" s="124" t="str">
        <f aca="false">IF(ISBLANK(Actuals!M95),"",'Original Budget'!M95-Actuals!M95)</f>
        <v/>
      </c>
      <c r="AS79" s="124" t="str">
        <f aca="false">IFERROR(IF(ISBLANK(Actuals!M95),"",('Original Budget'!M95-Actuals!M95)/ABS('Original Budget'!M95)),"")</f>
        <v/>
      </c>
      <c r="AT79" s="123" t="n">
        <f aca="false">'Original Budget'!N95</f>
        <v>-50.07</v>
      </c>
      <c r="AU79" s="123" t="str">
        <f aca="false">IF(ISBLANK(Actuals!N95),"",Actuals!N95)</f>
        <v/>
      </c>
      <c r="AV79" s="124" t="str">
        <f aca="false">IF(ISBLANK(Actuals!N95),"",'Original Budget'!N95-Actuals!N95)</f>
        <v/>
      </c>
      <c r="AW79" s="124" t="str">
        <f aca="false">IFERROR(IF(ISBLANK(Actuals!N95),"",('Original Budget'!N95-Actuals!N95)/ABS('Original Budget'!N95)),"")</f>
        <v/>
      </c>
      <c r="AX79" s="125" t="n">
        <f aca="false">SUMPRODUCT((Actuals!C95:N95&lt;&gt;"")*('Original Budget'!C95:N95))</f>
        <v>-300.42</v>
      </c>
      <c r="AY79" s="125" t="n">
        <f aca="false">SUM(Actuals!C95:N95)</f>
        <v>-1092.21</v>
      </c>
      <c r="AZ79" s="126" t="n">
        <f aca="false">AX79-AY79</f>
        <v>791.79</v>
      </c>
    </row>
    <row r="80" customFormat="false" ht="15" hidden="false" customHeight="true" outlineLevel="0" collapsed="false">
      <c r="A80" s="122" t="s">
        <v>74</v>
      </c>
      <c r="B80" s="123" t="n">
        <f aca="false">'Original Budget'!C96</f>
        <v>-640.88</v>
      </c>
      <c r="C80" s="123" t="n">
        <f aca="false">IF(ISBLANK(Actuals!C96),"",Actuals!C96)</f>
        <v>-640.88</v>
      </c>
      <c r="D80" s="124" t="n">
        <f aca="false">IF(ISBLANK(Actuals!C96),"",'Original Budget'!C96-Actuals!C96)</f>
        <v>0</v>
      </c>
      <c r="E80" s="124" t="n">
        <f aca="false">IFERROR(IF(ISBLANK(Actuals!C96),"",('Original Budget'!C96-Actuals!C96)/ABS('Original Budget'!C96)),"")</f>
        <v>0</v>
      </c>
      <c r="F80" s="123" t="n">
        <f aca="false">'Original Budget'!D96</f>
        <v>-872.64</v>
      </c>
      <c r="G80" s="123" t="n">
        <f aca="false">IF(ISBLANK(Actuals!D96),"",Actuals!D96)</f>
        <v>-872.64</v>
      </c>
      <c r="H80" s="124" t="n">
        <f aca="false">IF(ISBLANK(Actuals!D96),"",'Original Budget'!D96-Actuals!D96)</f>
        <v>0</v>
      </c>
      <c r="I80" s="124" t="n">
        <f aca="false">IFERROR(IF(ISBLANK(Actuals!D96),"",('Original Budget'!D96-Actuals!D96)/ABS('Original Budget'!D96)),"")</f>
        <v>0</v>
      </c>
      <c r="J80" s="123" t="n">
        <f aca="false">'Original Budget'!E96</f>
        <v>-1175.78</v>
      </c>
      <c r="K80" s="123" t="n">
        <f aca="false">IF(ISBLANK(Actuals!E96),"",Actuals!E96)</f>
        <v>-1175.78</v>
      </c>
      <c r="L80" s="124" t="n">
        <f aca="false">IF(ISBLANK(Actuals!E96),"",'Original Budget'!E96-Actuals!E96)</f>
        <v>0</v>
      </c>
      <c r="M80" s="124" t="n">
        <f aca="false">IFERROR(IF(ISBLANK(Actuals!E96),"",('Original Budget'!E96-Actuals!E96)/ABS('Original Budget'!E96)),"")</f>
        <v>0</v>
      </c>
      <c r="N80" s="123" t="n">
        <f aca="false">'Original Budget'!F96</f>
        <v>-896.43</v>
      </c>
      <c r="O80" s="123" t="n">
        <f aca="false">IF(ISBLANK(Actuals!F96),"",Actuals!F96)</f>
        <v>-471.38</v>
      </c>
      <c r="P80" s="124" t="n">
        <f aca="false">IF(ISBLANK(Actuals!F96),"",'Original Budget'!F96-Actuals!F96)</f>
        <v>-425.05</v>
      </c>
      <c r="Q80" s="124" t="n">
        <f aca="false">IFERROR(IF(ISBLANK(Actuals!F96),"",('Original Budget'!F96-Actuals!F96)/ABS('Original Budget'!F96)),"")</f>
        <v>-0.474158606918555</v>
      </c>
      <c r="R80" s="123" t="n">
        <f aca="false">'Original Budget'!G96</f>
        <v>-896.43</v>
      </c>
      <c r="S80" s="123" t="n">
        <f aca="false">IF(ISBLANK(Actuals!G96),"",Actuals!G96)</f>
        <v>-1307.57</v>
      </c>
      <c r="T80" s="124" t="n">
        <f aca="false">IF(ISBLANK(Actuals!G96),"",'Original Budget'!G96-Actuals!G96)</f>
        <v>411.14</v>
      </c>
      <c r="U80" s="124" t="n">
        <f aca="false">IFERROR(IF(ISBLANK(Actuals!G96),"",('Original Budget'!G96-Actuals!G96)/ABS('Original Budget'!G96)),"")</f>
        <v>0.458641500172908</v>
      </c>
      <c r="V80" s="123" t="n">
        <f aca="false">'Original Budget'!H96</f>
        <v>-896.43</v>
      </c>
      <c r="W80" s="123" t="n">
        <f aca="false">IF(ISBLANK(Actuals!H96),"",Actuals!H96)</f>
        <v>-3067.11</v>
      </c>
      <c r="X80" s="124" t="n">
        <f aca="false">IF(ISBLANK(Actuals!H96),"",'Original Budget'!H96-Actuals!H96)</f>
        <v>2170.68</v>
      </c>
      <c r="Y80" s="124" t="n">
        <f aca="false">IFERROR(IF(ISBLANK(Actuals!H96),"",('Original Budget'!H96-Actuals!H96)/ABS('Original Budget'!H96)),"")</f>
        <v>2.42147183829189</v>
      </c>
      <c r="Z80" s="123" t="n">
        <f aca="false">'Original Budget'!I96</f>
        <v>-896.43</v>
      </c>
      <c r="AA80" s="123" t="str">
        <f aca="false">IF(ISBLANK(Actuals!I96),"",Actuals!I96)</f>
        <v/>
      </c>
      <c r="AB80" s="124" t="str">
        <f aca="false">IF(ISBLANK(Actuals!I96),"",'Original Budget'!I96-Actuals!I96)</f>
        <v/>
      </c>
      <c r="AC80" s="124" t="str">
        <f aca="false">IFERROR(IF(ISBLANK(Actuals!I96),"",('Original Budget'!I96-Actuals!I96)/ABS('Original Budget'!I96)),"")</f>
        <v/>
      </c>
      <c r="AD80" s="123" t="n">
        <f aca="false">'Original Budget'!J96</f>
        <v>-896.43</v>
      </c>
      <c r="AE80" s="123" t="str">
        <f aca="false">IF(ISBLANK(Actuals!J96),"",Actuals!J96)</f>
        <v/>
      </c>
      <c r="AF80" s="124" t="str">
        <f aca="false">IF(ISBLANK(Actuals!J96),"",'Original Budget'!J96-Actuals!J96)</f>
        <v/>
      </c>
      <c r="AG80" s="124" t="str">
        <f aca="false">IFERROR(IF(ISBLANK(Actuals!J96),"",('Original Budget'!J96-Actuals!J96)/ABS('Original Budget'!J96)),"")</f>
        <v/>
      </c>
      <c r="AH80" s="123" t="n">
        <f aca="false">'Original Budget'!K96</f>
        <v>-896.43</v>
      </c>
      <c r="AI80" s="123" t="str">
        <f aca="false">IF(ISBLANK(Actuals!K96),"",Actuals!K96)</f>
        <v/>
      </c>
      <c r="AJ80" s="124" t="str">
        <f aca="false">IF(ISBLANK(Actuals!K96),"",'Original Budget'!K96-Actuals!K96)</f>
        <v/>
      </c>
      <c r="AK80" s="124" t="str">
        <f aca="false">IFERROR(IF(ISBLANK(Actuals!K96),"",('Original Budget'!K96-Actuals!K96)/ABS('Original Budget'!K96)),"")</f>
        <v/>
      </c>
      <c r="AL80" s="123" t="n">
        <f aca="false">'Original Budget'!L96</f>
        <v>-896.43</v>
      </c>
      <c r="AM80" s="123" t="str">
        <f aca="false">IF(ISBLANK(Actuals!L96),"",Actuals!L96)</f>
        <v/>
      </c>
      <c r="AN80" s="124" t="str">
        <f aca="false">IF(ISBLANK(Actuals!L96),"",'Original Budget'!L96-Actuals!L96)</f>
        <v/>
      </c>
      <c r="AO80" s="124" t="str">
        <f aca="false">IFERROR(IF(ISBLANK(Actuals!L96),"",('Original Budget'!L96-Actuals!L96)/ABS('Original Budget'!L96)),"")</f>
        <v/>
      </c>
      <c r="AP80" s="123" t="n">
        <f aca="false">'Original Budget'!M96</f>
        <v>-896.43</v>
      </c>
      <c r="AQ80" s="123" t="str">
        <f aca="false">IF(ISBLANK(Actuals!M96),"",Actuals!M96)</f>
        <v/>
      </c>
      <c r="AR80" s="124" t="str">
        <f aca="false">IF(ISBLANK(Actuals!M96),"",'Original Budget'!M96-Actuals!M96)</f>
        <v/>
      </c>
      <c r="AS80" s="124" t="str">
        <f aca="false">IFERROR(IF(ISBLANK(Actuals!M96),"",('Original Budget'!M96-Actuals!M96)/ABS('Original Budget'!M96)),"")</f>
        <v/>
      </c>
      <c r="AT80" s="123" t="n">
        <f aca="false">'Original Budget'!N96</f>
        <v>-896.43</v>
      </c>
      <c r="AU80" s="123" t="str">
        <f aca="false">IF(ISBLANK(Actuals!N96),"",Actuals!N96)</f>
        <v/>
      </c>
      <c r="AV80" s="124" t="str">
        <f aca="false">IF(ISBLANK(Actuals!N96),"",'Original Budget'!N96-Actuals!N96)</f>
        <v/>
      </c>
      <c r="AW80" s="124" t="str">
        <f aca="false">IFERROR(IF(ISBLANK(Actuals!N96),"",('Original Budget'!N96-Actuals!N96)/ABS('Original Budget'!N96)),"")</f>
        <v/>
      </c>
      <c r="AX80" s="125" t="n">
        <f aca="false">SUMPRODUCT((Actuals!C96:N96&lt;&gt;"")*('Original Budget'!C96:N96))</f>
        <v>-5378.59</v>
      </c>
      <c r="AY80" s="125" t="n">
        <f aca="false">SUM(Actuals!C96:N96)</f>
        <v>-7535.36</v>
      </c>
      <c r="AZ80" s="126" t="n">
        <f aca="false">AX80-AY80</f>
        <v>2156.77</v>
      </c>
    </row>
    <row r="81" customFormat="false" ht="15" hidden="false" customHeight="true" outlineLevel="0" collapsed="false">
      <c r="A81" s="122" t="s">
        <v>75</v>
      </c>
      <c r="B81" s="123" t="n">
        <f aca="false">'Original Budget'!C97</f>
        <v>0</v>
      </c>
      <c r="C81" s="123" t="n">
        <f aca="false">IF(ISBLANK(Actuals!C97),"",Actuals!C97)</f>
        <v>0</v>
      </c>
      <c r="D81" s="124" t="n">
        <f aca="false">IF(ISBLANK(Actuals!C97),"",'Original Budget'!C97-Actuals!C97)</f>
        <v>0</v>
      </c>
      <c r="E81" s="124" t="str">
        <f aca="false">IFERROR(IF(ISBLANK(Actuals!C97),"",('Original Budget'!C97-Actuals!C97)/ABS('Original Budget'!C97)),"")</f>
        <v/>
      </c>
      <c r="F81" s="123" t="n">
        <f aca="false">'Original Budget'!D97</f>
        <v>0</v>
      </c>
      <c r="G81" s="123" t="n">
        <f aca="false">IF(ISBLANK(Actuals!D97),"",Actuals!D97)</f>
        <v>0</v>
      </c>
      <c r="H81" s="124" t="n">
        <f aca="false">IF(ISBLANK(Actuals!D97),"",'Original Budget'!D97-Actuals!D97)</f>
        <v>0</v>
      </c>
      <c r="I81" s="124" t="str">
        <f aca="false">IFERROR(IF(ISBLANK(Actuals!D97),"",('Original Budget'!D97-Actuals!D97)/ABS('Original Budget'!D97)),"")</f>
        <v/>
      </c>
      <c r="J81" s="123" t="n">
        <f aca="false">'Original Budget'!E97</f>
        <v>-38050.5</v>
      </c>
      <c r="K81" s="123" t="n">
        <f aca="false">IF(ISBLANK(Actuals!E97),"",Actuals!E97)</f>
        <v>-38050.5</v>
      </c>
      <c r="L81" s="124" t="n">
        <f aca="false">IF(ISBLANK(Actuals!E97),"",'Original Budget'!E97-Actuals!E97)</f>
        <v>0</v>
      </c>
      <c r="M81" s="124" t="n">
        <f aca="false">IFERROR(IF(ISBLANK(Actuals!E97),"",('Original Budget'!E97-Actuals!E97)/ABS('Original Budget'!E97)),"")</f>
        <v>0</v>
      </c>
      <c r="N81" s="123" t="n">
        <f aca="false">'Original Budget'!F97</f>
        <v>-2000</v>
      </c>
      <c r="O81" s="123" t="n">
        <f aca="false">IF(ISBLANK(Actuals!F97),"",Actuals!F97)</f>
        <v>0</v>
      </c>
      <c r="P81" s="124" t="n">
        <f aca="false">IF(ISBLANK(Actuals!F97),"",'Original Budget'!F97-Actuals!F97)</f>
        <v>-2000</v>
      </c>
      <c r="Q81" s="124" t="n">
        <f aca="false">IFERROR(IF(ISBLANK(Actuals!F97),"",('Original Budget'!F97-Actuals!F97)/ABS('Original Budget'!F97)),"")</f>
        <v>-1</v>
      </c>
      <c r="R81" s="123" t="n">
        <f aca="false">'Original Budget'!G97</f>
        <v>-2000</v>
      </c>
      <c r="S81" s="123" t="n">
        <f aca="false">IF(ISBLANK(Actuals!G97),"",Actuals!G97)</f>
        <v>-986.5</v>
      </c>
      <c r="T81" s="124" t="n">
        <f aca="false">IF(ISBLANK(Actuals!G97),"",'Original Budget'!G97-Actuals!G97)</f>
        <v>-1013.5</v>
      </c>
      <c r="U81" s="124" t="n">
        <f aca="false">IFERROR(IF(ISBLANK(Actuals!G97),"",('Original Budget'!G97-Actuals!G97)/ABS('Original Budget'!G97)),"")</f>
        <v>-0.50675</v>
      </c>
      <c r="V81" s="123" t="n">
        <f aca="false">'Original Budget'!H97</f>
        <v>-2000</v>
      </c>
      <c r="W81" s="123" t="n">
        <f aca="false">IF(ISBLANK(Actuals!H97),"",Actuals!H97)</f>
        <v>-4830</v>
      </c>
      <c r="X81" s="124" t="n">
        <f aca="false">IF(ISBLANK(Actuals!H97),"",'Original Budget'!H97-Actuals!H97)</f>
        <v>2830</v>
      </c>
      <c r="Y81" s="124" t="n">
        <f aca="false">IFERROR(IF(ISBLANK(Actuals!H97),"",('Original Budget'!H97-Actuals!H97)/ABS('Original Budget'!H97)),"")</f>
        <v>1.415</v>
      </c>
      <c r="Z81" s="123" t="n">
        <f aca="false">'Original Budget'!I97</f>
        <v>-2000</v>
      </c>
      <c r="AA81" s="123" t="str">
        <f aca="false">IF(ISBLANK(Actuals!I97),"",Actuals!I97)</f>
        <v/>
      </c>
      <c r="AB81" s="124" t="str">
        <f aca="false">IF(ISBLANK(Actuals!I97),"",'Original Budget'!I97-Actuals!I97)</f>
        <v/>
      </c>
      <c r="AC81" s="124" t="str">
        <f aca="false">IFERROR(IF(ISBLANK(Actuals!I97),"",('Original Budget'!I97-Actuals!I97)/ABS('Original Budget'!I97)),"")</f>
        <v/>
      </c>
      <c r="AD81" s="123" t="n">
        <f aca="false">'Original Budget'!J97</f>
        <v>-2000</v>
      </c>
      <c r="AE81" s="123" t="str">
        <f aca="false">IF(ISBLANK(Actuals!J97),"",Actuals!J97)</f>
        <v/>
      </c>
      <c r="AF81" s="124" t="str">
        <f aca="false">IF(ISBLANK(Actuals!J97),"",'Original Budget'!J97-Actuals!J97)</f>
        <v/>
      </c>
      <c r="AG81" s="124" t="str">
        <f aca="false">IFERROR(IF(ISBLANK(Actuals!J97),"",('Original Budget'!J97-Actuals!J97)/ABS('Original Budget'!J97)),"")</f>
        <v/>
      </c>
      <c r="AH81" s="123" t="n">
        <f aca="false">'Original Budget'!K97</f>
        <v>-2000</v>
      </c>
      <c r="AI81" s="123" t="str">
        <f aca="false">IF(ISBLANK(Actuals!K97),"",Actuals!K97)</f>
        <v/>
      </c>
      <c r="AJ81" s="124" t="str">
        <f aca="false">IF(ISBLANK(Actuals!K97),"",'Original Budget'!K97-Actuals!K97)</f>
        <v/>
      </c>
      <c r="AK81" s="124" t="str">
        <f aca="false">IFERROR(IF(ISBLANK(Actuals!K97),"",('Original Budget'!K97-Actuals!K97)/ABS('Original Budget'!K97)),"")</f>
        <v/>
      </c>
      <c r="AL81" s="123" t="n">
        <f aca="false">'Original Budget'!L97</f>
        <v>-2000</v>
      </c>
      <c r="AM81" s="123" t="str">
        <f aca="false">IF(ISBLANK(Actuals!L97),"",Actuals!L97)</f>
        <v/>
      </c>
      <c r="AN81" s="124" t="str">
        <f aca="false">IF(ISBLANK(Actuals!L97),"",'Original Budget'!L97-Actuals!L97)</f>
        <v/>
      </c>
      <c r="AO81" s="124" t="str">
        <f aca="false">IFERROR(IF(ISBLANK(Actuals!L97),"",('Original Budget'!L97-Actuals!L97)/ABS('Original Budget'!L97)),"")</f>
        <v/>
      </c>
      <c r="AP81" s="123" t="n">
        <f aca="false">'Original Budget'!M97</f>
        <v>-2000</v>
      </c>
      <c r="AQ81" s="123" t="str">
        <f aca="false">IF(ISBLANK(Actuals!M97),"",Actuals!M97)</f>
        <v/>
      </c>
      <c r="AR81" s="124" t="str">
        <f aca="false">IF(ISBLANK(Actuals!M97),"",'Original Budget'!M97-Actuals!M97)</f>
        <v/>
      </c>
      <c r="AS81" s="124" t="str">
        <f aca="false">IFERROR(IF(ISBLANK(Actuals!M97),"",('Original Budget'!M97-Actuals!M97)/ABS('Original Budget'!M97)),"")</f>
        <v/>
      </c>
      <c r="AT81" s="123" t="n">
        <f aca="false">'Original Budget'!N97</f>
        <v>-2000</v>
      </c>
      <c r="AU81" s="123" t="str">
        <f aca="false">IF(ISBLANK(Actuals!N97),"",Actuals!N97)</f>
        <v/>
      </c>
      <c r="AV81" s="124" t="str">
        <f aca="false">IF(ISBLANK(Actuals!N97),"",'Original Budget'!N97-Actuals!N97)</f>
        <v/>
      </c>
      <c r="AW81" s="124" t="str">
        <f aca="false">IFERROR(IF(ISBLANK(Actuals!N97),"",('Original Budget'!N97-Actuals!N97)/ABS('Original Budget'!N97)),"")</f>
        <v/>
      </c>
      <c r="AX81" s="125" t="n">
        <f aca="false">SUMPRODUCT((Actuals!C97:N97&lt;&gt;"")*('Original Budget'!C97:N97))</f>
        <v>-44050.5</v>
      </c>
      <c r="AY81" s="125" t="n">
        <f aca="false">SUM(Actuals!C97:N97)</f>
        <v>-43867</v>
      </c>
      <c r="AZ81" s="126" t="n">
        <f aca="false">AX81-AY81</f>
        <v>-183.5</v>
      </c>
    </row>
    <row r="82" customFormat="false" ht="15" hidden="false" customHeight="true" outlineLevel="0" collapsed="false">
      <c r="A82" s="122" t="s">
        <v>76</v>
      </c>
      <c r="B82" s="123" t="n">
        <f aca="false">'Original Budget'!C98</f>
        <v>-4097.78</v>
      </c>
      <c r="C82" s="123" t="n">
        <f aca="false">IF(ISBLANK(Actuals!C98),"",Actuals!C98)</f>
        <v>-4097.78</v>
      </c>
      <c r="D82" s="124" t="n">
        <f aca="false">IF(ISBLANK(Actuals!C98),"",'Original Budget'!C98-Actuals!C98)</f>
        <v>0</v>
      </c>
      <c r="E82" s="124" t="n">
        <f aca="false">IFERROR(IF(ISBLANK(Actuals!C98),"",('Original Budget'!C98-Actuals!C98)/ABS('Original Budget'!C98)),"")</f>
        <v>0</v>
      </c>
      <c r="F82" s="123" t="n">
        <f aca="false">'Original Budget'!D98</f>
        <v>-1950.2</v>
      </c>
      <c r="G82" s="123" t="n">
        <f aca="false">IF(ISBLANK(Actuals!D98),"",Actuals!D98)</f>
        <v>-1950.2</v>
      </c>
      <c r="H82" s="124" t="n">
        <f aca="false">IF(ISBLANK(Actuals!D98),"",'Original Budget'!D98-Actuals!D98)</f>
        <v>0</v>
      </c>
      <c r="I82" s="124" t="n">
        <f aca="false">IFERROR(IF(ISBLANK(Actuals!D98),"",('Original Budget'!D98-Actuals!D98)/ABS('Original Budget'!D98)),"")</f>
        <v>0</v>
      </c>
      <c r="J82" s="123" t="n">
        <f aca="false">'Original Budget'!E98</f>
        <v>-1978.2</v>
      </c>
      <c r="K82" s="123" t="n">
        <f aca="false">IF(ISBLANK(Actuals!E98),"",Actuals!E98)</f>
        <v>-1978.2</v>
      </c>
      <c r="L82" s="124" t="n">
        <f aca="false">IF(ISBLANK(Actuals!E98),"",'Original Budget'!E98-Actuals!E98)</f>
        <v>0</v>
      </c>
      <c r="M82" s="124" t="n">
        <f aca="false">IFERROR(IF(ISBLANK(Actuals!E98),"",('Original Budget'!E98-Actuals!E98)/ABS('Original Budget'!E98)),"")</f>
        <v>0</v>
      </c>
      <c r="N82" s="123" t="n">
        <f aca="false">'Original Budget'!F98</f>
        <v>-2675.39</v>
      </c>
      <c r="O82" s="123" t="n">
        <f aca="false">IF(ISBLANK(Actuals!F98),"",Actuals!F98)</f>
        <v>-1970.2</v>
      </c>
      <c r="P82" s="124" t="n">
        <f aca="false">IF(ISBLANK(Actuals!F98),"",'Original Budget'!F98-Actuals!F98)</f>
        <v>-705.19</v>
      </c>
      <c r="Q82" s="124" t="n">
        <f aca="false">IFERROR(IF(ISBLANK(Actuals!F98),"",('Original Budget'!F98-Actuals!F98)/ABS('Original Budget'!F98)),"")</f>
        <v>-0.263584000837261</v>
      </c>
      <c r="R82" s="123" t="n">
        <f aca="false">'Original Budget'!G98</f>
        <v>-2675.39</v>
      </c>
      <c r="S82" s="123" t="n">
        <f aca="false">IF(ISBLANK(Actuals!G98),"",Actuals!G98)</f>
        <v>-6126.2</v>
      </c>
      <c r="T82" s="124" t="n">
        <f aca="false">IF(ISBLANK(Actuals!G98),"",'Original Budget'!G98-Actuals!G98)</f>
        <v>3450.81</v>
      </c>
      <c r="U82" s="124" t="n">
        <f aca="false">IFERROR(IF(ISBLANK(Actuals!G98),"",('Original Budget'!G98-Actuals!G98)/ABS('Original Budget'!G98)),"")</f>
        <v>1.28983437928676</v>
      </c>
      <c r="V82" s="123" t="n">
        <f aca="false">'Original Budget'!H98</f>
        <v>-2675.39</v>
      </c>
      <c r="W82" s="123" t="n">
        <f aca="false">IF(ISBLANK(Actuals!H98),"",Actuals!H98)</f>
        <v>-1993.2</v>
      </c>
      <c r="X82" s="124" t="n">
        <f aca="false">IF(ISBLANK(Actuals!H98),"",'Original Budget'!H98-Actuals!H98)</f>
        <v>-682.19</v>
      </c>
      <c r="Y82" s="124" t="n">
        <f aca="false">IFERROR(IF(ISBLANK(Actuals!H98),"",('Original Budget'!H98-Actuals!H98)/ABS('Original Budget'!H98)),"")</f>
        <v>-0.254987123372667</v>
      </c>
      <c r="Z82" s="123" t="n">
        <f aca="false">'Original Budget'!I98</f>
        <v>-2675.39</v>
      </c>
      <c r="AA82" s="123" t="str">
        <f aca="false">IF(ISBLANK(Actuals!I98),"",Actuals!I98)</f>
        <v/>
      </c>
      <c r="AB82" s="124" t="str">
        <f aca="false">IF(ISBLANK(Actuals!I98),"",'Original Budget'!I98-Actuals!I98)</f>
        <v/>
      </c>
      <c r="AC82" s="124" t="str">
        <f aca="false">IFERROR(IF(ISBLANK(Actuals!I98),"",('Original Budget'!I98-Actuals!I98)/ABS('Original Budget'!I98)),"")</f>
        <v/>
      </c>
      <c r="AD82" s="123" t="n">
        <f aca="false">'Original Budget'!J98</f>
        <v>-2675.39</v>
      </c>
      <c r="AE82" s="123" t="str">
        <f aca="false">IF(ISBLANK(Actuals!J98),"",Actuals!J98)</f>
        <v/>
      </c>
      <c r="AF82" s="124" t="str">
        <f aca="false">IF(ISBLANK(Actuals!J98),"",'Original Budget'!J98-Actuals!J98)</f>
        <v/>
      </c>
      <c r="AG82" s="124" t="str">
        <f aca="false">IFERROR(IF(ISBLANK(Actuals!J98),"",('Original Budget'!J98-Actuals!J98)/ABS('Original Budget'!J98)),"")</f>
        <v/>
      </c>
      <c r="AH82" s="123" t="n">
        <f aca="false">'Original Budget'!K98</f>
        <v>-2675.39</v>
      </c>
      <c r="AI82" s="123" t="str">
        <f aca="false">IF(ISBLANK(Actuals!K98),"",Actuals!K98)</f>
        <v/>
      </c>
      <c r="AJ82" s="124" t="str">
        <f aca="false">IF(ISBLANK(Actuals!K98),"",'Original Budget'!K98-Actuals!K98)</f>
        <v/>
      </c>
      <c r="AK82" s="124" t="str">
        <f aca="false">IFERROR(IF(ISBLANK(Actuals!K98),"",('Original Budget'!K98-Actuals!K98)/ABS('Original Budget'!K98)),"")</f>
        <v/>
      </c>
      <c r="AL82" s="123" t="n">
        <f aca="false">'Original Budget'!L98</f>
        <v>-2675.39</v>
      </c>
      <c r="AM82" s="123" t="str">
        <f aca="false">IF(ISBLANK(Actuals!L98),"",Actuals!L98)</f>
        <v/>
      </c>
      <c r="AN82" s="124" t="str">
        <f aca="false">IF(ISBLANK(Actuals!L98),"",'Original Budget'!L98-Actuals!L98)</f>
        <v/>
      </c>
      <c r="AO82" s="124" t="str">
        <f aca="false">IFERROR(IF(ISBLANK(Actuals!L98),"",('Original Budget'!L98-Actuals!L98)/ABS('Original Budget'!L98)),"")</f>
        <v/>
      </c>
      <c r="AP82" s="123" t="n">
        <f aca="false">'Original Budget'!M98</f>
        <v>-2675.39</v>
      </c>
      <c r="AQ82" s="123" t="str">
        <f aca="false">IF(ISBLANK(Actuals!M98),"",Actuals!M98)</f>
        <v/>
      </c>
      <c r="AR82" s="124" t="str">
        <f aca="false">IF(ISBLANK(Actuals!M98),"",'Original Budget'!M98-Actuals!M98)</f>
        <v/>
      </c>
      <c r="AS82" s="124" t="str">
        <f aca="false">IFERROR(IF(ISBLANK(Actuals!M98),"",('Original Budget'!M98-Actuals!M98)/ABS('Original Budget'!M98)),"")</f>
        <v/>
      </c>
      <c r="AT82" s="123" t="n">
        <f aca="false">'Original Budget'!N98</f>
        <v>-2675.39</v>
      </c>
      <c r="AU82" s="123" t="str">
        <f aca="false">IF(ISBLANK(Actuals!N98),"",Actuals!N98)</f>
        <v/>
      </c>
      <c r="AV82" s="124" t="str">
        <f aca="false">IF(ISBLANK(Actuals!N98),"",'Original Budget'!N98-Actuals!N98)</f>
        <v/>
      </c>
      <c r="AW82" s="124" t="str">
        <f aca="false">IFERROR(IF(ISBLANK(Actuals!N98),"",('Original Budget'!N98-Actuals!N98)/ABS('Original Budget'!N98)),"")</f>
        <v/>
      </c>
      <c r="AX82" s="125" t="n">
        <f aca="false">SUMPRODUCT((Actuals!C98:N98&lt;&gt;"")*('Original Budget'!C98:N98))</f>
        <v>-16052.35</v>
      </c>
      <c r="AY82" s="125" t="n">
        <f aca="false">SUM(Actuals!C98:N98)</f>
        <v>-18115.78</v>
      </c>
      <c r="AZ82" s="126" t="n">
        <f aca="false">AX82-AY82</f>
        <v>2063.43</v>
      </c>
    </row>
    <row r="83" customFormat="false" ht="15" hidden="false" customHeight="true" outlineLevel="0" collapsed="false">
      <c r="A83" s="122" t="s">
        <v>77</v>
      </c>
      <c r="B83" s="123" t="n">
        <f aca="false">'Original Budget'!C99</f>
        <v>-28038</v>
      </c>
      <c r="C83" s="123" t="n">
        <f aca="false">IF(ISBLANK(Actuals!C99),"",Actuals!C99)</f>
        <v>-28038</v>
      </c>
      <c r="D83" s="124" t="n">
        <f aca="false">IF(ISBLANK(Actuals!C99),"",'Original Budget'!C99-Actuals!C99)</f>
        <v>0</v>
      </c>
      <c r="E83" s="124" t="n">
        <f aca="false">IFERROR(IF(ISBLANK(Actuals!C99),"",('Original Budget'!C99-Actuals!C99)/ABS('Original Budget'!C99)),"")</f>
        <v>0</v>
      </c>
      <c r="F83" s="123" t="n">
        <f aca="false">'Original Budget'!D99</f>
        <v>-29387.5</v>
      </c>
      <c r="G83" s="123" t="n">
        <f aca="false">IF(ISBLANK(Actuals!D99),"",Actuals!D99)</f>
        <v>-29387.5</v>
      </c>
      <c r="H83" s="124" t="n">
        <f aca="false">IF(ISBLANK(Actuals!D99),"",'Original Budget'!D99-Actuals!D99)</f>
        <v>0</v>
      </c>
      <c r="I83" s="124" t="n">
        <f aca="false">IFERROR(IF(ISBLANK(Actuals!D99),"",('Original Budget'!D99-Actuals!D99)/ABS('Original Budget'!D99)),"")</f>
        <v>0</v>
      </c>
      <c r="J83" s="123" t="n">
        <f aca="false">'Original Budget'!E99</f>
        <v>-28083</v>
      </c>
      <c r="K83" s="123" t="n">
        <f aca="false">IF(ISBLANK(Actuals!E99),"",Actuals!E99)</f>
        <v>-28083</v>
      </c>
      <c r="L83" s="124" t="n">
        <f aca="false">IF(ISBLANK(Actuals!E99),"",'Original Budget'!E99-Actuals!E99)</f>
        <v>0</v>
      </c>
      <c r="M83" s="124" t="n">
        <f aca="false">IFERROR(IF(ISBLANK(Actuals!E99),"",('Original Budget'!E99-Actuals!E99)/ABS('Original Budget'!E99)),"")</f>
        <v>0</v>
      </c>
      <c r="N83" s="123" t="n">
        <f aca="false">'Original Budget'!F99</f>
        <v>-8625</v>
      </c>
      <c r="O83" s="123" t="n">
        <f aca="false">IF(ISBLANK(Actuals!F99),"",Actuals!F99)</f>
        <v>-28083</v>
      </c>
      <c r="P83" s="124" t="n">
        <f aca="false">IF(ISBLANK(Actuals!F99),"",'Original Budget'!F99-Actuals!F99)</f>
        <v>19458</v>
      </c>
      <c r="Q83" s="124" t="n">
        <f aca="false">IFERROR(IF(ISBLANK(Actuals!F99),"",('Original Budget'!F99-Actuals!F99)/ABS('Original Budget'!F99)),"")</f>
        <v>2.256</v>
      </c>
      <c r="R83" s="123" t="n">
        <f aca="false">'Original Budget'!G99</f>
        <v>-8625</v>
      </c>
      <c r="S83" s="123" t="n">
        <f aca="false">IF(ISBLANK(Actuals!G99),"",Actuals!G99)</f>
        <v>-69333</v>
      </c>
      <c r="T83" s="124" t="n">
        <f aca="false">IF(ISBLANK(Actuals!G99),"",'Original Budget'!G99-Actuals!G99)</f>
        <v>60708</v>
      </c>
      <c r="U83" s="124" t="n">
        <f aca="false">IFERROR(IF(ISBLANK(Actuals!G99),"",('Original Budget'!G99-Actuals!G99)/ABS('Original Budget'!G99)),"")</f>
        <v>7.03860869565217</v>
      </c>
      <c r="V83" s="123" t="n">
        <f aca="false">'Original Budget'!H99</f>
        <v>-8625</v>
      </c>
      <c r="W83" s="123" t="n">
        <f aca="false">IF(ISBLANK(Actuals!H99),"",Actuals!H99)</f>
        <v>-28083</v>
      </c>
      <c r="X83" s="124" t="n">
        <f aca="false">IF(ISBLANK(Actuals!H99),"",'Original Budget'!H99-Actuals!H99)</f>
        <v>19458</v>
      </c>
      <c r="Y83" s="124" t="n">
        <f aca="false">IFERROR(IF(ISBLANK(Actuals!H99),"",('Original Budget'!H99-Actuals!H99)/ABS('Original Budget'!H99)),"")</f>
        <v>2.256</v>
      </c>
      <c r="Z83" s="123" t="n">
        <f aca="false">'Original Budget'!I99</f>
        <v>-8625</v>
      </c>
      <c r="AA83" s="123" t="str">
        <f aca="false">IF(ISBLANK(Actuals!I99),"",Actuals!I99)</f>
        <v/>
      </c>
      <c r="AB83" s="124" t="str">
        <f aca="false">IF(ISBLANK(Actuals!I99),"",'Original Budget'!I99-Actuals!I99)</f>
        <v/>
      </c>
      <c r="AC83" s="124" t="str">
        <f aca="false">IFERROR(IF(ISBLANK(Actuals!I99),"",('Original Budget'!I99-Actuals!I99)/ABS('Original Budget'!I99)),"")</f>
        <v/>
      </c>
      <c r="AD83" s="123" t="n">
        <f aca="false">'Original Budget'!J99</f>
        <v>-8625</v>
      </c>
      <c r="AE83" s="123" t="str">
        <f aca="false">IF(ISBLANK(Actuals!J99),"",Actuals!J99)</f>
        <v/>
      </c>
      <c r="AF83" s="124" t="str">
        <f aca="false">IF(ISBLANK(Actuals!J99),"",'Original Budget'!J99-Actuals!J99)</f>
        <v/>
      </c>
      <c r="AG83" s="124" t="str">
        <f aca="false">IFERROR(IF(ISBLANK(Actuals!J99),"",('Original Budget'!J99-Actuals!J99)/ABS('Original Budget'!J99)),"")</f>
        <v/>
      </c>
      <c r="AH83" s="123" t="n">
        <f aca="false">'Original Budget'!K99</f>
        <v>-8625</v>
      </c>
      <c r="AI83" s="123" t="str">
        <f aca="false">IF(ISBLANK(Actuals!K99),"",Actuals!K99)</f>
        <v/>
      </c>
      <c r="AJ83" s="124" t="str">
        <f aca="false">IF(ISBLANK(Actuals!K99),"",'Original Budget'!K99-Actuals!K99)</f>
        <v/>
      </c>
      <c r="AK83" s="124" t="str">
        <f aca="false">IFERROR(IF(ISBLANK(Actuals!K99),"",('Original Budget'!K99-Actuals!K99)/ABS('Original Budget'!K99)),"")</f>
        <v/>
      </c>
      <c r="AL83" s="123" t="n">
        <f aca="false">'Original Budget'!L99</f>
        <v>-8625</v>
      </c>
      <c r="AM83" s="123" t="str">
        <f aca="false">IF(ISBLANK(Actuals!L99),"",Actuals!L99)</f>
        <v/>
      </c>
      <c r="AN83" s="124" t="str">
        <f aca="false">IF(ISBLANK(Actuals!L99),"",'Original Budget'!L99-Actuals!L99)</f>
        <v/>
      </c>
      <c r="AO83" s="124" t="str">
        <f aca="false">IFERROR(IF(ISBLANK(Actuals!L99),"",('Original Budget'!L99-Actuals!L99)/ABS('Original Budget'!L99)),"")</f>
        <v/>
      </c>
      <c r="AP83" s="123" t="n">
        <f aca="false">'Original Budget'!M99</f>
        <v>-8625</v>
      </c>
      <c r="AQ83" s="123" t="str">
        <f aca="false">IF(ISBLANK(Actuals!M99),"",Actuals!M99)</f>
        <v/>
      </c>
      <c r="AR83" s="124" t="str">
        <f aca="false">IF(ISBLANK(Actuals!M99),"",'Original Budget'!M99-Actuals!M99)</f>
        <v/>
      </c>
      <c r="AS83" s="124" t="str">
        <f aca="false">IFERROR(IF(ISBLANK(Actuals!M99),"",('Original Budget'!M99-Actuals!M99)/ABS('Original Budget'!M99)),"")</f>
        <v/>
      </c>
      <c r="AT83" s="123" t="n">
        <f aca="false">'Original Budget'!N99</f>
        <v>-8625</v>
      </c>
      <c r="AU83" s="123" t="str">
        <f aca="false">IF(ISBLANK(Actuals!N99),"",Actuals!N99)</f>
        <v/>
      </c>
      <c r="AV83" s="124" t="str">
        <f aca="false">IF(ISBLANK(Actuals!N99),"",'Original Budget'!N99-Actuals!N99)</f>
        <v/>
      </c>
      <c r="AW83" s="124" t="str">
        <f aca="false">IFERROR(IF(ISBLANK(Actuals!N99),"",('Original Budget'!N99-Actuals!N99)/ABS('Original Budget'!N99)),"")</f>
        <v/>
      </c>
      <c r="AX83" s="125" t="n">
        <f aca="false">SUMPRODUCT((Actuals!C99:N99&lt;&gt;"")*('Original Budget'!C99:N99))</f>
        <v>-111383.5</v>
      </c>
      <c r="AY83" s="125" t="n">
        <f aca="false">SUM(Actuals!C99:N99)</f>
        <v>-211007.5</v>
      </c>
      <c r="AZ83" s="126" t="n">
        <f aca="false">AX83-AY83</f>
        <v>99624</v>
      </c>
    </row>
    <row r="84" customFormat="false" ht="15" hidden="false" customHeight="true" outlineLevel="0" collapsed="false">
      <c r="A84" s="122" t="s">
        <v>123</v>
      </c>
      <c r="B84" s="123" t="n">
        <f aca="false">'Original Budget'!C100</f>
        <v>-268</v>
      </c>
      <c r="C84" s="123" t="n">
        <f aca="false">IF(ISBLANK(Actuals!C100),"",Actuals!C100)</f>
        <v>-268</v>
      </c>
      <c r="D84" s="124" t="n">
        <f aca="false">IF(ISBLANK(Actuals!C100),"",'Original Budget'!C100-Actuals!C100)</f>
        <v>0</v>
      </c>
      <c r="E84" s="124" t="n">
        <f aca="false">IFERROR(IF(ISBLANK(Actuals!C100),"",('Original Budget'!C100-Actuals!C100)/ABS('Original Budget'!C100)),"")</f>
        <v>0</v>
      </c>
      <c r="F84" s="123" t="n">
        <f aca="false">'Original Budget'!D100</f>
        <v>-2088.75</v>
      </c>
      <c r="G84" s="123" t="n">
        <f aca="false">IF(ISBLANK(Actuals!D100),"",Actuals!D100)</f>
        <v>-2088.75</v>
      </c>
      <c r="H84" s="124" t="n">
        <f aca="false">IF(ISBLANK(Actuals!D100),"",'Original Budget'!D100-Actuals!D100)</f>
        <v>0</v>
      </c>
      <c r="I84" s="124" t="n">
        <f aca="false">IFERROR(IF(ISBLANK(Actuals!D100),"",('Original Budget'!D100-Actuals!D100)/ABS('Original Budget'!D100)),"")</f>
        <v>0</v>
      </c>
      <c r="J84" s="123" t="n">
        <f aca="false">'Original Budget'!E100</f>
        <v>-2401.75</v>
      </c>
      <c r="K84" s="123" t="n">
        <f aca="false">IF(ISBLANK(Actuals!E100),"",Actuals!E100)</f>
        <v>-2401.75</v>
      </c>
      <c r="L84" s="124" t="n">
        <f aca="false">IF(ISBLANK(Actuals!E100),"",'Original Budget'!E100-Actuals!E100)</f>
        <v>0</v>
      </c>
      <c r="M84" s="124" t="n">
        <f aca="false">IFERROR(IF(ISBLANK(Actuals!E100),"",('Original Budget'!E100-Actuals!E100)/ABS('Original Budget'!E100)),"")</f>
        <v>0</v>
      </c>
      <c r="N84" s="123" t="n">
        <f aca="false">'Original Budget'!F100</f>
        <v>-1586.17</v>
      </c>
      <c r="O84" s="123" t="n">
        <f aca="false">IF(ISBLANK(Actuals!F100),"",Actuals!F100)</f>
        <v>-4209.5</v>
      </c>
      <c r="P84" s="124" t="n">
        <f aca="false">IF(ISBLANK(Actuals!F100),"",'Original Budget'!F100-Actuals!F100)</f>
        <v>2623.33</v>
      </c>
      <c r="Q84" s="124" t="n">
        <f aca="false">IFERROR(IF(ISBLANK(Actuals!F100),"",('Original Budget'!F100-Actuals!F100)/ABS('Original Budget'!F100)),"")</f>
        <v>1.65387694887685</v>
      </c>
      <c r="R84" s="123" t="n">
        <f aca="false">'Original Budget'!G100</f>
        <v>-1586.17</v>
      </c>
      <c r="S84" s="123" t="n">
        <f aca="false">IF(ISBLANK(Actuals!G100),"",Actuals!G100)</f>
        <v>-2377.59</v>
      </c>
      <c r="T84" s="124" t="n">
        <f aca="false">IF(ISBLANK(Actuals!G100),"",'Original Budget'!G100-Actuals!G100)</f>
        <v>791.42</v>
      </c>
      <c r="U84" s="124" t="n">
        <f aca="false">IFERROR(IF(ISBLANK(Actuals!G100),"",('Original Budget'!G100-Actuals!G100)/ABS('Original Budget'!G100)),"")</f>
        <v>0.498950301670061</v>
      </c>
      <c r="V84" s="123" t="n">
        <f aca="false">'Original Budget'!H100</f>
        <v>-1586.17</v>
      </c>
      <c r="W84" s="123" t="n">
        <f aca="false">IF(ISBLANK(Actuals!H100),"",Actuals!H100)</f>
        <v>-16</v>
      </c>
      <c r="X84" s="124" t="n">
        <f aca="false">IF(ISBLANK(Actuals!H100),"",'Original Budget'!H100-Actuals!H100)</f>
        <v>-1570.17</v>
      </c>
      <c r="Y84" s="124" t="n">
        <f aca="false">IFERROR(IF(ISBLANK(Actuals!H100),"",('Original Budget'!H100-Actuals!H100)/ABS('Original Budget'!H100)),"")</f>
        <v>-0.989912808841423</v>
      </c>
      <c r="Z84" s="123" t="n">
        <f aca="false">'Original Budget'!I100</f>
        <v>-1586.17</v>
      </c>
      <c r="AA84" s="123" t="str">
        <f aca="false">IF(ISBLANK(Actuals!I100),"",Actuals!I100)</f>
        <v/>
      </c>
      <c r="AB84" s="124" t="str">
        <f aca="false">IF(ISBLANK(Actuals!I100),"",'Original Budget'!I100-Actuals!I100)</f>
        <v/>
      </c>
      <c r="AC84" s="124" t="str">
        <f aca="false">IFERROR(IF(ISBLANK(Actuals!I100),"",('Original Budget'!I100-Actuals!I100)/ABS('Original Budget'!I100)),"")</f>
        <v/>
      </c>
      <c r="AD84" s="123" t="n">
        <f aca="false">'Original Budget'!J100</f>
        <v>-1586.17</v>
      </c>
      <c r="AE84" s="123" t="str">
        <f aca="false">IF(ISBLANK(Actuals!J100),"",Actuals!J100)</f>
        <v/>
      </c>
      <c r="AF84" s="124" t="str">
        <f aca="false">IF(ISBLANK(Actuals!J100),"",'Original Budget'!J100-Actuals!J100)</f>
        <v/>
      </c>
      <c r="AG84" s="124" t="str">
        <f aca="false">IFERROR(IF(ISBLANK(Actuals!J100),"",('Original Budget'!J100-Actuals!J100)/ABS('Original Budget'!J100)),"")</f>
        <v/>
      </c>
      <c r="AH84" s="123" t="n">
        <f aca="false">'Original Budget'!K100</f>
        <v>-1586.17</v>
      </c>
      <c r="AI84" s="123" t="str">
        <f aca="false">IF(ISBLANK(Actuals!K100),"",Actuals!K100)</f>
        <v/>
      </c>
      <c r="AJ84" s="124" t="str">
        <f aca="false">IF(ISBLANK(Actuals!K100),"",'Original Budget'!K100-Actuals!K100)</f>
        <v/>
      </c>
      <c r="AK84" s="124" t="str">
        <f aca="false">IFERROR(IF(ISBLANK(Actuals!K100),"",('Original Budget'!K100-Actuals!K100)/ABS('Original Budget'!K100)),"")</f>
        <v/>
      </c>
      <c r="AL84" s="123" t="n">
        <f aca="false">'Original Budget'!L100</f>
        <v>-1586.17</v>
      </c>
      <c r="AM84" s="123" t="str">
        <f aca="false">IF(ISBLANK(Actuals!L100),"",Actuals!L100)</f>
        <v/>
      </c>
      <c r="AN84" s="124" t="str">
        <f aca="false">IF(ISBLANK(Actuals!L100),"",'Original Budget'!L100-Actuals!L100)</f>
        <v/>
      </c>
      <c r="AO84" s="124" t="str">
        <f aca="false">IFERROR(IF(ISBLANK(Actuals!L100),"",('Original Budget'!L100-Actuals!L100)/ABS('Original Budget'!L100)),"")</f>
        <v/>
      </c>
      <c r="AP84" s="123" t="n">
        <f aca="false">'Original Budget'!M100</f>
        <v>-1586.17</v>
      </c>
      <c r="AQ84" s="123" t="str">
        <f aca="false">IF(ISBLANK(Actuals!M100),"",Actuals!M100)</f>
        <v/>
      </c>
      <c r="AR84" s="124" t="str">
        <f aca="false">IF(ISBLANK(Actuals!M100),"",'Original Budget'!M100-Actuals!M100)</f>
        <v/>
      </c>
      <c r="AS84" s="124" t="str">
        <f aca="false">IFERROR(IF(ISBLANK(Actuals!M100),"",('Original Budget'!M100-Actuals!M100)/ABS('Original Budget'!M100)),"")</f>
        <v/>
      </c>
      <c r="AT84" s="123" t="n">
        <f aca="false">'Original Budget'!N100</f>
        <v>-1586.17</v>
      </c>
      <c r="AU84" s="123" t="str">
        <f aca="false">IF(ISBLANK(Actuals!N100),"",Actuals!N100)</f>
        <v/>
      </c>
      <c r="AV84" s="124" t="str">
        <f aca="false">IF(ISBLANK(Actuals!N100),"",'Original Budget'!N100-Actuals!N100)</f>
        <v/>
      </c>
      <c r="AW84" s="124" t="str">
        <f aca="false">IFERROR(IF(ISBLANK(Actuals!N100),"",('Original Budget'!N100-Actuals!N100)/ABS('Original Budget'!N100)),"")</f>
        <v/>
      </c>
      <c r="AX84" s="125" t="n">
        <f aca="false">SUMPRODUCT((Actuals!C100:N100&lt;&gt;"")*('Original Budget'!C100:N100))</f>
        <v>-9517.01</v>
      </c>
      <c r="AY84" s="125" t="n">
        <f aca="false">SUM(Actuals!C100:N100)</f>
        <v>-11361.59</v>
      </c>
      <c r="AZ84" s="126" t="n">
        <f aca="false">AX84-AY84</f>
        <v>1844.58</v>
      </c>
    </row>
    <row r="85" customFormat="false" ht="15" hidden="false" customHeight="true" outlineLevel="0" collapsed="false">
      <c r="A85" s="122" t="s">
        <v>124</v>
      </c>
      <c r="B85" s="123" t="n">
        <f aca="false">'Original Budget'!C101</f>
        <v>-341.83</v>
      </c>
      <c r="C85" s="123" t="n">
        <f aca="false">IF(ISBLANK(Actuals!C101),"",Actuals!C101)</f>
        <v>-341.83</v>
      </c>
      <c r="D85" s="124" t="n">
        <f aca="false">IF(ISBLANK(Actuals!C101),"",'Original Budget'!C101-Actuals!C101)</f>
        <v>0</v>
      </c>
      <c r="E85" s="124" t="n">
        <f aca="false">IFERROR(IF(ISBLANK(Actuals!C101),"",('Original Budget'!C101-Actuals!C101)/ABS('Original Budget'!C101)),"")</f>
        <v>0</v>
      </c>
      <c r="F85" s="123" t="n">
        <f aca="false">'Original Budget'!D101</f>
        <v>-728</v>
      </c>
      <c r="G85" s="123" t="n">
        <f aca="false">IF(ISBLANK(Actuals!D101),"",Actuals!D101)</f>
        <v>-728</v>
      </c>
      <c r="H85" s="124" t="n">
        <f aca="false">IF(ISBLANK(Actuals!D101),"",'Original Budget'!D101-Actuals!D101)</f>
        <v>0</v>
      </c>
      <c r="I85" s="124" t="n">
        <f aca="false">IFERROR(IF(ISBLANK(Actuals!D101),"",('Original Budget'!D101-Actuals!D101)/ABS('Original Budget'!D101)),"")</f>
        <v>0</v>
      </c>
      <c r="J85" s="123" t="n">
        <f aca="false">'Original Budget'!E101</f>
        <v>-15256.75</v>
      </c>
      <c r="K85" s="123" t="n">
        <f aca="false">IF(ISBLANK(Actuals!E101),"",Actuals!E101)</f>
        <v>-15256.75</v>
      </c>
      <c r="L85" s="124" t="n">
        <f aca="false">IF(ISBLANK(Actuals!E101),"",'Original Budget'!E101-Actuals!E101)</f>
        <v>0</v>
      </c>
      <c r="M85" s="124" t="n">
        <f aca="false">IFERROR(IF(ISBLANK(Actuals!E101),"",('Original Budget'!E101-Actuals!E101)/ABS('Original Budget'!E101)),"")</f>
        <v>0</v>
      </c>
      <c r="N85" s="123" t="n">
        <f aca="false">'Original Budget'!F101</f>
        <v>-5442.19</v>
      </c>
      <c r="O85" s="123" t="n">
        <f aca="false">IF(ISBLANK(Actuals!F101),"",Actuals!F101)</f>
        <v>-1033.41</v>
      </c>
      <c r="P85" s="124" t="n">
        <f aca="false">IF(ISBLANK(Actuals!F101),"",'Original Budget'!F101-Actuals!F101)</f>
        <v>-4408.78</v>
      </c>
      <c r="Q85" s="124" t="n">
        <f aca="false">IFERROR(IF(ISBLANK(Actuals!F101),"",('Original Budget'!F101-Actuals!F101)/ABS('Original Budget'!F101)),"")</f>
        <v>-0.810111370606318</v>
      </c>
      <c r="R85" s="123" t="n">
        <f aca="false">'Original Budget'!G101</f>
        <v>-5442.19</v>
      </c>
      <c r="S85" s="123" t="n">
        <f aca="false">IF(ISBLANK(Actuals!G101),"",Actuals!G101)</f>
        <v>-3499</v>
      </c>
      <c r="T85" s="124" t="n">
        <f aca="false">IF(ISBLANK(Actuals!G101),"",'Original Budget'!G101-Actuals!G101)</f>
        <v>-1943.19</v>
      </c>
      <c r="U85" s="124" t="n">
        <f aca="false">IFERROR(IF(ISBLANK(Actuals!G101),"",('Original Budget'!G101-Actuals!G101)/ABS('Original Budget'!G101)),"")</f>
        <v>-0.357060301092024</v>
      </c>
      <c r="V85" s="123" t="n">
        <f aca="false">'Original Budget'!H101</f>
        <v>-5442.19</v>
      </c>
      <c r="W85" s="123" t="n">
        <f aca="false">IF(ISBLANK(Actuals!H101),"",Actuals!H101)</f>
        <v>-1033.41</v>
      </c>
      <c r="X85" s="124" t="n">
        <f aca="false">IF(ISBLANK(Actuals!H101),"",'Original Budget'!H101-Actuals!H101)</f>
        <v>-4408.78</v>
      </c>
      <c r="Y85" s="124" t="n">
        <f aca="false">IFERROR(IF(ISBLANK(Actuals!H101),"",('Original Budget'!H101-Actuals!H101)/ABS('Original Budget'!H101)),"")</f>
        <v>-0.810111370606318</v>
      </c>
      <c r="Z85" s="123" t="n">
        <f aca="false">'Original Budget'!I101</f>
        <v>-5442.19</v>
      </c>
      <c r="AA85" s="123" t="str">
        <f aca="false">IF(ISBLANK(Actuals!I101),"",Actuals!I101)</f>
        <v/>
      </c>
      <c r="AB85" s="124" t="str">
        <f aca="false">IF(ISBLANK(Actuals!I101),"",'Original Budget'!I101-Actuals!I101)</f>
        <v/>
      </c>
      <c r="AC85" s="124" t="str">
        <f aca="false">IFERROR(IF(ISBLANK(Actuals!I101),"",('Original Budget'!I101-Actuals!I101)/ABS('Original Budget'!I101)),"")</f>
        <v/>
      </c>
      <c r="AD85" s="123" t="n">
        <f aca="false">'Original Budget'!J101</f>
        <v>-5442.19</v>
      </c>
      <c r="AE85" s="123" t="str">
        <f aca="false">IF(ISBLANK(Actuals!J101),"",Actuals!J101)</f>
        <v/>
      </c>
      <c r="AF85" s="124" t="str">
        <f aca="false">IF(ISBLANK(Actuals!J101),"",'Original Budget'!J101-Actuals!J101)</f>
        <v/>
      </c>
      <c r="AG85" s="124" t="str">
        <f aca="false">IFERROR(IF(ISBLANK(Actuals!J101),"",('Original Budget'!J101-Actuals!J101)/ABS('Original Budget'!J101)),"")</f>
        <v/>
      </c>
      <c r="AH85" s="123" t="n">
        <f aca="false">'Original Budget'!K101</f>
        <v>-5442.19</v>
      </c>
      <c r="AI85" s="123" t="str">
        <f aca="false">IF(ISBLANK(Actuals!K101),"",Actuals!K101)</f>
        <v/>
      </c>
      <c r="AJ85" s="124" t="str">
        <f aca="false">IF(ISBLANK(Actuals!K101),"",'Original Budget'!K101-Actuals!K101)</f>
        <v/>
      </c>
      <c r="AK85" s="124" t="str">
        <f aca="false">IFERROR(IF(ISBLANK(Actuals!K101),"",('Original Budget'!K101-Actuals!K101)/ABS('Original Budget'!K101)),"")</f>
        <v/>
      </c>
      <c r="AL85" s="123" t="n">
        <f aca="false">'Original Budget'!L101</f>
        <v>-5442.19</v>
      </c>
      <c r="AM85" s="123" t="str">
        <f aca="false">IF(ISBLANK(Actuals!L101),"",Actuals!L101)</f>
        <v/>
      </c>
      <c r="AN85" s="124" t="str">
        <f aca="false">IF(ISBLANK(Actuals!L101),"",'Original Budget'!L101-Actuals!L101)</f>
        <v/>
      </c>
      <c r="AO85" s="124" t="str">
        <f aca="false">IFERROR(IF(ISBLANK(Actuals!L101),"",('Original Budget'!L101-Actuals!L101)/ABS('Original Budget'!L101)),"")</f>
        <v/>
      </c>
      <c r="AP85" s="123" t="n">
        <f aca="false">'Original Budget'!M101</f>
        <v>-5442.19</v>
      </c>
      <c r="AQ85" s="123" t="str">
        <f aca="false">IF(ISBLANK(Actuals!M101),"",Actuals!M101)</f>
        <v/>
      </c>
      <c r="AR85" s="124" t="str">
        <f aca="false">IF(ISBLANK(Actuals!M101),"",'Original Budget'!M101-Actuals!M101)</f>
        <v/>
      </c>
      <c r="AS85" s="124" t="str">
        <f aca="false">IFERROR(IF(ISBLANK(Actuals!M101),"",('Original Budget'!M101-Actuals!M101)/ABS('Original Budget'!M101)),"")</f>
        <v/>
      </c>
      <c r="AT85" s="123" t="n">
        <f aca="false">'Original Budget'!N101</f>
        <v>-5442.19</v>
      </c>
      <c r="AU85" s="123" t="str">
        <f aca="false">IF(ISBLANK(Actuals!N101),"",Actuals!N101)</f>
        <v/>
      </c>
      <c r="AV85" s="124" t="str">
        <f aca="false">IF(ISBLANK(Actuals!N101),"",'Original Budget'!N101-Actuals!N101)</f>
        <v/>
      </c>
      <c r="AW85" s="124" t="str">
        <f aca="false">IFERROR(IF(ISBLANK(Actuals!N101),"",('Original Budget'!N101-Actuals!N101)/ABS('Original Budget'!N101)),"")</f>
        <v/>
      </c>
      <c r="AX85" s="125" t="n">
        <f aca="false">SUMPRODUCT((Actuals!C101:N101&lt;&gt;"")*('Original Budget'!C101:N101))</f>
        <v>-32653.15</v>
      </c>
      <c r="AY85" s="125" t="n">
        <f aca="false">SUM(Actuals!C101:N101)</f>
        <v>-21892.4</v>
      </c>
      <c r="AZ85" s="126" t="n">
        <f aca="false">AX85-AY85</f>
        <v>-10760.75</v>
      </c>
    </row>
    <row r="86" customFormat="false" ht="15" hidden="false" customHeight="true" outlineLevel="0" collapsed="false">
      <c r="A86" s="122" t="s">
        <v>125</v>
      </c>
      <c r="B86" s="123" t="n">
        <f aca="false">'Original Budget'!C102</f>
        <v>-1905.31</v>
      </c>
      <c r="C86" s="123" t="n">
        <f aca="false">IF(ISBLANK(Actuals!C102),"",Actuals!C102)</f>
        <v>-1905.31</v>
      </c>
      <c r="D86" s="124" t="n">
        <f aca="false">IF(ISBLANK(Actuals!C102),"",'Original Budget'!C102-Actuals!C102)</f>
        <v>0</v>
      </c>
      <c r="E86" s="124" t="n">
        <f aca="false">IFERROR(IF(ISBLANK(Actuals!C102),"",('Original Budget'!C102-Actuals!C102)/ABS('Original Budget'!C102)),"")</f>
        <v>0</v>
      </c>
      <c r="F86" s="123" t="n">
        <f aca="false">'Original Budget'!D102</f>
        <v>-1905.31</v>
      </c>
      <c r="G86" s="123" t="n">
        <f aca="false">IF(ISBLANK(Actuals!D102),"",Actuals!D102)</f>
        <v>-1905.31</v>
      </c>
      <c r="H86" s="124" t="n">
        <f aca="false">IF(ISBLANK(Actuals!D102),"",'Original Budget'!D102-Actuals!D102)</f>
        <v>0</v>
      </c>
      <c r="I86" s="124" t="n">
        <f aca="false">IFERROR(IF(ISBLANK(Actuals!D102),"",('Original Budget'!D102-Actuals!D102)/ABS('Original Budget'!D102)),"")</f>
        <v>0</v>
      </c>
      <c r="J86" s="123" t="n">
        <f aca="false">'Original Budget'!E102</f>
        <v>-1905.31</v>
      </c>
      <c r="K86" s="123" t="n">
        <f aca="false">IF(ISBLANK(Actuals!E102),"",Actuals!E102)</f>
        <v>-1905.31</v>
      </c>
      <c r="L86" s="124" t="n">
        <f aca="false">IF(ISBLANK(Actuals!E102),"",'Original Budget'!E102-Actuals!E102)</f>
        <v>0</v>
      </c>
      <c r="M86" s="124" t="n">
        <f aca="false">IFERROR(IF(ISBLANK(Actuals!E102),"",('Original Budget'!E102-Actuals!E102)/ABS('Original Budget'!E102)),"")</f>
        <v>0</v>
      </c>
      <c r="N86" s="123" t="n">
        <f aca="false">'Original Budget'!F102</f>
        <v>-1905.31</v>
      </c>
      <c r="O86" s="123" t="n">
        <f aca="false">IF(ISBLANK(Actuals!F102),"",Actuals!F102)</f>
        <v>-1905.31</v>
      </c>
      <c r="P86" s="124" t="n">
        <f aca="false">IF(ISBLANK(Actuals!F102),"",'Original Budget'!F102-Actuals!F102)</f>
        <v>0</v>
      </c>
      <c r="Q86" s="124" t="n">
        <f aca="false">IFERROR(IF(ISBLANK(Actuals!F102),"",('Original Budget'!F102-Actuals!F102)/ABS('Original Budget'!F102)),"")</f>
        <v>0</v>
      </c>
      <c r="R86" s="123" t="n">
        <f aca="false">'Original Budget'!G102</f>
        <v>-1905.31</v>
      </c>
      <c r="S86" s="123" t="n">
        <f aca="false">IF(ISBLANK(Actuals!G102),"",Actuals!G102)</f>
        <v>-1905.31</v>
      </c>
      <c r="T86" s="124" t="n">
        <f aca="false">IF(ISBLANK(Actuals!G102),"",'Original Budget'!G102-Actuals!G102)</f>
        <v>0</v>
      </c>
      <c r="U86" s="124" t="n">
        <f aca="false">IFERROR(IF(ISBLANK(Actuals!G102),"",('Original Budget'!G102-Actuals!G102)/ABS('Original Budget'!G102)),"")</f>
        <v>0</v>
      </c>
      <c r="V86" s="123" t="n">
        <f aca="false">'Original Budget'!H102</f>
        <v>-1905.31</v>
      </c>
      <c r="W86" s="123" t="n">
        <f aca="false">IF(ISBLANK(Actuals!H102),"",Actuals!H102)</f>
        <v>-1905.31</v>
      </c>
      <c r="X86" s="124" t="n">
        <f aca="false">IF(ISBLANK(Actuals!H102),"",'Original Budget'!H102-Actuals!H102)</f>
        <v>0</v>
      </c>
      <c r="Y86" s="124" t="n">
        <f aca="false">IFERROR(IF(ISBLANK(Actuals!H102),"",('Original Budget'!H102-Actuals!H102)/ABS('Original Budget'!H102)),"")</f>
        <v>0</v>
      </c>
      <c r="Z86" s="123" t="n">
        <f aca="false">'Original Budget'!I102</f>
        <v>-1905.31</v>
      </c>
      <c r="AA86" s="123" t="str">
        <f aca="false">IF(ISBLANK(Actuals!I102),"",Actuals!I102)</f>
        <v/>
      </c>
      <c r="AB86" s="124" t="str">
        <f aca="false">IF(ISBLANK(Actuals!I102),"",'Original Budget'!I102-Actuals!I102)</f>
        <v/>
      </c>
      <c r="AC86" s="124" t="str">
        <f aca="false">IFERROR(IF(ISBLANK(Actuals!I102),"",('Original Budget'!I102-Actuals!I102)/ABS('Original Budget'!I102)),"")</f>
        <v/>
      </c>
      <c r="AD86" s="123" t="n">
        <f aca="false">'Original Budget'!J102</f>
        <v>-1905.31</v>
      </c>
      <c r="AE86" s="123" t="str">
        <f aca="false">IF(ISBLANK(Actuals!J102),"",Actuals!J102)</f>
        <v/>
      </c>
      <c r="AF86" s="124" t="str">
        <f aca="false">IF(ISBLANK(Actuals!J102),"",'Original Budget'!J102-Actuals!J102)</f>
        <v/>
      </c>
      <c r="AG86" s="124" t="str">
        <f aca="false">IFERROR(IF(ISBLANK(Actuals!J102),"",('Original Budget'!J102-Actuals!J102)/ABS('Original Budget'!J102)),"")</f>
        <v/>
      </c>
      <c r="AH86" s="123" t="n">
        <f aca="false">'Original Budget'!K102</f>
        <v>-1905.31</v>
      </c>
      <c r="AI86" s="123" t="str">
        <f aca="false">IF(ISBLANK(Actuals!K102),"",Actuals!K102)</f>
        <v/>
      </c>
      <c r="AJ86" s="124" t="str">
        <f aca="false">IF(ISBLANK(Actuals!K102),"",'Original Budget'!K102-Actuals!K102)</f>
        <v/>
      </c>
      <c r="AK86" s="124" t="str">
        <f aca="false">IFERROR(IF(ISBLANK(Actuals!K102),"",('Original Budget'!K102-Actuals!K102)/ABS('Original Budget'!K102)),"")</f>
        <v/>
      </c>
      <c r="AL86" s="123" t="n">
        <f aca="false">'Original Budget'!L102</f>
        <v>-1905.31</v>
      </c>
      <c r="AM86" s="123" t="str">
        <f aca="false">IF(ISBLANK(Actuals!L102),"",Actuals!L102)</f>
        <v/>
      </c>
      <c r="AN86" s="124" t="str">
        <f aca="false">IF(ISBLANK(Actuals!L102),"",'Original Budget'!L102-Actuals!L102)</f>
        <v/>
      </c>
      <c r="AO86" s="124" t="str">
        <f aca="false">IFERROR(IF(ISBLANK(Actuals!L102),"",('Original Budget'!L102-Actuals!L102)/ABS('Original Budget'!L102)),"")</f>
        <v/>
      </c>
      <c r="AP86" s="123" t="n">
        <f aca="false">'Original Budget'!M102</f>
        <v>-1905.31</v>
      </c>
      <c r="AQ86" s="123" t="str">
        <f aca="false">IF(ISBLANK(Actuals!M102),"",Actuals!M102)</f>
        <v/>
      </c>
      <c r="AR86" s="124" t="str">
        <f aca="false">IF(ISBLANK(Actuals!M102),"",'Original Budget'!M102-Actuals!M102)</f>
        <v/>
      </c>
      <c r="AS86" s="124" t="str">
        <f aca="false">IFERROR(IF(ISBLANK(Actuals!M102),"",('Original Budget'!M102-Actuals!M102)/ABS('Original Budget'!M102)),"")</f>
        <v/>
      </c>
      <c r="AT86" s="123" t="n">
        <f aca="false">'Original Budget'!N102</f>
        <v>-1905.31</v>
      </c>
      <c r="AU86" s="123" t="str">
        <f aca="false">IF(ISBLANK(Actuals!N102),"",Actuals!N102)</f>
        <v/>
      </c>
      <c r="AV86" s="124" t="str">
        <f aca="false">IF(ISBLANK(Actuals!N102),"",'Original Budget'!N102-Actuals!N102)</f>
        <v/>
      </c>
      <c r="AW86" s="124" t="str">
        <f aca="false">IFERROR(IF(ISBLANK(Actuals!N102),"",('Original Budget'!N102-Actuals!N102)/ABS('Original Budget'!N102)),"")</f>
        <v/>
      </c>
      <c r="AX86" s="125" t="n">
        <f aca="false">SUMPRODUCT((Actuals!C102:N102&lt;&gt;"")*('Original Budget'!C102:N102))</f>
        <v>-11431.86</v>
      </c>
      <c r="AY86" s="125" t="n">
        <f aca="false">SUM(Actuals!C102:N102)</f>
        <v>-11431.86</v>
      </c>
      <c r="AZ86" s="126" t="n">
        <f aca="false">AX86-AY86</f>
        <v>0</v>
      </c>
    </row>
    <row r="87" customFormat="false" ht="15" hidden="false" customHeight="true" outlineLevel="0" collapsed="false">
      <c r="A87" s="122" t="s">
        <v>126</v>
      </c>
      <c r="B87" s="123" t="n">
        <f aca="false">'Original Budget'!C103</f>
        <v>-2100</v>
      </c>
      <c r="C87" s="123" t="n">
        <f aca="false">IF(ISBLANK(Actuals!C103),"",Actuals!C103)</f>
        <v>-2100</v>
      </c>
      <c r="D87" s="124" t="n">
        <f aca="false">IF(ISBLANK(Actuals!C103),"",'Original Budget'!C103-Actuals!C103)</f>
        <v>0</v>
      </c>
      <c r="E87" s="124" t="n">
        <f aca="false">IFERROR(IF(ISBLANK(Actuals!C103),"",('Original Budget'!C103-Actuals!C103)/ABS('Original Budget'!C103)),"")</f>
        <v>0</v>
      </c>
      <c r="F87" s="123" t="n">
        <f aca="false">'Original Budget'!D103</f>
        <v>-2100</v>
      </c>
      <c r="G87" s="123" t="n">
        <f aca="false">IF(ISBLANK(Actuals!D103),"",Actuals!D103)</f>
        <v>-2100</v>
      </c>
      <c r="H87" s="124" t="n">
        <f aca="false">IF(ISBLANK(Actuals!D103),"",'Original Budget'!D103-Actuals!D103)</f>
        <v>0</v>
      </c>
      <c r="I87" s="124" t="n">
        <f aca="false">IFERROR(IF(ISBLANK(Actuals!D103),"",('Original Budget'!D103-Actuals!D103)/ABS('Original Budget'!D103)),"")</f>
        <v>0</v>
      </c>
      <c r="J87" s="123" t="n">
        <f aca="false">'Original Budget'!E103</f>
        <v>-2100</v>
      </c>
      <c r="K87" s="123" t="n">
        <f aca="false">IF(ISBLANK(Actuals!E103),"",Actuals!E103)</f>
        <v>-2100</v>
      </c>
      <c r="L87" s="124" t="n">
        <f aca="false">IF(ISBLANK(Actuals!E103),"",'Original Budget'!E103-Actuals!E103)</f>
        <v>0</v>
      </c>
      <c r="M87" s="124" t="n">
        <f aca="false">IFERROR(IF(ISBLANK(Actuals!E103),"",('Original Budget'!E103-Actuals!E103)/ABS('Original Budget'!E103)),"")</f>
        <v>0</v>
      </c>
      <c r="N87" s="123" t="n">
        <f aca="false">'Original Budget'!F103</f>
        <v>-2100</v>
      </c>
      <c r="O87" s="123" t="n">
        <f aca="false">IF(ISBLANK(Actuals!F103),"",Actuals!F103)</f>
        <v>-2100</v>
      </c>
      <c r="P87" s="124" t="n">
        <f aca="false">IF(ISBLANK(Actuals!F103),"",'Original Budget'!F103-Actuals!F103)</f>
        <v>0</v>
      </c>
      <c r="Q87" s="124" t="n">
        <f aca="false">IFERROR(IF(ISBLANK(Actuals!F103),"",('Original Budget'!F103-Actuals!F103)/ABS('Original Budget'!F103)),"")</f>
        <v>0</v>
      </c>
      <c r="R87" s="123" t="n">
        <f aca="false">'Original Budget'!G103</f>
        <v>-2100</v>
      </c>
      <c r="S87" s="123" t="n">
        <f aca="false">IF(ISBLANK(Actuals!G103),"",Actuals!G103)</f>
        <v>-2100</v>
      </c>
      <c r="T87" s="124" t="n">
        <f aca="false">IF(ISBLANK(Actuals!G103),"",'Original Budget'!G103-Actuals!G103)</f>
        <v>0</v>
      </c>
      <c r="U87" s="124" t="n">
        <f aca="false">IFERROR(IF(ISBLANK(Actuals!G103),"",('Original Budget'!G103-Actuals!G103)/ABS('Original Budget'!G103)),"")</f>
        <v>0</v>
      </c>
      <c r="V87" s="123" t="n">
        <f aca="false">'Original Budget'!H103</f>
        <v>-2100</v>
      </c>
      <c r="W87" s="123" t="n">
        <f aca="false">IF(ISBLANK(Actuals!H103),"",Actuals!H103)</f>
        <v>-2100</v>
      </c>
      <c r="X87" s="124" t="n">
        <f aca="false">IF(ISBLANK(Actuals!H103),"",'Original Budget'!H103-Actuals!H103)</f>
        <v>0</v>
      </c>
      <c r="Y87" s="124" t="n">
        <f aca="false">IFERROR(IF(ISBLANK(Actuals!H103),"",('Original Budget'!H103-Actuals!H103)/ABS('Original Budget'!H103)),"")</f>
        <v>0</v>
      </c>
      <c r="Z87" s="123" t="n">
        <f aca="false">'Original Budget'!I103</f>
        <v>-2100</v>
      </c>
      <c r="AA87" s="123" t="str">
        <f aca="false">IF(ISBLANK(Actuals!I103),"",Actuals!I103)</f>
        <v/>
      </c>
      <c r="AB87" s="124" t="str">
        <f aca="false">IF(ISBLANK(Actuals!I103),"",'Original Budget'!I103-Actuals!I103)</f>
        <v/>
      </c>
      <c r="AC87" s="124" t="str">
        <f aca="false">IFERROR(IF(ISBLANK(Actuals!I103),"",('Original Budget'!I103-Actuals!I103)/ABS('Original Budget'!I103)),"")</f>
        <v/>
      </c>
      <c r="AD87" s="123" t="n">
        <f aca="false">'Original Budget'!J103</f>
        <v>-2100</v>
      </c>
      <c r="AE87" s="123" t="str">
        <f aca="false">IF(ISBLANK(Actuals!J103),"",Actuals!J103)</f>
        <v/>
      </c>
      <c r="AF87" s="124" t="str">
        <f aca="false">IF(ISBLANK(Actuals!J103),"",'Original Budget'!J103-Actuals!J103)</f>
        <v/>
      </c>
      <c r="AG87" s="124" t="str">
        <f aca="false">IFERROR(IF(ISBLANK(Actuals!J103),"",('Original Budget'!J103-Actuals!J103)/ABS('Original Budget'!J103)),"")</f>
        <v/>
      </c>
      <c r="AH87" s="123" t="n">
        <f aca="false">'Original Budget'!K103</f>
        <v>-2100</v>
      </c>
      <c r="AI87" s="123" t="str">
        <f aca="false">IF(ISBLANK(Actuals!K103),"",Actuals!K103)</f>
        <v/>
      </c>
      <c r="AJ87" s="124" t="str">
        <f aca="false">IF(ISBLANK(Actuals!K103),"",'Original Budget'!K103-Actuals!K103)</f>
        <v/>
      </c>
      <c r="AK87" s="124" t="str">
        <f aca="false">IFERROR(IF(ISBLANK(Actuals!K103),"",('Original Budget'!K103-Actuals!K103)/ABS('Original Budget'!K103)),"")</f>
        <v/>
      </c>
      <c r="AL87" s="123" t="n">
        <f aca="false">'Original Budget'!L103</f>
        <v>-2100</v>
      </c>
      <c r="AM87" s="123" t="str">
        <f aca="false">IF(ISBLANK(Actuals!L103),"",Actuals!L103)</f>
        <v/>
      </c>
      <c r="AN87" s="124" t="str">
        <f aca="false">IF(ISBLANK(Actuals!L103),"",'Original Budget'!L103-Actuals!L103)</f>
        <v/>
      </c>
      <c r="AO87" s="124" t="str">
        <f aca="false">IFERROR(IF(ISBLANK(Actuals!L103),"",('Original Budget'!L103-Actuals!L103)/ABS('Original Budget'!L103)),"")</f>
        <v/>
      </c>
      <c r="AP87" s="123" t="n">
        <f aca="false">'Original Budget'!M103</f>
        <v>-2100</v>
      </c>
      <c r="AQ87" s="123" t="str">
        <f aca="false">IF(ISBLANK(Actuals!M103),"",Actuals!M103)</f>
        <v/>
      </c>
      <c r="AR87" s="124" t="str">
        <f aca="false">IF(ISBLANK(Actuals!M103),"",'Original Budget'!M103-Actuals!M103)</f>
        <v/>
      </c>
      <c r="AS87" s="124" t="str">
        <f aca="false">IFERROR(IF(ISBLANK(Actuals!M103),"",('Original Budget'!M103-Actuals!M103)/ABS('Original Budget'!M103)),"")</f>
        <v/>
      </c>
      <c r="AT87" s="123" t="n">
        <f aca="false">'Original Budget'!N103</f>
        <v>-2100</v>
      </c>
      <c r="AU87" s="123" t="str">
        <f aca="false">IF(ISBLANK(Actuals!N103),"",Actuals!N103)</f>
        <v/>
      </c>
      <c r="AV87" s="124" t="str">
        <f aca="false">IF(ISBLANK(Actuals!N103),"",'Original Budget'!N103-Actuals!N103)</f>
        <v/>
      </c>
      <c r="AW87" s="124" t="str">
        <f aca="false">IFERROR(IF(ISBLANK(Actuals!N103),"",('Original Budget'!N103-Actuals!N103)/ABS('Original Budget'!N103)),"")</f>
        <v/>
      </c>
      <c r="AX87" s="125" t="n">
        <f aca="false">SUMPRODUCT((Actuals!C103:N103&lt;&gt;"")*('Original Budget'!C103:N103))</f>
        <v>-12600</v>
      </c>
      <c r="AY87" s="125" t="n">
        <f aca="false">SUM(Actuals!C103:N103)</f>
        <v>-12600</v>
      </c>
      <c r="AZ87" s="126" t="n">
        <f aca="false">AX87-AY87</f>
        <v>0</v>
      </c>
    </row>
    <row r="88" customFormat="false" ht="15" hidden="false" customHeight="true" outlineLevel="0" collapsed="false">
      <c r="A88" s="122" t="s">
        <v>80</v>
      </c>
      <c r="B88" s="123" t="n">
        <f aca="false">'Original Budget'!C104</f>
        <v>-66666.66</v>
      </c>
      <c r="C88" s="123" t="n">
        <f aca="false">IF(ISBLANK(Actuals!C104),"",Actuals!C104)</f>
        <v>-66666.66</v>
      </c>
      <c r="D88" s="124" t="n">
        <f aca="false">IF(ISBLANK(Actuals!C104),"",'Original Budget'!C104-Actuals!C104)</f>
        <v>0</v>
      </c>
      <c r="E88" s="124" t="n">
        <f aca="false">IFERROR(IF(ISBLANK(Actuals!C104),"",('Original Budget'!C104-Actuals!C104)/ABS('Original Budget'!C104)),"")</f>
        <v>0</v>
      </c>
      <c r="F88" s="123" t="n">
        <f aca="false">'Original Budget'!D104</f>
        <v>-66666.66</v>
      </c>
      <c r="G88" s="123" t="n">
        <f aca="false">IF(ISBLANK(Actuals!D104),"",Actuals!D104)</f>
        <v>-66666.66</v>
      </c>
      <c r="H88" s="124" t="n">
        <f aca="false">IF(ISBLANK(Actuals!D104),"",'Original Budget'!D104-Actuals!D104)</f>
        <v>0</v>
      </c>
      <c r="I88" s="124" t="n">
        <f aca="false">IFERROR(IF(ISBLANK(Actuals!D104),"",('Original Budget'!D104-Actuals!D104)/ABS('Original Budget'!D104)),"")</f>
        <v>0</v>
      </c>
      <c r="J88" s="123" t="n">
        <f aca="false">'Original Budget'!E104</f>
        <v>-66666.66</v>
      </c>
      <c r="K88" s="123" t="n">
        <f aca="false">IF(ISBLANK(Actuals!E104),"",Actuals!E104)</f>
        <v>-66666.66</v>
      </c>
      <c r="L88" s="124" t="n">
        <f aca="false">IF(ISBLANK(Actuals!E104),"",'Original Budget'!E104-Actuals!E104)</f>
        <v>0</v>
      </c>
      <c r="M88" s="124" t="n">
        <f aca="false">IFERROR(IF(ISBLANK(Actuals!E104),"",('Original Budget'!E104-Actuals!E104)/ABS('Original Budget'!E104)),"")</f>
        <v>0</v>
      </c>
      <c r="N88" s="123" t="n">
        <f aca="false">'Original Budget'!F104</f>
        <v>-25000</v>
      </c>
      <c r="O88" s="123" t="n">
        <f aca="false">IF(ISBLANK(Actuals!F104),"",Actuals!F104)</f>
        <v>-66666.66</v>
      </c>
      <c r="P88" s="124" t="n">
        <f aca="false">IF(ISBLANK(Actuals!F104),"",'Original Budget'!F104-Actuals!F104)</f>
        <v>41666.66</v>
      </c>
      <c r="Q88" s="124" t="n">
        <f aca="false">IFERROR(IF(ISBLANK(Actuals!F104),"",('Original Budget'!F104-Actuals!F104)/ABS('Original Budget'!F104)),"")</f>
        <v>1.6666664</v>
      </c>
      <c r="R88" s="123" t="n">
        <f aca="false">'Original Budget'!G104</f>
        <v>-25000</v>
      </c>
      <c r="S88" s="123" t="n">
        <f aca="false">IF(ISBLANK(Actuals!G104),"",Actuals!G104)</f>
        <v>-66666.66</v>
      </c>
      <c r="T88" s="124" t="n">
        <f aca="false">IF(ISBLANK(Actuals!G104),"",'Original Budget'!G104-Actuals!G104)</f>
        <v>41666.66</v>
      </c>
      <c r="U88" s="124" t="n">
        <f aca="false">IFERROR(IF(ISBLANK(Actuals!G104),"",('Original Budget'!G104-Actuals!G104)/ABS('Original Budget'!G104)),"")</f>
        <v>1.6666664</v>
      </c>
      <c r="V88" s="123" t="n">
        <f aca="false">'Original Budget'!H104</f>
        <v>-25000</v>
      </c>
      <c r="W88" s="123" t="n">
        <f aca="false">IF(ISBLANK(Actuals!H104),"",Actuals!H104)</f>
        <v>-66666.66</v>
      </c>
      <c r="X88" s="124" t="n">
        <f aca="false">IF(ISBLANK(Actuals!H104),"",'Original Budget'!H104-Actuals!H104)</f>
        <v>41666.66</v>
      </c>
      <c r="Y88" s="124" t="n">
        <f aca="false">IFERROR(IF(ISBLANK(Actuals!H104),"",('Original Budget'!H104-Actuals!H104)/ABS('Original Budget'!H104)),"")</f>
        <v>1.6666664</v>
      </c>
      <c r="Z88" s="123" t="n">
        <f aca="false">'Original Budget'!I104</f>
        <v>-25000</v>
      </c>
      <c r="AA88" s="123" t="str">
        <f aca="false">IF(ISBLANK(Actuals!I104),"",Actuals!I104)</f>
        <v/>
      </c>
      <c r="AB88" s="124" t="str">
        <f aca="false">IF(ISBLANK(Actuals!I104),"",'Original Budget'!I104-Actuals!I104)</f>
        <v/>
      </c>
      <c r="AC88" s="124" t="str">
        <f aca="false">IFERROR(IF(ISBLANK(Actuals!I104),"",('Original Budget'!I104-Actuals!I104)/ABS('Original Budget'!I104)),"")</f>
        <v/>
      </c>
      <c r="AD88" s="123" t="n">
        <f aca="false">'Original Budget'!J104</f>
        <v>-25000</v>
      </c>
      <c r="AE88" s="123" t="str">
        <f aca="false">IF(ISBLANK(Actuals!J104),"",Actuals!J104)</f>
        <v/>
      </c>
      <c r="AF88" s="124" t="str">
        <f aca="false">IF(ISBLANK(Actuals!J104),"",'Original Budget'!J104-Actuals!J104)</f>
        <v/>
      </c>
      <c r="AG88" s="124" t="str">
        <f aca="false">IFERROR(IF(ISBLANK(Actuals!J104),"",('Original Budget'!J104-Actuals!J104)/ABS('Original Budget'!J104)),"")</f>
        <v/>
      </c>
      <c r="AH88" s="123" t="n">
        <f aca="false">'Original Budget'!K104</f>
        <v>-25000</v>
      </c>
      <c r="AI88" s="123" t="str">
        <f aca="false">IF(ISBLANK(Actuals!K104),"",Actuals!K104)</f>
        <v/>
      </c>
      <c r="AJ88" s="124" t="str">
        <f aca="false">IF(ISBLANK(Actuals!K104),"",'Original Budget'!K104-Actuals!K104)</f>
        <v/>
      </c>
      <c r="AK88" s="124" t="str">
        <f aca="false">IFERROR(IF(ISBLANK(Actuals!K104),"",('Original Budget'!K104-Actuals!K104)/ABS('Original Budget'!K104)),"")</f>
        <v/>
      </c>
      <c r="AL88" s="123" t="n">
        <f aca="false">'Original Budget'!L104</f>
        <v>-25000</v>
      </c>
      <c r="AM88" s="123" t="str">
        <f aca="false">IF(ISBLANK(Actuals!L104),"",Actuals!L104)</f>
        <v/>
      </c>
      <c r="AN88" s="124" t="str">
        <f aca="false">IF(ISBLANK(Actuals!L104),"",'Original Budget'!L104-Actuals!L104)</f>
        <v/>
      </c>
      <c r="AO88" s="124" t="str">
        <f aca="false">IFERROR(IF(ISBLANK(Actuals!L104),"",('Original Budget'!L104-Actuals!L104)/ABS('Original Budget'!L104)),"")</f>
        <v/>
      </c>
      <c r="AP88" s="123" t="n">
        <f aca="false">'Original Budget'!M104</f>
        <v>-25000</v>
      </c>
      <c r="AQ88" s="123" t="str">
        <f aca="false">IF(ISBLANK(Actuals!M104),"",Actuals!M104)</f>
        <v/>
      </c>
      <c r="AR88" s="124" t="str">
        <f aca="false">IF(ISBLANK(Actuals!M104),"",'Original Budget'!M104-Actuals!M104)</f>
        <v/>
      </c>
      <c r="AS88" s="124" t="str">
        <f aca="false">IFERROR(IF(ISBLANK(Actuals!M104),"",('Original Budget'!M104-Actuals!M104)/ABS('Original Budget'!M104)),"")</f>
        <v/>
      </c>
      <c r="AT88" s="123" t="n">
        <f aca="false">'Original Budget'!N104</f>
        <v>-25000</v>
      </c>
      <c r="AU88" s="123" t="str">
        <f aca="false">IF(ISBLANK(Actuals!N104),"",Actuals!N104)</f>
        <v/>
      </c>
      <c r="AV88" s="124" t="str">
        <f aca="false">IF(ISBLANK(Actuals!N104),"",'Original Budget'!N104-Actuals!N104)</f>
        <v/>
      </c>
      <c r="AW88" s="124" t="str">
        <f aca="false">IFERROR(IF(ISBLANK(Actuals!N104),"",('Original Budget'!N104-Actuals!N104)/ABS('Original Budget'!N104)),"")</f>
        <v/>
      </c>
      <c r="AX88" s="125" t="n">
        <f aca="false">SUMPRODUCT((Actuals!C104:N104&lt;&gt;"")*('Original Budget'!C104:N104))</f>
        <v>-274999.98</v>
      </c>
      <c r="AY88" s="125" t="n">
        <f aca="false">SUM(Actuals!C104:N104)</f>
        <v>-399999.96</v>
      </c>
      <c r="AZ88" s="126" t="n">
        <f aca="false">AX88-AY88</f>
        <v>124999.98</v>
      </c>
    </row>
    <row r="89" customFormat="false" ht="15" hidden="false" customHeight="true" outlineLevel="0" collapsed="false">
      <c r="A89" s="122" t="s">
        <v>88</v>
      </c>
      <c r="B89" s="123" t="n">
        <f aca="false">'Original Budget'!C105</f>
        <v>-4731.96</v>
      </c>
      <c r="C89" s="123" t="n">
        <f aca="false">IF(ISBLANK(Actuals!C105),"",Actuals!C105)</f>
        <v>-6935.84</v>
      </c>
      <c r="D89" s="124" t="n">
        <f aca="false">IF(ISBLANK(Actuals!C105),"",'Original Budget'!C105-Actuals!C105)</f>
        <v>2203.88</v>
      </c>
      <c r="E89" s="124" t="n">
        <f aca="false">IFERROR(IF(ISBLANK(Actuals!C105),"",('Original Budget'!C105-Actuals!C105)/ABS('Original Budget'!C105)),"")</f>
        <v>0.465743581940676</v>
      </c>
      <c r="F89" s="123" t="n">
        <f aca="false">'Original Budget'!D105</f>
        <v>-5</v>
      </c>
      <c r="G89" s="123" t="n">
        <f aca="false">IF(ISBLANK(Actuals!D105),"",Actuals!D105)</f>
        <v>-2799.88</v>
      </c>
      <c r="H89" s="124" t="n">
        <f aca="false">IF(ISBLANK(Actuals!D105),"",'Original Budget'!D105-Actuals!D105)</f>
        <v>2794.88</v>
      </c>
      <c r="I89" s="124" t="n">
        <f aca="false">IFERROR(IF(ISBLANK(Actuals!D105),"",('Original Budget'!D105-Actuals!D105)/ABS('Original Budget'!D105)),"")</f>
        <v>558.976</v>
      </c>
      <c r="J89" s="123" t="n">
        <f aca="false">'Original Budget'!E105</f>
        <v>-5</v>
      </c>
      <c r="K89" s="123" t="n">
        <f aca="false">IF(ISBLANK(Actuals!E105),"",Actuals!E105)</f>
        <v>-12899.88</v>
      </c>
      <c r="L89" s="124" t="n">
        <f aca="false">IF(ISBLANK(Actuals!E105),"",'Original Budget'!E105-Actuals!E105)</f>
        <v>12894.88</v>
      </c>
      <c r="M89" s="124" t="n">
        <f aca="false">IFERROR(IF(ISBLANK(Actuals!E105),"",('Original Budget'!E105-Actuals!E105)/ABS('Original Budget'!E105)),"")</f>
        <v>2578.976</v>
      </c>
      <c r="N89" s="123" t="n">
        <f aca="false">'Original Budget'!F105</f>
        <v>-1580.65</v>
      </c>
      <c r="O89" s="123" t="n">
        <f aca="false">IF(ISBLANK(Actuals!F105),"",Actuals!F105)</f>
        <v>-2932.88</v>
      </c>
      <c r="P89" s="124" t="n">
        <f aca="false">IF(ISBLANK(Actuals!F105),"",'Original Budget'!F105-Actuals!F105)</f>
        <v>1352.23</v>
      </c>
      <c r="Q89" s="124" t="n">
        <f aca="false">IFERROR(IF(ISBLANK(Actuals!F105),"",('Original Budget'!F105-Actuals!F105)/ABS('Original Budget'!F105)),"")</f>
        <v>0.855489830133173</v>
      </c>
      <c r="R89" s="123" t="n">
        <f aca="false">'Original Budget'!G105</f>
        <v>-1580.65</v>
      </c>
      <c r="S89" s="123" t="n">
        <f aca="false">IF(ISBLANK(Actuals!G105),"",Actuals!G105)</f>
        <v>-5474.88</v>
      </c>
      <c r="T89" s="124" t="n">
        <f aca="false">IF(ISBLANK(Actuals!G105),"",'Original Budget'!G105-Actuals!G105)</f>
        <v>3894.23</v>
      </c>
      <c r="U89" s="124" t="n">
        <f aca="false">IFERROR(IF(ISBLANK(Actuals!G105),"",('Original Budget'!G105-Actuals!G105)/ABS('Original Budget'!G105)),"")</f>
        <v>2.46368898870718</v>
      </c>
      <c r="V89" s="123" t="n">
        <f aca="false">'Original Budget'!H105</f>
        <v>-1580.65</v>
      </c>
      <c r="W89" s="123" t="n">
        <f aca="false">IF(ISBLANK(Actuals!H105),"",Actuals!H105)</f>
        <v>-5</v>
      </c>
      <c r="X89" s="124" t="n">
        <f aca="false">IF(ISBLANK(Actuals!H105),"",'Original Budget'!H105-Actuals!H105)</f>
        <v>-1575.65</v>
      </c>
      <c r="Y89" s="124" t="n">
        <f aca="false">IFERROR(IF(ISBLANK(Actuals!H105),"",('Original Budget'!H105-Actuals!H105)/ABS('Original Budget'!H105)),"")</f>
        <v>-0.996836744377313</v>
      </c>
      <c r="Z89" s="123" t="n">
        <f aca="false">'Original Budget'!I105</f>
        <v>-1580.65</v>
      </c>
      <c r="AA89" s="123" t="str">
        <f aca="false">IF(ISBLANK(Actuals!I105),"",Actuals!I105)</f>
        <v/>
      </c>
      <c r="AB89" s="124" t="str">
        <f aca="false">IF(ISBLANK(Actuals!I105),"",'Original Budget'!I105-Actuals!I105)</f>
        <v/>
      </c>
      <c r="AC89" s="124" t="str">
        <f aca="false">IFERROR(IF(ISBLANK(Actuals!I105),"",('Original Budget'!I105-Actuals!I105)/ABS('Original Budget'!I105)),"")</f>
        <v/>
      </c>
      <c r="AD89" s="123" t="n">
        <f aca="false">'Original Budget'!J105</f>
        <v>-1580.65</v>
      </c>
      <c r="AE89" s="123" t="str">
        <f aca="false">IF(ISBLANK(Actuals!J105),"",Actuals!J105)</f>
        <v/>
      </c>
      <c r="AF89" s="124" t="str">
        <f aca="false">IF(ISBLANK(Actuals!J105),"",'Original Budget'!J105-Actuals!J105)</f>
        <v/>
      </c>
      <c r="AG89" s="124" t="str">
        <f aca="false">IFERROR(IF(ISBLANK(Actuals!J105),"",('Original Budget'!J105-Actuals!J105)/ABS('Original Budget'!J105)),"")</f>
        <v/>
      </c>
      <c r="AH89" s="123" t="n">
        <f aca="false">'Original Budget'!K105</f>
        <v>-1580.65</v>
      </c>
      <c r="AI89" s="123" t="str">
        <f aca="false">IF(ISBLANK(Actuals!K105),"",Actuals!K105)</f>
        <v/>
      </c>
      <c r="AJ89" s="124" t="str">
        <f aca="false">IF(ISBLANK(Actuals!K105),"",'Original Budget'!K105-Actuals!K105)</f>
        <v/>
      </c>
      <c r="AK89" s="124" t="str">
        <f aca="false">IFERROR(IF(ISBLANK(Actuals!K105),"",('Original Budget'!K105-Actuals!K105)/ABS('Original Budget'!K105)),"")</f>
        <v/>
      </c>
      <c r="AL89" s="123" t="n">
        <f aca="false">'Original Budget'!L105</f>
        <v>-1580.65</v>
      </c>
      <c r="AM89" s="123" t="str">
        <f aca="false">IF(ISBLANK(Actuals!L105),"",Actuals!L105)</f>
        <v/>
      </c>
      <c r="AN89" s="124" t="str">
        <f aca="false">IF(ISBLANK(Actuals!L105),"",'Original Budget'!L105-Actuals!L105)</f>
        <v/>
      </c>
      <c r="AO89" s="124" t="str">
        <f aca="false">IFERROR(IF(ISBLANK(Actuals!L105),"",('Original Budget'!L105-Actuals!L105)/ABS('Original Budget'!L105)),"")</f>
        <v/>
      </c>
      <c r="AP89" s="123" t="n">
        <f aca="false">'Original Budget'!M105</f>
        <v>-1580.65</v>
      </c>
      <c r="AQ89" s="123" t="str">
        <f aca="false">IF(ISBLANK(Actuals!M105),"",Actuals!M105)</f>
        <v/>
      </c>
      <c r="AR89" s="124" t="str">
        <f aca="false">IF(ISBLANK(Actuals!M105),"",'Original Budget'!M105-Actuals!M105)</f>
        <v/>
      </c>
      <c r="AS89" s="124" t="str">
        <f aca="false">IFERROR(IF(ISBLANK(Actuals!M105),"",('Original Budget'!M105-Actuals!M105)/ABS('Original Budget'!M105)),"")</f>
        <v/>
      </c>
      <c r="AT89" s="123" t="n">
        <f aca="false">'Original Budget'!N105</f>
        <v>-1580.65</v>
      </c>
      <c r="AU89" s="123" t="str">
        <f aca="false">IF(ISBLANK(Actuals!N105),"",Actuals!N105)</f>
        <v/>
      </c>
      <c r="AV89" s="124" t="str">
        <f aca="false">IF(ISBLANK(Actuals!N105),"",'Original Budget'!N105-Actuals!N105)</f>
        <v/>
      </c>
      <c r="AW89" s="124" t="str">
        <f aca="false">IFERROR(IF(ISBLANK(Actuals!N105),"",('Original Budget'!N105-Actuals!N105)/ABS('Original Budget'!N105)),"")</f>
        <v/>
      </c>
      <c r="AX89" s="125" t="n">
        <f aca="false">SUMPRODUCT((Actuals!C105:N105&lt;&gt;"")*('Original Budget'!C105:N105))</f>
        <v>-9483.91</v>
      </c>
      <c r="AY89" s="125" t="n">
        <f aca="false">SUM(Actuals!C105:N105)</f>
        <v>-31048.36</v>
      </c>
      <c r="AZ89" s="126" t="n">
        <f aca="false">AX89-AY89</f>
        <v>21564.45</v>
      </c>
    </row>
    <row r="90" customFormat="false" ht="15" hidden="false" customHeight="true" outlineLevel="0" collapsed="false">
      <c r="A90" s="122" t="s">
        <v>89</v>
      </c>
      <c r="B90" s="123" t="n">
        <f aca="false">'Original Budget'!C106</f>
        <v>-658.14</v>
      </c>
      <c r="C90" s="123" t="n">
        <f aca="false">IF(ISBLANK(Actuals!C106),"",Actuals!C106)</f>
        <v>-658.14</v>
      </c>
      <c r="D90" s="124" t="n">
        <f aca="false">IF(ISBLANK(Actuals!C106),"",'Original Budget'!C106-Actuals!C106)</f>
        <v>0</v>
      </c>
      <c r="E90" s="124" t="n">
        <f aca="false">IFERROR(IF(ISBLANK(Actuals!C106),"",('Original Budget'!C106-Actuals!C106)/ABS('Original Budget'!C106)),"")</f>
        <v>0</v>
      </c>
      <c r="F90" s="123" t="n">
        <f aca="false">'Original Budget'!D106</f>
        <v>-310</v>
      </c>
      <c r="G90" s="123" t="n">
        <f aca="false">IF(ISBLANK(Actuals!D106),"",Actuals!D106)</f>
        <v>-310</v>
      </c>
      <c r="H90" s="124" t="n">
        <f aca="false">IF(ISBLANK(Actuals!D106),"",'Original Budget'!D106-Actuals!D106)</f>
        <v>0</v>
      </c>
      <c r="I90" s="124" t="n">
        <f aca="false">IFERROR(IF(ISBLANK(Actuals!D106),"",('Original Budget'!D106-Actuals!D106)/ABS('Original Budget'!D106)),"")</f>
        <v>0</v>
      </c>
      <c r="J90" s="123" t="n">
        <f aca="false">'Original Budget'!E106</f>
        <v>-371.74</v>
      </c>
      <c r="K90" s="123" t="n">
        <f aca="false">IF(ISBLANK(Actuals!E106),"",Actuals!E106)</f>
        <v>-371.74</v>
      </c>
      <c r="L90" s="124" t="n">
        <f aca="false">IF(ISBLANK(Actuals!E106),"",'Original Budget'!E106-Actuals!E106)</f>
        <v>0</v>
      </c>
      <c r="M90" s="124" t="n">
        <f aca="false">IFERROR(IF(ISBLANK(Actuals!E106),"",('Original Budget'!E106-Actuals!E106)/ABS('Original Budget'!E106)),"")</f>
        <v>0</v>
      </c>
      <c r="N90" s="123" t="n">
        <f aca="false">'Original Budget'!F106</f>
        <v>-446.63</v>
      </c>
      <c r="O90" s="123" t="n">
        <f aca="false">IF(ISBLANK(Actuals!F106),"",Actuals!F106)</f>
        <v>-857.33</v>
      </c>
      <c r="P90" s="124" t="n">
        <f aca="false">IF(ISBLANK(Actuals!F106),"",'Original Budget'!F106-Actuals!F106)</f>
        <v>410.7</v>
      </c>
      <c r="Q90" s="124" t="n">
        <f aca="false">IFERROR(IF(ISBLANK(Actuals!F106),"",('Original Budget'!F106-Actuals!F106)/ABS('Original Budget'!F106)),"")</f>
        <v>0.919553097642344</v>
      </c>
      <c r="R90" s="123" t="n">
        <f aca="false">'Original Budget'!G106</f>
        <v>-446.63</v>
      </c>
      <c r="S90" s="123" t="n">
        <f aca="false">IF(ISBLANK(Actuals!G106),"",Actuals!G106)</f>
        <v>-305</v>
      </c>
      <c r="T90" s="124" t="n">
        <f aca="false">IF(ISBLANK(Actuals!G106),"",'Original Budget'!G106-Actuals!G106)</f>
        <v>-141.63</v>
      </c>
      <c r="U90" s="124" t="n">
        <f aca="false">IFERROR(IF(ISBLANK(Actuals!G106),"",('Original Budget'!G106-Actuals!G106)/ABS('Original Budget'!G106)),"")</f>
        <v>-0.317108120815888</v>
      </c>
      <c r="V90" s="123" t="n">
        <f aca="false">'Original Budget'!H106</f>
        <v>-446.63</v>
      </c>
      <c r="W90" s="123" t="n">
        <f aca="false">IF(ISBLANK(Actuals!H106),"",Actuals!H106)</f>
        <v>-352.5</v>
      </c>
      <c r="X90" s="124" t="n">
        <f aca="false">IF(ISBLANK(Actuals!H106),"",'Original Budget'!H106-Actuals!H106)</f>
        <v>-94.13</v>
      </c>
      <c r="Y90" s="124" t="n">
        <f aca="false">IFERROR(IF(ISBLANK(Actuals!H106),"",('Original Budget'!H106-Actuals!H106)/ABS('Original Budget'!H106)),"")</f>
        <v>-0.210756106844592</v>
      </c>
      <c r="Z90" s="123" t="n">
        <f aca="false">'Original Budget'!I106</f>
        <v>-446.63</v>
      </c>
      <c r="AA90" s="123" t="str">
        <f aca="false">IF(ISBLANK(Actuals!I106),"",Actuals!I106)</f>
        <v/>
      </c>
      <c r="AB90" s="124" t="str">
        <f aca="false">IF(ISBLANK(Actuals!I106),"",'Original Budget'!I106-Actuals!I106)</f>
        <v/>
      </c>
      <c r="AC90" s="124" t="str">
        <f aca="false">IFERROR(IF(ISBLANK(Actuals!I106),"",('Original Budget'!I106-Actuals!I106)/ABS('Original Budget'!I106)),"")</f>
        <v/>
      </c>
      <c r="AD90" s="123" t="n">
        <f aca="false">'Original Budget'!J106</f>
        <v>-446.63</v>
      </c>
      <c r="AE90" s="123" t="str">
        <f aca="false">IF(ISBLANK(Actuals!J106),"",Actuals!J106)</f>
        <v/>
      </c>
      <c r="AF90" s="124" t="str">
        <f aca="false">IF(ISBLANK(Actuals!J106),"",'Original Budget'!J106-Actuals!J106)</f>
        <v/>
      </c>
      <c r="AG90" s="124" t="str">
        <f aca="false">IFERROR(IF(ISBLANK(Actuals!J106),"",('Original Budget'!J106-Actuals!J106)/ABS('Original Budget'!J106)),"")</f>
        <v/>
      </c>
      <c r="AH90" s="123" t="n">
        <f aca="false">'Original Budget'!K106</f>
        <v>-446.63</v>
      </c>
      <c r="AI90" s="123" t="str">
        <f aca="false">IF(ISBLANK(Actuals!K106),"",Actuals!K106)</f>
        <v/>
      </c>
      <c r="AJ90" s="124" t="str">
        <f aca="false">IF(ISBLANK(Actuals!K106),"",'Original Budget'!K106-Actuals!K106)</f>
        <v/>
      </c>
      <c r="AK90" s="124" t="str">
        <f aca="false">IFERROR(IF(ISBLANK(Actuals!K106),"",('Original Budget'!K106-Actuals!K106)/ABS('Original Budget'!K106)),"")</f>
        <v/>
      </c>
      <c r="AL90" s="123" t="n">
        <f aca="false">'Original Budget'!L106</f>
        <v>-446.63</v>
      </c>
      <c r="AM90" s="123" t="str">
        <f aca="false">IF(ISBLANK(Actuals!L106),"",Actuals!L106)</f>
        <v/>
      </c>
      <c r="AN90" s="124" t="str">
        <f aca="false">IF(ISBLANK(Actuals!L106),"",'Original Budget'!L106-Actuals!L106)</f>
        <v/>
      </c>
      <c r="AO90" s="124" t="str">
        <f aca="false">IFERROR(IF(ISBLANK(Actuals!L106),"",('Original Budget'!L106-Actuals!L106)/ABS('Original Budget'!L106)),"")</f>
        <v/>
      </c>
      <c r="AP90" s="123" t="n">
        <f aca="false">'Original Budget'!M106</f>
        <v>-446.63</v>
      </c>
      <c r="AQ90" s="123" t="str">
        <f aca="false">IF(ISBLANK(Actuals!M106),"",Actuals!M106)</f>
        <v/>
      </c>
      <c r="AR90" s="124" t="str">
        <f aca="false">IF(ISBLANK(Actuals!M106),"",'Original Budget'!M106-Actuals!M106)</f>
        <v/>
      </c>
      <c r="AS90" s="124" t="str">
        <f aca="false">IFERROR(IF(ISBLANK(Actuals!M106),"",('Original Budget'!M106-Actuals!M106)/ABS('Original Budget'!M106)),"")</f>
        <v/>
      </c>
      <c r="AT90" s="123" t="n">
        <f aca="false">'Original Budget'!N106</f>
        <v>-446.63</v>
      </c>
      <c r="AU90" s="123" t="str">
        <f aca="false">IF(ISBLANK(Actuals!N106),"",Actuals!N106)</f>
        <v/>
      </c>
      <c r="AV90" s="124" t="str">
        <f aca="false">IF(ISBLANK(Actuals!N106),"",'Original Budget'!N106-Actuals!N106)</f>
        <v/>
      </c>
      <c r="AW90" s="124" t="str">
        <f aca="false">IFERROR(IF(ISBLANK(Actuals!N106),"",('Original Budget'!N106-Actuals!N106)/ABS('Original Budget'!N106)),"")</f>
        <v/>
      </c>
      <c r="AX90" s="125" t="n">
        <f aca="false">SUMPRODUCT((Actuals!C106:N106&lt;&gt;"")*('Original Budget'!C106:N106))</f>
        <v>-2679.77</v>
      </c>
      <c r="AY90" s="125" t="n">
        <f aca="false">SUM(Actuals!C106:N106)</f>
        <v>-2854.71</v>
      </c>
      <c r="AZ90" s="126" t="n">
        <f aca="false">AX90-AY90</f>
        <v>174.94</v>
      </c>
    </row>
    <row r="91" customFormat="false" ht="15" hidden="false" customHeight="true" outlineLevel="0" collapsed="false">
      <c r="A91" s="122" t="s">
        <v>127</v>
      </c>
      <c r="B91" s="123" t="n">
        <f aca="false">'Original Budget'!C107</f>
        <v>0</v>
      </c>
      <c r="C91" s="123" t="str">
        <f aca="false">IF(ISBLANK(Actuals!C107),"",Actuals!C107)</f>
        <v/>
      </c>
      <c r="D91" s="124" t="str">
        <f aca="false">IF(ISBLANK(Actuals!C107),"",'Original Budget'!C107-Actuals!C107)</f>
        <v/>
      </c>
      <c r="E91" s="124" t="str">
        <f aca="false">IFERROR(IF(ISBLANK(Actuals!C107),"",('Original Budget'!C107-Actuals!C107)/ABS('Original Budget'!C107)),"")</f>
        <v/>
      </c>
      <c r="F91" s="123" t="n">
        <f aca="false">'Original Budget'!D107</f>
        <v>0</v>
      </c>
      <c r="G91" s="123" t="str">
        <f aca="false">IF(ISBLANK(Actuals!D107),"",Actuals!D107)</f>
        <v/>
      </c>
      <c r="H91" s="124" t="str">
        <f aca="false">IF(ISBLANK(Actuals!D107),"",'Original Budget'!D107-Actuals!D107)</f>
        <v/>
      </c>
      <c r="I91" s="124" t="str">
        <f aca="false">IFERROR(IF(ISBLANK(Actuals!D107),"",('Original Budget'!D107-Actuals!D107)/ABS('Original Budget'!D107)),"")</f>
        <v/>
      </c>
      <c r="J91" s="123" t="n">
        <f aca="false">'Original Budget'!E107</f>
        <v>0</v>
      </c>
      <c r="K91" s="123" t="str">
        <f aca="false">IF(ISBLANK(Actuals!E107),"",Actuals!E107)</f>
        <v/>
      </c>
      <c r="L91" s="124" t="str">
        <f aca="false">IF(ISBLANK(Actuals!E107),"",'Original Budget'!E107-Actuals!E107)</f>
        <v/>
      </c>
      <c r="M91" s="124" t="str">
        <f aca="false">IFERROR(IF(ISBLANK(Actuals!E107),"",('Original Budget'!E107-Actuals!E107)/ABS('Original Budget'!E107)),"")</f>
        <v/>
      </c>
      <c r="N91" s="123" t="n">
        <f aca="false">'Original Budget'!F107</f>
        <v>0</v>
      </c>
      <c r="O91" s="123" t="str">
        <f aca="false">IF(ISBLANK(Actuals!F107),"",Actuals!F107)</f>
        <v/>
      </c>
      <c r="P91" s="124" t="str">
        <f aca="false">IF(ISBLANK(Actuals!F107),"",'Original Budget'!F107-Actuals!F107)</f>
        <v/>
      </c>
      <c r="Q91" s="124" t="str">
        <f aca="false">IFERROR(IF(ISBLANK(Actuals!F107),"",('Original Budget'!F107-Actuals!F107)/ABS('Original Budget'!F107)),"")</f>
        <v/>
      </c>
      <c r="R91" s="123" t="n">
        <f aca="false">'Original Budget'!G107</f>
        <v>0</v>
      </c>
      <c r="S91" s="123" t="str">
        <f aca="false">IF(ISBLANK(Actuals!G107),"",Actuals!G107)</f>
        <v/>
      </c>
      <c r="T91" s="124" t="str">
        <f aca="false">IF(ISBLANK(Actuals!G107),"",'Original Budget'!G107-Actuals!G107)</f>
        <v/>
      </c>
      <c r="U91" s="124" t="str">
        <f aca="false">IFERROR(IF(ISBLANK(Actuals!G107),"",('Original Budget'!G107-Actuals!G107)/ABS('Original Budget'!G107)),"")</f>
        <v/>
      </c>
      <c r="V91" s="123" t="n">
        <f aca="false">'Original Budget'!H107</f>
        <v>0</v>
      </c>
      <c r="W91" s="123" t="str">
        <f aca="false">IF(ISBLANK(Actuals!H107),"",Actuals!H107)</f>
        <v/>
      </c>
      <c r="X91" s="124" t="str">
        <f aca="false">IF(ISBLANK(Actuals!H107),"",'Original Budget'!H107-Actuals!H107)</f>
        <v/>
      </c>
      <c r="Y91" s="124" t="str">
        <f aca="false">IFERROR(IF(ISBLANK(Actuals!H107),"",('Original Budget'!H107-Actuals!H107)/ABS('Original Budget'!H107)),"")</f>
        <v/>
      </c>
      <c r="Z91" s="123" t="n">
        <f aca="false">'Original Budget'!I107</f>
        <v>0</v>
      </c>
      <c r="AA91" s="123" t="str">
        <f aca="false">IF(ISBLANK(Actuals!I107),"",Actuals!I107)</f>
        <v/>
      </c>
      <c r="AB91" s="124" t="str">
        <f aca="false">IF(ISBLANK(Actuals!I107),"",'Original Budget'!I107-Actuals!I107)</f>
        <v/>
      </c>
      <c r="AC91" s="124" t="str">
        <f aca="false">IFERROR(IF(ISBLANK(Actuals!I107),"",('Original Budget'!I107-Actuals!I107)/ABS('Original Budget'!I107)),"")</f>
        <v/>
      </c>
      <c r="AD91" s="123" t="n">
        <f aca="false">'Original Budget'!J107</f>
        <v>0</v>
      </c>
      <c r="AE91" s="123" t="str">
        <f aca="false">IF(ISBLANK(Actuals!J107),"",Actuals!J107)</f>
        <v/>
      </c>
      <c r="AF91" s="124" t="str">
        <f aca="false">IF(ISBLANK(Actuals!J107),"",'Original Budget'!J107-Actuals!J107)</f>
        <v/>
      </c>
      <c r="AG91" s="124" t="str">
        <f aca="false">IFERROR(IF(ISBLANK(Actuals!J107),"",('Original Budget'!J107-Actuals!J107)/ABS('Original Budget'!J107)),"")</f>
        <v/>
      </c>
      <c r="AH91" s="123" t="n">
        <f aca="false">'Original Budget'!K107</f>
        <v>0</v>
      </c>
      <c r="AI91" s="123" t="str">
        <f aca="false">IF(ISBLANK(Actuals!K107),"",Actuals!K107)</f>
        <v/>
      </c>
      <c r="AJ91" s="124" t="str">
        <f aca="false">IF(ISBLANK(Actuals!K107),"",'Original Budget'!K107-Actuals!K107)</f>
        <v/>
      </c>
      <c r="AK91" s="124" t="str">
        <f aca="false">IFERROR(IF(ISBLANK(Actuals!K107),"",('Original Budget'!K107-Actuals!K107)/ABS('Original Budget'!K107)),"")</f>
        <v/>
      </c>
      <c r="AL91" s="123" t="n">
        <f aca="false">'Original Budget'!L107</f>
        <v>0</v>
      </c>
      <c r="AM91" s="123" t="str">
        <f aca="false">IF(ISBLANK(Actuals!L107),"",Actuals!L107)</f>
        <v/>
      </c>
      <c r="AN91" s="124" t="str">
        <f aca="false">IF(ISBLANK(Actuals!L107),"",'Original Budget'!L107-Actuals!L107)</f>
        <v/>
      </c>
      <c r="AO91" s="124" t="str">
        <f aca="false">IFERROR(IF(ISBLANK(Actuals!L107),"",('Original Budget'!L107-Actuals!L107)/ABS('Original Budget'!L107)),"")</f>
        <v/>
      </c>
      <c r="AP91" s="123" t="n">
        <f aca="false">'Original Budget'!M107</f>
        <v>0</v>
      </c>
      <c r="AQ91" s="123" t="str">
        <f aca="false">IF(ISBLANK(Actuals!M107),"",Actuals!M107)</f>
        <v/>
      </c>
      <c r="AR91" s="124" t="str">
        <f aca="false">IF(ISBLANK(Actuals!M107),"",'Original Budget'!M107-Actuals!M107)</f>
        <v/>
      </c>
      <c r="AS91" s="124" t="str">
        <f aca="false">IFERROR(IF(ISBLANK(Actuals!M107),"",('Original Budget'!M107-Actuals!M107)/ABS('Original Budget'!M107)),"")</f>
        <v/>
      </c>
      <c r="AT91" s="123" t="n">
        <f aca="false">'Original Budget'!N107</f>
        <v>0</v>
      </c>
      <c r="AU91" s="123" t="str">
        <f aca="false">IF(ISBLANK(Actuals!N107),"",Actuals!N107)</f>
        <v/>
      </c>
      <c r="AV91" s="124" t="str">
        <f aca="false">IF(ISBLANK(Actuals!N107),"",'Original Budget'!N107-Actuals!N107)</f>
        <v/>
      </c>
      <c r="AW91" s="124" t="str">
        <f aca="false">IFERROR(IF(ISBLANK(Actuals!N107),"",('Original Budget'!N107-Actuals!N107)/ABS('Original Budget'!N107)),"")</f>
        <v/>
      </c>
      <c r="AX91" s="125" t="n">
        <f aca="false">SUMPRODUCT((Actuals!C107:N107&lt;&gt;"")*('Original Budget'!C107:N107))</f>
        <v>0</v>
      </c>
      <c r="AY91" s="125" t="n">
        <f aca="false">SUM(Actuals!C107:N107)</f>
        <v>0</v>
      </c>
      <c r="AZ91" s="126" t="n">
        <f aca="false">AX91-AY91</f>
        <v>0</v>
      </c>
    </row>
    <row r="92" customFormat="false" ht="15" hidden="false" customHeight="true" outlineLevel="0" collapsed="false">
      <c r="A92" s="122" t="s">
        <v>128</v>
      </c>
      <c r="B92" s="123" t="n">
        <f aca="false">'Original Budget'!C108</f>
        <v>0</v>
      </c>
      <c r="C92" s="123" t="str">
        <f aca="false">IF(ISBLANK(Actuals!C108),"",Actuals!C108)</f>
        <v/>
      </c>
      <c r="D92" s="124" t="str">
        <f aca="false">IF(ISBLANK(Actuals!C108),"",'Original Budget'!C108-Actuals!C108)</f>
        <v/>
      </c>
      <c r="E92" s="124" t="str">
        <f aca="false">IFERROR(IF(ISBLANK(Actuals!C108),"",('Original Budget'!C108-Actuals!C108)/ABS('Original Budget'!C108)),"")</f>
        <v/>
      </c>
      <c r="F92" s="123" t="n">
        <f aca="false">'Original Budget'!D108</f>
        <v>0</v>
      </c>
      <c r="G92" s="123" t="str">
        <f aca="false">IF(ISBLANK(Actuals!D108),"",Actuals!D108)</f>
        <v/>
      </c>
      <c r="H92" s="124" t="str">
        <f aca="false">IF(ISBLANK(Actuals!D108),"",'Original Budget'!D108-Actuals!D108)</f>
        <v/>
      </c>
      <c r="I92" s="124" t="str">
        <f aca="false">IFERROR(IF(ISBLANK(Actuals!D108),"",('Original Budget'!D108-Actuals!D108)/ABS('Original Budget'!D108)),"")</f>
        <v/>
      </c>
      <c r="J92" s="123" t="n">
        <f aca="false">'Original Budget'!E108</f>
        <v>0</v>
      </c>
      <c r="K92" s="123" t="str">
        <f aca="false">IF(ISBLANK(Actuals!E108),"",Actuals!E108)</f>
        <v/>
      </c>
      <c r="L92" s="124" t="str">
        <f aca="false">IF(ISBLANK(Actuals!E108),"",'Original Budget'!E108-Actuals!E108)</f>
        <v/>
      </c>
      <c r="M92" s="124" t="str">
        <f aca="false">IFERROR(IF(ISBLANK(Actuals!E108),"",('Original Budget'!E108-Actuals!E108)/ABS('Original Budget'!E108)),"")</f>
        <v/>
      </c>
      <c r="N92" s="123" t="n">
        <f aca="false">'Original Budget'!F108</f>
        <v>0</v>
      </c>
      <c r="O92" s="123" t="str">
        <f aca="false">IF(ISBLANK(Actuals!F108),"",Actuals!F108)</f>
        <v/>
      </c>
      <c r="P92" s="124" t="str">
        <f aca="false">IF(ISBLANK(Actuals!F108),"",'Original Budget'!F108-Actuals!F108)</f>
        <v/>
      </c>
      <c r="Q92" s="124" t="str">
        <f aca="false">IFERROR(IF(ISBLANK(Actuals!F108),"",('Original Budget'!F108-Actuals!F108)/ABS('Original Budget'!F108)),"")</f>
        <v/>
      </c>
      <c r="R92" s="123" t="n">
        <f aca="false">'Original Budget'!G108</f>
        <v>0</v>
      </c>
      <c r="S92" s="123" t="str">
        <f aca="false">IF(ISBLANK(Actuals!G108),"",Actuals!G108)</f>
        <v/>
      </c>
      <c r="T92" s="124" t="str">
        <f aca="false">IF(ISBLANK(Actuals!G108),"",'Original Budget'!G108-Actuals!G108)</f>
        <v/>
      </c>
      <c r="U92" s="124" t="str">
        <f aca="false">IFERROR(IF(ISBLANK(Actuals!G108),"",('Original Budget'!G108-Actuals!G108)/ABS('Original Budget'!G108)),"")</f>
        <v/>
      </c>
      <c r="V92" s="123" t="n">
        <f aca="false">'Original Budget'!H108</f>
        <v>0</v>
      </c>
      <c r="W92" s="123" t="str">
        <f aca="false">IF(ISBLANK(Actuals!H108),"",Actuals!H108)</f>
        <v/>
      </c>
      <c r="X92" s="124" t="str">
        <f aca="false">IF(ISBLANK(Actuals!H108),"",'Original Budget'!H108-Actuals!H108)</f>
        <v/>
      </c>
      <c r="Y92" s="124" t="str">
        <f aca="false">IFERROR(IF(ISBLANK(Actuals!H108),"",('Original Budget'!H108-Actuals!H108)/ABS('Original Budget'!H108)),"")</f>
        <v/>
      </c>
      <c r="Z92" s="123" t="n">
        <f aca="false">'Original Budget'!I108</f>
        <v>0</v>
      </c>
      <c r="AA92" s="123" t="str">
        <f aca="false">IF(ISBLANK(Actuals!I108),"",Actuals!I108)</f>
        <v/>
      </c>
      <c r="AB92" s="124" t="str">
        <f aca="false">IF(ISBLANK(Actuals!I108),"",'Original Budget'!I108-Actuals!I108)</f>
        <v/>
      </c>
      <c r="AC92" s="124" t="str">
        <f aca="false">IFERROR(IF(ISBLANK(Actuals!I108),"",('Original Budget'!I108-Actuals!I108)/ABS('Original Budget'!I108)),"")</f>
        <v/>
      </c>
      <c r="AD92" s="123" t="n">
        <f aca="false">'Original Budget'!J108</f>
        <v>0</v>
      </c>
      <c r="AE92" s="123" t="str">
        <f aca="false">IF(ISBLANK(Actuals!J108),"",Actuals!J108)</f>
        <v/>
      </c>
      <c r="AF92" s="124" t="str">
        <f aca="false">IF(ISBLANK(Actuals!J108),"",'Original Budget'!J108-Actuals!J108)</f>
        <v/>
      </c>
      <c r="AG92" s="124" t="str">
        <f aca="false">IFERROR(IF(ISBLANK(Actuals!J108),"",('Original Budget'!J108-Actuals!J108)/ABS('Original Budget'!J108)),"")</f>
        <v/>
      </c>
      <c r="AH92" s="123" t="n">
        <f aca="false">'Original Budget'!K108</f>
        <v>0</v>
      </c>
      <c r="AI92" s="123" t="str">
        <f aca="false">IF(ISBLANK(Actuals!K108),"",Actuals!K108)</f>
        <v/>
      </c>
      <c r="AJ92" s="124" t="str">
        <f aca="false">IF(ISBLANK(Actuals!K108),"",'Original Budget'!K108-Actuals!K108)</f>
        <v/>
      </c>
      <c r="AK92" s="124" t="str">
        <f aca="false">IFERROR(IF(ISBLANK(Actuals!K108),"",('Original Budget'!K108-Actuals!K108)/ABS('Original Budget'!K108)),"")</f>
        <v/>
      </c>
      <c r="AL92" s="123" t="n">
        <f aca="false">'Original Budget'!L108</f>
        <v>0</v>
      </c>
      <c r="AM92" s="123" t="str">
        <f aca="false">IF(ISBLANK(Actuals!L108),"",Actuals!L108)</f>
        <v/>
      </c>
      <c r="AN92" s="124" t="str">
        <f aca="false">IF(ISBLANK(Actuals!L108),"",'Original Budget'!L108-Actuals!L108)</f>
        <v/>
      </c>
      <c r="AO92" s="124" t="str">
        <f aca="false">IFERROR(IF(ISBLANK(Actuals!L108),"",('Original Budget'!L108-Actuals!L108)/ABS('Original Budget'!L108)),"")</f>
        <v/>
      </c>
      <c r="AP92" s="123" t="n">
        <f aca="false">'Original Budget'!M108</f>
        <v>0</v>
      </c>
      <c r="AQ92" s="123" t="str">
        <f aca="false">IF(ISBLANK(Actuals!M108),"",Actuals!M108)</f>
        <v/>
      </c>
      <c r="AR92" s="124" t="str">
        <f aca="false">IF(ISBLANK(Actuals!M108),"",'Original Budget'!M108-Actuals!M108)</f>
        <v/>
      </c>
      <c r="AS92" s="124" t="str">
        <f aca="false">IFERROR(IF(ISBLANK(Actuals!M108),"",('Original Budget'!M108-Actuals!M108)/ABS('Original Budget'!M108)),"")</f>
        <v/>
      </c>
      <c r="AT92" s="123" t="n">
        <f aca="false">'Original Budget'!N108</f>
        <v>0</v>
      </c>
      <c r="AU92" s="123" t="str">
        <f aca="false">IF(ISBLANK(Actuals!N108),"",Actuals!N108)</f>
        <v/>
      </c>
      <c r="AV92" s="124" t="str">
        <f aca="false">IF(ISBLANK(Actuals!N108),"",'Original Budget'!N108-Actuals!N108)</f>
        <v/>
      </c>
      <c r="AW92" s="124" t="str">
        <f aca="false">IFERROR(IF(ISBLANK(Actuals!N108),"",('Original Budget'!N108-Actuals!N108)/ABS('Original Budget'!N108)),"")</f>
        <v/>
      </c>
      <c r="AX92" s="125" t="n">
        <f aca="false">SUMPRODUCT((Actuals!C108:N108&lt;&gt;"")*('Original Budget'!C108:N108))</f>
        <v>0</v>
      </c>
      <c r="AY92" s="125" t="n">
        <f aca="false">SUM(Actuals!C108:N108)</f>
        <v>0</v>
      </c>
      <c r="AZ92" s="126" t="n">
        <f aca="false">AX92-AY92</f>
        <v>0</v>
      </c>
    </row>
    <row r="93" customFormat="false" ht="15" hidden="false" customHeight="true" outlineLevel="0" collapsed="false">
      <c r="A93" s="122" t="s">
        <v>129</v>
      </c>
      <c r="B93" s="123" t="n">
        <f aca="false">'Original Budget'!C109</f>
        <v>0</v>
      </c>
      <c r="C93" s="123" t="str">
        <f aca="false">IF(ISBLANK(Actuals!C109),"",Actuals!C109)</f>
        <v/>
      </c>
      <c r="D93" s="124" t="str">
        <f aca="false">IF(ISBLANK(Actuals!C109),"",'Original Budget'!C109-Actuals!C109)</f>
        <v/>
      </c>
      <c r="E93" s="124" t="str">
        <f aca="false">IFERROR(IF(ISBLANK(Actuals!C109),"",('Original Budget'!C109-Actuals!C109)/ABS('Original Budget'!C109)),"")</f>
        <v/>
      </c>
      <c r="F93" s="123" t="n">
        <f aca="false">'Original Budget'!D109</f>
        <v>0</v>
      </c>
      <c r="G93" s="123" t="str">
        <f aca="false">IF(ISBLANK(Actuals!D109),"",Actuals!D109)</f>
        <v/>
      </c>
      <c r="H93" s="124" t="str">
        <f aca="false">IF(ISBLANK(Actuals!D109),"",'Original Budget'!D109-Actuals!D109)</f>
        <v/>
      </c>
      <c r="I93" s="124" t="str">
        <f aca="false">IFERROR(IF(ISBLANK(Actuals!D109),"",('Original Budget'!D109-Actuals!D109)/ABS('Original Budget'!D109)),"")</f>
        <v/>
      </c>
      <c r="J93" s="123" t="n">
        <f aca="false">'Original Budget'!E109</f>
        <v>0</v>
      </c>
      <c r="K93" s="123" t="str">
        <f aca="false">IF(ISBLANK(Actuals!E109),"",Actuals!E109)</f>
        <v/>
      </c>
      <c r="L93" s="124" t="str">
        <f aca="false">IF(ISBLANK(Actuals!E109),"",'Original Budget'!E109-Actuals!E109)</f>
        <v/>
      </c>
      <c r="M93" s="124" t="str">
        <f aca="false">IFERROR(IF(ISBLANK(Actuals!E109),"",('Original Budget'!E109-Actuals!E109)/ABS('Original Budget'!E109)),"")</f>
        <v/>
      </c>
      <c r="N93" s="123" t="n">
        <f aca="false">'Original Budget'!F109</f>
        <v>0</v>
      </c>
      <c r="O93" s="123" t="str">
        <f aca="false">IF(ISBLANK(Actuals!F109),"",Actuals!F109)</f>
        <v/>
      </c>
      <c r="P93" s="124" t="str">
        <f aca="false">IF(ISBLANK(Actuals!F109),"",'Original Budget'!F109-Actuals!F109)</f>
        <v/>
      </c>
      <c r="Q93" s="124" t="str">
        <f aca="false">IFERROR(IF(ISBLANK(Actuals!F109),"",('Original Budget'!F109-Actuals!F109)/ABS('Original Budget'!F109)),"")</f>
        <v/>
      </c>
      <c r="R93" s="123" t="n">
        <f aca="false">'Original Budget'!G109</f>
        <v>0</v>
      </c>
      <c r="S93" s="123" t="str">
        <f aca="false">IF(ISBLANK(Actuals!G109),"",Actuals!G109)</f>
        <v/>
      </c>
      <c r="T93" s="124" t="str">
        <f aca="false">IF(ISBLANK(Actuals!G109),"",'Original Budget'!G109-Actuals!G109)</f>
        <v/>
      </c>
      <c r="U93" s="124" t="str">
        <f aca="false">IFERROR(IF(ISBLANK(Actuals!G109),"",('Original Budget'!G109-Actuals!G109)/ABS('Original Budget'!G109)),"")</f>
        <v/>
      </c>
      <c r="V93" s="123" t="n">
        <f aca="false">'Original Budget'!H109</f>
        <v>0</v>
      </c>
      <c r="W93" s="123" t="str">
        <f aca="false">IF(ISBLANK(Actuals!H109),"",Actuals!H109)</f>
        <v/>
      </c>
      <c r="X93" s="124" t="str">
        <f aca="false">IF(ISBLANK(Actuals!H109),"",'Original Budget'!H109-Actuals!H109)</f>
        <v/>
      </c>
      <c r="Y93" s="124" t="str">
        <f aca="false">IFERROR(IF(ISBLANK(Actuals!H109),"",('Original Budget'!H109-Actuals!H109)/ABS('Original Budget'!H109)),"")</f>
        <v/>
      </c>
      <c r="Z93" s="123" t="n">
        <f aca="false">'Original Budget'!I109</f>
        <v>0</v>
      </c>
      <c r="AA93" s="123" t="str">
        <f aca="false">IF(ISBLANK(Actuals!I109),"",Actuals!I109)</f>
        <v/>
      </c>
      <c r="AB93" s="124" t="str">
        <f aca="false">IF(ISBLANK(Actuals!I109),"",'Original Budget'!I109-Actuals!I109)</f>
        <v/>
      </c>
      <c r="AC93" s="124" t="str">
        <f aca="false">IFERROR(IF(ISBLANK(Actuals!I109),"",('Original Budget'!I109-Actuals!I109)/ABS('Original Budget'!I109)),"")</f>
        <v/>
      </c>
      <c r="AD93" s="123" t="n">
        <f aca="false">'Original Budget'!J109</f>
        <v>0</v>
      </c>
      <c r="AE93" s="123" t="str">
        <f aca="false">IF(ISBLANK(Actuals!J109),"",Actuals!J109)</f>
        <v/>
      </c>
      <c r="AF93" s="124" t="str">
        <f aca="false">IF(ISBLANK(Actuals!J109),"",'Original Budget'!J109-Actuals!J109)</f>
        <v/>
      </c>
      <c r="AG93" s="124" t="str">
        <f aca="false">IFERROR(IF(ISBLANK(Actuals!J109),"",('Original Budget'!J109-Actuals!J109)/ABS('Original Budget'!J109)),"")</f>
        <v/>
      </c>
      <c r="AH93" s="123" t="n">
        <f aca="false">'Original Budget'!K109</f>
        <v>0</v>
      </c>
      <c r="AI93" s="123" t="str">
        <f aca="false">IF(ISBLANK(Actuals!K109),"",Actuals!K109)</f>
        <v/>
      </c>
      <c r="AJ93" s="124" t="str">
        <f aca="false">IF(ISBLANK(Actuals!K109),"",'Original Budget'!K109-Actuals!K109)</f>
        <v/>
      </c>
      <c r="AK93" s="124" t="str">
        <f aca="false">IFERROR(IF(ISBLANK(Actuals!K109),"",('Original Budget'!K109-Actuals!K109)/ABS('Original Budget'!K109)),"")</f>
        <v/>
      </c>
      <c r="AL93" s="123" t="n">
        <f aca="false">'Original Budget'!L109</f>
        <v>0</v>
      </c>
      <c r="AM93" s="123" t="str">
        <f aca="false">IF(ISBLANK(Actuals!L109),"",Actuals!L109)</f>
        <v/>
      </c>
      <c r="AN93" s="124" t="str">
        <f aca="false">IF(ISBLANK(Actuals!L109),"",'Original Budget'!L109-Actuals!L109)</f>
        <v/>
      </c>
      <c r="AO93" s="124" t="str">
        <f aca="false">IFERROR(IF(ISBLANK(Actuals!L109),"",('Original Budget'!L109-Actuals!L109)/ABS('Original Budget'!L109)),"")</f>
        <v/>
      </c>
      <c r="AP93" s="123" t="n">
        <f aca="false">'Original Budget'!M109</f>
        <v>0</v>
      </c>
      <c r="AQ93" s="123" t="str">
        <f aca="false">IF(ISBLANK(Actuals!M109),"",Actuals!M109)</f>
        <v/>
      </c>
      <c r="AR93" s="124" t="str">
        <f aca="false">IF(ISBLANK(Actuals!M109),"",'Original Budget'!M109-Actuals!M109)</f>
        <v/>
      </c>
      <c r="AS93" s="124" t="str">
        <f aca="false">IFERROR(IF(ISBLANK(Actuals!M109),"",('Original Budget'!M109-Actuals!M109)/ABS('Original Budget'!M109)),"")</f>
        <v/>
      </c>
      <c r="AT93" s="123" t="n">
        <f aca="false">'Original Budget'!N109</f>
        <v>0</v>
      </c>
      <c r="AU93" s="123" t="str">
        <f aca="false">IF(ISBLANK(Actuals!N109),"",Actuals!N109)</f>
        <v/>
      </c>
      <c r="AV93" s="124" t="str">
        <f aca="false">IF(ISBLANK(Actuals!N109),"",'Original Budget'!N109-Actuals!N109)</f>
        <v/>
      </c>
      <c r="AW93" s="124" t="str">
        <f aca="false">IFERROR(IF(ISBLANK(Actuals!N109),"",('Original Budget'!N109-Actuals!N109)/ABS('Original Budget'!N109)),"")</f>
        <v/>
      </c>
      <c r="AX93" s="125" t="n">
        <f aca="false">SUMPRODUCT((Actuals!C109:N109&lt;&gt;"")*('Original Budget'!C109:N109))</f>
        <v>0</v>
      </c>
      <c r="AY93" s="125" t="n">
        <f aca="false">SUM(Actuals!C109:N109)</f>
        <v>0</v>
      </c>
      <c r="AZ93" s="126" t="n">
        <f aca="false">AX93-AY93</f>
        <v>0</v>
      </c>
    </row>
    <row r="94" customFormat="false" ht="15" hidden="false" customHeight="true" outlineLevel="0" collapsed="false">
      <c r="A94" s="122" t="s">
        <v>130</v>
      </c>
      <c r="B94" s="123" t="n">
        <f aca="false">'Original Budget'!C110</f>
        <v>0</v>
      </c>
      <c r="C94" s="123" t="str">
        <f aca="false">IF(ISBLANK(Actuals!C110),"",Actuals!C110)</f>
        <v/>
      </c>
      <c r="D94" s="124" t="str">
        <f aca="false">IF(ISBLANK(Actuals!C110),"",'Original Budget'!C110-Actuals!C110)</f>
        <v/>
      </c>
      <c r="E94" s="124" t="str">
        <f aca="false">IFERROR(IF(ISBLANK(Actuals!C110),"",('Original Budget'!C110-Actuals!C110)/ABS('Original Budget'!C110)),"")</f>
        <v/>
      </c>
      <c r="F94" s="123" t="n">
        <f aca="false">'Original Budget'!D110</f>
        <v>0</v>
      </c>
      <c r="G94" s="123" t="str">
        <f aca="false">IF(ISBLANK(Actuals!D110),"",Actuals!D110)</f>
        <v/>
      </c>
      <c r="H94" s="124" t="str">
        <f aca="false">IF(ISBLANK(Actuals!D110),"",'Original Budget'!D110-Actuals!D110)</f>
        <v/>
      </c>
      <c r="I94" s="124" t="str">
        <f aca="false">IFERROR(IF(ISBLANK(Actuals!D110),"",('Original Budget'!D110-Actuals!D110)/ABS('Original Budget'!D110)),"")</f>
        <v/>
      </c>
      <c r="J94" s="123" t="n">
        <f aca="false">'Original Budget'!E110</f>
        <v>0</v>
      </c>
      <c r="K94" s="123" t="str">
        <f aca="false">IF(ISBLANK(Actuals!E110),"",Actuals!E110)</f>
        <v/>
      </c>
      <c r="L94" s="124" t="str">
        <f aca="false">IF(ISBLANK(Actuals!E110),"",'Original Budget'!E110-Actuals!E110)</f>
        <v/>
      </c>
      <c r="M94" s="124" t="str">
        <f aca="false">IFERROR(IF(ISBLANK(Actuals!E110),"",('Original Budget'!E110-Actuals!E110)/ABS('Original Budget'!E110)),"")</f>
        <v/>
      </c>
      <c r="N94" s="123" t="n">
        <f aca="false">'Original Budget'!F110</f>
        <v>0</v>
      </c>
      <c r="O94" s="123" t="str">
        <f aca="false">IF(ISBLANK(Actuals!F110),"",Actuals!F110)</f>
        <v/>
      </c>
      <c r="P94" s="124" t="str">
        <f aca="false">IF(ISBLANK(Actuals!F110),"",'Original Budget'!F110-Actuals!F110)</f>
        <v/>
      </c>
      <c r="Q94" s="124" t="str">
        <f aca="false">IFERROR(IF(ISBLANK(Actuals!F110),"",('Original Budget'!F110-Actuals!F110)/ABS('Original Budget'!F110)),"")</f>
        <v/>
      </c>
      <c r="R94" s="123" t="n">
        <f aca="false">'Original Budget'!G110</f>
        <v>0</v>
      </c>
      <c r="S94" s="123" t="str">
        <f aca="false">IF(ISBLANK(Actuals!G110),"",Actuals!G110)</f>
        <v/>
      </c>
      <c r="T94" s="124" t="str">
        <f aca="false">IF(ISBLANK(Actuals!G110),"",'Original Budget'!G110-Actuals!G110)</f>
        <v/>
      </c>
      <c r="U94" s="124" t="str">
        <f aca="false">IFERROR(IF(ISBLANK(Actuals!G110),"",('Original Budget'!G110-Actuals!G110)/ABS('Original Budget'!G110)),"")</f>
        <v/>
      </c>
      <c r="V94" s="123" t="n">
        <f aca="false">'Original Budget'!H110</f>
        <v>0</v>
      </c>
      <c r="W94" s="123" t="str">
        <f aca="false">IF(ISBLANK(Actuals!H110),"",Actuals!H110)</f>
        <v/>
      </c>
      <c r="X94" s="124" t="str">
        <f aca="false">IF(ISBLANK(Actuals!H110),"",'Original Budget'!H110-Actuals!H110)</f>
        <v/>
      </c>
      <c r="Y94" s="124" t="str">
        <f aca="false">IFERROR(IF(ISBLANK(Actuals!H110),"",('Original Budget'!H110-Actuals!H110)/ABS('Original Budget'!H110)),"")</f>
        <v/>
      </c>
      <c r="Z94" s="123" t="n">
        <f aca="false">'Original Budget'!I110</f>
        <v>0</v>
      </c>
      <c r="AA94" s="123" t="str">
        <f aca="false">IF(ISBLANK(Actuals!I110),"",Actuals!I110)</f>
        <v/>
      </c>
      <c r="AB94" s="124" t="str">
        <f aca="false">IF(ISBLANK(Actuals!I110),"",'Original Budget'!I110-Actuals!I110)</f>
        <v/>
      </c>
      <c r="AC94" s="124" t="str">
        <f aca="false">IFERROR(IF(ISBLANK(Actuals!I110),"",('Original Budget'!I110-Actuals!I110)/ABS('Original Budget'!I110)),"")</f>
        <v/>
      </c>
      <c r="AD94" s="123" t="n">
        <f aca="false">'Original Budget'!J110</f>
        <v>0</v>
      </c>
      <c r="AE94" s="123" t="str">
        <f aca="false">IF(ISBLANK(Actuals!J110),"",Actuals!J110)</f>
        <v/>
      </c>
      <c r="AF94" s="124" t="str">
        <f aca="false">IF(ISBLANK(Actuals!J110),"",'Original Budget'!J110-Actuals!J110)</f>
        <v/>
      </c>
      <c r="AG94" s="124" t="str">
        <f aca="false">IFERROR(IF(ISBLANK(Actuals!J110),"",('Original Budget'!J110-Actuals!J110)/ABS('Original Budget'!J110)),"")</f>
        <v/>
      </c>
      <c r="AH94" s="123" t="n">
        <f aca="false">'Original Budget'!K110</f>
        <v>0</v>
      </c>
      <c r="AI94" s="123" t="str">
        <f aca="false">IF(ISBLANK(Actuals!K110),"",Actuals!K110)</f>
        <v/>
      </c>
      <c r="AJ94" s="124" t="str">
        <f aca="false">IF(ISBLANK(Actuals!K110),"",'Original Budget'!K110-Actuals!K110)</f>
        <v/>
      </c>
      <c r="AK94" s="124" t="str">
        <f aca="false">IFERROR(IF(ISBLANK(Actuals!K110),"",('Original Budget'!K110-Actuals!K110)/ABS('Original Budget'!K110)),"")</f>
        <v/>
      </c>
      <c r="AL94" s="123" t="n">
        <f aca="false">'Original Budget'!L110</f>
        <v>0</v>
      </c>
      <c r="AM94" s="123" t="str">
        <f aca="false">IF(ISBLANK(Actuals!L110),"",Actuals!L110)</f>
        <v/>
      </c>
      <c r="AN94" s="124" t="str">
        <f aca="false">IF(ISBLANK(Actuals!L110),"",'Original Budget'!L110-Actuals!L110)</f>
        <v/>
      </c>
      <c r="AO94" s="124" t="str">
        <f aca="false">IFERROR(IF(ISBLANK(Actuals!L110),"",('Original Budget'!L110-Actuals!L110)/ABS('Original Budget'!L110)),"")</f>
        <v/>
      </c>
      <c r="AP94" s="123" t="n">
        <f aca="false">'Original Budget'!M110</f>
        <v>0</v>
      </c>
      <c r="AQ94" s="123" t="str">
        <f aca="false">IF(ISBLANK(Actuals!M110),"",Actuals!M110)</f>
        <v/>
      </c>
      <c r="AR94" s="124" t="str">
        <f aca="false">IF(ISBLANK(Actuals!M110),"",'Original Budget'!M110-Actuals!M110)</f>
        <v/>
      </c>
      <c r="AS94" s="124" t="str">
        <f aca="false">IFERROR(IF(ISBLANK(Actuals!M110),"",('Original Budget'!M110-Actuals!M110)/ABS('Original Budget'!M110)),"")</f>
        <v/>
      </c>
      <c r="AT94" s="123" t="n">
        <f aca="false">'Original Budget'!N110</f>
        <v>0</v>
      </c>
      <c r="AU94" s="123" t="str">
        <f aca="false">IF(ISBLANK(Actuals!N110),"",Actuals!N110)</f>
        <v/>
      </c>
      <c r="AV94" s="124" t="str">
        <f aca="false">IF(ISBLANK(Actuals!N110),"",'Original Budget'!N110-Actuals!N110)</f>
        <v/>
      </c>
      <c r="AW94" s="124" t="str">
        <f aca="false">IFERROR(IF(ISBLANK(Actuals!N110),"",('Original Budget'!N110-Actuals!N110)/ABS('Original Budget'!N110)),"")</f>
        <v/>
      </c>
      <c r="AX94" s="125" t="n">
        <f aca="false">SUMPRODUCT((Actuals!C110:N110&lt;&gt;"")*('Original Budget'!C110:N110))</f>
        <v>0</v>
      </c>
      <c r="AY94" s="125" t="n">
        <f aca="false">SUM(Actuals!C110:N110)</f>
        <v>0</v>
      </c>
      <c r="AZ94" s="126" t="n">
        <f aca="false">AX94-AY94</f>
        <v>0</v>
      </c>
    </row>
    <row r="95" customFormat="false" ht="15" hidden="false" customHeight="true" outlineLevel="0" collapsed="false">
      <c r="A95" s="122" t="s">
        <v>131</v>
      </c>
      <c r="B95" s="123" t="n">
        <f aca="false">'Original Budget'!C111</f>
        <v>0</v>
      </c>
      <c r="C95" s="123" t="str">
        <f aca="false">IF(ISBLANK(Actuals!C111),"",Actuals!C111)</f>
        <v/>
      </c>
      <c r="D95" s="124" t="str">
        <f aca="false">IF(ISBLANK(Actuals!C111),"",'Original Budget'!C111-Actuals!C111)</f>
        <v/>
      </c>
      <c r="E95" s="124" t="str">
        <f aca="false">IFERROR(IF(ISBLANK(Actuals!C111),"",('Original Budget'!C111-Actuals!C111)/ABS('Original Budget'!C111)),"")</f>
        <v/>
      </c>
      <c r="F95" s="123" t="n">
        <f aca="false">'Original Budget'!D111</f>
        <v>0</v>
      </c>
      <c r="G95" s="123" t="str">
        <f aca="false">IF(ISBLANK(Actuals!D111),"",Actuals!D111)</f>
        <v/>
      </c>
      <c r="H95" s="124" t="str">
        <f aca="false">IF(ISBLANK(Actuals!D111),"",'Original Budget'!D111-Actuals!D111)</f>
        <v/>
      </c>
      <c r="I95" s="124" t="str">
        <f aca="false">IFERROR(IF(ISBLANK(Actuals!D111),"",('Original Budget'!D111-Actuals!D111)/ABS('Original Budget'!D111)),"")</f>
        <v/>
      </c>
      <c r="J95" s="123" t="n">
        <f aca="false">'Original Budget'!E111</f>
        <v>0</v>
      </c>
      <c r="K95" s="123" t="str">
        <f aca="false">IF(ISBLANK(Actuals!E111),"",Actuals!E111)</f>
        <v/>
      </c>
      <c r="L95" s="124" t="str">
        <f aca="false">IF(ISBLANK(Actuals!E111),"",'Original Budget'!E111-Actuals!E111)</f>
        <v/>
      </c>
      <c r="M95" s="124" t="str">
        <f aca="false">IFERROR(IF(ISBLANK(Actuals!E111),"",('Original Budget'!E111-Actuals!E111)/ABS('Original Budget'!E111)),"")</f>
        <v/>
      </c>
      <c r="N95" s="123" t="n">
        <f aca="false">'Original Budget'!F111</f>
        <v>0</v>
      </c>
      <c r="O95" s="123" t="str">
        <f aca="false">IF(ISBLANK(Actuals!F111),"",Actuals!F111)</f>
        <v/>
      </c>
      <c r="P95" s="124" t="str">
        <f aca="false">IF(ISBLANK(Actuals!F111),"",'Original Budget'!F111-Actuals!F111)</f>
        <v/>
      </c>
      <c r="Q95" s="124" t="str">
        <f aca="false">IFERROR(IF(ISBLANK(Actuals!F111),"",('Original Budget'!F111-Actuals!F111)/ABS('Original Budget'!F111)),"")</f>
        <v/>
      </c>
      <c r="R95" s="123" t="n">
        <f aca="false">'Original Budget'!G111</f>
        <v>0</v>
      </c>
      <c r="S95" s="123" t="str">
        <f aca="false">IF(ISBLANK(Actuals!G111),"",Actuals!G111)</f>
        <v/>
      </c>
      <c r="T95" s="124" t="str">
        <f aca="false">IF(ISBLANK(Actuals!G111),"",'Original Budget'!G111-Actuals!G111)</f>
        <v/>
      </c>
      <c r="U95" s="124" t="str">
        <f aca="false">IFERROR(IF(ISBLANK(Actuals!G111),"",('Original Budget'!G111-Actuals!G111)/ABS('Original Budget'!G111)),"")</f>
        <v/>
      </c>
      <c r="V95" s="123" t="n">
        <f aca="false">'Original Budget'!H111</f>
        <v>0</v>
      </c>
      <c r="W95" s="123" t="str">
        <f aca="false">IF(ISBLANK(Actuals!H111),"",Actuals!H111)</f>
        <v/>
      </c>
      <c r="X95" s="124" t="str">
        <f aca="false">IF(ISBLANK(Actuals!H111),"",'Original Budget'!H111-Actuals!H111)</f>
        <v/>
      </c>
      <c r="Y95" s="124" t="str">
        <f aca="false">IFERROR(IF(ISBLANK(Actuals!H111),"",('Original Budget'!H111-Actuals!H111)/ABS('Original Budget'!H111)),"")</f>
        <v/>
      </c>
      <c r="Z95" s="123" t="n">
        <f aca="false">'Original Budget'!I111</f>
        <v>0</v>
      </c>
      <c r="AA95" s="123" t="str">
        <f aca="false">IF(ISBLANK(Actuals!I111),"",Actuals!I111)</f>
        <v/>
      </c>
      <c r="AB95" s="124" t="str">
        <f aca="false">IF(ISBLANK(Actuals!I111),"",'Original Budget'!I111-Actuals!I111)</f>
        <v/>
      </c>
      <c r="AC95" s="124" t="str">
        <f aca="false">IFERROR(IF(ISBLANK(Actuals!I111),"",('Original Budget'!I111-Actuals!I111)/ABS('Original Budget'!I111)),"")</f>
        <v/>
      </c>
      <c r="AD95" s="123" t="n">
        <f aca="false">'Original Budget'!J111</f>
        <v>0</v>
      </c>
      <c r="AE95" s="123" t="str">
        <f aca="false">IF(ISBLANK(Actuals!J111),"",Actuals!J111)</f>
        <v/>
      </c>
      <c r="AF95" s="124" t="str">
        <f aca="false">IF(ISBLANK(Actuals!J111),"",'Original Budget'!J111-Actuals!J111)</f>
        <v/>
      </c>
      <c r="AG95" s="124" t="str">
        <f aca="false">IFERROR(IF(ISBLANK(Actuals!J111),"",('Original Budget'!J111-Actuals!J111)/ABS('Original Budget'!J111)),"")</f>
        <v/>
      </c>
      <c r="AH95" s="123" t="n">
        <f aca="false">'Original Budget'!K111</f>
        <v>0</v>
      </c>
      <c r="AI95" s="123" t="str">
        <f aca="false">IF(ISBLANK(Actuals!K111),"",Actuals!K111)</f>
        <v/>
      </c>
      <c r="AJ95" s="124" t="str">
        <f aca="false">IF(ISBLANK(Actuals!K111),"",'Original Budget'!K111-Actuals!K111)</f>
        <v/>
      </c>
      <c r="AK95" s="124" t="str">
        <f aca="false">IFERROR(IF(ISBLANK(Actuals!K111),"",('Original Budget'!K111-Actuals!K111)/ABS('Original Budget'!K111)),"")</f>
        <v/>
      </c>
      <c r="AL95" s="123" t="n">
        <f aca="false">'Original Budget'!L111</f>
        <v>0</v>
      </c>
      <c r="AM95" s="123" t="str">
        <f aca="false">IF(ISBLANK(Actuals!L111),"",Actuals!L111)</f>
        <v/>
      </c>
      <c r="AN95" s="124" t="str">
        <f aca="false">IF(ISBLANK(Actuals!L111),"",'Original Budget'!L111-Actuals!L111)</f>
        <v/>
      </c>
      <c r="AO95" s="124" t="str">
        <f aca="false">IFERROR(IF(ISBLANK(Actuals!L111),"",('Original Budget'!L111-Actuals!L111)/ABS('Original Budget'!L111)),"")</f>
        <v/>
      </c>
      <c r="AP95" s="123" t="n">
        <f aca="false">'Original Budget'!M111</f>
        <v>0</v>
      </c>
      <c r="AQ95" s="123" t="str">
        <f aca="false">IF(ISBLANK(Actuals!M111),"",Actuals!M111)</f>
        <v/>
      </c>
      <c r="AR95" s="124" t="str">
        <f aca="false">IF(ISBLANK(Actuals!M111),"",'Original Budget'!M111-Actuals!M111)</f>
        <v/>
      </c>
      <c r="AS95" s="124" t="str">
        <f aca="false">IFERROR(IF(ISBLANK(Actuals!M111),"",('Original Budget'!M111-Actuals!M111)/ABS('Original Budget'!M111)),"")</f>
        <v/>
      </c>
      <c r="AT95" s="123" t="n">
        <f aca="false">'Original Budget'!N111</f>
        <v>0</v>
      </c>
      <c r="AU95" s="123" t="str">
        <f aca="false">IF(ISBLANK(Actuals!N111),"",Actuals!N111)</f>
        <v/>
      </c>
      <c r="AV95" s="124" t="str">
        <f aca="false">IF(ISBLANK(Actuals!N111),"",'Original Budget'!N111-Actuals!N111)</f>
        <v/>
      </c>
      <c r="AW95" s="124" t="str">
        <f aca="false">IFERROR(IF(ISBLANK(Actuals!N111),"",('Original Budget'!N111-Actuals!N111)/ABS('Original Budget'!N111)),"")</f>
        <v/>
      </c>
      <c r="AX95" s="125" t="n">
        <f aca="false">SUMPRODUCT((Actuals!C111:N111&lt;&gt;"")*('Original Budget'!C111:N111))</f>
        <v>0</v>
      </c>
      <c r="AY95" s="125" t="n">
        <f aca="false">SUM(Actuals!C111:N111)</f>
        <v>0</v>
      </c>
      <c r="AZ95" s="126" t="n">
        <f aca="false">AX95-AY95</f>
        <v>0</v>
      </c>
    </row>
    <row r="96" customFormat="false" ht="15" hidden="false" customHeight="true" outlineLevel="0" collapsed="false"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</row>
    <row r="97" customFormat="false" ht="15" hidden="false" customHeight="true" outlineLevel="0" collapsed="false">
      <c r="A97" s="128" t="s">
        <v>301</v>
      </c>
      <c r="B97" s="129" t="n">
        <f aca="false">SUMIFS(B6:B95,B6:B95,"&lt;&gt;")</f>
        <v>16004.7700000001</v>
      </c>
      <c r="C97" s="129" t="n">
        <f aca="false">SUMIFS(C6:C95,C6:C95,"&lt;&gt;")</f>
        <v>12199.0800000001</v>
      </c>
      <c r="D97" s="129" t="n">
        <f aca="false">SUMIFS(D6:D95,D6:D95,"&lt;&gt;")</f>
        <v>3805.68999999995</v>
      </c>
      <c r="E97" s="129"/>
      <c r="F97" s="129" t="n">
        <f aca="false">SUMIFS(F6:F95,F6:F95,"&lt;&gt;")</f>
        <v>-516298.11</v>
      </c>
      <c r="G97" s="129" t="n">
        <f aca="false">SUMIFS(G6:G95,G6:G95,"&lt;&gt;")</f>
        <v>-520697.5</v>
      </c>
      <c r="H97" s="129" t="n">
        <f aca="false">SUMIFS(H6:H95,H6:H95,"&lt;&gt;")</f>
        <v>4399.39000000027</v>
      </c>
      <c r="I97" s="129"/>
      <c r="J97" s="129" t="n">
        <f aca="false">SUMIFS(J6:J95,J6:J95,"&lt;&gt;")</f>
        <v>630026.570000001</v>
      </c>
      <c r="K97" s="129" t="n">
        <f aca="false">SUMIFS(K6:K95,K6:K95,"&lt;&gt;")</f>
        <v>615521.780000001</v>
      </c>
      <c r="L97" s="129" t="n">
        <f aca="false">SUMIFS(L6:L95,L6:L95,"&lt;&gt;")</f>
        <v>14504.79</v>
      </c>
      <c r="M97" s="129"/>
      <c r="N97" s="129" t="n">
        <f aca="false">SUMIFS(N6:N95,N6:N95,"&lt;&gt;")</f>
        <v>511603.054440486</v>
      </c>
      <c r="O97" s="129" t="n">
        <f aca="false">SUMIFS(O6:O95,O6:O95,"&lt;&gt;")</f>
        <v>659494.800000001</v>
      </c>
      <c r="P97" s="129" t="n">
        <f aca="false">SUMIFS(P6:P95,P6:P95,"&lt;&gt;")</f>
        <v>-157391.745559515</v>
      </c>
      <c r="Q97" s="129"/>
      <c r="R97" s="129" t="n">
        <f aca="false">SUMIFS(R6:R95,R6:R95,"&lt;&gt;")</f>
        <v>439205.13648904</v>
      </c>
      <c r="S97" s="129" t="n">
        <f aca="false">SUMIFS(S6:S95,S6:S95,"&lt;&gt;")</f>
        <v>277243.61</v>
      </c>
      <c r="T97" s="129" t="n">
        <f aca="false">SUMIFS(T6:T95,T6:T95,"&lt;&gt;")</f>
        <v>152461.52648904</v>
      </c>
      <c r="U97" s="129"/>
      <c r="V97" s="129" t="n">
        <f aca="false">SUMIFS(V6:V95,V6:V95,"&lt;&gt;")</f>
        <v>409830.14225528</v>
      </c>
      <c r="W97" s="129" t="n">
        <f aca="false">SUMIFS(W6:W95,W6:W95,"&lt;&gt;")</f>
        <v>1090780.48</v>
      </c>
      <c r="X97" s="129" t="n">
        <f aca="false">SUMIFS(X6:X95,X6:X95,"&lt;&gt;")</f>
        <v>-586617.004411388</v>
      </c>
      <c r="Y97" s="129"/>
      <c r="Z97" s="129" t="n">
        <f aca="false">SUMIFS(Z6:Z95,Z6:Z95,"&lt;&gt;")</f>
        <v>1403670.62720525</v>
      </c>
      <c r="AA97" s="129" t="n">
        <f aca="false">SUMIFS(AA6:AA95,AA6:AA95,"&lt;&gt;")</f>
        <v>0</v>
      </c>
      <c r="AB97" s="129" t="n">
        <f aca="false">SUMIFS(AB6:AB95,AB6:AB95,"&lt;&gt;")</f>
        <v>959257.390269293</v>
      </c>
      <c r="AC97" s="129"/>
      <c r="AD97" s="129" t="n">
        <f aca="false">SUMIFS(AD6:AD95,AD6:AD95,"&lt;&gt;")</f>
        <v>770050.233496412</v>
      </c>
      <c r="AE97" s="129" t="n">
        <f aca="false">SUMIFS(AE6:AE95,AE6:AE95,"&lt;&gt;")</f>
        <v>0</v>
      </c>
      <c r="AF97" s="129" t="n">
        <f aca="false">SUMIFS(AF6:AF95,AF6:AF95,"&lt;&gt;")</f>
        <v>632697.193414873</v>
      </c>
      <c r="AG97" s="129"/>
      <c r="AH97" s="129" t="n">
        <f aca="false">SUMIFS(AH6:AH95,AH6:AH95,"&lt;&gt;")</f>
        <v>769216.899296934</v>
      </c>
      <c r="AI97" s="129" t="n">
        <f aca="false">SUMIFS(AI6:AI95,AI6:AI95,"&lt;&gt;")</f>
        <v>0</v>
      </c>
      <c r="AJ97" s="129" t="n">
        <f aca="false">SUMIFS(AJ6:AJ95,AJ6:AJ95,"&lt;&gt;")</f>
        <v>632697.191315133</v>
      </c>
      <c r="AK97" s="129"/>
      <c r="AL97" s="129" t="n">
        <f aca="false">SUMIFS(AL6:AL95,AL6:AL95,"&lt;&gt;")</f>
        <v>1440672.20765296</v>
      </c>
      <c r="AM97" s="129" t="n">
        <f aca="false">SUMIFS(AM6:AM95,AM6:AM95,"&lt;&gt;")</f>
        <v>0</v>
      </c>
      <c r="AN97" s="129" t="n">
        <f aca="false">SUMIFS(AN6:AN95,AN6:AN95,"&lt;&gt;")</f>
        <v>999101.928826481</v>
      </c>
      <c r="AO97" s="129"/>
      <c r="AP97" s="129" t="n">
        <f aca="false">SUMIFS(AP6:AP95,AP6:AP95,"&lt;&gt;")</f>
        <v>1544149.06314463</v>
      </c>
      <c r="AQ97" s="129" t="n">
        <f aca="false">SUMIFS(AQ6:AQ95,AQ6:AQ95,"&lt;&gt;")</f>
        <v>0</v>
      </c>
      <c r="AR97" s="129" t="n">
        <f aca="false">SUMIFS(AR6:AR95,AR6:AR95,"&lt;&gt;")</f>
        <v>1080952.85657232</v>
      </c>
      <c r="AS97" s="129"/>
      <c r="AT97" s="129" t="n">
        <f aca="false">SUMIFS(AT6:AT95,AT6:AT95,"&lt;&gt;")</f>
        <v>985398.894649886</v>
      </c>
      <c r="AU97" s="129" t="n">
        <f aca="false">SUMIFS(AU6:AU95,AU6:AU95,"&lt;&gt;")</f>
        <v>0</v>
      </c>
      <c r="AV97" s="129" t="n">
        <f aca="false">SUMIFS(AV6:AV95,AV6:AV95,"&lt;&gt;")</f>
        <v>774577.772324943</v>
      </c>
      <c r="AW97" s="129"/>
      <c r="AX97" s="129" t="n">
        <f aca="false">SUM(AX6:AX95)</f>
        <v>6793426.70924118</v>
      </c>
      <c r="AY97" s="129" t="n">
        <f aca="false">SUM(AY6:AY95)</f>
        <v>2282979.73</v>
      </c>
      <c r="AZ97" s="129" t="n">
        <f aca="false">SUM(AZ6:AZ95)</f>
        <v>4510446.97924118</v>
      </c>
    </row>
    <row r="98" customFormat="false" ht="15" hidden="false" customHeight="true" outlineLevel="0" collapsed="false"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</row>
    <row r="99" customFormat="false" ht="15" hidden="false" customHeight="true" outlineLevel="0" collapsed="false"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</row>
    <row r="100" customFormat="false" ht="15" hidden="false" customHeight="true" outlineLevel="0" collapsed="false"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</row>
    <row r="101" customFormat="false" ht="15" hidden="false" customHeight="true" outlineLevel="0" collapsed="false"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</row>
    <row r="102" customFormat="false" ht="15" hidden="false" customHeight="true" outlineLevel="0" collapsed="false"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</row>
    <row r="103" customFormat="false" ht="15" hidden="false" customHeight="true" outlineLevel="0" collapsed="false"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</row>
    <row r="104" customFormat="false" ht="15" hidden="false" customHeight="true" outlineLevel="0" collapsed="false"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</row>
    <row r="105" customFormat="false" ht="15" hidden="false" customHeight="true" outlineLevel="0" collapsed="false"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</row>
    <row r="106" customFormat="false" ht="15" hidden="false" customHeight="true" outlineLevel="0" collapsed="false"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</row>
    <row r="107" customFormat="false" ht="15" hidden="false" customHeight="true" outlineLevel="0" collapsed="false"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</row>
    <row r="108" customFormat="false" ht="15" hidden="false" customHeight="true" outlineLevel="0" collapsed="false"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</row>
    <row r="109" customFormat="false" ht="15" hidden="false" customHeight="true" outlineLevel="0" collapsed="false"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01" t="s">
        <v>302</v>
      </c>
    </row>
    <row r="2" customFormat="false" ht="15" hidden="false" customHeight="true" outlineLevel="0" collapsed="false">
      <c r="A2" s="102" t="s">
        <v>303</v>
      </c>
    </row>
    <row r="4" customFormat="false" ht="31.5" hidden="false" customHeight="true" outlineLevel="0" collapsed="false">
      <c r="A4" s="131" t="s">
        <v>304</v>
      </c>
      <c r="B4" s="131" t="s">
        <v>305</v>
      </c>
      <c r="C4" s="131" t="s">
        <v>306</v>
      </c>
      <c r="D4" s="131" t="s">
        <v>307</v>
      </c>
      <c r="E4" s="131" t="s">
        <v>308</v>
      </c>
      <c r="F4" s="131" t="s">
        <v>309</v>
      </c>
      <c r="G4" s="131" t="s">
        <v>310</v>
      </c>
      <c r="H4" s="131" t="s">
        <v>311</v>
      </c>
      <c r="I4" s="132" t="s">
        <v>312</v>
      </c>
      <c r="J4" s="131" t="s">
        <v>313</v>
      </c>
      <c r="K4" s="131" t="s">
        <v>314</v>
      </c>
      <c r="L4" s="131" t="s">
        <v>315</v>
      </c>
      <c r="M4" s="132" t="s">
        <v>316</v>
      </c>
      <c r="N4" s="132" t="s">
        <v>317</v>
      </c>
      <c r="O4" s="132" t="s">
        <v>318</v>
      </c>
      <c r="P4" s="132" t="s">
        <v>319</v>
      </c>
      <c r="Q4" s="132" t="s">
        <v>320</v>
      </c>
      <c r="R4" s="132" t="s">
        <v>321</v>
      </c>
      <c r="S4" s="132" t="s">
        <v>322</v>
      </c>
    </row>
    <row r="5" customFormat="false" ht="15" hidden="false" customHeight="true" outlineLevel="0" collapsed="false">
      <c r="A5" s="133" t="s">
        <v>199</v>
      </c>
      <c r="B5" s="134" t="n">
        <f aca="false">SUM(Helpers!C96:N96)</f>
        <v>0</v>
      </c>
      <c r="C5" s="134" t="n">
        <f aca="false">(SUM(Helpers!C97:N97)-SUM(Helpers!C96:N96))*(Assumptions!$B$10+Assumptions!$B$12)/Assumptions!$B$9</f>
        <v>0</v>
      </c>
      <c r="D5" s="134" t="n">
        <f aca="false">(SUM(Helpers!C97:N97)-SUM(Helpers!C96:N96))*Assumptions!$B$11/Assumptions!$B$9</f>
        <v>0</v>
      </c>
      <c r="E5" s="134" t="n">
        <v>0</v>
      </c>
      <c r="F5" s="135" t="n">
        <f aca="false">SUM(Helpers!C97:N97)</f>
        <v>0</v>
      </c>
      <c r="G5" s="134" t="n">
        <f aca="false">SUM(Helpers!C99:N99)</f>
        <v>1499344.29571525</v>
      </c>
      <c r="H5" s="135" t="n">
        <f aca="false">SUM(Helpers!C100:N100)</f>
        <v>0</v>
      </c>
      <c r="I5" s="136" t="n">
        <f aca="false">-SUM(Model!B142:M142)</f>
        <v>-0</v>
      </c>
      <c r="J5" s="134" t="n">
        <f aca="false">Personnel!$C$38*9/12</f>
        <v>166500</v>
      </c>
      <c r="K5" s="137" t="n">
        <f aca="false">I5+J5</f>
        <v>166500</v>
      </c>
      <c r="L5" s="138" t="n">
        <f aca="false">IFERROR(I5/K5,0)</f>
        <v>-0</v>
      </c>
      <c r="M5" s="136" t="n">
        <f aca="false">SUM(Helpers!C101:N101)</f>
        <v>0</v>
      </c>
      <c r="N5" s="136" t="n">
        <f aca="false">B5-M5</f>
        <v>0</v>
      </c>
      <c r="O5" s="136" t="n">
        <f aca="false">IFERROR(H5*M5/B5,0)</f>
        <v>0</v>
      </c>
      <c r="P5" s="136" t="n">
        <f aca="false">H5-O5</f>
        <v>0</v>
      </c>
      <c r="Q5" s="139" t="n">
        <f aca="false">IF(N5&gt;=Assumptions!$B$86,Assumptions!$C$86,IF(N5&gt;=Assumptions!$B$85,Assumptions!$C$85,IF(N5&gt;=Assumptions!$B$84,Assumptions!$C$84,Assumptions!$C$83)))</f>
        <v>0.25</v>
      </c>
      <c r="R5" s="136" t="n">
        <f aca="false">O5*Q5*0.1</f>
        <v>0</v>
      </c>
      <c r="S5" s="136" t="n">
        <f aca="false">P5*0.1</f>
        <v>0</v>
      </c>
    </row>
    <row r="6" customFormat="false" ht="15" hidden="false" customHeight="true" outlineLevel="0" collapsed="false">
      <c r="A6" s="140" t="s">
        <v>200</v>
      </c>
      <c r="B6" s="141" t="n">
        <f aca="false">SUM(Helpers!O96:Z96)</f>
        <v>17491918.947061</v>
      </c>
      <c r="C6" s="141" t="n">
        <f aca="false">(SUM(Helpers!O97:Z97)-SUM(Helpers!O96:Z96))*(Assumptions!$B$10+Assumptions!$B$12)/Assumptions!$B$9</f>
        <v>1229650.7664705</v>
      </c>
      <c r="D6" s="141" t="n">
        <f aca="false">(SUM(Helpers!O97:Z97)-SUM(Helpers!O96:Z96))*Assumptions!$B$11/Assumptions!$B$9</f>
        <v>922233.606320401</v>
      </c>
      <c r="E6" s="141" t="n">
        <v>0</v>
      </c>
      <c r="F6" s="142" t="n">
        <f aca="false">SUM(Helpers!O97:Z97)</f>
        <v>19643803.3198519</v>
      </c>
      <c r="G6" s="141" t="n">
        <f aca="false">SUM(Helpers!O99:Z99)</f>
        <v>2782001.70956619</v>
      </c>
      <c r="H6" s="142" t="n">
        <f aca="false">SUM(Helpers!O100:Z100)</f>
        <v>185026.988658059</v>
      </c>
      <c r="I6" s="143" t="n">
        <f aca="false">-SUM(Model!N142:Y142)</f>
        <v>-0</v>
      </c>
      <c r="J6" s="141" t="n">
        <f aca="false">Personnel!$C$38</f>
        <v>222000</v>
      </c>
      <c r="K6" s="144" t="n">
        <f aca="false">I6+J6</f>
        <v>222000</v>
      </c>
      <c r="L6" s="145" t="n">
        <f aca="false">IFERROR(I6/K6,0)</f>
        <v>-0</v>
      </c>
      <c r="M6" s="136" t="n">
        <f aca="false">SUM(Helpers!O101:Z101)</f>
        <v>17491918.947061</v>
      </c>
      <c r="N6" s="136" t="n">
        <f aca="false">B6-M6</f>
        <v>0</v>
      </c>
      <c r="O6" s="136" t="n">
        <f aca="false">IFERROR(H6*M6/B6,0)</f>
        <v>185026.988658059</v>
      </c>
      <c r="P6" s="136" t="n">
        <f aca="false">H6-O6</f>
        <v>0</v>
      </c>
      <c r="Q6" s="139" t="n">
        <f aca="false">IF(N6&gt;=Assumptions!$B$86,Assumptions!$C$86,IF(N6&gt;=Assumptions!$B$85,Assumptions!$C$85,IF(N6&gt;=Assumptions!$B$84,Assumptions!$C$84,Assumptions!$C$83)))</f>
        <v>0.25</v>
      </c>
      <c r="R6" s="136" t="n">
        <f aca="false">O6*Q6*0.1</f>
        <v>4625.67471645148</v>
      </c>
      <c r="S6" s="136" t="n">
        <f aca="false">P6*0.1</f>
        <v>0</v>
      </c>
    </row>
    <row r="7" customFormat="false" ht="15" hidden="false" customHeight="true" outlineLevel="0" collapsed="false">
      <c r="A7" s="133" t="s">
        <v>201</v>
      </c>
      <c r="B7" s="134" t="n">
        <f aca="false">SUM(Helpers!AA96:AL96)</f>
        <v>27584250.052939</v>
      </c>
      <c r="C7" s="134" t="n">
        <f aca="false">(SUM(Helpers!AA97:AL97)-SUM(Helpers!AA96:AL96))*(Assumptions!$B$10+Assumptions!$B$12)/Assumptions!$B$9</f>
        <v>1871364.2798845</v>
      </c>
      <c r="D7" s="134" t="n">
        <f aca="false">(SUM(Helpers!AA97:AL97)-SUM(Helpers!AA96:AL96))*Assumptions!$B$11/Assumptions!$B$9</f>
        <v>1403516.4094036</v>
      </c>
      <c r="E7" s="134" t="n">
        <v>0</v>
      </c>
      <c r="F7" s="135" t="n">
        <f aca="false">SUM(Helpers!AA97:AL97)</f>
        <v>30859130.7422271</v>
      </c>
      <c r="G7" s="134" t="n">
        <f aca="false">SUM(Helpers!AA99:AL99)</f>
        <v>3819751.25053506</v>
      </c>
      <c r="H7" s="135" t="n">
        <f aca="false">SUM(Helpers!AA100:AL100)</f>
        <v>1209995.62378065</v>
      </c>
      <c r="I7" s="136" t="n">
        <f aca="false">-SUM(Model!Z142:AK142)</f>
        <v>-0</v>
      </c>
      <c r="J7" s="134" t="n">
        <f aca="false">Personnel!$C$38</f>
        <v>222000</v>
      </c>
      <c r="K7" s="137" t="n">
        <f aca="false">I7+J7</f>
        <v>222000</v>
      </c>
      <c r="L7" s="138" t="n">
        <f aca="false">IFERROR(I7/K7,0)</f>
        <v>-0</v>
      </c>
      <c r="M7" s="136" t="n">
        <f aca="false">SUM(Helpers!AA101:AL101)</f>
        <v>27584250.052939</v>
      </c>
      <c r="N7" s="136" t="n">
        <f aca="false">B7-M7</f>
        <v>0</v>
      </c>
      <c r="O7" s="136" t="n">
        <f aca="false">IFERROR(H7*M7/B7,0)</f>
        <v>1209995.62378065</v>
      </c>
      <c r="P7" s="136" t="n">
        <f aca="false">H7-O7</f>
        <v>0</v>
      </c>
      <c r="Q7" s="139" t="n">
        <f aca="false">IF(N7&gt;=Assumptions!$B$86,Assumptions!$C$86,IF(N7&gt;=Assumptions!$B$85,Assumptions!$C$85,IF(N7&gt;=Assumptions!$B$84,Assumptions!$C$84,Assumptions!$C$83)))</f>
        <v>0.25</v>
      </c>
      <c r="R7" s="136" t="n">
        <f aca="false">O7*Q7*0.1</f>
        <v>30249.8905945162</v>
      </c>
      <c r="S7" s="136" t="n">
        <f aca="false">P7*0.1</f>
        <v>0</v>
      </c>
    </row>
    <row r="8" customFormat="false" ht="15" hidden="false" customHeight="true" outlineLevel="0" collapsed="false">
      <c r="A8" s="140" t="s">
        <v>202</v>
      </c>
      <c r="B8" s="141" t="n">
        <f aca="false">SUM(Helpers!AM96:AX96)</f>
        <v>0</v>
      </c>
      <c r="C8" s="141" t="n">
        <f aca="false">(SUM(Helpers!AM97:AX97)-SUM(Helpers!AM96:AX96))*(Assumptions!$B$10+Assumptions!$B$12)/Assumptions!$B$9</f>
        <v>0</v>
      </c>
      <c r="D8" s="141" t="n">
        <f aca="false">(SUM(Helpers!AM97:AX97)-SUM(Helpers!AM96:AX96))*Assumptions!$B$11/Assumptions!$B$9</f>
        <v>0</v>
      </c>
      <c r="E8" s="141" t="n">
        <v>0</v>
      </c>
      <c r="F8" s="142" t="n">
        <f aca="false">SUM(Helpers!AM97:AX97)</f>
        <v>0</v>
      </c>
      <c r="G8" s="141" t="n">
        <f aca="false">SUM(Helpers!AM99:AX99)</f>
        <v>-2240750.96519027</v>
      </c>
      <c r="H8" s="142" t="n">
        <f aca="false">SUM(Helpers!AM100:AX100)</f>
        <v>0</v>
      </c>
      <c r="I8" s="143" t="n">
        <f aca="false">-SUM(Model!AL142:AW142)</f>
        <v>-0</v>
      </c>
      <c r="J8" s="141" t="n">
        <f aca="false">Personnel!$C$38</f>
        <v>222000</v>
      </c>
      <c r="K8" s="144" t="n">
        <f aca="false">I8+J8</f>
        <v>222000</v>
      </c>
      <c r="L8" s="145" t="n">
        <f aca="false">IFERROR(I8/K8,0)</f>
        <v>-0</v>
      </c>
      <c r="M8" s="136" t="n">
        <f aca="false">SUM(Helpers!AM101:AX101)</f>
        <v>0</v>
      </c>
      <c r="N8" s="136" t="n">
        <f aca="false">B8-M8</f>
        <v>0</v>
      </c>
      <c r="O8" s="136" t="n">
        <f aca="false">IFERROR(H8*M8/B8,0)</f>
        <v>0</v>
      </c>
      <c r="P8" s="136" t="n">
        <f aca="false">H8-O8</f>
        <v>0</v>
      </c>
      <c r="Q8" s="139" t="n">
        <f aca="false">IF(N8&gt;=Assumptions!$B$86,Assumptions!$C$86,IF(N8&gt;=Assumptions!$B$85,Assumptions!$C$85,IF(N8&gt;=Assumptions!$B$84,Assumptions!$C$84,Assumptions!$C$83)))</f>
        <v>0.25</v>
      </c>
      <c r="R8" s="136" t="n">
        <f aca="false">O8*Q8*0.1</f>
        <v>0</v>
      </c>
      <c r="S8" s="136" t="n">
        <f aca="false">P8*0.1</f>
        <v>0</v>
      </c>
    </row>
    <row r="9" customFormat="false" ht="15" hidden="false" customHeight="true" outlineLevel="0" collapsed="false">
      <c r="A9" s="133" t="s">
        <v>203</v>
      </c>
      <c r="B9" s="134" t="n">
        <f aca="false">SUM(Helpers!AY96:BJ96)</f>
        <v>0</v>
      </c>
      <c r="C9" s="134" t="n">
        <f aca="false">(SUM(Helpers!AY97:BJ97)-SUM(Helpers!AY96:BJ96))*(Assumptions!$B$10+Assumptions!$B$12)/Assumptions!$B$9</f>
        <v>0</v>
      </c>
      <c r="D9" s="134" t="n">
        <f aca="false">(SUM(Helpers!AY97:BJ97)-SUM(Helpers!AY96:BJ96))*Assumptions!$B$11/Assumptions!$B$9</f>
        <v>0</v>
      </c>
      <c r="E9" s="134" t="n">
        <v>0</v>
      </c>
      <c r="F9" s="135" t="n">
        <f aca="false">SUM(Helpers!AY97:BJ97)</f>
        <v>0</v>
      </c>
      <c r="G9" s="134" t="n">
        <f aca="false">SUM(Helpers!AY99:BJ99)</f>
        <v>-4642324.18439543</v>
      </c>
      <c r="H9" s="135" t="n">
        <f aca="false">SUM(Helpers!AY100:BJ100)</f>
        <v>0</v>
      </c>
      <c r="I9" s="136" t="n">
        <f aca="false">-SUM(Model!AX142:BI142)</f>
        <v>-0</v>
      </c>
      <c r="J9" s="134" t="n">
        <f aca="false">Personnel!$C$38</f>
        <v>222000</v>
      </c>
      <c r="K9" s="137" t="n">
        <f aca="false">I9+J9</f>
        <v>222000</v>
      </c>
      <c r="L9" s="138" t="n">
        <f aca="false">IFERROR(I9/K9,0)</f>
        <v>-0</v>
      </c>
      <c r="M9" s="136" t="n">
        <f aca="false">SUM(Helpers!AY101:BJ101)</f>
        <v>0</v>
      </c>
      <c r="N9" s="136" t="n">
        <f aca="false">B9-M9</f>
        <v>0</v>
      </c>
      <c r="O9" s="136" t="n">
        <f aca="false">IFERROR(H9*M9/B9,0)</f>
        <v>0</v>
      </c>
      <c r="P9" s="136" t="n">
        <f aca="false">H9-O9</f>
        <v>0</v>
      </c>
      <c r="Q9" s="139" t="n">
        <f aca="false">IF(N9&gt;=Assumptions!$B$86,Assumptions!$C$86,IF(N9&gt;=Assumptions!$B$85,Assumptions!$C$85,IF(N9&gt;=Assumptions!$B$84,Assumptions!$C$84,Assumptions!$C$83)))</f>
        <v>0.25</v>
      </c>
      <c r="R9" s="136" t="n">
        <f aca="false">O9*Q9*0.1</f>
        <v>0</v>
      </c>
      <c r="S9" s="136" t="n">
        <f aca="false">P9*0.1</f>
        <v>0</v>
      </c>
    </row>
    <row r="10" customFormat="false" ht="15" hidden="false" customHeight="true" outlineLevel="0" collapsed="false">
      <c r="A10" s="140" t="s">
        <v>204</v>
      </c>
      <c r="B10" s="141" t="n">
        <f aca="false">SUM(Helpers!BK96:BV96)</f>
        <v>0</v>
      </c>
      <c r="C10" s="141" t="n">
        <f aca="false">(SUM(Helpers!BK97:BV97)-SUM(Helpers!BK96:BV96))*(Assumptions!$B$10+Assumptions!$B$12)/Assumptions!$B$9</f>
        <v>0</v>
      </c>
      <c r="D10" s="141" t="n">
        <f aca="false">(SUM(Helpers!BK97:BV97)-SUM(Helpers!BK96:BV96))*Assumptions!$B$11/Assumptions!$B$9</f>
        <v>0</v>
      </c>
      <c r="E10" s="141" t="n">
        <v>0</v>
      </c>
      <c r="F10" s="142" t="n">
        <f aca="false">SUM(Helpers!BK97:BV97)</f>
        <v>0</v>
      </c>
      <c r="G10" s="141" t="n">
        <f aca="false">SUM(Helpers!BK99:BV99)</f>
        <v>-6733106.83918514</v>
      </c>
      <c r="H10" s="142" t="n">
        <f aca="false">SUM(Helpers!BK100:BV100)</f>
        <v>0</v>
      </c>
      <c r="I10" s="143" t="n">
        <f aca="false">-SUM(Model!BJ142:BU142)</f>
        <v>-0</v>
      </c>
      <c r="J10" s="141" t="n">
        <f aca="false">Personnel!$C$38</f>
        <v>222000</v>
      </c>
      <c r="K10" s="144" t="n">
        <f aca="false">I10+J10</f>
        <v>222000</v>
      </c>
      <c r="L10" s="145" t="n">
        <f aca="false">IFERROR(I10/K10,0)</f>
        <v>-0</v>
      </c>
      <c r="M10" s="136" t="n">
        <f aca="false">SUM(Helpers!BK101:BV101)</f>
        <v>0</v>
      </c>
      <c r="N10" s="136" t="n">
        <f aca="false">B10-M10</f>
        <v>0</v>
      </c>
      <c r="O10" s="136" t="n">
        <f aca="false">IFERROR(H10*M10/B10,0)</f>
        <v>0</v>
      </c>
      <c r="P10" s="136" t="n">
        <f aca="false">H10-O10</f>
        <v>0</v>
      </c>
      <c r="Q10" s="139" t="n">
        <f aca="false">IF(N10&gt;=Assumptions!$B$86,Assumptions!$C$86,IF(N10&gt;=Assumptions!$B$85,Assumptions!$C$85,IF(N10&gt;=Assumptions!$B$84,Assumptions!$C$84,Assumptions!$C$83)))</f>
        <v>0.25</v>
      </c>
      <c r="R10" s="136" t="n">
        <f aca="false">O10*Q10*0.1</f>
        <v>0</v>
      </c>
      <c r="S10" s="136" t="n">
        <f aca="false">P10*0.1</f>
        <v>0</v>
      </c>
    </row>
    <row r="11" customFormat="false" ht="15" hidden="false" customHeight="true" outlineLevel="0" collapsed="false">
      <c r="A11" s="133" t="s">
        <v>205</v>
      </c>
      <c r="B11" s="134" t="n">
        <f aca="false">SUM(Helpers!BW96:CH96)</f>
        <v>0</v>
      </c>
      <c r="C11" s="134" t="n">
        <f aca="false">(SUM(Helpers!BW97:CH97)-SUM(Helpers!BW96:CH96))*(Assumptions!$B$10+Assumptions!$B$12)/Assumptions!$B$9</f>
        <v>0</v>
      </c>
      <c r="D11" s="134" t="n">
        <f aca="false">(SUM(Helpers!BW97:CH97)-SUM(Helpers!BW96:CH96))*Assumptions!$B$11/Assumptions!$B$9</f>
        <v>0</v>
      </c>
      <c r="E11" s="134" t="n">
        <v>0</v>
      </c>
      <c r="F11" s="135" t="n">
        <f aca="false">SUM(Helpers!BW97:CH97)</f>
        <v>0</v>
      </c>
      <c r="G11" s="134" t="n">
        <f aca="false">SUM(Helpers!BW99:CH99)</f>
        <v>-6842848.97596885</v>
      </c>
      <c r="H11" s="135" t="n">
        <f aca="false">SUM(Helpers!BW100:CH100)</f>
        <v>0</v>
      </c>
      <c r="I11" s="136" t="n">
        <f aca="false">-SUM(Model!BV142:CG142)</f>
        <v>-0</v>
      </c>
      <c r="J11" s="134" t="n">
        <f aca="false">Personnel!$C$38</f>
        <v>222000</v>
      </c>
      <c r="K11" s="137" t="n">
        <f aca="false">I11+J11</f>
        <v>222000</v>
      </c>
      <c r="L11" s="138" t="n">
        <f aca="false">IFERROR(I11/K11,0)</f>
        <v>-0</v>
      </c>
      <c r="M11" s="136" t="n">
        <f aca="false">SUM(Helpers!BW101:CH101)</f>
        <v>0</v>
      </c>
      <c r="N11" s="136" t="n">
        <f aca="false">B11-M11</f>
        <v>0</v>
      </c>
      <c r="O11" s="136" t="n">
        <f aca="false">IFERROR(H11*M11/B11,0)</f>
        <v>0</v>
      </c>
      <c r="P11" s="136" t="n">
        <f aca="false">H11-O11</f>
        <v>0</v>
      </c>
      <c r="Q11" s="139" t="n">
        <f aca="false">IF(N11&gt;=Assumptions!$B$86,Assumptions!$C$86,IF(N11&gt;=Assumptions!$B$85,Assumptions!$C$85,IF(N11&gt;=Assumptions!$B$84,Assumptions!$C$84,Assumptions!$C$83)))</f>
        <v>0.25</v>
      </c>
      <c r="R11" s="136" t="n">
        <f aca="false">O11*Q11*0.1</f>
        <v>0</v>
      </c>
      <c r="S11" s="136" t="n">
        <f aca="false">P11*0.1</f>
        <v>0</v>
      </c>
    </row>
    <row r="12" customFormat="false" ht="15" hidden="false" customHeight="true" outlineLevel="0" collapsed="false">
      <c r="A12" s="140" t="s">
        <v>206</v>
      </c>
      <c r="B12" s="141" t="n">
        <f aca="false">SUM(Helpers!CI96:CT96)</f>
        <v>0</v>
      </c>
      <c r="C12" s="141" t="n">
        <f aca="false">(SUM(Helpers!CI97:CT97)-SUM(Helpers!CI96:CT96))*(Assumptions!$B$10+Assumptions!$B$12)/Assumptions!$B$9</f>
        <v>0</v>
      </c>
      <c r="D12" s="141" t="n">
        <f aca="false">(SUM(Helpers!CI97:CT97)-SUM(Helpers!CI96:CT96))*Assumptions!$B$11/Assumptions!$B$9</f>
        <v>0</v>
      </c>
      <c r="E12" s="141" t="n">
        <v>0</v>
      </c>
      <c r="F12" s="142" t="n">
        <f aca="false">SUM(Helpers!CI97:CT97)</f>
        <v>0</v>
      </c>
      <c r="G12" s="141" t="n">
        <f aca="false">SUM(Helpers!CI99:CT99)</f>
        <v>-6954785.95548822</v>
      </c>
      <c r="H12" s="142" t="n">
        <f aca="false">SUM(Helpers!CI100:CT100)</f>
        <v>0</v>
      </c>
      <c r="I12" s="143" t="n">
        <f aca="false">-SUM(Model!CH142:CS142)</f>
        <v>-0</v>
      </c>
      <c r="J12" s="141" t="n">
        <f aca="false">Personnel!$C$38</f>
        <v>222000</v>
      </c>
      <c r="K12" s="144" t="n">
        <f aca="false">I12+J12</f>
        <v>222000</v>
      </c>
      <c r="L12" s="145" t="n">
        <f aca="false">IFERROR(I12/K12,0)</f>
        <v>-0</v>
      </c>
      <c r="M12" s="136" t="n">
        <f aca="false">SUM(Helpers!CI101:CT101)</f>
        <v>0</v>
      </c>
      <c r="N12" s="136" t="n">
        <f aca="false">B12-M12</f>
        <v>0</v>
      </c>
      <c r="O12" s="136" t="n">
        <f aca="false">IFERROR(H12*M12/B12,0)</f>
        <v>0</v>
      </c>
      <c r="P12" s="136" t="n">
        <f aca="false">H12-O12</f>
        <v>0</v>
      </c>
      <c r="Q12" s="139" t="n">
        <f aca="false">IF(N12&gt;=Assumptions!$B$86,Assumptions!$C$86,IF(N12&gt;=Assumptions!$B$85,Assumptions!$C$85,IF(N12&gt;=Assumptions!$B$84,Assumptions!$C$84,Assumptions!$C$83)))</f>
        <v>0.25</v>
      </c>
      <c r="R12" s="136" t="n">
        <f aca="false">O12*Q12*0.1</f>
        <v>0</v>
      </c>
      <c r="S12" s="136" t="n">
        <f aca="false">P12*0.1</f>
        <v>0</v>
      </c>
    </row>
    <row r="13" customFormat="false" ht="15" hidden="false" customHeight="true" outlineLevel="0" collapsed="false">
      <c r="A13" s="128" t="s">
        <v>323</v>
      </c>
      <c r="B13" s="146" t="n">
        <f aca="false">SUM(B5:B12)</f>
        <v>45076169</v>
      </c>
      <c r="C13" s="146" t="n">
        <f aca="false">SUM(C5:C12)</f>
        <v>3101015.046355</v>
      </c>
      <c r="D13" s="146" t="n">
        <f aca="false">SUM(D5:D12)</f>
        <v>2325750.015724</v>
      </c>
      <c r="E13" s="146" t="n">
        <f aca="false">SUM(E5:E12)</f>
        <v>0</v>
      </c>
      <c r="F13" s="146" t="n">
        <f aca="false">SUM(F5:F12)</f>
        <v>50502934.062079</v>
      </c>
      <c r="G13" s="146" t="n">
        <f aca="false">SUM(G5:G12)</f>
        <v>-19312719.6644114</v>
      </c>
      <c r="H13" s="146" t="n">
        <f aca="false">SUM(H5:H12)</f>
        <v>1395022.61243871</v>
      </c>
      <c r="I13" s="147" t="n">
        <f aca="false">SUM(I5:I12)</f>
        <v>0</v>
      </c>
      <c r="J13" s="146" t="n">
        <f aca="false">SUM(J5:J12)</f>
        <v>1720500</v>
      </c>
      <c r="K13" s="146" t="n">
        <f aca="false">SUM(K5:K12)</f>
        <v>1720500</v>
      </c>
      <c r="L13" s="148" t="n">
        <f aca="false">IFERROR(I13/K13,0)</f>
        <v>0</v>
      </c>
      <c r="M13" s="149" t="n">
        <f aca="false">SUM(M5:M12)</f>
        <v>45076169</v>
      </c>
      <c r="N13" s="149" t="n">
        <f aca="false">SUM(N5:N12)</f>
        <v>0</v>
      </c>
      <c r="O13" s="149" t="n">
        <f aca="false">SUM(O5:O12)</f>
        <v>1395022.61243871</v>
      </c>
      <c r="P13" s="149" t="n">
        <f aca="false">SUM(P5:P12)</f>
        <v>0</v>
      </c>
      <c r="Q13" s="150" t="n">
        <f aca="false">IFERROR(R13/O13,0)</f>
        <v>0.025</v>
      </c>
      <c r="R13" s="149" t="n">
        <f aca="false">SUM(R5:R12)</f>
        <v>34875.5653109677</v>
      </c>
      <c r="S13" s="149" t="n">
        <f aca="false">SUM(S5:S12)</f>
        <v>0</v>
      </c>
    </row>
    <row r="15" customFormat="false" ht="15" hidden="false" customHeight="true" outlineLevel="0" collapsed="false">
      <c r="A15" s="108" t="s">
        <v>192</v>
      </c>
    </row>
    <row r="16" customFormat="false" ht="15" hidden="false" customHeight="true" outlineLevel="0" collapsed="false">
      <c r="A16" s="151" t="s">
        <v>324</v>
      </c>
      <c r="B16" s="151"/>
      <c r="C16" s="151"/>
      <c r="D16" s="151"/>
      <c r="E16" s="151"/>
      <c r="F16" s="151"/>
      <c r="G16" s="151"/>
      <c r="H16" s="151"/>
    </row>
    <row r="17" customFormat="false" ht="15" hidden="false" customHeight="true" outlineLevel="0" collapsed="false">
      <c r="A17" s="151" t="s">
        <v>325</v>
      </c>
      <c r="B17" s="151"/>
      <c r="C17" s="151"/>
      <c r="D17" s="151"/>
      <c r="E17" s="151"/>
      <c r="F17" s="151"/>
      <c r="G17" s="151"/>
      <c r="H17" s="151"/>
    </row>
    <row r="18" customFormat="false" ht="15" hidden="false" customHeight="true" outlineLevel="0" collapsed="false">
      <c r="A18" s="151" t="s">
        <v>326</v>
      </c>
      <c r="B18" s="151"/>
      <c r="C18" s="151"/>
      <c r="D18" s="151"/>
      <c r="E18" s="151"/>
      <c r="F18" s="151"/>
      <c r="G18" s="151"/>
      <c r="H18" s="151"/>
    </row>
    <row r="19" customFormat="false" ht="15" hidden="false" customHeight="true" outlineLevel="0" collapsed="false">
      <c r="A19" s="151" t="s">
        <v>327</v>
      </c>
      <c r="B19" s="151"/>
      <c r="C19" s="151"/>
      <c r="D19" s="151"/>
      <c r="E19" s="151"/>
      <c r="F19" s="151"/>
      <c r="G19" s="151"/>
      <c r="H19" s="151"/>
    </row>
    <row r="20" customFormat="false" ht="15" hidden="false" customHeight="true" outlineLevel="0" collapsed="false">
      <c r="A20" s="151" t="s">
        <v>328</v>
      </c>
      <c r="B20" s="151"/>
      <c r="C20" s="151"/>
      <c r="D20" s="151"/>
      <c r="E20" s="151"/>
      <c r="F20" s="151"/>
      <c r="G20" s="151"/>
      <c r="H20" s="151"/>
    </row>
    <row r="21" customFormat="false" ht="15" hidden="false" customHeight="true" outlineLevel="0" collapsed="false">
      <c r="A21" s="77" t="s">
        <v>329</v>
      </c>
    </row>
    <row r="22" customFormat="false" ht="15" hidden="false" customHeight="true" outlineLevel="0" collapsed="false">
      <c r="A22" s="77" t="s">
        <v>330</v>
      </c>
    </row>
    <row r="23" customFormat="false" ht="15" hidden="false" customHeight="true" outlineLevel="0" collapsed="false">
      <c r="A23" s="77" t="s">
        <v>331</v>
      </c>
    </row>
    <row r="24" customFormat="false" ht="15" hidden="false" customHeight="true" outlineLevel="0" collapsed="false">
      <c r="A24" s="77" t="s">
        <v>332</v>
      </c>
    </row>
    <row r="25" customFormat="false" ht="15" hidden="false" customHeight="true" outlineLevel="0" collapsed="false">
      <c r="A25" s="77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01" t="s">
        <v>334</v>
      </c>
    </row>
    <row r="2" customFormat="false" ht="15" hidden="false" customHeight="true" outlineLevel="0" collapsed="false">
      <c r="A2" s="102" t="s">
        <v>335</v>
      </c>
      <c r="C2" s="103" t="n">
        <v>46023</v>
      </c>
      <c r="D2" s="103" t="n">
        <v>46054</v>
      </c>
      <c r="E2" s="103" t="n">
        <v>46082</v>
      </c>
      <c r="F2" s="103" t="n">
        <v>46113</v>
      </c>
      <c r="G2" s="103" t="n">
        <v>46143</v>
      </c>
      <c r="H2" s="103" t="n">
        <v>46174</v>
      </c>
      <c r="I2" s="103" t="n">
        <v>46204</v>
      </c>
      <c r="J2" s="103" t="n">
        <v>46235</v>
      </c>
      <c r="K2" s="103" t="n">
        <v>46266</v>
      </c>
      <c r="L2" s="103" t="n">
        <v>46296</v>
      </c>
      <c r="M2" s="103" t="n">
        <v>46327</v>
      </c>
      <c r="N2" s="103" t="n">
        <v>46357</v>
      </c>
      <c r="O2" s="103" t="n">
        <v>46388</v>
      </c>
      <c r="P2" s="103" t="n">
        <v>46419</v>
      </c>
      <c r="Q2" s="103" t="n">
        <v>46447</v>
      </c>
      <c r="R2" s="103" t="n">
        <v>46478</v>
      </c>
      <c r="S2" s="103" t="n">
        <v>46508</v>
      </c>
      <c r="T2" s="103" t="n">
        <v>46539</v>
      </c>
      <c r="U2" s="103" t="n">
        <v>46569</v>
      </c>
      <c r="V2" s="103" t="n">
        <v>46600</v>
      </c>
      <c r="W2" s="103" t="n">
        <v>46631</v>
      </c>
      <c r="X2" s="103" t="n">
        <v>46661</v>
      </c>
      <c r="Y2" s="103" t="n">
        <v>46692</v>
      </c>
      <c r="Z2" s="103" t="n">
        <v>46722</v>
      </c>
      <c r="AA2" s="103" t="n">
        <v>46753</v>
      </c>
      <c r="AB2" s="103" t="n">
        <v>46784</v>
      </c>
      <c r="AC2" s="103" t="n">
        <v>46813</v>
      </c>
      <c r="AD2" s="103" t="n">
        <v>46844</v>
      </c>
      <c r="AE2" s="103" t="n">
        <v>46874</v>
      </c>
      <c r="AF2" s="103" t="n">
        <v>46905</v>
      </c>
      <c r="AG2" s="103" t="n">
        <v>46935</v>
      </c>
      <c r="AH2" s="103" t="n">
        <v>46966</v>
      </c>
      <c r="AI2" s="103" t="n">
        <v>46997</v>
      </c>
      <c r="AJ2" s="103" t="n">
        <v>47027</v>
      </c>
      <c r="AK2" s="103" t="n">
        <v>47058</v>
      </c>
      <c r="AL2" s="103" t="n">
        <v>47088</v>
      </c>
      <c r="AM2" s="103" t="n">
        <v>47119</v>
      </c>
      <c r="AN2" s="103" t="n">
        <v>47150</v>
      </c>
      <c r="AO2" s="103" t="n">
        <v>47178</v>
      </c>
      <c r="AP2" s="103" t="n">
        <v>47209</v>
      </c>
      <c r="AQ2" s="103" t="n">
        <v>47239</v>
      </c>
      <c r="AR2" s="103" t="n">
        <v>47270</v>
      </c>
      <c r="AS2" s="103" t="n">
        <v>47300</v>
      </c>
      <c r="AT2" s="103" t="n">
        <v>47331</v>
      </c>
      <c r="AU2" s="103" t="n">
        <v>47362</v>
      </c>
      <c r="AV2" s="103" t="n">
        <v>47392</v>
      </c>
      <c r="AW2" s="103" t="n">
        <v>47423</v>
      </c>
      <c r="AX2" s="103" t="n">
        <v>47453</v>
      </c>
      <c r="AY2" s="103" t="n">
        <v>47484</v>
      </c>
      <c r="AZ2" s="103" t="n">
        <v>47515</v>
      </c>
      <c r="BA2" s="103" t="n">
        <v>47543</v>
      </c>
      <c r="BB2" s="103" t="n">
        <v>47574</v>
      </c>
      <c r="BC2" s="103" t="n">
        <v>47604</v>
      </c>
      <c r="BD2" s="103" t="n">
        <v>47635</v>
      </c>
      <c r="BE2" s="103" t="n">
        <v>47665</v>
      </c>
      <c r="BF2" s="103" t="n">
        <v>47696</v>
      </c>
      <c r="BG2" s="103" t="n">
        <v>47727</v>
      </c>
      <c r="BH2" s="103" t="n">
        <v>47757</v>
      </c>
      <c r="BI2" s="103" t="n">
        <v>47788</v>
      </c>
      <c r="BJ2" s="103" t="n">
        <v>47818</v>
      </c>
      <c r="BK2" s="103" t="n">
        <v>47849</v>
      </c>
      <c r="BL2" s="103" t="n">
        <v>47880</v>
      </c>
      <c r="BM2" s="103" t="n">
        <v>47908</v>
      </c>
      <c r="BN2" s="103" t="n">
        <v>47939</v>
      </c>
      <c r="BO2" s="103" t="n">
        <v>47969</v>
      </c>
      <c r="BP2" s="103" t="n">
        <v>48000</v>
      </c>
      <c r="BQ2" s="103" t="n">
        <v>48030</v>
      </c>
      <c r="BR2" s="103" t="n">
        <v>48061</v>
      </c>
      <c r="BS2" s="103" t="n">
        <v>48092</v>
      </c>
      <c r="BT2" s="103" t="n">
        <v>48122</v>
      </c>
      <c r="BU2" s="103" t="n">
        <v>48153</v>
      </c>
      <c r="BV2" s="103" t="n">
        <v>48183</v>
      </c>
      <c r="BW2" s="103" t="n">
        <v>48214</v>
      </c>
      <c r="BX2" s="103" t="n">
        <v>48245</v>
      </c>
      <c r="BY2" s="103" t="n">
        <v>48274</v>
      </c>
      <c r="BZ2" s="103" t="n">
        <v>48305</v>
      </c>
      <c r="CA2" s="103" t="n">
        <v>48335</v>
      </c>
      <c r="CB2" s="103" t="n">
        <v>48366</v>
      </c>
      <c r="CC2" s="103" t="n">
        <v>48396</v>
      </c>
      <c r="CD2" s="103" t="n">
        <v>48427</v>
      </c>
      <c r="CE2" s="103" t="n">
        <v>48458</v>
      </c>
      <c r="CF2" s="103" t="n">
        <v>48488</v>
      </c>
      <c r="CG2" s="103" t="n">
        <v>48519</v>
      </c>
      <c r="CH2" s="103" t="n">
        <v>48549</v>
      </c>
      <c r="CI2" s="103" t="n">
        <v>48580</v>
      </c>
      <c r="CJ2" s="103" t="n">
        <v>48611</v>
      </c>
      <c r="CK2" s="103" t="n">
        <v>48639</v>
      </c>
      <c r="CL2" s="103" t="n">
        <v>48670</v>
      </c>
      <c r="CM2" s="103" t="n">
        <v>48700</v>
      </c>
      <c r="CN2" s="103" t="n">
        <v>48731</v>
      </c>
      <c r="CO2" s="103" t="n">
        <v>48761</v>
      </c>
      <c r="CP2" s="103" t="n">
        <v>48792</v>
      </c>
      <c r="CQ2" s="103" t="n">
        <v>48823</v>
      </c>
      <c r="CR2" s="103" t="n">
        <v>48853</v>
      </c>
      <c r="CS2" s="103" t="n">
        <v>48884</v>
      </c>
      <c r="CT2" s="103" t="n">
        <v>48914</v>
      </c>
      <c r="CU2" s="103" t="n">
        <v>48945</v>
      </c>
      <c r="CV2" s="103" t="n">
        <v>48976</v>
      </c>
      <c r="CW2" s="103" t="n">
        <v>49004</v>
      </c>
      <c r="CX2" s="103" t="n">
        <v>49035</v>
      </c>
      <c r="CY2" s="103" t="n">
        <v>49065</v>
      </c>
      <c r="CZ2" s="103" t="n">
        <v>49096</v>
      </c>
      <c r="DA2" s="103" t="n">
        <v>49126</v>
      </c>
      <c r="DB2" s="103" t="n">
        <v>49157</v>
      </c>
      <c r="DC2" s="103" t="n">
        <v>49188</v>
      </c>
      <c r="DD2" s="103" t="n">
        <v>49218</v>
      </c>
      <c r="DE2" s="103" t="n">
        <v>49249</v>
      </c>
      <c r="DF2" s="103" t="n">
        <v>49279</v>
      </c>
    </row>
    <row r="3" customFormat="false" ht="15" hidden="false" customHeight="true" outlineLevel="0" collapsed="false">
      <c r="A3" s="152" t="s">
        <v>1</v>
      </c>
      <c r="C3" s="152" t="n">
        <v>-2</v>
      </c>
      <c r="D3" s="152" t="n">
        <v>-1</v>
      </c>
      <c r="E3" s="152" t="n">
        <v>0</v>
      </c>
      <c r="F3" s="152" t="n">
        <v>1</v>
      </c>
      <c r="G3" s="152" t="n">
        <v>2</v>
      </c>
      <c r="H3" s="152" t="n">
        <v>3</v>
      </c>
      <c r="I3" s="152" t="n">
        <v>4</v>
      </c>
      <c r="J3" s="152" t="n">
        <v>5</v>
      </c>
      <c r="K3" s="152" t="n">
        <v>6</v>
      </c>
      <c r="L3" s="152" t="n">
        <v>7</v>
      </c>
      <c r="M3" s="152" t="n">
        <v>8</v>
      </c>
      <c r="N3" s="152" t="n">
        <v>9</v>
      </c>
      <c r="O3" s="152" t="n">
        <v>10</v>
      </c>
      <c r="P3" s="152" t="n">
        <v>11</v>
      </c>
      <c r="Q3" s="152" t="n">
        <v>12</v>
      </c>
      <c r="R3" s="152" t="n">
        <v>13</v>
      </c>
      <c r="S3" s="152" t="n">
        <v>14</v>
      </c>
      <c r="T3" s="152" t="n">
        <v>15</v>
      </c>
      <c r="U3" s="152" t="n">
        <v>16</v>
      </c>
      <c r="V3" s="152" t="n">
        <v>17</v>
      </c>
      <c r="W3" s="152" t="n">
        <v>18</v>
      </c>
      <c r="X3" s="152" t="n">
        <v>19</v>
      </c>
      <c r="Y3" s="152" t="n">
        <v>20</v>
      </c>
      <c r="Z3" s="152" t="n">
        <v>21</v>
      </c>
      <c r="AA3" s="152" t="n">
        <v>22</v>
      </c>
      <c r="AB3" s="152" t="n">
        <v>23</v>
      </c>
      <c r="AC3" s="152" t="n">
        <v>24</v>
      </c>
      <c r="AD3" s="152" t="n">
        <v>25</v>
      </c>
      <c r="AE3" s="152" t="n">
        <v>26</v>
      </c>
      <c r="AF3" s="152" t="n">
        <v>27</v>
      </c>
      <c r="AG3" s="152" t="n">
        <v>28</v>
      </c>
      <c r="AH3" s="152" t="n">
        <v>29</v>
      </c>
      <c r="AI3" s="152" t="n">
        <v>30</v>
      </c>
      <c r="AJ3" s="152" t="n">
        <v>31</v>
      </c>
      <c r="AK3" s="152" t="n">
        <v>32</v>
      </c>
      <c r="AL3" s="152" t="n">
        <v>33</v>
      </c>
      <c r="AM3" s="152" t="n">
        <v>34</v>
      </c>
      <c r="AN3" s="152" t="n">
        <v>35</v>
      </c>
      <c r="AO3" s="152" t="n">
        <v>36</v>
      </c>
      <c r="AP3" s="152" t="n">
        <v>37</v>
      </c>
      <c r="AQ3" s="152" t="n">
        <v>38</v>
      </c>
      <c r="AR3" s="152" t="n">
        <v>39</v>
      </c>
      <c r="AS3" s="152" t="n">
        <v>40</v>
      </c>
      <c r="AT3" s="152" t="n">
        <v>41</v>
      </c>
      <c r="AU3" s="152" t="n">
        <v>42</v>
      </c>
      <c r="AV3" s="152" t="n">
        <v>43</v>
      </c>
      <c r="AW3" s="152" t="n">
        <v>44</v>
      </c>
      <c r="AX3" s="152" t="n">
        <v>45</v>
      </c>
      <c r="AY3" s="152" t="n">
        <v>46</v>
      </c>
      <c r="AZ3" s="152" t="n">
        <v>47</v>
      </c>
      <c r="BA3" s="152" t="n">
        <v>48</v>
      </c>
      <c r="BB3" s="152" t="n">
        <v>49</v>
      </c>
      <c r="BC3" s="152" t="n">
        <v>50</v>
      </c>
      <c r="BD3" s="152" t="n">
        <v>51</v>
      </c>
      <c r="BE3" s="152" t="n">
        <v>52</v>
      </c>
      <c r="BF3" s="152" t="n">
        <v>53</v>
      </c>
      <c r="BG3" s="152" t="n">
        <v>54</v>
      </c>
      <c r="BH3" s="152" t="n">
        <v>55</v>
      </c>
      <c r="BI3" s="152" t="n">
        <v>56</v>
      </c>
      <c r="BJ3" s="152" t="n">
        <v>57</v>
      </c>
      <c r="BK3" s="152" t="n">
        <v>58</v>
      </c>
      <c r="BL3" s="152" t="n">
        <v>59</v>
      </c>
      <c r="BM3" s="152" t="n">
        <v>60</v>
      </c>
      <c r="BN3" s="152" t="n">
        <v>61</v>
      </c>
      <c r="BO3" s="152" t="n">
        <v>62</v>
      </c>
      <c r="BP3" s="152" t="n">
        <v>63</v>
      </c>
      <c r="BQ3" s="152" t="n">
        <v>64</v>
      </c>
      <c r="BR3" s="152" t="n">
        <v>65</v>
      </c>
      <c r="BS3" s="152" t="n">
        <v>66</v>
      </c>
      <c r="BT3" s="152" t="n">
        <v>67</v>
      </c>
      <c r="BU3" s="152" t="n">
        <v>68</v>
      </c>
      <c r="BV3" s="152" t="n">
        <v>69</v>
      </c>
      <c r="BW3" s="152" t="n">
        <v>70</v>
      </c>
      <c r="BX3" s="152" t="n">
        <v>71</v>
      </c>
      <c r="BY3" s="152" t="n">
        <v>72</v>
      </c>
      <c r="BZ3" s="152" t="n">
        <v>73</v>
      </c>
      <c r="CA3" s="152" t="n">
        <v>74</v>
      </c>
      <c r="CB3" s="152" t="n">
        <v>75</v>
      </c>
      <c r="CC3" s="152" t="n">
        <v>76</v>
      </c>
      <c r="CD3" s="152" t="n">
        <v>77</v>
      </c>
      <c r="CE3" s="152" t="n">
        <v>78</v>
      </c>
      <c r="CF3" s="152" t="n">
        <v>79</v>
      </c>
      <c r="CG3" s="152" t="n">
        <v>80</v>
      </c>
      <c r="CH3" s="152" t="n">
        <v>81</v>
      </c>
      <c r="CI3" s="152" t="n">
        <v>82</v>
      </c>
      <c r="CJ3" s="152" t="n">
        <v>83</v>
      </c>
      <c r="CK3" s="152" t="n">
        <v>84</v>
      </c>
      <c r="CL3" s="152" t="n">
        <v>85</v>
      </c>
      <c r="CM3" s="152" t="n">
        <v>86</v>
      </c>
      <c r="CN3" s="152" t="n">
        <v>87</v>
      </c>
      <c r="CO3" s="152" t="n">
        <v>88</v>
      </c>
      <c r="CP3" s="152" t="n">
        <v>89</v>
      </c>
      <c r="CQ3" s="152" t="n">
        <v>90</v>
      </c>
      <c r="CR3" s="152" t="n">
        <v>91</v>
      </c>
      <c r="CS3" s="152" t="n">
        <v>92</v>
      </c>
      <c r="CT3" s="152" t="n">
        <v>93</v>
      </c>
      <c r="CU3" s="152" t="n">
        <v>94</v>
      </c>
      <c r="CV3" s="152" t="n">
        <v>95</v>
      </c>
      <c r="CW3" s="152" t="n">
        <v>96</v>
      </c>
      <c r="CX3" s="152" t="n">
        <v>97</v>
      </c>
      <c r="CY3" s="152" t="n">
        <v>98</v>
      </c>
      <c r="CZ3" s="152" t="n">
        <v>99</v>
      </c>
      <c r="DA3" s="152" t="n">
        <v>100</v>
      </c>
      <c r="DB3" s="152" t="n">
        <v>101</v>
      </c>
      <c r="DC3" s="152" t="n">
        <v>102</v>
      </c>
      <c r="DD3" s="152" t="n">
        <v>103</v>
      </c>
      <c r="DE3" s="152" t="n">
        <v>104</v>
      </c>
      <c r="DF3" s="152" t="n">
        <v>105</v>
      </c>
    </row>
    <row r="7" customFormat="false" ht="15" hidden="false" customHeight="true" outlineLevel="0" collapsed="false">
      <c r="A7" s="127"/>
      <c r="C7" s="112"/>
      <c r="D7" s="112"/>
      <c r="E7" s="112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</row>
    <row r="8" customFormat="false" ht="15" hidden="false" customHeight="true" outlineLevel="0" collapsed="false">
      <c r="A8" s="107" t="s">
        <v>4</v>
      </c>
      <c r="C8" s="154" t="n">
        <v>116363.3</v>
      </c>
      <c r="D8" s="154" t="n">
        <v>138801.52</v>
      </c>
      <c r="E8" s="154" t="n">
        <v>219366.88</v>
      </c>
      <c r="F8" s="155" t="n">
        <v>267934.879957489</v>
      </c>
      <c r="G8" s="155" t="n">
        <v>267934.879957489</v>
      </c>
      <c r="H8" s="155" t="n">
        <v>267934.879957489</v>
      </c>
      <c r="I8" s="155" t="n">
        <v>361542.001995889</v>
      </c>
      <c r="J8" s="155" t="n">
        <v>361542.001995889</v>
      </c>
      <c r="K8" s="155" t="n">
        <v>361542.001995889</v>
      </c>
      <c r="L8" s="155" t="n">
        <v>442929.46088908</v>
      </c>
      <c r="M8" s="155" t="n">
        <v>525344.508604757</v>
      </c>
      <c r="N8" s="155" t="n">
        <v>442616.790480539</v>
      </c>
      <c r="O8" s="155" t="n">
        <v>442616.790480539</v>
      </c>
      <c r="P8" s="155" t="n">
        <v>442616.790480539</v>
      </c>
      <c r="Q8" s="155" t="n">
        <v>442616.790480539</v>
      </c>
      <c r="R8" s="155" t="n">
        <v>541230.826148622</v>
      </c>
      <c r="S8" s="155" t="n">
        <v>541230.826148622</v>
      </c>
      <c r="T8" s="155" t="n">
        <v>631894.944867622</v>
      </c>
      <c r="U8" s="155" t="n">
        <v>495791.549552305</v>
      </c>
      <c r="V8" s="155" t="n">
        <v>343974.804822852</v>
      </c>
      <c r="W8" s="155" t="n">
        <v>343974.804822852</v>
      </c>
      <c r="X8" s="155" t="n">
        <v>356437.861811602</v>
      </c>
      <c r="Y8" s="155" t="n">
        <v>331511.747834102</v>
      </c>
      <c r="Z8" s="155" t="n">
        <v>331511.747834102</v>
      </c>
      <c r="AA8" s="155" t="n">
        <v>331511.747834102</v>
      </c>
      <c r="AB8" s="155" t="n">
        <v>331511.747834102</v>
      </c>
      <c r="AC8" s="155" t="n">
        <v>331511.747834102</v>
      </c>
      <c r="AD8" s="155" t="n">
        <v>378380.997071102</v>
      </c>
      <c r="AE8" s="155" t="n">
        <v>284642.498597102</v>
      </c>
      <c r="AF8" s="155" t="n">
        <v>374733.909031035</v>
      </c>
      <c r="AG8" s="155" t="n">
        <v>374733.909031035</v>
      </c>
      <c r="AH8" s="155" t="n">
        <v>374733.909031035</v>
      </c>
      <c r="AI8" s="155" t="n">
        <v>374733.909031035</v>
      </c>
      <c r="AJ8" s="155" t="n">
        <v>447874.706379785</v>
      </c>
      <c r="AK8" s="155" t="n">
        <v>316830.777796608</v>
      </c>
      <c r="AL8" s="155" t="n">
        <v>464631.496804608</v>
      </c>
      <c r="AM8" s="155" t="n">
        <v>223223.655758208</v>
      </c>
      <c r="AN8" s="155" t="n">
        <v>223223.655758208</v>
      </c>
      <c r="AO8" s="155" t="n">
        <v>277726.092057458</v>
      </c>
      <c r="AP8" s="155" t="n">
        <v>188705.446102017</v>
      </c>
      <c r="AQ8" s="155" t="n">
        <v>188705.446102017</v>
      </c>
      <c r="AR8" s="155" t="n">
        <v>188705.446102017</v>
      </c>
      <c r="AS8" s="155" t="n">
        <v>188705.446102017</v>
      </c>
      <c r="AT8" s="155" t="n">
        <v>188705.446102017</v>
      </c>
      <c r="AU8" s="155" t="n">
        <v>344411.818209517</v>
      </c>
      <c r="AV8" s="155" t="n">
        <v>90091.4104339333</v>
      </c>
      <c r="AW8" s="155" t="n">
        <v>90091.4104339333</v>
      </c>
      <c r="AX8" s="155" t="n">
        <v>90091.4104339333</v>
      </c>
      <c r="AY8" s="155" t="n">
        <v>90091.4104339333</v>
      </c>
      <c r="AZ8" s="155" t="n">
        <v>90091.4104339333</v>
      </c>
      <c r="BA8" s="155" t="n">
        <v>90091.4104339333</v>
      </c>
      <c r="BB8" s="155" t="n">
        <v>90091.4104339333</v>
      </c>
      <c r="BC8" s="155" t="n">
        <v>90091.4104339333</v>
      </c>
      <c r="BD8" s="155" t="n">
        <v>90091.4104339333</v>
      </c>
      <c r="BE8" s="155" t="n">
        <v>90091.4104339333</v>
      </c>
      <c r="BF8" s="155" t="n">
        <v>90091.4104339333</v>
      </c>
      <c r="BG8" s="155" t="n">
        <v>90091.4104339333</v>
      </c>
      <c r="BH8" s="155" t="n">
        <v>90091.4104339333</v>
      </c>
      <c r="BI8" s="155" t="n">
        <v>232341.005855933</v>
      </c>
      <c r="BJ8" s="155" t="n">
        <v>0</v>
      </c>
      <c r="BK8" s="155" t="n">
        <v>0</v>
      </c>
      <c r="BL8" s="155" t="n">
        <v>0</v>
      </c>
      <c r="BM8" s="155" t="n">
        <v>0</v>
      </c>
      <c r="BN8" s="155" t="n">
        <v>0</v>
      </c>
      <c r="BO8" s="155" t="n">
        <v>0</v>
      </c>
      <c r="BP8" s="155" t="n">
        <v>0</v>
      </c>
      <c r="BQ8" s="155" t="n">
        <v>0</v>
      </c>
      <c r="BR8" s="155" t="n">
        <v>0</v>
      </c>
      <c r="BS8" s="155" t="n">
        <v>0</v>
      </c>
      <c r="BT8" s="155" t="n">
        <v>0</v>
      </c>
      <c r="BU8" s="155" t="n">
        <v>0</v>
      </c>
      <c r="BV8" s="155" t="n">
        <v>0</v>
      </c>
      <c r="BW8" s="155" t="n">
        <v>0</v>
      </c>
      <c r="BX8" s="155" t="n">
        <v>0</v>
      </c>
      <c r="BY8" s="155" t="n">
        <v>0</v>
      </c>
      <c r="BZ8" s="155" t="n">
        <v>0</v>
      </c>
      <c r="CA8" s="155" t="n">
        <v>0</v>
      </c>
      <c r="CB8" s="155" t="n">
        <v>0</v>
      </c>
      <c r="CC8" s="155" t="n">
        <v>0</v>
      </c>
      <c r="CD8" s="155" t="n">
        <v>0</v>
      </c>
      <c r="CE8" s="155" t="n">
        <v>0</v>
      </c>
      <c r="CF8" s="155" t="n">
        <v>0</v>
      </c>
      <c r="CG8" s="155" t="n">
        <v>0</v>
      </c>
      <c r="CH8" s="155" t="n">
        <v>0</v>
      </c>
      <c r="CI8" s="155" t="n">
        <v>0</v>
      </c>
      <c r="CJ8" s="155" t="n">
        <v>0</v>
      </c>
      <c r="CK8" s="155" t="n">
        <v>0</v>
      </c>
      <c r="CL8" s="155" t="n">
        <v>0</v>
      </c>
      <c r="CM8" s="155" t="n">
        <v>0</v>
      </c>
      <c r="CN8" s="155" t="n">
        <v>0</v>
      </c>
      <c r="CO8" s="155" t="n">
        <v>0</v>
      </c>
      <c r="CP8" s="155" t="n">
        <v>0</v>
      </c>
      <c r="CQ8" s="155" t="n">
        <v>0</v>
      </c>
      <c r="CR8" s="155" t="n">
        <v>0</v>
      </c>
      <c r="CS8" s="155" t="n">
        <v>0</v>
      </c>
      <c r="CT8" s="155" t="n">
        <v>0</v>
      </c>
      <c r="CU8" s="155" t="n">
        <v>0</v>
      </c>
      <c r="CV8" s="155" t="n">
        <v>0</v>
      </c>
      <c r="CW8" s="155" t="n">
        <v>0</v>
      </c>
      <c r="CX8" s="155" t="n">
        <v>0</v>
      </c>
      <c r="CY8" s="155" t="n">
        <v>0</v>
      </c>
      <c r="CZ8" s="155" t="n">
        <v>0</v>
      </c>
      <c r="DA8" s="155" t="n">
        <v>0</v>
      </c>
      <c r="DB8" s="155" t="n">
        <v>0</v>
      </c>
      <c r="DC8" s="155" t="n">
        <v>0</v>
      </c>
      <c r="DD8" s="155" t="n">
        <v>0</v>
      </c>
      <c r="DE8" s="155" t="n">
        <v>0</v>
      </c>
      <c r="DF8" s="155" t="n">
        <v>0</v>
      </c>
    </row>
    <row r="9" customFormat="false" ht="15" hidden="false" customHeight="true" outlineLevel="0" collapsed="false">
      <c r="A9" s="127" t="s">
        <v>271</v>
      </c>
      <c r="C9" s="112" t="n">
        <v>0</v>
      </c>
      <c r="D9" s="112" t="n">
        <v>0</v>
      </c>
      <c r="E9" s="112" t="n">
        <v>0</v>
      </c>
      <c r="F9" s="153" t="n">
        <v>0</v>
      </c>
      <c r="G9" s="153" t="n">
        <v>0</v>
      </c>
      <c r="H9" s="153" t="n">
        <v>0</v>
      </c>
      <c r="I9" s="153" t="n">
        <v>0</v>
      </c>
      <c r="J9" s="153" t="n">
        <v>0</v>
      </c>
      <c r="K9" s="153" t="n">
        <v>0</v>
      </c>
      <c r="L9" s="153" t="n">
        <v>0</v>
      </c>
      <c r="M9" s="153" t="n">
        <v>0</v>
      </c>
      <c r="N9" s="153" t="n">
        <v>0</v>
      </c>
      <c r="O9" s="153" t="n">
        <v>0</v>
      </c>
      <c r="P9" s="153" t="n">
        <v>0</v>
      </c>
      <c r="Q9" s="153" t="n">
        <v>0</v>
      </c>
      <c r="R9" s="153" t="n">
        <v>0</v>
      </c>
      <c r="S9" s="153" t="n">
        <v>0</v>
      </c>
      <c r="T9" s="153" t="n">
        <v>0</v>
      </c>
      <c r="U9" s="153" t="n">
        <v>0</v>
      </c>
      <c r="V9" s="153" t="n">
        <v>0</v>
      </c>
      <c r="W9" s="153" t="n">
        <v>0</v>
      </c>
      <c r="X9" s="153" t="n">
        <v>0</v>
      </c>
      <c r="Y9" s="153" t="n">
        <v>0</v>
      </c>
      <c r="Z9" s="153" t="n">
        <v>0</v>
      </c>
      <c r="AA9" s="153" t="n">
        <v>0</v>
      </c>
      <c r="AB9" s="153" t="n">
        <v>0</v>
      </c>
      <c r="AC9" s="153" t="n">
        <v>0</v>
      </c>
      <c r="AD9" s="153" t="n">
        <v>0</v>
      </c>
      <c r="AE9" s="153" t="n">
        <v>0</v>
      </c>
      <c r="AF9" s="153" t="n">
        <v>0</v>
      </c>
      <c r="AG9" s="153" t="n">
        <v>0</v>
      </c>
      <c r="AH9" s="153" t="n">
        <v>0</v>
      </c>
      <c r="AI9" s="153" t="n">
        <v>0</v>
      </c>
      <c r="AJ9" s="153" t="n">
        <v>0</v>
      </c>
      <c r="AK9" s="153" t="n">
        <v>0</v>
      </c>
      <c r="AL9" s="153" t="n">
        <v>0</v>
      </c>
      <c r="AM9" s="153" t="n">
        <v>0</v>
      </c>
      <c r="AN9" s="153" t="n">
        <v>0</v>
      </c>
      <c r="AO9" s="153" t="n">
        <v>0</v>
      </c>
      <c r="AP9" s="153" t="n">
        <v>0</v>
      </c>
      <c r="AQ9" s="153" t="n">
        <v>0</v>
      </c>
      <c r="AR9" s="153" t="n">
        <v>0</v>
      </c>
      <c r="AS9" s="153" t="n">
        <v>0</v>
      </c>
      <c r="AT9" s="153" t="n">
        <v>0</v>
      </c>
      <c r="AU9" s="153" t="n">
        <v>0</v>
      </c>
      <c r="AV9" s="153" t="n">
        <v>0</v>
      </c>
      <c r="AW9" s="153" t="n">
        <v>0</v>
      </c>
      <c r="AX9" s="153" t="n">
        <v>0</v>
      </c>
      <c r="AY9" s="153" t="n">
        <v>0</v>
      </c>
      <c r="AZ9" s="153" t="n">
        <v>0</v>
      </c>
      <c r="BA9" s="153" t="n">
        <v>0</v>
      </c>
      <c r="BB9" s="153" t="n">
        <v>0</v>
      </c>
      <c r="BC9" s="153" t="n">
        <v>0</v>
      </c>
      <c r="BD9" s="153" t="n">
        <v>0</v>
      </c>
      <c r="BE9" s="153" t="n">
        <v>0</v>
      </c>
      <c r="BF9" s="153" t="n">
        <v>0</v>
      </c>
      <c r="BG9" s="153" t="n">
        <v>0</v>
      </c>
      <c r="BH9" s="153" t="n">
        <v>0</v>
      </c>
      <c r="BI9" s="153" t="n">
        <v>0</v>
      </c>
      <c r="BJ9" s="153" t="n">
        <v>0</v>
      </c>
      <c r="BK9" s="153" t="n">
        <v>0</v>
      </c>
      <c r="BL9" s="153" t="n">
        <v>0</v>
      </c>
      <c r="BM9" s="153" t="n">
        <v>0</v>
      </c>
      <c r="BN9" s="153" t="n">
        <v>0</v>
      </c>
      <c r="BO9" s="153" t="n">
        <v>0</v>
      </c>
      <c r="BP9" s="153" t="n">
        <v>0</v>
      </c>
      <c r="BQ9" s="153" t="n">
        <v>0</v>
      </c>
      <c r="BR9" s="153" t="n">
        <v>0</v>
      </c>
      <c r="BS9" s="153" t="n">
        <v>0</v>
      </c>
      <c r="BT9" s="153" t="n">
        <v>0</v>
      </c>
      <c r="BU9" s="153" t="n">
        <v>0</v>
      </c>
      <c r="BV9" s="153" t="n">
        <v>0</v>
      </c>
      <c r="BW9" s="153" t="n">
        <v>0</v>
      </c>
      <c r="BX9" s="153" t="n">
        <v>0</v>
      </c>
      <c r="BY9" s="153" t="n">
        <v>0</v>
      </c>
      <c r="BZ9" s="153" t="n">
        <v>0</v>
      </c>
      <c r="CA9" s="153" t="n">
        <v>0</v>
      </c>
      <c r="CB9" s="153" t="n">
        <v>0</v>
      </c>
      <c r="CC9" s="153" t="n">
        <v>0</v>
      </c>
      <c r="CD9" s="153" t="n">
        <v>0</v>
      </c>
      <c r="CE9" s="153" t="n">
        <v>0</v>
      </c>
      <c r="CF9" s="153" t="n">
        <v>0</v>
      </c>
      <c r="CG9" s="153" t="n">
        <v>0</v>
      </c>
      <c r="CH9" s="153" t="n">
        <v>0</v>
      </c>
      <c r="CI9" s="153" t="n">
        <v>0</v>
      </c>
      <c r="CJ9" s="153" t="n">
        <v>0</v>
      </c>
      <c r="CK9" s="153" t="n">
        <v>0</v>
      </c>
      <c r="CL9" s="153" t="n">
        <v>0</v>
      </c>
      <c r="CM9" s="153" t="n">
        <v>0</v>
      </c>
      <c r="CN9" s="153" t="n">
        <v>0</v>
      </c>
      <c r="CO9" s="153" t="n">
        <v>0</v>
      </c>
      <c r="CP9" s="153" t="n">
        <v>0</v>
      </c>
      <c r="CQ9" s="153" t="n">
        <v>0</v>
      </c>
      <c r="CR9" s="153" t="n">
        <v>0</v>
      </c>
      <c r="CS9" s="153" t="n">
        <v>0</v>
      </c>
      <c r="CT9" s="153" t="n">
        <v>0</v>
      </c>
      <c r="CU9" s="153" t="n">
        <v>0</v>
      </c>
      <c r="CV9" s="153" t="n">
        <v>0</v>
      </c>
      <c r="CW9" s="153" t="n">
        <v>0</v>
      </c>
      <c r="CX9" s="153" t="n">
        <v>0</v>
      </c>
      <c r="CY9" s="153" t="n">
        <v>0</v>
      </c>
      <c r="CZ9" s="153" t="n">
        <v>0</v>
      </c>
      <c r="DA9" s="153" t="n">
        <v>0</v>
      </c>
      <c r="DB9" s="153" t="n">
        <v>0</v>
      </c>
      <c r="DC9" s="153" t="n">
        <v>0</v>
      </c>
      <c r="DD9" s="153" t="n">
        <v>0</v>
      </c>
      <c r="DE9" s="153" t="n">
        <v>0</v>
      </c>
      <c r="DF9" s="153" t="n">
        <v>0</v>
      </c>
    </row>
    <row r="10" customFormat="false" ht="15" hidden="false" customHeight="true" outlineLevel="0" collapsed="false">
      <c r="A10" s="127" t="s">
        <v>336</v>
      </c>
      <c r="C10" s="112" t="n">
        <v>95370.25</v>
      </c>
      <c r="D10" s="112" t="n">
        <v>173282.89</v>
      </c>
      <c r="E10" s="112" t="n">
        <v>50438.85</v>
      </c>
      <c r="F10" s="153" t="n">
        <v>200950.186296774</v>
      </c>
      <c r="G10" s="153" t="n">
        <v>200950.186296774</v>
      </c>
      <c r="H10" s="153" t="n">
        <v>200950.186296774</v>
      </c>
      <c r="I10" s="153" t="n">
        <v>271155.187658694</v>
      </c>
      <c r="J10" s="153" t="n">
        <v>271155.187658694</v>
      </c>
      <c r="K10" s="153" t="n">
        <v>271155.187658694</v>
      </c>
      <c r="L10" s="153" t="n">
        <v>332195.486067781</v>
      </c>
      <c r="M10" s="153" t="n">
        <v>394006.472359489</v>
      </c>
      <c r="N10" s="153" t="n">
        <v>331960.984397614</v>
      </c>
      <c r="O10" s="153" t="n">
        <v>331960.984397614</v>
      </c>
      <c r="P10" s="153" t="n">
        <v>331960.984397614</v>
      </c>
      <c r="Q10" s="153" t="n">
        <v>331960.984397614</v>
      </c>
      <c r="R10" s="153" t="n">
        <v>405921.152786748</v>
      </c>
      <c r="S10" s="153" t="n">
        <v>405921.152786748</v>
      </c>
      <c r="T10" s="153" t="n">
        <v>473918.912353948</v>
      </c>
      <c r="U10" s="153" t="n">
        <v>371841.860465161</v>
      </c>
      <c r="V10" s="153" t="n">
        <v>257979.853617848</v>
      </c>
      <c r="W10" s="153" t="n">
        <v>257979.853617848</v>
      </c>
      <c r="X10" s="153" t="n">
        <v>267327.101068848</v>
      </c>
      <c r="Y10" s="153" t="n">
        <v>248632.606166848</v>
      </c>
      <c r="Z10" s="153" t="n">
        <v>248632.606166848</v>
      </c>
      <c r="AA10" s="153" t="n">
        <v>248632.606166848</v>
      </c>
      <c r="AB10" s="153" t="n">
        <v>248632.606166848</v>
      </c>
      <c r="AC10" s="153" t="n">
        <v>248632.606166848</v>
      </c>
      <c r="AD10" s="153" t="n">
        <v>283784.372772448</v>
      </c>
      <c r="AE10" s="153" t="n">
        <v>213480.839561248</v>
      </c>
      <c r="AF10" s="153" t="n">
        <v>281049.069995862</v>
      </c>
      <c r="AG10" s="153" t="n">
        <v>281049.069995862</v>
      </c>
      <c r="AH10" s="153" t="n">
        <v>281049.069995862</v>
      </c>
      <c r="AI10" s="153" t="n">
        <v>281049.069995862</v>
      </c>
      <c r="AJ10" s="153" t="n">
        <v>335904.402214862</v>
      </c>
      <c r="AK10" s="153" t="n">
        <v>237621.931989153</v>
      </c>
      <c r="AL10" s="153" t="n">
        <v>348471.934139553</v>
      </c>
      <c r="AM10" s="153" t="n">
        <v>167416.930627233</v>
      </c>
      <c r="AN10" s="153" t="n">
        <v>167416.930627233</v>
      </c>
      <c r="AO10" s="153" t="n">
        <v>208293.559790633</v>
      </c>
      <c r="AP10" s="153" t="n">
        <v>141528.398823747</v>
      </c>
      <c r="AQ10" s="153" t="n">
        <v>141528.398823747</v>
      </c>
      <c r="AR10" s="153" t="n">
        <v>141528.398823747</v>
      </c>
      <c r="AS10" s="153" t="n">
        <v>141528.398823747</v>
      </c>
      <c r="AT10" s="153" t="n">
        <v>141528.398823747</v>
      </c>
      <c r="AU10" s="153" t="n">
        <v>258307.612069747</v>
      </c>
      <c r="AV10" s="153" t="n">
        <v>67568.2304346134</v>
      </c>
      <c r="AW10" s="153" t="n">
        <v>67568.2304346134</v>
      </c>
      <c r="AX10" s="153" t="n">
        <v>67568.2304346134</v>
      </c>
      <c r="AY10" s="153" t="n">
        <v>67568.2304346134</v>
      </c>
      <c r="AZ10" s="153" t="n">
        <v>67568.2304346134</v>
      </c>
      <c r="BA10" s="153" t="n">
        <v>67568.2304346134</v>
      </c>
      <c r="BB10" s="153" t="n">
        <v>67568.2304346134</v>
      </c>
      <c r="BC10" s="153" t="n">
        <v>67568.2304346134</v>
      </c>
      <c r="BD10" s="153" t="n">
        <v>67568.2304346134</v>
      </c>
      <c r="BE10" s="153" t="n">
        <v>67568.2304346134</v>
      </c>
      <c r="BF10" s="153" t="n">
        <v>67568.2304346134</v>
      </c>
      <c r="BG10" s="153" t="n">
        <v>67568.2304346134</v>
      </c>
      <c r="BH10" s="153" t="n">
        <v>67568.2304346134</v>
      </c>
      <c r="BI10" s="153" t="n">
        <v>174254.910068213</v>
      </c>
      <c r="BJ10" s="153" t="n">
        <v>0</v>
      </c>
      <c r="BK10" s="153" t="n">
        <v>0</v>
      </c>
      <c r="BL10" s="153" t="n">
        <v>0</v>
      </c>
      <c r="BM10" s="153" t="n">
        <v>0</v>
      </c>
      <c r="BN10" s="153" t="n">
        <v>0</v>
      </c>
      <c r="BO10" s="153" t="n">
        <v>0</v>
      </c>
      <c r="BP10" s="153" t="n">
        <v>0</v>
      </c>
      <c r="BQ10" s="153" t="n">
        <v>0</v>
      </c>
      <c r="BR10" s="153" t="n">
        <v>0</v>
      </c>
      <c r="BS10" s="153" t="n">
        <v>0</v>
      </c>
      <c r="BT10" s="153" t="n">
        <v>0</v>
      </c>
      <c r="BU10" s="153" t="n">
        <v>0</v>
      </c>
      <c r="BV10" s="153" t="n">
        <v>0</v>
      </c>
      <c r="BW10" s="153" t="n">
        <v>0</v>
      </c>
      <c r="BX10" s="153" t="n">
        <v>0</v>
      </c>
      <c r="BY10" s="153" t="n">
        <v>0</v>
      </c>
      <c r="BZ10" s="153" t="n">
        <v>0</v>
      </c>
      <c r="CA10" s="153" t="n">
        <v>0</v>
      </c>
      <c r="CB10" s="153" t="n">
        <v>0</v>
      </c>
      <c r="CC10" s="153" t="n">
        <v>0</v>
      </c>
      <c r="CD10" s="153" t="n">
        <v>0</v>
      </c>
      <c r="CE10" s="153" t="n">
        <v>0</v>
      </c>
      <c r="CF10" s="153" t="n">
        <v>0</v>
      </c>
      <c r="CG10" s="153" t="n">
        <v>0</v>
      </c>
      <c r="CH10" s="153" t="n">
        <v>0</v>
      </c>
      <c r="CI10" s="153" t="n">
        <v>0</v>
      </c>
      <c r="CJ10" s="153" t="n">
        <v>0</v>
      </c>
      <c r="CK10" s="153" t="n">
        <v>0</v>
      </c>
      <c r="CL10" s="153" t="n">
        <v>0</v>
      </c>
      <c r="CM10" s="153" t="n">
        <v>0</v>
      </c>
      <c r="CN10" s="153" t="n">
        <v>0</v>
      </c>
      <c r="CO10" s="153" t="n">
        <v>0</v>
      </c>
      <c r="CP10" s="153" t="n">
        <v>0</v>
      </c>
      <c r="CQ10" s="153" t="n">
        <v>0</v>
      </c>
      <c r="CR10" s="153" t="n">
        <v>0</v>
      </c>
      <c r="CS10" s="153" t="n">
        <v>0</v>
      </c>
      <c r="CT10" s="153" t="n">
        <v>0</v>
      </c>
      <c r="CU10" s="153" t="n">
        <v>0</v>
      </c>
      <c r="CV10" s="153" t="n">
        <v>0</v>
      </c>
      <c r="CW10" s="153" t="n">
        <v>0</v>
      </c>
      <c r="CX10" s="153" t="n">
        <v>0</v>
      </c>
      <c r="CY10" s="153" t="n">
        <v>0</v>
      </c>
      <c r="CZ10" s="153" t="n">
        <v>0</v>
      </c>
      <c r="DA10" s="153" t="n">
        <v>0</v>
      </c>
      <c r="DB10" s="153" t="n">
        <v>0</v>
      </c>
      <c r="DC10" s="153" t="n">
        <v>0</v>
      </c>
      <c r="DD10" s="153" t="n">
        <v>0</v>
      </c>
      <c r="DE10" s="153" t="n">
        <v>0</v>
      </c>
      <c r="DF10" s="153" t="n">
        <v>0</v>
      </c>
    </row>
    <row r="11" customFormat="false" ht="15" hidden="false" customHeight="true" outlineLevel="0" collapsed="false">
      <c r="A11" s="127" t="s">
        <v>272</v>
      </c>
      <c r="C11" s="156" t="n">
        <v>0</v>
      </c>
      <c r="D11" s="156" t="n">
        <v>0</v>
      </c>
      <c r="E11" s="156" t="n">
        <v>0</v>
      </c>
      <c r="F11" s="153" t="n">
        <v>0</v>
      </c>
      <c r="G11" s="153" t="n">
        <v>0</v>
      </c>
      <c r="H11" s="153" t="n">
        <v>0</v>
      </c>
      <c r="I11" s="153" t="n">
        <v>0</v>
      </c>
      <c r="J11" s="153" t="n">
        <v>0</v>
      </c>
      <c r="K11" s="153" t="n">
        <v>0</v>
      </c>
      <c r="L11" s="153" t="n">
        <v>0</v>
      </c>
      <c r="M11" s="153" t="n">
        <v>0</v>
      </c>
      <c r="N11" s="153" t="n">
        <v>0</v>
      </c>
      <c r="O11" s="153" t="n">
        <v>0</v>
      </c>
      <c r="P11" s="153" t="n">
        <v>0</v>
      </c>
      <c r="Q11" s="153" t="n">
        <v>0</v>
      </c>
      <c r="R11" s="153" t="n">
        <v>0</v>
      </c>
      <c r="S11" s="153" t="n">
        <v>0</v>
      </c>
      <c r="T11" s="153" t="n">
        <v>0</v>
      </c>
      <c r="U11" s="153" t="n">
        <v>0</v>
      </c>
      <c r="V11" s="153" t="n">
        <v>0</v>
      </c>
      <c r="W11" s="153" t="n">
        <v>0</v>
      </c>
      <c r="X11" s="153" t="n">
        <v>0</v>
      </c>
      <c r="Y11" s="153" t="n">
        <v>0</v>
      </c>
      <c r="Z11" s="153" t="n">
        <v>0</v>
      </c>
      <c r="AA11" s="153" t="n">
        <v>0</v>
      </c>
      <c r="AB11" s="153" t="n">
        <v>0</v>
      </c>
      <c r="AC11" s="153" t="n">
        <v>0</v>
      </c>
      <c r="AD11" s="153" t="n">
        <v>0</v>
      </c>
      <c r="AE11" s="153" t="n">
        <v>0</v>
      </c>
      <c r="AF11" s="153" t="n">
        <v>0</v>
      </c>
      <c r="AG11" s="153" t="n">
        <v>0</v>
      </c>
      <c r="AH11" s="153" t="n">
        <v>0</v>
      </c>
      <c r="AI11" s="153" t="n">
        <v>0</v>
      </c>
      <c r="AJ11" s="153" t="n">
        <v>0</v>
      </c>
      <c r="AK11" s="153" t="n">
        <v>0</v>
      </c>
      <c r="AL11" s="153" t="n">
        <v>0</v>
      </c>
      <c r="AM11" s="153" t="n">
        <v>0</v>
      </c>
      <c r="AN11" s="153" t="n">
        <v>0</v>
      </c>
      <c r="AO11" s="153" t="n">
        <v>0</v>
      </c>
      <c r="AP11" s="153" t="n">
        <v>0</v>
      </c>
      <c r="AQ11" s="153" t="n">
        <v>0</v>
      </c>
      <c r="AR11" s="153" t="n">
        <v>0</v>
      </c>
      <c r="AS11" s="153" t="n">
        <v>0</v>
      </c>
      <c r="AT11" s="153" t="n">
        <v>0</v>
      </c>
      <c r="AU11" s="153" t="n">
        <v>0</v>
      </c>
      <c r="AV11" s="153" t="n">
        <v>0</v>
      </c>
      <c r="AW11" s="153" t="n">
        <v>0</v>
      </c>
      <c r="AX11" s="153" t="n">
        <v>0</v>
      </c>
      <c r="AY11" s="153" t="n">
        <v>0</v>
      </c>
      <c r="AZ11" s="153" t="n">
        <v>0</v>
      </c>
      <c r="BA11" s="153" t="n">
        <v>0</v>
      </c>
      <c r="BB11" s="153" t="n">
        <v>0</v>
      </c>
      <c r="BC11" s="153" t="n">
        <v>0</v>
      </c>
      <c r="BD11" s="153" t="n">
        <v>0</v>
      </c>
      <c r="BE11" s="153" t="n">
        <v>0</v>
      </c>
      <c r="BF11" s="153" t="n">
        <v>0</v>
      </c>
      <c r="BG11" s="153" t="n">
        <v>0</v>
      </c>
      <c r="BH11" s="153" t="n">
        <v>0</v>
      </c>
      <c r="BI11" s="153" t="n">
        <v>0</v>
      </c>
      <c r="BJ11" s="153" t="n">
        <v>0</v>
      </c>
      <c r="BK11" s="153" t="n">
        <v>0</v>
      </c>
      <c r="BL11" s="153" t="n">
        <v>0</v>
      </c>
      <c r="BM11" s="153" t="n">
        <v>0</v>
      </c>
      <c r="BN11" s="153" t="n">
        <v>0</v>
      </c>
      <c r="BO11" s="153" t="n">
        <v>0</v>
      </c>
      <c r="BP11" s="153" t="n">
        <v>0</v>
      </c>
      <c r="BQ11" s="153" t="n">
        <v>0</v>
      </c>
      <c r="BR11" s="153" t="n">
        <v>0</v>
      </c>
      <c r="BS11" s="153" t="n">
        <v>0</v>
      </c>
      <c r="BT11" s="153" t="n">
        <v>0</v>
      </c>
      <c r="BU11" s="153" t="n">
        <v>0</v>
      </c>
      <c r="BV11" s="153" t="n">
        <v>0</v>
      </c>
      <c r="BW11" s="153" t="n">
        <v>0</v>
      </c>
      <c r="BX11" s="153" t="n">
        <v>0</v>
      </c>
      <c r="BY11" s="153" t="n">
        <v>0</v>
      </c>
      <c r="BZ11" s="153" t="n">
        <v>0</v>
      </c>
      <c r="CA11" s="153" t="n">
        <v>0</v>
      </c>
      <c r="CB11" s="153" t="n">
        <v>0</v>
      </c>
      <c r="CC11" s="153" t="n">
        <v>0</v>
      </c>
      <c r="CD11" s="153" t="n">
        <v>0</v>
      </c>
      <c r="CE11" s="153" t="n">
        <v>0</v>
      </c>
      <c r="CF11" s="153" t="n">
        <v>0</v>
      </c>
      <c r="CG11" s="153" t="n">
        <v>0</v>
      </c>
      <c r="CH11" s="153" t="n">
        <v>0</v>
      </c>
      <c r="CI11" s="153" t="n">
        <v>0</v>
      </c>
      <c r="CJ11" s="153" t="n">
        <v>0</v>
      </c>
      <c r="CK11" s="153" t="n">
        <v>0</v>
      </c>
      <c r="CL11" s="153" t="n">
        <v>0</v>
      </c>
      <c r="CM11" s="153" t="n">
        <v>0</v>
      </c>
      <c r="CN11" s="153" t="n">
        <v>0</v>
      </c>
      <c r="CO11" s="153" t="n">
        <v>0</v>
      </c>
      <c r="CP11" s="153" t="n">
        <v>0</v>
      </c>
      <c r="CQ11" s="153" t="n">
        <v>0</v>
      </c>
      <c r="CR11" s="153" t="n">
        <v>0</v>
      </c>
      <c r="CS11" s="153" t="n">
        <v>0</v>
      </c>
      <c r="CT11" s="153" t="n">
        <v>0</v>
      </c>
      <c r="CU11" s="153" t="n">
        <v>0</v>
      </c>
      <c r="CV11" s="153" t="n">
        <v>0</v>
      </c>
      <c r="CW11" s="153" t="n">
        <v>0</v>
      </c>
      <c r="CX11" s="153" t="n">
        <v>0</v>
      </c>
      <c r="CY11" s="153" t="n">
        <v>0</v>
      </c>
      <c r="CZ11" s="153" t="n">
        <v>0</v>
      </c>
      <c r="DA11" s="153" t="n">
        <v>0</v>
      </c>
      <c r="DB11" s="153" t="n">
        <v>0</v>
      </c>
      <c r="DC11" s="153" t="n">
        <v>0</v>
      </c>
      <c r="DD11" s="153" t="n">
        <v>0</v>
      </c>
      <c r="DE11" s="153" t="n">
        <v>0</v>
      </c>
      <c r="DF11" s="153" t="n">
        <v>0</v>
      </c>
    </row>
    <row r="12" customFormat="false" ht="15" hidden="false" customHeight="true" outlineLevel="0" collapsed="false">
      <c r="A12" s="107" t="s">
        <v>6</v>
      </c>
      <c r="C12" s="154" t="n">
        <v>1242053.19</v>
      </c>
      <c r="D12" s="154" t="n">
        <v>2710434.48</v>
      </c>
      <c r="E12" s="154" t="n">
        <v>2402410.43</v>
      </c>
      <c r="F12" s="154" t="n">
        <v>3985482.58</v>
      </c>
      <c r="G12" s="154" t="n">
        <v>4178441.93</v>
      </c>
      <c r="H12" s="154" t="n">
        <v>4314673.98</v>
      </c>
      <c r="I12" s="154" t="n">
        <v>5100719.4</v>
      </c>
      <c r="J12" s="154" t="n">
        <v>5260214.26</v>
      </c>
      <c r="K12" s="154" t="n">
        <v>5352854.32</v>
      </c>
      <c r="L12" s="154" t="n">
        <v>5849570.15</v>
      </c>
      <c r="M12" s="154" t="n">
        <v>6345476.13</v>
      </c>
      <c r="N12" s="154" t="n">
        <v>6208239.26</v>
      </c>
      <c r="O12" s="154" t="n">
        <v>6395725.66</v>
      </c>
      <c r="P12" s="154" t="n">
        <v>6526715.61</v>
      </c>
      <c r="Q12" s="154" t="n">
        <v>6598279.77</v>
      </c>
      <c r="R12" s="154" t="n">
        <v>7163160.25</v>
      </c>
      <c r="S12" s="154" t="n">
        <v>7214523.9</v>
      </c>
      <c r="T12" s="154" t="n">
        <v>7044289.83</v>
      </c>
      <c r="U12" s="154" t="n">
        <v>6558946.87</v>
      </c>
      <c r="V12" s="154" t="n">
        <v>6351724.99</v>
      </c>
      <c r="W12" s="154" t="n">
        <v>6350910.58</v>
      </c>
      <c r="X12" s="154" t="n">
        <v>6231956.53</v>
      </c>
      <c r="Y12" s="154" t="n">
        <v>6016281.88</v>
      </c>
      <c r="Z12" s="154" t="n">
        <v>5778039.55</v>
      </c>
      <c r="AA12" s="154" t="n">
        <v>5481055.51</v>
      </c>
      <c r="AB12" s="154" t="n">
        <v>5142476.89</v>
      </c>
      <c r="AC12" s="154" t="n">
        <v>4779056.04</v>
      </c>
      <c r="AD12" s="154" t="n">
        <v>4323487.76</v>
      </c>
      <c r="AE12" s="154" t="n">
        <v>3830756.31</v>
      </c>
      <c r="AF12" s="154" t="n">
        <v>3598719.36</v>
      </c>
      <c r="AG12" s="154" t="n">
        <v>2781458.46</v>
      </c>
      <c r="AH12" s="154" t="n">
        <v>2827130.02</v>
      </c>
      <c r="AI12" s="154" t="n">
        <v>2855162.63</v>
      </c>
      <c r="AJ12" s="154" t="n">
        <v>2738010.36</v>
      </c>
      <c r="AK12" s="154" t="n">
        <v>2961685.5</v>
      </c>
      <c r="AL12" s="154" t="n">
        <v>2681612.9</v>
      </c>
      <c r="AM12" s="154" t="n">
        <v>3067683.88</v>
      </c>
      <c r="AN12" s="154" t="n">
        <v>3017131.53</v>
      </c>
      <c r="AO12" s="154" t="n">
        <v>2857832.82</v>
      </c>
      <c r="AP12" s="154" t="n">
        <v>2717434.99</v>
      </c>
      <c r="AQ12" s="154" t="n">
        <v>2661368.69</v>
      </c>
      <c r="AR12" s="154" t="n">
        <v>2590847.28</v>
      </c>
      <c r="AS12" s="154" t="n">
        <v>2506479.9</v>
      </c>
      <c r="AT12" s="154" t="n">
        <v>2409088.63</v>
      </c>
      <c r="AU12" s="154" t="n">
        <v>2027193.27</v>
      </c>
      <c r="AV12" s="154" t="n">
        <v>1724513.73</v>
      </c>
      <c r="AW12" s="154" t="n">
        <v>1687294.56</v>
      </c>
      <c r="AX12" s="154" t="n">
        <v>1632789.15</v>
      </c>
      <c r="AY12" s="154" t="n">
        <v>1562651.7</v>
      </c>
      <c r="AZ12" s="154" t="n">
        <v>1478825.86</v>
      </c>
      <c r="BA12" s="154" t="n">
        <v>1383586.14</v>
      </c>
      <c r="BB12" s="154" t="n">
        <v>1279496.53</v>
      </c>
      <c r="BC12" s="154" t="n">
        <v>1169079.66</v>
      </c>
      <c r="BD12" s="154" t="n">
        <v>1054982.23</v>
      </c>
      <c r="BE12" s="154" t="n">
        <v>939685.52</v>
      </c>
      <c r="BF12" s="154" t="n">
        <v>825464.03</v>
      </c>
      <c r="BG12" s="154" t="n">
        <v>714385.48</v>
      </c>
      <c r="BH12" s="154" t="n">
        <v>608145.43</v>
      </c>
      <c r="BI12" s="154" t="n">
        <v>259255.01</v>
      </c>
      <c r="BJ12" s="154" t="n">
        <v>0</v>
      </c>
      <c r="BK12" s="154" t="n">
        <v>0</v>
      </c>
      <c r="BL12" s="154" t="n">
        <v>0</v>
      </c>
      <c r="BM12" s="154" t="n">
        <v>0</v>
      </c>
      <c r="BN12" s="154" t="n">
        <v>0</v>
      </c>
      <c r="BO12" s="154" t="n">
        <v>0</v>
      </c>
      <c r="BP12" s="154" t="n">
        <v>0</v>
      </c>
      <c r="BQ12" s="154" t="n">
        <v>0</v>
      </c>
      <c r="BR12" s="154" t="n">
        <v>0</v>
      </c>
      <c r="BS12" s="154" t="n">
        <v>0</v>
      </c>
      <c r="BT12" s="154" t="n">
        <v>0</v>
      </c>
      <c r="BU12" s="154" t="n">
        <v>0</v>
      </c>
      <c r="BV12" s="154" t="n">
        <v>0</v>
      </c>
      <c r="BW12" s="154" t="n">
        <v>0</v>
      </c>
      <c r="BX12" s="154" t="n">
        <v>0</v>
      </c>
      <c r="BY12" s="154" t="n">
        <v>0</v>
      </c>
      <c r="BZ12" s="154" t="n">
        <v>0</v>
      </c>
      <c r="CA12" s="154" t="n">
        <v>0</v>
      </c>
      <c r="CB12" s="154" t="n">
        <v>0</v>
      </c>
      <c r="CC12" s="154" t="n">
        <v>0</v>
      </c>
      <c r="CD12" s="154" t="n">
        <v>0</v>
      </c>
      <c r="CE12" s="154" t="n">
        <v>0</v>
      </c>
      <c r="CF12" s="154" t="n">
        <v>0</v>
      </c>
      <c r="CG12" s="154" t="n">
        <v>0</v>
      </c>
      <c r="CH12" s="154" t="n">
        <v>0</v>
      </c>
      <c r="CI12" s="154" t="n">
        <v>0</v>
      </c>
      <c r="CJ12" s="154" t="n">
        <v>0</v>
      </c>
      <c r="CK12" s="154" t="n">
        <v>0</v>
      </c>
      <c r="CL12" s="154" t="n">
        <v>0</v>
      </c>
      <c r="CM12" s="154" t="n">
        <v>0</v>
      </c>
      <c r="CN12" s="154" t="n">
        <v>0</v>
      </c>
      <c r="CO12" s="154" t="n">
        <v>0</v>
      </c>
      <c r="CP12" s="154" t="n">
        <v>0</v>
      </c>
      <c r="CQ12" s="154" t="n">
        <v>0</v>
      </c>
      <c r="CR12" s="154" t="n">
        <v>0</v>
      </c>
      <c r="CS12" s="154" t="n">
        <v>0</v>
      </c>
      <c r="CT12" s="154" t="n">
        <v>0</v>
      </c>
      <c r="CU12" s="154" t="n">
        <v>0</v>
      </c>
      <c r="CV12" s="154" t="n">
        <v>0</v>
      </c>
      <c r="CW12" s="154" t="n">
        <v>0</v>
      </c>
      <c r="CX12" s="154" t="n">
        <v>0</v>
      </c>
      <c r="CY12" s="154" t="n">
        <v>0</v>
      </c>
      <c r="CZ12" s="154" t="n">
        <v>0</v>
      </c>
      <c r="DA12" s="154" t="n">
        <v>0</v>
      </c>
      <c r="DB12" s="154" t="n">
        <v>0</v>
      </c>
      <c r="DC12" s="154" t="n">
        <v>0</v>
      </c>
      <c r="DD12" s="154" t="n">
        <v>0</v>
      </c>
      <c r="DE12" s="154" t="n">
        <v>0</v>
      </c>
      <c r="DF12" s="154" t="n">
        <v>0</v>
      </c>
    </row>
    <row r="13" customFormat="false" ht="15" hidden="false" customHeight="true" outlineLevel="0" collapsed="false">
      <c r="A13" s="108" t="s">
        <v>52</v>
      </c>
      <c r="C13" s="157" t="n">
        <f aca="false">C8+C10+C12</f>
        <v>1453786.74</v>
      </c>
      <c r="D13" s="157" t="n">
        <f aca="false">D8+D10+D12</f>
        <v>3022518.89</v>
      </c>
      <c r="E13" s="157" t="n">
        <f aca="false">E8+E10+E12</f>
        <v>2672216.16</v>
      </c>
      <c r="F13" s="157" t="n">
        <f aca="false">F8+F10+F12</f>
        <v>4454367.64625426</v>
      </c>
      <c r="G13" s="157" t="n">
        <f aca="false">G8+G10+G12</f>
        <v>4647326.99625426</v>
      </c>
      <c r="H13" s="157" t="n">
        <f aca="false">H8+H10+H12</f>
        <v>4783559.04625426</v>
      </c>
      <c r="I13" s="157" t="n">
        <f aca="false">I8+I10+I12</f>
        <v>5733416.58965458</v>
      </c>
      <c r="J13" s="157" t="n">
        <f aca="false">J8+J10+J12</f>
        <v>5892911.44965458</v>
      </c>
      <c r="K13" s="157" t="n">
        <f aca="false">K8+K10+K12</f>
        <v>5985551.50965458</v>
      </c>
      <c r="L13" s="157" t="n">
        <f aca="false">L8+L10+L12</f>
        <v>6624695.09695686</v>
      </c>
      <c r="M13" s="157" t="n">
        <f aca="false">M8+M10+M12</f>
        <v>7264827.11096425</v>
      </c>
      <c r="N13" s="157" t="n">
        <f aca="false">N8+N10+N12</f>
        <v>6982817.03487815</v>
      </c>
      <c r="O13" s="157" t="n">
        <f aca="false">O8+O10+O12</f>
        <v>7170303.43487815</v>
      </c>
      <c r="P13" s="157" t="n">
        <f aca="false">P8+P10+P12</f>
        <v>7301293.38487815</v>
      </c>
      <c r="Q13" s="157" t="n">
        <f aca="false">Q8+Q10+Q12</f>
        <v>7372857.54487815</v>
      </c>
      <c r="R13" s="157" t="n">
        <f aca="false">R8+R10+R12</f>
        <v>8110312.22893537</v>
      </c>
      <c r="S13" s="157" t="n">
        <f aca="false">S8+S10+S12</f>
        <v>8161675.87893537</v>
      </c>
      <c r="T13" s="157" t="n">
        <f aca="false">T8+T10+T12</f>
        <v>8150103.68722157</v>
      </c>
      <c r="U13" s="157" t="n">
        <f aca="false">U8+U10+U12</f>
        <v>7426580.28001747</v>
      </c>
      <c r="V13" s="157" t="n">
        <f aca="false">V8+V10+V12</f>
        <v>6953679.6484407</v>
      </c>
      <c r="W13" s="157" t="n">
        <f aca="false">W8+W10+W12</f>
        <v>6952865.2384407</v>
      </c>
      <c r="X13" s="157" t="n">
        <f aca="false">X8+X10+X12</f>
        <v>6855721.49288045</v>
      </c>
      <c r="Y13" s="157" t="n">
        <f aca="false">Y8+Y10+Y12</f>
        <v>6596426.23400095</v>
      </c>
      <c r="Z13" s="157" t="n">
        <f aca="false">Z8+Z10+Z12</f>
        <v>6358183.90400095</v>
      </c>
      <c r="AA13" s="157" t="n">
        <f aca="false">AA8+AA10+AA12</f>
        <v>6061199.86400095</v>
      </c>
      <c r="AB13" s="157" t="n">
        <f aca="false">AB8+AB10+AB12</f>
        <v>5722621.24400095</v>
      </c>
      <c r="AC13" s="157" t="n">
        <f aca="false">AC8+AC10+AC12</f>
        <v>5359200.39400095</v>
      </c>
      <c r="AD13" s="157" t="n">
        <f aca="false">AD8+AD10+AD12</f>
        <v>4985653.12984355</v>
      </c>
      <c r="AE13" s="157" t="n">
        <f aca="false">AE8+AE10+AE12</f>
        <v>4328879.64815835</v>
      </c>
      <c r="AF13" s="157" t="n">
        <f aca="false">AF8+AF10+AF12</f>
        <v>4254502.3390269</v>
      </c>
      <c r="AG13" s="157" t="n">
        <f aca="false">AG8+AG10+AG12</f>
        <v>3437241.4390269</v>
      </c>
      <c r="AH13" s="157" t="n">
        <f aca="false">AH8+AH10+AH12</f>
        <v>3482912.9990269</v>
      </c>
      <c r="AI13" s="157" t="n">
        <f aca="false">AI8+AI10+AI12</f>
        <v>3510945.6090269</v>
      </c>
      <c r="AJ13" s="157" t="n">
        <f aca="false">AJ8+AJ10+AJ12</f>
        <v>3521789.46859465</v>
      </c>
      <c r="AK13" s="157" t="n">
        <f aca="false">AK8+AK10+AK12</f>
        <v>3516138.20978576</v>
      </c>
      <c r="AL13" s="157" t="n">
        <f aca="false">AL8+AL10+AL12</f>
        <v>3494716.33094416</v>
      </c>
      <c r="AM13" s="157" t="n">
        <f aca="false">AM8+AM10+AM12</f>
        <v>3458324.46638544</v>
      </c>
      <c r="AN13" s="157" t="n">
        <f aca="false">AN8+AN10+AN12</f>
        <v>3407772.11638544</v>
      </c>
      <c r="AO13" s="157" t="n">
        <f aca="false">AO8+AO10+AO12</f>
        <v>3343852.47184809</v>
      </c>
      <c r="AP13" s="157" t="n">
        <f aca="false">AP8+AP10+AP12</f>
        <v>3047668.83492576</v>
      </c>
      <c r="AQ13" s="157" t="n">
        <f aca="false">AQ8+AQ10+AQ12</f>
        <v>2991602.53492576</v>
      </c>
      <c r="AR13" s="157" t="n">
        <f aca="false">AR8+AR10+AR12</f>
        <v>2921081.12492576</v>
      </c>
      <c r="AS13" s="157" t="n">
        <f aca="false">AS8+AS10+AS12</f>
        <v>2836713.74492576</v>
      </c>
      <c r="AT13" s="157" t="n">
        <f aca="false">AT8+AT10+AT12</f>
        <v>2739322.47492576</v>
      </c>
      <c r="AU13" s="157" t="n">
        <f aca="false">AU8+AU10+AU12</f>
        <v>2629912.70027926</v>
      </c>
      <c r="AV13" s="157" t="n">
        <f aca="false">AV8+AV10+AV12</f>
        <v>1882173.37086855</v>
      </c>
      <c r="AW13" s="157" t="n">
        <f aca="false">AW8+AW10+AW12</f>
        <v>1844954.20086855</v>
      </c>
      <c r="AX13" s="157" t="n">
        <f aca="false">AX8+AX10+AX12</f>
        <v>1790448.79086855</v>
      </c>
      <c r="AY13" s="157" t="n">
        <f aca="false">AY8+AY10+AY12</f>
        <v>1720311.34086855</v>
      </c>
      <c r="AZ13" s="157" t="n">
        <f aca="false">AZ8+AZ10+AZ12</f>
        <v>1636485.50086855</v>
      </c>
      <c r="BA13" s="157" t="n">
        <f aca="false">BA8+BA10+BA12</f>
        <v>1541245.78086855</v>
      </c>
      <c r="BB13" s="157" t="n">
        <f aca="false">BB8+BB10+BB12</f>
        <v>1437156.17086855</v>
      </c>
      <c r="BC13" s="157" t="n">
        <f aca="false">BC8+BC10+BC12</f>
        <v>1326739.30086855</v>
      </c>
      <c r="BD13" s="157" t="n">
        <f aca="false">BD8+BD10+BD12</f>
        <v>1212641.87086855</v>
      </c>
      <c r="BE13" s="157" t="n">
        <f aca="false">BE8+BE10+BE12</f>
        <v>1097345.16086855</v>
      </c>
      <c r="BF13" s="157" t="n">
        <f aca="false">BF8+BF10+BF12</f>
        <v>983123.670868547</v>
      </c>
      <c r="BG13" s="157" t="n">
        <f aca="false">BG8+BG10+BG12</f>
        <v>872045.120868547</v>
      </c>
      <c r="BH13" s="157" t="n">
        <f aca="false">BH8+BH10+BH12</f>
        <v>765805.070868547</v>
      </c>
      <c r="BI13" s="157" t="n">
        <f aca="false">BI8+BI10+BI12</f>
        <v>665850.925924146</v>
      </c>
      <c r="BJ13" s="157" t="n">
        <f aca="false">BJ8+BJ10+BJ12</f>
        <v>0</v>
      </c>
      <c r="BK13" s="157" t="n">
        <f aca="false">BK8+BK10+BK12</f>
        <v>0</v>
      </c>
      <c r="BL13" s="157" t="n">
        <f aca="false">BL8+BL10+BL12</f>
        <v>0</v>
      </c>
      <c r="BM13" s="157" t="n">
        <f aca="false">BM8+BM10+BM12</f>
        <v>0</v>
      </c>
      <c r="BN13" s="157" t="n">
        <f aca="false">BN8+BN10+BN12</f>
        <v>0</v>
      </c>
      <c r="BO13" s="157" t="n">
        <f aca="false">BO8+BO10+BO12</f>
        <v>0</v>
      </c>
      <c r="BP13" s="157" t="n">
        <f aca="false">BP8+BP10+BP12</f>
        <v>0</v>
      </c>
      <c r="BQ13" s="157" t="n">
        <f aca="false">BQ8+BQ10+BQ12</f>
        <v>0</v>
      </c>
      <c r="BR13" s="157" t="n">
        <f aca="false">BR8+BR10+BR12</f>
        <v>0</v>
      </c>
      <c r="BS13" s="157" t="n">
        <f aca="false">BS8+BS10+BS12</f>
        <v>0</v>
      </c>
      <c r="BT13" s="157" t="n">
        <f aca="false">BT8+BT10+BT12</f>
        <v>0</v>
      </c>
      <c r="BU13" s="157" t="n">
        <f aca="false">BU8+BU10+BU12</f>
        <v>0</v>
      </c>
      <c r="BV13" s="157" t="n">
        <f aca="false">BV8+BV10+BV12</f>
        <v>0</v>
      </c>
      <c r="BW13" s="157" t="n">
        <f aca="false">BW8+BW10+BW12</f>
        <v>0</v>
      </c>
      <c r="BX13" s="157" t="n">
        <f aca="false">BX8+BX10+BX12</f>
        <v>0</v>
      </c>
      <c r="BY13" s="157" t="n">
        <f aca="false">BY8+BY10+BY12</f>
        <v>0</v>
      </c>
      <c r="BZ13" s="157" t="n">
        <f aca="false">BZ8+BZ10+BZ12</f>
        <v>0</v>
      </c>
      <c r="CA13" s="157" t="n">
        <f aca="false">CA8+CA10+CA12</f>
        <v>0</v>
      </c>
      <c r="CB13" s="157" t="n">
        <f aca="false">CB8+CB10+CB12</f>
        <v>0</v>
      </c>
      <c r="CC13" s="157" t="n">
        <f aca="false">CC8+CC10+CC12</f>
        <v>0</v>
      </c>
      <c r="CD13" s="157" t="n">
        <f aca="false">CD8+CD10+CD12</f>
        <v>0</v>
      </c>
      <c r="CE13" s="157" t="n">
        <f aca="false">CE8+CE10+CE12</f>
        <v>0</v>
      </c>
      <c r="CF13" s="157" t="n">
        <f aca="false">CF8+CF10+CF12</f>
        <v>0</v>
      </c>
      <c r="CG13" s="157" t="n">
        <f aca="false">CG8+CG10+CG12</f>
        <v>0</v>
      </c>
      <c r="CH13" s="157" t="n">
        <f aca="false">CH8+CH10+CH12</f>
        <v>0</v>
      </c>
      <c r="CI13" s="157" t="n">
        <f aca="false">CI8+CI10+CI12</f>
        <v>0</v>
      </c>
      <c r="CJ13" s="157" t="n">
        <f aca="false">CJ8+CJ10+CJ12</f>
        <v>0</v>
      </c>
      <c r="CK13" s="157" t="n">
        <f aca="false">CK8+CK10+CK12</f>
        <v>0</v>
      </c>
      <c r="CL13" s="157" t="n">
        <f aca="false">CL8+CL10+CL12</f>
        <v>0</v>
      </c>
      <c r="CM13" s="157" t="n">
        <f aca="false">CM8+CM10+CM12</f>
        <v>0</v>
      </c>
      <c r="CN13" s="157" t="n">
        <f aca="false">CN8+CN10+CN12</f>
        <v>0</v>
      </c>
      <c r="CO13" s="157" t="n">
        <f aca="false">CO8+CO10+CO12</f>
        <v>0</v>
      </c>
      <c r="CP13" s="157" t="n">
        <f aca="false">CP8+CP10+CP12</f>
        <v>0</v>
      </c>
      <c r="CQ13" s="157" t="n">
        <f aca="false">CQ8+CQ10+CQ12</f>
        <v>0</v>
      </c>
      <c r="CR13" s="157" t="n">
        <f aca="false">CR8+CR10+CR12</f>
        <v>0</v>
      </c>
      <c r="CS13" s="157" t="n">
        <f aca="false">CS8+CS10+CS12</f>
        <v>0</v>
      </c>
      <c r="CT13" s="157" t="n">
        <f aca="false">CT8+CT10+CT12</f>
        <v>0</v>
      </c>
      <c r="CU13" s="157" t="n">
        <f aca="false">CU8+CU10+CU12</f>
        <v>0</v>
      </c>
      <c r="CV13" s="157" t="n">
        <f aca="false">CV8+CV10+CV12</f>
        <v>0</v>
      </c>
      <c r="CW13" s="157" t="n">
        <f aca="false">CW8+CW10+CW12</f>
        <v>0</v>
      </c>
      <c r="CX13" s="157" t="n">
        <f aca="false">CX8+CX10+CX12</f>
        <v>0</v>
      </c>
      <c r="CY13" s="157" t="n">
        <f aca="false">CY8+CY10+CY12</f>
        <v>0</v>
      </c>
      <c r="CZ13" s="157" t="n">
        <f aca="false">CZ8+CZ10+CZ12</f>
        <v>0</v>
      </c>
      <c r="DA13" s="157" t="n">
        <f aca="false">DA8+DA10+DA12</f>
        <v>0</v>
      </c>
      <c r="DB13" s="157" t="n">
        <f aca="false">DB8+DB10+DB12</f>
        <v>0</v>
      </c>
      <c r="DC13" s="157" t="n">
        <f aca="false">DC8+DC10+DC12</f>
        <v>0</v>
      </c>
      <c r="DD13" s="157" t="n">
        <f aca="false">DD8+DD10+DD12</f>
        <v>0</v>
      </c>
      <c r="DE13" s="157" t="n">
        <f aca="false">DE8+DE10+DE12</f>
        <v>0</v>
      </c>
      <c r="DF13" s="157" t="n">
        <f aca="false">DF8+DF10+DF12</f>
        <v>0</v>
      </c>
    </row>
    <row r="14" customFormat="false" ht="15" hidden="false" customHeight="true" outlineLevel="0" collapsed="false">
      <c r="A14" s="76" t="s">
        <v>273</v>
      </c>
      <c r="C14" s="156" t="n">
        <v>-1233067.43</v>
      </c>
      <c r="D14" s="156" t="n">
        <v>-3073522.36</v>
      </c>
      <c r="E14" s="156" t="n">
        <v>-2078031.64</v>
      </c>
      <c r="F14" s="158" t="n">
        <v>-3985482.58403402</v>
      </c>
      <c r="G14" s="158" t="n">
        <v>-4178441.93467641</v>
      </c>
      <c r="H14" s="158" t="n">
        <v>-4314673.98179329</v>
      </c>
      <c r="I14" s="158" t="n">
        <v>-5100719.40418529</v>
      </c>
      <c r="J14" s="158" t="n">
        <v>-5260214.25623971</v>
      </c>
      <c r="K14" s="158" t="n">
        <v>-5352854.31833945</v>
      </c>
      <c r="L14" s="158" t="n">
        <v>-5849570.14613038</v>
      </c>
      <c r="M14" s="158" t="n">
        <v>-6345476.13239193</v>
      </c>
      <c r="N14" s="158" t="n">
        <v>-6208239.26255321</v>
      </c>
      <c r="O14" s="158" t="n">
        <v>-6395725.66434017</v>
      </c>
      <c r="P14" s="158" t="n">
        <v>-6526715.60885338</v>
      </c>
      <c r="Q14" s="158" t="n">
        <v>-6598279.76517372</v>
      </c>
      <c r="R14" s="158" t="n">
        <v>-7163160.25198472</v>
      </c>
      <c r="S14" s="158" t="n">
        <v>-7214523.89541135</v>
      </c>
      <c r="T14" s="158" t="n">
        <v>-7044289.82829815</v>
      </c>
      <c r="U14" s="158" t="n">
        <v>-6558946.86638782</v>
      </c>
      <c r="V14" s="158" t="n">
        <v>-6351724.9937303</v>
      </c>
      <c r="W14" s="158" t="n">
        <v>-6350910.5797313</v>
      </c>
      <c r="X14" s="158" t="n">
        <v>-6231956.52523155</v>
      </c>
      <c r="Y14" s="158" t="n">
        <v>-6016281.88355905</v>
      </c>
      <c r="Z14" s="158" t="n">
        <v>-5778039.55108905</v>
      </c>
      <c r="AA14" s="158" t="n">
        <v>-5481055.51416705</v>
      </c>
      <c r="AB14" s="158" t="n">
        <v>-5142476.88514805</v>
      </c>
      <c r="AC14" s="158" t="n">
        <v>-4779056.03641005</v>
      </c>
      <c r="AD14" s="158" t="n">
        <v>-4323487.76034045</v>
      </c>
      <c r="AE14" s="158" t="n">
        <v>-3830756.31368165</v>
      </c>
      <c r="AF14" s="158" t="n">
        <v>-3598719.3564371</v>
      </c>
      <c r="AG14" s="158" t="n">
        <v>-2781458.4577761</v>
      </c>
      <c r="AH14" s="158" t="n">
        <v>-2827130.0229831</v>
      </c>
      <c r="AI14" s="158" t="n">
        <v>-2855162.6339251</v>
      </c>
      <c r="AJ14" s="158" t="n">
        <v>-2738010.36288435</v>
      </c>
      <c r="AK14" s="158" t="n">
        <v>-2961685.49998524</v>
      </c>
      <c r="AL14" s="158" t="n">
        <v>-2681612.89887884</v>
      </c>
      <c r="AM14" s="158" t="n">
        <v>-3067683.88382956</v>
      </c>
      <c r="AN14" s="158" t="n">
        <v>-3017131.52805656</v>
      </c>
      <c r="AO14" s="158" t="n">
        <v>-2857832.82197891</v>
      </c>
      <c r="AP14" s="158" t="n">
        <v>-2717434.98835224</v>
      </c>
      <c r="AQ14" s="158" t="n">
        <v>-2661368.68946424</v>
      </c>
      <c r="AR14" s="158" t="n">
        <v>-2590847.27570024</v>
      </c>
      <c r="AS14" s="158" t="n">
        <v>-2506479.90028024</v>
      </c>
      <c r="AT14" s="158" t="n">
        <v>-2409088.63497424</v>
      </c>
      <c r="AU14" s="158" t="n">
        <v>-2027193.26653074</v>
      </c>
      <c r="AV14" s="158" t="n">
        <v>-1724513.72534745</v>
      </c>
      <c r="AW14" s="158" t="n">
        <v>-1687294.55654745</v>
      </c>
      <c r="AX14" s="158" t="n">
        <v>-1632789.15157145</v>
      </c>
      <c r="AY14" s="158" t="n">
        <v>-1562651.69569945</v>
      </c>
      <c r="AZ14" s="158" t="n">
        <v>-1478825.85663545</v>
      </c>
      <c r="BA14" s="158" t="n">
        <v>-1383586.13913945</v>
      </c>
      <c r="BB14" s="158" t="n">
        <v>-1279496.53039545</v>
      </c>
      <c r="BC14" s="158" t="n">
        <v>-1169079.66295545</v>
      </c>
      <c r="BD14" s="158" t="n">
        <v>-1054982.23326745</v>
      </c>
      <c r="BE14" s="158" t="n">
        <v>-939685.519251453</v>
      </c>
      <c r="BF14" s="158" t="n">
        <v>-825464.025667453</v>
      </c>
      <c r="BG14" s="158" t="n">
        <v>-714385.484115453</v>
      </c>
      <c r="BH14" s="158" t="n">
        <v>-608145.434507453</v>
      </c>
      <c r="BI14" s="158" t="n">
        <v>-259255.013907853</v>
      </c>
      <c r="BJ14" s="158" t="n">
        <v>0</v>
      </c>
      <c r="BK14" s="158" t="n">
        <v>0</v>
      </c>
      <c r="BL14" s="158" t="n">
        <v>0</v>
      </c>
      <c r="BM14" s="158" t="n">
        <v>0</v>
      </c>
      <c r="BN14" s="158" t="n">
        <v>0</v>
      </c>
      <c r="BO14" s="158" t="n">
        <v>0</v>
      </c>
      <c r="BP14" s="158" t="n">
        <v>0</v>
      </c>
      <c r="BQ14" s="158" t="n">
        <v>0</v>
      </c>
      <c r="BR14" s="158" t="n">
        <v>0</v>
      </c>
      <c r="BS14" s="158" t="n">
        <v>0</v>
      </c>
      <c r="BT14" s="158" t="n">
        <v>0</v>
      </c>
      <c r="BU14" s="158" t="n">
        <v>0</v>
      </c>
      <c r="BV14" s="158" t="n">
        <v>0</v>
      </c>
      <c r="BW14" s="158" t="n">
        <v>0</v>
      </c>
      <c r="BX14" s="158" t="n">
        <v>0</v>
      </c>
      <c r="BY14" s="158" t="n">
        <v>0</v>
      </c>
      <c r="BZ14" s="158" t="n">
        <v>0</v>
      </c>
      <c r="CA14" s="158" t="n">
        <v>0</v>
      </c>
      <c r="CB14" s="158" t="n">
        <v>0</v>
      </c>
      <c r="CC14" s="158" t="n">
        <v>0</v>
      </c>
      <c r="CD14" s="158" t="n">
        <v>0</v>
      </c>
      <c r="CE14" s="158" t="n">
        <v>0</v>
      </c>
      <c r="CF14" s="158" t="n">
        <v>0</v>
      </c>
      <c r="CG14" s="158" t="n">
        <v>0</v>
      </c>
      <c r="CH14" s="158" t="n">
        <v>0</v>
      </c>
      <c r="CI14" s="158" t="n">
        <v>0</v>
      </c>
      <c r="CJ14" s="158" t="n">
        <v>0</v>
      </c>
      <c r="CK14" s="158" t="n">
        <v>0</v>
      </c>
      <c r="CL14" s="158" t="n">
        <v>0</v>
      </c>
      <c r="CM14" s="158" t="n">
        <v>0</v>
      </c>
      <c r="CN14" s="158" t="n">
        <v>0</v>
      </c>
      <c r="CO14" s="158" t="n">
        <v>0</v>
      </c>
      <c r="CP14" s="158" t="n">
        <v>0</v>
      </c>
      <c r="CQ14" s="158" t="n">
        <v>0</v>
      </c>
      <c r="CR14" s="158" t="n">
        <v>0</v>
      </c>
      <c r="CS14" s="158" t="n">
        <v>0</v>
      </c>
      <c r="CT14" s="158" t="n">
        <v>0</v>
      </c>
      <c r="CU14" s="158" t="n">
        <v>0</v>
      </c>
      <c r="CV14" s="158" t="n">
        <v>0</v>
      </c>
      <c r="CW14" s="158" t="n">
        <v>0</v>
      </c>
      <c r="CX14" s="158" t="n">
        <v>0</v>
      </c>
      <c r="CY14" s="158" t="n">
        <v>0</v>
      </c>
      <c r="CZ14" s="158" t="n">
        <v>0</v>
      </c>
      <c r="DA14" s="158" t="n">
        <v>0</v>
      </c>
      <c r="DB14" s="158" t="n">
        <v>0</v>
      </c>
      <c r="DC14" s="158" t="n">
        <v>0</v>
      </c>
      <c r="DD14" s="158" t="n">
        <v>0</v>
      </c>
      <c r="DE14" s="158" t="n">
        <v>0</v>
      </c>
      <c r="DF14" s="158" t="n">
        <v>0</v>
      </c>
    </row>
    <row r="15" customFormat="false" ht="15" hidden="false" customHeight="true" outlineLevel="0" collapsed="false">
      <c r="A15" s="127" t="s">
        <v>55</v>
      </c>
      <c r="C15" s="112" t="n">
        <v>0</v>
      </c>
      <c r="D15" s="112" t="n">
        <v>0</v>
      </c>
      <c r="E15" s="112" t="n">
        <v>0</v>
      </c>
      <c r="F15" s="153" t="n">
        <v>0</v>
      </c>
      <c r="G15" s="153" t="n">
        <v>0</v>
      </c>
      <c r="H15" s="153" t="n">
        <v>0</v>
      </c>
      <c r="I15" s="153" t="n">
        <v>644526.72</v>
      </c>
      <c r="J15" s="153" t="n">
        <v>0</v>
      </c>
      <c r="K15" s="153" t="n">
        <v>0</v>
      </c>
      <c r="L15" s="153" t="n">
        <v>442059.825</v>
      </c>
      <c r="M15" s="153" t="n">
        <v>318951.075</v>
      </c>
      <c r="N15" s="153" t="n">
        <v>0</v>
      </c>
      <c r="O15" s="153" t="n">
        <v>0</v>
      </c>
      <c r="P15" s="153" t="n">
        <v>0</v>
      </c>
      <c r="Q15" s="153" t="n">
        <v>0</v>
      </c>
      <c r="R15" s="153" t="n">
        <v>679001.55</v>
      </c>
      <c r="S15" s="153" t="n">
        <v>0</v>
      </c>
      <c r="T15" s="153" t="n">
        <v>0</v>
      </c>
      <c r="U15" s="153" t="n">
        <v>0</v>
      </c>
      <c r="V15" s="153" t="n">
        <v>0</v>
      </c>
      <c r="W15" s="153" t="n">
        <v>0</v>
      </c>
      <c r="X15" s="153" t="n">
        <v>0</v>
      </c>
      <c r="Y15" s="153" t="n">
        <v>0</v>
      </c>
      <c r="Z15" s="153" t="n">
        <v>0</v>
      </c>
      <c r="AA15" s="153" t="n">
        <v>0</v>
      </c>
      <c r="AB15" s="153" t="n">
        <v>0</v>
      </c>
      <c r="AC15" s="153" t="n">
        <v>0</v>
      </c>
      <c r="AD15" s="153" t="n">
        <v>0</v>
      </c>
      <c r="AE15" s="153" t="n">
        <v>0</v>
      </c>
      <c r="AF15" s="153" t="n">
        <v>620319.48</v>
      </c>
      <c r="AG15" s="153" t="n">
        <v>0</v>
      </c>
      <c r="AH15" s="153" t="n">
        <v>0</v>
      </c>
      <c r="AI15" s="153" t="n">
        <v>0</v>
      </c>
      <c r="AJ15" s="153" t="n">
        <v>0</v>
      </c>
      <c r="AK15" s="153" t="n">
        <v>0</v>
      </c>
      <c r="AL15" s="153" t="n">
        <v>0</v>
      </c>
      <c r="AM15" s="153" t="n">
        <v>0</v>
      </c>
      <c r="AN15" s="153" t="n">
        <v>0</v>
      </c>
      <c r="AO15" s="153" t="n">
        <v>0</v>
      </c>
      <c r="AP15" s="153" t="n">
        <v>0</v>
      </c>
      <c r="AQ15" s="153" t="n">
        <v>0</v>
      </c>
      <c r="AR15" s="153" t="n">
        <v>0</v>
      </c>
      <c r="AS15" s="153" t="n">
        <v>0</v>
      </c>
      <c r="AT15" s="153" t="n">
        <v>0</v>
      </c>
      <c r="AU15" s="153" t="n">
        <v>0</v>
      </c>
      <c r="AV15" s="153" t="n">
        <v>0</v>
      </c>
      <c r="AW15" s="153" t="n">
        <v>0</v>
      </c>
      <c r="AX15" s="153" t="n">
        <v>0</v>
      </c>
      <c r="AY15" s="153" t="n">
        <v>0</v>
      </c>
      <c r="AZ15" s="153" t="n">
        <v>0</v>
      </c>
      <c r="BA15" s="153" t="n">
        <v>0</v>
      </c>
      <c r="BB15" s="153" t="n">
        <v>0</v>
      </c>
      <c r="BC15" s="153" t="n">
        <v>0</v>
      </c>
      <c r="BD15" s="153" t="n">
        <v>0</v>
      </c>
      <c r="BE15" s="153" t="n">
        <v>0</v>
      </c>
      <c r="BF15" s="153" t="n">
        <v>0</v>
      </c>
      <c r="BG15" s="153" t="n">
        <v>0</v>
      </c>
      <c r="BH15" s="153" t="n">
        <v>0</v>
      </c>
      <c r="BI15" s="153" t="n">
        <v>0</v>
      </c>
      <c r="BJ15" s="153" t="n">
        <v>0</v>
      </c>
      <c r="BK15" s="153" t="n">
        <v>0</v>
      </c>
      <c r="BL15" s="153" t="n">
        <v>0</v>
      </c>
      <c r="BM15" s="153" t="n">
        <v>0</v>
      </c>
      <c r="BN15" s="153" t="n">
        <v>0</v>
      </c>
      <c r="BO15" s="153" t="n">
        <v>0</v>
      </c>
      <c r="BP15" s="153" t="n">
        <v>0</v>
      </c>
      <c r="BQ15" s="153" t="n">
        <v>0</v>
      </c>
      <c r="BR15" s="153" t="n">
        <v>0</v>
      </c>
      <c r="BS15" s="153" t="n">
        <v>0</v>
      </c>
      <c r="BT15" s="153" t="n">
        <v>0</v>
      </c>
      <c r="BU15" s="153" t="n">
        <v>0</v>
      </c>
      <c r="BV15" s="153" t="n">
        <v>0</v>
      </c>
      <c r="BW15" s="153" t="n">
        <v>0</v>
      </c>
      <c r="BX15" s="153" t="n">
        <v>0</v>
      </c>
      <c r="BY15" s="153" t="n">
        <v>0</v>
      </c>
      <c r="BZ15" s="153" t="n">
        <v>0</v>
      </c>
      <c r="CA15" s="153" t="n">
        <v>0</v>
      </c>
      <c r="CB15" s="153" t="n">
        <v>0</v>
      </c>
      <c r="CC15" s="153" t="n">
        <v>0</v>
      </c>
      <c r="CD15" s="153" t="n">
        <v>0</v>
      </c>
      <c r="CE15" s="153" t="n">
        <v>0</v>
      </c>
      <c r="CF15" s="153" t="n">
        <v>0</v>
      </c>
      <c r="CG15" s="153" t="n">
        <v>0</v>
      </c>
      <c r="CH15" s="153" t="n">
        <v>0</v>
      </c>
      <c r="CI15" s="153" t="n">
        <v>0</v>
      </c>
      <c r="CJ15" s="153" t="n">
        <v>0</v>
      </c>
      <c r="CK15" s="153" t="n">
        <v>0</v>
      </c>
      <c r="CL15" s="153" t="n">
        <v>0</v>
      </c>
      <c r="CM15" s="153" t="n">
        <v>0</v>
      </c>
      <c r="CN15" s="153" t="n">
        <v>0</v>
      </c>
      <c r="CO15" s="153" t="n">
        <v>0</v>
      </c>
      <c r="CP15" s="153" t="n">
        <v>0</v>
      </c>
      <c r="CQ15" s="153" t="n">
        <v>0</v>
      </c>
      <c r="CR15" s="153" t="n">
        <v>0</v>
      </c>
      <c r="CS15" s="153" t="n">
        <v>0</v>
      </c>
      <c r="CT15" s="153" t="n">
        <v>0</v>
      </c>
      <c r="CU15" s="153" t="n">
        <v>0</v>
      </c>
      <c r="CV15" s="153" t="n">
        <v>0</v>
      </c>
      <c r="CW15" s="153" t="n">
        <v>0</v>
      </c>
      <c r="CX15" s="153" t="n">
        <v>0</v>
      </c>
      <c r="CY15" s="153" t="n">
        <v>0</v>
      </c>
      <c r="CZ15" s="153" t="n">
        <v>0</v>
      </c>
      <c r="DA15" s="153" t="n">
        <v>0</v>
      </c>
      <c r="DB15" s="153" t="n">
        <v>0</v>
      </c>
      <c r="DC15" s="153" t="n">
        <v>0</v>
      </c>
      <c r="DD15" s="153" t="n">
        <v>0</v>
      </c>
      <c r="DE15" s="153" t="n">
        <v>0</v>
      </c>
      <c r="DF15" s="153" t="n">
        <v>0</v>
      </c>
    </row>
    <row r="16" customFormat="false" ht="15" hidden="false" customHeight="true" outlineLevel="0" collapsed="false">
      <c r="A16" s="127" t="s">
        <v>56</v>
      </c>
      <c r="C16" s="157" t="n">
        <v>-1966.5</v>
      </c>
      <c r="D16" s="157" t="n">
        <v>0</v>
      </c>
      <c r="E16" s="157" t="n">
        <v>0</v>
      </c>
      <c r="F16" s="153" t="n">
        <v>0</v>
      </c>
      <c r="G16" s="153" t="n">
        <v>0</v>
      </c>
      <c r="H16" s="153" t="n">
        <v>0</v>
      </c>
      <c r="I16" s="153" t="n">
        <v>-317966.5152</v>
      </c>
      <c r="J16" s="153" t="n">
        <v>0</v>
      </c>
      <c r="K16" s="153" t="n">
        <v>0</v>
      </c>
      <c r="L16" s="153" t="n">
        <v>-218082.847</v>
      </c>
      <c r="M16" s="153" t="n">
        <v>-157349.197</v>
      </c>
      <c r="N16" s="153" t="n">
        <v>0</v>
      </c>
      <c r="O16" s="153" t="n">
        <v>0</v>
      </c>
      <c r="P16" s="153" t="n">
        <v>0</v>
      </c>
      <c r="Q16" s="153" t="n">
        <v>0</v>
      </c>
      <c r="R16" s="153" t="n">
        <v>-1471170.025</v>
      </c>
      <c r="S16" s="153" t="n">
        <v>0</v>
      </c>
      <c r="T16" s="153" t="n">
        <v>0</v>
      </c>
      <c r="U16" s="153" t="n">
        <v>0</v>
      </c>
      <c r="V16" s="153" t="n">
        <v>0</v>
      </c>
      <c r="W16" s="153" t="n">
        <v>0</v>
      </c>
      <c r="X16" s="153" t="n">
        <v>0</v>
      </c>
      <c r="Y16" s="153" t="n">
        <v>0</v>
      </c>
      <c r="Z16" s="153" t="n">
        <v>0</v>
      </c>
      <c r="AA16" s="153" t="n">
        <v>0</v>
      </c>
      <c r="AB16" s="153" t="n">
        <v>0</v>
      </c>
      <c r="AC16" s="153" t="n">
        <v>0</v>
      </c>
      <c r="AD16" s="153" t="n">
        <v>0</v>
      </c>
      <c r="AE16" s="153" t="n">
        <v>0</v>
      </c>
      <c r="AF16" s="153" t="n">
        <v>-1344025.54</v>
      </c>
      <c r="AG16" s="153" t="n">
        <v>0</v>
      </c>
      <c r="AH16" s="153" t="n">
        <v>0</v>
      </c>
      <c r="AI16" s="153" t="n">
        <v>0</v>
      </c>
      <c r="AJ16" s="153" t="n">
        <v>0</v>
      </c>
      <c r="AK16" s="153" t="n">
        <v>0</v>
      </c>
      <c r="AL16" s="153" t="n">
        <v>0</v>
      </c>
      <c r="AM16" s="153" t="n">
        <v>0</v>
      </c>
      <c r="AN16" s="153" t="n">
        <v>0</v>
      </c>
      <c r="AO16" s="153" t="n">
        <v>0</v>
      </c>
      <c r="AP16" s="153" t="n">
        <v>0</v>
      </c>
      <c r="AQ16" s="153" t="n">
        <v>0</v>
      </c>
      <c r="AR16" s="153" t="n">
        <v>0</v>
      </c>
      <c r="AS16" s="153" t="n">
        <v>0</v>
      </c>
      <c r="AT16" s="153" t="n">
        <v>0</v>
      </c>
      <c r="AU16" s="153" t="n">
        <v>0</v>
      </c>
      <c r="AV16" s="153" t="n">
        <v>0</v>
      </c>
      <c r="AW16" s="153" t="n">
        <v>0</v>
      </c>
      <c r="AX16" s="153" t="n">
        <v>0</v>
      </c>
      <c r="AY16" s="153" t="n">
        <v>0</v>
      </c>
      <c r="AZ16" s="153" t="n">
        <v>0</v>
      </c>
      <c r="BA16" s="153" t="n">
        <v>0</v>
      </c>
      <c r="BB16" s="153" t="n">
        <v>0</v>
      </c>
      <c r="BC16" s="153" t="n">
        <v>0</v>
      </c>
      <c r="BD16" s="153" t="n">
        <v>0</v>
      </c>
      <c r="BE16" s="153" t="n">
        <v>0</v>
      </c>
      <c r="BF16" s="153" t="n">
        <v>0</v>
      </c>
      <c r="BG16" s="153" t="n">
        <v>0</v>
      </c>
      <c r="BH16" s="153" t="n">
        <v>0</v>
      </c>
      <c r="BI16" s="153" t="n">
        <v>0</v>
      </c>
      <c r="BJ16" s="153" t="n">
        <v>0</v>
      </c>
      <c r="BK16" s="153" t="n">
        <v>0</v>
      </c>
      <c r="BL16" s="153" t="n">
        <v>0</v>
      </c>
      <c r="BM16" s="153" t="n">
        <v>0</v>
      </c>
      <c r="BN16" s="153" t="n">
        <v>0</v>
      </c>
      <c r="BO16" s="153" t="n">
        <v>0</v>
      </c>
      <c r="BP16" s="153" t="n">
        <v>0</v>
      </c>
      <c r="BQ16" s="153" t="n">
        <v>0</v>
      </c>
      <c r="BR16" s="153" t="n">
        <v>0</v>
      </c>
      <c r="BS16" s="153" t="n">
        <v>0</v>
      </c>
      <c r="BT16" s="153" t="n">
        <v>0</v>
      </c>
      <c r="BU16" s="153" t="n">
        <v>0</v>
      </c>
      <c r="BV16" s="153" t="n">
        <v>0</v>
      </c>
      <c r="BW16" s="153" t="n">
        <v>0</v>
      </c>
      <c r="BX16" s="153" t="n">
        <v>0</v>
      </c>
      <c r="BY16" s="153" t="n">
        <v>0</v>
      </c>
      <c r="BZ16" s="153" t="n">
        <v>0</v>
      </c>
      <c r="CA16" s="153" t="n">
        <v>0</v>
      </c>
      <c r="CB16" s="153" t="n">
        <v>0</v>
      </c>
      <c r="CC16" s="153" t="n">
        <v>0</v>
      </c>
      <c r="CD16" s="153" t="n">
        <v>0</v>
      </c>
      <c r="CE16" s="153" t="n">
        <v>0</v>
      </c>
      <c r="CF16" s="153" t="n">
        <v>0</v>
      </c>
      <c r="CG16" s="153" t="n">
        <v>0</v>
      </c>
      <c r="CH16" s="153" t="n">
        <v>0</v>
      </c>
      <c r="CI16" s="153" t="n">
        <v>0</v>
      </c>
      <c r="CJ16" s="153" t="n">
        <v>0</v>
      </c>
      <c r="CK16" s="153" t="n">
        <v>0</v>
      </c>
      <c r="CL16" s="153" t="n">
        <v>0</v>
      </c>
      <c r="CM16" s="153" t="n">
        <v>0</v>
      </c>
      <c r="CN16" s="153" t="n">
        <v>0</v>
      </c>
      <c r="CO16" s="153" t="n">
        <v>0</v>
      </c>
      <c r="CP16" s="153" t="n">
        <v>0</v>
      </c>
      <c r="CQ16" s="153" t="n">
        <v>0</v>
      </c>
      <c r="CR16" s="153" t="n">
        <v>0</v>
      </c>
      <c r="CS16" s="153" t="n">
        <v>0</v>
      </c>
      <c r="CT16" s="153" t="n">
        <v>0</v>
      </c>
      <c r="CU16" s="153" t="n">
        <v>0</v>
      </c>
      <c r="CV16" s="153" t="n">
        <v>0</v>
      </c>
      <c r="CW16" s="153" t="n">
        <v>0</v>
      </c>
      <c r="CX16" s="153" t="n">
        <v>0</v>
      </c>
      <c r="CY16" s="153" t="n">
        <v>0</v>
      </c>
      <c r="CZ16" s="153" t="n">
        <v>0</v>
      </c>
      <c r="DA16" s="153" t="n">
        <v>0</v>
      </c>
      <c r="DB16" s="153" t="n">
        <v>0</v>
      </c>
      <c r="DC16" s="153" t="n">
        <v>0</v>
      </c>
      <c r="DD16" s="153" t="n">
        <v>0</v>
      </c>
      <c r="DE16" s="153" t="n">
        <v>0</v>
      </c>
      <c r="DF16" s="153" t="n">
        <v>0</v>
      </c>
    </row>
    <row r="17" customFormat="false" ht="15" hidden="false" customHeight="true" outlineLevel="0" collapsed="false">
      <c r="A17" s="108" t="s">
        <v>57</v>
      </c>
      <c r="C17" s="157" t="n">
        <f aca="false">C8+C9+C10+C11+C12+C14+C15+C16</f>
        <v>218752.81</v>
      </c>
      <c r="D17" s="157" t="n">
        <f aca="false">D8+D9+D10+D11+D12+D14+D15+D16</f>
        <v>-51003.4699999997</v>
      </c>
      <c r="E17" s="157" t="n">
        <f aca="false">E8+E9+E10+E11+E12+E14+E15+E16</f>
        <v>594184.52</v>
      </c>
      <c r="F17" s="159" t="n">
        <f aca="false">F8+F9+F10+F11+F12+F14+F15+F16</f>
        <v>468885.062220243</v>
      </c>
      <c r="G17" s="159" t="n">
        <f aca="false">G8+G9+G10+G11+G12+G14+G15+G16</f>
        <v>468885.061577853</v>
      </c>
      <c r="H17" s="159" t="n">
        <f aca="false">H8+H9+H10+H11+H12+H14+H15+H16</f>
        <v>468885.064460973</v>
      </c>
      <c r="I17" s="159" t="n">
        <f aca="false">I8+I9+I10+I11+I12+I14+I15+I16</f>
        <v>959257.390269293</v>
      </c>
      <c r="J17" s="159" t="n">
        <f aca="false">J8+J9+J10+J11+J12+J14+J15+J16</f>
        <v>632697.193414873</v>
      </c>
      <c r="K17" s="159" t="n">
        <f aca="false">K8+K9+K10+K11+K12+K14+K15+K16</f>
        <v>632697.191315133</v>
      </c>
      <c r="L17" s="159" t="n">
        <f aca="false">L8+L9+L10+L11+L12+L14+L15+L16</f>
        <v>999101.928826481</v>
      </c>
      <c r="M17" s="159" t="n">
        <f aca="false">M8+M9+M10+M11+M12+M14+M15+M16</f>
        <v>1080952.85657232</v>
      </c>
      <c r="N17" s="159" t="n">
        <f aca="false">N8+N9+N10+N11+N12+N14+N15+N16</f>
        <v>774577.772324943</v>
      </c>
      <c r="O17" s="159" t="n">
        <f aca="false">O8+O9+O10+O11+O12+O14+O15+O16</f>
        <v>774577.770537984</v>
      </c>
      <c r="P17" s="159" t="n">
        <f aca="false">P8+P9+P10+P11+P12+P14+P15+P16</f>
        <v>774577.776024773</v>
      </c>
      <c r="Q17" s="159" t="n">
        <f aca="false">Q8+Q9+Q10+Q11+Q12+Q14+Q15+Q16</f>
        <v>774577.779704433</v>
      </c>
      <c r="R17" s="159" t="n">
        <f aca="false">R8+R9+R10+R11+R12+R14+R15+R16</f>
        <v>154983.50195065</v>
      </c>
      <c r="S17" s="159" t="n">
        <f aca="false">S8+S9+S10+S11+S12+S14+S15+S16</f>
        <v>947151.983524021</v>
      </c>
      <c r="T17" s="159" t="n">
        <f aca="false">T8+T9+T10+T11+T12+T14+T15+T16</f>
        <v>1105813.85892342</v>
      </c>
      <c r="U17" s="159" t="n">
        <f aca="false">U8+U9+U10+U11+U12+U14+U15+U16</f>
        <v>867633.413629646</v>
      </c>
      <c r="V17" s="159" t="n">
        <f aca="false">V8+V9+V10+V11+V12+V14+V15+V16</f>
        <v>601954.6547104</v>
      </c>
      <c r="W17" s="159" t="n">
        <f aca="false">W8+W9+W10+W11+W12+W14+W15+W16</f>
        <v>601954.6587094</v>
      </c>
      <c r="X17" s="159" t="n">
        <f aca="false">X8+X9+X10+X11+X12+X14+X15+X16</f>
        <v>623764.9676489</v>
      </c>
      <c r="Y17" s="159" t="n">
        <f aca="false">Y8+Y9+Y10+Y11+Y12+Y14+Y15+Y16</f>
        <v>580144.3504419</v>
      </c>
      <c r="Z17" s="159" t="n">
        <f aca="false">Z8+Z9+Z10+Z11+Z12+Z14+Z15+Z16</f>
        <v>580144.3529119</v>
      </c>
      <c r="AA17" s="159" t="n">
        <f aca="false">AA8+AA9+AA10+AA11+AA12+AA14+AA15+AA16</f>
        <v>580144.3498339</v>
      </c>
      <c r="AB17" s="159" t="n">
        <f aca="false">AB8+AB9+AB10+AB11+AB12+AB14+AB15+AB16</f>
        <v>580144.3588529</v>
      </c>
      <c r="AC17" s="159" t="n">
        <f aca="false">AC8+AC9+AC10+AC11+AC12+AC14+AC15+AC16</f>
        <v>580144.357590901</v>
      </c>
      <c r="AD17" s="159" t="n">
        <f aca="false">AD8+AD9+AD10+AD11+AD12+AD14+AD15+AD16</f>
        <v>662165.3695031</v>
      </c>
      <c r="AE17" s="159" t="n">
        <f aca="false">AE8+AE9+AE10+AE11+AE12+AE14+AE15+AE16</f>
        <v>498123.3344767</v>
      </c>
      <c r="AF17" s="159" t="n">
        <f aca="false">AF8+AF9+AF10+AF11+AF12+AF14+AF15+AF16</f>
        <v>-67923.0774102029</v>
      </c>
      <c r="AG17" s="159" t="n">
        <f aca="false">AG8+AG9+AG10+AG11+AG12+AG14+AG15+AG16</f>
        <v>655782.981250797</v>
      </c>
      <c r="AH17" s="159" t="n">
        <f aca="false">AH8+AH9+AH10+AH11+AH12+AH14+AH15+AH16</f>
        <v>655782.976043797</v>
      </c>
      <c r="AI17" s="159" t="n">
        <f aca="false">AI8+AI9+AI10+AI11+AI12+AI14+AI15+AI16</f>
        <v>655782.975101797</v>
      </c>
      <c r="AJ17" s="159" t="n">
        <f aca="false">AJ8+AJ9+AJ10+AJ11+AJ12+AJ14+AJ15+AJ16</f>
        <v>783779.105710297</v>
      </c>
      <c r="AK17" s="159" t="n">
        <f aca="false">AK8+AK9+AK10+AK11+AK12+AK14+AK15+AK16</f>
        <v>554452.709800521</v>
      </c>
      <c r="AL17" s="159" t="n">
        <f aca="false">AL8+AL9+AL10+AL11+AL12+AL14+AL15+AL16</f>
        <v>813103.432065321</v>
      </c>
      <c r="AM17" s="159" t="n">
        <f aca="false">AM8+AM9+AM10+AM11+AM12+AM14+AM15+AM16</f>
        <v>390640.582555881</v>
      </c>
      <c r="AN17" s="159" t="n">
        <f aca="false">AN8+AN9+AN10+AN11+AN12+AN14+AN15+AN16</f>
        <v>390640.588328881</v>
      </c>
      <c r="AO17" s="159" t="n">
        <f aca="false">AO8+AO9+AO10+AO11+AO12+AO14+AO15+AO16</f>
        <v>486019.649869181</v>
      </c>
      <c r="AP17" s="159" t="n">
        <f aca="false">AP8+AP9+AP10+AP11+AP12+AP14+AP15+AP16</f>
        <v>330233.846573524</v>
      </c>
      <c r="AQ17" s="159" t="n">
        <f aca="false">AQ8+AQ9+AQ10+AQ11+AQ12+AQ14+AQ15+AQ16</f>
        <v>330233.845461524</v>
      </c>
      <c r="AR17" s="159" t="n">
        <f aca="false">AR8+AR9+AR10+AR11+AR12+AR14+AR15+AR16</f>
        <v>330233.849225524</v>
      </c>
      <c r="AS17" s="159" t="n">
        <f aca="false">AS8+AS9+AS10+AS11+AS12+AS14+AS15+AS16</f>
        <v>330233.844645524</v>
      </c>
      <c r="AT17" s="159" t="n">
        <f aca="false">AT8+AT9+AT10+AT11+AT12+AT14+AT15+AT16</f>
        <v>330233.839951524</v>
      </c>
      <c r="AU17" s="159" t="n">
        <f aca="false">AU8+AU9+AU10+AU11+AU12+AU14+AU15+AU16</f>
        <v>602719.433748524</v>
      </c>
      <c r="AV17" s="159" t="n">
        <f aca="false">AV8+AV9+AV10+AV11+AV12+AV14+AV15+AV16</f>
        <v>157659.645521097</v>
      </c>
      <c r="AW17" s="159" t="n">
        <f aca="false">AW8+AW9+AW10+AW11+AW12+AW14+AW15+AW16</f>
        <v>157659.644321097</v>
      </c>
      <c r="AX17" s="159" t="n">
        <f aca="false">AX8+AX9+AX10+AX11+AX12+AX14+AX15+AX16</f>
        <v>157659.639297097</v>
      </c>
      <c r="AY17" s="159" t="n">
        <f aca="false">AY8+AY9+AY10+AY11+AY12+AY14+AY15+AY16</f>
        <v>157659.645169097</v>
      </c>
      <c r="AZ17" s="159" t="n">
        <f aca="false">AZ8+AZ9+AZ10+AZ11+AZ12+AZ14+AZ15+AZ16</f>
        <v>157659.644233097</v>
      </c>
      <c r="BA17" s="159" t="n">
        <f aca="false">BA8+BA9+BA10+BA11+BA12+BA14+BA15+BA16</f>
        <v>157659.641729097</v>
      </c>
      <c r="BB17" s="159" t="n">
        <f aca="false">BB8+BB9+BB10+BB11+BB12+BB14+BB15+BB16</f>
        <v>157659.640473097</v>
      </c>
      <c r="BC17" s="159" t="n">
        <f aca="false">BC8+BC9+BC10+BC11+BC12+BC14+BC15+BC16</f>
        <v>157659.637913097</v>
      </c>
      <c r="BD17" s="159" t="n">
        <f aca="false">BD8+BD9+BD10+BD11+BD12+BD14+BD15+BD16</f>
        <v>157659.637601097</v>
      </c>
      <c r="BE17" s="159" t="n">
        <f aca="false">BE8+BE9+BE10+BE11+BE12+BE14+BE15+BE16</f>
        <v>157659.641617094</v>
      </c>
      <c r="BF17" s="159" t="n">
        <f aca="false">BF8+BF9+BF10+BF11+BF12+BF14+BF15+BF16</f>
        <v>157659.645201094</v>
      </c>
      <c r="BG17" s="159" t="n">
        <f aca="false">BG8+BG9+BG10+BG11+BG12+BG14+BG15+BG16</f>
        <v>157659.636753094</v>
      </c>
      <c r="BH17" s="159" t="n">
        <f aca="false">BH8+BH9+BH10+BH11+BH12+BH14+BH15+BH16</f>
        <v>157659.636361094</v>
      </c>
      <c r="BI17" s="159" t="n">
        <f aca="false">BI8+BI9+BI10+BI11+BI12+BI14+BI15+BI16</f>
        <v>406595.912016293</v>
      </c>
      <c r="BJ17" s="159" t="n">
        <f aca="false">BJ8+BJ9+BJ10+BJ11+BJ12+BJ14+BJ15+BJ16</f>
        <v>0</v>
      </c>
      <c r="BK17" s="159" t="n">
        <f aca="false">BK8+BK9+BK10+BK11+BK12+BK14+BK15+BK16</f>
        <v>0</v>
      </c>
      <c r="BL17" s="159" t="n">
        <f aca="false">BL8+BL9+BL10+BL11+BL12+BL14+BL15+BL16</f>
        <v>0</v>
      </c>
      <c r="BM17" s="159" t="n">
        <f aca="false">BM8+BM9+BM10+BM11+BM12+BM14+BM15+BM16</f>
        <v>0</v>
      </c>
      <c r="BN17" s="159" t="n">
        <f aca="false">BN8+BN9+BN10+BN11+BN12+BN14+BN15+BN16</f>
        <v>0</v>
      </c>
      <c r="BO17" s="159" t="n">
        <f aca="false">BO8+BO9+BO10+BO11+BO12+BO14+BO15+BO16</f>
        <v>0</v>
      </c>
      <c r="BP17" s="159" t="n">
        <f aca="false">BP8+BP9+BP10+BP11+BP12+BP14+BP15+BP16</f>
        <v>0</v>
      </c>
      <c r="BQ17" s="159" t="n">
        <f aca="false">BQ8+BQ9+BQ10+BQ11+BQ12+BQ14+BQ15+BQ16</f>
        <v>0</v>
      </c>
      <c r="BR17" s="159" t="n">
        <f aca="false">BR8+BR9+BR10+BR11+BR12+BR14+BR15+BR16</f>
        <v>0</v>
      </c>
      <c r="BS17" s="159" t="n">
        <f aca="false">BS8+BS9+BS10+BS11+BS12+BS14+BS15+BS16</f>
        <v>0</v>
      </c>
      <c r="BT17" s="159" t="n">
        <f aca="false">BT8+BT9+BT10+BT11+BT12+BT14+BT15+BT16</f>
        <v>0</v>
      </c>
      <c r="BU17" s="159" t="n">
        <f aca="false">BU8+BU9+BU10+BU11+BU12+BU14+BU15+BU16</f>
        <v>0</v>
      </c>
      <c r="BV17" s="159" t="n">
        <f aca="false">BV8+BV9+BV10+BV11+BV12+BV14+BV15+BV16</f>
        <v>0</v>
      </c>
      <c r="BW17" s="159" t="n">
        <f aca="false">BW8+BW9+BW10+BW11+BW12+BW14+BW15+BW16</f>
        <v>0</v>
      </c>
      <c r="BX17" s="159" t="n">
        <f aca="false">BX8+BX9+BX10+BX11+BX12+BX14+BX15+BX16</f>
        <v>0</v>
      </c>
      <c r="BY17" s="159" t="n">
        <f aca="false">BY8+BY9+BY10+BY11+BY12+BY14+BY15+BY16</f>
        <v>0</v>
      </c>
      <c r="BZ17" s="159" t="n">
        <f aca="false">BZ8+BZ9+BZ10+BZ11+BZ12+BZ14+BZ15+BZ16</f>
        <v>0</v>
      </c>
      <c r="CA17" s="159" t="n">
        <f aca="false">CA8+CA9+CA10+CA11+CA12+CA14+CA15+CA16</f>
        <v>0</v>
      </c>
      <c r="CB17" s="159" t="n">
        <f aca="false">CB8+CB9+CB10+CB11+CB12+CB14+CB15+CB16</f>
        <v>0</v>
      </c>
      <c r="CC17" s="159" t="n">
        <f aca="false">CC8+CC9+CC10+CC11+CC12+CC14+CC15+CC16</f>
        <v>0</v>
      </c>
      <c r="CD17" s="159" t="n">
        <f aca="false">CD8+CD9+CD10+CD11+CD12+CD14+CD15+CD16</f>
        <v>0</v>
      </c>
      <c r="CE17" s="159" t="n">
        <f aca="false">CE8+CE9+CE10+CE11+CE12+CE14+CE15+CE16</f>
        <v>0</v>
      </c>
      <c r="CF17" s="159" t="n">
        <f aca="false">CF8+CF9+CF10+CF11+CF12+CF14+CF15+CF16</f>
        <v>0</v>
      </c>
      <c r="CG17" s="159" t="n">
        <f aca="false">CG8+CG9+CG10+CG11+CG12+CG14+CG15+CG16</f>
        <v>0</v>
      </c>
      <c r="CH17" s="159" t="n">
        <f aca="false">CH8+CH9+CH10+CH11+CH12+CH14+CH15+CH16</f>
        <v>0</v>
      </c>
      <c r="CI17" s="159" t="n">
        <f aca="false">CI8+CI9+CI10+CI11+CI12+CI14+CI15+CI16</f>
        <v>0</v>
      </c>
      <c r="CJ17" s="159" t="n">
        <f aca="false">CJ8+CJ9+CJ10+CJ11+CJ12+CJ14+CJ15+CJ16</f>
        <v>0</v>
      </c>
      <c r="CK17" s="159" t="n">
        <f aca="false">CK8+CK9+CK10+CK11+CK12+CK14+CK15+CK16</f>
        <v>0</v>
      </c>
      <c r="CL17" s="159" t="n">
        <f aca="false">CL8+CL9+CL10+CL11+CL12+CL14+CL15+CL16</f>
        <v>0</v>
      </c>
      <c r="CM17" s="159" t="n">
        <f aca="false">CM8+CM9+CM10+CM11+CM12+CM14+CM15+CM16</f>
        <v>0</v>
      </c>
      <c r="CN17" s="159" t="n">
        <f aca="false">CN8+CN9+CN10+CN11+CN12+CN14+CN15+CN16</f>
        <v>0</v>
      </c>
      <c r="CO17" s="159" t="n">
        <f aca="false">CO8+CO9+CO10+CO11+CO12+CO14+CO15+CO16</f>
        <v>0</v>
      </c>
      <c r="CP17" s="159" t="n">
        <f aca="false">CP8+CP9+CP10+CP11+CP12+CP14+CP15+CP16</f>
        <v>0</v>
      </c>
      <c r="CQ17" s="159" t="n">
        <f aca="false">CQ8+CQ9+CQ10+CQ11+CQ12+CQ14+CQ15+CQ16</f>
        <v>0</v>
      </c>
      <c r="CR17" s="159" t="n">
        <f aca="false">CR8+CR9+CR10+CR11+CR12+CR14+CR15+CR16</f>
        <v>0</v>
      </c>
      <c r="CS17" s="159" t="n">
        <f aca="false">CS8+CS9+CS10+CS11+CS12+CS14+CS15+CS16</f>
        <v>0</v>
      </c>
      <c r="CT17" s="159" t="n">
        <f aca="false">CT8+CT9+CT10+CT11+CT12+CT14+CT15+CT16</f>
        <v>0</v>
      </c>
      <c r="CU17" s="159" t="n">
        <f aca="false">CU8+CU9+CU10+CU11+CU12+CU14+CU15+CU16</f>
        <v>0</v>
      </c>
      <c r="CV17" s="159" t="n">
        <f aca="false">CV8+CV9+CV10+CV11+CV12+CV14+CV15+CV16</f>
        <v>0</v>
      </c>
      <c r="CW17" s="159" t="n">
        <f aca="false">CW8+CW9+CW10+CW11+CW12+CW14+CW15+CW16</f>
        <v>0</v>
      </c>
      <c r="CX17" s="159" t="n">
        <f aca="false">CX8+CX9+CX10+CX11+CX12+CX14+CX15+CX16</f>
        <v>0</v>
      </c>
      <c r="CY17" s="159" t="n">
        <f aca="false">CY8+CY9+CY10+CY11+CY12+CY14+CY15+CY16</f>
        <v>0</v>
      </c>
      <c r="CZ17" s="159" t="n">
        <f aca="false">CZ8+CZ9+CZ10+CZ11+CZ12+CZ14+CZ15+CZ16</f>
        <v>0</v>
      </c>
      <c r="DA17" s="159" t="n">
        <f aca="false">DA8+DA9+DA10+DA11+DA12+DA14+DA15+DA16</f>
        <v>0</v>
      </c>
      <c r="DB17" s="159" t="n">
        <f aca="false">DB8+DB9+DB10+DB11+DB12+DB14+DB15+DB16</f>
        <v>0</v>
      </c>
      <c r="DC17" s="159" t="n">
        <f aca="false">DC8+DC9+DC10+DC11+DC12+DC14+DC15+DC16</f>
        <v>0</v>
      </c>
      <c r="DD17" s="159" t="n">
        <f aca="false">DD8+DD9+DD10+DD11+DD12+DD14+DD15+DD16</f>
        <v>0</v>
      </c>
      <c r="DE17" s="159" t="n">
        <f aca="false">DE8+DE9+DE10+DE11+DE12+DE14+DE15+DE16</f>
        <v>0</v>
      </c>
      <c r="DF17" s="159" t="n">
        <f aca="false">DF8+DF9+DF10+DF11+DF12+DF14+DF15+DF16</f>
        <v>0</v>
      </c>
    </row>
    <row r="18" customFormat="false" ht="15" hidden="false" customHeight="true" outlineLevel="0" collapsed="false">
      <c r="A18" s="107" t="s">
        <v>58</v>
      </c>
      <c r="C18" s="160" t="n">
        <f aca="false">IFERROR(C17/C13,0)</f>
        <v>0.150471045017236</v>
      </c>
      <c r="D18" s="160" t="n">
        <f aca="false">IFERROR(D17/D13,0)</f>
        <v>-0.0168744917256745</v>
      </c>
      <c r="E18" s="160" t="n">
        <f aca="false">IFERROR(E17/E13,0)</f>
        <v>0.222356457869786</v>
      </c>
      <c r="F18" s="160" t="n">
        <f aca="false">IFERROR(F17/F13,0)</f>
        <v>0.105264113664828</v>
      </c>
      <c r="G18" s="160" t="n">
        <f aca="false">IFERROR(G17/G13,0)</f>
        <v>0.100893494681087</v>
      </c>
      <c r="H18" s="160" t="n">
        <f aca="false">IFERROR(H17/H13,0)</f>
        <v>0.0980201268401047</v>
      </c>
      <c r="I18" s="160" t="n">
        <f aca="false">IFERROR(I17/I13,0)</f>
        <v>0.167309905929422</v>
      </c>
      <c r="J18" s="160" t="n">
        <f aca="false">IFERROR(J17/J13,0)</f>
        <v>0.107365807007325</v>
      </c>
      <c r="K18" s="160" t="n">
        <f aca="false">IFERROR(K17/K13,0)</f>
        <v>0.105704075939302</v>
      </c>
      <c r="L18" s="160" t="n">
        <f aca="false">IFERROR(L17/L13,0)</f>
        <v>0.150814779277228</v>
      </c>
      <c r="M18" s="160" t="n">
        <f aca="false">IFERROR(M17/M13,0)</f>
        <v>0.148792647101115</v>
      </c>
      <c r="N18" s="160" t="n">
        <f aca="false">IFERROR(N17/N13,0)</f>
        <v>0.110926259195399</v>
      </c>
      <c r="O18" s="160" t="n">
        <f aca="false">IFERROR(O17/O13,0)</f>
        <v>0.108025800800876</v>
      </c>
      <c r="P18" s="160" t="n">
        <f aca="false">IFERROR(P17/P13,0)</f>
        <v>0.106087748456871</v>
      </c>
      <c r="Q18" s="160" t="n">
        <f aca="false">IFERROR(Q17/Q13,0)</f>
        <v>0.105058015157573</v>
      </c>
      <c r="R18" s="160" t="n">
        <f aca="false">IFERROR(R17/R13,0)</f>
        <v>0.0191094371678703</v>
      </c>
      <c r="S18" s="160" t="n">
        <f aca="false">IFERROR(S17/S13,0)</f>
        <v>0.116048713226721</v>
      </c>
      <c r="T18" s="160" t="n">
        <f aca="false">IFERROR(T17/T13,0)</f>
        <v>0.135680955894734</v>
      </c>
      <c r="U18" s="160" t="n">
        <f aca="false">IFERROR(U17/U13,0)</f>
        <v>0.11682812020011</v>
      </c>
      <c r="V18" s="160" t="n">
        <f aca="false">IFERROR(V17/V13,0)</f>
        <v>0.0865663483426912</v>
      </c>
      <c r="W18" s="160" t="n">
        <f aca="false">IFERROR(W17/W13,0)</f>
        <v>0.0865764886943788</v>
      </c>
      <c r="X18" s="160" t="n">
        <f aca="false">IFERROR(X17/X13,0)</f>
        <v>0.0909845839415544</v>
      </c>
      <c r="Y18" s="160" t="n">
        <f aca="false">IFERROR(Y17/Y13,0)</f>
        <v>0.0879482813665944</v>
      </c>
      <c r="Z18" s="160" t="n">
        <f aca="false">IFERROR(Z17/Z13,0)</f>
        <v>0.0912437201677728</v>
      </c>
      <c r="AA18" s="160" t="n">
        <f aca="false">IFERROR(AA17/AA13,0)</f>
        <v>0.0957144398553047</v>
      </c>
      <c r="AB18" s="160" t="n">
        <f aca="false">IFERROR(AB17/AB13,0)</f>
        <v>0.101377381818003</v>
      </c>
      <c r="AC18" s="160" t="n">
        <f aca="false">IFERROR(AC17/AC13,0)</f>
        <v>0.10825203667329</v>
      </c>
      <c r="AD18" s="160" t="n">
        <f aca="false">IFERROR(AD17/AD13,0)</f>
        <v>0.132814167423613</v>
      </c>
      <c r="AE18" s="160" t="n">
        <f aca="false">IFERROR(AE17/AE13,0)</f>
        <v>0.115069804421248</v>
      </c>
      <c r="AF18" s="160" t="n">
        <f aca="false">IFERROR(AF17/AF13,0)</f>
        <v>-0.0159649876760295</v>
      </c>
      <c r="AG18" s="160" t="n">
        <f aca="false">IFERROR(AG17/AG13,0)</f>
        <v>0.190787581519573</v>
      </c>
      <c r="AH18" s="160" t="n">
        <f aca="false">IFERROR(AH17/AH13,0)</f>
        <v>0.188285775793716</v>
      </c>
      <c r="AI18" s="160" t="n">
        <f aca="false">IFERROR(AI17/AI13,0)</f>
        <v>0.186782436451232</v>
      </c>
      <c r="AJ18" s="160" t="n">
        <f aca="false">IFERROR(AJ17/AJ13,0)</f>
        <v>0.222551379831078</v>
      </c>
      <c r="AK18" s="160" t="n">
        <f aca="false">IFERROR(AK17/AK13,0)</f>
        <v>0.157687973771174</v>
      </c>
      <c r="AL18" s="160" t="n">
        <f aca="false">IFERROR(AL17/AL13,0)</f>
        <v>0.232666504249759</v>
      </c>
      <c r="AM18" s="160" t="n">
        <f aca="false">IFERROR(AM17/AM13,0)</f>
        <v>0.11295660264179</v>
      </c>
      <c r="AN18" s="160" t="n">
        <f aca="false">IFERROR(AN17/AN13,0)</f>
        <v>0.114632250921528</v>
      </c>
      <c r="AO18" s="160" t="n">
        <f aca="false">IFERROR(AO17/AO13,0)</f>
        <v>0.145347216709165</v>
      </c>
      <c r="AP18" s="160" t="n">
        <f aca="false">IFERROR(AP17/AP13,0)</f>
        <v>0.108356210750033</v>
      </c>
      <c r="AQ18" s="160" t="n">
        <f aca="false">IFERROR(AQ17/AQ13,0)</f>
        <v>0.110386938641138</v>
      </c>
      <c r="AR18" s="160" t="n">
        <f aca="false">IFERROR(AR17/AR13,0)</f>
        <v>0.113051926701939</v>
      </c>
      <c r="AS18" s="160" t="n">
        <f aca="false">IFERROR(AS17/AS13,0)</f>
        <v>0.116414229400565</v>
      </c>
      <c r="AT18" s="160" t="n">
        <f aca="false">IFERROR(AT17/AT13,0)</f>
        <v>0.12055310865161</v>
      </c>
      <c r="AU18" s="160" t="n">
        <f aca="false">IFERROR(AU17/AU13,0)</f>
        <v>0.229178494664299</v>
      </c>
      <c r="AV18" s="160" t="n">
        <f aca="false">IFERROR(AV17/AV13,0)</f>
        <v>0.0837646775590833</v>
      </c>
      <c r="AW18" s="160" t="n">
        <f aca="false">IFERROR(AW17/AW13,0)</f>
        <v>0.0854545030152378</v>
      </c>
      <c r="AX18" s="160" t="n">
        <f aca="false">IFERROR(AX17/AX13,0)</f>
        <v>0.0880559332951466</v>
      </c>
      <c r="AY18" s="160" t="n">
        <f aca="false">IFERROR(AY17/AY13,0)</f>
        <v>0.0916459953635472</v>
      </c>
      <c r="AZ18" s="160" t="n">
        <f aca="false">IFERROR(AZ17/AZ13,0)</f>
        <v>0.0963403856309272</v>
      </c>
      <c r="BA18" s="160" t="n">
        <f aca="false">IFERROR(BA17/BA13,0)</f>
        <v>0.102293640434331</v>
      </c>
      <c r="BB18" s="160" t="n">
        <f aca="false">IFERROR(BB17/BB13,0)</f>
        <v>0.109702510881483</v>
      </c>
      <c r="BC18" s="160" t="n">
        <f aca="false">IFERROR(BC17/BC13,0)</f>
        <v>0.118832417046729</v>
      </c>
      <c r="BD18" s="160" t="n">
        <f aca="false">IFERROR(BD17/BD13,0)</f>
        <v>0.130013354633857</v>
      </c>
      <c r="BE18" s="160" t="n">
        <f aca="false">IFERROR(BE17/BE13,0)</f>
        <v>0.143673701984803</v>
      </c>
      <c r="BF18" s="160" t="n">
        <f aca="false">IFERROR(BF17/BF13,0)</f>
        <v>0.160366035192509</v>
      </c>
      <c r="BG18" s="160" t="n">
        <f aca="false">IFERROR(BG17/BG13,0)</f>
        <v>0.180792980753182</v>
      </c>
      <c r="BH18" s="160" t="n">
        <f aca="false">IFERROR(BH17/BH13,0)</f>
        <v>0.205874369808341</v>
      </c>
      <c r="BI18" s="160" t="n">
        <f aca="false">IFERROR(BI17/BI13,0)</f>
        <v>0.610641055206121</v>
      </c>
      <c r="BJ18" s="160" t="n">
        <f aca="false">IFERROR(BJ17/BJ13,0)</f>
        <v>0</v>
      </c>
      <c r="BK18" s="160" t="n">
        <f aca="false">IFERROR(BK17/BK13,0)</f>
        <v>0</v>
      </c>
      <c r="BL18" s="160" t="n">
        <f aca="false">IFERROR(BL17/BL13,0)</f>
        <v>0</v>
      </c>
      <c r="BM18" s="160" t="n">
        <f aca="false">IFERROR(BM17/BM13,0)</f>
        <v>0</v>
      </c>
      <c r="BN18" s="160" t="n">
        <f aca="false">IFERROR(BN17/BN13,0)</f>
        <v>0</v>
      </c>
      <c r="BO18" s="160" t="n">
        <f aca="false">IFERROR(BO17/BO13,0)</f>
        <v>0</v>
      </c>
      <c r="BP18" s="160" t="n">
        <f aca="false">IFERROR(BP17/BP13,0)</f>
        <v>0</v>
      </c>
      <c r="BQ18" s="160" t="n">
        <f aca="false">IFERROR(BQ17/BQ13,0)</f>
        <v>0</v>
      </c>
      <c r="BR18" s="160" t="n">
        <f aca="false">IFERROR(BR17/BR13,0)</f>
        <v>0</v>
      </c>
      <c r="BS18" s="160" t="n">
        <f aca="false">IFERROR(BS17/BS13,0)</f>
        <v>0</v>
      </c>
      <c r="BT18" s="160" t="n">
        <f aca="false">IFERROR(BT17/BT13,0)</f>
        <v>0</v>
      </c>
      <c r="BU18" s="160" t="n">
        <f aca="false">IFERROR(BU17/BU13,0)</f>
        <v>0</v>
      </c>
      <c r="BV18" s="160" t="n">
        <f aca="false">IFERROR(BV17/BV13,0)</f>
        <v>0</v>
      </c>
      <c r="BW18" s="160" t="n">
        <f aca="false">IFERROR(BW17/BW13,0)</f>
        <v>0</v>
      </c>
      <c r="BX18" s="160" t="n">
        <f aca="false">IFERROR(BX17/BX13,0)</f>
        <v>0</v>
      </c>
      <c r="BY18" s="160" t="n">
        <f aca="false">IFERROR(BY17/BY13,0)</f>
        <v>0</v>
      </c>
      <c r="BZ18" s="160" t="n">
        <f aca="false">IFERROR(BZ17/BZ13,0)</f>
        <v>0</v>
      </c>
      <c r="CA18" s="160" t="n">
        <f aca="false">IFERROR(CA17/CA13,0)</f>
        <v>0</v>
      </c>
      <c r="CB18" s="160" t="n">
        <f aca="false">IFERROR(CB17/CB13,0)</f>
        <v>0</v>
      </c>
      <c r="CC18" s="160" t="n">
        <f aca="false">IFERROR(CC17/CC13,0)</f>
        <v>0</v>
      </c>
      <c r="CD18" s="160" t="n">
        <f aca="false">IFERROR(CD17/CD13,0)</f>
        <v>0</v>
      </c>
      <c r="CE18" s="160" t="n">
        <f aca="false">IFERROR(CE17/CE13,0)</f>
        <v>0</v>
      </c>
      <c r="CF18" s="160" t="n">
        <f aca="false">IFERROR(CF17/CF13,0)</f>
        <v>0</v>
      </c>
      <c r="CG18" s="160" t="n">
        <f aca="false">IFERROR(CG17/CG13,0)</f>
        <v>0</v>
      </c>
      <c r="CH18" s="160" t="n">
        <f aca="false">IFERROR(CH17/CH13,0)</f>
        <v>0</v>
      </c>
      <c r="CI18" s="160" t="n">
        <f aca="false">IFERROR(CI17/CI13,0)</f>
        <v>0</v>
      </c>
      <c r="CJ18" s="160" t="n">
        <f aca="false">IFERROR(CJ17/CJ13,0)</f>
        <v>0</v>
      </c>
      <c r="CK18" s="160" t="n">
        <f aca="false">IFERROR(CK17/CK13,0)</f>
        <v>0</v>
      </c>
      <c r="CL18" s="160" t="n">
        <f aca="false">IFERROR(CL17/CL13,0)</f>
        <v>0</v>
      </c>
      <c r="CM18" s="160" t="n">
        <f aca="false">IFERROR(CM17/CM13,0)</f>
        <v>0</v>
      </c>
      <c r="CN18" s="160" t="n">
        <f aca="false">IFERROR(CN17/CN13,0)</f>
        <v>0</v>
      </c>
      <c r="CO18" s="160" t="n">
        <f aca="false">IFERROR(CO17/CO13,0)</f>
        <v>0</v>
      </c>
      <c r="CP18" s="160" t="n">
        <f aca="false">IFERROR(CP17/CP13,0)</f>
        <v>0</v>
      </c>
      <c r="CQ18" s="160" t="n">
        <f aca="false">IFERROR(CQ17/CQ13,0)</f>
        <v>0</v>
      </c>
      <c r="CR18" s="160" t="n">
        <f aca="false">IFERROR(CR17/CR13,0)</f>
        <v>0</v>
      </c>
      <c r="CS18" s="160" t="n">
        <f aca="false">IFERROR(CS17/CS13,0)</f>
        <v>0</v>
      </c>
      <c r="CT18" s="160" t="n">
        <f aca="false">IFERROR(CT17/CT13,0)</f>
        <v>0</v>
      </c>
      <c r="CU18" s="160" t="n">
        <f aca="false">IFERROR(CU17/CU13,0)</f>
        <v>0</v>
      </c>
      <c r="CV18" s="160" t="n">
        <f aca="false">IFERROR(CV17/CV13,0)</f>
        <v>0</v>
      </c>
      <c r="CW18" s="160" t="n">
        <f aca="false">IFERROR(CW17/CW13,0)</f>
        <v>0</v>
      </c>
      <c r="CX18" s="160" t="n">
        <f aca="false">IFERROR(CX17/CX13,0)</f>
        <v>0</v>
      </c>
      <c r="CY18" s="160" t="n">
        <f aca="false">IFERROR(CY17/CY13,0)</f>
        <v>0</v>
      </c>
      <c r="CZ18" s="160" t="n">
        <f aca="false">IFERROR(CZ17/CZ13,0)</f>
        <v>0</v>
      </c>
      <c r="DA18" s="160" t="n">
        <f aca="false">IFERROR(DA17/DA13,0)</f>
        <v>0</v>
      </c>
      <c r="DB18" s="160" t="n">
        <f aca="false">IFERROR(DB17/DB13,0)</f>
        <v>0</v>
      </c>
      <c r="DC18" s="160" t="n">
        <f aca="false">IFERROR(DC17/DC13,0)</f>
        <v>0</v>
      </c>
      <c r="DD18" s="160" t="n">
        <f aca="false">IFERROR(DD17/DD13,0)</f>
        <v>0</v>
      </c>
      <c r="DE18" s="160" t="n">
        <f aca="false">IFERROR(DE17/DE13,0)</f>
        <v>0</v>
      </c>
      <c r="DF18" s="160" t="n">
        <f aca="false">IFERROR(DF17/DF13,0)</f>
        <v>0</v>
      </c>
    </row>
    <row r="19" customFormat="false" ht="15" hidden="false" customHeight="true" outlineLevel="0" collapsed="false">
      <c r="A19" s="127"/>
      <c r="C19" s="112"/>
      <c r="D19" s="112"/>
      <c r="E19" s="112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</row>
    <row r="20" customFormat="false" ht="15" hidden="false" customHeight="true" outlineLevel="0" collapsed="false">
      <c r="A20" s="127"/>
      <c r="C20" s="112"/>
      <c r="D20" s="112"/>
      <c r="E20" s="112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</row>
    <row r="21" customFormat="false" ht="15" hidden="false" customHeight="true" outlineLevel="0" collapsed="false">
      <c r="A21" s="127" t="s">
        <v>60</v>
      </c>
      <c r="C21" s="112" t="n">
        <v>-144550.9</v>
      </c>
      <c r="D21" s="112" t="n">
        <v>-150672.84</v>
      </c>
      <c r="E21" s="112" t="n">
        <v>-178867.86</v>
      </c>
      <c r="F21" s="153" t="n">
        <v>-164791.666666667</v>
      </c>
      <c r="G21" s="153" t="n">
        <v>-189375</v>
      </c>
      <c r="H21" s="153" t="n">
        <v>-214375</v>
      </c>
      <c r="I21" s="153" t="n">
        <v>-225208.333333333</v>
      </c>
      <c r="J21" s="153" t="n">
        <v>-225208.333333333</v>
      </c>
      <c r="K21" s="153" t="n">
        <v>-225208.333333333</v>
      </c>
      <c r="L21" s="153" t="n">
        <v>-246041.666666667</v>
      </c>
      <c r="M21" s="153" t="n">
        <v>-276041.666666667</v>
      </c>
      <c r="N21" s="153" t="n">
        <v>-276041.666666667</v>
      </c>
      <c r="O21" s="153" t="n">
        <v>-276041.666666667</v>
      </c>
      <c r="P21" s="153" t="n">
        <v>-276041.666666667</v>
      </c>
      <c r="Q21" s="153" t="n">
        <v>-276041.666666667</v>
      </c>
      <c r="R21" s="153" t="n">
        <v>-295162.5</v>
      </c>
      <c r="S21" s="153" t="n">
        <v>-295162.5</v>
      </c>
      <c r="T21" s="153" t="n">
        <v>-295162.5</v>
      </c>
      <c r="U21" s="153" t="n">
        <v>-295162.5</v>
      </c>
      <c r="V21" s="153" t="n">
        <v>-295162.5</v>
      </c>
      <c r="W21" s="153" t="n">
        <v>-295162.5</v>
      </c>
      <c r="X21" s="153" t="n">
        <v>-295162.5</v>
      </c>
      <c r="Y21" s="153" t="n">
        <v>-295162.5</v>
      </c>
      <c r="Z21" s="153" t="n">
        <v>-295162.5</v>
      </c>
      <c r="AA21" s="153" t="n">
        <v>-295162.5</v>
      </c>
      <c r="AB21" s="153" t="n">
        <v>-295162.5</v>
      </c>
      <c r="AC21" s="153" t="n">
        <v>-295162.5</v>
      </c>
      <c r="AD21" s="153" t="n">
        <v>-301065.75</v>
      </c>
      <c r="AE21" s="153" t="n">
        <v>-301065.75</v>
      </c>
      <c r="AF21" s="153" t="n">
        <v>-301065.75</v>
      </c>
      <c r="AG21" s="153" t="n">
        <v>-301065.75</v>
      </c>
      <c r="AH21" s="153" t="n">
        <v>-301065.75</v>
      </c>
      <c r="AI21" s="153" t="n">
        <v>-301065.75</v>
      </c>
      <c r="AJ21" s="153" t="n">
        <v>-301065.75</v>
      </c>
      <c r="AK21" s="153" t="n">
        <v>-301065.75</v>
      </c>
      <c r="AL21" s="153" t="n">
        <v>-301065.75</v>
      </c>
      <c r="AM21" s="153" t="n">
        <v>-301065.75</v>
      </c>
      <c r="AN21" s="153" t="n">
        <v>-301065.75</v>
      </c>
      <c r="AO21" s="153" t="n">
        <v>-301065.75</v>
      </c>
      <c r="AP21" s="153" t="n">
        <v>-307087.065</v>
      </c>
      <c r="AQ21" s="153" t="n">
        <v>-307087.065</v>
      </c>
      <c r="AR21" s="153" t="n">
        <v>-307087.065</v>
      </c>
      <c r="AS21" s="153" t="n">
        <v>-307087.065</v>
      </c>
      <c r="AT21" s="153" t="n">
        <v>-307087.065</v>
      </c>
      <c r="AU21" s="153" t="n">
        <v>-307087.065</v>
      </c>
      <c r="AV21" s="153" t="n">
        <v>-307087.065</v>
      </c>
      <c r="AW21" s="153" t="n">
        <v>-307087.065</v>
      </c>
      <c r="AX21" s="153" t="n">
        <v>-307087.065</v>
      </c>
      <c r="AY21" s="153" t="n">
        <v>-307087.065</v>
      </c>
      <c r="AZ21" s="153" t="n">
        <v>-307087.065</v>
      </c>
      <c r="BA21" s="153" t="n">
        <v>-307087.065</v>
      </c>
      <c r="BB21" s="153" t="n">
        <v>-313228.8063</v>
      </c>
      <c r="BC21" s="153" t="n">
        <v>-313228.8063</v>
      </c>
      <c r="BD21" s="153" t="n">
        <v>-313228.8063</v>
      </c>
      <c r="BE21" s="153" t="n">
        <v>-313228.8063</v>
      </c>
      <c r="BF21" s="153" t="n">
        <v>-313228.8063</v>
      </c>
      <c r="BG21" s="153" t="n">
        <v>-313228.8063</v>
      </c>
      <c r="BH21" s="153" t="n">
        <v>-313228.8063</v>
      </c>
      <c r="BI21" s="153" t="n">
        <v>-313228.8063</v>
      </c>
      <c r="BJ21" s="153" t="n">
        <v>-313228.8063</v>
      </c>
      <c r="BK21" s="153" t="n">
        <v>-313228.8063</v>
      </c>
      <c r="BL21" s="153" t="n">
        <v>-313228.8063</v>
      </c>
      <c r="BM21" s="153" t="n">
        <v>-313228.8063</v>
      </c>
      <c r="BN21" s="153" t="n">
        <v>-319493.382426</v>
      </c>
      <c r="BO21" s="153" t="n">
        <v>-319493.382426</v>
      </c>
      <c r="BP21" s="153" t="n">
        <v>-319493.382426</v>
      </c>
      <c r="BQ21" s="153" t="n">
        <v>-319493.382426</v>
      </c>
      <c r="BR21" s="153" t="n">
        <v>-319493.382426</v>
      </c>
      <c r="BS21" s="153" t="n">
        <v>-319493.382426</v>
      </c>
      <c r="BT21" s="153" t="n">
        <v>-319493.382426</v>
      </c>
      <c r="BU21" s="153" t="n">
        <v>-319493.382426</v>
      </c>
      <c r="BV21" s="153" t="n">
        <v>-319493.382426</v>
      </c>
      <c r="BW21" s="153" t="n">
        <v>-319493.382426</v>
      </c>
      <c r="BX21" s="153" t="n">
        <v>-319493.382426</v>
      </c>
      <c r="BY21" s="153" t="n">
        <v>-319493.382426</v>
      </c>
      <c r="BZ21" s="153" t="n">
        <v>-325883.25007452</v>
      </c>
      <c r="CA21" s="153" t="n">
        <v>-325883.25007452</v>
      </c>
      <c r="CB21" s="153" t="n">
        <v>-325883.25007452</v>
      </c>
      <c r="CC21" s="153" t="n">
        <v>-325883.25007452</v>
      </c>
      <c r="CD21" s="153" t="n">
        <v>-325883.25007452</v>
      </c>
      <c r="CE21" s="153" t="n">
        <v>-325883.25007452</v>
      </c>
      <c r="CF21" s="153" t="n">
        <v>-325883.25007452</v>
      </c>
      <c r="CG21" s="153" t="n">
        <v>-325883.25007452</v>
      </c>
      <c r="CH21" s="153" t="n">
        <v>-325883.25007452</v>
      </c>
      <c r="CI21" s="153" t="n">
        <v>-325883.25007452</v>
      </c>
      <c r="CJ21" s="153" t="n">
        <v>-325883.25007452</v>
      </c>
      <c r="CK21" s="153" t="n">
        <v>-325883.25007452</v>
      </c>
      <c r="CL21" s="153" t="n">
        <v>-332400.91507601</v>
      </c>
      <c r="CM21" s="153" t="n">
        <v>-332400.91507601</v>
      </c>
      <c r="CN21" s="153" t="n">
        <v>-332400.91507601</v>
      </c>
      <c r="CO21" s="153" t="n">
        <v>-332400.91507601</v>
      </c>
      <c r="CP21" s="153" t="n">
        <v>-332400.91507601</v>
      </c>
      <c r="CQ21" s="153" t="n">
        <v>-332400.91507601</v>
      </c>
      <c r="CR21" s="153" t="n">
        <v>-332400.91507601</v>
      </c>
      <c r="CS21" s="153" t="n">
        <v>-332400.91507601</v>
      </c>
      <c r="CT21" s="153" t="n">
        <v>-332400.91507601</v>
      </c>
      <c r="CU21" s="153" t="n">
        <v>-332400.91507601</v>
      </c>
      <c r="CV21" s="153" t="n">
        <v>-332400.91507601</v>
      </c>
      <c r="CW21" s="153" t="n">
        <v>-332400.91507601</v>
      </c>
      <c r="CX21" s="153" t="n">
        <v>-339048.933377531</v>
      </c>
      <c r="CY21" s="153" t="n">
        <v>-339048.933377531</v>
      </c>
      <c r="CZ21" s="153" t="n">
        <v>-339048.933377531</v>
      </c>
      <c r="DA21" s="153" t="n">
        <v>-339048.933377531</v>
      </c>
      <c r="DB21" s="153" t="n">
        <v>-339048.933377531</v>
      </c>
      <c r="DC21" s="153" t="n">
        <v>-339048.933377531</v>
      </c>
      <c r="DD21" s="153" t="n">
        <v>-339048.933377531</v>
      </c>
      <c r="DE21" s="153" t="n">
        <v>-339048.933377531</v>
      </c>
      <c r="DF21" s="153" t="n">
        <v>-339048.933377531</v>
      </c>
    </row>
    <row r="22" customFormat="false" ht="15" hidden="false" customHeight="true" outlineLevel="0" collapsed="false">
      <c r="A22" s="127" t="s">
        <v>61</v>
      </c>
      <c r="C22" s="112" t="n">
        <v>-7450.37</v>
      </c>
      <c r="D22" s="112" t="n">
        <v>-10567.2</v>
      </c>
      <c r="E22" s="112" t="n">
        <v>-17033.3</v>
      </c>
      <c r="F22" s="153" t="n">
        <v>-15327.0833333333</v>
      </c>
      <c r="G22" s="153" t="n">
        <v>-17047.9166666667</v>
      </c>
      <c r="H22" s="153" t="n">
        <v>-18797.9166666667</v>
      </c>
      <c r="I22" s="153" t="n">
        <v>-19556.25</v>
      </c>
      <c r="J22" s="153" t="n">
        <v>-19556.25</v>
      </c>
      <c r="K22" s="153" t="n">
        <v>-19556.25</v>
      </c>
      <c r="L22" s="153" t="n">
        <v>-21014.5833333333</v>
      </c>
      <c r="M22" s="153" t="n">
        <v>-23114.5833333333</v>
      </c>
      <c r="N22" s="153" t="n">
        <v>-23114.5833333333</v>
      </c>
      <c r="O22" s="153" t="n">
        <v>-23114.5833333333</v>
      </c>
      <c r="P22" s="153" t="n">
        <v>-23114.5833333333</v>
      </c>
      <c r="Q22" s="153" t="n">
        <v>-23114.5833333333</v>
      </c>
      <c r="R22" s="153" t="n">
        <v>-24528.875</v>
      </c>
      <c r="S22" s="153" t="n">
        <v>-24528.875</v>
      </c>
      <c r="T22" s="153" t="n">
        <v>-24528.875</v>
      </c>
      <c r="U22" s="153" t="n">
        <v>-24528.875</v>
      </c>
      <c r="V22" s="153" t="n">
        <v>-24528.875</v>
      </c>
      <c r="W22" s="153" t="n">
        <v>-24528.875</v>
      </c>
      <c r="X22" s="153" t="n">
        <v>-24528.875</v>
      </c>
      <c r="Y22" s="153" t="n">
        <v>-24528.875</v>
      </c>
      <c r="Z22" s="153" t="n">
        <v>-24528.875</v>
      </c>
      <c r="AA22" s="153" t="n">
        <v>-24528.875</v>
      </c>
      <c r="AB22" s="153" t="n">
        <v>-24528.875</v>
      </c>
      <c r="AC22" s="153" t="n">
        <v>-24528.875</v>
      </c>
      <c r="AD22" s="153" t="n">
        <v>-25019.4525</v>
      </c>
      <c r="AE22" s="153" t="n">
        <v>-25019.4525</v>
      </c>
      <c r="AF22" s="153" t="n">
        <v>-25019.4525</v>
      </c>
      <c r="AG22" s="153" t="n">
        <v>-25019.4525</v>
      </c>
      <c r="AH22" s="153" t="n">
        <v>-25019.4525</v>
      </c>
      <c r="AI22" s="153" t="n">
        <v>-25019.4525</v>
      </c>
      <c r="AJ22" s="153" t="n">
        <v>-25019.4525</v>
      </c>
      <c r="AK22" s="153" t="n">
        <v>-25019.4525</v>
      </c>
      <c r="AL22" s="153" t="n">
        <v>-25019.4525</v>
      </c>
      <c r="AM22" s="153" t="n">
        <v>-25019.4525</v>
      </c>
      <c r="AN22" s="153" t="n">
        <v>-25019.4525</v>
      </c>
      <c r="AO22" s="153" t="n">
        <v>-25019.4525</v>
      </c>
      <c r="AP22" s="153" t="n">
        <v>-25519.84155</v>
      </c>
      <c r="AQ22" s="153" t="n">
        <v>-25519.84155</v>
      </c>
      <c r="AR22" s="153" t="n">
        <v>-25519.84155</v>
      </c>
      <c r="AS22" s="153" t="n">
        <v>-25519.84155</v>
      </c>
      <c r="AT22" s="153" t="n">
        <v>-25519.84155</v>
      </c>
      <c r="AU22" s="153" t="n">
        <v>-25519.84155</v>
      </c>
      <c r="AV22" s="153" t="n">
        <v>-25519.84155</v>
      </c>
      <c r="AW22" s="153" t="n">
        <v>-25519.84155</v>
      </c>
      <c r="AX22" s="153" t="n">
        <v>-25519.84155</v>
      </c>
      <c r="AY22" s="153" t="n">
        <v>-25519.84155</v>
      </c>
      <c r="AZ22" s="153" t="n">
        <v>-25519.84155</v>
      </c>
      <c r="BA22" s="153" t="n">
        <v>-25519.84155</v>
      </c>
      <c r="BB22" s="153" t="n">
        <v>-26030.238381</v>
      </c>
      <c r="BC22" s="153" t="n">
        <v>-26030.238381</v>
      </c>
      <c r="BD22" s="153" t="n">
        <v>-26030.238381</v>
      </c>
      <c r="BE22" s="153" t="n">
        <v>-26030.238381</v>
      </c>
      <c r="BF22" s="153" t="n">
        <v>-26030.238381</v>
      </c>
      <c r="BG22" s="153" t="n">
        <v>-26030.238381</v>
      </c>
      <c r="BH22" s="153" t="n">
        <v>-26030.238381</v>
      </c>
      <c r="BI22" s="153" t="n">
        <v>-26030.238381</v>
      </c>
      <c r="BJ22" s="153" t="n">
        <v>-26030.238381</v>
      </c>
      <c r="BK22" s="153" t="n">
        <v>-26030.238381</v>
      </c>
      <c r="BL22" s="153" t="n">
        <v>-26030.238381</v>
      </c>
      <c r="BM22" s="153" t="n">
        <v>-26030.238381</v>
      </c>
      <c r="BN22" s="153" t="n">
        <v>-26550.84314862</v>
      </c>
      <c r="BO22" s="153" t="n">
        <v>-26550.84314862</v>
      </c>
      <c r="BP22" s="153" t="n">
        <v>-26550.84314862</v>
      </c>
      <c r="BQ22" s="153" t="n">
        <v>-26550.84314862</v>
      </c>
      <c r="BR22" s="153" t="n">
        <v>-26550.84314862</v>
      </c>
      <c r="BS22" s="153" t="n">
        <v>-26550.84314862</v>
      </c>
      <c r="BT22" s="153" t="n">
        <v>-26550.84314862</v>
      </c>
      <c r="BU22" s="153" t="n">
        <v>-26550.84314862</v>
      </c>
      <c r="BV22" s="153" t="n">
        <v>-26550.84314862</v>
      </c>
      <c r="BW22" s="153" t="n">
        <v>-26550.84314862</v>
      </c>
      <c r="BX22" s="153" t="n">
        <v>-26550.84314862</v>
      </c>
      <c r="BY22" s="153" t="n">
        <v>-26550.84314862</v>
      </c>
      <c r="BZ22" s="153" t="n">
        <v>-27081.8600115924</v>
      </c>
      <c r="CA22" s="153" t="n">
        <v>-27081.8600115924</v>
      </c>
      <c r="CB22" s="153" t="n">
        <v>-27081.8600115924</v>
      </c>
      <c r="CC22" s="153" t="n">
        <v>-27081.8600115924</v>
      </c>
      <c r="CD22" s="153" t="n">
        <v>-27081.8600115924</v>
      </c>
      <c r="CE22" s="153" t="n">
        <v>-27081.8600115924</v>
      </c>
      <c r="CF22" s="153" t="n">
        <v>-27081.8600115924</v>
      </c>
      <c r="CG22" s="153" t="n">
        <v>-27081.8600115924</v>
      </c>
      <c r="CH22" s="153" t="n">
        <v>-27081.8600115924</v>
      </c>
      <c r="CI22" s="153" t="n">
        <v>-27081.8600115924</v>
      </c>
      <c r="CJ22" s="153" t="n">
        <v>-27081.8600115924</v>
      </c>
      <c r="CK22" s="153" t="n">
        <v>-27081.8600115924</v>
      </c>
      <c r="CL22" s="153" t="n">
        <v>-27623.4972118242</v>
      </c>
      <c r="CM22" s="153" t="n">
        <v>-27623.4972118242</v>
      </c>
      <c r="CN22" s="153" t="n">
        <v>-27623.4972118242</v>
      </c>
      <c r="CO22" s="153" t="n">
        <v>-27623.4972118242</v>
      </c>
      <c r="CP22" s="153" t="n">
        <v>-27623.4972118242</v>
      </c>
      <c r="CQ22" s="153" t="n">
        <v>-27623.4972118242</v>
      </c>
      <c r="CR22" s="153" t="n">
        <v>-27623.4972118242</v>
      </c>
      <c r="CS22" s="153" t="n">
        <v>-27623.4972118242</v>
      </c>
      <c r="CT22" s="153" t="n">
        <v>-27623.4972118242</v>
      </c>
      <c r="CU22" s="153" t="n">
        <v>0</v>
      </c>
      <c r="CV22" s="153" t="n">
        <v>0</v>
      </c>
      <c r="CW22" s="153" t="n">
        <v>0</v>
      </c>
      <c r="CX22" s="153" t="n">
        <v>0</v>
      </c>
      <c r="CY22" s="153" t="n">
        <v>0</v>
      </c>
      <c r="CZ22" s="153" t="n">
        <v>0</v>
      </c>
      <c r="DA22" s="153" t="n">
        <v>0</v>
      </c>
      <c r="DB22" s="153" t="n">
        <v>0</v>
      </c>
      <c r="DC22" s="153" t="n">
        <v>0</v>
      </c>
      <c r="DD22" s="153" t="n">
        <v>0</v>
      </c>
      <c r="DE22" s="153" t="n">
        <v>0</v>
      </c>
      <c r="DF22" s="153" t="n">
        <v>0</v>
      </c>
    </row>
    <row r="23" customFormat="false" ht="15" hidden="false" customHeight="true" outlineLevel="0" collapsed="false">
      <c r="A23" s="127" t="s">
        <v>62</v>
      </c>
      <c r="C23" s="112" t="n">
        <v>0</v>
      </c>
      <c r="D23" s="112" t="n">
        <v>0</v>
      </c>
      <c r="E23" s="112" t="n">
        <v>0</v>
      </c>
      <c r="F23" s="153" t="n">
        <v>-103833.333333333</v>
      </c>
      <c r="G23" s="153" t="n">
        <v>-103833.333333333</v>
      </c>
      <c r="H23" s="153" t="n">
        <v>-103833.333333333</v>
      </c>
      <c r="I23" s="153" t="n">
        <v>-103833.333333333</v>
      </c>
      <c r="J23" s="153" t="n">
        <v>-103833.333333333</v>
      </c>
      <c r="K23" s="153" t="n">
        <v>-103833.333333333</v>
      </c>
      <c r="L23" s="153" t="n">
        <v>-103833.333333333</v>
      </c>
      <c r="M23" s="153" t="n">
        <v>-103833.333333333</v>
      </c>
      <c r="N23" s="153" t="n">
        <v>-103833.333333333</v>
      </c>
      <c r="O23" s="153" t="n">
        <v>-103833.333333333</v>
      </c>
      <c r="P23" s="153" t="n">
        <v>-103833.333333333</v>
      </c>
      <c r="Q23" s="153" t="n">
        <v>-103833.333333333</v>
      </c>
      <c r="R23" s="153" t="n">
        <v>-103833.333333333</v>
      </c>
      <c r="S23" s="153" t="n">
        <v>-103833.333333333</v>
      </c>
      <c r="T23" s="153" t="n">
        <v>-103833.333333333</v>
      </c>
      <c r="U23" s="153" t="n">
        <v>-103833.333333333</v>
      </c>
      <c r="V23" s="153" t="n">
        <v>-103833.333333333</v>
      </c>
      <c r="W23" s="153" t="n">
        <v>-103833.333333333</v>
      </c>
      <c r="X23" s="153" t="n">
        <v>-103833.333333333</v>
      </c>
      <c r="Y23" s="153" t="n">
        <v>-103833.333333333</v>
      </c>
      <c r="Z23" s="153" t="n">
        <v>-103833.333333333</v>
      </c>
      <c r="AA23" s="153" t="n">
        <v>-103833.333333333</v>
      </c>
      <c r="AB23" s="153" t="n">
        <v>-103833.333333333</v>
      </c>
      <c r="AC23" s="153" t="n">
        <v>-103833.333333333</v>
      </c>
      <c r="AD23" s="153" t="n">
        <v>-103833.333333333</v>
      </c>
      <c r="AE23" s="153" t="n">
        <v>-103833.333333333</v>
      </c>
      <c r="AF23" s="153" t="n">
        <v>-103833.333333333</v>
      </c>
      <c r="AG23" s="153" t="n">
        <v>-103833.333333333</v>
      </c>
      <c r="AH23" s="153" t="n">
        <v>-103833.333333333</v>
      </c>
      <c r="AI23" s="153" t="n">
        <v>-103833.333333333</v>
      </c>
      <c r="AJ23" s="153" t="n">
        <v>-103833.333333333</v>
      </c>
      <c r="AK23" s="153" t="n">
        <v>-103833.333333333</v>
      </c>
      <c r="AL23" s="153" t="n">
        <v>-103833.333333333</v>
      </c>
      <c r="AM23" s="153" t="n">
        <v>-103833.333333333</v>
      </c>
      <c r="AN23" s="153" t="n">
        <v>-103833.333333333</v>
      </c>
      <c r="AO23" s="153" t="n">
        <v>-103833.333333333</v>
      </c>
      <c r="AP23" s="153" t="n">
        <v>-103833.333333333</v>
      </c>
      <c r="AQ23" s="153" t="n">
        <v>-103833.333333333</v>
      </c>
      <c r="AR23" s="153" t="n">
        <v>-103833.333333333</v>
      </c>
      <c r="AS23" s="153" t="n">
        <v>-103833.333333333</v>
      </c>
      <c r="AT23" s="153" t="n">
        <v>-103833.333333333</v>
      </c>
      <c r="AU23" s="153" t="n">
        <v>-103833.333333333</v>
      </c>
      <c r="AV23" s="153" t="n">
        <v>-103833.333333333</v>
      </c>
      <c r="AW23" s="153" t="n">
        <v>-103833.333333333</v>
      </c>
      <c r="AX23" s="153" t="n">
        <v>-103833.333333333</v>
      </c>
      <c r="AY23" s="153" t="n">
        <v>-103833.333333333</v>
      </c>
      <c r="AZ23" s="153" t="n">
        <v>-103833.333333333</v>
      </c>
      <c r="BA23" s="153" t="n">
        <v>-103833.333333333</v>
      </c>
      <c r="BB23" s="153" t="n">
        <v>-103833.333333333</v>
      </c>
      <c r="BC23" s="153" t="n">
        <v>-103833.333333333</v>
      </c>
      <c r="BD23" s="153" t="n">
        <v>-103833.333333333</v>
      </c>
      <c r="BE23" s="153" t="n">
        <v>-103833.333333333</v>
      </c>
      <c r="BF23" s="153" t="n">
        <v>-103833.333333333</v>
      </c>
      <c r="BG23" s="153" t="n">
        <v>-103833.333333333</v>
      </c>
      <c r="BH23" s="153" t="n">
        <v>-103833.333333333</v>
      </c>
      <c r="BI23" s="153" t="n">
        <v>-103833.333333333</v>
      </c>
      <c r="BJ23" s="153" t="n">
        <v>-103833.333333333</v>
      </c>
      <c r="BK23" s="153" t="n">
        <v>-103833.333333333</v>
      </c>
      <c r="BL23" s="153" t="n">
        <v>-103833.333333333</v>
      </c>
      <c r="BM23" s="153" t="n">
        <v>-103833.333333333</v>
      </c>
      <c r="BN23" s="153" t="n">
        <v>-103833.333333333</v>
      </c>
      <c r="BO23" s="153" t="n">
        <v>-103833.333333333</v>
      </c>
      <c r="BP23" s="153" t="n">
        <v>-103833.333333333</v>
      </c>
      <c r="BQ23" s="153" t="n">
        <v>-103833.333333333</v>
      </c>
      <c r="BR23" s="153" t="n">
        <v>-103833.333333333</v>
      </c>
      <c r="BS23" s="153" t="n">
        <v>-103833.333333333</v>
      </c>
      <c r="BT23" s="153" t="n">
        <v>-103833.333333333</v>
      </c>
      <c r="BU23" s="153" t="n">
        <v>-103833.333333333</v>
      </c>
      <c r="BV23" s="153" t="n">
        <v>-103833.333333333</v>
      </c>
      <c r="BW23" s="153" t="n">
        <v>-103833.333333333</v>
      </c>
      <c r="BX23" s="153" t="n">
        <v>-103833.333333333</v>
      </c>
      <c r="BY23" s="153" t="n">
        <v>-103833.333333333</v>
      </c>
      <c r="BZ23" s="153" t="n">
        <v>-103833.333333333</v>
      </c>
      <c r="CA23" s="153" t="n">
        <v>-103833.333333333</v>
      </c>
      <c r="CB23" s="153" t="n">
        <v>-103833.333333333</v>
      </c>
      <c r="CC23" s="153" t="n">
        <v>-103833.333333333</v>
      </c>
      <c r="CD23" s="153" t="n">
        <v>-103833.333333333</v>
      </c>
      <c r="CE23" s="153" t="n">
        <v>-103833.333333333</v>
      </c>
      <c r="CF23" s="153" t="n">
        <v>-103833.333333333</v>
      </c>
      <c r="CG23" s="153" t="n">
        <v>-103833.333333333</v>
      </c>
      <c r="CH23" s="153" t="n">
        <v>-103833.333333333</v>
      </c>
      <c r="CI23" s="153" t="n">
        <v>-103833.333333333</v>
      </c>
      <c r="CJ23" s="153" t="n">
        <v>-103833.333333333</v>
      </c>
      <c r="CK23" s="153" t="n">
        <v>-103833.333333333</v>
      </c>
      <c r="CL23" s="153" t="n">
        <v>-103833.333333333</v>
      </c>
      <c r="CM23" s="153" t="n">
        <v>-103833.333333333</v>
      </c>
      <c r="CN23" s="153" t="n">
        <v>-103833.333333333</v>
      </c>
      <c r="CO23" s="153" t="n">
        <v>-103833.333333333</v>
      </c>
      <c r="CP23" s="153" t="n">
        <v>-103833.333333333</v>
      </c>
      <c r="CQ23" s="153" t="n">
        <v>-103833.333333333</v>
      </c>
      <c r="CR23" s="153" t="n">
        <v>-103833.333333333</v>
      </c>
      <c r="CS23" s="153" t="n">
        <v>-103833.333333333</v>
      </c>
      <c r="CT23" s="153" t="n">
        <v>-103833.333333333</v>
      </c>
      <c r="CU23" s="153" t="n">
        <v>-103833.333333333</v>
      </c>
      <c r="CV23" s="153" t="n">
        <v>-103833.333333333</v>
      </c>
      <c r="CW23" s="153" t="n">
        <v>-103833.333333333</v>
      </c>
      <c r="CX23" s="153" t="n">
        <v>-103833.333333333</v>
      </c>
      <c r="CY23" s="153" t="n">
        <v>-103833.333333333</v>
      </c>
      <c r="CZ23" s="153" t="n">
        <v>-103833.333333333</v>
      </c>
      <c r="DA23" s="153" t="n">
        <v>-103833.333333333</v>
      </c>
      <c r="DB23" s="153" t="n">
        <v>-103833.333333333</v>
      </c>
      <c r="DC23" s="153" t="n">
        <v>-103833.333333333</v>
      </c>
      <c r="DD23" s="153" t="n">
        <v>-103833.333333333</v>
      </c>
      <c r="DE23" s="153" t="n">
        <v>-103833.333333333</v>
      </c>
      <c r="DF23" s="153" t="n">
        <v>-103833.333333333</v>
      </c>
    </row>
    <row r="24" customFormat="false" ht="15" hidden="false" customHeight="true" outlineLevel="0" collapsed="false">
      <c r="A24" s="127" t="s">
        <v>63</v>
      </c>
      <c r="C24" s="112" t="n">
        <v>-9482.97</v>
      </c>
      <c r="D24" s="112" t="n">
        <v>-10343.29</v>
      </c>
      <c r="E24" s="112" t="n">
        <v>-3729.48</v>
      </c>
      <c r="F24" s="153" t="n">
        <v>-10947.9166666667</v>
      </c>
      <c r="G24" s="153" t="n">
        <v>-12177.0833333333</v>
      </c>
      <c r="H24" s="153" t="n">
        <v>-13427.0833333333</v>
      </c>
      <c r="I24" s="153" t="n">
        <v>-13968.75</v>
      </c>
      <c r="J24" s="153" t="n">
        <v>-13968.75</v>
      </c>
      <c r="K24" s="153" t="n">
        <v>-13968.75</v>
      </c>
      <c r="L24" s="153" t="n">
        <v>-15010.4166666667</v>
      </c>
      <c r="M24" s="153" t="n">
        <v>-16510.4166666667</v>
      </c>
      <c r="N24" s="153" t="n">
        <v>-16510.4166666667</v>
      </c>
      <c r="O24" s="153" t="n">
        <v>-16510.4166666667</v>
      </c>
      <c r="P24" s="153" t="n">
        <v>-16510.4166666667</v>
      </c>
      <c r="Q24" s="153" t="n">
        <v>-16510.4166666667</v>
      </c>
      <c r="R24" s="153" t="n">
        <v>-17520.625</v>
      </c>
      <c r="S24" s="153" t="n">
        <v>-17520.625</v>
      </c>
      <c r="T24" s="153" t="n">
        <v>-17520.625</v>
      </c>
      <c r="U24" s="153" t="n">
        <v>-17520.625</v>
      </c>
      <c r="V24" s="153" t="n">
        <v>-17520.625</v>
      </c>
      <c r="W24" s="153" t="n">
        <v>-17520.625</v>
      </c>
      <c r="X24" s="153" t="n">
        <v>-17520.625</v>
      </c>
      <c r="Y24" s="153" t="n">
        <v>-17520.625</v>
      </c>
      <c r="Z24" s="153" t="n">
        <v>-17520.625</v>
      </c>
      <c r="AA24" s="153" t="n">
        <v>-17520.625</v>
      </c>
      <c r="AB24" s="153" t="n">
        <v>-17520.625</v>
      </c>
      <c r="AC24" s="153" t="n">
        <v>-17520.625</v>
      </c>
      <c r="AD24" s="153" t="n">
        <v>-17871.0375</v>
      </c>
      <c r="AE24" s="153" t="n">
        <v>-17871.0375</v>
      </c>
      <c r="AF24" s="153" t="n">
        <v>-17871.0375</v>
      </c>
      <c r="AG24" s="153" t="n">
        <v>-17871.0375</v>
      </c>
      <c r="AH24" s="153" t="n">
        <v>-17871.0375</v>
      </c>
      <c r="AI24" s="153" t="n">
        <v>-17871.0375</v>
      </c>
      <c r="AJ24" s="153" t="n">
        <v>-17871.0375</v>
      </c>
      <c r="AK24" s="153" t="n">
        <v>-17871.0375</v>
      </c>
      <c r="AL24" s="153" t="n">
        <v>-17871.0375</v>
      </c>
      <c r="AM24" s="153" t="n">
        <v>-17871.0375</v>
      </c>
      <c r="AN24" s="153" t="n">
        <v>-17871.0375</v>
      </c>
      <c r="AO24" s="153" t="n">
        <v>-17871.0375</v>
      </c>
      <c r="AP24" s="153" t="n">
        <v>-18228.45825</v>
      </c>
      <c r="AQ24" s="153" t="n">
        <v>-18228.45825</v>
      </c>
      <c r="AR24" s="153" t="n">
        <v>-18228.45825</v>
      </c>
      <c r="AS24" s="153" t="n">
        <v>-18228.45825</v>
      </c>
      <c r="AT24" s="153" t="n">
        <v>-18228.45825</v>
      </c>
      <c r="AU24" s="153" t="n">
        <v>-18228.45825</v>
      </c>
      <c r="AV24" s="153" t="n">
        <v>-18228.45825</v>
      </c>
      <c r="AW24" s="153" t="n">
        <v>-18228.45825</v>
      </c>
      <c r="AX24" s="153" t="n">
        <v>-18228.45825</v>
      </c>
      <c r="AY24" s="153" t="n">
        <v>-18228.45825</v>
      </c>
      <c r="AZ24" s="153" t="n">
        <v>-18228.45825</v>
      </c>
      <c r="BA24" s="153" t="n">
        <v>-18228.45825</v>
      </c>
      <c r="BB24" s="153" t="n">
        <v>-18593.027415</v>
      </c>
      <c r="BC24" s="153" t="n">
        <v>-18593.027415</v>
      </c>
      <c r="BD24" s="153" t="n">
        <v>-18593.027415</v>
      </c>
      <c r="BE24" s="153" t="n">
        <v>-18593.027415</v>
      </c>
      <c r="BF24" s="153" t="n">
        <v>-18593.027415</v>
      </c>
      <c r="BG24" s="153" t="n">
        <v>-18593.027415</v>
      </c>
      <c r="BH24" s="153" t="n">
        <v>-18593.027415</v>
      </c>
      <c r="BI24" s="153" t="n">
        <v>-18593.027415</v>
      </c>
      <c r="BJ24" s="153" t="n">
        <v>-18593.027415</v>
      </c>
      <c r="BK24" s="153" t="n">
        <v>-18593.027415</v>
      </c>
      <c r="BL24" s="153" t="n">
        <v>-18593.027415</v>
      </c>
      <c r="BM24" s="153" t="n">
        <v>-18593.027415</v>
      </c>
      <c r="BN24" s="153" t="n">
        <v>-18964.8879633</v>
      </c>
      <c r="BO24" s="153" t="n">
        <v>-18964.8879633</v>
      </c>
      <c r="BP24" s="153" t="n">
        <v>-18964.8879633</v>
      </c>
      <c r="BQ24" s="153" t="n">
        <v>-18964.8879633</v>
      </c>
      <c r="BR24" s="153" t="n">
        <v>-18964.8879633</v>
      </c>
      <c r="BS24" s="153" t="n">
        <v>-18964.8879633</v>
      </c>
      <c r="BT24" s="153" t="n">
        <v>-18964.8879633</v>
      </c>
      <c r="BU24" s="153" t="n">
        <v>-18964.8879633</v>
      </c>
      <c r="BV24" s="153" t="n">
        <v>-18964.8879633</v>
      </c>
      <c r="BW24" s="153" t="n">
        <v>-18964.8879633</v>
      </c>
      <c r="BX24" s="153" t="n">
        <v>-18964.8879633</v>
      </c>
      <c r="BY24" s="153" t="n">
        <v>-18964.8879633</v>
      </c>
      <c r="BZ24" s="153" t="n">
        <v>-19344.185722566</v>
      </c>
      <c r="CA24" s="153" t="n">
        <v>-19344.185722566</v>
      </c>
      <c r="CB24" s="153" t="n">
        <v>-19344.185722566</v>
      </c>
      <c r="CC24" s="153" t="n">
        <v>-19344.185722566</v>
      </c>
      <c r="CD24" s="153" t="n">
        <v>-19344.185722566</v>
      </c>
      <c r="CE24" s="153" t="n">
        <v>-19344.185722566</v>
      </c>
      <c r="CF24" s="153" t="n">
        <v>-19344.185722566</v>
      </c>
      <c r="CG24" s="153" t="n">
        <v>-19344.185722566</v>
      </c>
      <c r="CH24" s="153" t="n">
        <v>-19344.185722566</v>
      </c>
      <c r="CI24" s="153" t="n">
        <v>-19344.185722566</v>
      </c>
      <c r="CJ24" s="153" t="n">
        <v>-19344.185722566</v>
      </c>
      <c r="CK24" s="153" t="n">
        <v>-19344.185722566</v>
      </c>
      <c r="CL24" s="153" t="n">
        <v>-19731.0694370173</v>
      </c>
      <c r="CM24" s="153" t="n">
        <v>-19731.0694370173</v>
      </c>
      <c r="CN24" s="153" t="n">
        <v>-19731.0694370173</v>
      </c>
      <c r="CO24" s="153" t="n">
        <v>-19731.0694370173</v>
      </c>
      <c r="CP24" s="153" t="n">
        <v>-19731.0694370173</v>
      </c>
      <c r="CQ24" s="153" t="n">
        <v>-19731.0694370173</v>
      </c>
      <c r="CR24" s="153" t="n">
        <v>-19731.0694370173</v>
      </c>
      <c r="CS24" s="153" t="n">
        <v>-19731.0694370173</v>
      </c>
      <c r="CT24" s="153" t="n">
        <v>-19731.0694370173</v>
      </c>
      <c r="CU24" s="153" t="n">
        <v>0</v>
      </c>
      <c r="CV24" s="153" t="n">
        <v>0</v>
      </c>
      <c r="CW24" s="153" t="n">
        <v>0</v>
      </c>
      <c r="CX24" s="153" t="n">
        <v>0</v>
      </c>
      <c r="CY24" s="153" t="n">
        <v>0</v>
      </c>
      <c r="CZ24" s="153" t="n">
        <v>0</v>
      </c>
      <c r="DA24" s="153" t="n">
        <v>0</v>
      </c>
      <c r="DB24" s="153" t="n">
        <v>0</v>
      </c>
      <c r="DC24" s="153" t="n">
        <v>0</v>
      </c>
      <c r="DD24" s="153" t="n">
        <v>0</v>
      </c>
      <c r="DE24" s="153" t="n">
        <v>0</v>
      </c>
      <c r="DF24" s="153" t="n">
        <v>0</v>
      </c>
    </row>
    <row r="25" customFormat="false" ht="15" hidden="false" customHeight="true" outlineLevel="0" collapsed="false">
      <c r="A25" s="127" t="s">
        <v>64</v>
      </c>
      <c r="C25" s="112" t="n">
        <v>-2542.47</v>
      </c>
      <c r="D25" s="112" t="n">
        <v>-1618.75</v>
      </c>
      <c r="E25" s="112" t="n">
        <v>3406.77</v>
      </c>
      <c r="F25" s="153" t="n">
        <v>-4379.16666666667</v>
      </c>
      <c r="G25" s="153" t="n">
        <v>-4870.83333333333</v>
      </c>
      <c r="H25" s="153" t="n">
        <v>-5370.83333333333</v>
      </c>
      <c r="I25" s="153" t="n">
        <v>-5587.5</v>
      </c>
      <c r="J25" s="153" t="n">
        <v>-5587.5</v>
      </c>
      <c r="K25" s="153" t="n">
        <v>-5587.5</v>
      </c>
      <c r="L25" s="153" t="n">
        <v>-6004.16666666667</v>
      </c>
      <c r="M25" s="153" t="n">
        <v>-6604.16666666666</v>
      </c>
      <c r="N25" s="153" t="n">
        <v>-6604.16666666666</v>
      </c>
      <c r="O25" s="153" t="n">
        <v>-6604.16666666666</v>
      </c>
      <c r="P25" s="153" t="n">
        <v>-6604.16666666666</v>
      </c>
      <c r="Q25" s="153" t="n">
        <v>-6604.16666666666</v>
      </c>
      <c r="R25" s="153" t="n">
        <v>-7008.25</v>
      </c>
      <c r="S25" s="153" t="n">
        <v>-7008.25</v>
      </c>
      <c r="T25" s="153" t="n">
        <v>-7008.25</v>
      </c>
      <c r="U25" s="153" t="n">
        <v>-7008.25</v>
      </c>
      <c r="V25" s="153" t="n">
        <v>-7008.25</v>
      </c>
      <c r="W25" s="153" t="n">
        <v>-7008.25</v>
      </c>
      <c r="X25" s="153" t="n">
        <v>-7008.25</v>
      </c>
      <c r="Y25" s="153" t="n">
        <v>-7008.25</v>
      </c>
      <c r="Z25" s="153" t="n">
        <v>-7008.25</v>
      </c>
      <c r="AA25" s="153" t="n">
        <v>-7008.25</v>
      </c>
      <c r="AB25" s="153" t="n">
        <v>-7008.25</v>
      </c>
      <c r="AC25" s="153" t="n">
        <v>-7008.25</v>
      </c>
      <c r="AD25" s="153" t="n">
        <v>-7148.415</v>
      </c>
      <c r="AE25" s="153" t="n">
        <v>-7148.415</v>
      </c>
      <c r="AF25" s="153" t="n">
        <v>-7148.415</v>
      </c>
      <c r="AG25" s="153" t="n">
        <v>-7148.415</v>
      </c>
      <c r="AH25" s="153" t="n">
        <v>-7148.415</v>
      </c>
      <c r="AI25" s="153" t="n">
        <v>-7148.415</v>
      </c>
      <c r="AJ25" s="153" t="n">
        <v>-7148.415</v>
      </c>
      <c r="AK25" s="153" t="n">
        <v>-7148.415</v>
      </c>
      <c r="AL25" s="153" t="n">
        <v>-7148.415</v>
      </c>
      <c r="AM25" s="153" t="n">
        <v>-7148.415</v>
      </c>
      <c r="AN25" s="153" t="n">
        <v>-7148.415</v>
      </c>
      <c r="AO25" s="153" t="n">
        <v>-7148.415</v>
      </c>
      <c r="AP25" s="153" t="n">
        <v>-7291.3833</v>
      </c>
      <c r="AQ25" s="153" t="n">
        <v>-7291.3833</v>
      </c>
      <c r="AR25" s="153" t="n">
        <v>-7291.3833</v>
      </c>
      <c r="AS25" s="153" t="n">
        <v>-7291.3833</v>
      </c>
      <c r="AT25" s="153" t="n">
        <v>-7291.3833</v>
      </c>
      <c r="AU25" s="153" t="n">
        <v>-7291.3833</v>
      </c>
      <c r="AV25" s="153" t="n">
        <v>-7291.3833</v>
      </c>
      <c r="AW25" s="153" t="n">
        <v>-7291.3833</v>
      </c>
      <c r="AX25" s="153" t="n">
        <v>-7291.3833</v>
      </c>
      <c r="AY25" s="153" t="n">
        <v>-7291.3833</v>
      </c>
      <c r="AZ25" s="153" t="n">
        <v>-7291.3833</v>
      </c>
      <c r="BA25" s="153" t="n">
        <v>-7291.3833</v>
      </c>
      <c r="BB25" s="153" t="n">
        <v>-7437.210966</v>
      </c>
      <c r="BC25" s="153" t="n">
        <v>-7437.210966</v>
      </c>
      <c r="BD25" s="153" t="n">
        <v>-7437.210966</v>
      </c>
      <c r="BE25" s="153" t="n">
        <v>-7437.210966</v>
      </c>
      <c r="BF25" s="153" t="n">
        <v>-7437.210966</v>
      </c>
      <c r="BG25" s="153" t="n">
        <v>-7437.210966</v>
      </c>
      <c r="BH25" s="153" t="n">
        <v>-7437.210966</v>
      </c>
      <c r="BI25" s="153" t="n">
        <v>-7437.210966</v>
      </c>
      <c r="BJ25" s="153" t="n">
        <v>-7437.210966</v>
      </c>
      <c r="BK25" s="153" t="n">
        <v>-7437.210966</v>
      </c>
      <c r="BL25" s="153" t="n">
        <v>-7437.210966</v>
      </c>
      <c r="BM25" s="153" t="n">
        <v>-7437.210966</v>
      </c>
      <c r="BN25" s="153" t="n">
        <v>-7585.95518532</v>
      </c>
      <c r="BO25" s="153" t="n">
        <v>-7585.95518532</v>
      </c>
      <c r="BP25" s="153" t="n">
        <v>-7585.95518532</v>
      </c>
      <c r="BQ25" s="153" t="n">
        <v>-7585.95518532</v>
      </c>
      <c r="BR25" s="153" t="n">
        <v>-7585.95518532</v>
      </c>
      <c r="BS25" s="153" t="n">
        <v>-7585.95518532</v>
      </c>
      <c r="BT25" s="153" t="n">
        <v>-7585.95518532</v>
      </c>
      <c r="BU25" s="153" t="n">
        <v>-7585.95518532</v>
      </c>
      <c r="BV25" s="153" t="n">
        <v>-7585.95518532</v>
      </c>
      <c r="BW25" s="153" t="n">
        <v>-7585.95518532</v>
      </c>
      <c r="BX25" s="153" t="n">
        <v>-7585.95518532</v>
      </c>
      <c r="BY25" s="153" t="n">
        <v>-7585.95518532</v>
      </c>
      <c r="BZ25" s="153" t="n">
        <v>-7737.6742890264</v>
      </c>
      <c r="CA25" s="153" t="n">
        <v>-7737.6742890264</v>
      </c>
      <c r="CB25" s="153" t="n">
        <v>-7737.6742890264</v>
      </c>
      <c r="CC25" s="153" t="n">
        <v>-7737.6742890264</v>
      </c>
      <c r="CD25" s="153" t="n">
        <v>-7737.6742890264</v>
      </c>
      <c r="CE25" s="153" t="n">
        <v>-7737.6742890264</v>
      </c>
      <c r="CF25" s="153" t="n">
        <v>-7737.6742890264</v>
      </c>
      <c r="CG25" s="153" t="n">
        <v>-7737.6742890264</v>
      </c>
      <c r="CH25" s="153" t="n">
        <v>-7737.6742890264</v>
      </c>
      <c r="CI25" s="153" t="n">
        <v>-7737.6742890264</v>
      </c>
      <c r="CJ25" s="153" t="n">
        <v>-7737.6742890264</v>
      </c>
      <c r="CK25" s="153" t="n">
        <v>-7737.6742890264</v>
      </c>
      <c r="CL25" s="153" t="n">
        <v>-7892.42777480693</v>
      </c>
      <c r="CM25" s="153" t="n">
        <v>-7892.42777480693</v>
      </c>
      <c r="CN25" s="153" t="n">
        <v>-7892.42777480693</v>
      </c>
      <c r="CO25" s="153" t="n">
        <v>-7892.42777480693</v>
      </c>
      <c r="CP25" s="153" t="n">
        <v>-7892.42777480693</v>
      </c>
      <c r="CQ25" s="153" t="n">
        <v>-7892.42777480693</v>
      </c>
      <c r="CR25" s="153" t="n">
        <v>-7892.42777480693</v>
      </c>
      <c r="CS25" s="153" t="n">
        <v>-7892.42777480693</v>
      </c>
      <c r="CT25" s="153" t="n">
        <v>-7892.42777480693</v>
      </c>
      <c r="CU25" s="153" t="n">
        <v>0</v>
      </c>
      <c r="CV25" s="153" t="n">
        <v>0</v>
      </c>
      <c r="CW25" s="153" t="n">
        <v>0</v>
      </c>
      <c r="CX25" s="153" t="n">
        <v>0</v>
      </c>
      <c r="CY25" s="153" t="n">
        <v>0</v>
      </c>
      <c r="CZ25" s="153" t="n">
        <v>0</v>
      </c>
      <c r="DA25" s="153" t="n">
        <v>0</v>
      </c>
      <c r="DB25" s="153" t="n">
        <v>0</v>
      </c>
      <c r="DC25" s="153" t="n">
        <v>0</v>
      </c>
      <c r="DD25" s="153" t="n">
        <v>0</v>
      </c>
      <c r="DE25" s="153" t="n">
        <v>0</v>
      </c>
      <c r="DF25" s="153" t="n">
        <v>0</v>
      </c>
    </row>
    <row r="26" customFormat="false" ht="15" hidden="false" customHeight="true" outlineLevel="0" collapsed="false">
      <c r="A26" s="127" t="s">
        <v>65</v>
      </c>
      <c r="C26" s="112" t="n">
        <v>-195</v>
      </c>
      <c r="D26" s="112" t="n">
        <v>-200</v>
      </c>
      <c r="E26" s="112" t="n">
        <v>0</v>
      </c>
      <c r="F26" s="153" t="n">
        <v>-1094.79166666667</v>
      </c>
      <c r="G26" s="153" t="n">
        <v>-1217.70833333333</v>
      </c>
      <c r="H26" s="153" t="n">
        <v>-1342.70833333333</v>
      </c>
      <c r="I26" s="153" t="n">
        <v>-1396.875</v>
      </c>
      <c r="J26" s="153" t="n">
        <v>-1396.875</v>
      </c>
      <c r="K26" s="153" t="n">
        <v>-1396.875</v>
      </c>
      <c r="L26" s="153" t="n">
        <v>-1501.04166666667</v>
      </c>
      <c r="M26" s="153" t="n">
        <v>-1651.04166666667</v>
      </c>
      <c r="N26" s="153" t="n">
        <v>-1651.04166666667</v>
      </c>
      <c r="O26" s="153" t="n">
        <v>-1651.04166666667</v>
      </c>
      <c r="P26" s="153" t="n">
        <v>-1651.04166666667</v>
      </c>
      <c r="Q26" s="153" t="n">
        <v>-1651.04166666667</v>
      </c>
      <c r="R26" s="153" t="n">
        <v>-1752.0625</v>
      </c>
      <c r="S26" s="153" t="n">
        <v>-1752.0625</v>
      </c>
      <c r="T26" s="153" t="n">
        <v>-1752.0625</v>
      </c>
      <c r="U26" s="153" t="n">
        <v>-1752.0625</v>
      </c>
      <c r="V26" s="153" t="n">
        <v>-1752.0625</v>
      </c>
      <c r="W26" s="153" t="n">
        <v>-1752.0625</v>
      </c>
      <c r="X26" s="153" t="n">
        <v>-1752.0625</v>
      </c>
      <c r="Y26" s="153" t="n">
        <v>-1752.0625</v>
      </c>
      <c r="Z26" s="153" t="n">
        <v>-1752.0625</v>
      </c>
      <c r="AA26" s="153" t="n">
        <v>-1752.0625</v>
      </c>
      <c r="AB26" s="153" t="n">
        <v>-1752.0625</v>
      </c>
      <c r="AC26" s="153" t="n">
        <v>-1752.0625</v>
      </c>
      <c r="AD26" s="153" t="n">
        <v>-1787.10375</v>
      </c>
      <c r="AE26" s="153" t="n">
        <v>-1787.10375</v>
      </c>
      <c r="AF26" s="153" t="n">
        <v>-1787.10375</v>
      </c>
      <c r="AG26" s="153" t="n">
        <v>-1787.10375</v>
      </c>
      <c r="AH26" s="153" t="n">
        <v>-1787.10375</v>
      </c>
      <c r="AI26" s="153" t="n">
        <v>-1787.10375</v>
      </c>
      <c r="AJ26" s="153" t="n">
        <v>-1787.10375</v>
      </c>
      <c r="AK26" s="153" t="n">
        <v>-1787.10375</v>
      </c>
      <c r="AL26" s="153" t="n">
        <v>-1787.10375</v>
      </c>
      <c r="AM26" s="153" t="n">
        <v>-1787.10375</v>
      </c>
      <c r="AN26" s="153" t="n">
        <v>-1787.10375</v>
      </c>
      <c r="AO26" s="153" t="n">
        <v>-1787.10375</v>
      </c>
      <c r="AP26" s="153" t="n">
        <v>-1822.845825</v>
      </c>
      <c r="AQ26" s="153" t="n">
        <v>-1822.845825</v>
      </c>
      <c r="AR26" s="153" t="n">
        <v>-1822.845825</v>
      </c>
      <c r="AS26" s="153" t="n">
        <v>-1822.845825</v>
      </c>
      <c r="AT26" s="153" t="n">
        <v>-1822.845825</v>
      </c>
      <c r="AU26" s="153" t="n">
        <v>-1822.845825</v>
      </c>
      <c r="AV26" s="153" t="n">
        <v>-1822.845825</v>
      </c>
      <c r="AW26" s="153" t="n">
        <v>-1822.845825</v>
      </c>
      <c r="AX26" s="153" t="n">
        <v>-1822.845825</v>
      </c>
      <c r="AY26" s="153" t="n">
        <v>-1822.845825</v>
      </c>
      <c r="AZ26" s="153" t="n">
        <v>-1822.845825</v>
      </c>
      <c r="BA26" s="153" t="n">
        <v>-1822.845825</v>
      </c>
      <c r="BB26" s="153" t="n">
        <v>-1859.3027415</v>
      </c>
      <c r="BC26" s="153" t="n">
        <v>-1859.3027415</v>
      </c>
      <c r="BD26" s="153" t="n">
        <v>-1859.3027415</v>
      </c>
      <c r="BE26" s="153" t="n">
        <v>-1859.3027415</v>
      </c>
      <c r="BF26" s="153" t="n">
        <v>-1859.3027415</v>
      </c>
      <c r="BG26" s="153" t="n">
        <v>-1859.3027415</v>
      </c>
      <c r="BH26" s="153" t="n">
        <v>-1859.3027415</v>
      </c>
      <c r="BI26" s="153" t="n">
        <v>-1859.3027415</v>
      </c>
      <c r="BJ26" s="153" t="n">
        <v>-1859.3027415</v>
      </c>
      <c r="BK26" s="153" t="n">
        <v>-1859.3027415</v>
      </c>
      <c r="BL26" s="153" t="n">
        <v>-1859.3027415</v>
      </c>
      <c r="BM26" s="153" t="n">
        <v>-1859.3027415</v>
      </c>
      <c r="BN26" s="153" t="n">
        <v>-1896.48879633</v>
      </c>
      <c r="BO26" s="153" t="n">
        <v>-1896.48879633</v>
      </c>
      <c r="BP26" s="153" t="n">
        <v>-1896.48879633</v>
      </c>
      <c r="BQ26" s="153" t="n">
        <v>-1896.48879633</v>
      </c>
      <c r="BR26" s="153" t="n">
        <v>-1896.48879633</v>
      </c>
      <c r="BS26" s="153" t="n">
        <v>-1896.48879633</v>
      </c>
      <c r="BT26" s="153" t="n">
        <v>-1896.48879633</v>
      </c>
      <c r="BU26" s="153" t="n">
        <v>-1896.48879633</v>
      </c>
      <c r="BV26" s="153" t="n">
        <v>-1896.48879633</v>
      </c>
      <c r="BW26" s="153" t="n">
        <v>-1896.48879633</v>
      </c>
      <c r="BX26" s="153" t="n">
        <v>-1896.48879633</v>
      </c>
      <c r="BY26" s="153" t="n">
        <v>-1896.48879633</v>
      </c>
      <c r="BZ26" s="153" t="n">
        <v>-1934.4185722566</v>
      </c>
      <c r="CA26" s="153" t="n">
        <v>-1934.4185722566</v>
      </c>
      <c r="CB26" s="153" t="n">
        <v>-1934.4185722566</v>
      </c>
      <c r="CC26" s="153" t="n">
        <v>-1934.4185722566</v>
      </c>
      <c r="CD26" s="153" t="n">
        <v>-1934.4185722566</v>
      </c>
      <c r="CE26" s="153" t="n">
        <v>-1934.4185722566</v>
      </c>
      <c r="CF26" s="153" t="n">
        <v>-1934.4185722566</v>
      </c>
      <c r="CG26" s="153" t="n">
        <v>-1934.4185722566</v>
      </c>
      <c r="CH26" s="153" t="n">
        <v>-1934.4185722566</v>
      </c>
      <c r="CI26" s="153" t="n">
        <v>-1934.4185722566</v>
      </c>
      <c r="CJ26" s="153" t="n">
        <v>-1934.4185722566</v>
      </c>
      <c r="CK26" s="153" t="n">
        <v>-1934.4185722566</v>
      </c>
      <c r="CL26" s="153" t="n">
        <v>-1973.10694370173</v>
      </c>
      <c r="CM26" s="153" t="n">
        <v>-1973.10694370173</v>
      </c>
      <c r="CN26" s="153" t="n">
        <v>-1973.10694370173</v>
      </c>
      <c r="CO26" s="153" t="n">
        <v>-1973.10694370173</v>
      </c>
      <c r="CP26" s="153" t="n">
        <v>-1973.10694370173</v>
      </c>
      <c r="CQ26" s="153" t="n">
        <v>-1973.10694370173</v>
      </c>
      <c r="CR26" s="153" t="n">
        <v>-1973.10694370173</v>
      </c>
      <c r="CS26" s="153" t="n">
        <v>-1973.10694370173</v>
      </c>
      <c r="CT26" s="153" t="n">
        <v>-1973.10694370173</v>
      </c>
      <c r="CU26" s="153" t="n">
        <v>0</v>
      </c>
      <c r="CV26" s="153" t="n">
        <v>0</v>
      </c>
      <c r="CW26" s="153" t="n">
        <v>0</v>
      </c>
      <c r="CX26" s="153" t="n">
        <v>0</v>
      </c>
      <c r="CY26" s="153" t="n">
        <v>0</v>
      </c>
      <c r="CZ26" s="153" t="n">
        <v>0</v>
      </c>
      <c r="DA26" s="153" t="n">
        <v>0</v>
      </c>
      <c r="DB26" s="153" t="n">
        <v>0</v>
      </c>
      <c r="DC26" s="153" t="n">
        <v>0</v>
      </c>
      <c r="DD26" s="153" t="n">
        <v>0</v>
      </c>
      <c r="DE26" s="153" t="n">
        <v>0</v>
      </c>
      <c r="DF26" s="153" t="n">
        <v>0</v>
      </c>
    </row>
    <row r="27" customFormat="false" ht="15" hidden="false" customHeight="true" outlineLevel="0" collapsed="false">
      <c r="A27" s="127" t="s">
        <v>66</v>
      </c>
      <c r="C27" s="112" t="n">
        <v>-33002.28</v>
      </c>
      <c r="D27" s="112" t="n">
        <v>-29166.66</v>
      </c>
      <c r="E27" s="112" t="n">
        <v>-41666.66</v>
      </c>
      <c r="F27" s="153" t="n">
        <v>-29166.66</v>
      </c>
      <c r="G27" s="153" t="n">
        <v>-29166.66</v>
      </c>
      <c r="H27" s="153" t="n">
        <v>-29166.66</v>
      </c>
      <c r="I27" s="153" t="n">
        <v>-29166.66</v>
      </c>
      <c r="J27" s="153" t="n">
        <v>-29166.66</v>
      </c>
      <c r="K27" s="153" t="n">
        <v>-29166.66</v>
      </c>
      <c r="L27" s="153" t="n">
        <v>-29166.66</v>
      </c>
      <c r="M27" s="153" t="n">
        <v>-29166.66</v>
      </c>
      <c r="N27" s="153" t="n">
        <v>-29166.66</v>
      </c>
      <c r="O27" s="153" t="n">
        <v>-29166.66</v>
      </c>
      <c r="P27" s="153" t="n">
        <v>-29166.66</v>
      </c>
      <c r="Q27" s="153" t="n">
        <v>-29166.66</v>
      </c>
      <c r="R27" s="153" t="n">
        <v>-29749.9932</v>
      </c>
      <c r="S27" s="153" t="n">
        <v>-29749.9932</v>
      </c>
      <c r="T27" s="153" t="n">
        <v>-29749.9932</v>
      </c>
      <c r="U27" s="153" t="n">
        <v>-29749.9932</v>
      </c>
      <c r="V27" s="153" t="n">
        <v>-29749.9932</v>
      </c>
      <c r="W27" s="153" t="n">
        <v>-29749.9932</v>
      </c>
      <c r="X27" s="153" t="n">
        <v>-29749.9932</v>
      </c>
      <c r="Y27" s="153" t="n">
        <v>-29749.9932</v>
      </c>
      <c r="Z27" s="153" t="n">
        <v>-29749.9932</v>
      </c>
      <c r="AA27" s="153" t="n">
        <v>-29749.9932</v>
      </c>
      <c r="AB27" s="153" t="n">
        <v>-29749.9932</v>
      </c>
      <c r="AC27" s="153" t="n">
        <v>-29749.9932</v>
      </c>
      <c r="AD27" s="153" t="n">
        <v>-30344.993064</v>
      </c>
      <c r="AE27" s="153" t="n">
        <v>-30344.993064</v>
      </c>
      <c r="AF27" s="153" t="n">
        <v>-30344.993064</v>
      </c>
      <c r="AG27" s="153" t="n">
        <v>-30344.993064</v>
      </c>
      <c r="AH27" s="153" t="n">
        <v>-30344.993064</v>
      </c>
      <c r="AI27" s="153" t="n">
        <v>-30344.993064</v>
      </c>
      <c r="AJ27" s="153" t="n">
        <v>-30344.993064</v>
      </c>
      <c r="AK27" s="153" t="n">
        <v>-30344.993064</v>
      </c>
      <c r="AL27" s="153" t="n">
        <v>-30344.993064</v>
      </c>
      <c r="AM27" s="153" t="n">
        <v>-30344.993064</v>
      </c>
      <c r="AN27" s="153" t="n">
        <v>-30344.993064</v>
      </c>
      <c r="AO27" s="153" t="n">
        <v>-30344.993064</v>
      </c>
      <c r="AP27" s="153" t="n">
        <v>-30951.89292528</v>
      </c>
      <c r="AQ27" s="153" t="n">
        <v>-30951.89292528</v>
      </c>
      <c r="AR27" s="153" t="n">
        <v>-30951.89292528</v>
      </c>
      <c r="AS27" s="153" t="n">
        <v>-30951.89292528</v>
      </c>
      <c r="AT27" s="153" t="n">
        <v>-30951.89292528</v>
      </c>
      <c r="AU27" s="153" t="n">
        <v>-30951.89292528</v>
      </c>
      <c r="AV27" s="153" t="n">
        <v>-30951.89292528</v>
      </c>
      <c r="AW27" s="153" t="n">
        <v>-30951.89292528</v>
      </c>
      <c r="AX27" s="153" t="n">
        <v>-30951.89292528</v>
      </c>
      <c r="AY27" s="153" t="n">
        <v>-30951.89292528</v>
      </c>
      <c r="AZ27" s="153" t="n">
        <v>-30951.89292528</v>
      </c>
      <c r="BA27" s="153" t="n">
        <v>-30951.89292528</v>
      </c>
      <c r="BB27" s="153" t="n">
        <v>-31570.9307837856</v>
      </c>
      <c r="BC27" s="153" t="n">
        <v>-31570.9307837856</v>
      </c>
      <c r="BD27" s="153" t="n">
        <v>-31570.9307837856</v>
      </c>
      <c r="BE27" s="153" t="n">
        <v>-31570.9307837856</v>
      </c>
      <c r="BF27" s="153" t="n">
        <v>-31570.9307837856</v>
      </c>
      <c r="BG27" s="153" t="n">
        <v>-31570.9307837856</v>
      </c>
      <c r="BH27" s="153" t="n">
        <v>-31570.9307837856</v>
      </c>
      <c r="BI27" s="153" t="n">
        <v>-31570.9307837856</v>
      </c>
      <c r="BJ27" s="153" t="n">
        <v>-31570.9307837856</v>
      </c>
      <c r="BK27" s="153" t="n">
        <v>-31570.9307837856</v>
      </c>
      <c r="BL27" s="153" t="n">
        <v>-31570.9307837856</v>
      </c>
      <c r="BM27" s="153" t="n">
        <v>-31570.9307837856</v>
      </c>
      <c r="BN27" s="153" t="n">
        <v>-32202.3493994613</v>
      </c>
      <c r="BO27" s="153" t="n">
        <v>-32202.3493994613</v>
      </c>
      <c r="BP27" s="153" t="n">
        <v>-32202.3493994613</v>
      </c>
      <c r="BQ27" s="153" t="n">
        <v>-32202.3493994613</v>
      </c>
      <c r="BR27" s="153" t="n">
        <v>-32202.3493994613</v>
      </c>
      <c r="BS27" s="153" t="n">
        <v>-32202.3493994613</v>
      </c>
      <c r="BT27" s="153" t="n">
        <v>-32202.3493994613</v>
      </c>
      <c r="BU27" s="153" t="n">
        <v>-32202.3493994613</v>
      </c>
      <c r="BV27" s="153" t="n">
        <v>-32202.3493994613</v>
      </c>
      <c r="BW27" s="153" t="n">
        <v>-32202.3493994613</v>
      </c>
      <c r="BX27" s="153" t="n">
        <v>-32202.3493994613</v>
      </c>
      <c r="BY27" s="153" t="n">
        <v>-32202.3493994613</v>
      </c>
      <c r="BZ27" s="153" t="n">
        <v>-32846.3963874505</v>
      </c>
      <c r="CA27" s="153" t="n">
        <v>-32846.3963874505</v>
      </c>
      <c r="CB27" s="153" t="n">
        <v>-32846.3963874505</v>
      </c>
      <c r="CC27" s="153" t="n">
        <v>-32846.3963874505</v>
      </c>
      <c r="CD27" s="153" t="n">
        <v>-32846.3963874505</v>
      </c>
      <c r="CE27" s="153" t="n">
        <v>-32846.3963874505</v>
      </c>
      <c r="CF27" s="153" t="n">
        <v>-32846.3963874505</v>
      </c>
      <c r="CG27" s="153" t="n">
        <v>-32846.3963874505</v>
      </c>
      <c r="CH27" s="153" t="n">
        <v>-32846.3963874505</v>
      </c>
      <c r="CI27" s="153" t="n">
        <v>-32846.3963874505</v>
      </c>
      <c r="CJ27" s="153" t="n">
        <v>-32846.3963874505</v>
      </c>
      <c r="CK27" s="153" t="n">
        <v>-32846.3963874505</v>
      </c>
      <c r="CL27" s="153" t="n">
        <v>-33503.3243151996</v>
      </c>
      <c r="CM27" s="153" t="n">
        <v>-33503.3243151996</v>
      </c>
      <c r="CN27" s="153" t="n">
        <v>-33503.3243151996</v>
      </c>
      <c r="CO27" s="153" t="n">
        <v>-33503.3243151996</v>
      </c>
      <c r="CP27" s="153" t="n">
        <v>-33503.3243151996</v>
      </c>
      <c r="CQ27" s="153" t="n">
        <v>-33503.3243151996</v>
      </c>
      <c r="CR27" s="153" t="n">
        <v>-33503.3243151996</v>
      </c>
      <c r="CS27" s="153" t="n">
        <v>-33503.3243151996</v>
      </c>
      <c r="CT27" s="153" t="n">
        <v>-33503.3243151996</v>
      </c>
      <c r="CU27" s="153" t="n">
        <v>-33503.3243151996</v>
      </c>
      <c r="CV27" s="153" t="n">
        <v>-33503.3243151996</v>
      </c>
      <c r="CW27" s="153" t="n">
        <v>-33503.3243151996</v>
      </c>
      <c r="CX27" s="153" t="n">
        <v>-34173.3908015035</v>
      </c>
      <c r="CY27" s="153" t="n">
        <v>-34173.3908015035</v>
      </c>
      <c r="CZ27" s="153" t="n">
        <v>-34173.3908015035</v>
      </c>
      <c r="DA27" s="153" t="n">
        <v>-34173.3908015035</v>
      </c>
      <c r="DB27" s="153" t="n">
        <v>-34173.3908015035</v>
      </c>
      <c r="DC27" s="153" t="n">
        <v>-34173.3908015035</v>
      </c>
      <c r="DD27" s="153" t="n">
        <v>-34173.3908015035</v>
      </c>
      <c r="DE27" s="153" t="n">
        <v>-34173.3908015035</v>
      </c>
      <c r="DF27" s="153" t="n">
        <v>-34173.3908015035</v>
      </c>
    </row>
    <row r="28" customFormat="false" ht="15" hidden="false" customHeight="true" outlineLevel="0" collapsed="false">
      <c r="A28" s="127" t="s">
        <v>67</v>
      </c>
      <c r="C28" s="112" t="n">
        <v>0</v>
      </c>
      <c r="D28" s="112" t="n">
        <v>0</v>
      </c>
      <c r="E28" s="112" t="n">
        <v>0</v>
      </c>
      <c r="F28" s="153" t="n">
        <v>0</v>
      </c>
      <c r="G28" s="153" t="n">
        <v>0</v>
      </c>
      <c r="H28" s="153" t="n">
        <v>0</v>
      </c>
      <c r="I28" s="153" t="n">
        <v>0</v>
      </c>
      <c r="J28" s="153" t="n">
        <v>0</v>
      </c>
      <c r="K28" s="153" t="n">
        <v>0</v>
      </c>
      <c r="L28" s="153" t="n">
        <v>0</v>
      </c>
      <c r="M28" s="153" t="n">
        <v>0</v>
      </c>
      <c r="N28" s="153" t="n">
        <v>0</v>
      </c>
      <c r="O28" s="153" t="n">
        <v>0</v>
      </c>
      <c r="P28" s="153" t="n">
        <v>0</v>
      </c>
      <c r="Q28" s="153" t="n">
        <v>0</v>
      </c>
      <c r="R28" s="153" t="n">
        <v>0</v>
      </c>
      <c r="S28" s="153" t="n">
        <v>0</v>
      </c>
      <c r="T28" s="153" t="n">
        <v>0</v>
      </c>
      <c r="U28" s="153" t="n">
        <v>0</v>
      </c>
      <c r="V28" s="153" t="n">
        <v>0</v>
      </c>
      <c r="W28" s="153" t="n">
        <v>0</v>
      </c>
      <c r="X28" s="153" t="n">
        <v>0</v>
      </c>
      <c r="Y28" s="153" t="n">
        <v>0</v>
      </c>
      <c r="Z28" s="153" t="n">
        <v>0</v>
      </c>
      <c r="AA28" s="153" t="n">
        <v>0</v>
      </c>
      <c r="AB28" s="153" t="n">
        <v>0</v>
      </c>
      <c r="AC28" s="153" t="n">
        <v>0</v>
      </c>
      <c r="AD28" s="153" t="n">
        <v>0</v>
      </c>
      <c r="AE28" s="153" t="n">
        <v>0</v>
      </c>
      <c r="AF28" s="153" t="n">
        <v>0</v>
      </c>
      <c r="AG28" s="153" t="n">
        <v>0</v>
      </c>
      <c r="AH28" s="153" t="n">
        <v>0</v>
      </c>
      <c r="AI28" s="153" t="n">
        <v>0</v>
      </c>
      <c r="AJ28" s="153" t="n">
        <v>0</v>
      </c>
      <c r="AK28" s="153" t="n">
        <v>0</v>
      </c>
      <c r="AL28" s="153" t="n">
        <v>0</v>
      </c>
      <c r="AM28" s="153" t="n">
        <v>0</v>
      </c>
      <c r="AN28" s="153" t="n">
        <v>0</v>
      </c>
      <c r="AO28" s="153" t="n">
        <v>0</v>
      </c>
      <c r="AP28" s="153" t="n">
        <v>0</v>
      </c>
      <c r="AQ28" s="153" t="n">
        <v>0</v>
      </c>
      <c r="AR28" s="153" t="n">
        <v>0</v>
      </c>
      <c r="AS28" s="153" t="n">
        <v>0</v>
      </c>
      <c r="AT28" s="153" t="n">
        <v>0</v>
      </c>
      <c r="AU28" s="153" t="n">
        <v>0</v>
      </c>
      <c r="AV28" s="153" t="n">
        <v>0</v>
      </c>
      <c r="AW28" s="153" t="n">
        <v>0</v>
      </c>
      <c r="AX28" s="153" t="n">
        <v>0</v>
      </c>
      <c r="AY28" s="153" t="n">
        <v>0</v>
      </c>
      <c r="AZ28" s="153" t="n">
        <v>0</v>
      </c>
      <c r="BA28" s="153" t="n">
        <v>0</v>
      </c>
      <c r="BB28" s="153" t="n">
        <v>0</v>
      </c>
      <c r="BC28" s="153" t="n">
        <v>0</v>
      </c>
      <c r="BD28" s="153" t="n">
        <v>0</v>
      </c>
      <c r="BE28" s="153" t="n">
        <v>0</v>
      </c>
      <c r="BF28" s="153" t="n">
        <v>0</v>
      </c>
      <c r="BG28" s="153" t="n">
        <v>0</v>
      </c>
      <c r="BH28" s="153" t="n">
        <v>0</v>
      </c>
      <c r="BI28" s="153" t="n">
        <v>0</v>
      </c>
      <c r="BJ28" s="153" t="n">
        <v>0</v>
      </c>
      <c r="BK28" s="153" t="n">
        <v>0</v>
      </c>
      <c r="BL28" s="153" t="n">
        <v>0</v>
      </c>
      <c r="BM28" s="153" t="n">
        <v>0</v>
      </c>
      <c r="BN28" s="153" t="n">
        <v>0</v>
      </c>
      <c r="BO28" s="153" t="n">
        <v>0</v>
      </c>
      <c r="BP28" s="153" t="n">
        <v>0</v>
      </c>
      <c r="BQ28" s="153" t="n">
        <v>0</v>
      </c>
      <c r="BR28" s="153" t="n">
        <v>0</v>
      </c>
      <c r="BS28" s="153" t="n">
        <v>0</v>
      </c>
      <c r="BT28" s="153" t="n">
        <v>0</v>
      </c>
      <c r="BU28" s="153" t="n">
        <v>0</v>
      </c>
      <c r="BV28" s="153" t="n">
        <v>0</v>
      </c>
      <c r="BW28" s="153" t="n">
        <v>0</v>
      </c>
      <c r="BX28" s="153" t="n">
        <v>0</v>
      </c>
      <c r="BY28" s="153" t="n">
        <v>0</v>
      </c>
      <c r="BZ28" s="153" t="n">
        <v>0</v>
      </c>
      <c r="CA28" s="153" t="n">
        <v>0</v>
      </c>
      <c r="CB28" s="153" t="n">
        <v>0</v>
      </c>
      <c r="CC28" s="153" t="n">
        <v>0</v>
      </c>
      <c r="CD28" s="153" t="n">
        <v>0</v>
      </c>
      <c r="CE28" s="153" t="n">
        <v>0</v>
      </c>
      <c r="CF28" s="153" t="n">
        <v>0</v>
      </c>
      <c r="CG28" s="153" t="n">
        <v>0</v>
      </c>
      <c r="CH28" s="153" t="n">
        <v>0</v>
      </c>
      <c r="CI28" s="153" t="n">
        <v>0</v>
      </c>
      <c r="CJ28" s="153" t="n">
        <v>0</v>
      </c>
      <c r="CK28" s="153" t="n">
        <v>0</v>
      </c>
      <c r="CL28" s="153" t="n">
        <v>0</v>
      </c>
      <c r="CM28" s="153" t="n">
        <v>0</v>
      </c>
      <c r="CN28" s="153" t="n">
        <v>0</v>
      </c>
      <c r="CO28" s="153" t="n">
        <v>0</v>
      </c>
      <c r="CP28" s="153" t="n">
        <v>0</v>
      </c>
      <c r="CQ28" s="153" t="n">
        <v>0</v>
      </c>
      <c r="CR28" s="153" t="n">
        <v>0</v>
      </c>
      <c r="CS28" s="153" t="n">
        <v>0</v>
      </c>
      <c r="CT28" s="153" t="n">
        <v>0</v>
      </c>
      <c r="CU28" s="153" t="n">
        <v>0</v>
      </c>
      <c r="CV28" s="153" t="n">
        <v>0</v>
      </c>
      <c r="CW28" s="153" t="n">
        <v>0</v>
      </c>
      <c r="CX28" s="153" t="n">
        <v>0</v>
      </c>
      <c r="CY28" s="153" t="n">
        <v>0</v>
      </c>
      <c r="CZ28" s="153" t="n">
        <v>0</v>
      </c>
      <c r="DA28" s="153" t="n">
        <v>0</v>
      </c>
      <c r="DB28" s="153" t="n">
        <v>0</v>
      </c>
      <c r="DC28" s="153" t="n">
        <v>0</v>
      </c>
      <c r="DD28" s="153" t="n">
        <v>0</v>
      </c>
      <c r="DE28" s="153" t="n">
        <v>0</v>
      </c>
      <c r="DF28" s="153" t="n">
        <v>0</v>
      </c>
    </row>
    <row r="29" customFormat="false" ht="15" hidden="false" customHeight="true" outlineLevel="0" collapsed="false">
      <c r="A29" s="127" t="s">
        <v>68</v>
      </c>
      <c r="C29" s="112" t="n">
        <v>-10400</v>
      </c>
      <c r="D29" s="112" t="n">
        <v>-10400</v>
      </c>
      <c r="E29" s="112" t="n">
        <v>-400</v>
      </c>
      <c r="F29" s="153" t="n">
        <v>-10400</v>
      </c>
      <c r="G29" s="153" t="n">
        <v>-10400</v>
      </c>
      <c r="H29" s="153" t="n">
        <v>-10400</v>
      </c>
      <c r="I29" s="153" t="n">
        <v>-10400</v>
      </c>
      <c r="J29" s="153" t="n">
        <v>-10400</v>
      </c>
      <c r="K29" s="153" t="n">
        <v>-10400</v>
      </c>
      <c r="L29" s="153" t="n">
        <v>-10400</v>
      </c>
      <c r="M29" s="153" t="n">
        <v>-10400</v>
      </c>
      <c r="N29" s="153" t="n">
        <v>-10400</v>
      </c>
      <c r="O29" s="153" t="n">
        <v>-10400</v>
      </c>
      <c r="P29" s="153" t="n">
        <v>-10400</v>
      </c>
      <c r="Q29" s="153" t="n">
        <v>-10400</v>
      </c>
      <c r="R29" s="153" t="n">
        <v>-10608</v>
      </c>
      <c r="S29" s="153" t="n">
        <v>-10608</v>
      </c>
      <c r="T29" s="153" t="n">
        <v>-10608</v>
      </c>
      <c r="U29" s="153" t="n">
        <v>-10608</v>
      </c>
      <c r="V29" s="153" t="n">
        <v>-10608</v>
      </c>
      <c r="W29" s="153" t="n">
        <v>-10608</v>
      </c>
      <c r="X29" s="153" t="n">
        <v>-10608</v>
      </c>
      <c r="Y29" s="153" t="n">
        <v>-10608</v>
      </c>
      <c r="Z29" s="153" t="n">
        <v>-10608</v>
      </c>
      <c r="AA29" s="153" t="n">
        <v>-10608</v>
      </c>
      <c r="AB29" s="153" t="n">
        <v>-10608</v>
      </c>
      <c r="AC29" s="153" t="n">
        <v>-10608</v>
      </c>
      <c r="AD29" s="153" t="n">
        <v>-10820.16</v>
      </c>
      <c r="AE29" s="153" t="n">
        <v>-10820.16</v>
      </c>
      <c r="AF29" s="153" t="n">
        <v>-10820.16</v>
      </c>
      <c r="AG29" s="153" t="n">
        <v>-10820.16</v>
      </c>
      <c r="AH29" s="153" t="n">
        <v>-10820.16</v>
      </c>
      <c r="AI29" s="153" t="n">
        <v>-10820.16</v>
      </c>
      <c r="AJ29" s="153" t="n">
        <v>-10820.16</v>
      </c>
      <c r="AK29" s="153" t="n">
        <v>-10820.16</v>
      </c>
      <c r="AL29" s="153" t="n">
        <v>-10820.16</v>
      </c>
      <c r="AM29" s="153" t="n">
        <v>-10820.16</v>
      </c>
      <c r="AN29" s="153" t="n">
        <v>-10820.16</v>
      </c>
      <c r="AO29" s="153" t="n">
        <v>-10820.16</v>
      </c>
      <c r="AP29" s="153" t="n">
        <v>-11036.5632</v>
      </c>
      <c r="AQ29" s="153" t="n">
        <v>-11036.5632</v>
      </c>
      <c r="AR29" s="153" t="n">
        <v>-11036.5632</v>
      </c>
      <c r="AS29" s="153" t="n">
        <v>-11036.5632</v>
      </c>
      <c r="AT29" s="153" t="n">
        <v>-11036.5632</v>
      </c>
      <c r="AU29" s="153" t="n">
        <v>-11036.5632</v>
      </c>
      <c r="AV29" s="153" t="n">
        <v>-11036.5632</v>
      </c>
      <c r="AW29" s="153" t="n">
        <v>-11036.5632</v>
      </c>
      <c r="AX29" s="153" t="n">
        <v>-11036.5632</v>
      </c>
      <c r="AY29" s="153" t="n">
        <v>-11036.5632</v>
      </c>
      <c r="AZ29" s="153" t="n">
        <v>-11036.5632</v>
      </c>
      <c r="BA29" s="153" t="n">
        <v>-11036.5632</v>
      </c>
      <c r="BB29" s="153" t="n">
        <v>-11257.294464</v>
      </c>
      <c r="BC29" s="153" t="n">
        <v>-11257.294464</v>
      </c>
      <c r="BD29" s="153" t="n">
        <v>-11257.294464</v>
      </c>
      <c r="BE29" s="153" t="n">
        <v>-11257.294464</v>
      </c>
      <c r="BF29" s="153" t="n">
        <v>-11257.294464</v>
      </c>
      <c r="BG29" s="153" t="n">
        <v>-11257.294464</v>
      </c>
      <c r="BH29" s="153" t="n">
        <v>-11257.294464</v>
      </c>
      <c r="BI29" s="153" t="n">
        <v>-11257.294464</v>
      </c>
      <c r="BJ29" s="153" t="n">
        <v>-11257.294464</v>
      </c>
      <c r="BK29" s="153" t="n">
        <v>-11257.294464</v>
      </c>
      <c r="BL29" s="153" t="n">
        <v>-11257.294464</v>
      </c>
      <c r="BM29" s="153" t="n">
        <v>-11257.294464</v>
      </c>
      <c r="BN29" s="153" t="n">
        <v>-11482.44035328</v>
      </c>
      <c r="BO29" s="153" t="n">
        <v>-11482.44035328</v>
      </c>
      <c r="BP29" s="153" t="n">
        <v>-11482.44035328</v>
      </c>
      <c r="BQ29" s="153" t="n">
        <v>-11482.44035328</v>
      </c>
      <c r="BR29" s="153" t="n">
        <v>-11482.44035328</v>
      </c>
      <c r="BS29" s="153" t="n">
        <v>-11482.44035328</v>
      </c>
      <c r="BT29" s="153" t="n">
        <v>-11482.44035328</v>
      </c>
      <c r="BU29" s="153" t="n">
        <v>-11482.44035328</v>
      </c>
      <c r="BV29" s="153" t="n">
        <v>-11482.44035328</v>
      </c>
      <c r="BW29" s="153" t="n">
        <v>-11482.44035328</v>
      </c>
      <c r="BX29" s="153" t="n">
        <v>-11482.44035328</v>
      </c>
      <c r="BY29" s="153" t="n">
        <v>-11482.44035328</v>
      </c>
      <c r="BZ29" s="153" t="n">
        <v>-11712.0891603456</v>
      </c>
      <c r="CA29" s="153" t="n">
        <v>-11712.0891603456</v>
      </c>
      <c r="CB29" s="153" t="n">
        <v>-11712.0891603456</v>
      </c>
      <c r="CC29" s="153" t="n">
        <v>-11712.0891603456</v>
      </c>
      <c r="CD29" s="153" t="n">
        <v>-11712.0891603456</v>
      </c>
      <c r="CE29" s="153" t="n">
        <v>-11712.0891603456</v>
      </c>
      <c r="CF29" s="153" t="n">
        <v>-11712.0891603456</v>
      </c>
      <c r="CG29" s="153" t="n">
        <v>-11712.0891603456</v>
      </c>
      <c r="CH29" s="153" t="n">
        <v>-11712.0891603456</v>
      </c>
      <c r="CI29" s="153" t="n">
        <v>-11712.0891603456</v>
      </c>
      <c r="CJ29" s="153" t="n">
        <v>-11712.0891603456</v>
      </c>
      <c r="CK29" s="153" t="n">
        <v>-11712.0891603456</v>
      </c>
      <c r="CL29" s="153" t="n">
        <v>-11946.3309435525</v>
      </c>
      <c r="CM29" s="153" t="n">
        <v>-11946.3309435525</v>
      </c>
      <c r="CN29" s="153" t="n">
        <v>-11946.3309435525</v>
      </c>
      <c r="CO29" s="153" t="n">
        <v>-11946.3309435525</v>
      </c>
      <c r="CP29" s="153" t="n">
        <v>-11946.3309435525</v>
      </c>
      <c r="CQ29" s="153" t="n">
        <v>-11946.3309435525</v>
      </c>
      <c r="CR29" s="153" t="n">
        <v>-11946.3309435525</v>
      </c>
      <c r="CS29" s="153" t="n">
        <v>-11946.3309435525</v>
      </c>
      <c r="CT29" s="153" t="n">
        <v>-11946.3309435525</v>
      </c>
      <c r="CU29" s="153" t="n">
        <v>-11946.3309435525</v>
      </c>
      <c r="CV29" s="153" t="n">
        <v>-11946.3309435525</v>
      </c>
      <c r="CW29" s="153" t="n">
        <v>-11946.3309435525</v>
      </c>
      <c r="CX29" s="153" t="n">
        <v>-12185.2575624236</v>
      </c>
      <c r="CY29" s="153" t="n">
        <v>-12185.2575624236</v>
      </c>
      <c r="CZ29" s="153" t="n">
        <v>-12185.2575624236</v>
      </c>
      <c r="DA29" s="153" t="n">
        <v>-12185.2575624236</v>
      </c>
      <c r="DB29" s="153" t="n">
        <v>-12185.2575624236</v>
      </c>
      <c r="DC29" s="153" t="n">
        <v>-12185.2575624236</v>
      </c>
      <c r="DD29" s="153" t="n">
        <v>-12185.2575624236</v>
      </c>
      <c r="DE29" s="153" t="n">
        <v>-12185.2575624236</v>
      </c>
      <c r="DF29" s="153" t="n">
        <v>-12185.2575624236</v>
      </c>
    </row>
    <row r="30" customFormat="false" ht="15" hidden="false" customHeight="true" outlineLevel="0" collapsed="false">
      <c r="A30" s="127" t="s">
        <v>69</v>
      </c>
      <c r="C30" s="112" t="n">
        <v>-1988</v>
      </c>
      <c r="D30" s="112" t="n">
        <v>-955.32</v>
      </c>
      <c r="E30" s="112" t="n">
        <v>-9130.61</v>
      </c>
      <c r="F30" s="153" t="n">
        <v>-4024.64</v>
      </c>
      <c r="G30" s="153" t="n">
        <v>-4024.64</v>
      </c>
      <c r="H30" s="153" t="n">
        <v>-4024.64</v>
      </c>
      <c r="I30" s="153" t="n">
        <v>-4024.64</v>
      </c>
      <c r="J30" s="153" t="n">
        <v>-4024.64</v>
      </c>
      <c r="K30" s="153" t="n">
        <v>-4024.64</v>
      </c>
      <c r="L30" s="153" t="n">
        <v>-4024.64</v>
      </c>
      <c r="M30" s="153" t="n">
        <v>-4024.64</v>
      </c>
      <c r="N30" s="153" t="n">
        <v>-4024.64</v>
      </c>
      <c r="O30" s="153" t="n">
        <v>-4024.64</v>
      </c>
      <c r="P30" s="153" t="n">
        <v>-4024.64</v>
      </c>
      <c r="Q30" s="153" t="n">
        <v>-4024.64</v>
      </c>
      <c r="R30" s="153" t="n">
        <v>-4105.1328</v>
      </c>
      <c r="S30" s="153" t="n">
        <v>-4105.1328</v>
      </c>
      <c r="T30" s="153" t="n">
        <v>-4105.1328</v>
      </c>
      <c r="U30" s="153" t="n">
        <v>-4105.1328</v>
      </c>
      <c r="V30" s="153" t="n">
        <v>-4105.1328</v>
      </c>
      <c r="W30" s="153" t="n">
        <v>-4105.1328</v>
      </c>
      <c r="X30" s="153" t="n">
        <v>-4105.1328</v>
      </c>
      <c r="Y30" s="153" t="n">
        <v>-4105.1328</v>
      </c>
      <c r="Z30" s="153" t="n">
        <v>-4105.1328</v>
      </c>
      <c r="AA30" s="153" t="n">
        <v>-4105.1328</v>
      </c>
      <c r="AB30" s="153" t="n">
        <v>-4105.1328</v>
      </c>
      <c r="AC30" s="153" t="n">
        <v>-4105.1328</v>
      </c>
      <c r="AD30" s="153" t="n">
        <v>-4187.235456</v>
      </c>
      <c r="AE30" s="153" t="n">
        <v>-4187.235456</v>
      </c>
      <c r="AF30" s="153" t="n">
        <v>-4187.235456</v>
      </c>
      <c r="AG30" s="153" t="n">
        <v>-4187.235456</v>
      </c>
      <c r="AH30" s="153" t="n">
        <v>-4187.235456</v>
      </c>
      <c r="AI30" s="153" t="n">
        <v>-4187.235456</v>
      </c>
      <c r="AJ30" s="153" t="n">
        <v>-4187.235456</v>
      </c>
      <c r="AK30" s="153" t="n">
        <v>-4187.235456</v>
      </c>
      <c r="AL30" s="153" t="n">
        <v>-4187.235456</v>
      </c>
      <c r="AM30" s="153" t="n">
        <v>-4187.235456</v>
      </c>
      <c r="AN30" s="153" t="n">
        <v>-4187.235456</v>
      </c>
      <c r="AO30" s="153" t="n">
        <v>-4187.235456</v>
      </c>
      <c r="AP30" s="153" t="n">
        <v>-4270.98016512</v>
      </c>
      <c r="AQ30" s="153" t="n">
        <v>-4270.98016512</v>
      </c>
      <c r="AR30" s="153" t="n">
        <v>-4270.98016512</v>
      </c>
      <c r="AS30" s="153" t="n">
        <v>-4270.98016512</v>
      </c>
      <c r="AT30" s="153" t="n">
        <v>-4270.98016512</v>
      </c>
      <c r="AU30" s="153" t="n">
        <v>-4270.98016512</v>
      </c>
      <c r="AV30" s="153" t="n">
        <v>-4270.98016512</v>
      </c>
      <c r="AW30" s="153" t="n">
        <v>-4270.98016512</v>
      </c>
      <c r="AX30" s="153" t="n">
        <v>-4270.98016512</v>
      </c>
      <c r="AY30" s="153" t="n">
        <v>-4270.98016512</v>
      </c>
      <c r="AZ30" s="153" t="n">
        <v>-4270.98016512</v>
      </c>
      <c r="BA30" s="153" t="n">
        <v>-4270.98016512</v>
      </c>
      <c r="BB30" s="153" t="n">
        <v>-4356.3997684224</v>
      </c>
      <c r="BC30" s="153" t="n">
        <v>-4356.3997684224</v>
      </c>
      <c r="BD30" s="153" t="n">
        <v>-4356.3997684224</v>
      </c>
      <c r="BE30" s="153" t="n">
        <v>-4356.3997684224</v>
      </c>
      <c r="BF30" s="153" t="n">
        <v>-4356.3997684224</v>
      </c>
      <c r="BG30" s="153" t="n">
        <v>-4356.3997684224</v>
      </c>
      <c r="BH30" s="153" t="n">
        <v>-4356.3997684224</v>
      </c>
      <c r="BI30" s="153" t="n">
        <v>-4356.3997684224</v>
      </c>
      <c r="BJ30" s="153" t="n">
        <v>-4356.3997684224</v>
      </c>
      <c r="BK30" s="153" t="n">
        <v>-4356.3997684224</v>
      </c>
      <c r="BL30" s="153" t="n">
        <v>-4356.3997684224</v>
      </c>
      <c r="BM30" s="153" t="n">
        <v>-4356.3997684224</v>
      </c>
      <c r="BN30" s="153" t="n">
        <v>-4443.52776379085</v>
      </c>
      <c r="BO30" s="153" t="n">
        <v>-4443.52776379085</v>
      </c>
      <c r="BP30" s="153" t="n">
        <v>-4443.52776379085</v>
      </c>
      <c r="BQ30" s="153" t="n">
        <v>-4443.52776379085</v>
      </c>
      <c r="BR30" s="153" t="n">
        <v>-4443.52776379085</v>
      </c>
      <c r="BS30" s="153" t="n">
        <v>-4443.52776379085</v>
      </c>
      <c r="BT30" s="153" t="n">
        <v>-4443.52776379085</v>
      </c>
      <c r="BU30" s="153" t="n">
        <v>-4443.52776379085</v>
      </c>
      <c r="BV30" s="153" t="n">
        <v>-4443.52776379085</v>
      </c>
      <c r="BW30" s="153" t="n">
        <v>-4443.52776379085</v>
      </c>
      <c r="BX30" s="153" t="n">
        <v>-4443.52776379085</v>
      </c>
      <c r="BY30" s="153" t="n">
        <v>-4443.52776379085</v>
      </c>
      <c r="BZ30" s="153" t="n">
        <v>-4532.39831906667</v>
      </c>
      <c r="CA30" s="153" t="n">
        <v>-4532.39831906667</v>
      </c>
      <c r="CB30" s="153" t="n">
        <v>-4532.39831906667</v>
      </c>
      <c r="CC30" s="153" t="n">
        <v>-4532.39831906667</v>
      </c>
      <c r="CD30" s="153" t="n">
        <v>-4532.39831906667</v>
      </c>
      <c r="CE30" s="153" t="n">
        <v>-4532.39831906667</v>
      </c>
      <c r="CF30" s="153" t="n">
        <v>-4532.39831906667</v>
      </c>
      <c r="CG30" s="153" t="n">
        <v>-4532.39831906667</v>
      </c>
      <c r="CH30" s="153" t="n">
        <v>-4532.39831906667</v>
      </c>
      <c r="CI30" s="153" t="n">
        <v>-4532.39831906667</v>
      </c>
      <c r="CJ30" s="153" t="n">
        <v>-4532.39831906667</v>
      </c>
      <c r="CK30" s="153" t="n">
        <v>-4532.39831906667</v>
      </c>
      <c r="CL30" s="153" t="n">
        <v>-4623.046285448</v>
      </c>
      <c r="CM30" s="153" t="n">
        <v>-4623.046285448</v>
      </c>
      <c r="CN30" s="153" t="n">
        <v>-4623.046285448</v>
      </c>
      <c r="CO30" s="153" t="n">
        <v>-4623.046285448</v>
      </c>
      <c r="CP30" s="153" t="n">
        <v>-4623.046285448</v>
      </c>
      <c r="CQ30" s="153" t="n">
        <v>-4623.046285448</v>
      </c>
      <c r="CR30" s="153" t="n">
        <v>-4623.046285448</v>
      </c>
      <c r="CS30" s="153" t="n">
        <v>-4623.046285448</v>
      </c>
      <c r="CT30" s="153" t="n">
        <v>-4623.046285448</v>
      </c>
      <c r="CU30" s="153" t="n">
        <v>-4623.046285448</v>
      </c>
      <c r="CV30" s="153" t="n">
        <v>-4623.046285448</v>
      </c>
      <c r="CW30" s="153" t="n">
        <v>-4623.046285448</v>
      </c>
      <c r="CX30" s="153" t="n">
        <v>-4715.50721115696</v>
      </c>
      <c r="CY30" s="153" t="n">
        <v>-4715.50721115696</v>
      </c>
      <c r="CZ30" s="153" t="n">
        <v>-4715.50721115696</v>
      </c>
      <c r="DA30" s="153" t="n">
        <v>-4715.50721115696</v>
      </c>
      <c r="DB30" s="153" t="n">
        <v>-4715.50721115696</v>
      </c>
      <c r="DC30" s="153" t="n">
        <v>-4715.50721115696</v>
      </c>
      <c r="DD30" s="153" t="n">
        <v>-4715.50721115696</v>
      </c>
      <c r="DE30" s="153" t="n">
        <v>-4715.50721115696</v>
      </c>
      <c r="DF30" s="153" t="n">
        <v>-4715.50721115696</v>
      </c>
    </row>
    <row r="31" customFormat="false" ht="15" hidden="false" customHeight="true" outlineLevel="0" collapsed="false">
      <c r="A31" s="127" t="s">
        <v>70</v>
      </c>
      <c r="C31" s="112" t="n">
        <v>0</v>
      </c>
      <c r="D31" s="112" t="n">
        <v>0</v>
      </c>
      <c r="E31" s="112" t="n">
        <v>-1077.38</v>
      </c>
      <c r="F31" s="153" t="n">
        <v>-359.13</v>
      </c>
      <c r="G31" s="153" t="n">
        <v>-359.13</v>
      </c>
      <c r="H31" s="153" t="n">
        <v>-359.13</v>
      </c>
      <c r="I31" s="153" t="n">
        <v>-359.13</v>
      </c>
      <c r="J31" s="153" t="n">
        <v>-359.13</v>
      </c>
      <c r="K31" s="153" t="n">
        <v>-359.13</v>
      </c>
      <c r="L31" s="153" t="n">
        <v>-359.13</v>
      </c>
      <c r="M31" s="153" t="n">
        <v>-359.13</v>
      </c>
      <c r="N31" s="153" t="n">
        <v>-359.13</v>
      </c>
      <c r="O31" s="153" t="n">
        <v>-359.13</v>
      </c>
      <c r="P31" s="153" t="n">
        <v>-359.13</v>
      </c>
      <c r="Q31" s="153" t="n">
        <v>-359.13</v>
      </c>
      <c r="R31" s="153" t="n">
        <v>-366.3126</v>
      </c>
      <c r="S31" s="153" t="n">
        <v>-366.3126</v>
      </c>
      <c r="T31" s="153" t="n">
        <v>-366.3126</v>
      </c>
      <c r="U31" s="153" t="n">
        <v>-366.3126</v>
      </c>
      <c r="V31" s="153" t="n">
        <v>-366.3126</v>
      </c>
      <c r="W31" s="153" t="n">
        <v>-366.3126</v>
      </c>
      <c r="X31" s="153" t="n">
        <v>-366.3126</v>
      </c>
      <c r="Y31" s="153" t="n">
        <v>-366.3126</v>
      </c>
      <c r="Z31" s="153" t="n">
        <v>-366.3126</v>
      </c>
      <c r="AA31" s="153" t="n">
        <v>-366.3126</v>
      </c>
      <c r="AB31" s="153" t="n">
        <v>-366.3126</v>
      </c>
      <c r="AC31" s="153" t="n">
        <v>-366.3126</v>
      </c>
      <c r="AD31" s="153" t="n">
        <v>-373.638852</v>
      </c>
      <c r="AE31" s="153" t="n">
        <v>-373.638852</v>
      </c>
      <c r="AF31" s="153" t="n">
        <v>-373.638852</v>
      </c>
      <c r="AG31" s="153" t="n">
        <v>-373.638852</v>
      </c>
      <c r="AH31" s="153" t="n">
        <v>-373.638852</v>
      </c>
      <c r="AI31" s="153" t="n">
        <v>-373.638852</v>
      </c>
      <c r="AJ31" s="153" t="n">
        <v>-373.638852</v>
      </c>
      <c r="AK31" s="153" t="n">
        <v>-373.638852</v>
      </c>
      <c r="AL31" s="153" t="n">
        <v>-373.638852</v>
      </c>
      <c r="AM31" s="153" t="n">
        <v>-373.638852</v>
      </c>
      <c r="AN31" s="153" t="n">
        <v>-373.638852</v>
      </c>
      <c r="AO31" s="153" t="n">
        <v>-373.638852</v>
      </c>
      <c r="AP31" s="153" t="n">
        <v>-381.11162904</v>
      </c>
      <c r="AQ31" s="153" t="n">
        <v>-381.11162904</v>
      </c>
      <c r="AR31" s="153" t="n">
        <v>-381.11162904</v>
      </c>
      <c r="AS31" s="153" t="n">
        <v>-381.11162904</v>
      </c>
      <c r="AT31" s="153" t="n">
        <v>-381.11162904</v>
      </c>
      <c r="AU31" s="153" t="n">
        <v>-381.11162904</v>
      </c>
      <c r="AV31" s="153" t="n">
        <v>-381.11162904</v>
      </c>
      <c r="AW31" s="153" t="n">
        <v>-381.11162904</v>
      </c>
      <c r="AX31" s="153" t="n">
        <v>-381.11162904</v>
      </c>
      <c r="AY31" s="153" t="n">
        <v>-381.11162904</v>
      </c>
      <c r="AZ31" s="153" t="n">
        <v>-381.11162904</v>
      </c>
      <c r="BA31" s="153" t="n">
        <v>-381.11162904</v>
      </c>
      <c r="BB31" s="153" t="n">
        <v>-388.7338616208</v>
      </c>
      <c r="BC31" s="153" t="n">
        <v>-388.7338616208</v>
      </c>
      <c r="BD31" s="153" t="n">
        <v>-388.7338616208</v>
      </c>
      <c r="BE31" s="153" t="n">
        <v>-388.7338616208</v>
      </c>
      <c r="BF31" s="153" t="n">
        <v>-388.7338616208</v>
      </c>
      <c r="BG31" s="153" t="n">
        <v>-388.7338616208</v>
      </c>
      <c r="BH31" s="153" t="n">
        <v>-388.7338616208</v>
      </c>
      <c r="BI31" s="153" t="n">
        <v>-388.7338616208</v>
      </c>
      <c r="BJ31" s="153" t="n">
        <v>-388.7338616208</v>
      </c>
      <c r="BK31" s="153" t="n">
        <v>-388.7338616208</v>
      </c>
      <c r="BL31" s="153" t="n">
        <v>-388.7338616208</v>
      </c>
      <c r="BM31" s="153" t="n">
        <v>-388.7338616208</v>
      </c>
      <c r="BN31" s="153" t="n">
        <v>-396.508538853216</v>
      </c>
      <c r="BO31" s="153" t="n">
        <v>-396.508538853216</v>
      </c>
      <c r="BP31" s="153" t="n">
        <v>-396.508538853216</v>
      </c>
      <c r="BQ31" s="153" t="n">
        <v>-396.508538853216</v>
      </c>
      <c r="BR31" s="153" t="n">
        <v>-396.508538853216</v>
      </c>
      <c r="BS31" s="153" t="n">
        <v>-396.508538853216</v>
      </c>
      <c r="BT31" s="153" t="n">
        <v>-396.508538853216</v>
      </c>
      <c r="BU31" s="153" t="n">
        <v>-396.508538853216</v>
      </c>
      <c r="BV31" s="153" t="n">
        <v>-396.508538853216</v>
      </c>
      <c r="BW31" s="153" t="n">
        <v>-396.508538853216</v>
      </c>
      <c r="BX31" s="153" t="n">
        <v>-396.508538853216</v>
      </c>
      <c r="BY31" s="153" t="n">
        <v>-396.508538853216</v>
      </c>
      <c r="BZ31" s="153" t="n">
        <v>-404.43870963028</v>
      </c>
      <c r="CA31" s="153" t="n">
        <v>-404.43870963028</v>
      </c>
      <c r="CB31" s="153" t="n">
        <v>-404.43870963028</v>
      </c>
      <c r="CC31" s="153" t="n">
        <v>-404.43870963028</v>
      </c>
      <c r="CD31" s="153" t="n">
        <v>-404.43870963028</v>
      </c>
      <c r="CE31" s="153" t="n">
        <v>-404.43870963028</v>
      </c>
      <c r="CF31" s="153" t="n">
        <v>-404.43870963028</v>
      </c>
      <c r="CG31" s="153" t="n">
        <v>-404.43870963028</v>
      </c>
      <c r="CH31" s="153" t="n">
        <v>-404.43870963028</v>
      </c>
      <c r="CI31" s="153" t="n">
        <v>-404.43870963028</v>
      </c>
      <c r="CJ31" s="153" t="n">
        <v>-404.43870963028</v>
      </c>
      <c r="CK31" s="153" t="n">
        <v>-404.43870963028</v>
      </c>
      <c r="CL31" s="153" t="n">
        <v>-412.527483822886</v>
      </c>
      <c r="CM31" s="153" t="n">
        <v>-412.527483822886</v>
      </c>
      <c r="CN31" s="153" t="n">
        <v>-412.527483822886</v>
      </c>
      <c r="CO31" s="153" t="n">
        <v>-412.527483822886</v>
      </c>
      <c r="CP31" s="153" t="n">
        <v>-412.527483822886</v>
      </c>
      <c r="CQ31" s="153" t="n">
        <v>-412.527483822886</v>
      </c>
      <c r="CR31" s="153" t="n">
        <v>-412.527483822886</v>
      </c>
      <c r="CS31" s="153" t="n">
        <v>-412.527483822886</v>
      </c>
      <c r="CT31" s="153" t="n">
        <v>-412.527483822886</v>
      </c>
      <c r="CU31" s="153" t="n">
        <v>-412.527483822886</v>
      </c>
      <c r="CV31" s="153" t="n">
        <v>-412.527483822886</v>
      </c>
      <c r="CW31" s="153" t="n">
        <v>-412.527483822886</v>
      </c>
      <c r="CX31" s="153" t="n">
        <v>-420.778033499344</v>
      </c>
      <c r="CY31" s="153" t="n">
        <v>-420.778033499344</v>
      </c>
      <c r="CZ31" s="153" t="n">
        <v>-420.778033499344</v>
      </c>
      <c r="DA31" s="153" t="n">
        <v>-420.778033499344</v>
      </c>
      <c r="DB31" s="153" t="n">
        <v>-420.778033499344</v>
      </c>
      <c r="DC31" s="153" t="n">
        <v>-420.778033499344</v>
      </c>
      <c r="DD31" s="153" t="n">
        <v>-420.778033499344</v>
      </c>
      <c r="DE31" s="153" t="n">
        <v>-420.778033499344</v>
      </c>
      <c r="DF31" s="153" t="n">
        <v>-420.778033499344</v>
      </c>
    </row>
    <row r="32" customFormat="false" ht="15" hidden="false" customHeight="true" outlineLevel="0" collapsed="false">
      <c r="A32" s="107" t="s">
        <v>71</v>
      </c>
      <c r="C32" s="154" t="n">
        <v>-79</v>
      </c>
      <c r="D32" s="154" t="n">
        <v>0</v>
      </c>
      <c r="E32" s="154" t="n">
        <v>0</v>
      </c>
      <c r="F32" s="155" t="n">
        <v>-26.33</v>
      </c>
      <c r="G32" s="155" t="n">
        <v>-26.33</v>
      </c>
      <c r="H32" s="155" t="n">
        <v>-26.33</v>
      </c>
      <c r="I32" s="155" t="n">
        <v>-26.33</v>
      </c>
      <c r="J32" s="155" t="n">
        <v>-26.33</v>
      </c>
      <c r="K32" s="155" t="n">
        <v>-26.33</v>
      </c>
      <c r="L32" s="155" t="n">
        <v>-26.33</v>
      </c>
      <c r="M32" s="155" t="n">
        <v>-26.33</v>
      </c>
      <c r="N32" s="155" t="n">
        <v>-26.33</v>
      </c>
      <c r="O32" s="155" t="n">
        <v>-26.33</v>
      </c>
      <c r="P32" s="155" t="n">
        <v>-26.33</v>
      </c>
      <c r="Q32" s="155" t="n">
        <v>-26.33</v>
      </c>
      <c r="R32" s="155" t="n">
        <v>-26.8566</v>
      </c>
      <c r="S32" s="155" t="n">
        <v>-26.8566</v>
      </c>
      <c r="T32" s="155" t="n">
        <v>-26.8566</v>
      </c>
      <c r="U32" s="155" t="n">
        <v>-26.8566</v>
      </c>
      <c r="V32" s="155" t="n">
        <v>-26.8566</v>
      </c>
      <c r="W32" s="155" t="n">
        <v>-26.8566</v>
      </c>
      <c r="X32" s="155" t="n">
        <v>-26.8566</v>
      </c>
      <c r="Y32" s="155" t="n">
        <v>-26.8566</v>
      </c>
      <c r="Z32" s="155" t="n">
        <v>-26.8566</v>
      </c>
      <c r="AA32" s="155" t="n">
        <v>-26.8566</v>
      </c>
      <c r="AB32" s="155" t="n">
        <v>-26.8566</v>
      </c>
      <c r="AC32" s="155" t="n">
        <v>-26.8566</v>
      </c>
      <c r="AD32" s="155" t="n">
        <v>-27.393732</v>
      </c>
      <c r="AE32" s="155" t="n">
        <v>-27.393732</v>
      </c>
      <c r="AF32" s="155" t="n">
        <v>-27.393732</v>
      </c>
      <c r="AG32" s="155" t="n">
        <v>-27.393732</v>
      </c>
      <c r="AH32" s="155" t="n">
        <v>-27.393732</v>
      </c>
      <c r="AI32" s="155" t="n">
        <v>-27.393732</v>
      </c>
      <c r="AJ32" s="155" t="n">
        <v>-27.393732</v>
      </c>
      <c r="AK32" s="155" t="n">
        <v>-27.393732</v>
      </c>
      <c r="AL32" s="155" t="n">
        <v>-27.393732</v>
      </c>
      <c r="AM32" s="155" t="n">
        <v>-27.393732</v>
      </c>
      <c r="AN32" s="155" t="n">
        <v>-27.393732</v>
      </c>
      <c r="AO32" s="155" t="n">
        <v>-27.393732</v>
      </c>
      <c r="AP32" s="155" t="n">
        <v>-27.94160664</v>
      </c>
      <c r="AQ32" s="155" t="n">
        <v>-27.94160664</v>
      </c>
      <c r="AR32" s="155" t="n">
        <v>-27.94160664</v>
      </c>
      <c r="AS32" s="155" t="n">
        <v>-27.94160664</v>
      </c>
      <c r="AT32" s="155" t="n">
        <v>-27.94160664</v>
      </c>
      <c r="AU32" s="155" t="n">
        <v>-27.94160664</v>
      </c>
      <c r="AV32" s="155" t="n">
        <v>-27.94160664</v>
      </c>
      <c r="AW32" s="155" t="n">
        <v>-27.94160664</v>
      </c>
      <c r="AX32" s="155" t="n">
        <v>-27.94160664</v>
      </c>
      <c r="AY32" s="155" t="n">
        <v>-27.94160664</v>
      </c>
      <c r="AZ32" s="155" t="n">
        <v>-27.94160664</v>
      </c>
      <c r="BA32" s="155" t="n">
        <v>-27.94160664</v>
      </c>
      <c r="BB32" s="155" t="n">
        <v>-28.5004387728</v>
      </c>
      <c r="BC32" s="155" t="n">
        <v>-28.5004387728</v>
      </c>
      <c r="BD32" s="155" t="n">
        <v>-28.5004387728</v>
      </c>
      <c r="BE32" s="155" t="n">
        <v>-28.5004387728</v>
      </c>
      <c r="BF32" s="155" t="n">
        <v>-28.5004387728</v>
      </c>
      <c r="BG32" s="155" t="n">
        <v>-28.5004387728</v>
      </c>
      <c r="BH32" s="155" t="n">
        <v>-28.5004387728</v>
      </c>
      <c r="BI32" s="155" t="n">
        <v>-28.5004387728</v>
      </c>
      <c r="BJ32" s="155" t="n">
        <v>-28.5004387728</v>
      </c>
      <c r="BK32" s="155" t="n">
        <v>-28.5004387728</v>
      </c>
      <c r="BL32" s="155" t="n">
        <v>-28.5004387728</v>
      </c>
      <c r="BM32" s="155" t="n">
        <v>-28.5004387728</v>
      </c>
      <c r="BN32" s="155" t="n">
        <v>-29.070447548256</v>
      </c>
      <c r="BO32" s="155" t="n">
        <v>-29.070447548256</v>
      </c>
      <c r="BP32" s="155" t="n">
        <v>-29.070447548256</v>
      </c>
      <c r="BQ32" s="155" t="n">
        <v>-29.070447548256</v>
      </c>
      <c r="BR32" s="155" t="n">
        <v>-29.070447548256</v>
      </c>
      <c r="BS32" s="155" t="n">
        <v>-29.070447548256</v>
      </c>
      <c r="BT32" s="155" t="n">
        <v>-29.070447548256</v>
      </c>
      <c r="BU32" s="155" t="n">
        <v>-29.070447548256</v>
      </c>
      <c r="BV32" s="155" t="n">
        <v>-29.070447548256</v>
      </c>
      <c r="BW32" s="155" t="n">
        <v>-29.070447548256</v>
      </c>
      <c r="BX32" s="155" t="n">
        <v>-29.070447548256</v>
      </c>
      <c r="BY32" s="155" t="n">
        <v>-29.070447548256</v>
      </c>
      <c r="BZ32" s="155" t="n">
        <v>-29.6518564992211</v>
      </c>
      <c r="CA32" s="155" t="n">
        <v>-29.6518564992211</v>
      </c>
      <c r="CB32" s="155" t="n">
        <v>-29.6518564992211</v>
      </c>
      <c r="CC32" s="155" t="n">
        <v>-29.6518564992211</v>
      </c>
      <c r="CD32" s="155" t="n">
        <v>-29.6518564992211</v>
      </c>
      <c r="CE32" s="155" t="n">
        <v>-29.6518564992211</v>
      </c>
      <c r="CF32" s="155" t="n">
        <v>-29.6518564992211</v>
      </c>
      <c r="CG32" s="155" t="n">
        <v>-29.6518564992211</v>
      </c>
      <c r="CH32" s="155" t="n">
        <v>-29.6518564992211</v>
      </c>
      <c r="CI32" s="155" t="n">
        <v>-29.6518564992211</v>
      </c>
      <c r="CJ32" s="155" t="n">
        <v>-29.6518564992211</v>
      </c>
      <c r="CK32" s="155" t="n">
        <v>-29.6518564992211</v>
      </c>
      <c r="CL32" s="155" t="n">
        <v>-30.2448936292055</v>
      </c>
      <c r="CM32" s="155" t="n">
        <v>-30.2448936292055</v>
      </c>
      <c r="CN32" s="155" t="n">
        <v>-30.2448936292055</v>
      </c>
      <c r="CO32" s="155" t="n">
        <v>-30.2448936292055</v>
      </c>
      <c r="CP32" s="155" t="n">
        <v>-30.2448936292055</v>
      </c>
      <c r="CQ32" s="155" t="n">
        <v>-30.2448936292055</v>
      </c>
      <c r="CR32" s="155" t="n">
        <v>-30.2448936292055</v>
      </c>
      <c r="CS32" s="155" t="n">
        <v>-30.2448936292055</v>
      </c>
      <c r="CT32" s="155" t="n">
        <v>-30.2448936292055</v>
      </c>
      <c r="CU32" s="155" t="n">
        <v>-30.2448936292055</v>
      </c>
      <c r="CV32" s="155" t="n">
        <v>-30.2448936292055</v>
      </c>
      <c r="CW32" s="155" t="n">
        <v>-30.2448936292055</v>
      </c>
      <c r="CX32" s="155" t="n">
        <v>-30.8497915017897</v>
      </c>
      <c r="CY32" s="155" t="n">
        <v>-30.8497915017897</v>
      </c>
      <c r="CZ32" s="155" t="n">
        <v>-30.8497915017897</v>
      </c>
      <c r="DA32" s="155" t="n">
        <v>-30.8497915017897</v>
      </c>
      <c r="DB32" s="155" t="n">
        <v>-30.8497915017897</v>
      </c>
      <c r="DC32" s="155" t="n">
        <v>-30.8497915017897</v>
      </c>
      <c r="DD32" s="155" t="n">
        <v>-30.8497915017897</v>
      </c>
      <c r="DE32" s="155" t="n">
        <v>-30.8497915017897</v>
      </c>
      <c r="DF32" s="155" t="n">
        <v>-30.8497915017897</v>
      </c>
    </row>
    <row r="33" customFormat="false" ht="15" hidden="false" customHeight="true" outlineLevel="0" collapsed="false">
      <c r="A33" s="127" t="s">
        <v>72</v>
      </c>
      <c r="C33" s="112" t="n">
        <v>-3405.64</v>
      </c>
      <c r="D33" s="112" t="n">
        <v>-5015.38</v>
      </c>
      <c r="E33" s="112" t="n">
        <v>-7481.39</v>
      </c>
      <c r="F33" s="153" t="n">
        <v>-5300.8</v>
      </c>
      <c r="G33" s="153" t="n">
        <v>-5300.8</v>
      </c>
      <c r="H33" s="153" t="n">
        <v>-5300.8</v>
      </c>
      <c r="I33" s="153" t="n">
        <v>-5300.8</v>
      </c>
      <c r="J33" s="153" t="n">
        <v>-5300.8</v>
      </c>
      <c r="K33" s="153" t="n">
        <v>-5300.8</v>
      </c>
      <c r="L33" s="153" t="n">
        <v>-5300.8</v>
      </c>
      <c r="M33" s="153" t="n">
        <v>-5300.8</v>
      </c>
      <c r="N33" s="153" t="n">
        <v>-5300.8</v>
      </c>
      <c r="O33" s="153" t="n">
        <v>-5300.8</v>
      </c>
      <c r="P33" s="153" t="n">
        <v>-5300.8</v>
      </c>
      <c r="Q33" s="153" t="n">
        <v>-5300.8</v>
      </c>
      <c r="R33" s="153" t="n">
        <v>-5406.816</v>
      </c>
      <c r="S33" s="153" t="n">
        <v>-5406.816</v>
      </c>
      <c r="T33" s="153" t="n">
        <v>-5406.816</v>
      </c>
      <c r="U33" s="153" t="n">
        <v>-5406.816</v>
      </c>
      <c r="V33" s="153" t="n">
        <v>-5406.816</v>
      </c>
      <c r="W33" s="153" t="n">
        <v>-5406.816</v>
      </c>
      <c r="X33" s="153" t="n">
        <v>-5406.816</v>
      </c>
      <c r="Y33" s="153" t="n">
        <v>-5406.816</v>
      </c>
      <c r="Z33" s="153" t="n">
        <v>-5406.816</v>
      </c>
      <c r="AA33" s="153" t="n">
        <v>-5406.816</v>
      </c>
      <c r="AB33" s="153" t="n">
        <v>-5406.816</v>
      </c>
      <c r="AC33" s="153" t="n">
        <v>-5406.816</v>
      </c>
      <c r="AD33" s="153" t="n">
        <v>-5514.95232</v>
      </c>
      <c r="AE33" s="153" t="n">
        <v>-5514.95232</v>
      </c>
      <c r="AF33" s="153" t="n">
        <v>-5514.95232</v>
      </c>
      <c r="AG33" s="153" t="n">
        <v>-5514.95232</v>
      </c>
      <c r="AH33" s="153" t="n">
        <v>-5514.95232</v>
      </c>
      <c r="AI33" s="153" t="n">
        <v>-5514.95232</v>
      </c>
      <c r="AJ33" s="153" t="n">
        <v>-5514.95232</v>
      </c>
      <c r="AK33" s="153" t="n">
        <v>-5514.95232</v>
      </c>
      <c r="AL33" s="153" t="n">
        <v>-5514.95232</v>
      </c>
      <c r="AM33" s="153" t="n">
        <v>-5514.95232</v>
      </c>
      <c r="AN33" s="153" t="n">
        <v>-5514.95232</v>
      </c>
      <c r="AO33" s="153" t="n">
        <v>-5514.95232</v>
      </c>
      <c r="AP33" s="153" t="n">
        <v>-5625.2513664</v>
      </c>
      <c r="AQ33" s="153" t="n">
        <v>-5625.2513664</v>
      </c>
      <c r="AR33" s="153" t="n">
        <v>-5625.2513664</v>
      </c>
      <c r="AS33" s="153" t="n">
        <v>-5625.2513664</v>
      </c>
      <c r="AT33" s="153" t="n">
        <v>-5625.2513664</v>
      </c>
      <c r="AU33" s="153" t="n">
        <v>-5625.2513664</v>
      </c>
      <c r="AV33" s="153" t="n">
        <v>-5625.2513664</v>
      </c>
      <c r="AW33" s="153" t="n">
        <v>-5625.2513664</v>
      </c>
      <c r="AX33" s="153" t="n">
        <v>-5625.2513664</v>
      </c>
      <c r="AY33" s="153" t="n">
        <v>-5625.2513664</v>
      </c>
      <c r="AZ33" s="153" t="n">
        <v>-5625.2513664</v>
      </c>
      <c r="BA33" s="153" t="n">
        <v>-5625.2513664</v>
      </c>
      <c r="BB33" s="153" t="n">
        <v>-5737.756393728</v>
      </c>
      <c r="BC33" s="153" t="n">
        <v>-5737.756393728</v>
      </c>
      <c r="BD33" s="153" t="n">
        <v>-5737.756393728</v>
      </c>
      <c r="BE33" s="153" t="n">
        <v>-5737.756393728</v>
      </c>
      <c r="BF33" s="153" t="n">
        <v>-5737.756393728</v>
      </c>
      <c r="BG33" s="153" t="n">
        <v>-5737.756393728</v>
      </c>
      <c r="BH33" s="153" t="n">
        <v>-5737.756393728</v>
      </c>
      <c r="BI33" s="153" t="n">
        <v>-5737.756393728</v>
      </c>
      <c r="BJ33" s="153" t="n">
        <v>-5737.756393728</v>
      </c>
      <c r="BK33" s="153" t="n">
        <v>-5737.756393728</v>
      </c>
      <c r="BL33" s="153" t="n">
        <v>-5737.756393728</v>
      </c>
      <c r="BM33" s="153" t="n">
        <v>-5737.756393728</v>
      </c>
      <c r="BN33" s="153" t="n">
        <v>-5852.51152160256</v>
      </c>
      <c r="BO33" s="153" t="n">
        <v>-5852.51152160256</v>
      </c>
      <c r="BP33" s="153" t="n">
        <v>-5852.51152160256</v>
      </c>
      <c r="BQ33" s="153" t="n">
        <v>-5852.51152160256</v>
      </c>
      <c r="BR33" s="153" t="n">
        <v>-5852.51152160256</v>
      </c>
      <c r="BS33" s="153" t="n">
        <v>-5852.51152160256</v>
      </c>
      <c r="BT33" s="153" t="n">
        <v>-5852.51152160256</v>
      </c>
      <c r="BU33" s="153" t="n">
        <v>-5852.51152160256</v>
      </c>
      <c r="BV33" s="153" t="n">
        <v>-5852.51152160256</v>
      </c>
      <c r="BW33" s="153" t="n">
        <v>-5852.51152160256</v>
      </c>
      <c r="BX33" s="153" t="n">
        <v>-5852.51152160256</v>
      </c>
      <c r="BY33" s="153" t="n">
        <v>-5852.51152160256</v>
      </c>
      <c r="BZ33" s="153" t="n">
        <v>-5969.56175203461</v>
      </c>
      <c r="CA33" s="153" t="n">
        <v>-5969.56175203461</v>
      </c>
      <c r="CB33" s="153" t="n">
        <v>-5969.56175203461</v>
      </c>
      <c r="CC33" s="153" t="n">
        <v>-5969.56175203461</v>
      </c>
      <c r="CD33" s="153" t="n">
        <v>-5969.56175203461</v>
      </c>
      <c r="CE33" s="153" t="n">
        <v>-5969.56175203461</v>
      </c>
      <c r="CF33" s="153" t="n">
        <v>-5969.56175203461</v>
      </c>
      <c r="CG33" s="153" t="n">
        <v>-5969.56175203461</v>
      </c>
      <c r="CH33" s="153" t="n">
        <v>-5969.56175203461</v>
      </c>
      <c r="CI33" s="153" t="n">
        <v>-5969.56175203461</v>
      </c>
      <c r="CJ33" s="153" t="n">
        <v>-5969.56175203461</v>
      </c>
      <c r="CK33" s="153" t="n">
        <v>-5969.56175203461</v>
      </c>
      <c r="CL33" s="153" t="n">
        <v>-6088.9529870753</v>
      </c>
      <c r="CM33" s="153" t="n">
        <v>-6088.9529870753</v>
      </c>
      <c r="CN33" s="153" t="n">
        <v>-6088.9529870753</v>
      </c>
      <c r="CO33" s="153" t="n">
        <v>-6088.9529870753</v>
      </c>
      <c r="CP33" s="153" t="n">
        <v>-6088.9529870753</v>
      </c>
      <c r="CQ33" s="153" t="n">
        <v>-6088.9529870753</v>
      </c>
      <c r="CR33" s="153" t="n">
        <v>-6088.9529870753</v>
      </c>
      <c r="CS33" s="153" t="n">
        <v>-6088.9529870753</v>
      </c>
      <c r="CT33" s="153" t="n">
        <v>-6088.9529870753</v>
      </c>
      <c r="CU33" s="153" t="n">
        <v>-6088.9529870753</v>
      </c>
      <c r="CV33" s="153" t="n">
        <v>-6088.9529870753</v>
      </c>
      <c r="CW33" s="153" t="n">
        <v>-6088.9529870753</v>
      </c>
      <c r="CX33" s="153" t="n">
        <v>-6210.73204681681</v>
      </c>
      <c r="CY33" s="153" t="n">
        <v>-6210.73204681681</v>
      </c>
      <c r="CZ33" s="153" t="n">
        <v>-6210.73204681681</v>
      </c>
      <c r="DA33" s="153" t="n">
        <v>-6210.73204681681</v>
      </c>
      <c r="DB33" s="153" t="n">
        <v>-6210.73204681681</v>
      </c>
      <c r="DC33" s="153" t="n">
        <v>-6210.73204681681</v>
      </c>
      <c r="DD33" s="153" t="n">
        <v>-6210.73204681681</v>
      </c>
      <c r="DE33" s="153" t="n">
        <v>-6210.73204681681</v>
      </c>
      <c r="DF33" s="153" t="n">
        <v>-6210.73204681681</v>
      </c>
    </row>
    <row r="34" customFormat="false" ht="15" hidden="false" customHeight="true" outlineLevel="0" collapsed="false">
      <c r="A34" s="127" t="s">
        <v>73</v>
      </c>
      <c r="C34" s="112" t="n">
        <v>0</v>
      </c>
      <c r="D34" s="112" t="n">
        <v>-1766.48</v>
      </c>
      <c r="E34" s="112" t="n">
        <v>-441.62</v>
      </c>
      <c r="F34" s="153" t="n">
        <v>-736.03</v>
      </c>
      <c r="G34" s="153" t="n">
        <v>-736.03</v>
      </c>
      <c r="H34" s="153" t="n">
        <v>-736.03</v>
      </c>
      <c r="I34" s="153" t="n">
        <v>-736.03</v>
      </c>
      <c r="J34" s="153" t="n">
        <v>-736.03</v>
      </c>
      <c r="K34" s="153" t="n">
        <v>-736.03</v>
      </c>
      <c r="L34" s="153" t="n">
        <v>-736.03</v>
      </c>
      <c r="M34" s="153" t="n">
        <v>-736.03</v>
      </c>
      <c r="N34" s="153" t="n">
        <v>-736.03</v>
      </c>
      <c r="O34" s="153" t="n">
        <v>-736.03</v>
      </c>
      <c r="P34" s="153" t="n">
        <v>-736.03</v>
      </c>
      <c r="Q34" s="153" t="n">
        <v>-736.03</v>
      </c>
      <c r="R34" s="153" t="n">
        <v>-750.7506</v>
      </c>
      <c r="S34" s="153" t="n">
        <v>-750.7506</v>
      </c>
      <c r="T34" s="153" t="n">
        <v>-750.7506</v>
      </c>
      <c r="U34" s="153" t="n">
        <v>-750.7506</v>
      </c>
      <c r="V34" s="153" t="n">
        <v>-750.7506</v>
      </c>
      <c r="W34" s="153" t="n">
        <v>-750.7506</v>
      </c>
      <c r="X34" s="153" t="n">
        <v>-750.7506</v>
      </c>
      <c r="Y34" s="153" t="n">
        <v>-750.7506</v>
      </c>
      <c r="Z34" s="153" t="n">
        <v>-750.7506</v>
      </c>
      <c r="AA34" s="153" t="n">
        <v>-750.7506</v>
      </c>
      <c r="AB34" s="153" t="n">
        <v>-750.7506</v>
      </c>
      <c r="AC34" s="153" t="n">
        <v>-750.7506</v>
      </c>
      <c r="AD34" s="153" t="n">
        <v>-765.765612</v>
      </c>
      <c r="AE34" s="153" t="n">
        <v>-765.765612</v>
      </c>
      <c r="AF34" s="153" t="n">
        <v>-765.765612</v>
      </c>
      <c r="AG34" s="153" t="n">
        <v>-765.765612</v>
      </c>
      <c r="AH34" s="153" t="n">
        <v>-765.765612</v>
      </c>
      <c r="AI34" s="153" t="n">
        <v>-765.765612</v>
      </c>
      <c r="AJ34" s="153" t="n">
        <v>-765.765612</v>
      </c>
      <c r="AK34" s="153" t="n">
        <v>-765.765612</v>
      </c>
      <c r="AL34" s="153" t="n">
        <v>-765.765612</v>
      </c>
      <c r="AM34" s="153" t="n">
        <v>-765.765612</v>
      </c>
      <c r="AN34" s="153" t="n">
        <v>-765.765612</v>
      </c>
      <c r="AO34" s="153" t="n">
        <v>-765.765612</v>
      </c>
      <c r="AP34" s="153" t="n">
        <v>-781.08092424</v>
      </c>
      <c r="AQ34" s="153" t="n">
        <v>-781.08092424</v>
      </c>
      <c r="AR34" s="153" t="n">
        <v>-781.08092424</v>
      </c>
      <c r="AS34" s="153" t="n">
        <v>-781.08092424</v>
      </c>
      <c r="AT34" s="153" t="n">
        <v>-781.08092424</v>
      </c>
      <c r="AU34" s="153" t="n">
        <v>-781.08092424</v>
      </c>
      <c r="AV34" s="153" t="n">
        <v>-781.08092424</v>
      </c>
      <c r="AW34" s="153" t="n">
        <v>-781.08092424</v>
      </c>
      <c r="AX34" s="153" t="n">
        <v>-781.08092424</v>
      </c>
      <c r="AY34" s="153" t="n">
        <v>-781.08092424</v>
      </c>
      <c r="AZ34" s="153" t="n">
        <v>-781.08092424</v>
      </c>
      <c r="BA34" s="153" t="n">
        <v>-781.08092424</v>
      </c>
      <c r="BB34" s="153" t="n">
        <v>-796.7025427248</v>
      </c>
      <c r="BC34" s="153" t="n">
        <v>-796.7025427248</v>
      </c>
      <c r="BD34" s="153" t="n">
        <v>-796.7025427248</v>
      </c>
      <c r="BE34" s="153" t="n">
        <v>-796.7025427248</v>
      </c>
      <c r="BF34" s="153" t="n">
        <v>-796.7025427248</v>
      </c>
      <c r="BG34" s="153" t="n">
        <v>-796.7025427248</v>
      </c>
      <c r="BH34" s="153" t="n">
        <v>-796.7025427248</v>
      </c>
      <c r="BI34" s="153" t="n">
        <v>-796.7025427248</v>
      </c>
      <c r="BJ34" s="153" t="n">
        <v>-796.7025427248</v>
      </c>
      <c r="BK34" s="153" t="n">
        <v>-796.7025427248</v>
      </c>
      <c r="BL34" s="153" t="n">
        <v>-796.7025427248</v>
      </c>
      <c r="BM34" s="153" t="n">
        <v>-796.7025427248</v>
      </c>
      <c r="BN34" s="153" t="n">
        <v>-812.636593579296</v>
      </c>
      <c r="BO34" s="153" t="n">
        <v>-812.636593579296</v>
      </c>
      <c r="BP34" s="153" t="n">
        <v>-812.636593579296</v>
      </c>
      <c r="BQ34" s="153" t="n">
        <v>-812.636593579296</v>
      </c>
      <c r="BR34" s="153" t="n">
        <v>-812.636593579296</v>
      </c>
      <c r="BS34" s="153" t="n">
        <v>-812.636593579296</v>
      </c>
      <c r="BT34" s="153" t="n">
        <v>-812.636593579296</v>
      </c>
      <c r="BU34" s="153" t="n">
        <v>-812.636593579296</v>
      </c>
      <c r="BV34" s="153" t="n">
        <v>-812.636593579296</v>
      </c>
      <c r="BW34" s="153" t="n">
        <v>-812.636593579296</v>
      </c>
      <c r="BX34" s="153" t="n">
        <v>-812.636593579296</v>
      </c>
      <c r="BY34" s="153" t="n">
        <v>-812.636593579296</v>
      </c>
      <c r="BZ34" s="153" t="n">
        <v>-828.889325450882</v>
      </c>
      <c r="CA34" s="153" t="n">
        <v>-828.889325450882</v>
      </c>
      <c r="CB34" s="153" t="n">
        <v>-828.889325450882</v>
      </c>
      <c r="CC34" s="153" t="n">
        <v>-828.889325450882</v>
      </c>
      <c r="CD34" s="153" t="n">
        <v>-828.889325450882</v>
      </c>
      <c r="CE34" s="153" t="n">
        <v>-828.889325450882</v>
      </c>
      <c r="CF34" s="153" t="n">
        <v>-828.889325450882</v>
      </c>
      <c r="CG34" s="153" t="n">
        <v>-828.889325450882</v>
      </c>
      <c r="CH34" s="153" t="n">
        <v>-828.889325450882</v>
      </c>
      <c r="CI34" s="153" t="n">
        <v>-828.889325450882</v>
      </c>
      <c r="CJ34" s="153" t="n">
        <v>-828.889325450882</v>
      </c>
      <c r="CK34" s="153" t="n">
        <v>-828.889325450882</v>
      </c>
      <c r="CL34" s="153" t="n">
        <v>-845.4671119599</v>
      </c>
      <c r="CM34" s="153" t="n">
        <v>-845.4671119599</v>
      </c>
      <c r="CN34" s="153" t="n">
        <v>-845.4671119599</v>
      </c>
      <c r="CO34" s="153" t="n">
        <v>-845.4671119599</v>
      </c>
      <c r="CP34" s="153" t="n">
        <v>-845.4671119599</v>
      </c>
      <c r="CQ34" s="153" t="n">
        <v>-845.4671119599</v>
      </c>
      <c r="CR34" s="153" t="n">
        <v>-845.4671119599</v>
      </c>
      <c r="CS34" s="153" t="n">
        <v>-845.4671119599</v>
      </c>
      <c r="CT34" s="153" t="n">
        <v>-845.4671119599</v>
      </c>
      <c r="CU34" s="153" t="n">
        <v>-845.4671119599</v>
      </c>
      <c r="CV34" s="153" t="n">
        <v>-845.4671119599</v>
      </c>
      <c r="CW34" s="153" t="n">
        <v>-845.4671119599</v>
      </c>
      <c r="CX34" s="153" t="n">
        <v>-862.376454199098</v>
      </c>
      <c r="CY34" s="153" t="n">
        <v>-862.376454199098</v>
      </c>
      <c r="CZ34" s="153" t="n">
        <v>-862.376454199098</v>
      </c>
      <c r="DA34" s="153" t="n">
        <v>-862.376454199098</v>
      </c>
      <c r="DB34" s="153" t="n">
        <v>-862.376454199098</v>
      </c>
      <c r="DC34" s="153" t="n">
        <v>-862.376454199098</v>
      </c>
      <c r="DD34" s="153" t="n">
        <v>-862.376454199098</v>
      </c>
      <c r="DE34" s="153" t="n">
        <v>-862.376454199098</v>
      </c>
      <c r="DF34" s="153" t="n">
        <v>-862.376454199098</v>
      </c>
    </row>
    <row r="35" customFormat="false" ht="15" hidden="false" customHeight="true" outlineLevel="0" collapsed="false">
      <c r="A35" s="127" t="s">
        <v>74</v>
      </c>
      <c r="C35" s="112" t="n">
        <v>-681.77</v>
      </c>
      <c r="D35" s="112" t="n">
        <v>-600.14</v>
      </c>
      <c r="E35" s="112" t="n">
        <v>-2121.95</v>
      </c>
      <c r="F35" s="153" t="n">
        <v>-1134.62</v>
      </c>
      <c r="G35" s="153" t="n">
        <v>-1134.62</v>
      </c>
      <c r="H35" s="153" t="n">
        <v>-1134.62</v>
      </c>
      <c r="I35" s="153" t="n">
        <v>-1134.62</v>
      </c>
      <c r="J35" s="153" t="n">
        <v>-1134.62</v>
      </c>
      <c r="K35" s="153" t="n">
        <v>-1134.62</v>
      </c>
      <c r="L35" s="153" t="n">
        <v>-1134.62</v>
      </c>
      <c r="M35" s="153" t="n">
        <v>-1134.62</v>
      </c>
      <c r="N35" s="153" t="n">
        <v>-1134.62</v>
      </c>
      <c r="O35" s="153" t="n">
        <v>-1134.62</v>
      </c>
      <c r="P35" s="153" t="n">
        <v>-1134.62</v>
      </c>
      <c r="Q35" s="153" t="n">
        <v>-1134.62</v>
      </c>
      <c r="R35" s="153" t="n">
        <v>-1157.3124</v>
      </c>
      <c r="S35" s="153" t="n">
        <v>-1157.3124</v>
      </c>
      <c r="T35" s="153" t="n">
        <v>-1157.3124</v>
      </c>
      <c r="U35" s="153" t="n">
        <v>-1157.3124</v>
      </c>
      <c r="V35" s="153" t="n">
        <v>-1157.3124</v>
      </c>
      <c r="W35" s="153" t="n">
        <v>-1157.3124</v>
      </c>
      <c r="X35" s="153" t="n">
        <v>-1157.3124</v>
      </c>
      <c r="Y35" s="153" t="n">
        <v>-1157.3124</v>
      </c>
      <c r="Z35" s="153" t="n">
        <v>-1157.3124</v>
      </c>
      <c r="AA35" s="153" t="n">
        <v>-1157.3124</v>
      </c>
      <c r="AB35" s="153" t="n">
        <v>-1157.3124</v>
      </c>
      <c r="AC35" s="153" t="n">
        <v>-1157.3124</v>
      </c>
      <c r="AD35" s="153" t="n">
        <v>-1180.458648</v>
      </c>
      <c r="AE35" s="153" t="n">
        <v>-1180.458648</v>
      </c>
      <c r="AF35" s="153" t="n">
        <v>-1180.458648</v>
      </c>
      <c r="AG35" s="153" t="n">
        <v>-1180.458648</v>
      </c>
      <c r="AH35" s="153" t="n">
        <v>-1180.458648</v>
      </c>
      <c r="AI35" s="153" t="n">
        <v>-1180.458648</v>
      </c>
      <c r="AJ35" s="153" t="n">
        <v>-1180.458648</v>
      </c>
      <c r="AK35" s="153" t="n">
        <v>-1180.458648</v>
      </c>
      <c r="AL35" s="153" t="n">
        <v>-1180.458648</v>
      </c>
      <c r="AM35" s="153" t="n">
        <v>-1180.458648</v>
      </c>
      <c r="AN35" s="153" t="n">
        <v>-1180.458648</v>
      </c>
      <c r="AO35" s="153" t="n">
        <v>-1180.458648</v>
      </c>
      <c r="AP35" s="153" t="n">
        <v>-1204.06782096</v>
      </c>
      <c r="AQ35" s="153" t="n">
        <v>-1204.06782096</v>
      </c>
      <c r="AR35" s="153" t="n">
        <v>-1204.06782096</v>
      </c>
      <c r="AS35" s="153" t="n">
        <v>-1204.06782096</v>
      </c>
      <c r="AT35" s="153" t="n">
        <v>-1204.06782096</v>
      </c>
      <c r="AU35" s="153" t="n">
        <v>-1204.06782096</v>
      </c>
      <c r="AV35" s="153" t="n">
        <v>-1204.06782096</v>
      </c>
      <c r="AW35" s="153" t="n">
        <v>-1204.06782096</v>
      </c>
      <c r="AX35" s="153" t="n">
        <v>-1204.06782096</v>
      </c>
      <c r="AY35" s="153" t="n">
        <v>-1204.06782096</v>
      </c>
      <c r="AZ35" s="153" t="n">
        <v>-1204.06782096</v>
      </c>
      <c r="BA35" s="153" t="n">
        <v>-1204.06782096</v>
      </c>
      <c r="BB35" s="153" t="n">
        <v>-1228.1491773792</v>
      </c>
      <c r="BC35" s="153" t="n">
        <v>-1228.1491773792</v>
      </c>
      <c r="BD35" s="153" t="n">
        <v>-1228.1491773792</v>
      </c>
      <c r="BE35" s="153" t="n">
        <v>-1228.1491773792</v>
      </c>
      <c r="BF35" s="153" t="n">
        <v>-1228.1491773792</v>
      </c>
      <c r="BG35" s="153" t="n">
        <v>-1228.1491773792</v>
      </c>
      <c r="BH35" s="153" t="n">
        <v>-1228.1491773792</v>
      </c>
      <c r="BI35" s="153" t="n">
        <v>-1228.1491773792</v>
      </c>
      <c r="BJ35" s="153" t="n">
        <v>-1228.1491773792</v>
      </c>
      <c r="BK35" s="153" t="n">
        <v>-1228.1491773792</v>
      </c>
      <c r="BL35" s="153" t="n">
        <v>-1228.1491773792</v>
      </c>
      <c r="BM35" s="153" t="n">
        <v>-1228.1491773792</v>
      </c>
      <c r="BN35" s="153" t="n">
        <v>-1252.71216092678</v>
      </c>
      <c r="BO35" s="153" t="n">
        <v>-1252.71216092678</v>
      </c>
      <c r="BP35" s="153" t="n">
        <v>-1252.71216092678</v>
      </c>
      <c r="BQ35" s="153" t="n">
        <v>-1252.71216092678</v>
      </c>
      <c r="BR35" s="153" t="n">
        <v>-1252.71216092678</v>
      </c>
      <c r="BS35" s="153" t="n">
        <v>-1252.71216092678</v>
      </c>
      <c r="BT35" s="153" t="n">
        <v>-1252.71216092678</v>
      </c>
      <c r="BU35" s="153" t="n">
        <v>-1252.71216092678</v>
      </c>
      <c r="BV35" s="153" t="n">
        <v>-1252.71216092678</v>
      </c>
      <c r="BW35" s="153" t="n">
        <v>-1252.71216092678</v>
      </c>
      <c r="BX35" s="153" t="n">
        <v>-1252.71216092678</v>
      </c>
      <c r="BY35" s="153" t="n">
        <v>-1252.71216092678</v>
      </c>
      <c r="BZ35" s="153" t="n">
        <v>-1277.76640414532</v>
      </c>
      <c r="CA35" s="153" t="n">
        <v>-1277.76640414532</v>
      </c>
      <c r="CB35" s="153" t="n">
        <v>-1277.76640414532</v>
      </c>
      <c r="CC35" s="153" t="n">
        <v>-1277.76640414532</v>
      </c>
      <c r="CD35" s="153" t="n">
        <v>-1277.76640414532</v>
      </c>
      <c r="CE35" s="153" t="n">
        <v>-1277.76640414532</v>
      </c>
      <c r="CF35" s="153" t="n">
        <v>-1277.76640414532</v>
      </c>
      <c r="CG35" s="153" t="n">
        <v>-1277.76640414532</v>
      </c>
      <c r="CH35" s="153" t="n">
        <v>-1277.76640414532</v>
      </c>
      <c r="CI35" s="153" t="n">
        <v>-1277.76640414532</v>
      </c>
      <c r="CJ35" s="153" t="n">
        <v>-1277.76640414532</v>
      </c>
      <c r="CK35" s="153" t="n">
        <v>-1277.76640414532</v>
      </c>
      <c r="CL35" s="153" t="n">
        <v>-1303.32173222823</v>
      </c>
      <c r="CM35" s="153" t="n">
        <v>-1303.32173222823</v>
      </c>
      <c r="CN35" s="153" t="n">
        <v>-1303.32173222823</v>
      </c>
      <c r="CO35" s="153" t="n">
        <v>-1303.32173222823</v>
      </c>
      <c r="CP35" s="153" t="n">
        <v>-1303.32173222823</v>
      </c>
      <c r="CQ35" s="153" t="n">
        <v>-1303.32173222823</v>
      </c>
      <c r="CR35" s="153" t="n">
        <v>-1303.32173222823</v>
      </c>
      <c r="CS35" s="153" t="n">
        <v>-1303.32173222823</v>
      </c>
      <c r="CT35" s="153" t="n">
        <v>-1303.32173222823</v>
      </c>
      <c r="CU35" s="153" t="n">
        <v>-1303.32173222823</v>
      </c>
      <c r="CV35" s="153" t="n">
        <v>-1303.32173222823</v>
      </c>
      <c r="CW35" s="153" t="n">
        <v>-1303.32173222823</v>
      </c>
      <c r="CX35" s="153" t="n">
        <v>-1329.38816687279</v>
      </c>
      <c r="CY35" s="153" t="n">
        <v>-1329.38816687279</v>
      </c>
      <c r="CZ35" s="153" t="n">
        <v>-1329.38816687279</v>
      </c>
      <c r="DA35" s="153" t="n">
        <v>-1329.38816687279</v>
      </c>
      <c r="DB35" s="153" t="n">
        <v>-1329.38816687279</v>
      </c>
      <c r="DC35" s="153" t="n">
        <v>-1329.38816687279</v>
      </c>
      <c r="DD35" s="153" t="n">
        <v>-1329.38816687279</v>
      </c>
      <c r="DE35" s="153" t="n">
        <v>-1329.38816687279</v>
      </c>
      <c r="DF35" s="153" t="n">
        <v>-1329.38816687279</v>
      </c>
    </row>
    <row r="36" customFormat="false" ht="15" hidden="false" customHeight="true" outlineLevel="0" collapsed="false">
      <c r="A36" s="127" t="s">
        <v>75</v>
      </c>
      <c r="C36" s="112" t="n">
        <v>-2187.5</v>
      </c>
      <c r="D36" s="112" t="n">
        <v>0</v>
      </c>
      <c r="E36" s="112" t="n">
        <v>-1625</v>
      </c>
      <c r="F36" s="153" t="n">
        <v>-1270.83</v>
      </c>
      <c r="G36" s="153" t="n">
        <v>-1270.83</v>
      </c>
      <c r="H36" s="153" t="n">
        <v>-1270.83</v>
      </c>
      <c r="I36" s="153" t="n">
        <v>-1270.83</v>
      </c>
      <c r="J36" s="153" t="n">
        <v>-1270.83</v>
      </c>
      <c r="K36" s="153" t="n">
        <v>-1270.83</v>
      </c>
      <c r="L36" s="153" t="n">
        <v>-1270.83</v>
      </c>
      <c r="M36" s="153" t="n">
        <v>-1270.83</v>
      </c>
      <c r="N36" s="153" t="n">
        <v>-1270.83</v>
      </c>
      <c r="O36" s="153" t="n">
        <v>-1270.83</v>
      </c>
      <c r="P36" s="153" t="n">
        <v>-1270.83</v>
      </c>
      <c r="Q36" s="153" t="n">
        <v>-1270.83</v>
      </c>
      <c r="R36" s="153" t="n">
        <v>-1296.2466</v>
      </c>
      <c r="S36" s="153" t="n">
        <v>-1296.2466</v>
      </c>
      <c r="T36" s="153" t="n">
        <v>-1296.2466</v>
      </c>
      <c r="U36" s="153" t="n">
        <v>-1296.2466</v>
      </c>
      <c r="V36" s="153" t="n">
        <v>-1296.2466</v>
      </c>
      <c r="W36" s="153" t="n">
        <v>-1296.2466</v>
      </c>
      <c r="X36" s="153" t="n">
        <v>-1296.2466</v>
      </c>
      <c r="Y36" s="153" t="n">
        <v>-1296.2466</v>
      </c>
      <c r="Z36" s="153" t="n">
        <v>-1296.2466</v>
      </c>
      <c r="AA36" s="153" t="n">
        <v>-1296.2466</v>
      </c>
      <c r="AB36" s="153" t="n">
        <v>-1296.2466</v>
      </c>
      <c r="AC36" s="153" t="n">
        <v>-1296.2466</v>
      </c>
      <c r="AD36" s="153" t="n">
        <v>-1322.171532</v>
      </c>
      <c r="AE36" s="153" t="n">
        <v>-1322.171532</v>
      </c>
      <c r="AF36" s="153" t="n">
        <v>-1322.171532</v>
      </c>
      <c r="AG36" s="153" t="n">
        <v>-1322.171532</v>
      </c>
      <c r="AH36" s="153" t="n">
        <v>-1322.171532</v>
      </c>
      <c r="AI36" s="153" t="n">
        <v>-1322.171532</v>
      </c>
      <c r="AJ36" s="153" t="n">
        <v>-1322.171532</v>
      </c>
      <c r="AK36" s="153" t="n">
        <v>-1322.171532</v>
      </c>
      <c r="AL36" s="153" t="n">
        <v>-1322.171532</v>
      </c>
      <c r="AM36" s="153" t="n">
        <v>-1322.171532</v>
      </c>
      <c r="AN36" s="153" t="n">
        <v>-1322.171532</v>
      </c>
      <c r="AO36" s="153" t="n">
        <v>-1322.171532</v>
      </c>
      <c r="AP36" s="153" t="n">
        <v>-1348.61496264</v>
      </c>
      <c r="AQ36" s="153" t="n">
        <v>-1348.61496264</v>
      </c>
      <c r="AR36" s="153" t="n">
        <v>-1348.61496264</v>
      </c>
      <c r="AS36" s="153" t="n">
        <v>-1348.61496264</v>
      </c>
      <c r="AT36" s="153" t="n">
        <v>-1348.61496264</v>
      </c>
      <c r="AU36" s="153" t="n">
        <v>-1348.61496264</v>
      </c>
      <c r="AV36" s="153" t="n">
        <v>-1348.61496264</v>
      </c>
      <c r="AW36" s="153" t="n">
        <v>-1348.61496264</v>
      </c>
      <c r="AX36" s="153" t="n">
        <v>-1348.61496264</v>
      </c>
      <c r="AY36" s="153" t="n">
        <v>-1348.61496264</v>
      </c>
      <c r="AZ36" s="153" t="n">
        <v>-1348.61496264</v>
      </c>
      <c r="BA36" s="153" t="n">
        <v>-1348.61496264</v>
      </c>
      <c r="BB36" s="153" t="n">
        <v>-1375.5872618928</v>
      </c>
      <c r="BC36" s="153" t="n">
        <v>-1375.5872618928</v>
      </c>
      <c r="BD36" s="153" t="n">
        <v>-1375.5872618928</v>
      </c>
      <c r="BE36" s="153" t="n">
        <v>-1375.5872618928</v>
      </c>
      <c r="BF36" s="153" t="n">
        <v>-1375.5872618928</v>
      </c>
      <c r="BG36" s="153" t="n">
        <v>-1375.5872618928</v>
      </c>
      <c r="BH36" s="153" t="n">
        <v>-1375.5872618928</v>
      </c>
      <c r="BI36" s="153" t="n">
        <v>-1375.5872618928</v>
      </c>
      <c r="BJ36" s="153" t="n">
        <v>-1375.5872618928</v>
      </c>
      <c r="BK36" s="153" t="n">
        <v>-1375.5872618928</v>
      </c>
      <c r="BL36" s="153" t="n">
        <v>-1375.5872618928</v>
      </c>
      <c r="BM36" s="153" t="n">
        <v>-1375.5872618928</v>
      </c>
      <c r="BN36" s="153" t="n">
        <v>-1403.09900713066</v>
      </c>
      <c r="BO36" s="153" t="n">
        <v>-1403.09900713066</v>
      </c>
      <c r="BP36" s="153" t="n">
        <v>-1403.09900713066</v>
      </c>
      <c r="BQ36" s="153" t="n">
        <v>-1403.09900713066</v>
      </c>
      <c r="BR36" s="153" t="n">
        <v>-1403.09900713066</v>
      </c>
      <c r="BS36" s="153" t="n">
        <v>-1403.09900713066</v>
      </c>
      <c r="BT36" s="153" t="n">
        <v>-1403.09900713066</v>
      </c>
      <c r="BU36" s="153" t="n">
        <v>-1403.09900713066</v>
      </c>
      <c r="BV36" s="153" t="n">
        <v>-1403.09900713066</v>
      </c>
      <c r="BW36" s="153" t="n">
        <v>-1403.09900713066</v>
      </c>
      <c r="BX36" s="153" t="n">
        <v>-1403.09900713066</v>
      </c>
      <c r="BY36" s="153" t="n">
        <v>-1403.09900713066</v>
      </c>
      <c r="BZ36" s="153" t="n">
        <v>-1431.16098727327</v>
      </c>
      <c r="CA36" s="153" t="n">
        <v>-1431.16098727327</v>
      </c>
      <c r="CB36" s="153" t="n">
        <v>-1431.16098727327</v>
      </c>
      <c r="CC36" s="153" t="n">
        <v>-1431.16098727327</v>
      </c>
      <c r="CD36" s="153" t="n">
        <v>-1431.16098727327</v>
      </c>
      <c r="CE36" s="153" t="n">
        <v>-1431.16098727327</v>
      </c>
      <c r="CF36" s="153" t="n">
        <v>-1431.16098727327</v>
      </c>
      <c r="CG36" s="153" t="n">
        <v>-1431.16098727327</v>
      </c>
      <c r="CH36" s="153" t="n">
        <v>-1431.16098727327</v>
      </c>
      <c r="CI36" s="153" t="n">
        <v>-1431.16098727327</v>
      </c>
      <c r="CJ36" s="153" t="n">
        <v>-1431.16098727327</v>
      </c>
      <c r="CK36" s="153" t="n">
        <v>-1431.16098727327</v>
      </c>
      <c r="CL36" s="153" t="n">
        <v>-1459.78420701873</v>
      </c>
      <c r="CM36" s="153" t="n">
        <v>-1459.78420701873</v>
      </c>
      <c r="CN36" s="153" t="n">
        <v>-1459.78420701873</v>
      </c>
      <c r="CO36" s="153" t="n">
        <v>-1459.78420701873</v>
      </c>
      <c r="CP36" s="153" t="n">
        <v>-1459.78420701873</v>
      </c>
      <c r="CQ36" s="153" t="n">
        <v>-1459.78420701873</v>
      </c>
      <c r="CR36" s="153" t="n">
        <v>-1459.78420701873</v>
      </c>
      <c r="CS36" s="153" t="n">
        <v>-1459.78420701873</v>
      </c>
      <c r="CT36" s="153" t="n">
        <v>-1459.78420701873</v>
      </c>
      <c r="CU36" s="153" t="n">
        <v>-1459.78420701873</v>
      </c>
      <c r="CV36" s="153" t="n">
        <v>-1459.78420701873</v>
      </c>
      <c r="CW36" s="153" t="n">
        <v>-1459.78420701873</v>
      </c>
      <c r="CX36" s="153" t="n">
        <v>-1488.97989115911</v>
      </c>
      <c r="CY36" s="153" t="n">
        <v>-1488.97989115911</v>
      </c>
      <c r="CZ36" s="153" t="n">
        <v>-1488.97989115911</v>
      </c>
      <c r="DA36" s="153" t="n">
        <v>-1488.97989115911</v>
      </c>
      <c r="DB36" s="153" t="n">
        <v>-1488.97989115911</v>
      </c>
      <c r="DC36" s="153" t="n">
        <v>-1488.97989115911</v>
      </c>
      <c r="DD36" s="153" t="n">
        <v>-1488.97989115911</v>
      </c>
      <c r="DE36" s="153" t="n">
        <v>-1488.97989115911</v>
      </c>
      <c r="DF36" s="153" t="n">
        <v>-1488.97989115911</v>
      </c>
    </row>
    <row r="37" customFormat="false" ht="15" hidden="false" customHeight="true" outlineLevel="0" collapsed="false">
      <c r="A37" s="127" t="s">
        <v>76</v>
      </c>
      <c r="C37" s="112" t="n">
        <v>0</v>
      </c>
      <c r="D37" s="112" t="n">
        <v>-12349</v>
      </c>
      <c r="E37" s="112" t="n">
        <v>-5400</v>
      </c>
      <c r="F37" s="153" t="n">
        <v>-5916.33</v>
      </c>
      <c r="G37" s="153" t="n">
        <v>-5916.33</v>
      </c>
      <c r="H37" s="153" t="n">
        <v>-5916.33</v>
      </c>
      <c r="I37" s="153" t="n">
        <v>-5916.33</v>
      </c>
      <c r="J37" s="153" t="n">
        <v>-5916.33</v>
      </c>
      <c r="K37" s="153" t="n">
        <v>-5916.33</v>
      </c>
      <c r="L37" s="153" t="n">
        <v>-5916.33</v>
      </c>
      <c r="M37" s="153" t="n">
        <v>-5916.33</v>
      </c>
      <c r="N37" s="153" t="n">
        <v>-5916.33</v>
      </c>
      <c r="O37" s="153" t="n">
        <v>-5916.33</v>
      </c>
      <c r="P37" s="153" t="n">
        <v>-5916.33</v>
      </c>
      <c r="Q37" s="153" t="n">
        <v>-5916.33</v>
      </c>
      <c r="R37" s="153" t="n">
        <v>-6034.6566</v>
      </c>
      <c r="S37" s="153" t="n">
        <v>-6034.6566</v>
      </c>
      <c r="T37" s="153" t="n">
        <v>-6034.6566</v>
      </c>
      <c r="U37" s="153" t="n">
        <v>-6034.6566</v>
      </c>
      <c r="V37" s="153" t="n">
        <v>-6034.6566</v>
      </c>
      <c r="W37" s="153" t="n">
        <v>-6034.6566</v>
      </c>
      <c r="X37" s="153" t="n">
        <v>-6034.6566</v>
      </c>
      <c r="Y37" s="153" t="n">
        <v>-6034.6566</v>
      </c>
      <c r="Z37" s="153" t="n">
        <v>-6034.6566</v>
      </c>
      <c r="AA37" s="153" t="n">
        <v>-6034.6566</v>
      </c>
      <c r="AB37" s="153" t="n">
        <v>-6034.6566</v>
      </c>
      <c r="AC37" s="153" t="n">
        <v>-6034.6566</v>
      </c>
      <c r="AD37" s="153" t="n">
        <v>-6155.349732</v>
      </c>
      <c r="AE37" s="153" t="n">
        <v>-6155.349732</v>
      </c>
      <c r="AF37" s="153" t="n">
        <v>-6155.349732</v>
      </c>
      <c r="AG37" s="153" t="n">
        <v>-6155.349732</v>
      </c>
      <c r="AH37" s="153" t="n">
        <v>-6155.349732</v>
      </c>
      <c r="AI37" s="153" t="n">
        <v>-6155.349732</v>
      </c>
      <c r="AJ37" s="153" t="n">
        <v>-6155.349732</v>
      </c>
      <c r="AK37" s="153" t="n">
        <v>-6155.349732</v>
      </c>
      <c r="AL37" s="153" t="n">
        <v>-6155.349732</v>
      </c>
      <c r="AM37" s="153" t="n">
        <v>-6155.349732</v>
      </c>
      <c r="AN37" s="153" t="n">
        <v>-6155.349732</v>
      </c>
      <c r="AO37" s="153" t="n">
        <v>-6155.349732</v>
      </c>
      <c r="AP37" s="153" t="n">
        <v>-6278.45672664</v>
      </c>
      <c r="AQ37" s="153" t="n">
        <v>-6278.45672664</v>
      </c>
      <c r="AR37" s="153" t="n">
        <v>-6278.45672664</v>
      </c>
      <c r="AS37" s="153" t="n">
        <v>-6278.45672664</v>
      </c>
      <c r="AT37" s="153" t="n">
        <v>-6278.45672664</v>
      </c>
      <c r="AU37" s="153" t="n">
        <v>-6278.45672664</v>
      </c>
      <c r="AV37" s="153" t="n">
        <v>-6278.45672664</v>
      </c>
      <c r="AW37" s="153" t="n">
        <v>-6278.45672664</v>
      </c>
      <c r="AX37" s="153" t="n">
        <v>-6278.45672664</v>
      </c>
      <c r="AY37" s="153" t="n">
        <v>-6278.45672664</v>
      </c>
      <c r="AZ37" s="153" t="n">
        <v>-6278.45672664</v>
      </c>
      <c r="BA37" s="153" t="n">
        <v>-6278.45672664</v>
      </c>
      <c r="BB37" s="153" t="n">
        <v>-6404.0258611728</v>
      </c>
      <c r="BC37" s="153" t="n">
        <v>-6404.0258611728</v>
      </c>
      <c r="BD37" s="153" t="n">
        <v>-6404.0258611728</v>
      </c>
      <c r="BE37" s="153" t="n">
        <v>-6404.0258611728</v>
      </c>
      <c r="BF37" s="153" t="n">
        <v>-6404.0258611728</v>
      </c>
      <c r="BG37" s="153" t="n">
        <v>-6404.0258611728</v>
      </c>
      <c r="BH37" s="153" t="n">
        <v>-6404.0258611728</v>
      </c>
      <c r="BI37" s="153" t="n">
        <v>-6404.0258611728</v>
      </c>
      <c r="BJ37" s="153" t="n">
        <v>-6404.0258611728</v>
      </c>
      <c r="BK37" s="153" t="n">
        <v>-6404.0258611728</v>
      </c>
      <c r="BL37" s="153" t="n">
        <v>-6404.0258611728</v>
      </c>
      <c r="BM37" s="153" t="n">
        <v>-6404.0258611728</v>
      </c>
      <c r="BN37" s="153" t="n">
        <v>-6532.10637839626</v>
      </c>
      <c r="BO37" s="153" t="n">
        <v>-6532.10637839626</v>
      </c>
      <c r="BP37" s="153" t="n">
        <v>-6532.10637839626</v>
      </c>
      <c r="BQ37" s="153" t="n">
        <v>-6532.10637839626</v>
      </c>
      <c r="BR37" s="153" t="n">
        <v>-6532.10637839626</v>
      </c>
      <c r="BS37" s="153" t="n">
        <v>-6532.10637839626</v>
      </c>
      <c r="BT37" s="153" t="n">
        <v>-6532.10637839626</v>
      </c>
      <c r="BU37" s="153" t="n">
        <v>-6532.10637839626</v>
      </c>
      <c r="BV37" s="153" t="n">
        <v>-6532.10637839626</v>
      </c>
      <c r="BW37" s="153" t="n">
        <v>-6532.10637839626</v>
      </c>
      <c r="BX37" s="153" t="n">
        <v>-6532.10637839626</v>
      </c>
      <c r="BY37" s="153" t="n">
        <v>-6532.10637839626</v>
      </c>
      <c r="BZ37" s="153" t="n">
        <v>-6662.74850596418</v>
      </c>
      <c r="CA37" s="153" t="n">
        <v>-6662.74850596418</v>
      </c>
      <c r="CB37" s="153" t="n">
        <v>-6662.74850596418</v>
      </c>
      <c r="CC37" s="153" t="n">
        <v>-6662.74850596418</v>
      </c>
      <c r="CD37" s="153" t="n">
        <v>-6662.74850596418</v>
      </c>
      <c r="CE37" s="153" t="n">
        <v>-6662.74850596418</v>
      </c>
      <c r="CF37" s="153" t="n">
        <v>-6662.74850596418</v>
      </c>
      <c r="CG37" s="153" t="n">
        <v>-6662.74850596418</v>
      </c>
      <c r="CH37" s="153" t="n">
        <v>-6662.74850596418</v>
      </c>
      <c r="CI37" s="153" t="n">
        <v>-6662.74850596418</v>
      </c>
      <c r="CJ37" s="153" t="n">
        <v>-6662.74850596418</v>
      </c>
      <c r="CK37" s="153" t="n">
        <v>-6662.74850596418</v>
      </c>
      <c r="CL37" s="153" t="n">
        <v>-6796.00347608347</v>
      </c>
      <c r="CM37" s="153" t="n">
        <v>-6796.00347608347</v>
      </c>
      <c r="CN37" s="153" t="n">
        <v>-6796.00347608347</v>
      </c>
      <c r="CO37" s="153" t="n">
        <v>-6796.00347608347</v>
      </c>
      <c r="CP37" s="153" t="n">
        <v>-6796.00347608347</v>
      </c>
      <c r="CQ37" s="153" t="n">
        <v>-6796.00347608347</v>
      </c>
      <c r="CR37" s="153" t="n">
        <v>-6796.00347608347</v>
      </c>
      <c r="CS37" s="153" t="n">
        <v>-6796.00347608347</v>
      </c>
      <c r="CT37" s="153" t="n">
        <v>-6796.00347608347</v>
      </c>
      <c r="CU37" s="153" t="n">
        <v>-6796.00347608347</v>
      </c>
      <c r="CV37" s="153" t="n">
        <v>-6796.00347608347</v>
      </c>
      <c r="CW37" s="153" t="n">
        <v>-6796.00347608347</v>
      </c>
      <c r="CX37" s="153" t="n">
        <v>-6931.92354560514</v>
      </c>
      <c r="CY37" s="153" t="n">
        <v>-6931.92354560514</v>
      </c>
      <c r="CZ37" s="153" t="n">
        <v>-6931.92354560514</v>
      </c>
      <c r="DA37" s="153" t="n">
        <v>-6931.92354560514</v>
      </c>
      <c r="DB37" s="153" t="n">
        <v>-6931.92354560514</v>
      </c>
      <c r="DC37" s="153" t="n">
        <v>-6931.92354560514</v>
      </c>
      <c r="DD37" s="153" t="n">
        <v>-6931.92354560514</v>
      </c>
      <c r="DE37" s="153" t="n">
        <v>-6931.92354560514</v>
      </c>
      <c r="DF37" s="153" t="n">
        <v>-6931.92354560514</v>
      </c>
    </row>
    <row r="38" customFormat="false" ht="15" hidden="false" customHeight="true" outlineLevel="0" collapsed="false">
      <c r="A38" s="127" t="s">
        <v>77</v>
      </c>
      <c r="C38" s="112" t="n">
        <v>0</v>
      </c>
      <c r="D38" s="112" t="n">
        <v>0</v>
      </c>
      <c r="E38" s="112" t="n">
        <v>-750.4</v>
      </c>
      <c r="F38" s="153" t="n">
        <v>-250.13</v>
      </c>
      <c r="G38" s="153" t="n">
        <v>-250.13</v>
      </c>
      <c r="H38" s="153" t="n">
        <v>-250.13</v>
      </c>
      <c r="I38" s="153" t="n">
        <v>-250.13</v>
      </c>
      <c r="J38" s="153" t="n">
        <v>-250.13</v>
      </c>
      <c r="K38" s="153" t="n">
        <v>-250.13</v>
      </c>
      <c r="L38" s="153" t="n">
        <v>-250.13</v>
      </c>
      <c r="M38" s="153" t="n">
        <v>-250.13</v>
      </c>
      <c r="N38" s="153" t="n">
        <v>-250.13</v>
      </c>
      <c r="O38" s="153" t="n">
        <v>-250.13</v>
      </c>
      <c r="P38" s="153" t="n">
        <v>-250.13</v>
      </c>
      <c r="Q38" s="153" t="n">
        <v>-250.13</v>
      </c>
      <c r="R38" s="153" t="n">
        <v>-255.1326</v>
      </c>
      <c r="S38" s="153" t="n">
        <v>-255.1326</v>
      </c>
      <c r="T38" s="153" t="n">
        <v>-255.1326</v>
      </c>
      <c r="U38" s="153" t="n">
        <v>-255.1326</v>
      </c>
      <c r="V38" s="153" t="n">
        <v>-255.1326</v>
      </c>
      <c r="W38" s="153" t="n">
        <v>-255.1326</v>
      </c>
      <c r="X38" s="153" t="n">
        <v>-255.1326</v>
      </c>
      <c r="Y38" s="153" t="n">
        <v>-255.1326</v>
      </c>
      <c r="Z38" s="153" t="n">
        <v>-255.1326</v>
      </c>
      <c r="AA38" s="153" t="n">
        <v>-255.1326</v>
      </c>
      <c r="AB38" s="153" t="n">
        <v>-255.1326</v>
      </c>
      <c r="AC38" s="153" t="n">
        <v>-255.1326</v>
      </c>
      <c r="AD38" s="153" t="n">
        <v>-260.235252</v>
      </c>
      <c r="AE38" s="153" t="n">
        <v>-260.235252</v>
      </c>
      <c r="AF38" s="153" t="n">
        <v>-260.235252</v>
      </c>
      <c r="AG38" s="153" t="n">
        <v>-260.235252</v>
      </c>
      <c r="AH38" s="153" t="n">
        <v>-260.235252</v>
      </c>
      <c r="AI38" s="153" t="n">
        <v>-260.235252</v>
      </c>
      <c r="AJ38" s="153" t="n">
        <v>-260.235252</v>
      </c>
      <c r="AK38" s="153" t="n">
        <v>-260.235252</v>
      </c>
      <c r="AL38" s="153" t="n">
        <v>-260.235252</v>
      </c>
      <c r="AM38" s="153" t="n">
        <v>-260.235252</v>
      </c>
      <c r="AN38" s="153" t="n">
        <v>-260.235252</v>
      </c>
      <c r="AO38" s="153" t="n">
        <v>-260.235252</v>
      </c>
      <c r="AP38" s="153" t="n">
        <v>-265.43995704</v>
      </c>
      <c r="AQ38" s="153" t="n">
        <v>-265.43995704</v>
      </c>
      <c r="AR38" s="153" t="n">
        <v>-265.43995704</v>
      </c>
      <c r="AS38" s="153" t="n">
        <v>-265.43995704</v>
      </c>
      <c r="AT38" s="153" t="n">
        <v>-265.43995704</v>
      </c>
      <c r="AU38" s="153" t="n">
        <v>-265.43995704</v>
      </c>
      <c r="AV38" s="153" t="n">
        <v>-265.43995704</v>
      </c>
      <c r="AW38" s="153" t="n">
        <v>-265.43995704</v>
      </c>
      <c r="AX38" s="153" t="n">
        <v>-265.43995704</v>
      </c>
      <c r="AY38" s="153" t="n">
        <v>-265.43995704</v>
      </c>
      <c r="AZ38" s="153" t="n">
        <v>-265.43995704</v>
      </c>
      <c r="BA38" s="153" t="n">
        <v>-265.43995704</v>
      </c>
      <c r="BB38" s="153" t="n">
        <v>-270.7487561808</v>
      </c>
      <c r="BC38" s="153" t="n">
        <v>-270.7487561808</v>
      </c>
      <c r="BD38" s="153" t="n">
        <v>-270.7487561808</v>
      </c>
      <c r="BE38" s="153" t="n">
        <v>-270.7487561808</v>
      </c>
      <c r="BF38" s="153" t="n">
        <v>-270.7487561808</v>
      </c>
      <c r="BG38" s="153" t="n">
        <v>-270.7487561808</v>
      </c>
      <c r="BH38" s="153" t="n">
        <v>-270.7487561808</v>
      </c>
      <c r="BI38" s="153" t="n">
        <v>-270.7487561808</v>
      </c>
      <c r="BJ38" s="153" t="n">
        <v>-270.7487561808</v>
      </c>
      <c r="BK38" s="153" t="n">
        <v>-270.7487561808</v>
      </c>
      <c r="BL38" s="153" t="n">
        <v>-270.7487561808</v>
      </c>
      <c r="BM38" s="153" t="n">
        <v>-270.7487561808</v>
      </c>
      <c r="BN38" s="153" t="n">
        <v>-276.163731304416</v>
      </c>
      <c r="BO38" s="153" t="n">
        <v>-276.163731304416</v>
      </c>
      <c r="BP38" s="153" t="n">
        <v>-276.163731304416</v>
      </c>
      <c r="BQ38" s="153" t="n">
        <v>-276.163731304416</v>
      </c>
      <c r="BR38" s="153" t="n">
        <v>-276.163731304416</v>
      </c>
      <c r="BS38" s="153" t="n">
        <v>-276.163731304416</v>
      </c>
      <c r="BT38" s="153" t="n">
        <v>-276.163731304416</v>
      </c>
      <c r="BU38" s="153" t="n">
        <v>-276.163731304416</v>
      </c>
      <c r="BV38" s="153" t="n">
        <v>-276.163731304416</v>
      </c>
      <c r="BW38" s="153" t="n">
        <v>-276.163731304416</v>
      </c>
      <c r="BX38" s="153" t="n">
        <v>-276.163731304416</v>
      </c>
      <c r="BY38" s="153" t="n">
        <v>-276.163731304416</v>
      </c>
      <c r="BZ38" s="153" t="n">
        <v>-281.687005930504</v>
      </c>
      <c r="CA38" s="153" t="n">
        <v>-281.687005930504</v>
      </c>
      <c r="CB38" s="153" t="n">
        <v>-281.687005930504</v>
      </c>
      <c r="CC38" s="153" t="n">
        <v>-281.687005930504</v>
      </c>
      <c r="CD38" s="153" t="n">
        <v>-281.687005930504</v>
      </c>
      <c r="CE38" s="153" t="n">
        <v>-281.687005930504</v>
      </c>
      <c r="CF38" s="153" t="n">
        <v>-281.687005930504</v>
      </c>
      <c r="CG38" s="153" t="n">
        <v>-281.687005930504</v>
      </c>
      <c r="CH38" s="153" t="n">
        <v>-281.687005930504</v>
      </c>
      <c r="CI38" s="153" t="n">
        <v>-281.687005930504</v>
      </c>
      <c r="CJ38" s="153" t="n">
        <v>-281.687005930504</v>
      </c>
      <c r="CK38" s="153" t="n">
        <v>-281.687005930504</v>
      </c>
      <c r="CL38" s="153" t="n">
        <v>-287.320746049114</v>
      </c>
      <c r="CM38" s="153" t="n">
        <v>-287.320746049114</v>
      </c>
      <c r="CN38" s="153" t="n">
        <v>-287.320746049114</v>
      </c>
      <c r="CO38" s="153" t="n">
        <v>-287.320746049114</v>
      </c>
      <c r="CP38" s="153" t="n">
        <v>-287.320746049114</v>
      </c>
      <c r="CQ38" s="153" t="n">
        <v>-287.320746049114</v>
      </c>
      <c r="CR38" s="153" t="n">
        <v>-287.320746049114</v>
      </c>
      <c r="CS38" s="153" t="n">
        <v>-287.320746049114</v>
      </c>
      <c r="CT38" s="153" t="n">
        <v>-287.320746049114</v>
      </c>
      <c r="CU38" s="153" t="n">
        <v>-287.320746049114</v>
      </c>
      <c r="CV38" s="153" t="n">
        <v>-287.320746049114</v>
      </c>
      <c r="CW38" s="153" t="n">
        <v>-287.320746049114</v>
      </c>
      <c r="CX38" s="153" t="n">
        <v>-293.067160970097</v>
      </c>
      <c r="CY38" s="153" t="n">
        <v>-293.067160970097</v>
      </c>
      <c r="CZ38" s="153" t="n">
        <v>-293.067160970097</v>
      </c>
      <c r="DA38" s="153" t="n">
        <v>-293.067160970097</v>
      </c>
      <c r="DB38" s="153" t="n">
        <v>-293.067160970097</v>
      </c>
      <c r="DC38" s="153" t="n">
        <v>-293.067160970097</v>
      </c>
      <c r="DD38" s="153" t="n">
        <v>-293.067160970097</v>
      </c>
      <c r="DE38" s="153" t="n">
        <v>-293.067160970097</v>
      </c>
      <c r="DF38" s="153" t="n">
        <v>-293.067160970097</v>
      </c>
    </row>
    <row r="39" customFormat="false" ht="15" hidden="false" customHeight="true" outlineLevel="0" collapsed="false">
      <c r="A39" s="127" t="s">
        <v>78</v>
      </c>
      <c r="C39" s="112" t="n">
        <v>-1474.63</v>
      </c>
      <c r="D39" s="112" t="n">
        <v>-1449.33</v>
      </c>
      <c r="E39" s="112" t="n">
        <v>-2328.76</v>
      </c>
      <c r="F39" s="153" t="n">
        <v>-1750.91</v>
      </c>
      <c r="G39" s="153" t="n">
        <v>-1750.91</v>
      </c>
      <c r="H39" s="153" t="n">
        <v>-1750.91</v>
      </c>
      <c r="I39" s="153" t="n">
        <v>-1750.91</v>
      </c>
      <c r="J39" s="153" t="n">
        <v>-1750.91</v>
      </c>
      <c r="K39" s="153" t="n">
        <v>-1750.91</v>
      </c>
      <c r="L39" s="153" t="n">
        <v>-1750.91</v>
      </c>
      <c r="M39" s="153" t="n">
        <v>-1750.91</v>
      </c>
      <c r="N39" s="153" t="n">
        <v>-1750.91</v>
      </c>
      <c r="O39" s="153" t="n">
        <v>-1750.91</v>
      </c>
      <c r="P39" s="153" t="n">
        <v>-1750.91</v>
      </c>
      <c r="Q39" s="153" t="n">
        <v>-1750.91</v>
      </c>
      <c r="R39" s="153" t="n">
        <v>-1785.9282</v>
      </c>
      <c r="S39" s="153" t="n">
        <v>-1785.9282</v>
      </c>
      <c r="T39" s="153" t="n">
        <v>-1785.9282</v>
      </c>
      <c r="U39" s="153" t="n">
        <v>-1785.9282</v>
      </c>
      <c r="V39" s="153" t="n">
        <v>-1785.9282</v>
      </c>
      <c r="W39" s="153" t="n">
        <v>-1785.9282</v>
      </c>
      <c r="X39" s="153" t="n">
        <v>-1785.9282</v>
      </c>
      <c r="Y39" s="153" t="n">
        <v>-1785.9282</v>
      </c>
      <c r="Z39" s="153" t="n">
        <v>-1785.9282</v>
      </c>
      <c r="AA39" s="153" t="n">
        <v>-1785.9282</v>
      </c>
      <c r="AB39" s="153" t="n">
        <v>-1785.9282</v>
      </c>
      <c r="AC39" s="153" t="n">
        <v>-1785.9282</v>
      </c>
      <c r="AD39" s="153" t="n">
        <v>-1821.646764</v>
      </c>
      <c r="AE39" s="153" t="n">
        <v>-1821.646764</v>
      </c>
      <c r="AF39" s="153" t="n">
        <v>-1821.646764</v>
      </c>
      <c r="AG39" s="153" t="n">
        <v>-1821.646764</v>
      </c>
      <c r="AH39" s="153" t="n">
        <v>-1821.646764</v>
      </c>
      <c r="AI39" s="153" t="n">
        <v>-1821.646764</v>
      </c>
      <c r="AJ39" s="153" t="n">
        <v>-1821.646764</v>
      </c>
      <c r="AK39" s="153" t="n">
        <v>-1821.646764</v>
      </c>
      <c r="AL39" s="153" t="n">
        <v>-1821.646764</v>
      </c>
      <c r="AM39" s="153" t="n">
        <v>-1821.646764</v>
      </c>
      <c r="AN39" s="153" t="n">
        <v>-1821.646764</v>
      </c>
      <c r="AO39" s="153" t="n">
        <v>-1821.646764</v>
      </c>
      <c r="AP39" s="153" t="n">
        <v>-1858.07969928</v>
      </c>
      <c r="AQ39" s="153" t="n">
        <v>-1858.07969928</v>
      </c>
      <c r="AR39" s="153" t="n">
        <v>-1858.07969928</v>
      </c>
      <c r="AS39" s="153" t="n">
        <v>-1858.07969928</v>
      </c>
      <c r="AT39" s="153" t="n">
        <v>-1858.07969928</v>
      </c>
      <c r="AU39" s="153" t="n">
        <v>-1858.07969928</v>
      </c>
      <c r="AV39" s="153" t="n">
        <v>-1858.07969928</v>
      </c>
      <c r="AW39" s="153" t="n">
        <v>-1858.07969928</v>
      </c>
      <c r="AX39" s="153" t="n">
        <v>-1858.07969928</v>
      </c>
      <c r="AY39" s="153" t="n">
        <v>-1858.07969928</v>
      </c>
      <c r="AZ39" s="153" t="n">
        <v>-1858.07969928</v>
      </c>
      <c r="BA39" s="153" t="n">
        <v>-1858.07969928</v>
      </c>
      <c r="BB39" s="153" t="n">
        <v>-1895.2412932656</v>
      </c>
      <c r="BC39" s="153" t="n">
        <v>-1895.2412932656</v>
      </c>
      <c r="BD39" s="153" t="n">
        <v>-1895.2412932656</v>
      </c>
      <c r="BE39" s="153" t="n">
        <v>-1895.2412932656</v>
      </c>
      <c r="BF39" s="153" t="n">
        <v>-1895.2412932656</v>
      </c>
      <c r="BG39" s="153" t="n">
        <v>-1895.2412932656</v>
      </c>
      <c r="BH39" s="153" t="n">
        <v>-1895.2412932656</v>
      </c>
      <c r="BI39" s="153" t="n">
        <v>-1895.2412932656</v>
      </c>
      <c r="BJ39" s="153" t="n">
        <v>-1895.2412932656</v>
      </c>
      <c r="BK39" s="153" t="n">
        <v>-1895.2412932656</v>
      </c>
      <c r="BL39" s="153" t="n">
        <v>-1895.2412932656</v>
      </c>
      <c r="BM39" s="153" t="n">
        <v>-1895.2412932656</v>
      </c>
      <c r="BN39" s="153" t="n">
        <v>-1933.14611913091</v>
      </c>
      <c r="BO39" s="153" t="n">
        <v>-1933.14611913091</v>
      </c>
      <c r="BP39" s="153" t="n">
        <v>-1933.14611913091</v>
      </c>
      <c r="BQ39" s="153" t="n">
        <v>-1933.14611913091</v>
      </c>
      <c r="BR39" s="153" t="n">
        <v>-1933.14611913091</v>
      </c>
      <c r="BS39" s="153" t="n">
        <v>-1933.14611913091</v>
      </c>
      <c r="BT39" s="153" t="n">
        <v>-1933.14611913091</v>
      </c>
      <c r="BU39" s="153" t="n">
        <v>-1933.14611913091</v>
      </c>
      <c r="BV39" s="153" t="n">
        <v>-1933.14611913091</v>
      </c>
      <c r="BW39" s="153" t="n">
        <v>-1933.14611913091</v>
      </c>
      <c r="BX39" s="153" t="n">
        <v>-1933.14611913091</v>
      </c>
      <c r="BY39" s="153" t="n">
        <v>-1933.14611913091</v>
      </c>
      <c r="BZ39" s="153" t="n">
        <v>-1971.80904151353</v>
      </c>
      <c r="CA39" s="153" t="n">
        <v>-1971.80904151353</v>
      </c>
      <c r="CB39" s="153" t="n">
        <v>-1971.80904151353</v>
      </c>
      <c r="CC39" s="153" t="n">
        <v>-1971.80904151353</v>
      </c>
      <c r="CD39" s="153" t="n">
        <v>-1971.80904151353</v>
      </c>
      <c r="CE39" s="153" t="n">
        <v>-1971.80904151353</v>
      </c>
      <c r="CF39" s="153" t="n">
        <v>-1971.80904151353</v>
      </c>
      <c r="CG39" s="153" t="n">
        <v>-1971.80904151353</v>
      </c>
      <c r="CH39" s="153" t="n">
        <v>-1971.80904151353</v>
      </c>
      <c r="CI39" s="153" t="n">
        <v>-1971.80904151353</v>
      </c>
      <c r="CJ39" s="153" t="n">
        <v>-1971.80904151353</v>
      </c>
      <c r="CK39" s="153" t="n">
        <v>-1971.80904151353</v>
      </c>
      <c r="CL39" s="153" t="n">
        <v>-2011.2452223438</v>
      </c>
      <c r="CM39" s="153" t="n">
        <v>-2011.2452223438</v>
      </c>
      <c r="CN39" s="153" t="n">
        <v>-2011.2452223438</v>
      </c>
      <c r="CO39" s="153" t="n">
        <v>-2011.2452223438</v>
      </c>
      <c r="CP39" s="153" t="n">
        <v>-2011.2452223438</v>
      </c>
      <c r="CQ39" s="153" t="n">
        <v>-2011.2452223438</v>
      </c>
      <c r="CR39" s="153" t="n">
        <v>-2011.2452223438</v>
      </c>
      <c r="CS39" s="153" t="n">
        <v>-2011.2452223438</v>
      </c>
      <c r="CT39" s="153" t="n">
        <v>-2011.2452223438</v>
      </c>
      <c r="CU39" s="153" t="n">
        <v>-2011.2452223438</v>
      </c>
      <c r="CV39" s="153" t="n">
        <v>-2011.2452223438</v>
      </c>
      <c r="CW39" s="153" t="n">
        <v>-2011.2452223438</v>
      </c>
      <c r="CX39" s="153" t="n">
        <v>-2051.47012679068</v>
      </c>
      <c r="CY39" s="153" t="n">
        <v>-2051.47012679068</v>
      </c>
      <c r="CZ39" s="153" t="n">
        <v>-2051.47012679068</v>
      </c>
      <c r="DA39" s="153" t="n">
        <v>-2051.47012679068</v>
      </c>
      <c r="DB39" s="153" t="n">
        <v>-2051.47012679068</v>
      </c>
      <c r="DC39" s="153" t="n">
        <v>-2051.47012679068</v>
      </c>
      <c r="DD39" s="153" t="n">
        <v>-2051.47012679068</v>
      </c>
      <c r="DE39" s="153" t="n">
        <v>-2051.47012679068</v>
      </c>
      <c r="DF39" s="153" t="n">
        <v>-2051.47012679068</v>
      </c>
    </row>
    <row r="40" customFormat="false" ht="15" hidden="false" customHeight="true" outlineLevel="0" collapsed="false">
      <c r="A40" s="127" t="s">
        <v>79</v>
      </c>
      <c r="C40" s="112" t="n">
        <v>-1417.61</v>
      </c>
      <c r="D40" s="112" t="n">
        <v>-2730.36</v>
      </c>
      <c r="E40" s="112" t="n">
        <v>-1818.05</v>
      </c>
      <c r="F40" s="153" t="n">
        <v>-1988.67</v>
      </c>
      <c r="G40" s="153" t="n">
        <v>-1988.67</v>
      </c>
      <c r="H40" s="153" t="n">
        <v>-1988.67</v>
      </c>
      <c r="I40" s="153" t="n">
        <v>-1988.67</v>
      </c>
      <c r="J40" s="153" t="n">
        <v>-1988.67</v>
      </c>
      <c r="K40" s="153" t="n">
        <v>-1988.67</v>
      </c>
      <c r="L40" s="153" t="n">
        <v>-1988.67</v>
      </c>
      <c r="M40" s="153" t="n">
        <v>-1988.67</v>
      </c>
      <c r="N40" s="153" t="n">
        <v>-1988.67</v>
      </c>
      <c r="O40" s="153" t="n">
        <v>-1988.67</v>
      </c>
      <c r="P40" s="153" t="n">
        <v>-1988.67</v>
      </c>
      <c r="Q40" s="153" t="n">
        <v>-1988.67</v>
      </c>
      <c r="R40" s="153" t="n">
        <v>-2028.4434</v>
      </c>
      <c r="S40" s="153" t="n">
        <v>-2028.4434</v>
      </c>
      <c r="T40" s="153" t="n">
        <v>-2028.4434</v>
      </c>
      <c r="U40" s="153" t="n">
        <v>-2028.4434</v>
      </c>
      <c r="V40" s="153" t="n">
        <v>-2028.4434</v>
      </c>
      <c r="W40" s="153" t="n">
        <v>-2028.4434</v>
      </c>
      <c r="X40" s="153" t="n">
        <v>-2028.4434</v>
      </c>
      <c r="Y40" s="153" t="n">
        <v>-2028.4434</v>
      </c>
      <c r="Z40" s="153" t="n">
        <v>-2028.4434</v>
      </c>
      <c r="AA40" s="153" t="n">
        <v>-2028.4434</v>
      </c>
      <c r="AB40" s="153" t="n">
        <v>-2028.4434</v>
      </c>
      <c r="AC40" s="153" t="n">
        <v>-2028.4434</v>
      </c>
      <c r="AD40" s="153" t="n">
        <v>-2069.012268</v>
      </c>
      <c r="AE40" s="153" t="n">
        <v>-2069.012268</v>
      </c>
      <c r="AF40" s="153" t="n">
        <v>-2069.012268</v>
      </c>
      <c r="AG40" s="153" t="n">
        <v>-2069.012268</v>
      </c>
      <c r="AH40" s="153" t="n">
        <v>-2069.012268</v>
      </c>
      <c r="AI40" s="153" t="n">
        <v>-2069.012268</v>
      </c>
      <c r="AJ40" s="153" t="n">
        <v>-2069.012268</v>
      </c>
      <c r="AK40" s="153" t="n">
        <v>-2069.012268</v>
      </c>
      <c r="AL40" s="153" t="n">
        <v>-2069.012268</v>
      </c>
      <c r="AM40" s="153" t="n">
        <v>-2069.012268</v>
      </c>
      <c r="AN40" s="153" t="n">
        <v>-2069.012268</v>
      </c>
      <c r="AO40" s="153" t="n">
        <v>-2069.012268</v>
      </c>
      <c r="AP40" s="153" t="n">
        <v>-2110.39251336</v>
      </c>
      <c r="AQ40" s="153" t="n">
        <v>-2110.39251336</v>
      </c>
      <c r="AR40" s="153" t="n">
        <v>-2110.39251336</v>
      </c>
      <c r="AS40" s="153" t="n">
        <v>-2110.39251336</v>
      </c>
      <c r="AT40" s="153" t="n">
        <v>-2110.39251336</v>
      </c>
      <c r="AU40" s="153" t="n">
        <v>-2110.39251336</v>
      </c>
      <c r="AV40" s="153" t="n">
        <v>-2110.39251336</v>
      </c>
      <c r="AW40" s="153" t="n">
        <v>-2110.39251336</v>
      </c>
      <c r="AX40" s="153" t="n">
        <v>-2110.39251336</v>
      </c>
      <c r="AY40" s="153" t="n">
        <v>-2110.39251336</v>
      </c>
      <c r="AZ40" s="153" t="n">
        <v>-2110.39251336</v>
      </c>
      <c r="BA40" s="153" t="n">
        <v>-2110.39251336</v>
      </c>
      <c r="BB40" s="153" t="n">
        <v>-2152.6003636272</v>
      </c>
      <c r="BC40" s="153" t="n">
        <v>-2152.6003636272</v>
      </c>
      <c r="BD40" s="153" t="n">
        <v>-2152.6003636272</v>
      </c>
      <c r="BE40" s="153" t="n">
        <v>-2152.6003636272</v>
      </c>
      <c r="BF40" s="153" t="n">
        <v>-2152.6003636272</v>
      </c>
      <c r="BG40" s="153" t="n">
        <v>-2152.6003636272</v>
      </c>
      <c r="BH40" s="153" t="n">
        <v>-2152.6003636272</v>
      </c>
      <c r="BI40" s="153" t="n">
        <v>-2152.6003636272</v>
      </c>
      <c r="BJ40" s="153" t="n">
        <v>-2152.6003636272</v>
      </c>
      <c r="BK40" s="153" t="n">
        <v>-2152.6003636272</v>
      </c>
      <c r="BL40" s="153" t="n">
        <v>-2152.6003636272</v>
      </c>
      <c r="BM40" s="153" t="n">
        <v>-2152.6003636272</v>
      </c>
      <c r="BN40" s="153" t="n">
        <v>-2195.65237089974</v>
      </c>
      <c r="BO40" s="153" t="n">
        <v>-2195.65237089974</v>
      </c>
      <c r="BP40" s="153" t="n">
        <v>-2195.65237089974</v>
      </c>
      <c r="BQ40" s="153" t="n">
        <v>-2195.65237089974</v>
      </c>
      <c r="BR40" s="153" t="n">
        <v>-2195.65237089974</v>
      </c>
      <c r="BS40" s="153" t="n">
        <v>-2195.65237089974</v>
      </c>
      <c r="BT40" s="153" t="n">
        <v>-2195.65237089974</v>
      </c>
      <c r="BU40" s="153" t="n">
        <v>-2195.65237089974</v>
      </c>
      <c r="BV40" s="153" t="n">
        <v>-2195.65237089974</v>
      </c>
      <c r="BW40" s="153" t="n">
        <v>-2195.65237089974</v>
      </c>
      <c r="BX40" s="153" t="n">
        <v>-2195.65237089974</v>
      </c>
      <c r="BY40" s="153" t="n">
        <v>-2195.65237089974</v>
      </c>
      <c r="BZ40" s="153" t="n">
        <v>-2239.56541831774</v>
      </c>
      <c r="CA40" s="153" t="n">
        <v>-2239.56541831774</v>
      </c>
      <c r="CB40" s="153" t="n">
        <v>-2239.56541831774</v>
      </c>
      <c r="CC40" s="153" t="n">
        <v>-2239.56541831774</v>
      </c>
      <c r="CD40" s="153" t="n">
        <v>-2239.56541831774</v>
      </c>
      <c r="CE40" s="153" t="n">
        <v>-2239.56541831774</v>
      </c>
      <c r="CF40" s="153" t="n">
        <v>-2239.56541831774</v>
      </c>
      <c r="CG40" s="153" t="n">
        <v>-2239.56541831774</v>
      </c>
      <c r="CH40" s="153" t="n">
        <v>-2239.56541831774</v>
      </c>
      <c r="CI40" s="153" t="n">
        <v>-2239.56541831774</v>
      </c>
      <c r="CJ40" s="153" t="n">
        <v>-2239.56541831774</v>
      </c>
      <c r="CK40" s="153" t="n">
        <v>-2239.56541831774</v>
      </c>
      <c r="CL40" s="153" t="n">
        <v>-2284.35672668409</v>
      </c>
      <c r="CM40" s="153" t="n">
        <v>-2284.35672668409</v>
      </c>
      <c r="CN40" s="153" t="n">
        <v>-2284.35672668409</v>
      </c>
      <c r="CO40" s="153" t="n">
        <v>-2284.35672668409</v>
      </c>
      <c r="CP40" s="153" t="n">
        <v>-2284.35672668409</v>
      </c>
      <c r="CQ40" s="153" t="n">
        <v>-2284.35672668409</v>
      </c>
      <c r="CR40" s="153" t="n">
        <v>-2284.35672668409</v>
      </c>
      <c r="CS40" s="153" t="n">
        <v>-2284.35672668409</v>
      </c>
      <c r="CT40" s="153" t="n">
        <v>-2284.35672668409</v>
      </c>
      <c r="CU40" s="153" t="n">
        <v>-2284.35672668409</v>
      </c>
      <c r="CV40" s="153" t="n">
        <v>-2284.35672668409</v>
      </c>
      <c r="CW40" s="153" t="n">
        <v>-2284.35672668409</v>
      </c>
      <c r="CX40" s="153" t="n">
        <v>-2330.04386121778</v>
      </c>
      <c r="CY40" s="153" t="n">
        <v>-2330.04386121778</v>
      </c>
      <c r="CZ40" s="153" t="n">
        <v>-2330.04386121778</v>
      </c>
      <c r="DA40" s="153" t="n">
        <v>-2330.04386121778</v>
      </c>
      <c r="DB40" s="153" t="n">
        <v>-2330.04386121778</v>
      </c>
      <c r="DC40" s="153" t="n">
        <v>-2330.04386121778</v>
      </c>
      <c r="DD40" s="153" t="n">
        <v>-2330.04386121778</v>
      </c>
      <c r="DE40" s="153" t="n">
        <v>-2330.04386121778</v>
      </c>
      <c r="DF40" s="153" t="n">
        <v>-2330.04386121778</v>
      </c>
    </row>
    <row r="41" customFormat="false" ht="15" hidden="false" customHeight="true" outlineLevel="0" collapsed="false">
      <c r="A41" s="127" t="s">
        <v>80</v>
      </c>
      <c r="C41" s="112" t="n">
        <v>0</v>
      </c>
      <c r="D41" s="112" t="n">
        <v>0</v>
      </c>
      <c r="E41" s="112" t="n">
        <v>-41990</v>
      </c>
      <c r="F41" s="153" t="n">
        <v>0</v>
      </c>
      <c r="G41" s="153" t="n">
        <v>-44250</v>
      </c>
      <c r="H41" s="153" t="n">
        <v>-45000</v>
      </c>
      <c r="I41" s="153" t="n">
        <v>-19500</v>
      </c>
      <c r="J41" s="153" t="n">
        <v>0</v>
      </c>
      <c r="K41" s="153" t="n">
        <v>0</v>
      </c>
      <c r="L41" s="153" t="n">
        <v>-37500</v>
      </c>
      <c r="M41" s="153" t="n">
        <v>-54000</v>
      </c>
      <c r="N41" s="153" t="n">
        <v>0</v>
      </c>
      <c r="O41" s="153" t="n">
        <v>0</v>
      </c>
      <c r="P41" s="153" t="n">
        <v>0</v>
      </c>
      <c r="Q41" s="153" t="n">
        <v>0</v>
      </c>
      <c r="R41" s="153" t="n">
        <v>-24000</v>
      </c>
      <c r="S41" s="153" t="n">
        <v>0</v>
      </c>
      <c r="T41" s="153" t="n">
        <v>0</v>
      </c>
      <c r="U41" s="153" t="n">
        <v>0</v>
      </c>
      <c r="V41" s="153" t="n">
        <v>0</v>
      </c>
      <c r="W41" s="153" t="n">
        <v>0</v>
      </c>
      <c r="X41" s="153" t="n">
        <v>0</v>
      </c>
      <c r="Y41" s="153" t="n">
        <v>0</v>
      </c>
      <c r="Z41" s="153" t="n">
        <v>0</v>
      </c>
      <c r="AA41" s="153" t="n">
        <v>0</v>
      </c>
      <c r="AB41" s="153" t="n">
        <v>0</v>
      </c>
      <c r="AC41" s="153" t="n">
        <v>0</v>
      </c>
      <c r="AD41" s="153" t="n">
        <v>0</v>
      </c>
      <c r="AE41" s="153" t="n">
        <v>0</v>
      </c>
      <c r="AF41" s="153" t="n">
        <v>0</v>
      </c>
      <c r="AG41" s="153" t="n">
        <v>0</v>
      </c>
      <c r="AH41" s="153" t="n">
        <v>0</v>
      </c>
      <c r="AI41" s="153" t="n">
        <v>0</v>
      </c>
      <c r="AJ41" s="153" t="n">
        <v>0</v>
      </c>
      <c r="AK41" s="153" t="n">
        <v>0</v>
      </c>
      <c r="AL41" s="153" t="n">
        <v>0</v>
      </c>
      <c r="AM41" s="153" t="n">
        <v>0</v>
      </c>
      <c r="AN41" s="153" t="n">
        <v>0</v>
      </c>
      <c r="AO41" s="153" t="n">
        <v>0</v>
      </c>
      <c r="AP41" s="153" t="n">
        <v>0</v>
      </c>
      <c r="AQ41" s="153" t="n">
        <v>0</v>
      </c>
      <c r="AR41" s="153" t="n">
        <v>0</v>
      </c>
      <c r="AS41" s="153" t="n">
        <v>0</v>
      </c>
      <c r="AT41" s="153" t="n">
        <v>0</v>
      </c>
      <c r="AU41" s="153" t="n">
        <v>0</v>
      </c>
      <c r="AV41" s="153" t="n">
        <v>0</v>
      </c>
      <c r="AW41" s="153" t="n">
        <v>0</v>
      </c>
      <c r="AX41" s="153" t="n">
        <v>0</v>
      </c>
      <c r="AY41" s="153" t="n">
        <v>0</v>
      </c>
      <c r="AZ41" s="153" t="n">
        <v>0</v>
      </c>
      <c r="BA41" s="153" t="n">
        <v>0</v>
      </c>
      <c r="BB41" s="153" t="n">
        <v>0</v>
      </c>
      <c r="BC41" s="153" t="n">
        <v>0</v>
      </c>
      <c r="BD41" s="153" t="n">
        <v>0</v>
      </c>
      <c r="BE41" s="153" t="n">
        <v>0</v>
      </c>
      <c r="BF41" s="153" t="n">
        <v>0</v>
      </c>
      <c r="BG41" s="153" t="n">
        <v>0</v>
      </c>
      <c r="BH41" s="153" t="n">
        <v>0</v>
      </c>
      <c r="BI41" s="153" t="n">
        <v>0</v>
      </c>
      <c r="BJ41" s="153" t="n">
        <v>0</v>
      </c>
      <c r="BK41" s="153" t="n">
        <v>0</v>
      </c>
      <c r="BL41" s="153" t="n">
        <v>0</v>
      </c>
      <c r="BM41" s="153" t="n">
        <v>0</v>
      </c>
      <c r="BN41" s="153" t="n">
        <v>0</v>
      </c>
      <c r="BO41" s="153" t="n">
        <v>0</v>
      </c>
      <c r="BP41" s="153" t="n">
        <v>0</v>
      </c>
      <c r="BQ41" s="153" t="n">
        <v>0</v>
      </c>
      <c r="BR41" s="153" t="n">
        <v>0</v>
      </c>
      <c r="BS41" s="153" t="n">
        <v>0</v>
      </c>
      <c r="BT41" s="153" t="n">
        <v>0</v>
      </c>
      <c r="BU41" s="153" t="n">
        <v>0</v>
      </c>
      <c r="BV41" s="153" t="n">
        <v>0</v>
      </c>
      <c r="BW41" s="153" t="n">
        <v>0</v>
      </c>
      <c r="BX41" s="153" t="n">
        <v>0</v>
      </c>
      <c r="BY41" s="153" t="n">
        <v>0</v>
      </c>
      <c r="BZ41" s="153" t="n">
        <v>0</v>
      </c>
      <c r="CA41" s="153" t="n">
        <v>0</v>
      </c>
      <c r="CB41" s="153" t="n">
        <v>0</v>
      </c>
      <c r="CC41" s="153" t="n">
        <v>0</v>
      </c>
      <c r="CD41" s="153" t="n">
        <v>0</v>
      </c>
      <c r="CE41" s="153" t="n">
        <v>0</v>
      </c>
      <c r="CF41" s="153" t="n">
        <v>0</v>
      </c>
      <c r="CG41" s="153" t="n">
        <v>0</v>
      </c>
      <c r="CH41" s="153" t="n">
        <v>0</v>
      </c>
      <c r="CI41" s="153" t="n">
        <v>0</v>
      </c>
      <c r="CJ41" s="153" t="n">
        <v>0</v>
      </c>
      <c r="CK41" s="153" t="n">
        <v>0</v>
      </c>
      <c r="CL41" s="153" t="n">
        <v>0</v>
      </c>
      <c r="CM41" s="153" t="n">
        <v>0</v>
      </c>
      <c r="CN41" s="153" t="n">
        <v>0</v>
      </c>
      <c r="CO41" s="153" t="n">
        <v>0</v>
      </c>
      <c r="CP41" s="153" t="n">
        <v>0</v>
      </c>
      <c r="CQ41" s="153" t="n">
        <v>0</v>
      </c>
      <c r="CR41" s="153" t="n">
        <v>0</v>
      </c>
      <c r="CS41" s="153" t="n">
        <v>0</v>
      </c>
      <c r="CT41" s="153" t="n">
        <v>0</v>
      </c>
      <c r="CU41" s="153" t="n">
        <v>0</v>
      </c>
      <c r="CV41" s="153" t="n">
        <v>0</v>
      </c>
      <c r="CW41" s="153" t="n">
        <v>0</v>
      </c>
      <c r="CX41" s="153" t="n">
        <v>0</v>
      </c>
      <c r="CY41" s="153" t="n">
        <v>0</v>
      </c>
      <c r="CZ41" s="153" t="n">
        <v>0</v>
      </c>
      <c r="DA41" s="153" t="n">
        <v>0</v>
      </c>
      <c r="DB41" s="153" t="n">
        <v>0</v>
      </c>
      <c r="DC41" s="153" t="n">
        <v>0</v>
      </c>
      <c r="DD41" s="153" t="n">
        <v>0</v>
      </c>
      <c r="DE41" s="153" t="n">
        <v>0</v>
      </c>
      <c r="DF41" s="153" t="n">
        <v>0</v>
      </c>
    </row>
    <row r="42" customFormat="false" ht="15" hidden="false" customHeight="true" outlineLevel="0" collapsed="false">
      <c r="A42" s="127" t="s">
        <v>81</v>
      </c>
      <c r="C42" s="112" t="n">
        <v>-165</v>
      </c>
      <c r="D42" s="112" t="n">
        <v>0</v>
      </c>
      <c r="E42" s="112" t="n">
        <v>0</v>
      </c>
      <c r="F42" s="153" t="n">
        <v>-55</v>
      </c>
      <c r="G42" s="153" t="n">
        <v>-55</v>
      </c>
      <c r="H42" s="153" t="n">
        <v>-55</v>
      </c>
      <c r="I42" s="153" t="n">
        <v>-55</v>
      </c>
      <c r="J42" s="153" t="n">
        <v>-55</v>
      </c>
      <c r="K42" s="153" t="n">
        <v>-55</v>
      </c>
      <c r="L42" s="153" t="n">
        <v>-55</v>
      </c>
      <c r="M42" s="153" t="n">
        <v>-55</v>
      </c>
      <c r="N42" s="153" t="n">
        <v>-55</v>
      </c>
      <c r="O42" s="153" t="n">
        <v>-55</v>
      </c>
      <c r="P42" s="153" t="n">
        <v>-55</v>
      </c>
      <c r="Q42" s="153" t="n">
        <v>-55</v>
      </c>
      <c r="R42" s="153" t="n">
        <v>-56.1</v>
      </c>
      <c r="S42" s="153" t="n">
        <v>-56.1</v>
      </c>
      <c r="T42" s="153" t="n">
        <v>-56.1</v>
      </c>
      <c r="U42" s="153" t="n">
        <v>-56.1</v>
      </c>
      <c r="V42" s="153" t="n">
        <v>-56.1</v>
      </c>
      <c r="W42" s="153" t="n">
        <v>-56.1</v>
      </c>
      <c r="X42" s="153" t="n">
        <v>-56.1</v>
      </c>
      <c r="Y42" s="153" t="n">
        <v>-56.1</v>
      </c>
      <c r="Z42" s="153" t="n">
        <v>-56.1</v>
      </c>
      <c r="AA42" s="153" t="n">
        <v>-56.1</v>
      </c>
      <c r="AB42" s="153" t="n">
        <v>-56.1</v>
      </c>
      <c r="AC42" s="153" t="n">
        <v>-56.1</v>
      </c>
      <c r="AD42" s="153" t="n">
        <v>-57.222</v>
      </c>
      <c r="AE42" s="153" t="n">
        <v>-57.222</v>
      </c>
      <c r="AF42" s="153" t="n">
        <v>-57.222</v>
      </c>
      <c r="AG42" s="153" t="n">
        <v>-57.222</v>
      </c>
      <c r="AH42" s="153" t="n">
        <v>-57.222</v>
      </c>
      <c r="AI42" s="153" t="n">
        <v>-57.222</v>
      </c>
      <c r="AJ42" s="153" t="n">
        <v>-57.222</v>
      </c>
      <c r="AK42" s="153" t="n">
        <v>-57.222</v>
      </c>
      <c r="AL42" s="153" t="n">
        <v>-57.222</v>
      </c>
      <c r="AM42" s="153" t="n">
        <v>-57.222</v>
      </c>
      <c r="AN42" s="153" t="n">
        <v>-57.222</v>
      </c>
      <c r="AO42" s="153" t="n">
        <v>-57.222</v>
      </c>
      <c r="AP42" s="153" t="n">
        <v>-58.36644</v>
      </c>
      <c r="AQ42" s="153" t="n">
        <v>-58.36644</v>
      </c>
      <c r="AR42" s="153" t="n">
        <v>-58.36644</v>
      </c>
      <c r="AS42" s="153" t="n">
        <v>-58.36644</v>
      </c>
      <c r="AT42" s="153" t="n">
        <v>-58.36644</v>
      </c>
      <c r="AU42" s="153" t="n">
        <v>-58.36644</v>
      </c>
      <c r="AV42" s="153" t="n">
        <v>-58.36644</v>
      </c>
      <c r="AW42" s="153" t="n">
        <v>-58.36644</v>
      </c>
      <c r="AX42" s="153" t="n">
        <v>-58.36644</v>
      </c>
      <c r="AY42" s="153" t="n">
        <v>-58.36644</v>
      </c>
      <c r="AZ42" s="153" t="n">
        <v>-58.36644</v>
      </c>
      <c r="BA42" s="153" t="n">
        <v>-58.36644</v>
      </c>
      <c r="BB42" s="153" t="n">
        <v>-59.5337688</v>
      </c>
      <c r="BC42" s="153" t="n">
        <v>-59.5337688</v>
      </c>
      <c r="BD42" s="153" t="n">
        <v>-59.5337688</v>
      </c>
      <c r="BE42" s="153" t="n">
        <v>-59.5337688</v>
      </c>
      <c r="BF42" s="153" t="n">
        <v>-59.5337688</v>
      </c>
      <c r="BG42" s="153" t="n">
        <v>-59.5337688</v>
      </c>
      <c r="BH42" s="153" t="n">
        <v>-59.5337688</v>
      </c>
      <c r="BI42" s="153" t="n">
        <v>-59.5337688</v>
      </c>
      <c r="BJ42" s="153" t="n">
        <v>-59.5337688</v>
      </c>
      <c r="BK42" s="153" t="n">
        <v>-59.5337688</v>
      </c>
      <c r="BL42" s="153" t="n">
        <v>-59.5337688</v>
      </c>
      <c r="BM42" s="153" t="n">
        <v>-59.5337688</v>
      </c>
      <c r="BN42" s="153" t="n">
        <v>-60.724444176</v>
      </c>
      <c r="BO42" s="153" t="n">
        <v>-60.724444176</v>
      </c>
      <c r="BP42" s="153" t="n">
        <v>-60.724444176</v>
      </c>
      <c r="BQ42" s="153" t="n">
        <v>-60.724444176</v>
      </c>
      <c r="BR42" s="153" t="n">
        <v>-60.724444176</v>
      </c>
      <c r="BS42" s="153" t="n">
        <v>-60.724444176</v>
      </c>
      <c r="BT42" s="153" t="n">
        <v>-60.724444176</v>
      </c>
      <c r="BU42" s="153" t="n">
        <v>-60.724444176</v>
      </c>
      <c r="BV42" s="153" t="n">
        <v>-60.724444176</v>
      </c>
      <c r="BW42" s="153" t="n">
        <v>-60.724444176</v>
      </c>
      <c r="BX42" s="153" t="n">
        <v>-60.724444176</v>
      </c>
      <c r="BY42" s="153" t="n">
        <v>-60.724444176</v>
      </c>
      <c r="BZ42" s="153" t="n">
        <v>-61.93893305952</v>
      </c>
      <c r="CA42" s="153" t="n">
        <v>-61.93893305952</v>
      </c>
      <c r="CB42" s="153" t="n">
        <v>-61.93893305952</v>
      </c>
      <c r="CC42" s="153" t="n">
        <v>-61.93893305952</v>
      </c>
      <c r="CD42" s="153" t="n">
        <v>-61.93893305952</v>
      </c>
      <c r="CE42" s="153" t="n">
        <v>-61.93893305952</v>
      </c>
      <c r="CF42" s="153" t="n">
        <v>-61.93893305952</v>
      </c>
      <c r="CG42" s="153" t="n">
        <v>-61.93893305952</v>
      </c>
      <c r="CH42" s="153" t="n">
        <v>-61.93893305952</v>
      </c>
      <c r="CI42" s="153" t="n">
        <v>-61.93893305952</v>
      </c>
      <c r="CJ42" s="153" t="n">
        <v>-61.93893305952</v>
      </c>
      <c r="CK42" s="153" t="n">
        <v>-61.93893305952</v>
      </c>
      <c r="CL42" s="153" t="n">
        <v>-63.1777117207104</v>
      </c>
      <c r="CM42" s="153" t="n">
        <v>-63.1777117207104</v>
      </c>
      <c r="CN42" s="153" t="n">
        <v>-63.1777117207104</v>
      </c>
      <c r="CO42" s="153" t="n">
        <v>-63.1777117207104</v>
      </c>
      <c r="CP42" s="153" t="n">
        <v>-63.1777117207104</v>
      </c>
      <c r="CQ42" s="153" t="n">
        <v>-63.1777117207104</v>
      </c>
      <c r="CR42" s="153" t="n">
        <v>-63.1777117207104</v>
      </c>
      <c r="CS42" s="153" t="n">
        <v>-63.1777117207104</v>
      </c>
      <c r="CT42" s="153" t="n">
        <v>-63.1777117207104</v>
      </c>
      <c r="CU42" s="153" t="n">
        <v>-63.1777117207104</v>
      </c>
      <c r="CV42" s="153" t="n">
        <v>-63.1777117207104</v>
      </c>
      <c r="CW42" s="153" t="n">
        <v>-63.1777117207104</v>
      </c>
      <c r="CX42" s="153" t="n">
        <v>-64.4412659551246</v>
      </c>
      <c r="CY42" s="153" t="n">
        <v>-64.4412659551246</v>
      </c>
      <c r="CZ42" s="153" t="n">
        <v>-64.4412659551246</v>
      </c>
      <c r="DA42" s="153" t="n">
        <v>-64.4412659551246</v>
      </c>
      <c r="DB42" s="153" t="n">
        <v>-64.4412659551246</v>
      </c>
      <c r="DC42" s="153" t="n">
        <v>-64.4412659551246</v>
      </c>
      <c r="DD42" s="153" t="n">
        <v>-64.4412659551246</v>
      </c>
      <c r="DE42" s="153" t="n">
        <v>-64.4412659551246</v>
      </c>
      <c r="DF42" s="153" t="n">
        <v>-64.4412659551246</v>
      </c>
    </row>
    <row r="43" customFormat="false" ht="15" hidden="false" customHeight="true" outlineLevel="0" collapsed="false">
      <c r="A43" s="127" t="s">
        <v>82</v>
      </c>
      <c r="C43" s="157" t="n">
        <v>0</v>
      </c>
      <c r="D43" s="157" t="n">
        <v>0</v>
      </c>
      <c r="E43" s="157" t="n">
        <v>0</v>
      </c>
      <c r="F43" s="153" t="n">
        <v>0</v>
      </c>
      <c r="G43" s="153" t="n">
        <v>0</v>
      </c>
      <c r="H43" s="153" t="n">
        <v>0</v>
      </c>
      <c r="I43" s="153" t="n">
        <v>0</v>
      </c>
      <c r="J43" s="153" t="n">
        <v>0</v>
      </c>
      <c r="K43" s="153" t="n">
        <v>0</v>
      </c>
      <c r="L43" s="153" t="n">
        <v>0</v>
      </c>
      <c r="M43" s="153" t="n">
        <v>0</v>
      </c>
      <c r="N43" s="153" t="n">
        <v>0</v>
      </c>
      <c r="O43" s="153" t="n">
        <v>0</v>
      </c>
      <c r="P43" s="153" t="n">
        <v>0</v>
      </c>
      <c r="Q43" s="153" t="n">
        <v>0</v>
      </c>
      <c r="R43" s="153" t="n">
        <v>0</v>
      </c>
      <c r="S43" s="153" t="n">
        <v>0</v>
      </c>
      <c r="T43" s="153" t="n">
        <v>0</v>
      </c>
      <c r="U43" s="153" t="n">
        <v>0</v>
      </c>
      <c r="V43" s="153" t="n">
        <v>0</v>
      </c>
      <c r="W43" s="153" t="n">
        <v>0</v>
      </c>
      <c r="X43" s="153" t="n">
        <v>0</v>
      </c>
      <c r="Y43" s="153" t="n">
        <v>0</v>
      </c>
      <c r="Z43" s="153" t="n">
        <v>0</v>
      </c>
      <c r="AA43" s="153" t="n">
        <v>0</v>
      </c>
      <c r="AB43" s="153" t="n">
        <v>0</v>
      </c>
      <c r="AC43" s="153" t="n">
        <v>0</v>
      </c>
      <c r="AD43" s="153" t="n">
        <v>0</v>
      </c>
      <c r="AE43" s="153" t="n">
        <v>0</v>
      </c>
      <c r="AF43" s="153" t="n">
        <v>0</v>
      </c>
      <c r="AG43" s="153" t="n">
        <v>0</v>
      </c>
      <c r="AH43" s="153" t="n">
        <v>0</v>
      </c>
      <c r="AI43" s="153" t="n">
        <v>0</v>
      </c>
      <c r="AJ43" s="153" t="n">
        <v>0</v>
      </c>
      <c r="AK43" s="153" t="n">
        <v>0</v>
      </c>
      <c r="AL43" s="153" t="n">
        <v>0</v>
      </c>
      <c r="AM43" s="153" t="n">
        <v>0</v>
      </c>
      <c r="AN43" s="153" t="n">
        <v>0</v>
      </c>
      <c r="AO43" s="153" t="n">
        <v>0</v>
      </c>
      <c r="AP43" s="153" t="n">
        <v>0</v>
      </c>
      <c r="AQ43" s="153" t="n">
        <v>0</v>
      </c>
      <c r="AR43" s="153" t="n">
        <v>0</v>
      </c>
      <c r="AS43" s="153" t="n">
        <v>0</v>
      </c>
      <c r="AT43" s="153" t="n">
        <v>0</v>
      </c>
      <c r="AU43" s="153" t="n">
        <v>0</v>
      </c>
      <c r="AV43" s="153" t="n">
        <v>0</v>
      </c>
      <c r="AW43" s="153" t="n">
        <v>0</v>
      </c>
      <c r="AX43" s="153" t="n">
        <v>0</v>
      </c>
      <c r="AY43" s="153" t="n">
        <v>0</v>
      </c>
      <c r="AZ43" s="153" t="n">
        <v>0</v>
      </c>
      <c r="BA43" s="153" t="n">
        <v>0</v>
      </c>
      <c r="BB43" s="153" t="n">
        <v>0</v>
      </c>
      <c r="BC43" s="153" t="n">
        <v>0</v>
      </c>
      <c r="BD43" s="153" t="n">
        <v>0</v>
      </c>
      <c r="BE43" s="153" t="n">
        <v>0</v>
      </c>
      <c r="BF43" s="153" t="n">
        <v>0</v>
      </c>
      <c r="BG43" s="153" t="n">
        <v>0</v>
      </c>
      <c r="BH43" s="153" t="n">
        <v>0</v>
      </c>
      <c r="BI43" s="153" t="n">
        <v>0</v>
      </c>
      <c r="BJ43" s="153" t="n">
        <v>0</v>
      </c>
      <c r="BK43" s="153" t="n">
        <v>0</v>
      </c>
      <c r="BL43" s="153" t="n">
        <v>0</v>
      </c>
      <c r="BM43" s="153" t="n">
        <v>0</v>
      </c>
      <c r="BN43" s="153" t="n">
        <v>0</v>
      </c>
      <c r="BO43" s="153" t="n">
        <v>0</v>
      </c>
      <c r="BP43" s="153" t="n">
        <v>0</v>
      </c>
      <c r="BQ43" s="153" t="n">
        <v>0</v>
      </c>
      <c r="BR43" s="153" t="n">
        <v>0</v>
      </c>
      <c r="BS43" s="153" t="n">
        <v>0</v>
      </c>
      <c r="BT43" s="153" t="n">
        <v>0</v>
      </c>
      <c r="BU43" s="153" t="n">
        <v>0</v>
      </c>
      <c r="BV43" s="153" t="n">
        <v>0</v>
      </c>
      <c r="BW43" s="153" t="n">
        <v>0</v>
      </c>
      <c r="BX43" s="153" t="n">
        <v>0</v>
      </c>
      <c r="BY43" s="153" t="n">
        <v>0</v>
      </c>
      <c r="BZ43" s="153" t="n">
        <v>0</v>
      </c>
      <c r="CA43" s="153" t="n">
        <v>0</v>
      </c>
      <c r="CB43" s="153" t="n">
        <v>0</v>
      </c>
      <c r="CC43" s="153" t="n">
        <v>0</v>
      </c>
      <c r="CD43" s="153" t="n">
        <v>0</v>
      </c>
      <c r="CE43" s="153" t="n">
        <v>0</v>
      </c>
      <c r="CF43" s="153" t="n">
        <v>0</v>
      </c>
      <c r="CG43" s="153" t="n">
        <v>0</v>
      </c>
      <c r="CH43" s="153" t="n">
        <v>0</v>
      </c>
      <c r="CI43" s="153" t="n">
        <v>0</v>
      </c>
      <c r="CJ43" s="153" t="n">
        <v>0</v>
      </c>
      <c r="CK43" s="153" t="n">
        <v>0</v>
      </c>
      <c r="CL43" s="153" t="n">
        <v>0</v>
      </c>
      <c r="CM43" s="153" t="n">
        <v>0</v>
      </c>
      <c r="CN43" s="153" t="n">
        <v>0</v>
      </c>
      <c r="CO43" s="153" t="n">
        <v>0</v>
      </c>
      <c r="CP43" s="153" t="n">
        <v>0</v>
      </c>
      <c r="CQ43" s="153" t="n">
        <v>0</v>
      </c>
      <c r="CR43" s="153" t="n">
        <v>0</v>
      </c>
      <c r="CS43" s="153" t="n">
        <v>0</v>
      </c>
      <c r="CT43" s="153" t="n">
        <v>0</v>
      </c>
      <c r="CU43" s="153" t="n">
        <v>0</v>
      </c>
      <c r="CV43" s="153" t="n">
        <v>0</v>
      </c>
      <c r="CW43" s="153" t="n">
        <v>0</v>
      </c>
      <c r="CX43" s="153" t="n">
        <v>0</v>
      </c>
      <c r="CY43" s="153" t="n">
        <v>0</v>
      </c>
      <c r="CZ43" s="153" t="n">
        <v>0</v>
      </c>
      <c r="DA43" s="153" t="n">
        <v>0</v>
      </c>
      <c r="DB43" s="153" t="n">
        <v>0</v>
      </c>
      <c r="DC43" s="153" t="n">
        <v>0</v>
      </c>
      <c r="DD43" s="153" t="n">
        <v>0</v>
      </c>
      <c r="DE43" s="153" t="n">
        <v>0</v>
      </c>
      <c r="DF43" s="153" t="n">
        <v>0</v>
      </c>
    </row>
    <row r="44" customFormat="false" ht="15" hidden="false" customHeight="true" outlineLevel="0" collapsed="false">
      <c r="A44" s="127" t="s">
        <v>83</v>
      </c>
      <c r="C44" s="112" t="n">
        <v>-550</v>
      </c>
      <c r="D44" s="112" t="n">
        <v>-550</v>
      </c>
      <c r="E44" s="112" t="n">
        <v>-550</v>
      </c>
      <c r="F44" s="153" t="n">
        <v>-550</v>
      </c>
      <c r="G44" s="153" t="n">
        <v>-550</v>
      </c>
      <c r="H44" s="153" t="n">
        <v>-550</v>
      </c>
      <c r="I44" s="153" t="n">
        <v>-550</v>
      </c>
      <c r="J44" s="153" t="n">
        <v>-550</v>
      </c>
      <c r="K44" s="153" t="n">
        <v>-550</v>
      </c>
      <c r="L44" s="153" t="n">
        <v>-550</v>
      </c>
      <c r="M44" s="153" t="n">
        <v>-550</v>
      </c>
      <c r="N44" s="153" t="n">
        <v>-550</v>
      </c>
      <c r="O44" s="153" t="n">
        <v>-550</v>
      </c>
      <c r="P44" s="153" t="n">
        <v>-550</v>
      </c>
      <c r="Q44" s="153" t="n">
        <v>-550</v>
      </c>
      <c r="R44" s="153" t="n">
        <v>-561</v>
      </c>
      <c r="S44" s="153" t="n">
        <v>-561</v>
      </c>
      <c r="T44" s="153" t="n">
        <v>-561</v>
      </c>
      <c r="U44" s="153" t="n">
        <v>-561</v>
      </c>
      <c r="V44" s="153" t="n">
        <v>-561</v>
      </c>
      <c r="W44" s="153" t="n">
        <v>-561</v>
      </c>
      <c r="X44" s="153" t="n">
        <v>-561</v>
      </c>
      <c r="Y44" s="153" t="n">
        <v>-561</v>
      </c>
      <c r="Z44" s="153" t="n">
        <v>-561</v>
      </c>
      <c r="AA44" s="153" t="n">
        <v>-561</v>
      </c>
      <c r="AB44" s="153" t="n">
        <v>-561</v>
      </c>
      <c r="AC44" s="153" t="n">
        <v>-561</v>
      </c>
      <c r="AD44" s="153" t="n">
        <v>-572.22</v>
      </c>
      <c r="AE44" s="153" t="n">
        <v>-572.22</v>
      </c>
      <c r="AF44" s="153" t="n">
        <v>-572.22</v>
      </c>
      <c r="AG44" s="153" t="n">
        <v>-572.22</v>
      </c>
      <c r="AH44" s="153" t="n">
        <v>-572.22</v>
      </c>
      <c r="AI44" s="153" t="n">
        <v>-572.22</v>
      </c>
      <c r="AJ44" s="153" t="n">
        <v>-572.22</v>
      </c>
      <c r="AK44" s="153" t="n">
        <v>-572.22</v>
      </c>
      <c r="AL44" s="153" t="n">
        <v>-572.22</v>
      </c>
      <c r="AM44" s="153" t="n">
        <v>-572.22</v>
      </c>
      <c r="AN44" s="153" t="n">
        <v>-572.22</v>
      </c>
      <c r="AO44" s="153" t="n">
        <v>-572.22</v>
      </c>
      <c r="AP44" s="153" t="n">
        <v>-583.6644</v>
      </c>
      <c r="AQ44" s="153" t="n">
        <v>-583.6644</v>
      </c>
      <c r="AR44" s="153" t="n">
        <v>-583.6644</v>
      </c>
      <c r="AS44" s="153" t="n">
        <v>-583.6644</v>
      </c>
      <c r="AT44" s="153" t="n">
        <v>-583.6644</v>
      </c>
      <c r="AU44" s="153" t="n">
        <v>-583.6644</v>
      </c>
      <c r="AV44" s="153" t="n">
        <v>-583.6644</v>
      </c>
      <c r="AW44" s="153" t="n">
        <v>-583.6644</v>
      </c>
      <c r="AX44" s="153" t="n">
        <v>-583.6644</v>
      </c>
      <c r="AY44" s="153" t="n">
        <v>-583.6644</v>
      </c>
      <c r="AZ44" s="153" t="n">
        <v>-583.6644</v>
      </c>
      <c r="BA44" s="153" t="n">
        <v>-583.6644</v>
      </c>
      <c r="BB44" s="153" t="n">
        <v>-595.337688</v>
      </c>
      <c r="BC44" s="153" t="n">
        <v>-595.337688</v>
      </c>
      <c r="BD44" s="153" t="n">
        <v>-595.337688</v>
      </c>
      <c r="BE44" s="153" t="n">
        <v>-595.337688</v>
      </c>
      <c r="BF44" s="153" t="n">
        <v>-595.337688</v>
      </c>
      <c r="BG44" s="153" t="n">
        <v>-595.337688</v>
      </c>
      <c r="BH44" s="153" t="n">
        <v>-595.337688</v>
      </c>
      <c r="BI44" s="153" t="n">
        <v>-595.337688</v>
      </c>
      <c r="BJ44" s="153" t="n">
        <v>-595.337688</v>
      </c>
      <c r="BK44" s="153" t="n">
        <v>-595.337688</v>
      </c>
      <c r="BL44" s="153" t="n">
        <v>-595.337688</v>
      </c>
      <c r="BM44" s="153" t="n">
        <v>-595.337688</v>
      </c>
      <c r="BN44" s="153" t="n">
        <v>-607.24444176</v>
      </c>
      <c r="BO44" s="153" t="n">
        <v>-607.24444176</v>
      </c>
      <c r="BP44" s="153" t="n">
        <v>-607.24444176</v>
      </c>
      <c r="BQ44" s="153" t="n">
        <v>-607.24444176</v>
      </c>
      <c r="BR44" s="153" t="n">
        <v>-607.24444176</v>
      </c>
      <c r="BS44" s="153" t="n">
        <v>-607.24444176</v>
      </c>
      <c r="BT44" s="153" t="n">
        <v>-607.24444176</v>
      </c>
      <c r="BU44" s="153" t="n">
        <v>-607.24444176</v>
      </c>
      <c r="BV44" s="153" t="n">
        <v>-607.24444176</v>
      </c>
      <c r="BW44" s="153" t="n">
        <v>-607.24444176</v>
      </c>
      <c r="BX44" s="153" t="n">
        <v>-607.24444176</v>
      </c>
      <c r="BY44" s="153" t="n">
        <v>-607.24444176</v>
      </c>
      <c r="BZ44" s="153" t="n">
        <v>-619.3893305952</v>
      </c>
      <c r="CA44" s="153" t="n">
        <v>-619.3893305952</v>
      </c>
      <c r="CB44" s="153" t="n">
        <v>-619.3893305952</v>
      </c>
      <c r="CC44" s="153" t="n">
        <v>-619.3893305952</v>
      </c>
      <c r="CD44" s="153" t="n">
        <v>-619.3893305952</v>
      </c>
      <c r="CE44" s="153" t="n">
        <v>-619.3893305952</v>
      </c>
      <c r="CF44" s="153" t="n">
        <v>-619.3893305952</v>
      </c>
      <c r="CG44" s="153" t="n">
        <v>-619.3893305952</v>
      </c>
      <c r="CH44" s="153" t="n">
        <v>-619.3893305952</v>
      </c>
      <c r="CI44" s="153" t="n">
        <v>-619.3893305952</v>
      </c>
      <c r="CJ44" s="153" t="n">
        <v>-619.3893305952</v>
      </c>
      <c r="CK44" s="153" t="n">
        <v>-619.3893305952</v>
      </c>
      <c r="CL44" s="153" t="n">
        <v>-631.777117207104</v>
      </c>
      <c r="CM44" s="153" t="n">
        <v>-631.777117207104</v>
      </c>
      <c r="CN44" s="153" t="n">
        <v>-631.777117207104</v>
      </c>
      <c r="CO44" s="153" t="n">
        <v>-631.777117207104</v>
      </c>
      <c r="CP44" s="153" t="n">
        <v>-631.777117207104</v>
      </c>
      <c r="CQ44" s="153" t="n">
        <v>-631.777117207104</v>
      </c>
      <c r="CR44" s="153" t="n">
        <v>-631.777117207104</v>
      </c>
      <c r="CS44" s="153" t="n">
        <v>-631.777117207104</v>
      </c>
      <c r="CT44" s="153" t="n">
        <v>-631.777117207104</v>
      </c>
      <c r="CU44" s="153" t="n">
        <v>-631.777117207104</v>
      </c>
      <c r="CV44" s="153" t="n">
        <v>-631.777117207104</v>
      </c>
      <c r="CW44" s="153" t="n">
        <v>-631.777117207104</v>
      </c>
      <c r="CX44" s="153" t="n">
        <v>-644.412659551246</v>
      </c>
      <c r="CY44" s="153" t="n">
        <v>-644.412659551246</v>
      </c>
      <c r="CZ44" s="153" t="n">
        <v>-644.412659551246</v>
      </c>
      <c r="DA44" s="153" t="n">
        <v>-644.412659551246</v>
      </c>
      <c r="DB44" s="153" t="n">
        <v>-644.412659551246</v>
      </c>
      <c r="DC44" s="153" t="n">
        <v>-644.412659551246</v>
      </c>
      <c r="DD44" s="153" t="n">
        <v>-644.412659551246</v>
      </c>
      <c r="DE44" s="153" t="n">
        <v>-644.412659551246</v>
      </c>
      <c r="DF44" s="153" t="n">
        <v>-644.412659551246</v>
      </c>
    </row>
    <row r="45" customFormat="false" ht="15" hidden="false" customHeight="true" outlineLevel="0" collapsed="false">
      <c r="A45" s="107" t="s">
        <v>84</v>
      </c>
      <c r="C45" s="154" t="n">
        <v>-19223.75</v>
      </c>
      <c r="D45" s="154" t="n">
        <v>-13381.97</v>
      </c>
      <c r="E45" s="154" t="n">
        <v>-20308.69</v>
      </c>
      <c r="F45" s="154" t="n">
        <v>-17638.14</v>
      </c>
      <c r="G45" s="154" t="n">
        <v>-17638.14</v>
      </c>
      <c r="H45" s="154" t="n">
        <v>-17638.14</v>
      </c>
      <c r="I45" s="154" t="n">
        <v>-17638.14</v>
      </c>
      <c r="J45" s="154" t="n">
        <v>-17638.14</v>
      </c>
      <c r="K45" s="154" t="n">
        <v>-17638.14</v>
      </c>
      <c r="L45" s="154" t="n">
        <v>-17638.14</v>
      </c>
      <c r="M45" s="154" t="n">
        <v>-17638.14</v>
      </c>
      <c r="N45" s="154" t="n">
        <v>-17638.14</v>
      </c>
      <c r="O45" s="154" t="n">
        <v>-17638.14</v>
      </c>
      <c r="P45" s="154" t="n">
        <v>-17638.14</v>
      </c>
      <c r="Q45" s="154" t="n">
        <v>-17638.14</v>
      </c>
      <c r="R45" s="154" t="n">
        <v>-17990.9028</v>
      </c>
      <c r="S45" s="154" t="n">
        <v>-17990.9028</v>
      </c>
      <c r="T45" s="154" t="n">
        <v>-17990.9028</v>
      </c>
      <c r="U45" s="154" t="n">
        <v>-17990.9028</v>
      </c>
      <c r="V45" s="154" t="n">
        <v>-17990.9028</v>
      </c>
      <c r="W45" s="154" t="n">
        <v>-17990.9028</v>
      </c>
      <c r="X45" s="154" t="n">
        <v>-17990.9028</v>
      </c>
      <c r="Y45" s="154" t="n">
        <v>-17990.9028</v>
      </c>
      <c r="Z45" s="154" t="n">
        <v>-17990.9028</v>
      </c>
      <c r="AA45" s="154" t="n">
        <v>-17990.9028</v>
      </c>
      <c r="AB45" s="154" t="n">
        <v>-17990.9028</v>
      </c>
      <c r="AC45" s="154" t="n">
        <v>-17990.9028</v>
      </c>
      <c r="AD45" s="154" t="n">
        <v>-18350.720856</v>
      </c>
      <c r="AE45" s="154" t="n">
        <v>-18350.720856</v>
      </c>
      <c r="AF45" s="154" t="n">
        <v>-18350.720856</v>
      </c>
      <c r="AG45" s="154" t="n">
        <v>-18350.720856</v>
      </c>
      <c r="AH45" s="154" t="n">
        <v>-18350.720856</v>
      </c>
      <c r="AI45" s="154" t="n">
        <v>-18350.720856</v>
      </c>
      <c r="AJ45" s="154" t="n">
        <v>-18350.720856</v>
      </c>
      <c r="AK45" s="154" t="n">
        <v>-18350.720856</v>
      </c>
      <c r="AL45" s="154" t="n">
        <v>-18350.720856</v>
      </c>
      <c r="AM45" s="154" t="n">
        <v>-18350.720856</v>
      </c>
      <c r="AN45" s="154" t="n">
        <v>-18350.720856</v>
      </c>
      <c r="AO45" s="154" t="n">
        <v>-18350.720856</v>
      </c>
      <c r="AP45" s="154" t="n">
        <v>-18717.73527312</v>
      </c>
      <c r="AQ45" s="154" t="n">
        <v>-18717.73527312</v>
      </c>
      <c r="AR45" s="154" t="n">
        <v>-18717.73527312</v>
      </c>
      <c r="AS45" s="154" t="n">
        <v>-18717.73527312</v>
      </c>
      <c r="AT45" s="154" t="n">
        <v>-18717.73527312</v>
      </c>
      <c r="AU45" s="154" t="n">
        <v>-18717.73527312</v>
      </c>
      <c r="AV45" s="154" t="n">
        <v>-18717.73527312</v>
      </c>
      <c r="AW45" s="154" t="n">
        <v>-18717.73527312</v>
      </c>
      <c r="AX45" s="154" t="n">
        <v>-18717.73527312</v>
      </c>
      <c r="AY45" s="154" t="n">
        <v>-18717.73527312</v>
      </c>
      <c r="AZ45" s="154" t="n">
        <v>-18717.73527312</v>
      </c>
      <c r="BA45" s="154" t="n">
        <v>-18717.73527312</v>
      </c>
      <c r="BB45" s="154" t="n">
        <v>-19092.0899785824</v>
      </c>
      <c r="BC45" s="154" t="n">
        <v>-19092.0899785824</v>
      </c>
      <c r="BD45" s="154" t="n">
        <v>-19092.0899785824</v>
      </c>
      <c r="BE45" s="154" t="n">
        <v>-19092.0899785824</v>
      </c>
      <c r="BF45" s="154" t="n">
        <v>-19092.0899785824</v>
      </c>
      <c r="BG45" s="154" t="n">
        <v>-19092.0899785824</v>
      </c>
      <c r="BH45" s="154" t="n">
        <v>-19092.0899785824</v>
      </c>
      <c r="BI45" s="154" t="n">
        <v>-19092.0899785824</v>
      </c>
      <c r="BJ45" s="154" t="n">
        <v>-19092.0899785824</v>
      </c>
      <c r="BK45" s="154" t="n">
        <v>-19092.0899785824</v>
      </c>
      <c r="BL45" s="154" t="n">
        <v>-19092.0899785824</v>
      </c>
      <c r="BM45" s="154" t="n">
        <v>-19092.0899785824</v>
      </c>
      <c r="BN45" s="154" t="n">
        <v>-19473.9317781541</v>
      </c>
      <c r="BO45" s="154" t="n">
        <v>-19473.9317781541</v>
      </c>
      <c r="BP45" s="154" t="n">
        <v>-19473.9317781541</v>
      </c>
      <c r="BQ45" s="154" t="n">
        <v>-19473.9317781541</v>
      </c>
      <c r="BR45" s="154" t="n">
        <v>-19473.9317781541</v>
      </c>
      <c r="BS45" s="154" t="n">
        <v>-19473.9317781541</v>
      </c>
      <c r="BT45" s="154" t="n">
        <v>-19473.9317781541</v>
      </c>
      <c r="BU45" s="154" t="n">
        <v>-19473.9317781541</v>
      </c>
      <c r="BV45" s="154" t="n">
        <v>-19473.9317781541</v>
      </c>
      <c r="BW45" s="154" t="n">
        <v>-19473.9317781541</v>
      </c>
      <c r="BX45" s="154" t="n">
        <v>-19473.9317781541</v>
      </c>
      <c r="BY45" s="154" t="n">
        <v>-19473.9317781541</v>
      </c>
      <c r="BZ45" s="154" t="n">
        <v>-19863.4104137171</v>
      </c>
      <c r="CA45" s="154" t="n">
        <v>-19863.4104137171</v>
      </c>
      <c r="CB45" s="154" t="n">
        <v>-19863.4104137171</v>
      </c>
      <c r="CC45" s="154" t="n">
        <v>-19863.4104137171</v>
      </c>
      <c r="CD45" s="154" t="n">
        <v>-19863.4104137171</v>
      </c>
      <c r="CE45" s="154" t="n">
        <v>-19863.4104137171</v>
      </c>
      <c r="CF45" s="154" t="n">
        <v>-19863.4104137171</v>
      </c>
      <c r="CG45" s="154" t="n">
        <v>-19863.4104137171</v>
      </c>
      <c r="CH45" s="154" t="n">
        <v>-19863.4104137171</v>
      </c>
      <c r="CI45" s="154" t="n">
        <v>-19863.4104137171</v>
      </c>
      <c r="CJ45" s="154" t="n">
        <v>-19863.4104137171</v>
      </c>
      <c r="CK45" s="154" t="n">
        <v>-19863.4104137171</v>
      </c>
      <c r="CL45" s="154" t="n">
        <v>-20260.6786219915</v>
      </c>
      <c r="CM45" s="154" t="n">
        <v>-20260.6786219915</v>
      </c>
      <c r="CN45" s="154" t="n">
        <v>-20260.6786219915</v>
      </c>
      <c r="CO45" s="154" t="n">
        <v>-20260.6786219915</v>
      </c>
      <c r="CP45" s="154" t="n">
        <v>-20260.6786219915</v>
      </c>
      <c r="CQ45" s="154" t="n">
        <v>-20260.6786219915</v>
      </c>
      <c r="CR45" s="154" t="n">
        <v>-20260.6786219915</v>
      </c>
      <c r="CS45" s="154" t="n">
        <v>-20260.6786219915</v>
      </c>
      <c r="CT45" s="154" t="n">
        <v>-20260.6786219915</v>
      </c>
      <c r="CU45" s="154" t="n">
        <v>-20260.6786219915</v>
      </c>
      <c r="CV45" s="154" t="n">
        <v>-20260.6786219915</v>
      </c>
      <c r="CW45" s="154" t="n">
        <v>-20260.6786219915</v>
      </c>
      <c r="CX45" s="154" t="n">
        <v>-20665.8921944313</v>
      </c>
      <c r="CY45" s="154" t="n">
        <v>-20665.8921944313</v>
      </c>
      <c r="CZ45" s="154" t="n">
        <v>-20665.8921944313</v>
      </c>
      <c r="DA45" s="154" t="n">
        <v>-20665.8921944313</v>
      </c>
      <c r="DB45" s="154" t="n">
        <v>-20665.8921944313</v>
      </c>
      <c r="DC45" s="154" t="n">
        <v>-20665.8921944313</v>
      </c>
      <c r="DD45" s="154" t="n">
        <v>-20665.8921944313</v>
      </c>
      <c r="DE45" s="154" t="n">
        <v>-20665.8921944313</v>
      </c>
      <c r="DF45" s="154" t="n">
        <v>-20665.8921944313</v>
      </c>
    </row>
    <row r="46" customFormat="false" ht="15" hidden="false" customHeight="true" outlineLevel="0" collapsed="false">
      <c r="A46" s="107" t="s">
        <v>85</v>
      </c>
      <c r="C46" s="154" t="n">
        <v>-1909.98</v>
      </c>
      <c r="D46" s="154" t="n">
        <v>-190.1</v>
      </c>
      <c r="E46" s="154" t="n">
        <v>-2166.92</v>
      </c>
      <c r="F46" s="154" t="n">
        <v>-1422.33</v>
      </c>
      <c r="G46" s="154" t="n">
        <v>-1422.33</v>
      </c>
      <c r="H46" s="154" t="n">
        <v>-1422.33</v>
      </c>
      <c r="I46" s="154" t="n">
        <v>-1422.33</v>
      </c>
      <c r="J46" s="154" t="n">
        <v>-1422.33</v>
      </c>
      <c r="K46" s="154" t="n">
        <v>-1422.33</v>
      </c>
      <c r="L46" s="154" t="n">
        <v>-1422.33</v>
      </c>
      <c r="M46" s="154" t="n">
        <v>-1422.33</v>
      </c>
      <c r="N46" s="154" t="n">
        <v>-1422.33</v>
      </c>
      <c r="O46" s="154" t="n">
        <v>-1422.33</v>
      </c>
      <c r="P46" s="154" t="n">
        <v>-1422.33</v>
      </c>
      <c r="Q46" s="154" t="n">
        <v>-1422.33</v>
      </c>
      <c r="R46" s="154" t="n">
        <v>-1450.7766</v>
      </c>
      <c r="S46" s="154" t="n">
        <v>-1450.7766</v>
      </c>
      <c r="T46" s="154" t="n">
        <v>-1450.7766</v>
      </c>
      <c r="U46" s="154" t="n">
        <v>-1450.7766</v>
      </c>
      <c r="V46" s="154" t="n">
        <v>-1450.7766</v>
      </c>
      <c r="W46" s="154" t="n">
        <v>-1450.7766</v>
      </c>
      <c r="X46" s="154" t="n">
        <v>-1450.7766</v>
      </c>
      <c r="Y46" s="154" t="n">
        <v>-1450.7766</v>
      </c>
      <c r="Z46" s="154" t="n">
        <v>-1450.7766</v>
      </c>
      <c r="AA46" s="154" t="n">
        <v>-1450.7766</v>
      </c>
      <c r="AB46" s="154" t="n">
        <v>-1450.7766</v>
      </c>
      <c r="AC46" s="154" t="n">
        <v>-1450.7766</v>
      </c>
      <c r="AD46" s="154" t="n">
        <v>-1479.792132</v>
      </c>
      <c r="AE46" s="154" t="n">
        <v>-1479.792132</v>
      </c>
      <c r="AF46" s="154" t="n">
        <v>-1479.792132</v>
      </c>
      <c r="AG46" s="154" t="n">
        <v>-1479.792132</v>
      </c>
      <c r="AH46" s="154" t="n">
        <v>-1479.792132</v>
      </c>
      <c r="AI46" s="154" t="n">
        <v>-1479.792132</v>
      </c>
      <c r="AJ46" s="154" t="n">
        <v>-1479.792132</v>
      </c>
      <c r="AK46" s="154" t="n">
        <v>-1479.792132</v>
      </c>
      <c r="AL46" s="154" t="n">
        <v>-1479.792132</v>
      </c>
      <c r="AM46" s="154" t="n">
        <v>-1479.792132</v>
      </c>
      <c r="AN46" s="154" t="n">
        <v>-1479.792132</v>
      </c>
      <c r="AO46" s="154" t="n">
        <v>-1479.792132</v>
      </c>
      <c r="AP46" s="154" t="n">
        <v>-1509.38797464</v>
      </c>
      <c r="AQ46" s="154" t="n">
        <v>-1509.38797464</v>
      </c>
      <c r="AR46" s="154" t="n">
        <v>-1509.38797464</v>
      </c>
      <c r="AS46" s="154" t="n">
        <v>-1509.38797464</v>
      </c>
      <c r="AT46" s="154" t="n">
        <v>-1509.38797464</v>
      </c>
      <c r="AU46" s="154" t="n">
        <v>-1509.38797464</v>
      </c>
      <c r="AV46" s="154" t="n">
        <v>-1509.38797464</v>
      </c>
      <c r="AW46" s="154" t="n">
        <v>-1509.38797464</v>
      </c>
      <c r="AX46" s="154" t="n">
        <v>-1509.38797464</v>
      </c>
      <c r="AY46" s="154" t="n">
        <v>-1509.38797464</v>
      </c>
      <c r="AZ46" s="154" t="n">
        <v>-1509.38797464</v>
      </c>
      <c r="BA46" s="154" t="n">
        <v>-1509.38797464</v>
      </c>
      <c r="BB46" s="154" t="n">
        <v>-1539.5757341328</v>
      </c>
      <c r="BC46" s="154" t="n">
        <v>-1539.5757341328</v>
      </c>
      <c r="BD46" s="154" t="n">
        <v>-1539.5757341328</v>
      </c>
      <c r="BE46" s="154" t="n">
        <v>-1539.5757341328</v>
      </c>
      <c r="BF46" s="154" t="n">
        <v>-1539.5757341328</v>
      </c>
      <c r="BG46" s="154" t="n">
        <v>-1539.5757341328</v>
      </c>
      <c r="BH46" s="154" t="n">
        <v>-1539.5757341328</v>
      </c>
      <c r="BI46" s="154" t="n">
        <v>-1539.5757341328</v>
      </c>
      <c r="BJ46" s="154" t="n">
        <v>-1539.5757341328</v>
      </c>
      <c r="BK46" s="154" t="n">
        <v>-1539.5757341328</v>
      </c>
      <c r="BL46" s="154" t="n">
        <v>-1539.5757341328</v>
      </c>
      <c r="BM46" s="154" t="n">
        <v>-1539.5757341328</v>
      </c>
      <c r="BN46" s="154" t="n">
        <v>-1570.36724881546</v>
      </c>
      <c r="BO46" s="154" t="n">
        <v>-1570.36724881546</v>
      </c>
      <c r="BP46" s="154" t="n">
        <v>-1570.36724881546</v>
      </c>
      <c r="BQ46" s="154" t="n">
        <v>-1570.36724881546</v>
      </c>
      <c r="BR46" s="154" t="n">
        <v>-1570.36724881546</v>
      </c>
      <c r="BS46" s="154" t="n">
        <v>-1570.36724881546</v>
      </c>
      <c r="BT46" s="154" t="n">
        <v>-1570.36724881546</v>
      </c>
      <c r="BU46" s="154" t="n">
        <v>-1570.36724881546</v>
      </c>
      <c r="BV46" s="154" t="n">
        <v>-1570.36724881546</v>
      </c>
      <c r="BW46" s="154" t="n">
        <v>-1570.36724881546</v>
      </c>
      <c r="BX46" s="154" t="n">
        <v>-1570.36724881546</v>
      </c>
      <c r="BY46" s="154" t="n">
        <v>-1570.36724881546</v>
      </c>
      <c r="BZ46" s="154" t="n">
        <v>-1601.77459379177</v>
      </c>
      <c r="CA46" s="154" t="n">
        <v>-1601.77459379177</v>
      </c>
      <c r="CB46" s="154" t="n">
        <v>-1601.77459379177</v>
      </c>
      <c r="CC46" s="154" t="n">
        <v>-1601.77459379177</v>
      </c>
      <c r="CD46" s="154" t="n">
        <v>-1601.77459379177</v>
      </c>
      <c r="CE46" s="154" t="n">
        <v>-1601.77459379177</v>
      </c>
      <c r="CF46" s="154" t="n">
        <v>-1601.77459379177</v>
      </c>
      <c r="CG46" s="154" t="n">
        <v>-1601.77459379177</v>
      </c>
      <c r="CH46" s="154" t="n">
        <v>-1601.77459379177</v>
      </c>
      <c r="CI46" s="154" t="n">
        <v>-1601.77459379177</v>
      </c>
      <c r="CJ46" s="154" t="n">
        <v>-1601.77459379177</v>
      </c>
      <c r="CK46" s="154" t="n">
        <v>-1601.77459379177</v>
      </c>
      <c r="CL46" s="154" t="n">
        <v>-1633.8100856676</v>
      </c>
      <c r="CM46" s="154" t="n">
        <v>-1633.8100856676</v>
      </c>
      <c r="CN46" s="154" t="n">
        <v>-1633.8100856676</v>
      </c>
      <c r="CO46" s="154" t="n">
        <v>-1633.8100856676</v>
      </c>
      <c r="CP46" s="154" t="n">
        <v>-1633.8100856676</v>
      </c>
      <c r="CQ46" s="154" t="n">
        <v>-1633.8100856676</v>
      </c>
      <c r="CR46" s="154" t="n">
        <v>-1633.8100856676</v>
      </c>
      <c r="CS46" s="154" t="n">
        <v>-1633.8100856676</v>
      </c>
      <c r="CT46" s="154" t="n">
        <v>-1633.8100856676</v>
      </c>
      <c r="CU46" s="154" t="n">
        <v>-1633.8100856676</v>
      </c>
      <c r="CV46" s="154" t="n">
        <v>-1633.8100856676</v>
      </c>
      <c r="CW46" s="154" t="n">
        <v>-1633.8100856676</v>
      </c>
      <c r="CX46" s="154" t="n">
        <v>-1666.48628738095</v>
      </c>
      <c r="CY46" s="154" t="n">
        <v>-1666.48628738095</v>
      </c>
      <c r="CZ46" s="154" t="n">
        <v>-1666.48628738095</v>
      </c>
      <c r="DA46" s="154" t="n">
        <v>-1666.48628738095</v>
      </c>
      <c r="DB46" s="154" t="n">
        <v>-1666.48628738095</v>
      </c>
      <c r="DC46" s="154" t="n">
        <v>-1666.48628738095</v>
      </c>
      <c r="DD46" s="154" t="n">
        <v>-1666.48628738095</v>
      </c>
      <c r="DE46" s="154" t="n">
        <v>-1666.48628738095</v>
      </c>
      <c r="DF46" s="154" t="n">
        <v>-1666.48628738095</v>
      </c>
    </row>
    <row r="47" customFormat="false" ht="15" hidden="false" customHeight="true" outlineLevel="0" collapsed="false">
      <c r="A47" s="107" t="s">
        <v>86</v>
      </c>
      <c r="C47" s="154" t="n">
        <v>-320</v>
      </c>
      <c r="D47" s="154" t="n">
        <v>-160</v>
      </c>
      <c r="E47" s="154" t="n">
        <v>0</v>
      </c>
      <c r="F47" s="154" t="n">
        <v>-160</v>
      </c>
      <c r="G47" s="154" t="n">
        <v>-160</v>
      </c>
      <c r="H47" s="154" t="n">
        <v>-160</v>
      </c>
      <c r="I47" s="154" t="n">
        <v>-160</v>
      </c>
      <c r="J47" s="154" t="n">
        <v>-160</v>
      </c>
      <c r="K47" s="154" t="n">
        <v>-160</v>
      </c>
      <c r="L47" s="154" t="n">
        <v>-160</v>
      </c>
      <c r="M47" s="154" t="n">
        <v>-160</v>
      </c>
      <c r="N47" s="154" t="n">
        <v>-160</v>
      </c>
      <c r="O47" s="154" t="n">
        <v>-160</v>
      </c>
      <c r="P47" s="154" t="n">
        <v>-160</v>
      </c>
      <c r="Q47" s="154" t="n">
        <v>-160</v>
      </c>
      <c r="R47" s="154" t="n">
        <v>-163.2</v>
      </c>
      <c r="S47" s="154" t="n">
        <v>-163.2</v>
      </c>
      <c r="T47" s="154" t="n">
        <v>-163.2</v>
      </c>
      <c r="U47" s="154" t="n">
        <v>-163.2</v>
      </c>
      <c r="V47" s="154" t="n">
        <v>-163.2</v>
      </c>
      <c r="W47" s="154" t="n">
        <v>-163.2</v>
      </c>
      <c r="X47" s="154" t="n">
        <v>-163.2</v>
      </c>
      <c r="Y47" s="154" t="n">
        <v>-163.2</v>
      </c>
      <c r="Z47" s="154" t="n">
        <v>-163.2</v>
      </c>
      <c r="AA47" s="154" t="n">
        <v>-163.2</v>
      </c>
      <c r="AB47" s="154" t="n">
        <v>-163.2</v>
      </c>
      <c r="AC47" s="154" t="n">
        <v>-163.2</v>
      </c>
      <c r="AD47" s="154" t="n">
        <v>-166.464</v>
      </c>
      <c r="AE47" s="154" t="n">
        <v>-166.464</v>
      </c>
      <c r="AF47" s="154" t="n">
        <v>-166.464</v>
      </c>
      <c r="AG47" s="154" t="n">
        <v>-166.464</v>
      </c>
      <c r="AH47" s="154" t="n">
        <v>-166.464</v>
      </c>
      <c r="AI47" s="154" t="n">
        <v>-166.464</v>
      </c>
      <c r="AJ47" s="154" t="n">
        <v>-166.464</v>
      </c>
      <c r="AK47" s="154" t="n">
        <v>-166.464</v>
      </c>
      <c r="AL47" s="154" t="n">
        <v>-166.464</v>
      </c>
      <c r="AM47" s="154" t="n">
        <v>-166.464</v>
      </c>
      <c r="AN47" s="154" t="n">
        <v>-166.464</v>
      </c>
      <c r="AO47" s="154" t="n">
        <v>-166.464</v>
      </c>
      <c r="AP47" s="154" t="n">
        <v>-169.79328</v>
      </c>
      <c r="AQ47" s="154" t="n">
        <v>-169.79328</v>
      </c>
      <c r="AR47" s="154" t="n">
        <v>-169.79328</v>
      </c>
      <c r="AS47" s="154" t="n">
        <v>-169.79328</v>
      </c>
      <c r="AT47" s="154" t="n">
        <v>-169.79328</v>
      </c>
      <c r="AU47" s="154" t="n">
        <v>-169.79328</v>
      </c>
      <c r="AV47" s="154" t="n">
        <v>-169.79328</v>
      </c>
      <c r="AW47" s="154" t="n">
        <v>-169.79328</v>
      </c>
      <c r="AX47" s="154" t="n">
        <v>-169.79328</v>
      </c>
      <c r="AY47" s="154" t="n">
        <v>-169.79328</v>
      </c>
      <c r="AZ47" s="154" t="n">
        <v>-169.79328</v>
      </c>
      <c r="BA47" s="154" t="n">
        <v>-169.79328</v>
      </c>
      <c r="BB47" s="154" t="n">
        <v>-173.1891456</v>
      </c>
      <c r="BC47" s="154" t="n">
        <v>-173.1891456</v>
      </c>
      <c r="BD47" s="154" t="n">
        <v>-173.1891456</v>
      </c>
      <c r="BE47" s="154" t="n">
        <v>-173.1891456</v>
      </c>
      <c r="BF47" s="154" t="n">
        <v>-173.1891456</v>
      </c>
      <c r="BG47" s="154" t="n">
        <v>-173.1891456</v>
      </c>
      <c r="BH47" s="154" t="n">
        <v>-173.1891456</v>
      </c>
      <c r="BI47" s="154" t="n">
        <v>-173.1891456</v>
      </c>
      <c r="BJ47" s="154" t="n">
        <v>-173.1891456</v>
      </c>
      <c r="BK47" s="154" t="n">
        <v>-173.1891456</v>
      </c>
      <c r="BL47" s="154" t="n">
        <v>-173.1891456</v>
      </c>
      <c r="BM47" s="154" t="n">
        <v>-173.1891456</v>
      </c>
      <c r="BN47" s="154" t="n">
        <v>-176.652928512</v>
      </c>
      <c r="BO47" s="154" t="n">
        <v>-176.652928512</v>
      </c>
      <c r="BP47" s="154" t="n">
        <v>-176.652928512</v>
      </c>
      <c r="BQ47" s="154" t="n">
        <v>-176.652928512</v>
      </c>
      <c r="BR47" s="154" t="n">
        <v>-176.652928512</v>
      </c>
      <c r="BS47" s="154" t="n">
        <v>-176.652928512</v>
      </c>
      <c r="BT47" s="154" t="n">
        <v>-176.652928512</v>
      </c>
      <c r="BU47" s="154" t="n">
        <v>-176.652928512</v>
      </c>
      <c r="BV47" s="154" t="n">
        <v>-176.652928512</v>
      </c>
      <c r="BW47" s="154" t="n">
        <v>-176.652928512</v>
      </c>
      <c r="BX47" s="154" t="n">
        <v>-176.652928512</v>
      </c>
      <c r="BY47" s="154" t="n">
        <v>-176.652928512</v>
      </c>
      <c r="BZ47" s="154" t="n">
        <v>-180.18598708224</v>
      </c>
      <c r="CA47" s="154" t="n">
        <v>-180.18598708224</v>
      </c>
      <c r="CB47" s="154" t="n">
        <v>-180.18598708224</v>
      </c>
      <c r="CC47" s="154" t="n">
        <v>-180.18598708224</v>
      </c>
      <c r="CD47" s="154" t="n">
        <v>-180.18598708224</v>
      </c>
      <c r="CE47" s="154" t="n">
        <v>-180.18598708224</v>
      </c>
      <c r="CF47" s="154" t="n">
        <v>-180.18598708224</v>
      </c>
      <c r="CG47" s="154" t="n">
        <v>-180.18598708224</v>
      </c>
      <c r="CH47" s="154" t="n">
        <v>-180.18598708224</v>
      </c>
      <c r="CI47" s="154" t="n">
        <v>-180.18598708224</v>
      </c>
      <c r="CJ47" s="154" t="n">
        <v>-180.18598708224</v>
      </c>
      <c r="CK47" s="154" t="n">
        <v>-180.18598708224</v>
      </c>
      <c r="CL47" s="154" t="n">
        <v>-183.789706823885</v>
      </c>
      <c r="CM47" s="154" t="n">
        <v>-183.789706823885</v>
      </c>
      <c r="CN47" s="154" t="n">
        <v>-183.789706823885</v>
      </c>
      <c r="CO47" s="154" t="n">
        <v>-183.789706823885</v>
      </c>
      <c r="CP47" s="154" t="n">
        <v>-183.789706823885</v>
      </c>
      <c r="CQ47" s="154" t="n">
        <v>-183.789706823885</v>
      </c>
      <c r="CR47" s="154" t="n">
        <v>-183.789706823885</v>
      </c>
      <c r="CS47" s="154" t="n">
        <v>-183.789706823885</v>
      </c>
      <c r="CT47" s="154" t="n">
        <v>-183.789706823885</v>
      </c>
      <c r="CU47" s="154" t="n">
        <v>-183.789706823885</v>
      </c>
      <c r="CV47" s="154" t="n">
        <v>-183.789706823885</v>
      </c>
      <c r="CW47" s="154" t="n">
        <v>-183.789706823885</v>
      </c>
      <c r="CX47" s="154" t="n">
        <v>-187.465500960363</v>
      </c>
      <c r="CY47" s="154" t="n">
        <v>-187.465500960363</v>
      </c>
      <c r="CZ47" s="154" t="n">
        <v>-187.465500960363</v>
      </c>
      <c r="DA47" s="154" t="n">
        <v>-187.465500960363</v>
      </c>
      <c r="DB47" s="154" t="n">
        <v>-187.465500960363</v>
      </c>
      <c r="DC47" s="154" t="n">
        <v>-187.465500960363</v>
      </c>
      <c r="DD47" s="154" t="n">
        <v>-187.465500960363</v>
      </c>
      <c r="DE47" s="154" t="n">
        <v>-187.465500960363</v>
      </c>
      <c r="DF47" s="154" t="n">
        <v>-187.465500960363</v>
      </c>
    </row>
    <row r="48" customFormat="false" ht="15" hidden="false" customHeight="true" outlineLevel="0" collapsed="false">
      <c r="A48" s="107" t="s">
        <v>87</v>
      </c>
      <c r="C48" s="154" t="n">
        <v>-17660.72</v>
      </c>
      <c r="D48" s="154" t="n">
        <v>-5799</v>
      </c>
      <c r="E48" s="154" t="n">
        <v>-3432.18</v>
      </c>
      <c r="F48" s="154" t="n">
        <v>-5000</v>
      </c>
      <c r="G48" s="154" t="n">
        <v>-5000</v>
      </c>
      <c r="H48" s="154" t="n">
        <v>-5000</v>
      </c>
      <c r="I48" s="154" t="n">
        <v>-5000</v>
      </c>
      <c r="J48" s="154" t="n">
        <v>-5000</v>
      </c>
      <c r="K48" s="154" t="n">
        <v>-5000</v>
      </c>
      <c r="L48" s="154" t="n">
        <v>-5000</v>
      </c>
      <c r="M48" s="154" t="n">
        <v>-5000</v>
      </c>
      <c r="N48" s="154" t="n">
        <v>-5000</v>
      </c>
      <c r="O48" s="154" t="n">
        <v>-5000</v>
      </c>
      <c r="P48" s="154" t="n">
        <v>-5000</v>
      </c>
      <c r="Q48" s="154" t="n">
        <v>-5000</v>
      </c>
      <c r="R48" s="154" t="n">
        <v>-5100</v>
      </c>
      <c r="S48" s="154" t="n">
        <v>-5100</v>
      </c>
      <c r="T48" s="154" t="n">
        <v>-5100</v>
      </c>
      <c r="U48" s="154" t="n">
        <v>-5100</v>
      </c>
      <c r="V48" s="154" t="n">
        <v>-5100</v>
      </c>
      <c r="W48" s="154" t="n">
        <v>-5100</v>
      </c>
      <c r="X48" s="154" t="n">
        <v>-5100</v>
      </c>
      <c r="Y48" s="154" t="n">
        <v>-5100</v>
      </c>
      <c r="Z48" s="154" t="n">
        <v>-5100</v>
      </c>
      <c r="AA48" s="154" t="n">
        <v>-5100</v>
      </c>
      <c r="AB48" s="154" t="n">
        <v>-5100</v>
      </c>
      <c r="AC48" s="154" t="n">
        <v>-5100</v>
      </c>
      <c r="AD48" s="154" t="n">
        <v>-5202</v>
      </c>
      <c r="AE48" s="154" t="n">
        <v>-5202</v>
      </c>
      <c r="AF48" s="154" t="n">
        <v>-5202</v>
      </c>
      <c r="AG48" s="154" t="n">
        <v>-5202</v>
      </c>
      <c r="AH48" s="154" t="n">
        <v>-5202</v>
      </c>
      <c r="AI48" s="154" t="n">
        <v>-5202</v>
      </c>
      <c r="AJ48" s="154" t="n">
        <v>-5202</v>
      </c>
      <c r="AK48" s="154" t="n">
        <v>-5202</v>
      </c>
      <c r="AL48" s="154" t="n">
        <v>-5202</v>
      </c>
      <c r="AM48" s="154" t="n">
        <v>-5202</v>
      </c>
      <c r="AN48" s="154" t="n">
        <v>-5202</v>
      </c>
      <c r="AO48" s="154" t="n">
        <v>-5202</v>
      </c>
      <c r="AP48" s="154" t="n">
        <v>-5306.04</v>
      </c>
      <c r="AQ48" s="154" t="n">
        <v>-5306.04</v>
      </c>
      <c r="AR48" s="154" t="n">
        <v>-5306.04</v>
      </c>
      <c r="AS48" s="154" t="n">
        <v>-5306.04</v>
      </c>
      <c r="AT48" s="154" t="n">
        <v>-5306.04</v>
      </c>
      <c r="AU48" s="154" t="n">
        <v>-5306.04</v>
      </c>
      <c r="AV48" s="154" t="n">
        <v>-5306.04</v>
      </c>
      <c r="AW48" s="154" t="n">
        <v>-5306.04</v>
      </c>
      <c r="AX48" s="154" t="n">
        <v>-5306.04</v>
      </c>
      <c r="AY48" s="154" t="n">
        <v>-5306.04</v>
      </c>
      <c r="AZ48" s="154" t="n">
        <v>-5306.04</v>
      </c>
      <c r="BA48" s="154" t="n">
        <v>-5306.04</v>
      </c>
      <c r="BB48" s="154" t="n">
        <v>-5412.1608</v>
      </c>
      <c r="BC48" s="154" t="n">
        <v>-5412.1608</v>
      </c>
      <c r="BD48" s="154" t="n">
        <v>-5412.1608</v>
      </c>
      <c r="BE48" s="154" t="n">
        <v>-5412.1608</v>
      </c>
      <c r="BF48" s="154" t="n">
        <v>-5412.1608</v>
      </c>
      <c r="BG48" s="154" t="n">
        <v>-5412.1608</v>
      </c>
      <c r="BH48" s="154" t="n">
        <v>-5412.1608</v>
      </c>
      <c r="BI48" s="154" t="n">
        <v>-5412.1608</v>
      </c>
      <c r="BJ48" s="154" t="n">
        <v>-5412.1608</v>
      </c>
      <c r="BK48" s="154" t="n">
        <v>-5412.1608</v>
      </c>
      <c r="BL48" s="154" t="n">
        <v>-5412.1608</v>
      </c>
      <c r="BM48" s="154" t="n">
        <v>-5412.1608</v>
      </c>
      <c r="BN48" s="154" t="n">
        <v>-5520.404016</v>
      </c>
      <c r="BO48" s="154" t="n">
        <v>-5520.404016</v>
      </c>
      <c r="BP48" s="154" t="n">
        <v>-5520.404016</v>
      </c>
      <c r="BQ48" s="154" t="n">
        <v>-5520.404016</v>
      </c>
      <c r="BR48" s="154" t="n">
        <v>-5520.404016</v>
      </c>
      <c r="BS48" s="154" t="n">
        <v>-5520.404016</v>
      </c>
      <c r="BT48" s="154" t="n">
        <v>-5520.404016</v>
      </c>
      <c r="BU48" s="154" t="n">
        <v>-5520.404016</v>
      </c>
      <c r="BV48" s="154" t="n">
        <v>-5520.404016</v>
      </c>
      <c r="BW48" s="154" t="n">
        <v>-5520.404016</v>
      </c>
      <c r="BX48" s="154" t="n">
        <v>-5520.404016</v>
      </c>
      <c r="BY48" s="154" t="n">
        <v>-5520.404016</v>
      </c>
      <c r="BZ48" s="154" t="n">
        <v>-5630.81209632</v>
      </c>
      <c r="CA48" s="154" t="n">
        <v>-5630.81209632</v>
      </c>
      <c r="CB48" s="154" t="n">
        <v>-5630.81209632</v>
      </c>
      <c r="CC48" s="154" t="n">
        <v>-5630.81209632</v>
      </c>
      <c r="CD48" s="154" t="n">
        <v>-5630.81209632</v>
      </c>
      <c r="CE48" s="154" t="n">
        <v>-5630.81209632</v>
      </c>
      <c r="CF48" s="154" t="n">
        <v>-5630.81209632</v>
      </c>
      <c r="CG48" s="154" t="n">
        <v>-5630.81209632</v>
      </c>
      <c r="CH48" s="154" t="n">
        <v>-5630.81209632</v>
      </c>
      <c r="CI48" s="154" t="n">
        <v>-5630.81209632</v>
      </c>
      <c r="CJ48" s="154" t="n">
        <v>-5630.81209632</v>
      </c>
      <c r="CK48" s="154" t="n">
        <v>-5630.81209632</v>
      </c>
      <c r="CL48" s="154" t="n">
        <v>-5743.4283382464</v>
      </c>
      <c r="CM48" s="154" t="n">
        <v>-5743.4283382464</v>
      </c>
      <c r="CN48" s="154" t="n">
        <v>-5743.4283382464</v>
      </c>
      <c r="CO48" s="154" t="n">
        <v>-5743.4283382464</v>
      </c>
      <c r="CP48" s="154" t="n">
        <v>-5743.4283382464</v>
      </c>
      <c r="CQ48" s="154" t="n">
        <v>-5743.4283382464</v>
      </c>
      <c r="CR48" s="154" t="n">
        <v>-5743.4283382464</v>
      </c>
      <c r="CS48" s="154" t="n">
        <v>-5743.4283382464</v>
      </c>
      <c r="CT48" s="154" t="n">
        <v>-5743.4283382464</v>
      </c>
      <c r="CU48" s="154" t="n">
        <v>-5743.4283382464</v>
      </c>
      <c r="CV48" s="154" t="n">
        <v>-5743.4283382464</v>
      </c>
      <c r="CW48" s="154" t="n">
        <v>-5743.4283382464</v>
      </c>
      <c r="CX48" s="154" t="n">
        <v>-5858.29690501133</v>
      </c>
      <c r="CY48" s="154" t="n">
        <v>-5858.29690501133</v>
      </c>
      <c r="CZ48" s="154" t="n">
        <v>-5858.29690501133</v>
      </c>
      <c r="DA48" s="154" t="n">
        <v>-5858.29690501133</v>
      </c>
      <c r="DB48" s="154" t="n">
        <v>-5858.29690501133</v>
      </c>
      <c r="DC48" s="154" t="n">
        <v>-5858.29690501133</v>
      </c>
      <c r="DD48" s="154" t="n">
        <v>-5858.29690501133</v>
      </c>
      <c r="DE48" s="154" t="n">
        <v>-5858.29690501133</v>
      </c>
      <c r="DF48" s="154" t="n">
        <v>-5858.29690501133</v>
      </c>
    </row>
    <row r="49" customFormat="false" ht="15" hidden="false" customHeight="true" outlineLevel="0" collapsed="false">
      <c r="A49" s="107" t="s">
        <v>88</v>
      </c>
      <c r="C49" s="154" t="n">
        <v>-304</v>
      </c>
      <c r="D49" s="154" t="n">
        <v>-644.81</v>
      </c>
      <c r="E49" s="154" t="n">
        <v>-304</v>
      </c>
      <c r="F49" s="155" t="n">
        <v>-417.6</v>
      </c>
      <c r="G49" s="155" t="n">
        <v>-417.6</v>
      </c>
      <c r="H49" s="155" t="n">
        <v>-417.6</v>
      </c>
      <c r="I49" s="155" t="n">
        <v>-417.6</v>
      </c>
      <c r="J49" s="155" t="n">
        <v>-417.6</v>
      </c>
      <c r="K49" s="155" t="n">
        <v>-417.6</v>
      </c>
      <c r="L49" s="155" t="n">
        <v>-417.6</v>
      </c>
      <c r="M49" s="155" t="n">
        <v>-417.6</v>
      </c>
      <c r="N49" s="155" t="n">
        <v>-417.6</v>
      </c>
      <c r="O49" s="155" t="n">
        <v>-417.6</v>
      </c>
      <c r="P49" s="155" t="n">
        <v>-417.6</v>
      </c>
      <c r="Q49" s="155" t="n">
        <v>-417.6</v>
      </c>
      <c r="R49" s="155" t="n">
        <v>-425.952</v>
      </c>
      <c r="S49" s="155" t="n">
        <v>-425.952</v>
      </c>
      <c r="T49" s="155" t="n">
        <v>-425.952</v>
      </c>
      <c r="U49" s="155" t="n">
        <v>-425.952</v>
      </c>
      <c r="V49" s="155" t="n">
        <v>-425.952</v>
      </c>
      <c r="W49" s="155" t="n">
        <v>-425.952</v>
      </c>
      <c r="X49" s="155" t="n">
        <v>-425.952</v>
      </c>
      <c r="Y49" s="155" t="n">
        <v>-425.952</v>
      </c>
      <c r="Z49" s="155" t="n">
        <v>-425.952</v>
      </c>
      <c r="AA49" s="155" t="n">
        <v>-425.952</v>
      </c>
      <c r="AB49" s="155" t="n">
        <v>-425.952</v>
      </c>
      <c r="AC49" s="155" t="n">
        <v>-425.952</v>
      </c>
      <c r="AD49" s="155" t="n">
        <v>-434.47104</v>
      </c>
      <c r="AE49" s="155" t="n">
        <v>-434.47104</v>
      </c>
      <c r="AF49" s="155" t="n">
        <v>-434.47104</v>
      </c>
      <c r="AG49" s="155" t="n">
        <v>-434.47104</v>
      </c>
      <c r="AH49" s="155" t="n">
        <v>-434.47104</v>
      </c>
      <c r="AI49" s="155" t="n">
        <v>-434.47104</v>
      </c>
      <c r="AJ49" s="155" t="n">
        <v>-434.47104</v>
      </c>
      <c r="AK49" s="155" t="n">
        <v>-434.47104</v>
      </c>
      <c r="AL49" s="155" t="n">
        <v>-434.47104</v>
      </c>
      <c r="AM49" s="155" t="n">
        <v>-434.47104</v>
      </c>
      <c r="AN49" s="155" t="n">
        <v>-434.47104</v>
      </c>
      <c r="AO49" s="155" t="n">
        <v>-434.47104</v>
      </c>
      <c r="AP49" s="155" t="n">
        <v>-443.1604608</v>
      </c>
      <c r="AQ49" s="155" t="n">
        <v>-443.1604608</v>
      </c>
      <c r="AR49" s="155" t="n">
        <v>-443.1604608</v>
      </c>
      <c r="AS49" s="155" t="n">
        <v>-443.1604608</v>
      </c>
      <c r="AT49" s="155" t="n">
        <v>-443.1604608</v>
      </c>
      <c r="AU49" s="155" t="n">
        <v>-443.1604608</v>
      </c>
      <c r="AV49" s="155" t="n">
        <v>-443.1604608</v>
      </c>
      <c r="AW49" s="155" t="n">
        <v>-443.1604608</v>
      </c>
      <c r="AX49" s="155" t="n">
        <v>-443.1604608</v>
      </c>
      <c r="AY49" s="155" t="n">
        <v>-443.1604608</v>
      </c>
      <c r="AZ49" s="155" t="n">
        <v>-443.1604608</v>
      </c>
      <c r="BA49" s="155" t="n">
        <v>-443.1604608</v>
      </c>
      <c r="BB49" s="155" t="n">
        <v>-452.023670016</v>
      </c>
      <c r="BC49" s="155" t="n">
        <v>-452.023670016</v>
      </c>
      <c r="BD49" s="155" t="n">
        <v>-452.023670016</v>
      </c>
      <c r="BE49" s="155" t="n">
        <v>-452.023670016</v>
      </c>
      <c r="BF49" s="155" t="n">
        <v>-452.023670016</v>
      </c>
      <c r="BG49" s="155" t="n">
        <v>-452.023670016</v>
      </c>
      <c r="BH49" s="155" t="n">
        <v>-452.023670016</v>
      </c>
      <c r="BI49" s="155" t="n">
        <v>-452.023670016</v>
      </c>
      <c r="BJ49" s="155" t="n">
        <v>-452.023670016</v>
      </c>
      <c r="BK49" s="155" t="n">
        <v>-452.023670016</v>
      </c>
      <c r="BL49" s="155" t="n">
        <v>-452.023670016</v>
      </c>
      <c r="BM49" s="155" t="n">
        <v>-452.023670016</v>
      </c>
      <c r="BN49" s="155" t="n">
        <v>-461.06414341632</v>
      </c>
      <c r="BO49" s="155" t="n">
        <v>-461.06414341632</v>
      </c>
      <c r="BP49" s="155" t="n">
        <v>-461.06414341632</v>
      </c>
      <c r="BQ49" s="155" t="n">
        <v>-461.06414341632</v>
      </c>
      <c r="BR49" s="155" t="n">
        <v>-461.06414341632</v>
      </c>
      <c r="BS49" s="155" t="n">
        <v>-461.06414341632</v>
      </c>
      <c r="BT49" s="155" t="n">
        <v>-461.06414341632</v>
      </c>
      <c r="BU49" s="155" t="n">
        <v>-461.06414341632</v>
      </c>
      <c r="BV49" s="155" t="n">
        <v>-461.06414341632</v>
      </c>
      <c r="BW49" s="155" t="n">
        <v>-461.06414341632</v>
      </c>
      <c r="BX49" s="155" t="n">
        <v>-461.06414341632</v>
      </c>
      <c r="BY49" s="155" t="n">
        <v>-461.06414341632</v>
      </c>
      <c r="BZ49" s="155" t="n">
        <v>-470.285426284646</v>
      </c>
      <c r="CA49" s="155" t="n">
        <v>-470.285426284646</v>
      </c>
      <c r="CB49" s="155" t="n">
        <v>-470.285426284646</v>
      </c>
      <c r="CC49" s="155" t="n">
        <v>-470.285426284646</v>
      </c>
      <c r="CD49" s="155" t="n">
        <v>-470.285426284646</v>
      </c>
      <c r="CE49" s="155" t="n">
        <v>-470.285426284646</v>
      </c>
      <c r="CF49" s="155" t="n">
        <v>-470.285426284646</v>
      </c>
      <c r="CG49" s="155" t="n">
        <v>-470.285426284646</v>
      </c>
      <c r="CH49" s="155" t="n">
        <v>-470.285426284646</v>
      </c>
      <c r="CI49" s="155" t="n">
        <v>-470.285426284646</v>
      </c>
      <c r="CJ49" s="155" t="n">
        <v>-470.285426284646</v>
      </c>
      <c r="CK49" s="155" t="n">
        <v>-470.285426284646</v>
      </c>
      <c r="CL49" s="155" t="n">
        <v>-479.691134810339</v>
      </c>
      <c r="CM49" s="155" t="n">
        <v>-479.691134810339</v>
      </c>
      <c r="CN49" s="155" t="n">
        <v>-479.691134810339</v>
      </c>
      <c r="CO49" s="155" t="n">
        <v>-479.691134810339</v>
      </c>
      <c r="CP49" s="155" t="n">
        <v>-479.691134810339</v>
      </c>
      <c r="CQ49" s="155" t="n">
        <v>-479.691134810339</v>
      </c>
      <c r="CR49" s="155" t="n">
        <v>-479.691134810339</v>
      </c>
      <c r="CS49" s="155" t="n">
        <v>-479.691134810339</v>
      </c>
      <c r="CT49" s="155" t="n">
        <v>-479.691134810339</v>
      </c>
      <c r="CU49" s="155" t="n">
        <v>-479.691134810339</v>
      </c>
      <c r="CV49" s="155" t="n">
        <v>-479.691134810339</v>
      </c>
      <c r="CW49" s="155" t="n">
        <v>-479.691134810339</v>
      </c>
      <c r="CX49" s="155" t="n">
        <v>-489.284957506546</v>
      </c>
      <c r="CY49" s="155" t="n">
        <v>-489.284957506546</v>
      </c>
      <c r="CZ49" s="155" t="n">
        <v>-489.284957506546</v>
      </c>
      <c r="DA49" s="155" t="n">
        <v>-489.284957506546</v>
      </c>
      <c r="DB49" s="155" t="n">
        <v>-489.284957506546</v>
      </c>
      <c r="DC49" s="155" t="n">
        <v>-489.284957506546</v>
      </c>
      <c r="DD49" s="155" t="n">
        <v>-489.284957506546</v>
      </c>
      <c r="DE49" s="155" t="n">
        <v>-489.284957506546</v>
      </c>
      <c r="DF49" s="155" t="n">
        <v>-489.284957506546</v>
      </c>
    </row>
    <row r="50" customFormat="false" ht="15" hidden="false" customHeight="true" outlineLevel="0" collapsed="false">
      <c r="A50" s="107" t="s">
        <v>89</v>
      </c>
      <c r="C50" s="154" t="n">
        <v>0</v>
      </c>
      <c r="D50" s="154" t="n">
        <v>-75</v>
      </c>
      <c r="E50" s="154" t="n">
        <v>-5</v>
      </c>
      <c r="F50" s="155" t="n">
        <v>-26.67</v>
      </c>
      <c r="G50" s="155" t="n">
        <v>-26.67</v>
      </c>
      <c r="H50" s="155" t="n">
        <v>-26.67</v>
      </c>
      <c r="I50" s="155" t="n">
        <v>-26.67</v>
      </c>
      <c r="J50" s="155" t="n">
        <v>-26.67</v>
      </c>
      <c r="K50" s="155" t="n">
        <v>-26.67</v>
      </c>
      <c r="L50" s="155" t="n">
        <v>-26.67</v>
      </c>
      <c r="M50" s="155" t="n">
        <v>-26.67</v>
      </c>
      <c r="N50" s="155" t="n">
        <v>-26.67</v>
      </c>
      <c r="O50" s="155" t="n">
        <v>-26.67</v>
      </c>
      <c r="P50" s="155" t="n">
        <v>-26.67</v>
      </c>
      <c r="Q50" s="155" t="n">
        <v>-26.67</v>
      </c>
      <c r="R50" s="155" t="n">
        <v>-27.2034</v>
      </c>
      <c r="S50" s="155" t="n">
        <v>-27.2034</v>
      </c>
      <c r="T50" s="155" t="n">
        <v>-27.2034</v>
      </c>
      <c r="U50" s="155" t="n">
        <v>-27.2034</v>
      </c>
      <c r="V50" s="155" t="n">
        <v>-27.2034</v>
      </c>
      <c r="W50" s="155" t="n">
        <v>-27.2034</v>
      </c>
      <c r="X50" s="155" t="n">
        <v>-27.2034</v>
      </c>
      <c r="Y50" s="155" t="n">
        <v>-27.2034</v>
      </c>
      <c r="Z50" s="155" t="n">
        <v>-27.2034</v>
      </c>
      <c r="AA50" s="155" t="n">
        <v>-27.2034</v>
      </c>
      <c r="AB50" s="155" t="n">
        <v>-27.2034</v>
      </c>
      <c r="AC50" s="155" t="n">
        <v>-27.2034</v>
      </c>
      <c r="AD50" s="155" t="n">
        <v>-27.747468</v>
      </c>
      <c r="AE50" s="155" t="n">
        <v>-27.747468</v>
      </c>
      <c r="AF50" s="155" t="n">
        <v>-27.747468</v>
      </c>
      <c r="AG50" s="155" t="n">
        <v>-27.747468</v>
      </c>
      <c r="AH50" s="155" t="n">
        <v>-27.747468</v>
      </c>
      <c r="AI50" s="155" t="n">
        <v>-27.747468</v>
      </c>
      <c r="AJ50" s="155" t="n">
        <v>-27.747468</v>
      </c>
      <c r="AK50" s="155" t="n">
        <v>-27.747468</v>
      </c>
      <c r="AL50" s="155" t="n">
        <v>-27.747468</v>
      </c>
      <c r="AM50" s="155" t="n">
        <v>-27.747468</v>
      </c>
      <c r="AN50" s="155" t="n">
        <v>-27.747468</v>
      </c>
      <c r="AO50" s="155" t="n">
        <v>-27.747468</v>
      </c>
      <c r="AP50" s="155" t="n">
        <v>-28.30241736</v>
      </c>
      <c r="AQ50" s="155" t="n">
        <v>-28.30241736</v>
      </c>
      <c r="AR50" s="155" t="n">
        <v>-28.30241736</v>
      </c>
      <c r="AS50" s="155" t="n">
        <v>-28.30241736</v>
      </c>
      <c r="AT50" s="155" t="n">
        <v>-28.30241736</v>
      </c>
      <c r="AU50" s="155" t="n">
        <v>-28.30241736</v>
      </c>
      <c r="AV50" s="155" t="n">
        <v>-28.30241736</v>
      </c>
      <c r="AW50" s="155" t="n">
        <v>-28.30241736</v>
      </c>
      <c r="AX50" s="155" t="n">
        <v>-28.30241736</v>
      </c>
      <c r="AY50" s="155" t="n">
        <v>-28.30241736</v>
      </c>
      <c r="AZ50" s="155" t="n">
        <v>-28.30241736</v>
      </c>
      <c r="BA50" s="155" t="n">
        <v>-28.30241736</v>
      </c>
      <c r="BB50" s="155" t="n">
        <v>-28.8684657072</v>
      </c>
      <c r="BC50" s="155" t="n">
        <v>-28.8684657072</v>
      </c>
      <c r="BD50" s="155" t="n">
        <v>-28.8684657072</v>
      </c>
      <c r="BE50" s="155" t="n">
        <v>-28.8684657072</v>
      </c>
      <c r="BF50" s="155" t="n">
        <v>-28.8684657072</v>
      </c>
      <c r="BG50" s="155" t="n">
        <v>-28.8684657072</v>
      </c>
      <c r="BH50" s="155" t="n">
        <v>-28.8684657072</v>
      </c>
      <c r="BI50" s="155" t="n">
        <v>-28.8684657072</v>
      </c>
      <c r="BJ50" s="155" t="n">
        <v>-28.8684657072</v>
      </c>
      <c r="BK50" s="155" t="n">
        <v>-28.8684657072</v>
      </c>
      <c r="BL50" s="155" t="n">
        <v>-28.8684657072</v>
      </c>
      <c r="BM50" s="155" t="n">
        <v>-28.8684657072</v>
      </c>
      <c r="BN50" s="155" t="n">
        <v>-29.445835021344</v>
      </c>
      <c r="BO50" s="155" t="n">
        <v>-29.445835021344</v>
      </c>
      <c r="BP50" s="155" t="n">
        <v>-29.445835021344</v>
      </c>
      <c r="BQ50" s="155" t="n">
        <v>-29.445835021344</v>
      </c>
      <c r="BR50" s="155" t="n">
        <v>-29.445835021344</v>
      </c>
      <c r="BS50" s="155" t="n">
        <v>-29.445835021344</v>
      </c>
      <c r="BT50" s="155" t="n">
        <v>-29.445835021344</v>
      </c>
      <c r="BU50" s="155" t="n">
        <v>-29.445835021344</v>
      </c>
      <c r="BV50" s="155" t="n">
        <v>-29.445835021344</v>
      </c>
      <c r="BW50" s="155" t="n">
        <v>-29.445835021344</v>
      </c>
      <c r="BX50" s="155" t="n">
        <v>-29.445835021344</v>
      </c>
      <c r="BY50" s="155" t="n">
        <v>-29.445835021344</v>
      </c>
      <c r="BZ50" s="155" t="n">
        <v>-30.0347517217709</v>
      </c>
      <c r="CA50" s="155" t="n">
        <v>-30.0347517217709</v>
      </c>
      <c r="CB50" s="155" t="n">
        <v>-30.0347517217709</v>
      </c>
      <c r="CC50" s="155" t="n">
        <v>-30.0347517217709</v>
      </c>
      <c r="CD50" s="155" t="n">
        <v>-30.0347517217709</v>
      </c>
      <c r="CE50" s="155" t="n">
        <v>-30.0347517217709</v>
      </c>
      <c r="CF50" s="155" t="n">
        <v>-30.0347517217709</v>
      </c>
      <c r="CG50" s="155" t="n">
        <v>-30.0347517217709</v>
      </c>
      <c r="CH50" s="155" t="n">
        <v>-30.0347517217709</v>
      </c>
      <c r="CI50" s="155" t="n">
        <v>-30.0347517217709</v>
      </c>
      <c r="CJ50" s="155" t="n">
        <v>-30.0347517217709</v>
      </c>
      <c r="CK50" s="155" t="n">
        <v>-30.0347517217709</v>
      </c>
      <c r="CL50" s="155" t="n">
        <v>-30.6354467562063</v>
      </c>
      <c r="CM50" s="155" t="n">
        <v>-30.6354467562063</v>
      </c>
      <c r="CN50" s="155" t="n">
        <v>-30.6354467562063</v>
      </c>
      <c r="CO50" s="155" t="n">
        <v>-30.6354467562063</v>
      </c>
      <c r="CP50" s="155" t="n">
        <v>-30.6354467562063</v>
      </c>
      <c r="CQ50" s="155" t="n">
        <v>-30.6354467562063</v>
      </c>
      <c r="CR50" s="155" t="n">
        <v>-30.6354467562063</v>
      </c>
      <c r="CS50" s="155" t="n">
        <v>-30.6354467562063</v>
      </c>
      <c r="CT50" s="155" t="n">
        <v>-30.6354467562063</v>
      </c>
      <c r="CU50" s="155" t="n">
        <v>-30.6354467562063</v>
      </c>
      <c r="CV50" s="155" t="n">
        <v>-30.6354467562063</v>
      </c>
      <c r="CW50" s="155" t="n">
        <v>-30.6354467562063</v>
      </c>
      <c r="CX50" s="155" t="n">
        <v>-31.2481556913304</v>
      </c>
      <c r="CY50" s="155" t="n">
        <v>-31.2481556913304</v>
      </c>
      <c r="CZ50" s="155" t="n">
        <v>-31.2481556913304</v>
      </c>
      <c r="DA50" s="155" t="n">
        <v>-31.2481556913304</v>
      </c>
      <c r="DB50" s="155" t="n">
        <v>-31.2481556913304</v>
      </c>
      <c r="DC50" s="155" t="n">
        <v>-31.2481556913304</v>
      </c>
      <c r="DD50" s="155" t="n">
        <v>-31.2481556913304</v>
      </c>
      <c r="DE50" s="155" t="n">
        <v>-31.2481556913304</v>
      </c>
      <c r="DF50" s="155" t="n">
        <v>-31.2481556913304</v>
      </c>
    </row>
    <row r="51" customFormat="false" ht="15" hidden="false" customHeight="true" outlineLevel="0" collapsed="false">
      <c r="A51" s="107" t="s">
        <v>90</v>
      </c>
      <c r="C51" s="154" t="n">
        <v>0</v>
      </c>
      <c r="D51" s="154" t="n">
        <v>-63</v>
      </c>
      <c r="E51" s="154" t="n">
        <v>0</v>
      </c>
      <c r="F51" s="155" t="n">
        <v>-21</v>
      </c>
      <c r="G51" s="155" t="n">
        <v>-21</v>
      </c>
      <c r="H51" s="155" t="n">
        <v>-21</v>
      </c>
      <c r="I51" s="155" t="n">
        <v>-21</v>
      </c>
      <c r="J51" s="155" t="n">
        <v>-21</v>
      </c>
      <c r="K51" s="155" t="n">
        <v>-21</v>
      </c>
      <c r="L51" s="155" t="n">
        <v>-21</v>
      </c>
      <c r="M51" s="155" t="n">
        <v>-21</v>
      </c>
      <c r="N51" s="155" t="n">
        <v>-21</v>
      </c>
      <c r="O51" s="155" t="n">
        <v>-21</v>
      </c>
      <c r="P51" s="155" t="n">
        <v>-21</v>
      </c>
      <c r="Q51" s="155" t="n">
        <v>-21</v>
      </c>
      <c r="R51" s="155" t="n">
        <v>-21.42</v>
      </c>
      <c r="S51" s="155" t="n">
        <v>-21.42</v>
      </c>
      <c r="T51" s="155" t="n">
        <v>-21.42</v>
      </c>
      <c r="U51" s="155" t="n">
        <v>-21.42</v>
      </c>
      <c r="V51" s="155" t="n">
        <v>-21.42</v>
      </c>
      <c r="W51" s="155" t="n">
        <v>-21.42</v>
      </c>
      <c r="X51" s="155" t="n">
        <v>-21.42</v>
      </c>
      <c r="Y51" s="155" t="n">
        <v>-21.42</v>
      </c>
      <c r="Z51" s="155" t="n">
        <v>-21.42</v>
      </c>
      <c r="AA51" s="155" t="n">
        <v>-21.42</v>
      </c>
      <c r="AB51" s="155" t="n">
        <v>-21.42</v>
      </c>
      <c r="AC51" s="155" t="n">
        <v>-21.42</v>
      </c>
      <c r="AD51" s="155" t="n">
        <v>-21.8484</v>
      </c>
      <c r="AE51" s="155" t="n">
        <v>-21.8484</v>
      </c>
      <c r="AF51" s="155" t="n">
        <v>-21.8484</v>
      </c>
      <c r="AG51" s="155" t="n">
        <v>-21.8484</v>
      </c>
      <c r="AH51" s="155" t="n">
        <v>-21.8484</v>
      </c>
      <c r="AI51" s="155" t="n">
        <v>-21.8484</v>
      </c>
      <c r="AJ51" s="155" t="n">
        <v>-21.8484</v>
      </c>
      <c r="AK51" s="155" t="n">
        <v>-21.8484</v>
      </c>
      <c r="AL51" s="155" t="n">
        <v>-21.8484</v>
      </c>
      <c r="AM51" s="155" t="n">
        <v>-21.8484</v>
      </c>
      <c r="AN51" s="155" t="n">
        <v>-21.8484</v>
      </c>
      <c r="AO51" s="155" t="n">
        <v>-21.8484</v>
      </c>
      <c r="AP51" s="155" t="n">
        <v>-22.285368</v>
      </c>
      <c r="AQ51" s="155" t="n">
        <v>-22.285368</v>
      </c>
      <c r="AR51" s="155" t="n">
        <v>-22.285368</v>
      </c>
      <c r="AS51" s="155" t="n">
        <v>-22.285368</v>
      </c>
      <c r="AT51" s="155" t="n">
        <v>-22.285368</v>
      </c>
      <c r="AU51" s="155" t="n">
        <v>-22.285368</v>
      </c>
      <c r="AV51" s="155" t="n">
        <v>-22.285368</v>
      </c>
      <c r="AW51" s="155" t="n">
        <v>-22.285368</v>
      </c>
      <c r="AX51" s="155" t="n">
        <v>-22.285368</v>
      </c>
      <c r="AY51" s="155" t="n">
        <v>-22.285368</v>
      </c>
      <c r="AZ51" s="155" t="n">
        <v>-22.285368</v>
      </c>
      <c r="BA51" s="155" t="n">
        <v>-22.285368</v>
      </c>
      <c r="BB51" s="155" t="n">
        <v>-22.73107536</v>
      </c>
      <c r="BC51" s="155" t="n">
        <v>-22.73107536</v>
      </c>
      <c r="BD51" s="155" t="n">
        <v>-22.73107536</v>
      </c>
      <c r="BE51" s="155" t="n">
        <v>-22.73107536</v>
      </c>
      <c r="BF51" s="155" t="n">
        <v>-22.73107536</v>
      </c>
      <c r="BG51" s="155" t="n">
        <v>-22.73107536</v>
      </c>
      <c r="BH51" s="155" t="n">
        <v>-22.73107536</v>
      </c>
      <c r="BI51" s="155" t="n">
        <v>-22.73107536</v>
      </c>
      <c r="BJ51" s="155" t="n">
        <v>-22.73107536</v>
      </c>
      <c r="BK51" s="155" t="n">
        <v>-22.73107536</v>
      </c>
      <c r="BL51" s="155" t="n">
        <v>-22.73107536</v>
      </c>
      <c r="BM51" s="155" t="n">
        <v>-22.73107536</v>
      </c>
      <c r="BN51" s="155" t="n">
        <v>-23.1856968672</v>
      </c>
      <c r="BO51" s="155" t="n">
        <v>-23.1856968672</v>
      </c>
      <c r="BP51" s="155" t="n">
        <v>-23.1856968672</v>
      </c>
      <c r="BQ51" s="155" t="n">
        <v>-23.1856968672</v>
      </c>
      <c r="BR51" s="155" t="n">
        <v>-23.1856968672</v>
      </c>
      <c r="BS51" s="155" t="n">
        <v>-23.1856968672</v>
      </c>
      <c r="BT51" s="155" t="n">
        <v>-23.1856968672</v>
      </c>
      <c r="BU51" s="155" t="n">
        <v>-23.1856968672</v>
      </c>
      <c r="BV51" s="155" t="n">
        <v>-23.1856968672</v>
      </c>
      <c r="BW51" s="155" t="n">
        <v>-23.1856968672</v>
      </c>
      <c r="BX51" s="155" t="n">
        <v>-23.1856968672</v>
      </c>
      <c r="BY51" s="155" t="n">
        <v>-23.1856968672</v>
      </c>
      <c r="BZ51" s="155" t="n">
        <v>-23.649410804544</v>
      </c>
      <c r="CA51" s="155" t="n">
        <v>-23.649410804544</v>
      </c>
      <c r="CB51" s="155" t="n">
        <v>-23.649410804544</v>
      </c>
      <c r="CC51" s="155" t="n">
        <v>-23.649410804544</v>
      </c>
      <c r="CD51" s="155" t="n">
        <v>-23.649410804544</v>
      </c>
      <c r="CE51" s="155" t="n">
        <v>-23.649410804544</v>
      </c>
      <c r="CF51" s="155" t="n">
        <v>-23.649410804544</v>
      </c>
      <c r="CG51" s="155" t="n">
        <v>-23.649410804544</v>
      </c>
      <c r="CH51" s="155" t="n">
        <v>-23.649410804544</v>
      </c>
      <c r="CI51" s="155" t="n">
        <v>-23.649410804544</v>
      </c>
      <c r="CJ51" s="155" t="n">
        <v>-23.649410804544</v>
      </c>
      <c r="CK51" s="155" t="n">
        <v>-23.649410804544</v>
      </c>
      <c r="CL51" s="155" t="n">
        <v>-24.1223990206349</v>
      </c>
      <c r="CM51" s="155" t="n">
        <v>-24.1223990206349</v>
      </c>
      <c r="CN51" s="155" t="n">
        <v>-24.1223990206349</v>
      </c>
      <c r="CO51" s="155" t="n">
        <v>-24.1223990206349</v>
      </c>
      <c r="CP51" s="155" t="n">
        <v>-24.1223990206349</v>
      </c>
      <c r="CQ51" s="155" t="n">
        <v>-24.1223990206349</v>
      </c>
      <c r="CR51" s="155" t="n">
        <v>-24.1223990206349</v>
      </c>
      <c r="CS51" s="155" t="n">
        <v>-24.1223990206349</v>
      </c>
      <c r="CT51" s="155" t="n">
        <v>-24.1223990206349</v>
      </c>
      <c r="CU51" s="155" t="n">
        <v>-24.1223990206349</v>
      </c>
      <c r="CV51" s="155" t="n">
        <v>-24.1223990206349</v>
      </c>
      <c r="CW51" s="155" t="n">
        <v>-24.1223990206349</v>
      </c>
      <c r="CX51" s="155" t="n">
        <v>-24.6048470010476</v>
      </c>
      <c r="CY51" s="155" t="n">
        <v>-24.6048470010476</v>
      </c>
      <c r="CZ51" s="155" t="n">
        <v>-24.6048470010476</v>
      </c>
      <c r="DA51" s="155" t="n">
        <v>-24.6048470010476</v>
      </c>
      <c r="DB51" s="155" t="n">
        <v>-24.6048470010476</v>
      </c>
      <c r="DC51" s="155" t="n">
        <v>-24.6048470010476</v>
      </c>
      <c r="DD51" s="155" t="n">
        <v>-24.6048470010476</v>
      </c>
      <c r="DE51" s="155" t="n">
        <v>-24.6048470010476</v>
      </c>
      <c r="DF51" s="155" t="n">
        <v>-24.6048470010476</v>
      </c>
    </row>
    <row r="52" customFormat="false" ht="18" hidden="false" customHeight="true" outlineLevel="0" collapsed="false">
      <c r="A52" s="76" t="s">
        <v>91</v>
      </c>
      <c r="B52" s="112"/>
      <c r="C52" s="154" t="n">
        <v>0</v>
      </c>
      <c r="D52" s="154" t="n">
        <v>0</v>
      </c>
      <c r="E52" s="154" t="n">
        <v>0</v>
      </c>
      <c r="F52" s="155" t="n">
        <v>0</v>
      </c>
      <c r="G52" s="155" t="n">
        <v>0</v>
      </c>
      <c r="H52" s="155" t="n">
        <v>0</v>
      </c>
      <c r="I52" s="155" t="n">
        <v>0</v>
      </c>
      <c r="J52" s="155" t="n">
        <v>0</v>
      </c>
      <c r="K52" s="155" t="n">
        <v>0</v>
      </c>
      <c r="L52" s="155" t="n">
        <v>0</v>
      </c>
      <c r="M52" s="155" t="n">
        <v>0</v>
      </c>
      <c r="N52" s="155" t="n">
        <v>0</v>
      </c>
      <c r="O52" s="155" t="n">
        <v>0</v>
      </c>
      <c r="P52" s="155" t="n">
        <v>0</v>
      </c>
      <c r="Q52" s="155" t="n">
        <v>0</v>
      </c>
      <c r="R52" s="155" t="n">
        <v>0</v>
      </c>
      <c r="S52" s="155" t="n">
        <v>0</v>
      </c>
      <c r="T52" s="155" t="n">
        <v>0</v>
      </c>
      <c r="U52" s="155" t="n">
        <v>0</v>
      </c>
      <c r="V52" s="155" t="n">
        <v>0</v>
      </c>
      <c r="W52" s="155" t="n">
        <v>0</v>
      </c>
      <c r="X52" s="155" t="n">
        <v>0</v>
      </c>
      <c r="Y52" s="155" t="n">
        <v>0</v>
      </c>
      <c r="Z52" s="155" t="n">
        <v>0</v>
      </c>
      <c r="AA52" s="155" t="n">
        <v>0</v>
      </c>
      <c r="AB52" s="155" t="n">
        <v>0</v>
      </c>
      <c r="AC52" s="155" t="n">
        <v>0</v>
      </c>
      <c r="AD52" s="155" t="n">
        <v>0</v>
      </c>
      <c r="AE52" s="155" t="n">
        <v>0</v>
      </c>
      <c r="AF52" s="155" t="n">
        <v>0</v>
      </c>
      <c r="AG52" s="155" t="n">
        <v>0</v>
      </c>
      <c r="AH52" s="155" t="n">
        <v>0</v>
      </c>
      <c r="AI52" s="155" t="n">
        <v>0</v>
      </c>
      <c r="AJ52" s="155" t="n">
        <v>0</v>
      </c>
      <c r="AK52" s="155" t="n">
        <v>0</v>
      </c>
      <c r="AL52" s="155" t="n">
        <v>0</v>
      </c>
      <c r="AM52" s="155" t="n">
        <v>0</v>
      </c>
      <c r="AN52" s="155" t="n">
        <v>0</v>
      </c>
      <c r="AO52" s="155" t="n">
        <v>0</v>
      </c>
      <c r="AP52" s="155" t="n">
        <v>0</v>
      </c>
      <c r="AQ52" s="155" t="n">
        <v>0</v>
      </c>
      <c r="AR52" s="155" t="n">
        <v>0</v>
      </c>
      <c r="AS52" s="155" t="n">
        <v>0</v>
      </c>
      <c r="AT52" s="155" t="n">
        <v>0</v>
      </c>
      <c r="AU52" s="155" t="n">
        <v>0</v>
      </c>
      <c r="AV52" s="155" t="n">
        <v>0</v>
      </c>
      <c r="AW52" s="155" t="n">
        <v>0</v>
      </c>
      <c r="AX52" s="155" t="n">
        <v>0</v>
      </c>
      <c r="AY52" s="155" t="n">
        <v>0</v>
      </c>
      <c r="AZ52" s="155" t="n">
        <v>0</v>
      </c>
      <c r="BA52" s="155" t="n">
        <v>0</v>
      </c>
      <c r="BB52" s="155" t="n">
        <v>0</v>
      </c>
      <c r="BC52" s="155" t="n">
        <v>0</v>
      </c>
      <c r="BD52" s="155" t="n">
        <v>0</v>
      </c>
      <c r="BE52" s="155" t="n">
        <v>0</v>
      </c>
      <c r="BF52" s="155" t="n">
        <v>0</v>
      </c>
      <c r="BG52" s="155" t="n">
        <v>0</v>
      </c>
      <c r="BH52" s="155" t="n">
        <v>0</v>
      </c>
      <c r="BI52" s="155" t="n">
        <v>0</v>
      </c>
      <c r="BJ52" s="155" t="n">
        <v>0</v>
      </c>
      <c r="BK52" s="155" t="n">
        <v>0</v>
      </c>
      <c r="BL52" s="155" t="n">
        <v>0</v>
      </c>
      <c r="BM52" s="155" t="n">
        <v>0</v>
      </c>
      <c r="BN52" s="155" t="n">
        <v>0</v>
      </c>
      <c r="BO52" s="155" t="n">
        <v>0</v>
      </c>
      <c r="BP52" s="155" t="n">
        <v>0</v>
      </c>
      <c r="BQ52" s="155" t="n">
        <v>0</v>
      </c>
      <c r="BR52" s="155" t="n">
        <v>0</v>
      </c>
      <c r="BS52" s="155" t="n">
        <v>0</v>
      </c>
      <c r="BT52" s="155" t="n">
        <v>0</v>
      </c>
      <c r="BU52" s="155" t="n">
        <v>0</v>
      </c>
      <c r="BV52" s="155" t="n">
        <v>0</v>
      </c>
      <c r="BW52" s="155" t="n">
        <v>0</v>
      </c>
      <c r="BX52" s="155" t="n">
        <v>0</v>
      </c>
      <c r="BY52" s="155" t="n">
        <v>0</v>
      </c>
      <c r="BZ52" s="155" t="n">
        <v>0</v>
      </c>
      <c r="CA52" s="155" t="n">
        <v>0</v>
      </c>
      <c r="CB52" s="155" t="n">
        <v>0</v>
      </c>
      <c r="CC52" s="155" t="n">
        <v>0</v>
      </c>
      <c r="CD52" s="155" t="n">
        <v>0</v>
      </c>
      <c r="CE52" s="155" t="n">
        <v>0</v>
      </c>
      <c r="CF52" s="155" t="n">
        <v>0</v>
      </c>
      <c r="CG52" s="155" t="n">
        <v>0</v>
      </c>
      <c r="CH52" s="155" t="n">
        <v>0</v>
      </c>
      <c r="CI52" s="155" t="n">
        <v>0</v>
      </c>
      <c r="CJ52" s="155" t="n">
        <v>0</v>
      </c>
      <c r="CK52" s="155" t="n">
        <v>0</v>
      </c>
      <c r="CL52" s="155" t="n">
        <v>0</v>
      </c>
      <c r="CM52" s="155" t="n">
        <v>0</v>
      </c>
      <c r="CN52" s="155" t="n">
        <v>0</v>
      </c>
      <c r="CO52" s="155" t="n">
        <v>0</v>
      </c>
      <c r="CP52" s="155" t="n">
        <v>0</v>
      </c>
      <c r="CQ52" s="155" t="n">
        <v>0</v>
      </c>
      <c r="CR52" s="155" t="n">
        <v>0</v>
      </c>
      <c r="CS52" s="155" t="n">
        <v>0</v>
      </c>
      <c r="CT52" s="155" t="n">
        <v>0</v>
      </c>
      <c r="CU52" s="155" t="n">
        <v>0</v>
      </c>
      <c r="CV52" s="155" t="n">
        <v>0</v>
      </c>
      <c r="CW52" s="155" t="n">
        <v>0</v>
      </c>
      <c r="CX52" s="155" t="n">
        <v>0</v>
      </c>
      <c r="CY52" s="155" t="n">
        <v>0</v>
      </c>
      <c r="CZ52" s="155" t="n">
        <v>0</v>
      </c>
      <c r="DA52" s="155" t="n">
        <v>0</v>
      </c>
      <c r="DB52" s="155" t="n">
        <v>0</v>
      </c>
      <c r="DC52" s="155" t="n">
        <v>0</v>
      </c>
      <c r="DD52" s="155" t="n">
        <v>0</v>
      </c>
      <c r="DE52" s="155" t="n">
        <v>0</v>
      </c>
      <c r="DF52" s="155" t="n">
        <v>0</v>
      </c>
    </row>
    <row r="53" customFormat="false" ht="15" hidden="false" customHeight="true" outlineLevel="0" collapsed="false">
      <c r="A53" s="114" t="s">
        <v>92</v>
      </c>
      <c r="C53" s="154" t="n">
        <v>0</v>
      </c>
      <c r="D53" s="154" t="n">
        <v>0</v>
      </c>
      <c r="E53" s="154" t="n">
        <v>-11105.35</v>
      </c>
      <c r="F53" s="155" t="n">
        <v>-3701.78</v>
      </c>
      <c r="G53" s="155" t="n">
        <v>-3701.78</v>
      </c>
      <c r="H53" s="155" t="n">
        <v>-3701.78</v>
      </c>
      <c r="I53" s="155" t="n">
        <v>-3701.78</v>
      </c>
      <c r="J53" s="155" t="n">
        <v>-3701.78</v>
      </c>
      <c r="K53" s="155" t="n">
        <v>-3701.78</v>
      </c>
      <c r="L53" s="155" t="n">
        <v>-3701.78</v>
      </c>
      <c r="M53" s="155" t="n">
        <v>-3701.78</v>
      </c>
      <c r="N53" s="155" t="n">
        <v>-3701.78</v>
      </c>
      <c r="O53" s="155" t="n">
        <v>-3701.78</v>
      </c>
      <c r="P53" s="155" t="n">
        <v>-3701.78</v>
      </c>
      <c r="Q53" s="155" t="n">
        <v>-3701.78</v>
      </c>
      <c r="R53" s="155" t="n">
        <v>-3775.8156</v>
      </c>
      <c r="S53" s="155" t="n">
        <v>-3775.8156</v>
      </c>
      <c r="T53" s="155" t="n">
        <v>-3775.8156</v>
      </c>
      <c r="U53" s="155" t="n">
        <v>-3775.8156</v>
      </c>
      <c r="V53" s="155" t="n">
        <v>-3775.8156</v>
      </c>
      <c r="W53" s="155" t="n">
        <v>-3775.8156</v>
      </c>
      <c r="X53" s="155" t="n">
        <v>-3775.8156</v>
      </c>
      <c r="Y53" s="155" t="n">
        <v>-3775.8156</v>
      </c>
      <c r="Z53" s="155" t="n">
        <v>-3775.8156</v>
      </c>
      <c r="AA53" s="155" t="n">
        <v>-3775.8156</v>
      </c>
      <c r="AB53" s="155" t="n">
        <v>-3775.8156</v>
      </c>
      <c r="AC53" s="155" t="n">
        <v>-3775.8156</v>
      </c>
      <c r="AD53" s="155" t="n">
        <v>-3851.331912</v>
      </c>
      <c r="AE53" s="155" t="n">
        <v>-3851.331912</v>
      </c>
      <c r="AF53" s="155" t="n">
        <v>-3851.331912</v>
      </c>
      <c r="AG53" s="155" t="n">
        <v>-3851.331912</v>
      </c>
      <c r="AH53" s="155" t="n">
        <v>-3851.331912</v>
      </c>
      <c r="AI53" s="155" t="n">
        <v>-3851.331912</v>
      </c>
      <c r="AJ53" s="155" t="n">
        <v>-3851.331912</v>
      </c>
      <c r="AK53" s="155" t="n">
        <v>-3851.331912</v>
      </c>
      <c r="AL53" s="155" t="n">
        <v>-3851.331912</v>
      </c>
      <c r="AM53" s="155" t="n">
        <v>-3851.331912</v>
      </c>
      <c r="AN53" s="155" t="n">
        <v>-3851.331912</v>
      </c>
      <c r="AO53" s="155" t="n">
        <v>-3851.331912</v>
      </c>
      <c r="AP53" s="155" t="n">
        <v>-3928.35855024</v>
      </c>
      <c r="AQ53" s="155" t="n">
        <v>-3928.35855024</v>
      </c>
      <c r="AR53" s="155" t="n">
        <v>-3928.35855024</v>
      </c>
      <c r="AS53" s="155" t="n">
        <v>-3928.35855024</v>
      </c>
      <c r="AT53" s="155" t="n">
        <v>-3928.35855024</v>
      </c>
      <c r="AU53" s="155" t="n">
        <v>-3928.35855024</v>
      </c>
      <c r="AV53" s="155" t="n">
        <v>-3928.35855024</v>
      </c>
      <c r="AW53" s="155" t="n">
        <v>-3928.35855024</v>
      </c>
      <c r="AX53" s="155" t="n">
        <v>-3928.35855024</v>
      </c>
      <c r="AY53" s="155" t="n">
        <v>-3928.35855024</v>
      </c>
      <c r="AZ53" s="155" t="n">
        <v>-3928.35855024</v>
      </c>
      <c r="BA53" s="155" t="n">
        <v>-3928.35855024</v>
      </c>
      <c r="BB53" s="155" t="n">
        <v>-4006.9257212448</v>
      </c>
      <c r="BC53" s="155" t="n">
        <v>-4006.9257212448</v>
      </c>
      <c r="BD53" s="155" t="n">
        <v>-4006.9257212448</v>
      </c>
      <c r="BE53" s="155" t="n">
        <v>-4006.9257212448</v>
      </c>
      <c r="BF53" s="155" t="n">
        <v>-4006.9257212448</v>
      </c>
      <c r="BG53" s="155" t="n">
        <v>-4006.9257212448</v>
      </c>
      <c r="BH53" s="155" t="n">
        <v>-4006.9257212448</v>
      </c>
      <c r="BI53" s="155" t="n">
        <v>-4006.9257212448</v>
      </c>
      <c r="BJ53" s="155" t="n">
        <v>-4006.9257212448</v>
      </c>
      <c r="BK53" s="155" t="n">
        <v>-4006.9257212448</v>
      </c>
      <c r="BL53" s="155" t="n">
        <v>-4006.9257212448</v>
      </c>
      <c r="BM53" s="155" t="n">
        <v>-4006.9257212448</v>
      </c>
      <c r="BN53" s="155" t="n">
        <v>-4087.0642356697</v>
      </c>
      <c r="BO53" s="155" t="n">
        <v>-4087.0642356697</v>
      </c>
      <c r="BP53" s="155" t="n">
        <v>-4087.0642356697</v>
      </c>
      <c r="BQ53" s="155" t="n">
        <v>-4087.0642356697</v>
      </c>
      <c r="BR53" s="155" t="n">
        <v>-4087.0642356697</v>
      </c>
      <c r="BS53" s="155" t="n">
        <v>-4087.0642356697</v>
      </c>
      <c r="BT53" s="155" t="n">
        <v>-4087.0642356697</v>
      </c>
      <c r="BU53" s="155" t="n">
        <v>-4087.0642356697</v>
      </c>
      <c r="BV53" s="155" t="n">
        <v>-4087.0642356697</v>
      </c>
      <c r="BW53" s="155" t="n">
        <v>-4087.0642356697</v>
      </c>
      <c r="BX53" s="155" t="n">
        <v>-4087.0642356697</v>
      </c>
      <c r="BY53" s="155" t="n">
        <v>-4087.0642356697</v>
      </c>
      <c r="BZ53" s="155" t="n">
        <v>-4168.80552038309</v>
      </c>
      <c r="CA53" s="155" t="n">
        <v>-4168.80552038309</v>
      </c>
      <c r="CB53" s="155" t="n">
        <v>-4168.80552038309</v>
      </c>
      <c r="CC53" s="155" t="n">
        <v>-4168.80552038309</v>
      </c>
      <c r="CD53" s="155" t="n">
        <v>-4168.80552038309</v>
      </c>
      <c r="CE53" s="155" t="n">
        <v>-4168.80552038309</v>
      </c>
      <c r="CF53" s="155" t="n">
        <v>-4168.80552038309</v>
      </c>
      <c r="CG53" s="155" t="n">
        <v>-4168.80552038309</v>
      </c>
      <c r="CH53" s="155" t="n">
        <v>-4168.80552038309</v>
      </c>
      <c r="CI53" s="155" t="n">
        <v>-4168.80552038309</v>
      </c>
      <c r="CJ53" s="155" t="n">
        <v>-4168.80552038309</v>
      </c>
      <c r="CK53" s="155" t="n">
        <v>-4168.80552038309</v>
      </c>
      <c r="CL53" s="155" t="n">
        <v>-4252.18163079075</v>
      </c>
      <c r="CM53" s="155" t="n">
        <v>-4252.18163079075</v>
      </c>
      <c r="CN53" s="155" t="n">
        <v>-4252.18163079075</v>
      </c>
      <c r="CO53" s="155" t="n">
        <v>-4252.18163079075</v>
      </c>
      <c r="CP53" s="155" t="n">
        <v>-4252.18163079075</v>
      </c>
      <c r="CQ53" s="155" t="n">
        <v>-4252.18163079075</v>
      </c>
      <c r="CR53" s="155" t="n">
        <v>-4252.18163079075</v>
      </c>
      <c r="CS53" s="155" t="n">
        <v>-4252.18163079075</v>
      </c>
      <c r="CT53" s="155" t="n">
        <v>-4252.18163079075</v>
      </c>
      <c r="CU53" s="155" t="n">
        <v>-4252.18163079075</v>
      </c>
      <c r="CV53" s="155" t="n">
        <v>-4252.18163079075</v>
      </c>
      <c r="CW53" s="155" t="n">
        <v>-4252.18163079075</v>
      </c>
      <c r="CX53" s="155" t="n">
        <v>-4337.22526340657</v>
      </c>
      <c r="CY53" s="155" t="n">
        <v>-4337.22526340657</v>
      </c>
      <c r="CZ53" s="155" t="n">
        <v>-4337.22526340657</v>
      </c>
      <c r="DA53" s="155" t="n">
        <v>-4337.22526340657</v>
      </c>
      <c r="DB53" s="155" t="n">
        <v>-4337.22526340657</v>
      </c>
      <c r="DC53" s="155" t="n">
        <v>-4337.22526340657</v>
      </c>
      <c r="DD53" s="155" t="n">
        <v>-4337.22526340657</v>
      </c>
      <c r="DE53" s="155" t="n">
        <v>-4337.22526340657</v>
      </c>
      <c r="DF53" s="155" t="n">
        <v>-4337.22526340657</v>
      </c>
    </row>
    <row r="54" customFormat="false" ht="15" hidden="false" customHeight="true" outlineLevel="0" collapsed="false">
      <c r="A54" s="114" t="s">
        <v>300</v>
      </c>
      <c r="C54" s="154" t="n">
        <v>0</v>
      </c>
      <c r="D54" s="154" t="n">
        <v>0</v>
      </c>
      <c r="E54" s="154" t="n">
        <v>0</v>
      </c>
      <c r="F54" s="155" t="n">
        <v>0</v>
      </c>
      <c r="G54" s="155" t="n">
        <v>0</v>
      </c>
      <c r="H54" s="155" t="n">
        <v>0</v>
      </c>
      <c r="I54" s="155" t="n">
        <v>0</v>
      </c>
      <c r="J54" s="155" t="n">
        <v>0</v>
      </c>
      <c r="K54" s="155" t="n">
        <v>0</v>
      </c>
      <c r="L54" s="155" t="n">
        <v>0</v>
      </c>
      <c r="M54" s="155" t="n">
        <v>0</v>
      </c>
      <c r="N54" s="155" t="n">
        <v>0</v>
      </c>
      <c r="O54" s="155" t="n">
        <v>0</v>
      </c>
      <c r="P54" s="155" t="n">
        <v>0</v>
      </c>
      <c r="Q54" s="155" t="n">
        <v>0</v>
      </c>
      <c r="R54" s="155" t="n">
        <v>0</v>
      </c>
      <c r="S54" s="155" t="n">
        <v>0</v>
      </c>
      <c r="T54" s="155" t="n">
        <v>0</v>
      </c>
      <c r="U54" s="155" t="n">
        <v>0</v>
      </c>
      <c r="V54" s="155" t="n">
        <v>0</v>
      </c>
      <c r="W54" s="155" t="n">
        <v>0</v>
      </c>
      <c r="X54" s="155" t="n">
        <v>0</v>
      </c>
      <c r="Y54" s="155" t="n">
        <v>0</v>
      </c>
      <c r="Z54" s="155" t="n">
        <v>0</v>
      </c>
      <c r="AA54" s="155" t="n">
        <v>0</v>
      </c>
      <c r="AB54" s="155" t="n">
        <v>0</v>
      </c>
      <c r="AC54" s="155" t="n">
        <v>0</v>
      </c>
      <c r="AD54" s="155" t="n">
        <v>0</v>
      </c>
      <c r="AE54" s="155" t="n">
        <v>0</v>
      </c>
      <c r="AF54" s="155" t="n">
        <v>0</v>
      </c>
      <c r="AG54" s="155" t="n">
        <v>0</v>
      </c>
      <c r="AH54" s="155" t="n">
        <v>0</v>
      </c>
      <c r="AI54" s="155" t="n">
        <v>0</v>
      </c>
      <c r="AJ54" s="155" t="n">
        <v>0</v>
      </c>
      <c r="AK54" s="155" t="n">
        <v>0</v>
      </c>
      <c r="AL54" s="155" t="n">
        <v>0</v>
      </c>
      <c r="AM54" s="155" t="n">
        <v>0</v>
      </c>
      <c r="AN54" s="155" t="n">
        <v>0</v>
      </c>
      <c r="AO54" s="155" t="n">
        <v>0</v>
      </c>
      <c r="AP54" s="155" t="n">
        <v>0</v>
      </c>
      <c r="AQ54" s="155" t="n">
        <v>0</v>
      </c>
      <c r="AR54" s="155" t="n">
        <v>0</v>
      </c>
      <c r="AS54" s="155" t="n">
        <v>0</v>
      </c>
      <c r="AT54" s="155" t="n">
        <v>0</v>
      </c>
      <c r="AU54" s="155" t="n">
        <v>0</v>
      </c>
      <c r="AV54" s="155" t="n">
        <v>0</v>
      </c>
      <c r="AW54" s="155" t="n">
        <v>0</v>
      </c>
      <c r="AX54" s="155" t="n">
        <v>0</v>
      </c>
      <c r="AY54" s="155" t="n">
        <v>0</v>
      </c>
      <c r="AZ54" s="155" t="n">
        <v>0</v>
      </c>
      <c r="BA54" s="155" t="n">
        <v>0</v>
      </c>
      <c r="BB54" s="155" t="n">
        <v>0</v>
      </c>
      <c r="BC54" s="155" t="n">
        <v>0</v>
      </c>
      <c r="BD54" s="155" t="n">
        <v>0</v>
      </c>
      <c r="BE54" s="155" t="n">
        <v>0</v>
      </c>
      <c r="BF54" s="155" t="n">
        <v>0</v>
      </c>
      <c r="BG54" s="155" t="n">
        <v>0</v>
      </c>
      <c r="BH54" s="155" t="n">
        <v>0</v>
      </c>
      <c r="BI54" s="155" t="n">
        <v>0</v>
      </c>
      <c r="BJ54" s="155" t="n">
        <v>0</v>
      </c>
      <c r="BK54" s="155" t="n">
        <v>0</v>
      </c>
      <c r="BL54" s="155" t="n">
        <v>0</v>
      </c>
      <c r="BM54" s="155" t="n">
        <v>0</v>
      </c>
      <c r="BN54" s="155" t="n">
        <v>0</v>
      </c>
      <c r="BO54" s="155" t="n">
        <v>0</v>
      </c>
      <c r="BP54" s="155" t="n">
        <v>0</v>
      </c>
      <c r="BQ54" s="155" t="n">
        <v>0</v>
      </c>
      <c r="BR54" s="155" t="n">
        <v>0</v>
      </c>
      <c r="BS54" s="155" t="n">
        <v>0</v>
      </c>
      <c r="BT54" s="155" t="n">
        <v>0</v>
      </c>
      <c r="BU54" s="155" t="n">
        <v>0</v>
      </c>
      <c r="BV54" s="155" t="n">
        <v>0</v>
      </c>
      <c r="BW54" s="155" t="n">
        <v>0</v>
      </c>
      <c r="BX54" s="155" t="n">
        <v>0</v>
      </c>
      <c r="BY54" s="155" t="n">
        <v>0</v>
      </c>
      <c r="BZ54" s="155" t="n">
        <v>0</v>
      </c>
      <c r="CA54" s="155" t="n">
        <v>0</v>
      </c>
      <c r="CB54" s="155" t="n">
        <v>0</v>
      </c>
      <c r="CC54" s="155" t="n">
        <v>0</v>
      </c>
      <c r="CD54" s="155" t="n">
        <v>0</v>
      </c>
      <c r="CE54" s="155" t="n">
        <v>0</v>
      </c>
      <c r="CF54" s="155" t="n">
        <v>0</v>
      </c>
      <c r="CG54" s="155" t="n">
        <v>0</v>
      </c>
      <c r="CH54" s="155" t="n">
        <v>0</v>
      </c>
      <c r="CI54" s="155" t="n">
        <v>0</v>
      </c>
      <c r="CJ54" s="155" t="n">
        <v>0</v>
      </c>
      <c r="CK54" s="155" t="n">
        <v>0</v>
      </c>
      <c r="CL54" s="155" t="n">
        <v>0</v>
      </c>
      <c r="CM54" s="155" t="n">
        <v>0</v>
      </c>
      <c r="CN54" s="155" t="n">
        <v>0</v>
      </c>
      <c r="CO54" s="155" t="n">
        <v>0</v>
      </c>
      <c r="CP54" s="155" t="n">
        <v>0</v>
      </c>
      <c r="CQ54" s="155" t="n">
        <v>0</v>
      </c>
      <c r="CR54" s="155" t="n">
        <v>0</v>
      </c>
      <c r="CS54" s="155" t="n">
        <v>0</v>
      </c>
      <c r="CT54" s="155" t="n">
        <v>0</v>
      </c>
      <c r="CU54" s="155" t="n">
        <v>0</v>
      </c>
      <c r="CV54" s="155" t="n">
        <v>0</v>
      </c>
      <c r="CW54" s="155" t="n">
        <v>0</v>
      </c>
      <c r="CX54" s="155" t="n">
        <v>0</v>
      </c>
      <c r="CY54" s="155" t="n">
        <v>0</v>
      </c>
      <c r="CZ54" s="155" t="n">
        <v>0</v>
      </c>
      <c r="DA54" s="155" t="n">
        <v>0</v>
      </c>
      <c r="DB54" s="155" t="n">
        <v>0</v>
      </c>
      <c r="DC54" s="155" t="n">
        <v>0</v>
      </c>
      <c r="DD54" s="155" t="n">
        <v>0</v>
      </c>
      <c r="DE54" s="155" t="n">
        <v>0</v>
      </c>
      <c r="DF54" s="155" t="n">
        <v>0</v>
      </c>
    </row>
    <row r="55" customFormat="false" ht="15" hidden="false" customHeight="true" outlineLevel="0" collapsed="false">
      <c r="A55" s="108" t="s">
        <v>93</v>
      </c>
      <c r="C55" s="157" t="n">
        <v>-258991.59</v>
      </c>
      <c r="D55" s="157" t="n">
        <v>-258698.63</v>
      </c>
      <c r="E55" s="157" t="n">
        <v>-350327.83</v>
      </c>
      <c r="F55" s="157" t="n">
        <v>-391691.558333333</v>
      </c>
      <c r="G55" s="157" t="n">
        <v>-464089.475</v>
      </c>
      <c r="H55" s="157" t="n">
        <v>-493464.475</v>
      </c>
      <c r="I55" s="157" t="n">
        <v>-480368.641666666</v>
      </c>
      <c r="J55" s="157" t="n">
        <v>-460868.641666666</v>
      </c>
      <c r="K55" s="157" t="n">
        <v>-460868.641666666</v>
      </c>
      <c r="L55" s="157" t="n">
        <v>-522222.808333333</v>
      </c>
      <c r="M55" s="157" t="n">
        <v>-573072.808333333</v>
      </c>
      <c r="N55" s="157" t="n">
        <v>-519072.808333333</v>
      </c>
      <c r="O55" s="157" t="n">
        <v>-519072.808333333</v>
      </c>
      <c r="P55" s="157" t="n">
        <v>-519072.808333333</v>
      </c>
      <c r="Q55" s="157" t="n">
        <v>-519072.808333333</v>
      </c>
      <c r="R55" s="157" t="n">
        <v>-566949.597833333</v>
      </c>
      <c r="S55" s="157" t="n">
        <v>-542949.597833333</v>
      </c>
      <c r="T55" s="157" t="n">
        <v>-542949.597833333</v>
      </c>
      <c r="U55" s="157" t="n">
        <v>-542949.597833333</v>
      </c>
      <c r="V55" s="157" t="n">
        <v>-542949.597833333</v>
      </c>
      <c r="W55" s="157" t="n">
        <v>-542949.597833333</v>
      </c>
      <c r="X55" s="157" t="n">
        <v>-542949.597833333</v>
      </c>
      <c r="Y55" s="157" t="n">
        <v>-542949.597833333</v>
      </c>
      <c r="Z55" s="157" t="n">
        <v>-542949.597833333</v>
      </c>
      <c r="AA55" s="157" t="n">
        <v>-542949.597833333</v>
      </c>
      <c r="AB55" s="157" t="n">
        <v>-542949.597833333</v>
      </c>
      <c r="AC55" s="157" t="n">
        <v>-542949.597833333</v>
      </c>
      <c r="AD55" s="157" t="n">
        <v>-551731.923123333</v>
      </c>
      <c r="AE55" s="157" t="n">
        <v>-551731.923123333</v>
      </c>
      <c r="AF55" s="157" t="n">
        <v>-551731.923123333</v>
      </c>
      <c r="AG55" s="157" t="n">
        <v>-551731.923123333</v>
      </c>
      <c r="AH55" s="157" t="n">
        <v>-551731.923123333</v>
      </c>
      <c r="AI55" s="157" t="n">
        <v>-551731.923123333</v>
      </c>
      <c r="AJ55" s="157" t="n">
        <v>-551731.923123333</v>
      </c>
      <c r="AK55" s="157" t="n">
        <v>-551731.923123333</v>
      </c>
      <c r="AL55" s="157" t="n">
        <v>-551731.923123333</v>
      </c>
      <c r="AM55" s="157" t="n">
        <v>-551731.923123333</v>
      </c>
      <c r="AN55" s="157" t="n">
        <v>-551731.923123333</v>
      </c>
      <c r="AO55" s="157" t="n">
        <v>-551731.923123333</v>
      </c>
      <c r="AP55" s="157" t="n">
        <v>-560689.894919133</v>
      </c>
      <c r="AQ55" s="157" t="n">
        <v>-560689.894919133</v>
      </c>
      <c r="AR55" s="157" t="n">
        <v>-560689.894919133</v>
      </c>
      <c r="AS55" s="157" t="n">
        <v>-560689.894919133</v>
      </c>
      <c r="AT55" s="157" t="n">
        <v>-560689.894919133</v>
      </c>
      <c r="AU55" s="157" t="n">
        <v>-560689.894919133</v>
      </c>
      <c r="AV55" s="157" t="n">
        <v>-560689.894919133</v>
      </c>
      <c r="AW55" s="157" t="n">
        <v>-560689.894919133</v>
      </c>
      <c r="AX55" s="157" t="n">
        <v>-560689.894919133</v>
      </c>
      <c r="AY55" s="157" t="n">
        <v>-560689.894919133</v>
      </c>
      <c r="AZ55" s="157" t="n">
        <v>-560689.894919133</v>
      </c>
      <c r="BA55" s="157" t="n">
        <v>-560689.894919133</v>
      </c>
      <c r="BB55" s="157" t="n">
        <v>-569827.026150849</v>
      </c>
      <c r="BC55" s="157" t="n">
        <v>-569827.026150849</v>
      </c>
      <c r="BD55" s="157" t="n">
        <v>-569827.026150849</v>
      </c>
      <c r="BE55" s="157" t="n">
        <v>-569827.026150849</v>
      </c>
      <c r="BF55" s="157" t="n">
        <v>-569827.026150849</v>
      </c>
      <c r="BG55" s="157" t="n">
        <v>-569827.026150849</v>
      </c>
      <c r="BH55" s="157" t="n">
        <v>-569827.026150849</v>
      </c>
      <c r="BI55" s="157" t="n">
        <v>-569827.026150849</v>
      </c>
      <c r="BJ55" s="157" t="n">
        <v>-569827.026150849</v>
      </c>
      <c r="BK55" s="157" t="n">
        <v>-569827.026150849</v>
      </c>
      <c r="BL55" s="157" t="n">
        <v>-569827.026150849</v>
      </c>
      <c r="BM55" s="157" t="n">
        <v>-569827.026150849</v>
      </c>
      <c r="BN55" s="157" t="n">
        <v>-579146.900007199</v>
      </c>
      <c r="BO55" s="157" t="n">
        <v>-579146.900007199</v>
      </c>
      <c r="BP55" s="157" t="n">
        <v>-579146.900007199</v>
      </c>
      <c r="BQ55" s="157" t="n">
        <v>-579146.900007199</v>
      </c>
      <c r="BR55" s="157" t="n">
        <v>-579146.900007199</v>
      </c>
      <c r="BS55" s="157" t="n">
        <v>-579146.900007199</v>
      </c>
      <c r="BT55" s="157" t="n">
        <v>-579146.900007199</v>
      </c>
      <c r="BU55" s="157" t="n">
        <v>-579146.900007199</v>
      </c>
      <c r="BV55" s="157" t="n">
        <v>-579146.900007199</v>
      </c>
      <c r="BW55" s="157" t="n">
        <v>-579146.900007199</v>
      </c>
      <c r="BX55" s="157" t="n">
        <v>-579146.900007199</v>
      </c>
      <c r="BY55" s="157" t="n">
        <v>-579146.900007199</v>
      </c>
      <c r="BZ55" s="157" t="n">
        <v>-588653.171340677</v>
      </c>
      <c r="CA55" s="157" t="n">
        <v>-588653.171340677</v>
      </c>
      <c r="CB55" s="157" t="n">
        <v>-588653.171340677</v>
      </c>
      <c r="CC55" s="157" t="n">
        <v>-588653.171340677</v>
      </c>
      <c r="CD55" s="157" t="n">
        <v>-588653.171340677</v>
      </c>
      <c r="CE55" s="157" t="n">
        <v>-588653.171340677</v>
      </c>
      <c r="CF55" s="157" t="n">
        <v>-588653.171340677</v>
      </c>
      <c r="CG55" s="157" t="n">
        <v>-588653.171340677</v>
      </c>
      <c r="CH55" s="157" t="n">
        <v>-588653.171340677</v>
      </c>
      <c r="CI55" s="157" t="n">
        <v>-588653.171340677</v>
      </c>
      <c r="CJ55" s="157" t="n">
        <v>-588653.171340677</v>
      </c>
      <c r="CK55" s="157" t="n">
        <v>-588653.171340677</v>
      </c>
      <c r="CL55" s="157" t="n">
        <v>-598349.568100823</v>
      </c>
      <c r="CM55" s="157" t="n">
        <v>-598349.568100823</v>
      </c>
      <c r="CN55" s="157" t="n">
        <v>-598349.568100823</v>
      </c>
      <c r="CO55" s="157" t="n">
        <v>-598349.568100823</v>
      </c>
      <c r="CP55" s="157" t="n">
        <v>-598349.568100823</v>
      </c>
      <c r="CQ55" s="157" t="n">
        <v>-598349.568100823</v>
      </c>
      <c r="CR55" s="157" t="n">
        <v>-598349.568100823</v>
      </c>
      <c r="CS55" s="157" t="n">
        <v>-598349.568100823</v>
      </c>
      <c r="CT55" s="157" t="n">
        <v>-598349.568100823</v>
      </c>
      <c r="CU55" s="157" t="n">
        <v>-541129.466733473</v>
      </c>
      <c r="CV55" s="157" t="n">
        <v>-541129.466733473</v>
      </c>
      <c r="CW55" s="157" t="n">
        <v>-541129.466733473</v>
      </c>
      <c r="CX55" s="157" t="n">
        <v>-549875.389401476</v>
      </c>
      <c r="CY55" s="157" t="n">
        <v>-549875.389401476</v>
      </c>
      <c r="CZ55" s="157" t="n">
        <v>-549875.389401476</v>
      </c>
      <c r="DA55" s="157" t="n">
        <v>-549875.389401476</v>
      </c>
      <c r="DB55" s="157" t="n">
        <v>-549875.389401476</v>
      </c>
      <c r="DC55" s="157" t="n">
        <v>-549875.389401476</v>
      </c>
      <c r="DD55" s="157" t="n">
        <v>-549875.389401476</v>
      </c>
      <c r="DE55" s="157" t="n">
        <v>-549875.389401476</v>
      </c>
      <c r="DF55" s="157" t="n">
        <v>-549875.389401476</v>
      </c>
    </row>
    <row r="56" customFormat="false" ht="15" hidden="false" customHeight="true" outlineLevel="0" collapsed="false">
      <c r="A56" s="127"/>
      <c r="C56" s="112"/>
      <c r="D56" s="112"/>
      <c r="E56" s="112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customFormat="false" ht="15" hidden="false" customHeight="true" outlineLevel="0" collapsed="false">
      <c r="A57" s="76" t="s">
        <v>94</v>
      </c>
      <c r="C57" s="161" t="n">
        <v>-40238.7799999999</v>
      </c>
      <c r="D57" s="161" t="n">
        <v>-309702.1</v>
      </c>
      <c r="E57" s="161" t="n">
        <v>243856.69</v>
      </c>
      <c r="F57" s="161" t="n">
        <v>77193.5079209369</v>
      </c>
      <c r="G57" s="161" t="n">
        <v>4795.59125425993</v>
      </c>
      <c r="H57" s="161" t="n">
        <v>-24579.4087457396</v>
      </c>
      <c r="I57" s="161" t="n">
        <v>478888.752787913</v>
      </c>
      <c r="J57" s="161" t="n">
        <v>171828.547987913</v>
      </c>
      <c r="K57" s="161" t="n">
        <v>171828.547987913</v>
      </c>
      <c r="L57" s="161" t="n">
        <v>476879.116623526</v>
      </c>
      <c r="M57" s="161" t="n">
        <v>507880.050630907</v>
      </c>
      <c r="N57" s="161" t="n">
        <v>255504.966544817</v>
      </c>
      <c r="O57" s="161" t="n">
        <v>255504.966544827</v>
      </c>
      <c r="P57" s="161" t="n">
        <v>255504.966544827</v>
      </c>
      <c r="Q57" s="161" t="n">
        <v>255504.966544817</v>
      </c>
      <c r="R57" s="161" t="n">
        <v>-411966.093897963</v>
      </c>
      <c r="S57" s="161" t="n">
        <v>404202.381102027</v>
      </c>
      <c r="T57" s="161" t="n">
        <v>562864.259388238</v>
      </c>
      <c r="U57" s="161" t="n">
        <v>324683.812184128</v>
      </c>
      <c r="V57" s="161" t="n">
        <v>59005.0606073667</v>
      </c>
      <c r="W57" s="161" t="n">
        <v>59005.0606073677</v>
      </c>
      <c r="X57" s="161" t="n">
        <v>80815.3650471163</v>
      </c>
      <c r="Y57" s="161" t="n">
        <v>37194.7561676172</v>
      </c>
      <c r="Z57" s="161" t="n">
        <v>37194.7561676162</v>
      </c>
      <c r="AA57" s="161" t="n">
        <v>37194.7561676172</v>
      </c>
      <c r="AB57" s="161" t="n">
        <v>37194.7561676162</v>
      </c>
      <c r="AC57" s="161" t="n">
        <v>37194.7561676172</v>
      </c>
      <c r="AD57" s="161" t="n">
        <v>110433.446720217</v>
      </c>
      <c r="AE57" s="161" t="n">
        <v>-53608.5849649826</v>
      </c>
      <c r="AF57" s="161" t="n">
        <v>-619655.004096433</v>
      </c>
      <c r="AG57" s="161" t="n">
        <v>104051.055903567</v>
      </c>
      <c r="AH57" s="161" t="n">
        <v>104051.055903567</v>
      </c>
      <c r="AI57" s="161" t="n">
        <v>104051.055903567</v>
      </c>
      <c r="AJ57" s="161" t="n">
        <v>232047.185471317</v>
      </c>
      <c r="AK57" s="161" t="n">
        <v>2720.78666242689</v>
      </c>
      <c r="AL57" s="161" t="n">
        <v>261371.507820827</v>
      </c>
      <c r="AM57" s="161" t="n">
        <v>-161091.336737893</v>
      </c>
      <c r="AN57" s="161" t="n">
        <v>-161091.336737893</v>
      </c>
      <c r="AO57" s="161" t="n">
        <v>-65712.2712752431</v>
      </c>
      <c r="AP57" s="161" t="n">
        <v>-230456.049993373</v>
      </c>
      <c r="AQ57" s="161" t="n">
        <v>-230456.049993373</v>
      </c>
      <c r="AR57" s="161" t="n">
        <v>-230456.049993373</v>
      </c>
      <c r="AS57" s="161" t="n">
        <v>-230456.049993373</v>
      </c>
      <c r="AT57" s="161" t="n">
        <v>-230456.049993373</v>
      </c>
      <c r="AU57" s="161" t="n">
        <v>42029.5353601269</v>
      </c>
      <c r="AV57" s="161" t="n">
        <v>-403030.254050583</v>
      </c>
      <c r="AW57" s="161" t="n">
        <v>-403030.254050583</v>
      </c>
      <c r="AX57" s="161" t="n">
        <v>-403030.254050583</v>
      </c>
      <c r="AY57" s="161" t="n">
        <v>-403030.254050583</v>
      </c>
      <c r="AZ57" s="161" t="n">
        <v>-403030.254050583</v>
      </c>
      <c r="BA57" s="161" t="n">
        <v>-403030.254050583</v>
      </c>
      <c r="BB57" s="161" t="n">
        <v>-412167.385282299</v>
      </c>
      <c r="BC57" s="161" t="n">
        <v>-412167.385282299</v>
      </c>
      <c r="BD57" s="161" t="n">
        <v>-412167.385282299</v>
      </c>
      <c r="BE57" s="161" t="n">
        <v>-412167.385282302</v>
      </c>
      <c r="BF57" s="161" t="n">
        <v>-412167.385282302</v>
      </c>
      <c r="BG57" s="161" t="n">
        <v>-412167.385282302</v>
      </c>
      <c r="BH57" s="161" t="n">
        <v>-412167.385282302</v>
      </c>
      <c r="BI57" s="161" t="n">
        <v>-163231.110226702</v>
      </c>
      <c r="BJ57" s="161" t="n">
        <v>-569827.026150849</v>
      </c>
      <c r="BK57" s="161" t="n">
        <v>-569827.026150849</v>
      </c>
      <c r="BL57" s="161" t="n">
        <v>-569827.026150849</v>
      </c>
      <c r="BM57" s="161" t="n">
        <v>-569827.026150849</v>
      </c>
      <c r="BN57" s="161" t="n">
        <v>-579146.900007199</v>
      </c>
      <c r="BO57" s="161" t="n">
        <v>-579146.900007199</v>
      </c>
      <c r="BP57" s="161" t="n">
        <v>-579146.900007199</v>
      </c>
      <c r="BQ57" s="161" t="n">
        <v>-579146.900007199</v>
      </c>
      <c r="BR57" s="161" t="n">
        <v>-579146.900007199</v>
      </c>
      <c r="BS57" s="161" t="n">
        <v>-579146.900007199</v>
      </c>
      <c r="BT57" s="161" t="n">
        <v>-579146.900007199</v>
      </c>
      <c r="BU57" s="161" t="n">
        <v>-579146.900007199</v>
      </c>
      <c r="BV57" s="161" t="n">
        <v>-579146.900007199</v>
      </c>
      <c r="BW57" s="161" t="n">
        <v>-579146.900007199</v>
      </c>
      <c r="BX57" s="161" t="n">
        <v>-579146.900007199</v>
      </c>
      <c r="BY57" s="161" t="n">
        <v>-579146.900007199</v>
      </c>
      <c r="BZ57" s="161" t="n">
        <v>-588653.171340677</v>
      </c>
      <c r="CA57" s="161" t="n">
        <v>-588653.171340677</v>
      </c>
      <c r="CB57" s="161" t="n">
        <v>-588653.171340677</v>
      </c>
      <c r="CC57" s="161" t="n">
        <v>-588653.171340677</v>
      </c>
      <c r="CD57" s="161" t="n">
        <v>-588653.171340677</v>
      </c>
      <c r="CE57" s="161" t="n">
        <v>-588653.171340677</v>
      </c>
      <c r="CF57" s="161" t="n">
        <v>-588653.171340677</v>
      </c>
      <c r="CG57" s="161" t="n">
        <v>-588653.171340677</v>
      </c>
      <c r="CH57" s="161" t="n">
        <v>-588653.171340677</v>
      </c>
      <c r="CI57" s="161" t="n">
        <v>-588653.171340677</v>
      </c>
      <c r="CJ57" s="161" t="n">
        <v>-588653.171340677</v>
      </c>
      <c r="CK57" s="161" t="n">
        <v>-588653.171340677</v>
      </c>
      <c r="CL57" s="161" t="n">
        <v>-598349.568100823</v>
      </c>
      <c r="CM57" s="161" t="n">
        <v>-598349.568100823</v>
      </c>
      <c r="CN57" s="161" t="n">
        <v>-598349.568100823</v>
      </c>
      <c r="CO57" s="161" t="n">
        <v>-598349.568100823</v>
      </c>
      <c r="CP57" s="161" t="n">
        <v>-598349.568100823</v>
      </c>
      <c r="CQ57" s="161" t="n">
        <v>-598349.568100823</v>
      </c>
      <c r="CR57" s="161" t="n">
        <v>-598349.568100823</v>
      </c>
      <c r="CS57" s="161" t="n">
        <v>-598349.568100823</v>
      </c>
      <c r="CT57" s="161" t="n">
        <v>-598349.568100823</v>
      </c>
      <c r="CU57" s="161" t="n">
        <v>-541129.466733473</v>
      </c>
      <c r="CV57" s="161" t="n">
        <v>-541129.466733473</v>
      </c>
      <c r="CW57" s="161" t="n">
        <v>-541129.466733473</v>
      </c>
      <c r="CX57" s="161" t="n">
        <v>-549875.389401476</v>
      </c>
      <c r="CY57" s="161" t="n">
        <v>-549875.389401476</v>
      </c>
      <c r="CZ57" s="161" t="n">
        <v>-549875.389401476</v>
      </c>
      <c r="DA57" s="161" t="n">
        <v>-549875.389401476</v>
      </c>
      <c r="DB57" s="161" t="n">
        <v>-549875.389401476</v>
      </c>
      <c r="DC57" s="161" t="n">
        <v>-549875.389401476</v>
      </c>
      <c r="DD57" s="161" t="n">
        <v>-549875.389401476</v>
      </c>
      <c r="DE57" s="161" t="n">
        <v>-549875.389401476</v>
      </c>
      <c r="DF57" s="161" t="n">
        <v>-549875.389401476</v>
      </c>
    </row>
    <row r="58" customFormat="false" ht="15" hidden="false" customHeight="true" outlineLevel="0" collapsed="false">
      <c r="A58" s="107" t="s">
        <v>95</v>
      </c>
      <c r="C58" s="160" t="n">
        <f aca="false">IFERROR(C57/C13,0)</f>
        <v>-0.0276785988569409</v>
      </c>
      <c r="D58" s="160" t="n">
        <f aca="false">IFERROR(D57/D13,0)</f>
        <v>-0.102464901385612</v>
      </c>
      <c r="E58" s="160" t="n">
        <f aca="false">IFERROR(E57/E13,0)</f>
        <v>0.0912563488127398</v>
      </c>
      <c r="F58" s="160" t="n">
        <f aca="false">IFERROR(F57/F13,0)</f>
        <v>0.0173298465800976</v>
      </c>
      <c r="G58" s="160" t="n">
        <f aca="false">IFERROR(G57/G13,0)</f>
        <v>0.00103190312584528</v>
      </c>
      <c r="H58" s="160" t="n">
        <f aca="false">IFERROR(H57/H13,0)</f>
        <v>-0.00513830988769468</v>
      </c>
      <c r="I58" s="160" t="n">
        <f aca="false">IFERROR(I57/I13,0)</f>
        <v>0.0835258951271783</v>
      </c>
      <c r="J58" s="160" t="n">
        <f aca="false">IFERROR(J57/J13,0)</f>
        <v>0.0291585151848811</v>
      </c>
      <c r="K58" s="160" t="n">
        <f aca="false">IFERROR(K57/K13,0)</f>
        <v>0.0287072206647552</v>
      </c>
      <c r="L58" s="160" t="n">
        <f aca="false">IFERROR(L57/L13,0)</f>
        <v>0.0719850664285797</v>
      </c>
      <c r="M58" s="160" t="n">
        <f aca="false">IFERROR(M57/M13,0)</f>
        <v>0.0699094476542191</v>
      </c>
      <c r="N58" s="160" t="n">
        <f aca="false">IFERROR(N57/N13,0)</f>
        <v>0.0365905286174057</v>
      </c>
      <c r="O58" s="160" t="n">
        <f aca="false">IFERROR(O57/O13,0)</f>
        <v>0.035633773223876</v>
      </c>
      <c r="P58" s="160" t="n">
        <f aca="false">IFERROR(P57/P13,0)</f>
        <v>0.0349944801662139</v>
      </c>
      <c r="Q58" s="160" t="n">
        <f aca="false">IFERROR(Q57/Q13,0)</f>
        <v>0.0346548085310985</v>
      </c>
      <c r="R58" s="160" t="n">
        <f aca="false">IFERROR(R57/R13,0)</f>
        <v>-0.050795343294945</v>
      </c>
      <c r="S58" s="160" t="n">
        <f aca="false">IFERROR(S57/S13,0)</f>
        <v>0.0495244343315864</v>
      </c>
      <c r="T58" s="160" t="n">
        <f aca="false">IFERROR(T57/T13,0)</f>
        <v>0.0690622206771117</v>
      </c>
      <c r="U58" s="160" t="n">
        <f aca="false">IFERROR(U57/U13,0)</f>
        <v>0.0437191547040497</v>
      </c>
      <c r="V58" s="160" t="n">
        <f aca="false">IFERROR(V57/V13,0)</f>
        <v>0.00848544419508858</v>
      </c>
      <c r="W58" s="160" t="n">
        <f aca="false">IFERROR(W57/W13,0)</f>
        <v>0.00848643812066759</v>
      </c>
      <c r="X58" s="160" t="n">
        <f aca="false">IFERROR(X57/X13,0)</f>
        <v>0.0117880175166161</v>
      </c>
      <c r="Y58" s="160" t="n">
        <f aca="false">IFERROR(Y57/Y13,0)</f>
        <v>0.00563862231580771</v>
      </c>
      <c r="Z58" s="160" t="n">
        <f aca="false">IFERROR(Z57/Z13,0)</f>
        <v>0.00584990253965618</v>
      </c>
      <c r="AA58" s="160" t="n">
        <f aca="false">IFERROR(AA57/AA13,0)</f>
        <v>0.00613653352507423</v>
      </c>
      <c r="AB58" s="160" t="n">
        <f aca="false">IFERROR(AB57/AB13,0)</f>
        <v>0.00649960124595134</v>
      </c>
      <c r="AC58" s="160" t="n">
        <f aca="false">IFERROR(AC57/AC13,0)</f>
        <v>0.00694035554431828</v>
      </c>
      <c r="AD58" s="160" t="n">
        <f aca="false">IFERROR(AD57/AD13,0)</f>
        <v>0.0221502466866728</v>
      </c>
      <c r="AE58" s="160" t="n">
        <f aca="false">IFERROR(AE57/AE13,0)</f>
        <v>-0.012383939800172</v>
      </c>
      <c r="AF58" s="160" t="n">
        <f aca="false">IFERROR(AF57/AF13,0)</f>
        <v>-0.145646882929711</v>
      </c>
      <c r="AG58" s="160" t="n">
        <f aca="false">IFERROR(AG57/AG13,0)</f>
        <v>0.0302716750479491</v>
      </c>
      <c r="AH58" s="160" t="n">
        <f aca="false">IFERROR(AH57/AH13,0)</f>
        <v>0.0298747215140425</v>
      </c>
      <c r="AI58" s="160" t="n">
        <f aca="false">IFERROR(AI57/AI13,0)</f>
        <v>0.0296361913542734</v>
      </c>
      <c r="AJ58" s="160" t="n">
        <f aca="false">IFERROR(AJ57/AJ13,0)</f>
        <v>0.065888999765768</v>
      </c>
      <c r="AK58" s="160" t="n">
        <f aca="false">IFERROR(AK57/AK13,0)</f>
        <v>0.00077379969162039</v>
      </c>
      <c r="AL58" s="160" t="n">
        <f aca="false">IFERROR(AL57/AL13,0)</f>
        <v>0.0747904788455928</v>
      </c>
      <c r="AM58" s="160" t="n">
        <f aca="false">IFERROR(AM57/AM13,0)</f>
        <v>-0.0465807469205635</v>
      </c>
      <c r="AN58" s="160" t="n">
        <f aca="false">IFERROR(AN57/AN13,0)</f>
        <v>-0.0472717456555632</v>
      </c>
      <c r="AO58" s="160" t="n">
        <f aca="false">IFERROR(AO57/AO13,0)</f>
        <v>-0.019651665804181</v>
      </c>
      <c r="AP58" s="160" t="n">
        <f aca="false">IFERROR(AP57/AP13,0)</f>
        <v>-0.0756171560874285</v>
      </c>
      <c r="AQ58" s="160" t="n">
        <f aca="false">IFERROR(AQ57/AQ13,0)</f>
        <v>-0.0770343143191285</v>
      </c>
      <c r="AR58" s="160" t="n">
        <f aca="false">IFERROR(AR57/AR13,0)</f>
        <v>-0.0788940943909012</v>
      </c>
      <c r="AS58" s="160" t="n">
        <f aca="false">IFERROR(AS57/AS13,0)</f>
        <v>-0.0812405024671969</v>
      </c>
      <c r="AT58" s="160" t="n">
        <f aca="false">IFERROR(AT57/AT13,0)</f>
        <v>-0.0841288501455523</v>
      </c>
      <c r="AU58" s="160" t="n">
        <f aca="false">IFERROR(AU57/AU13,0)</f>
        <v>0.0159813424056486</v>
      </c>
      <c r="AV58" s="160" t="n">
        <f aca="false">IFERROR(AV57/AV13,0)</f>
        <v>-0.214130249789158</v>
      </c>
      <c r="AW58" s="160" t="n">
        <f aca="false">IFERROR(AW57/AW13,0)</f>
        <v>-0.218450004808168</v>
      </c>
      <c r="AX58" s="160" t="n">
        <f aca="false">IFERROR(AX57/AX13,0)</f>
        <v>-0.225100129144198</v>
      </c>
      <c r="AY58" s="160" t="n">
        <f aca="false">IFERROR(AY57/AY13,0)</f>
        <v>-0.234277508074266</v>
      </c>
      <c r="AZ58" s="160" t="n">
        <f aca="false">IFERROR(AZ57/AZ13,0)</f>
        <v>-0.24627792536914</v>
      </c>
      <c r="BA58" s="160" t="n">
        <f aca="false">IFERROR(BA57/BA13,0)</f>
        <v>-0.261496420008664</v>
      </c>
      <c r="BB58" s="160" t="n">
        <f aca="false">IFERROR(BB57/BB13,0)</f>
        <v>-0.286793734485519</v>
      </c>
      <c r="BC58" s="160" t="n">
        <f aca="false">IFERROR(BC57/BC13,0)</f>
        <v>-0.310661925076369</v>
      </c>
      <c r="BD58" s="160" t="n">
        <f aca="false">IFERROR(BD57/BD13,0)</f>
        <v>-0.339892094429402</v>
      </c>
      <c r="BE58" s="160" t="n">
        <f aca="false">IFERROR(BE57/BE13,0)</f>
        <v>-0.375604139864318</v>
      </c>
      <c r="BF58" s="160" t="n">
        <f aca="false">IFERROR(BF57/BF13,0)</f>
        <v>-0.419242662439579</v>
      </c>
      <c r="BG58" s="160" t="n">
        <f aca="false">IFERROR(BG57/BG13,0)</f>
        <v>-0.472644563244375</v>
      </c>
      <c r="BH58" s="160" t="n">
        <f aca="false">IFERROR(BH57/BH13,0)</f>
        <v>-0.538214489510807</v>
      </c>
      <c r="BI58" s="160" t="n">
        <f aca="false">IFERROR(BI57/BI13,0)</f>
        <v>-0.245146629480391</v>
      </c>
      <c r="BJ58" s="160" t="n">
        <f aca="false">IFERROR(BJ57/BJ13,0)</f>
        <v>0</v>
      </c>
      <c r="BK58" s="160" t="n">
        <f aca="false">IFERROR(BK57/BK13,0)</f>
        <v>0</v>
      </c>
      <c r="BL58" s="160" t="n">
        <f aca="false">IFERROR(BL57/BL13,0)</f>
        <v>0</v>
      </c>
      <c r="BM58" s="160" t="n">
        <f aca="false">IFERROR(BM57/BM13,0)</f>
        <v>0</v>
      </c>
      <c r="BN58" s="160" t="n">
        <f aca="false">IFERROR(BN57/BN13,0)</f>
        <v>0</v>
      </c>
      <c r="BO58" s="160" t="n">
        <f aca="false">IFERROR(BO57/BO13,0)</f>
        <v>0</v>
      </c>
      <c r="BP58" s="160" t="n">
        <f aca="false">IFERROR(BP57/BP13,0)</f>
        <v>0</v>
      </c>
      <c r="BQ58" s="160" t="n">
        <f aca="false">IFERROR(BQ57/BQ13,0)</f>
        <v>0</v>
      </c>
      <c r="BR58" s="160" t="n">
        <f aca="false">IFERROR(BR57/BR13,0)</f>
        <v>0</v>
      </c>
      <c r="BS58" s="160" t="n">
        <f aca="false">IFERROR(BS57/BS13,0)</f>
        <v>0</v>
      </c>
      <c r="BT58" s="160" t="n">
        <f aca="false">IFERROR(BT57/BT13,0)</f>
        <v>0</v>
      </c>
      <c r="BU58" s="160" t="n">
        <f aca="false">IFERROR(BU57/BU13,0)</f>
        <v>0</v>
      </c>
      <c r="BV58" s="160" t="n">
        <f aca="false">IFERROR(BV57/BV13,0)</f>
        <v>0</v>
      </c>
      <c r="BW58" s="160" t="n">
        <f aca="false">IFERROR(BW57/BW13,0)</f>
        <v>0</v>
      </c>
      <c r="BX58" s="160" t="n">
        <f aca="false">IFERROR(BX57/BX13,0)</f>
        <v>0</v>
      </c>
      <c r="BY58" s="160" t="n">
        <f aca="false">IFERROR(BY57/BY13,0)</f>
        <v>0</v>
      </c>
      <c r="BZ58" s="160" t="n">
        <f aca="false">IFERROR(BZ57/BZ13,0)</f>
        <v>0</v>
      </c>
      <c r="CA58" s="160" t="n">
        <f aca="false">IFERROR(CA57/CA13,0)</f>
        <v>0</v>
      </c>
      <c r="CB58" s="160" t="n">
        <f aca="false">IFERROR(CB57/CB13,0)</f>
        <v>0</v>
      </c>
      <c r="CC58" s="160" t="n">
        <f aca="false">IFERROR(CC57/CC13,0)</f>
        <v>0</v>
      </c>
      <c r="CD58" s="160" t="n">
        <f aca="false">IFERROR(CD57/CD13,0)</f>
        <v>0</v>
      </c>
      <c r="CE58" s="160" t="n">
        <f aca="false">IFERROR(CE57/CE13,0)</f>
        <v>0</v>
      </c>
      <c r="CF58" s="160" t="n">
        <f aca="false">IFERROR(CF57/CF13,0)</f>
        <v>0</v>
      </c>
      <c r="CG58" s="160" t="n">
        <f aca="false">IFERROR(CG57/CG13,0)</f>
        <v>0</v>
      </c>
      <c r="CH58" s="160" t="n">
        <f aca="false">IFERROR(CH57/CH13,0)</f>
        <v>0</v>
      </c>
      <c r="CI58" s="160" t="n">
        <f aca="false">IFERROR(CI57/CI13,0)</f>
        <v>0</v>
      </c>
      <c r="CJ58" s="160" t="n">
        <f aca="false">IFERROR(CJ57/CJ13,0)</f>
        <v>0</v>
      </c>
      <c r="CK58" s="160" t="n">
        <f aca="false">IFERROR(CK57/CK13,0)</f>
        <v>0</v>
      </c>
      <c r="CL58" s="160" t="n">
        <f aca="false">IFERROR(CL57/CL13,0)</f>
        <v>0</v>
      </c>
      <c r="CM58" s="160" t="n">
        <f aca="false">IFERROR(CM57/CM13,0)</f>
        <v>0</v>
      </c>
      <c r="CN58" s="160" t="n">
        <f aca="false">IFERROR(CN57/CN13,0)</f>
        <v>0</v>
      </c>
      <c r="CO58" s="160" t="n">
        <f aca="false">IFERROR(CO57/CO13,0)</f>
        <v>0</v>
      </c>
      <c r="CP58" s="160" t="n">
        <f aca="false">IFERROR(CP57/CP13,0)</f>
        <v>0</v>
      </c>
      <c r="CQ58" s="160" t="n">
        <f aca="false">IFERROR(CQ57/CQ13,0)</f>
        <v>0</v>
      </c>
      <c r="CR58" s="160" t="n">
        <f aca="false">IFERROR(CR57/CR13,0)</f>
        <v>0</v>
      </c>
      <c r="CS58" s="160" t="n">
        <f aca="false">IFERROR(CS57/CS13,0)</f>
        <v>0</v>
      </c>
      <c r="CT58" s="160" t="n">
        <f aca="false">IFERROR(CT57/CT13,0)</f>
        <v>0</v>
      </c>
      <c r="CU58" s="160" t="n">
        <f aca="false">IFERROR(CU57/CU13,0)</f>
        <v>0</v>
      </c>
      <c r="CV58" s="160" t="n">
        <f aca="false">IFERROR(CV57/CV13,0)</f>
        <v>0</v>
      </c>
      <c r="CW58" s="160" t="n">
        <f aca="false">IFERROR(CW57/CW13,0)</f>
        <v>0</v>
      </c>
      <c r="CX58" s="160" t="n">
        <f aca="false">IFERROR(CX57/CX13,0)</f>
        <v>0</v>
      </c>
      <c r="CY58" s="160" t="n">
        <f aca="false">IFERROR(CY57/CY13,0)</f>
        <v>0</v>
      </c>
      <c r="CZ58" s="160" t="n">
        <f aca="false">IFERROR(CZ57/CZ13,0)</f>
        <v>0</v>
      </c>
      <c r="DA58" s="160" t="n">
        <f aca="false">IFERROR(DA57/DA13,0)</f>
        <v>0</v>
      </c>
      <c r="DB58" s="160" t="n">
        <f aca="false">IFERROR(DB57/DB13,0)</f>
        <v>0</v>
      </c>
      <c r="DC58" s="160" t="n">
        <f aca="false">IFERROR(DC57/DC13,0)</f>
        <v>0</v>
      </c>
      <c r="DD58" s="160" t="n">
        <f aca="false">IFERROR(DD57/DD13,0)</f>
        <v>0</v>
      </c>
      <c r="DE58" s="160" t="n">
        <f aca="false">IFERROR(DE57/DE13,0)</f>
        <v>0</v>
      </c>
      <c r="DF58" s="160" t="n">
        <f aca="false">IFERROR(DF57/DF13,0)</f>
        <v>0</v>
      </c>
    </row>
    <row r="59" customFormat="false" ht="15" hidden="false" customHeight="true" outlineLevel="0" collapsed="false">
      <c r="A59" s="127"/>
      <c r="C59" s="112"/>
      <c r="D59" s="112"/>
      <c r="E59" s="112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customFormat="false" ht="15" hidden="false" customHeight="true" outlineLevel="0" collapsed="false">
      <c r="A60" s="127"/>
      <c r="C60" s="112"/>
      <c r="D60" s="112"/>
      <c r="E60" s="112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customFormat="false" ht="15" hidden="false" customHeight="true" outlineLevel="0" collapsed="false">
      <c r="A61" s="127"/>
      <c r="C61" s="112"/>
      <c r="D61" s="112"/>
      <c r="E61" s="112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customFormat="false" ht="15" hidden="false" customHeight="true" outlineLevel="0" collapsed="false">
      <c r="A62" s="127"/>
      <c r="C62" s="112"/>
      <c r="D62" s="112"/>
      <c r="E62" s="112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customFormat="false" ht="15" hidden="false" customHeight="true" outlineLevel="0" collapsed="false">
      <c r="A63" s="127" t="s">
        <v>114</v>
      </c>
      <c r="C63" s="112" t="n">
        <v>0</v>
      </c>
      <c r="D63" s="112" t="n">
        <v>0</v>
      </c>
      <c r="E63" s="112" t="n">
        <v>0</v>
      </c>
      <c r="F63" s="153" t="n">
        <v>0</v>
      </c>
      <c r="G63" s="153" t="n">
        <v>0</v>
      </c>
      <c r="H63" s="153" t="n">
        <v>0</v>
      </c>
      <c r="I63" s="153" t="n">
        <v>0</v>
      </c>
      <c r="J63" s="153" t="n">
        <v>0</v>
      </c>
      <c r="K63" s="153" t="n">
        <v>0</v>
      </c>
      <c r="L63" s="153" t="n">
        <v>0</v>
      </c>
      <c r="M63" s="153" t="n">
        <v>0</v>
      </c>
      <c r="N63" s="153" t="n">
        <v>0</v>
      </c>
      <c r="O63" s="153" t="n">
        <v>0</v>
      </c>
      <c r="P63" s="153" t="n">
        <v>0</v>
      </c>
      <c r="Q63" s="153" t="n">
        <v>0</v>
      </c>
      <c r="R63" s="153" t="n">
        <v>0</v>
      </c>
      <c r="S63" s="153" t="n">
        <v>0</v>
      </c>
      <c r="T63" s="153" t="n">
        <v>0</v>
      </c>
      <c r="U63" s="153" t="n">
        <v>0</v>
      </c>
      <c r="V63" s="153" t="n">
        <v>0</v>
      </c>
      <c r="W63" s="153" t="n">
        <v>0</v>
      </c>
      <c r="X63" s="153" t="n">
        <v>0</v>
      </c>
      <c r="Y63" s="153" t="n">
        <v>0</v>
      </c>
      <c r="Z63" s="153" t="n">
        <v>0</v>
      </c>
      <c r="AA63" s="153" t="n">
        <v>0</v>
      </c>
      <c r="AB63" s="153" t="n">
        <v>0</v>
      </c>
      <c r="AC63" s="153" t="n">
        <v>0</v>
      </c>
      <c r="AD63" s="153" t="n">
        <v>0</v>
      </c>
      <c r="AE63" s="153" t="n">
        <v>0</v>
      </c>
      <c r="AF63" s="153" t="n">
        <v>0</v>
      </c>
      <c r="AG63" s="153" t="n">
        <v>0</v>
      </c>
      <c r="AH63" s="153" t="n">
        <v>0</v>
      </c>
      <c r="AI63" s="153" t="n">
        <v>0</v>
      </c>
      <c r="AJ63" s="153" t="n">
        <v>0</v>
      </c>
      <c r="AK63" s="153" t="n">
        <v>0</v>
      </c>
      <c r="AL63" s="153" t="n">
        <v>0</v>
      </c>
      <c r="AM63" s="153" t="n">
        <v>0</v>
      </c>
      <c r="AN63" s="153" t="n">
        <v>0</v>
      </c>
      <c r="AO63" s="153" t="n">
        <v>0</v>
      </c>
      <c r="AP63" s="153" t="n">
        <v>0</v>
      </c>
      <c r="AQ63" s="153" t="n">
        <v>0</v>
      </c>
      <c r="AR63" s="153" t="n">
        <v>0</v>
      </c>
      <c r="AS63" s="153" t="n">
        <v>0</v>
      </c>
      <c r="AT63" s="153" t="n">
        <v>0</v>
      </c>
      <c r="AU63" s="153" t="n">
        <v>0</v>
      </c>
      <c r="AV63" s="153" t="n">
        <v>0</v>
      </c>
      <c r="AW63" s="153" t="n">
        <v>0</v>
      </c>
      <c r="AX63" s="153" t="n">
        <v>0</v>
      </c>
      <c r="AY63" s="153" t="n">
        <v>0</v>
      </c>
      <c r="AZ63" s="153" t="n">
        <v>0</v>
      </c>
      <c r="BA63" s="153" t="n">
        <v>0</v>
      </c>
      <c r="BB63" s="153" t="n">
        <v>0</v>
      </c>
      <c r="BC63" s="153" t="n">
        <v>0</v>
      </c>
      <c r="BD63" s="153" t="n">
        <v>0</v>
      </c>
      <c r="BE63" s="153" t="n">
        <v>0</v>
      </c>
      <c r="BF63" s="153" t="n">
        <v>0</v>
      </c>
      <c r="BG63" s="153" t="n">
        <v>0</v>
      </c>
      <c r="BH63" s="153" t="n">
        <v>0</v>
      </c>
      <c r="BI63" s="153" t="n">
        <v>0</v>
      </c>
      <c r="BJ63" s="153" t="n">
        <v>0</v>
      </c>
      <c r="BK63" s="153" t="n">
        <v>0</v>
      </c>
      <c r="BL63" s="153" t="n">
        <v>0</v>
      </c>
      <c r="BM63" s="153" t="n">
        <v>0</v>
      </c>
      <c r="BN63" s="153" t="n">
        <v>0</v>
      </c>
      <c r="BO63" s="153" t="n">
        <v>0</v>
      </c>
      <c r="BP63" s="153" t="n">
        <v>0</v>
      </c>
      <c r="BQ63" s="153" t="n">
        <v>0</v>
      </c>
      <c r="BR63" s="153" t="n">
        <v>0</v>
      </c>
      <c r="BS63" s="153" t="n">
        <v>0</v>
      </c>
      <c r="BT63" s="153" t="n">
        <v>0</v>
      </c>
      <c r="BU63" s="153" t="n">
        <v>0</v>
      </c>
      <c r="BV63" s="153" t="n">
        <v>0</v>
      </c>
      <c r="BW63" s="153" t="n">
        <v>0</v>
      </c>
      <c r="BX63" s="153" t="n">
        <v>0</v>
      </c>
      <c r="BY63" s="153" t="n">
        <v>0</v>
      </c>
      <c r="BZ63" s="153" t="n">
        <v>0</v>
      </c>
      <c r="CA63" s="153" t="n">
        <v>0</v>
      </c>
      <c r="CB63" s="153" t="n">
        <v>0</v>
      </c>
      <c r="CC63" s="153" t="n">
        <v>0</v>
      </c>
      <c r="CD63" s="153" t="n">
        <v>0</v>
      </c>
      <c r="CE63" s="153" t="n">
        <v>0</v>
      </c>
      <c r="CF63" s="153" t="n">
        <v>0</v>
      </c>
      <c r="CG63" s="153" t="n">
        <v>0</v>
      </c>
      <c r="CH63" s="153" t="n">
        <v>0</v>
      </c>
      <c r="CI63" s="153" t="n">
        <v>0</v>
      </c>
      <c r="CJ63" s="153" t="n">
        <v>0</v>
      </c>
      <c r="CK63" s="153" t="n">
        <v>0</v>
      </c>
      <c r="CL63" s="153" t="n">
        <v>0</v>
      </c>
      <c r="CM63" s="153" t="n">
        <v>0</v>
      </c>
      <c r="CN63" s="153" t="n">
        <v>0</v>
      </c>
      <c r="CO63" s="153" t="n">
        <v>0</v>
      </c>
      <c r="CP63" s="153" t="n">
        <v>0</v>
      </c>
      <c r="CQ63" s="153" t="n">
        <v>0</v>
      </c>
      <c r="CR63" s="153" t="n">
        <v>0</v>
      </c>
      <c r="CS63" s="153" t="n">
        <v>0</v>
      </c>
      <c r="CT63" s="153" t="n">
        <v>0</v>
      </c>
      <c r="CU63" s="153" t="n">
        <v>0</v>
      </c>
      <c r="CV63" s="153" t="n">
        <v>0</v>
      </c>
      <c r="CW63" s="153" t="n">
        <v>0</v>
      </c>
      <c r="CX63" s="153" t="n">
        <v>0</v>
      </c>
      <c r="CY63" s="153" t="n">
        <v>0</v>
      </c>
      <c r="CZ63" s="153" t="n">
        <v>0</v>
      </c>
      <c r="DA63" s="153" t="n">
        <v>0</v>
      </c>
      <c r="DB63" s="153" t="n">
        <v>0</v>
      </c>
      <c r="DC63" s="153" t="n">
        <v>0</v>
      </c>
      <c r="DD63" s="153" t="n">
        <v>0</v>
      </c>
      <c r="DE63" s="153" t="n">
        <v>0</v>
      </c>
      <c r="DF63" s="153" t="n">
        <v>0</v>
      </c>
    </row>
    <row r="64" customFormat="false" ht="15" hidden="false" customHeight="true" outlineLevel="0" collapsed="false">
      <c r="A64" s="127" t="s">
        <v>97</v>
      </c>
      <c r="C64" s="112" t="n">
        <v>833.33</v>
      </c>
      <c r="D64" s="112" t="n">
        <v>833.33</v>
      </c>
      <c r="E64" s="112" t="n">
        <v>833.33</v>
      </c>
      <c r="F64" s="153" t="n">
        <v>833.33</v>
      </c>
      <c r="G64" s="153" t="n">
        <v>833.33</v>
      </c>
      <c r="H64" s="153" t="n">
        <v>833.33</v>
      </c>
      <c r="I64" s="153" t="n">
        <v>833.33</v>
      </c>
      <c r="J64" s="153" t="n">
        <v>833.33</v>
      </c>
      <c r="K64" s="153" t="n">
        <v>0</v>
      </c>
      <c r="L64" s="153" t="n">
        <v>0</v>
      </c>
      <c r="M64" s="153" t="n">
        <v>0</v>
      </c>
      <c r="N64" s="153" t="n">
        <v>0</v>
      </c>
      <c r="O64" s="153" t="n">
        <v>0</v>
      </c>
      <c r="P64" s="153" t="n">
        <v>0</v>
      </c>
      <c r="Q64" s="153" t="n">
        <v>0</v>
      </c>
      <c r="R64" s="153" t="n">
        <v>0</v>
      </c>
      <c r="S64" s="153" t="n">
        <v>0</v>
      </c>
      <c r="T64" s="153" t="n">
        <v>0</v>
      </c>
      <c r="U64" s="153" t="n">
        <v>0</v>
      </c>
      <c r="V64" s="153" t="n">
        <v>0</v>
      </c>
      <c r="W64" s="153" t="n">
        <v>0</v>
      </c>
      <c r="X64" s="153" t="n">
        <v>0</v>
      </c>
      <c r="Y64" s="153" t="n">
        <v>0</v>
      </c>
      <c r="Z64" s="153" t="n">
        <v>0</v>
      </c>
      <c r="AA64" s="153" t="n">
        <v>0</v>
      </c>
      <c r="AB64" s="153" t="n">
        <v>0</v>
      </c>
      <c r="AC64" s="153" t="n">
        <v>0</v>
      </c>
      <c r="AD64" s="153" t="n">
        <v>0</v>
      </c>
      <c r="AE64" s="153" t="n">
        <v>0</v>
      </c>
      <c r="AF64" s="153" t="n">
        <v>0</v>
      </c>
      <c r="AG64" s="153" t="n">
        <v>0</v>
      </c>
      <c r="AH64" s="153" t="n">
        <v>0</v>
      </c>
      <c r="AI64" s="153" t="n">
        <v>0</v>
      </c>
      <c r="AJ64" s="153" t="n">
        <v>0</v>
      </c>
      <c r="AK64" s="153" t="n">
        <v>0</v>
      </c>
      <c r="AL64" s="153" t="n">
        <v>0</v>
      </c>
      <c r="AM64" s="153" t="n">
        <v>0</v>
      </c>
      <c r="AN64" s="153" t="n">
        <v>0</v>
      </c>
      <c r="AO64" s="153" t="n">
        <v>0</v>
      </c>
      <c r="AP64" s="153" t="n">
        <v>0</v>
      </c>
      <c r="AQ64" s="153" t="n">
        <v>0</v>
      </c>
      <c r="AR64" s="153" t="n">
        <v>0</v>
      </c>
      <c r="AS64" s="153" t="n">
        <v>0</v>
      </c>
      <c r="AT64" s="153" t="n">
        <v>0</v>
      </c>
      <c r="AU64" s="153" t="n">
        <v>0</v>
      </c>
      <c r="AV64" s="153" t="n">
        <v>0</v>
      </c>
      <c r="AW64" s="153" t="n">
        <v>0</v>
      </c>
      <c r="AX64" s="153" t="n">
        <v>0</v>
      </c>
      <c r="AY64" s="153" t="n">
        <v>0</v>
      </c>
      <c r="AZ64" s="153" t="n">
        <v>0</v>
      </c>
      <c r="BA64" s="153" t="n">
        <v>0</v>
      </c>
      <c r="BB64" s="153" t="n">
        <v>0</v>
      </c>
      <c r="BC64" s="153" t="n">
        <v>0</v>
      </c>
      <c r="BD64" s="153" t="n">
        <v>0</v>
      </c>
      <c r="BE64" s="153" t="n">
        <v>0</v>
      </c>
      <c r="BF64" s="153" t="n">
        <v>0</v>
      </c>
      <c r="BG64" s="153" t="n">
        <v>0</v>
      </c>
      <c r="BH64" s="153" t="n">
        <v>0</v>
      </c>
      <c r="BI64" s="153" t="n">
        <v>0</v>
      </c>
      <c r="BJ64" s="153" t="n">
        <v>0</v>
      </c>
      <c r="BK64" s="153" t="n">
        <v>0</v>
      </c>
      <c r="BL64" s="153" t="n">
        <v>0</v>
      </c>
      <c r="BM64" s="153" t="n">
        <v>0</v>
      </c>
      <c r="BN64" s="153" t="n">
        <v>0</v>
      </c>
      <c r="BO64" s="153" t="n">
        <v>0</v>
      </c>
      <c r="BP64" s="153" t="n">
        <v>0</v>
      </c>
      <c r="BQ64" s="153" t="n">
        <v>0</v>
      </c>
      <c r="BR64" s="153" t="n">
        <v>0</v>
      </c>
      <c r="BS64" s="153" t="n">
        <v>0</v>
      </c>
      <c r="BT64" s="153" t="n">
        <v>0</v>
      </c>
      <c r="BU64" s="153" t="n">
        <v>0</v>
      </c>
      <c r="BV64" s="153" t="n">
        <v>0</v>
      </c>
      <c r="BW64" s="153" t="n">
        <v>0</v>
      </c>
      <c r="BX64" s="153" t="n">
        <v>0</v>
      </c>
      <c r="BY64" s="153" t="n">
        <v>0</v>
      </c>
      <c r="BZ64" s="153" t="n">
        <v>0</v>
      </c>
      <c r="CA64" s="153" t="n">
        <v>0</v>
      </c>
      <c r="CB64" s="153" t="n">
        <v>0</v>
      </c>
      <c r="CC64" s="153" t="n">
        <v>0</v>
      </c>
      <c r="CD64" s="153" t="n">
        <v>0</v>
      </c>
      <c r="CE64" s="153" t="n">
        <v>0</v>
      </c>
      <c r="CF64" s="153" t="n">
        <v>0</v>
      </c>
      <c r="CG64" s="153" t="n">
        <v>0</v>
      </c>
      <c r="CH64" s="153" t="n">
        <v>0</v>
      </c>
      <c r="CI64" s="153" t="n">
        <v>0</v>
      </c>
      <c r="CJ64" s="153" t="n">
        <v>0</v>
      </c>
      <c r="CK64" s="153" t="n">
        <v>0</v>
      </c>
      <c r="CL64" s="153" t="n">
        <v>0</v>
      </c>
      <c r="CM64" s="153" t="n">
        <v>0</v>
      </c>
      <c r="CN64" s="153" t="n">
        <v>0</v>
      </c>
      <c r="CO64" s="153" t="n">
        <v>0</v>
      </c>
      <c r="CP64" s="153" t="n">
        <v>0</v>
      </c>
      <c r="CQ64" s="153" t="n">
        <v>0</v>
      </c>
      <c r="CR64" s="153" t="n">
        <v>0</v>
      </c>
      <c r="CS64" s="153" t="n">
        <v>0</v>
      </c>
      <c r="CT64" s="153" t="n">
        <v>0</v>
      </c>
      <c r="CU64" s="153" t="n">
        <v>0</v>
      </c>
      <c r="CV64" s="153" t="n">
        <v>0</v>
      </c>
      <c r="CW64" s="153" t="n">
        <v>0</v>
      </c>
      <c r="CX64" s="153" t="n">
        <v>0</v>
      </c>
      <c r="CY64" s="153" t="n">
        <v>0</v>
      </c>
      <c r="CZ64" s="153" t="n">
        <v>0</v>
      </c>
      <c r="DA64" s="153" t="n">
        <v>0</v>
      </c>
      <c r="DB64" s="153" t="n">
        <v>0</v>
      </c>
      <c r="DC64" s="153" t="n">
        <v>0</v>
      </c>
      <c r="DD64" s="153" t="n">
        <v>0</v>
      </c>
      <c r="DE64" s="153" t="n">
        <v>0</v>
      </c>
      <c r="DF64" s="153" t="n">
        <v>0</v>
      </c>
    </row>
    <row r="65" customFormat="false" ht="15" hidden="false" customHeight="true" outlineLevel="0" collapsed="false">
      <c r="A65" s="127" t="s">
        <v>98</v>
      </c>
      <c r="C65" s="112" t="n">
        <v>23906.25</v>
      </c>
      <c r="D65" s="112" t="n">
        <v>23906.25</v>
      </c>
      <c r="E65" s="112" t="n">
        <v>23906.25</v>
      </c>
      <c r="F65" s="153" t="n">
        <v>23906.25</v>
      </c>
      <c r="G65" s="153" t="n">
        <v>23906.25</v>
      </c>
      <c r="H65" s="153" t="n">
        <v>23906.25</v>
      </c>
      <c r="I65" s="153" t="n">
        <v>23906.25</v>
      </c>
      <c r="J65" s="153" t="n">
        <v>23906.25</v>
      </c>
      <c r="K65" s="153" t="n">
        <v>23906.25</v>
      </c>
      <c r="L65" s="153" t="n">
        <v>23906.25</v>
      </c>
      <c r="M65" s="153" t="n">
        <v>23906.25</v>
      </c>
      <c r="N65" s="153" t="n">
        <v>23906.25</v>
      </c>
      <c r="O65" s="153" t="n">
        <v>23906.25</v>
      </c>
      <c r="P65" s="153" t="n">
        <v>23906.25</v>
      </c>
      <c r="Q65" s="153" t="n">
        <v>23906.25</v>
      </c>
      <c r="R65" s="153" t="n">
        <v>23906.25</v>
      </c>
      <c r="S65" s="153" t="n">
        <v>23906.25</v>
      </c>
      <c r="T65" s="153" t="n">
        <v>23906.25</v>
      </c>
      <c r="U65" s="153" t="n">
        <v>0</v>
      </c>
      <c r="V65" s="153" t="n">
        <v>0</v>
      </c>
      <c r="W65" s="153" t="n">
        <v>0</v>
      </c>
      <c r="X65" s="153" t="n">
        <v>0</v>
      </c>
      <c r="Y65" s="153" t="n">
        <v>0</v>
      </c>
      <c r="Z65" s="153" t="n">
        <v>0</v>
      </c>
      <c r="AA65" s="153" t="n">
        <v>0</v>
      </c>
      <c r="AB65" s="153" t="n">
        <v>0</v>
      </c>
      <c r="AC65" s="153" t="n">
        <v>0</v>
      </c>
      <c r="AD65" s="153" t="n">
        <v>0</v>
      </c>
      <c r="AE65" s="153" t="n">
        <v>0</v>
      </c>
      <c r="AF65" s="153" t="n">
        <v>0</v>
      </c>
      <c r="AG65" s="153" t="n">
        <v>0</v>
      </c>
      <c r="AH65" s="153" t="n">
        <v>0</v>
      </c>
      <c r="AI65" s="153" t="n">
        <v>0</v>
      </c>
      <c r="AJ65" s="153" t="n">
        <v>0</v>
      </c>
      <c r="AK65" s="153" t="n">
        <v>0</v>
      </c>
      <c r="AL65" s="153" t="n">
        <v>0</v>
      </c>
      <c r="AM65" s="153" t="n">
        <v>0</v>
      </c>
      <c r="AN65" s="153" t="n">
        <v>0</v>
      </c>
      <c r="AO65" s="153" t="n">
        <v>0</v>
      </c>
      <c r="AP65" s="153" t="n">
        <v>0</v>
      </c>
      <c r="AQ65" s="153" t="n">
        <v>0</v>
      </c>
      <c r="AR65" s="153" t="n">
        <v>0</v>
      </c>
      <c r="AS65" s="153" t="n">
        <v>0</v>
      </c>
      <c r="AT65" s="153" t="n">
        <v>0</v>
      </c>
      <c r="AU65" s="153" t="n">
        <v>0</v>
      </c>
      <c r="AV65" s="153" t="n">
        <v>0</v>
      </c>
      <c r="AW65" s="153" t="n">
        <v>0</v>
      </c>
      <c r="AX65" s="153" t="n">
        <v>0</v>
      </c>
      <c r="AY65" s="153" t="n">
        <v>0</v>
      </c>
      <c r="AZ65" s="153" t="n">
        <v>0</v>
      </c>
      <c r="BA65" s="153" t="n">
        <v>0</v>
      </c>
      <c r="BB65" s="153" t="n">
        <v>0</v>
      </c>
      <c r="BC65" s="153" t="n">
        <v>0</v>
      </c>
      <c r="BD65" s="153" t="n">
        <v>0</v>
      </c>
      <c r="BE65" s="153" t="n">
        <v>0</v>
      </c>
      <c r="BF65" s="153" t="n">
        <v>0</v>
      </c>
      <c r="BG65" s="153" t="n">
        <v>0</v>
      </c>
      <c r="BH65" s="153" t="n">
        <v>0</v>
      </c>
      <c r="BI65" s="153" t="n">
        <v>0</v>
      </c>
      <c r="BJ65" s="153" t="n">
        <v>0</v>
      </c>
      <c r="BK65" s="153" t="n">
        <v>0</v>
      </c>
      <c r="BL65" s="153" t="n">
        <v>0</v>
      </c>
      <c r="BM65" s="153" t="n">
        <v>0</v>
      </c>
      <c r="BN65" s="153" t="n">
        <v>0</v>
      </c>
      <c r="BO65" s="153" t="n">
        <v>0</v>
      </c>
      <c r="BP65" s="153" t="n">
        <v>0</v>
      </c>
      <c r="BQ65" s="153" t="n">
        <v>0</v>
      </c>
      <c r="BR65" s="153" t="n">
        <v>0</v>
      </c>
      <c r="BS65" s="153" t="n">
        <v>0</v>
      </c>
      <c r="BT65" s="153" t="n">
        <v>0</v>
      </c>
      <c r="BU65" s="153" t="n">
        <v>0</v>
      </c>
      <c r="BV65" s="153" t="n">
        <v>0</v>
      </c>
      <c r="BW65" s="153" t="n">
        <v>0</v>
      </c>
      <c r="BX65" s="153" t="n">
        <v>0</v>
      </c>
      <c r="BY65" s="153" t="n">
        <v>0</v>
      </c>
      <c r="BZ65" s="153" t="n">
        <v>0</v>
      </c>
      <c r="CA65" s="153" t="n">
        <v>0</v>
      </c>
      <c r="CB65" s="153" t="n">
        <v>0</v>
      </c>
      <c r="CC65" s="153" t="n">
        <v>0</v>
      </c>
      <c r="CD65" s="153" t="n">
        <v>0</v>
      </c>
      <c r="CE65" s="153" t="n">
        <v>0</v>
      </c>
      <c r="CF65" s="153" t="n">
        <v>0</v>
      </c>
      <c r="CG65" s="153" t="n">
        <v>0</v>
      </c>
      <c r="CH65" s="153" t="n">
        <v>0</v>
      </c>
      <c r="CI65" s="153" t="n">
        <v>0</v>
      </c>
      <c r="CJ65" s="153" t="n">
        <v>0</v>
      </c>
      <c r="CK65" s="153" t="n">
        <v>0</v>
      </c>
      <c r="CL65" s="153" t="n">
        <v>0</v>
      </c>
      <c r="CM65" s="153" t="n">
        <v>0</v>
      </c>
      <c r="CN65" s="153" t="n">
        <v>0</v>
      </c>
      <c r="CO65" s="153" t="n">
        <v>0</v>
      </c>
      <c r="CP65" s="153" t="n">
        <v>0</v>
      </c>
      <c r="CQ65" s="153" t="n">
        <v>0</v>
      </c>
      <c r="CR65" s="153" t="n">
        <v>0</v>
      </c>
      <c r="CS65" s="153" t="n">
        <v>0</v>
      </c>
      <c r="CT65" s="153" t="n">
        <v>0</v>
      </c>
      <c r="CU65" s="153" t="n">
        <v>0</v>
      </c>
      <c r="CV65" s="153" t="n">
        <v>0</v>
      </c>
      <c r="CW65" s="153" t="n">
        <v>0</v>
      </c>
      <c r="CX65" s="153" t="n">
        <v>0</v>
      </c>
      <c r="CY65" s="153" t="n">
        <v>0</v>
      </c>
      <c r="CZ65" s="153" t="n">
        <v>0</v>
      </c>
      <c r="DA65" s="153" t="n">
        <v>0</v>
      </c>
      <c r="DB65" s="153" t="n">
        <v>0</v>
      </c>
      <c r="DC65" s="153" t="n">
        <v>0</v>
      </c>
      <c r="DD65" s="153" t="n">
        <v>0</v>
      </c>
      <c r="DE65" s="153" t="n">
        <v>0</v>
      </c>
      <c r="DF65" s="153" t="n">
        <v>0</v>
      </c>
    </row>
    <row r="66" customFormat="false" ht="15" hidden="false" customHeight="true" outlineLevel="0" collapsed="false">
      <c r="A66" s="127" t="s">
        <v>99</v>
      </c>
      <c r="C66" s="112" t="n">
        <v>0</v>
      </c>
      <c r="D66" s="112" t="n">
        <v>0</v>
      </c>
      <c r="E66" s="112" t="n">
        <v>0</v>
      </c>
      <c r="F66" s="153" t="n">
        <v>0</v>
      </c>
      <c r="G66" s="153" t="n">
        <v>0</v>
      </c>
      <c r="H66" s="153" t="n">
        <v>0</v>
      </c>
      <c r="I66" s="153" t="n">
        <v>0</v>
      </c>
      <c r="J66" s="153" t="n">
        <v>0</v>
      </c>
      <c r="K66" s="153" t="n">
        <v>0</v>
      </c>
      <c r="L66" s="153" t="n">
        <v>0</v>
      </c>
      <c r="M66" s="153" t="n">
        <v>0</v>
      </c>
      <c r="N66" s="153" t="n">
        <v>0</v>
      </c>
      <c r="O66" s="153" t="n">
        <v>0</v>
      </c>
      <c r="P66" s="153" t="n">
        <v>0</v>
      </c>
      <c r="Q66" s="153" t="n">
        <v>0</v>
      </c>
      <c r="R66" s="153" t="n">
        <v>0</v>
      </c>
      <c r="S66" s="153" t="n">
        <v>0</v>
      </c>
      <c r="T66" s="153" t="n">
        <v>0</v>
      </c>
      <c r="U66" s="153" t="n">
        <v>0</v>
      </c>
      <c r="V66" s="153" t="n">
        <v>0</v>
      </c>
      <c r="W66" s="153" t="n">
        <v>0</v>
      </c>
      <c r="X66" s="153" t="n">
        <v>0</v>
      </c>
      <c r="Y66" s="153" t="n">
        <v>0</v>
      </c>
      <c r="Z66" s="153" t="n">
        <v>57375</v>
      </c>
      <c r="AA66" s="153" t="n">
        <v>0</v>
      </c>
      <c r="AB66" s="153" t="n">
        <v>0</v>
      </c>
      <c r="AC66" s="153" t="n">
        <v>0</v>
      </c>
      <c r="AD66" s="153" t="n">
        <v>0</v>
      </c>
      <c r="AE66" s="153" t="n">
        <v>0</v>
      </c>
      <c r="AF66" s="153" t="n">
        <v>0</v>
      </c>
      <c r="AG66" s="153" t="n">
        <v>0</v>
      </c>
      <c r="AH66" s="153" t="n">
        <v>0</v>
      </c>
      <c r="AI66" s="153" t="n">
        <v>0</v>
      </c>
      <c r="AJ66" s="153" t="n">
        <v>0</v>
      </c>
      <c r="AK66" s="153" t="n">
        <v>0</v>
      </c>
      <c r="AL66" s="153" t="n">
        <v>0</v>
      </c>
      <c r="AM66" s="153" t="n">
        <v>0</v>
      </c>
      <c r="AN66" s="153" t="n">
        <v>0</v>
      </c>
      <c r="AO66" s="153" t="n">
        <v>0</v>
      </c>
      <c r="AP66" s="153" t="n">
        <v>0</v>
      </c>
      <c r="AQ66" s="153" t="n">
        <v>0</v>
      </c>
      <c r="AR66" s="153" t="n">
        <v>0</v>
      </c>
      <c r="AS66" s="153" t="n">
        <v>0</v>
      </c>
      <c r="AT66" s="153" t="n">
        <v>0</v>
      </c>
      <c r="AU66" s="153" t="n">
        <v>0</v>
      </c>
      <c r="AV66" s="153" t="n">
        <v>0</v>
      </c>
      <c r="AW66" s="153" t="n">
        <v>0</v>
      </c>
      <c r="AX66" s="153" t="n">
        <v>0</v>
      </c>
      <c r="AY66" s="153" t="n">
        <v>0</v>
      </c>
      <c r="AZ66" s="153" t="n">
        <v>0</v>
      </c>
      <c r="BA66" s="153" t="n">
        <v>0</v>
      </c>
      <c r="BB66" s="153" t="n">
        <v>0</v>
      </c>
      <c r="BC66" s="153" t="n">
        <v>0</v>
      </c>
      <c r="BD66" s="153" t="n">
        <v>0</v>
      </c>
      <c r="BE66" s="153" t="n">
        <v>0</v>
      </c>
      <c r="BF66" s="153" t="n">
        <v>0</v>
      </c>
      <c r="BG66" s="153" t="n">
        <v>0</v>
      </c>
      <c r="BH66" s="153" t="n">
        <v>0</v>
      </c>
      <c r="BI66" s="153" t="n">
        <v>0</v>
      </c>
      <c r="BJ66" s="153" t="n">
        <v>0</v>
      </c>
      <c r="BK66" s="153" t="n">
        <v>0</v>
      </c>
      <c r="BL66" s="153" t="n">
        <v>0</v>
      </c>
      <c r="BM66" s="153" t="n">
        <v>0</v>
      </c>
      <c r="BN66" s="153" t="n">
        <v>0</v>
      </c>
      <c r="BO66" s="153" t="n">
        <v>0</v>
      </c>
      <c r="BP66" s="153" t="n">
        <v>0</v>
      </c>
      <c r="BQ66" s="153" t="n">
        <v>0</v>
      </c>
      <c r="BR66" s="153" t="n">
        <v>0</v>
      </c>
      <c r="BS66" s="153" t="n">
        <v>0</v>
      </c>
      <c r="BT66" s="153" t="n">
        <v>0</v>
      </c>
      <c r="BU66" s="153" t="n">
        <v>0</v>
      </c>
      <c r="BV66" s="153" t="n">
        <v>0</v>
      </c>
      <c r="BW66" s="153" t="n">
        <v>0</v>
      </c>
      <c r="BX66" s="153" t="n">
        <v>0</v>
      </c>
      <c r="BY66" s="153" t="n">
        <v>0</v>
      </c>
      <c r="BZ66" s="153" t="n">
        <v>0</v>
      </c>
      <c r="CA66" s="153" t="n">
        <v>0</v>
      </c>
      <c r="CB66" s="153" t="n">
        <v>0</v>
      </c>
      <c r="CC66" s="153" t="n">
        <v>0</v>
      </c>
      <c r="CD66" s="153" t="n">
        <v>0</v>
      </c>
      <c r="CE66" s="153" t="n">
        <v>0</v>
      </c>
      <c r="CF66" s="153" t="n">
        <v>0</v>
      </c>
      <c r="CG66" s="153" t="n">
        <v>0</v>
      </c>
      <c r="CH66" s="153" t="n">
        <v>0</v>
      </c>
      <c r="CI66" s="153" t="n">
        <v>0</v>
      </c>
      <c r="CJ66" s="153" t="n">
        <v>0</v>
      </c>
      <c r="CK66" s="153" t="n">
        <v>0</v>
      </c>
      <c r="CL66" s="153" t="n">
        <v>0</v>
      </c>
      <c r="CM66" s="153" t="n">
        <v>0</v>
      </c>
      <c r="CN66" s="153" t="n">
        <v>0</v>
      </c>
      <c r="CO66" s="153" t="n">
        <v>0</v>
      </c>
      <c r="CP66" s="153" t="n">
        <v>0</v>
      </c>
      <c r="CQ66" s="153" t="n">
        <v>0</v>
      </c>
      <c r="CR66" s="153" t="n">
        <v>0</v>
      </c>
      <c r="CS66" s="153" t="n">
        <v>0</v>
      </c>
      <c r="CT66" s="153" t="n">
        <v>0</v>
      </c>
      <c r="CU66" s="153" t="n">
        <v>0</v>
      </c>
      <c r="CV66" s="153" t="n">
        <v>0</v>
      </c>
      <c r="CW66" s="153" t="n">
        <v>0</v>
      </c>
      <c r="CX66" s="153" t="n">
        <v>0</v>
      </c>
      <c r="CY66" s="153" t="n">
        <v>0</v>
      </c>
      <c r="CZ66" s="153" t="n">
        <v>0</v>
      </c>
      <c r="DA66" s="153" t="n">
        <v>0</v>
      </c>
      <c r="DB66" s="153" t="n">
        <v>0</v>
      </c>
      <c r="DC66" s="153" t="n">
        <v>0</v>
      </c>
      <c r="DD66" s="153" t="n">
        <v>0</v>
      </c>
      <c r="DE66" s="153" t="n">
        <v>0</v>
      </c>
      <c r="DF66" s="153" t="n">
        <v>0</v>
      </c>
    </row>
    <row r="67" customFormat="false" ht="15" hidden="false" customHeight="true" outlineLevel="0" collapsed="false">
      <c r="A67" s="127" t="s">
        <v>100</v>
      </c>
      <c r="C67" s="112" t="n">
        <v>0</v>
      </c>
      <c r="D67" s="112" t="n">
        <v>0</v>
      </c>
      <c r="E67" s="112" t="n">
        <v>0</v>
      </c>
      <c r="F67" s="153" t="n">
        <v>0</v>
      </c>
      <c r="G67" s="153" t="n">
        <v>0</v>
      </c>
      <c r="H67" s="153" t="n">
        <v>0</v>
      </c>
      <c r="I67" s="153" t="n">
        <v>0</v>
      </c>
      <c r="J67" s="153" t="n">
        <v>0</v>
      </c>
      <c r="K67" s="153" t="n">
        <v>0</v>
      </c>
      <c r="L67" s="153" t="n">
        <v>0</v>
      </c>
      <c r="M67" s="153" t="n">
        <v>0</v>
      </c>
      <c r="N67" s="153" t="n">
        <v>0</v>
      </c>
      <c r="O67" s="153" t="n">
        <v>0</v>
      </c>
      <c r="P67" s="153" t="n">
        <v>0</v>
      </c>
      <c r="Q67" s="153" t="n">
        <v>0</v>
      </c>
      <c r="R67" s="153" t="n">
        <v>0</v>
      </c>
      <c r="S67" s="153" t="n">
        <v>0</v>
      </c>
      <c r="T67" s="153" t="n">
        <v>0</v>
      </c>
      <c r="U67" s="153" t="n">
        <v>0</v>
      </c>
      <c r="V67" s="153" t="n">
        <v>0</v>
      </c>
      <c r="W67" s="153" t="n">
        <v>0</v>
      </c>
      <c r="X67" s="153" t="n">
        <v>0</v>
      </c>
      <c r="Y67" s="153" t="n">
        <v>0</v>
      </c>
      <c r="Z67" s="153" t="n">
        <v>0</v>
      </c>
      <c r="AA67" s="153" t="n">
        <v>0</v>
      </c>
      <c r="AB67" s="153" t="n">
        <v>0</v>
      </c>
      <c r="AC67" s="153" t="n">
        <v>57375</v>
      </c>
      <c r="AD67" s="153" t="n">
        <v>0</v>
      </c>
      <c r="AE67" s="153" t="n">
        <v>0</v>
      </c>
      <c r="AF67" s="153" t="n">
        <v>0</v>
      </c>
      <c r="AG67" s="153" t="n">
        <v>0</v>
      </c>
      <c r="AH67" s="153" t="n">
        <v>0</v>
      </c>
      <c r="AI67" s="153" t="n">
        <v>0</v>
      </c>
      <c r="AJ67" s="153" t="n">
        <v>0</v>
      </c>
      <c r="AK67" s="153" t="n">
        <v>0</v>
      </c>
      <c r="AL67" s="153" t="n">
        <v>0</v>
      </c>
      <c r="AM67" s="153" t="n">
        <v>0</v>
      </c>
      <c r="AN67" s="153" t="n">
        <v>0</v>
      </c>
      <c r="AO67" s="153" t="n">
        <v>0</v>
      </c>
      <c r="AP67" s="153" t="n">
        <v>0</v>
      </c>
      <c r="AQ67" s="153" t="n">
        <v>0</v>
      </c>
      <c r="AR67" s="153" t="n">
        <v>0</v>
      </c>
      <c r="AS67" s="153" t="n">
        <v>0</v>
      </c>
      <c r="AT67" s="153" t="n">
        <v>0</v>
      </c>
      <c r="AU67" s="153" t="n">
        <v>0</v>
      </c>
      <c r="AV67" s="153" t="n">
        <v>0</v>
      </c>
      <c r="AW67" s="153" t="n">
        <v>0</v>
      </c>
      <c r="AX67" s="153" t="n">
        <v>0</v>
      </c>
      <c r="AY67" s="153" t="n">
        <v>0</v>
      </c>
      <c r="AZ67" s="153" t="n">
        <v>0</v>
      </c>
      <c r="BA67" s="153" t="n">
        <v>0</v>
      </c>
      <c r="BB67" s="153" t="n">
        <v>0</v>
      </c>
      <c r="BC67" s="153" t="n">
        <v>0</v>
      </c>
      <c r="BD67" s="153" t="n">
        <v>0</v>
      </c>
      <c r="BE67" s="153" t="n">
        <v>0</v>
      </c>
      <c r="BF67" s="153" t="n">
        <v>0</v>
      </c>
      <c r="BG67" s="153" t="n">
        <v>0</v>
      </c>
      <c r="BH67" s="153" t="n">
        <v>0</v>
      </c>
      <c r="BI67" s="153" t="n">
        <v>0</v>
      </c>
      <c r="BJ67" s="153" t="n">
        <v>0</v>
      </c>
      <c r="BK67" s="153" t="n">
        <v>0</v>
      </c>
      <c r="BL67" s="153" t="n">
        <v>0</v>
      </c>
      <c r="BM67" s="153" t="n">
        <v>0</v>
      </c>
      <c r="BN67" s="153" t="n">
        <v>0</v>
      </c>
      <c r="BO67" s="153" t="n">
        <v>0</v>
      </c>
      <c r="BP67" s="153" t="n">
        <v>0</v>
      </c>
      <c r="BQ67" s="153" t="n">
        <v>0</v>
      </c>
      <c r="BR67" s="153" t="n">
        <v>0</v>
      </c>
      <c r="BS67" s="153" t="n">
        <v>0</v>
      </c>
      <c r="BT67" s="153" t="n">
        <v>0</v>
      </c>
      <c r="BU67" s="153" t="n">
        <v>0</v>
      </c>
      <c r="BV67" s="153" t="n">
        <v>0</v>
      </c>
      <c r="BW67" s="153" t="n">
        <v>0</v>
      </c>
      <c r="BX67" s="153" t="n">
        <v>0</v>
      </c>
      <c r="BY67" s="153" t="n">
        <v>0</v>
      </c>
      <c r="BZ67" s="153" t="n">
        <v>0</v>
      </c>
      <c r="CA67" s="153" t="n">
        <v>0</v>
      </c>
      <c r="CB67" s="153" t="n">
        <v>0</v>
      </c>
      <c r="CC67" s="153" t="n">
        <v>0</v>
      </c>
      <c r="CD67" s="153" t="n">
        <v>0</v>
      </c>
      <c r="CE67" s="153" t="n">
        <v>0</v>
      </c>
      <c r="CF67" s="153" t="n">
        <v>0</v>
      </c>
      <c r="CG67" s="153" t="n">
        <v>0</v>
      </c>
      <c r="CH67" s="153" t="n">
        <v>0</v>
      </c>
      <c r="CI67" s="153" t="n">
        <v>0</v>
      </c>
      <c r="CJ67" s="153" t="n">
        <v>0</v>
      </c>
      <c r="CK67" s="153" t="n">
        <v>0</v>
      </c>
      <c r="CL67" s="153" t="n">
        <v>0</v>
      </c>
      <c r="CM67" s="153" t="n">
        <v>0</v>
      </c>
      <c r="CN67" s="153" t="n">
        <v>0</v>
      </c>
      <c r="CO67" s="153" t="n">
        <v>0</v>
      </c>
      <c r="CP67" s="153" t="n">
        <v>0</v>
      </c>
      <c r="CQ67" s="153" t="n">
        <v>0</v>
      </c>
      <c r="CR67" s="153" t="n">
        <v>0</v>
      </c>
      <c r="CS67" s="153" t="n">
        <v>0</v>
      </c>
      <c r="CT67" s="153" t="n">
        <v>0</v>
      </c>
      <c r="CU67" s="153" t="n">
        <v>0</v>
      </c>
      <c r="CV67" s="153" t="n">
        <v>0</v>
      </c>
      <c r="CW67" s="153" t="n">
        <v>0</v>
      </c>
      <c r="CX67" s="153" t="n">
        <v>0</v>
      </c>
      <c r="CY67" s="153" t="n">
        <v>0</v>
      </c>
      <c r="CZ67" s="153" t="n">
        <v>0</v>
      </c>
      <c r="DA67" s="153" t="n">
        <v>0</v>
      </c>
      <c r="DB67" s="153" t="n">
        <v>0</v>
      </c>
      <c r="DC67" s="153" t="n">
        <v>0</v>
      </c>
      <c r="DD67" s="153" t="n">
        <v>0</v>
      </c>
      <c r="DE67" s="153" t="n">
        <v>0</v>
      </c>
      <c r="DF67" s="153" t="n">
        <v>0</v>
      </c>
    </row>
    <row r="68" customFormat="false" ht="15" hidden="false" customHeight="true" outlineLevel="0" collapsed="false">
      <c r="A68" s="127" t="s">
        <v>101</v>
      </c>
      <c r="C68" s="112" t="n">
        <v>0</v>
      </c>
      <c r="D68" s="112" t="n">
        <v>0</v>
      </c>
      <c r="E68" s="112" t="n">
        <v>0</v>
      </c>
      <c r="F68" s="153" t="n">
        <v>0</v>
      </c>
      <c r="G68" s="153" t="n">
        <v>0</v>
      </c>
      <c r="H68" s="153" t="n">
        <v>0</v>
      </c>
      <c r="I68" s="153" t="n">
        <v>0</v>
      </c>
      <c r="J68" s="153" t="n">
        <v>0</v>
      </c>
      <c r="K68" s="153" t="n">
        <v>0</v>
      </c>
      <c r="L68" s="153" t="n">
        <v>0</v>
      </c>
      <c r="M68" s="153" t="n">
        <v>0</v>
      </c>
      <c r="N68" s="153" t="n">
        <v>0</v>
      </c>
      <c r="O68" s="153" t="n">
        <v>0</v>
      </c>
      <c r="P68" s="153" t="n">
        <v>0</v>
      </c>
      <c r="Q68" s="153" t="n">
        <v>0</v>
      </c>
      <c r="R68" s="153" t="n">
        <v>0</v>
      </c>
      <c r="S68" s="153" t="n">
        <v>0</v>
      </c>
      <c r="T68" s="153" t="n">
        <v>0</v>
      </c>
      <c r="U68" s="153" t="n">
        <v>0</v>
      </c>
      <c r="V68" s="153" t="n">
        <v>0</v>
      </c>
      <c r="W68" s="153" t="n">
        <v>0</v>
      </c>
      <c r="X68" s="153" t="n">
        <v>0</v>
      </c>
      <c r="Y68" s="153" t="n">
        <v>0</v>
      </c>
      <c r="Z68" s="153" t="n">
        <v>0</v>
      </c>
      <c r="AA68" s="153" t="n">
        <v>0</v>
      </c>
      <c r="AB68" s="153" t="n">
        <v>0</v>
      </c>
      <c r="AC68" s="153" t="n">
        <v>0</v>
      </c>
      <c r="AD68" s="153" t="n">
        <v>0</v>
      </c>
      <c r="AE68" s="153" t="n">
        <v>0</v>
      </c>
      <c r="AF68" s="153" t="n">
        <v>57375</v>
      </c>
      <c r="AG68" s="153" t="n">
        <v>0</v>
      </c>
      <c r="AH68" s="153" t="n">
        <v>0</v>
      </c>
      <c r="AI68" s="153" t="n">
        <v>0</v>
      </c>
      <c r="AJ68" s="153" t="n">
        <v>0</v>
      </c>
      <c r="AK68" s="153" t="n">
        <v>0</v>
      </c>
      <c r="AL68" s="153" t="n">
        <v>0</v>
      </c>
      <c r="AM68" s="153" t="n">
        <v>0</v>
      </c>
      <c r="AN68" s="153" t="n">
        <v>0</v>
      </c>
      <c r="AO68" s="153" t="n">
        <v>0</v>
      </c>
      <c r="AP68" s="153" t="n">
        <v>0</v>
      </c>
      <c r="AQ68" s="153" t="n">
        <v>0</v>
      </c>
      <c r="AR68" s="153" t="n">
        <v>0</v>
      </c>
      <c r="AS68" s="153" t="n">
        <v>0</v>
      </c>
      <c r="AT68" s="153" t="n">
        <v>0</v>
      </c>
      <c r="AU68" s="153" t="n">
        <v>0</v>
      </c>
      <c r="AV68" s="153" t="n">
        <v>0</v>
      </c>
      <c r="AW68" s="153" t="n">
        <v>0</v>
      </c>
      <c r="AX68" s="153" t="n">
        <v>0</v>
      </c>
      <c r="AY68" s="153" t="n">
        <v>0</v>
      </c>
      <c r="AZ68" s="153" t="n">
        <v>0</v>
      </c>
      <c r="BA68" s="153" t="n">
        <v>0</v>
      </c>
      <c r="BB68" s="153" t="n">
        <v>0</v>
      </c>
      <c r="BC68" s="153" t="n">
        <v>0</v>
      </c>
      <c r="BD68" s="153" t="n">
        <v>0</v>
      </c>
      <c r="BE68" s="153" t="n">
        <v>0</v>
      </c>
      <c r="BF68" s="153" t="n">
        <v>0</v>
      </c>
      <c r="BG68" s="153" t="n">
        <v>0</v>
      </c>
      <c r="BH68" s="153" t="n">
        <v>0</v>
      </c>
      <c r="BI68" s="153" t="n">
        <v>0</v>
      </c>
      <c r="BJ68" s="153" t="n">
        <v>0</v>
      </c>
      <c r="BK68" s="153" t="n">
        <v>0</v>
      </c>
      <c r="BL68" s="153" t="n">
        <v>0</v>
      </c>
      <c r="BM68" s="153" t="n">
        <v>0</v>
      </c>
      <c r="BN68" s="153" t="n">
        <v>0</v>
      </c>
      <c r="BO68" s="153" t="n">
        <v>0</v>
      </c>
      <c r="BP68" s="153" t="n">
        <v>0</v>
      </c>
      <c r="BQ68" s="153" t="n">
        <v>0</v>
      </c>
      <c r="BR68" s="153" t="n">
        <v>0</v>
      </c>
      <c r="BS68" s="153" t="n">
        <v>0</v>
      </c>
      <c r="BT68" s="153" t="n">
        <v>0</v>
      </c>
      <c r="BU68" s="153" t="n">
        <v>0</v>
      </c>
      <c r="BV68" s="153" t="n">
        <v>0</v>
      </c>
      <c r="BW68" s="153" t="n">
        <v>0</v>
      </c>
      <c r="BX68" s="153" t="n">
        <v>0</v>
      </c>
      <c r="BY68" s="153" t="n">
        <v>0</v>
      </c>
      <c r="BZ68" s="153" t="n">
        <v>0</v>
      </c>
      <c r="CA68" s="153" t="n">
        <v>0</v>
      </c>
      <c r="CB68" s="153" t="n">
        <v>0</v>
      </c>
      <c r="CC68" s="153" t="n">
        <v>0</v>
      </c>
      <c r="CD68" s="153" t="n">
        <v>0</v>
      </c>
      <c r="CE68" s="153" t="n">
        <v>0</v>
      </c>
      <c r="CF68" s="153" t="n">
        <v>0</v>
      </c>
      <c r="CG68" s="153" t="n">
        <v>0</v>
      </c>
      <c r="CH68" s="153" t="n">
        <v>0</v>
      </c>
      <c r="CI68" s="153" t="n">
        <v>0</v>
      </c>
      <c r="CJ68" s="153" t="n">
        <v>0</v>
      </c>
      <c r="CK68" s="153" t="n">
        <v>0</v>
      </c>
      <c r="CL68" s="153" t="n">
        <v>0</v>
      </c>
      <c r="CM68" s="153" t="n">
        <v>0</v>
      </c>
      <c r="CN68" s="153" t="n">
        <v>0</v>
      </c>
      <c r="CO68" s="153" t="n">
        <v>0</v>
      </c>
      <c r="CP68" s="153" t="n">
        <v>0</v>
      </c>
      <c r="CQ68" s="153" t="n">
        <v>0</v>
      </c>
      <c r="CR68" s="153" t="n">
        <v>0</v>
      </c>
      <c r="CS68" s="153" t="n">
        <v>0</v>
      </c>
      <c r="CT68" s="153" t="n">
        <v>0</v>
      </c>
      <c r="CU68" s="153" t="n">
        <v>0</v>
      </c>
      <c r="CV68" s="153" t="n">
        <v>0</v>
      </c>
      <c r="CW68" s="153" t="n">
        <v>0</v>
      </c>
      <c r="CX68" s="153" t="n">
        <v>0</v>
      </c>
      <c r="CY68" s="153" t="n">
        <v>0</v>
      </c>
      <c r="CZ68" s="153" t="n">
        <v>0</v>
      </c>
      <c r="DA68" s="153" t="n">
        <v>0</v>
      </c>
      <c r="DB68" s="153" t="n">
        <v>0</v>
      </c>
      <c r="DC68" s="153" t="n">
        <v>0</v>
      </c>
      <c r="DD68" s="153" t="n">
        <v>0</v>
      </c>
      <c r="DE68" s="153" t="n">
        <v>0</v>
      </c>
      <c r="DF68" s="153" t="n">
        <v>0</v>
      </c>
    </row>
    <row r="69" customFormat="false" ht="15" hidden="false" customHeight="true" outlineLevel="0" collapsed="false">
      <c r="A69" s="127" t="s">
        <v>102</v>
      </c>
      <c r="C69" s="157" t="n">
        <v>9375</v>
      </c>
      <c r="D69" s="157" t="n">
        <v>9375</v>
      </c>
      <c r="E69" s="157" t="n">
        <v>9375</v>
      </c>
      <c r="F69" s="153" t="n">
        <v>9375</v>
      </c>
      <c r="G69" s="153" t="n">
        <v>9375</v>
      </c>
      <c r="H69" s="153" t="n">
        <v>9375</v>
      </c>
      <c r="I69" s="153" t="n">
        <v>9375</v>
      </c>
      <c r="J69" s="153" t="n">
        <v>9375</v>
      </c>
      <c r="K69" s="153" t="n">
        <v>9375</v>
      </c>
      <c r="L69" s="153" t="n">
        <v>9375</v>
      </c>
      <c r="M69" s="153" t="n">
        <v>0</v>
      </c>
      <c r="N69" s="153" t="n">
        <v>0</v>
      </c>
      <c r="O69" s="153" t="n">
        <v>0</v>
      </c>
      <c r="P69" s="153" t="n">
        <v>0</v>
      </c>
      <c r="Q69" s="153" t="n">
        <v>0</v>
      </c>
      <c r="R69" s="153" t="n">
        <v>0</v>
      </c>
      <c r="S69" s="153" t="n">
        <v>0</v>
      </c>
      <c r="T69" s="153" t="n">
        <v>0</v>
      </c>
      <c r="U69" s="153" t="n">
        <v>0</v>
      </c>
      <c r="V69" s="153" t="n">
        <v>0</v>
      </c>
      <c r="W69" s="153" t="n">
        <v>0</v>
      </c>
      <c r="X69" s="153" t="n">
        <v>0</v>
      </c>
      <c r="Y69" s="153" t="n">
        <v>0</v>
      </c>
      <c r="Z69" s="153" t="n">
        <v>0</v>
      </c>
      <c r="AA69" s="153" t="n">
        <v>0</v>
      </c>
      <c r="AB69" s="153" t="n">
        <v>0</v>
      </c>
      <c r="AC69" s="153" t="n">
        <v>0</v>
      </c>
      <c r="AD69" s="153" t="n">
        <v>0</v>
      </c>
      <c r="AE69" s="153" t="n">
        <v>0</v>
      </c>
      <c r="AF69" s="153" t="n">
        <v>0</v>
      </c>
      <c r="AG69" s="153" t="n">
        <v>0</v>
      </c>
      <c r="AH69" s="153" t="n">
        <v>0</v>
      </c>
      <c r="AI69" s="153" t="n">
        <v>0</v>
      </c>
      <c r="AJ69" s="153" t="n">
        <v>0</v>
      </c>
      <c r="AK69" s="153" t="n">
        <v>0</v>
      </c>
      <c r="AL69" s="153" t="n">
        <v>0</v>
      </c>
      <c r="AM69" s="153" t="n">
        <v>0</v>
      </c>
      <c r="AN69" s="153" t="n">
        <v>0</v>
      </c>
      <c r="AO69" s="153" t="n">
        <v>0</v>
      </c>
      <c r="AP69" s="153" t="n">
        <v>0</v>
      </c>
      <c r="AQ69" s="153" t="n">
        <v>0</v>
      </c>
      <c r="AR69" s="153" t="n">
        <v>0</v>
      </c>
      <c r="AS69" s="153" t="n">
        <v>0</v>
      </c>
      <c r="AT69" s="153" t="n">
        <v>0</v>
      </c>
      <c r="AU69" s="153" t="n">
        <v>0</v>
      </c>
      <c r="AV69" s="153" t="n">
        <v>0</v>
      </c>
      <c r="AW69" s="153" t="n">
        <v>0</v>
      </c>
      <c r="AX69" s="153" t="n">
        <v>0</v>
      </c>
      <c r="AY69" s="153" t="n">
        <v>0</v>
      </c>
      <c r="AZ69" s="153" t="n">
        <v>0</v>
      </c>
      <c r="BA69" s="153" t="n">
        <v>0</v>
      </c>
      <c r="BB69" s="153" t="n">
        <v>0</v>
      </c>
      <c r="BC69" s="153" t="n">
        <v>0</v>
      </c>
      <c r="BD69" s="153" t="n">
        <v>0</v>
      </c>
      <c r="BE69" s="153" t="n">
        <v>0</v>
      </c>
      <c r="BF69" s="153" t="n">
        <v>0</v>
      </c>
      <c r="BG69" s="153" t="n">
        <v>0</v>
      </c>
      <c r="BH69" s="153" t="n">
        <v>0</v>
      </c>
      <c r="BI69" s="153" t="n">
        <v>0</v>
      </c>
      <c r="BJ69" s="153" t="n">
        <v>0</v>
      </c>
      <c r="BK69" s="153" t="n">
        <v>0</v>
      </c>
      <c r="BL69" s="153" t="n">
        <v>0</v>
      </c>
      <c r="BM69" s="153" t="n">
        <v>0</v>
      </c>
      <c r="BN69" s="153" t="n">
        <v>0</v>
      </c>
      <c r="BO69" s="153" t="n">
        <v>0</v>
      </c>
      <c r="BP69" s="153" t="n">
        <v>0</v>
      </c>
      <c r="BQ69" s="153" t="n">
        <v>0</v>
      </c>
      <c r="BR69" s="153" t="n">
        <v>0</v>
      </c>
      <c r="BS69" s="153" t="n">
        <v>0</v>
      </c>
      <c r="BT69" s="153" t="n">
        <v>0</v>
      </c>
      <c r="BU69" s="153" t="n">
        <v>0</v>
      </c>
      <c r="BV69" s="153" t="n">
        <v>0</v>
      </c>
      <c r="BW69" s="153" t="n">
        <v>0</v>
      </c>
      <c r="BX69" s="153" t="n">
        <v>0</v>
      </c>
      <c r="BY69" s="153" t="n">
        <v>0</v>
      </c>
      <c r="BZ69" s="153" t="n">
        <v>0</v>
      </c>
      <c r="CA69" s="153" t="n">
        <v>0</v>
      </c>
      <c r="CB69" s="153" t="n">
        <v>0</v>
      </c>
      <c r="CC69" s="153" t="n">
        <v>0</v>
      </c>
      <c r="CD69" s="153" t="n">
        <v>0</v>
      </c>
      <c r="CE69" s="153" t="n">
        <v>0</v>
      </c>
      <c r="CF69" s="153" t="n">
        <v>0</v>
      </c>
      <c r="CG69" s="153" t="n">
        <v>0</v>
      </c>
      <c r="CH69" s="153" t="n">
        <v>0</v>
      </c>
      <c r="CI69" s="153" t="n">
        <v>0</v>
      </c>
      <c r="CJ69" s="153" t="n">
        <v>0</v>
      </c>
      <c r="CK69" s="153" t="n">
        <v>0</v>
      </c>
      <c r="CL69" s="153" t="n">
        <v>0</v>
      </c>
      <c r="CM69" s="153" t="n">
        <v>0</v>
      </c>
      <c r="CN69" s="153" t="n">
        <v>0</v>
      </c>
      <c r="CO69" s="153" t="n">
        <v>0</v>
      </c>
      <c r="CP69" s="153" t="n">
        <v>0</v>
      </c>
      <c r="CQ69" s="153" t="n">
        <v>0</v>
      </c>
      <c r="CR69" s="153" t="n">
        <v>0</v>
      </c>
      <c r="CS69" s="153" t="n">
        <v>0</v>
      </c>
      <c r="CT69" s="153" t="n">
        <v>0</v>
      </c>
      <c r="CU69" s="153" t="n">
        <v>0</v>
      </c>
      <c r="CV69" s="153" t="n">
        <v>0</v>
      </c>
      <c r="CW69" s="153" t="n">
        <v>0</v>
      </c>
      <c r="CX69" s="153" t="n">
        <v>0</v>
      </c>
      <c r="CY69" s="153" t="n">
        <v>0</v>
      </c>
      <c r="CZ69" s="153" t="n">
        <v>0</v>
      </c>
      <c r="DA69" s="153" t="n">
        <v>0</v>
      </c>
      <c r="DB69" s="153" t="n">
        <v>0</v>
      </c>
      <c r="DC69" s="153" t="n">
        <v>0</v>
      </c>
      <c r="DD69" s="153" t="n">
        <v>0</v>
      </c>
      <c r="DE69" s="153" t="n">
        <v>0</v>
      </c>
      <c r="DF69" s="153" t="n">
        <v>0</v>
      </c>
    </row>
    <row r="70" customFormat="false" ht="15" hidden="false" customHeight="true" outlineLevel="0" collapsed="false">
      <c r="A70" s="127" t="s">
        <v>103</v>
      </c>
      <c r="C70" s="112" t="n">
        <v>0</v>
      </c>
      <c r="D70" s="112" t="n">
        <v>0</v>
      </c>
      <c r="E70" s="112" t="n">
        <v>0</v>
      </c>
      <c r="F70" s="153" t="n">
        <v>9500</v>
      </c>
      <c r="G70" s="153" t="n">
        <v>9500</v>
      </c>
      <c r="H70" s="153" t="n">
        <v>9500</v>
      </c>
      <c r="I70" s="153" t="n">
        <v>9500</v>
      </c>
      <c r="J70" s="153" t="n">
        <v>9500</v>
      </c>
      <c r="K70" s="153" t="n">
        <v>9500</v>
      </c>
      <c r="L70" s="153" t="n">
        <v>9500</v>
      </c>
      <c r="M70" s="153" t="n">
        <v>9500</v>
      </c>
      <c r="N70" s="153" t="n">
        <v>9500</v>
      </c>
      <c r="O70" s="153" t="n">
        <v>9500</v>
      </c>
      <c r="P70" s="153" t="n">
        <v>9500</v>
      </c>
      <c r="Q70" s="153" t="n">
        <v>9500</v>
      </c>
      <c r="R70" s="153" t="n">
        <v>9500</v>
      </c>
      <c r="S70" s="153" t="n">
        <v>9500</v>
      </c>
      <c r="T70" s="153" t="n">
        <v>9500</v>
      </c>
      <c r="U70" s="153" t="n">
        <v>9500</v>
      </c>
      <c r="V70" s="153" t="n">
        <v>9500</v>
      </c>
      <c r="W70" s="153" t="n">
        <v>9500</v>
      </c>
      <c r="X70" s="153" t="n">
        <v>9500</v>
      </c>
      <c r="Y70" s="153" t="n">
        <v>9500</v>
      </c>
      <c r="Z70" s="153" t="n">
        <v>9500</v>
      </c>
      <c r="AA70" s="153" t="n">
        <v>9500</v>
      </c>
      <c r="AB70" s="153" t="n">
        <v>9500</v>
      </c>
      <c r="AC70" s="153" t="n">
        <v>9500</v>
      </c>
      <c r="AD70" s="153" t="n">
        <v>9500</v>
      </c>
      <c r="AE70" s="153" t="n">
        <v>9500</v>
      </c>
      <c r="AF70" s="153" t="n">
        <v>9500</v>
      </c>
      <c r="AG70" s="153" t="n">
        <v>9500</v>
      </c>
      <c r="AH70" s="153" t="n">
        <v>9500</v>
      </c>
      <c r="AI70" s="153" t="n">
        <v>9500</v>
      </c>
      <c r="AJ70" s="153" t="n">
        <v>0</v>
      </c>
      <c r="AK70" s="153" t="n">
        <v>0</v>
      </c>
      <c r="AL70" s="153" t="n">
        <v>0</v>
      </c>
      <c r="AM70" s="153" t="n">
        <v>0</v>
      </c>
      <c r="AN70" s="153" t="n">
        <v>0</v>
      </c>
      <c r="AO70" s="153" t="n">
        <v>0</v>
      </c>
      <c r="AP70" s="153" t="n">
        <v>0</v>
      </c>
      <c r="AQ70" s="153" t="n">
        <v>0</v>
      </c>
      <c r="AR70" s="153" t="n">
        <v>0</v>
      </c>
      <c r="AS70" s="153" t="n">
        <v>0</v>
      </c>
      <c r="AT70" s="153" t="n">
        <v>0</v>
      </c>
      <c r="AU70" s="153" t="n">
        <v>0</v>
      </c>
      <c r="AV70" s="153" t="n">
        <v>0</v>
      </c>
      <c r="AW70" s="153" t="n">
        <v>0</v>
      </c>
      <c r="AX70" s="153" t="n">
        <v>0</v>
      </c>
      <c r="AY70" s="153" t="n">
        <v>0</v>
      </c>
      <c r="AZ70" s="153" t="n">
        <v>0</v>
      </c>
      <c r="BA70" s="153" t="n">
        <v>0</v>
      </c>
      <c r="BB70" s="153" t="n">
        <v>0</v>
      </c>
      <c r="BC70" s="153" t="n">
        <v>0</v>
      </c>
      <c r="BD70" s="153" t="n">
        <v>0</v>
      </c>
      <c r="BE70" s="153" t="n">
        <v>0</v>
      </c>
      <c r="BF70" s="153" t="n">
        <v>0</v>
      </c>
      <c r="BG70" s="153" t="n">
        <v>0</v>
      </c>
      <c r="BH70" s="153" t="n">
        <v>0</v>
      </c>
      <c r="BI70" s="153" t="n">
        <v>0</v>
      </c>
      <c r="BJ70" s="153" t="n">
        <v>0</v>
      </c>
      <c r="BK70" s="153" t="n">
        <v>0</v>
      </c>
      <c r="BL70" s="153" t="n">
        <v>0</v>
      </c>
      <c r="BM70" s="153" t="n">
        <v>0</v>
      </c>
      <c r="BN70" s="153" t="n">
        <v>0</v>
      </c>
      <c r="BO70" s="153" t="n">
        <v>0</v>
      </c>
      <c r="BP70" s="153" t="n">
        <v>0</v>
      </c>
      <c r="BQ70" s="153" t="n">
        <v>0</v>
      </c>
      <c r="BR70" s="153" t="n">
        <v>0</v>
      </c>
      <c r="BS70" s="153" t="n">
        <v>0</v>
      </c>
      <c r="BT70" s="153" t="n">
        <v>0</v>
      </c>
      <c r="BU70" s="153" t="n">
        <v>0</v>
      </c>
      <c r="BV70" s="153" t="n">
        <v>0</v>
      </c>
      <c r="BW70" s="153" t="n">
        <v>0</v>
      </c>
      <c r="BX70" s="153" t="n">
        <v>0</v>
      </c>
      <c r="BY70" s="153" t="n">
        <v>0</v>
      </c>
      <c r="BZ70" s="153" t="n">
        <v>0</v>
      </c>
      <c r="CA70" s="153" t="n">
        <v>0</v>
      </c>
      <c r="CB70" s="153" t="n">
        <v>0</v>
      </c>
      <c r="CC70" s="153" t="n">
        <v>0</v>
      </c>
      <c r="CD70" s="153" t="n">
        <v>0</v>
      </c>
      <c r="CE70" s="153" t="n">
        <v>0</v>
      </c>
      <c r="CF70" s="153" t="n">
        <v>0</v>
      </c>
      <c r="CG70" s="153" t="n">
        <v>0</v>
      </c>
      <c r="CH70" s="153" t="n">
        <v>0</v>
      </c>
      <c r="CI70" s="153" t="n">
        <v>0</v>
      </c>
      <c r="CJ70" s="153" t="n">
        <v>0</v>
      </c>
      <c r="CK70" s="153" t="n">
        <v>0</v>
      </c>
      <c r="CL70" s="153" t="n">
        <v>0</v>
      </c>
      <c r="CM70" s="153" t="n">
        <v>0</v>
      </c>
      <c r="CN70" s="153" t="n">
        <v>0</v>
      </c>
      <c r="CO70" s="153" t="n">
        <v>0</v>
      </c>
      <c r="CP70" s="153" t="n">
        <v>0</v>
      </c>
      <c r="CQ70" s="153" t="n">
        <v>0</v>
      </c>
      <c r="CR70" s="153" t="n">
        <v>0</v>
      </c>
      <c r="CS70" s="153" t="n">
        <v>0</v>
      </c>
      <c r="CT70" s="153" t="n">
        <v>0</v>
      </c>
      <c r="CU70" s="153" t="n">
        <v>0</v>
      </c>
      <c r="CV70" s="153" t="n">
        <v>0</v>
      </c>
      <c r="CW70" s="153" t="n">
        <v>0</v>
      </c>
      <c r="CX70" s="153" t="n">
        <v>0</v>
      </c>
      <c r="CY70" s="153" t="n">
        <v>0</v>
      </c>
      <c r="CZ70" s="153" t="n">
        <v>0</v>
      </c>
      <c r="DA70" s="153" t="n">
        <v>0</v>
      </c>
      <c r="DB70" s="153" t="n">
        <v>0</v>
      </c>
      <c r="DC70" s="153" t="n">
        <v>0</v>
      </c>
      <c r="DD70" s="153" t="n">
        <v>0</v>
      </c>
      <c r="DE70" s="153" t="n">
        <v>0</v>
      </c>
      <c r="DF70" s="153" t="n">
        <v>0</v>
      </c>
    </row>
    <row r="71" customFormat="false" ht="15" hidden="false" customHeight="true" outlineLevel="0" collapsed="false">
      <c r="A71" s="127" t="s">
        <v>104</v>
      </c>
      <c r="C71" s="112" t="n">
        <v>0</v>
      </c>
      <c r="D71" s="112" t="n">
        <v>0</v>
      </c>
      <c r="E71" s="112" t="n">
        <v>0</v>
      </c>
      <c r="F71" s="153" t="n">
        <v>0</v>
      </c>
      <c r="G71" s="153" t="n">
        <v>0</v>
      </c>
      <c r="H71" s="153" t="n">
        <v>0</v>
      </c>
      <c r="I71" s="153" t="n">
        <v>0</v>
      </c>
      <c r="J71" s="153" t="n">
        <v>0</v>
      </c>
      <c r="K71" s="153" t="n">
        <v>0</v>
      </c>
      <c r="L71" s="153" t="n">
        <v>0</v>
      </c>
      <c r="M71" s="153" t="n">
        <v>0</v>
      </c>
      <c r="N71" s="153" t="n">
        <v>0</v>
      </c>
      <c r="O71" s="153" t="n">
        <v>0</v>
      </c>
      <c r="P71" s="153" t="n">
        <v>0</v>
      </c>
      <c r="Q71" s="153" t="n">
        <v>0</v>
      </c>
      <c r="R71" s="153" t="n">
        <v>0</v>
      </c>
      <c r="S71" s="153" t="n">
        <v>0</v>
      </c>
      <c r="T71" s="153" t="n">
        <v>0</v>
      </c>
      <c r="U71" s="153" t="n">
        <v>0</v>
      </c>
      <c r="V71" s="153" t="n">
        <v>0</v>
      </c>
      <c r="W71" s="153" t="n">
        <v>0</v>
      </c>
      <c r="X71" s="153" t="n">
        <v>0</v>
      </c>
      <c r="Y71" s="153" t="n">
        <v>0</v>
      </c>
      <c r="Z71" s="153" t="n">
        <v>0</v>
      </c>
      <c r="AA71" s="153" t="n">
        <v>0</v>
      </c>
      <c r="AB71" s="153" t="n">
        <v>0</v>
      </c>
      <c r="AC71" s="153" t="n">
        <v>0</v>
      </c>
      <c r="AD71" s="153" t="n">
        <v>0</v>
      </c>
      <c r="AE71" s="153" t="n">
        <v>0</v>
      </c>
      <c r="AF71" s="153" t="n">
        <v>0</v>
      </c>
      <c r="AG71" s="153" t="n">
        <v>0</v>
      </c>
      <c r="AH71" s="153" t="n">
        <v>0</v>
      </c>
      <c r="AI71" s="153" t="n">
        <v>0</v>
      </c>
      <c r="AJ71" s="153" t="n">
        <v>0</v>
      </c>
      <c r="AK71" s="153" t="n">
        <v>0</v>
      </c>
      <c r="AL71" s="153" t="n">
        <v>0</v>
      </c>
      <c r="AM71" s="153" t="n">
        <v>0</v>
      </c>
      <c r="AN71" s="153" t="n">
        <v>0</v>
      </c>
      <c r="AO71" s="153" t="n">
        <v>0</v>
      </c>
      <c r="AP71" s="153" t="n">
        <v>0</v>
      </c>
      <c r="AQ71" s="153" t="n">
        <v>0</v>
      </c>
      <c r="AR71" s="153" t="n">
        <v>0</v>
      </c>
      <c r="AS71" s="153" t="n">
        <v>0</v>
      </c>
      <c r="AT71" s="153" t="n">
        <v>0</v>
      </c>
      <c r="AU71" s="153" t="n">
        <v>0</v>
      </c>
      <c r="AV71" s="153" t="n">
        <v>0</v>
      </c>
      <c r="AW71" s="153" t="n">
        <v>0</v>
      </c>
      <c r="AX71" s="153" t="n">
        <v>0</v>
      </c>
      <c r="AY71" s="153" t="n">
        <v>0</v>
      </c>
      <c r="AZ71" s="153" t="n">
        <v>0</v>
      </c>
      <c r="BA71" s="153" t="n">
        <v>0</v>
      </c>
      <c r="BB71" s="153" t="n">
        <v>0</v>
      </c>
      <c r="BC71" s="153" t="n">
        <v>0</v>
      </c>
      <c r="BD71" s="153" t="n">
        <v>0</v>
      </c>
      <c r="BE71" s="153" t="n">
        <v>0</v>
      </c>
      <c r="BF71" s="153" t="n">
        <v>0</v>
      </c>
      <c r="BG71" s="153" t="n">
        <v>0</v>
      </c>
      <c r="BH71" s="153" t="n">
        <v>0</v>
      </c>
      <c r="BI71" s="153" t="n">
        <v>0</v>
      </c>
      <c r="BJ71" s="153" t="n">
        <v>0</v>
      </c>
      <c r="BK71" s="153" t="n">
        <v>0</v>
      </c>
      <c r="BL71" s="153" t="n">
        <v>0</v>
      </c>
      <c r="BM71" s="153" t="n">
        <v>0</v>
      </c>
      <c r="BN71" s="153" t="n">
        <v>0</v>
      </c>
      <c r="BO71" s="153" t="n">
        <v>0</v>
      </c>
      <c r="BP71" s="153" t="n">
        <v>0</v>
      </c>
      <c r="BQ71" s="153" t="n">
        <v>0</v>
      </c>
      <c r="BR71" s="153" t="n">
        <v>0</v>
      </c>
      <c r="BS71" s="153" t="n">
        <v>0</v>
      </c>
      <c r="BT71" s="153" t="n">
        <v>0</v>
      </c>
      <c r="BU71" s="153" t="n">
        <v>0</v>
      </c>
      <c r="BV71" s="153" t="n">
        <v>0</v>
      </c>
      <c r="BW71" s="153" t="n">
        <v>0</v>
      </c>
      <c r="BX71" s="153" t="n">
        <v>0</v>
      </c>
      <c r="BY71" s="153" t="n">
        <v>0</v>
      </c>
      <c r="BZ71" s="153" t="n">
        <v>0</v>
      </c>
      <c r="CA71" s="153" t="n">
        <v>0</v>
      </c>
      <c r="CB71" s="153" t="n">
        <v>0</v>
      </c>
      <c r="CC71" s="153" t="n">
        <v>0</v>
      </c>
      <c r="CD71" s="153" t="n">
        <v>0</v>
      </c>
      <c r="CE71" s="153" t="n">
        <v>0</v>
      </c>
      <c r="CF71" s="153" t="n">
        <v>0</v>
      </c>
      <c r="CG71" s="153" t="n">
        <v>0</v>
      </c>
      <c r="CH71" s="153" t="n">
        <v>0</v>
      </c>
      <c r="CI71" s="153" t="n">
        <v>0</v>
      </c>
      <c r="CJ71" s="153" t="n">
        <v>0</v>
      </c>
      <c r="CK71" s="153" t="n">
        <v>0</v>
      </c>
      <c r="CL71" s="153" t="n">
        <v>0</v>
      </c>
      <c r="CM71" s="153" t="n">
        <v>0</v>
      </c>
      <c r="CN71" s="153" t="n">
        <v>0</v>
      </c>
      <c r="CO71" s="153" t="n">
        <v>0</v>
      </c>
      <c r="CP71" s="153" t="n">
        <v>0</v>
      </c>
      <c r="CQ71" s="153" t="n">
        <v>0</v>
      </c>
      <c r="CR71" s="153" t="n">
        <v>0</v>
      </c>
      <c r="CS71" s="153" t="n">
        <v>0</v>
      </c>
      <c r="CT71" s="153" t="n">
        <v>0</v>
      </c>
      <c r="CU71" s="153" t="n">
        <v>0</v>
      </c>
      <c r="CV71" s="153" t="n">
        <v>0</v>
      </c>
      <c r="CW71" s="153" t="n">
        <v>0</v>
      </c>
      <c r="CX71" s="153" t="n">
        <v>0</v>
      </c>
      <c r="CY71" s="153" t="n">
        <v>0</v>
      </c>
      <c r="CZ71" s="153" t="n">
        <v>0</v>
      </c>
      <c r="DA71" s="153" t="n">
        <v>0</v>
      </c>
      <c r="DB71" s="153" t="n">
        <v>0</v>
      </c>
      <c r="DC71" s="153" t="n">
        <v>0</v>
      </c>
      <c r="DD71" s="153" t="n">
        <v>0</v>
      </c>
      <c r="DE71" s="153" t="n">
        <v>0</v>
      </c>
      <c r="DF71" s="153" t="n">
        <v>0</v>
      </c>
    </row>
    <row r="72" customFormat="false" ht="15" hidden="false" customHeight="true" outlineLevel="0" collapsed="false">
      <c r="A72" s="127" t="s">
        <v>105</v>
      </c>
      <c r="C72" s="112" t="n">
        <v>0</v>
      </c>
      <c r="D72" s="112" t="n">
        <v>0</v>
      </c>
      <c r="E72" s="112" t="n">
        <v>0</v>
      </c>
      <c r="F72" s="153" t="n">
        <v>0</v>
      </c>
      <c r="G72" s="153" t="n">
        <v>0</v>
      </c>
      <c r="H72" s="153" t="n">
        <v>0</v>
      </c>
      <c r="I72" s="153" t="n">
        <v>0</v>
      </c>
      <c r="J72" s="153" t="n">
        <v>0</v>
      </c>
      <c r="K72" s="153" t="n">
        <v>0</v>
      </c>
      <c r="L72" s="153" t="n">
        <v>0</v>
      </c>
      <c r="M72" s="153" t="n">
        <v>0</v>
      </c>
      <c r="N72" s="153" t="n">
        <v>0</v>
      </c>
      <c r="O72" s="153" t="n">
        <v>0</v>
      </c>
      <c r="P72" s="153" t="n">
        <v>0</v>
      </c>
      <c r="Q72" s="153" t="n">
        <v>0</v>
      </c>
      <c r="R72" s="153" t="n">
        <v>0</v>
      </c>
      <c r="S72" s="153" t="n">
        <v>0</v>
      </c>
      <c r="T72" s="153" t="n">
        <v>0</v>
      </c>
      <c r="U72" s="153" t="n">
        <v>0</v>
      </c>
      <c r="V72" s="153" t="n">
        <v>0</v>
      </c>
      <c r="W72" s="153" t="n">
        <v>0</v>
      </c>
      <c r="X72" s="153" t="n">
        <v>0</v>
      </c>
      <c r="Y72" s="153" t="n">
        <v>0</v>
      </c>
      <c r="Z72" s="153" t="n">
        <v>0</v>
      </c>
      <c r="AA72" s="153" t="n">
        <v>0</v>
      </c>
      <c r="AB72" s="153" t="n">
        <v>0</v>
      </c>
      <c r="AC72" s="153" t="n">
        <v>0</v>
      </c>
      <c r="AD72" s="153" t="n">
        <v>0</v>
      </c>
      <c r="AE72" s="153" t="n">
        <v>0</v>
      </c>
      <c r="AF72" s="153" t="n">
        <v>0</v>
      </c>
      <c r="AG72" s="153" t="n">
        <v>0</v>
      </c>
      <c r="AH72" s="153" t="n">
        <v>0</v>
      </c>
      <c r="AI72" s="153" t="n">
        <v>0</v>
      </c>
      <c r="AJ72" s="153" t="n">
        <v>0</v>
      </c>
      <c r="AK72" s="153" t="n">
        <v>0</v>
      </c>
      <c r="AL72" s="153" t="n">
        <v>0</v>
      </c>
      <c r="AM72" s="153" t="n">
        <v>0</v>
      </c>
      <c r="AN72" s="153" t="n">
        <v>0</v>
      </c>
      <c r="AO72" s="153" t="n">
        <v>0</v>
      </c>
      <c r="AP72" s="153" t="n">
        <v>0</v>
      </c>
      <c r="AQ72" s="153" t="n">
        <v>0</v>
      </c>
      <c r="AR72" s="153" t="n">
        <v>0</v>
      </c>
      <c r="AS72" s="153" t="n">
        <v>0</v>
      </c>
      <c r="AT72" s="153" t="n">
        <v>0</v>
      </c>
      <c r="AU72" s="153" t="n">
        <v>0</v>
      </c>
      <c r="AV72" s="153" t="n">
        <v>0</v>
      </c>
      <c r="AW72" s="153" t="n">
        <v>0</v>
      </c>
      <c r="AX72" s="153" t="n">
        <v>0</v>
      </c>
      <c r="AY72" s="153" t="n">
        <v>0</v>
      </c>
      <c r="AZ72" s="153" t="n">
        <v>0</v>
      </c>
      <c r="BA72" s="153" t="n">
        <v>0</v>
      </c>
      <c r="BB72" s="153" t="n">
        <v>0</v>
      </c>
      <c r="BC72" s="153" t="n">
        <v>0</v>
      </c>
      <c r="BD72" s="153" t="n">
        <v>0</v>
      </c>
      <c r="BE72" s="153" t="n">
        <v>0</v>
      </c>
      <c r="BF72" s="153" t="n">
        <v>0</v>
      </c>
      <c r="BG72" s="153" t="n">
        <v>0</v>
      </c>
      <c r="BH72" s="153" t="n">
        <v>0</v>
      </c>
      <c r="BI72" s="153" t="n">
        <v>0</v>
      </c>
      <c r="BJ72" s="153" t="n">
        <v>0</v>
      </c>
      <c r="BK72" s="153" t="n">
        <v>0</v>
      </c>
      <c r="BL72" s="153" t="n">
        <v>0</v>
      </c>
      <c r="BM72" s="153" t="n">
        <v>0</v>
      </c>
      <c r="BN72" s="153" t="n">
        <v>0</v>
      </c>
      <c r="BO72" s="153" t="n">
        <v>0</v>
      </c>
      <c r="BP72" s="153" t="n">
        <v>0</v>
      </c>
      <c r="BQ72" s="153" t="n">
        <v>0</v>
      </c>
      <c r="BR72" s="153" t="n">
        <v>0</v>
      </c>
      <c r="BS72" s="153" t="n">
        <v>0</v>
      </c>
      <c r="BT72" s="153" t="n">
        <v>0</v>
      </c>
      <c r="BU72" s="153" t="n">
        <v>0</v>
      </c>
      <c r="BV72" s="153" t="n">
        <v>0</v>
      </c>
      <c r="BW72" s="153" t="n">
        <v>0</v>
      </c>
      <c r="BX72" s="153" t="n">
        <v>0</v>
      </c>
      <c r="BY72" s="153" t="n">
        <v>0</v>
      </c>
      <c r="BZ72" s="153" t="n">
        <v>0</v>
      </c>
      <c r="CA72" s="153" t="n">
        <v>0</v>
      </c>
      <c r="CB72" s="153" t="n">
        <v>0</v>
      </c>
      <c r="CC72" s="153" t="n">
        <v>0</v>
      </c>
      <c r="CD72" s="153" t="n">
        <v>0</v>
      </c>
      <c r="CE72" s="153" t="n">
        <v>0</v>
      </c>
      <c r="CF72" s="153" t="n">
        <v>0</v>
      </c>
      <c r="CG72" s="153" t="n">
        <v>0</v>
      </c>
      <c r="CH72" s="153" t="n">
        <v>0</v>
      </c>
      <c r="CI72" s="153" t="n">
        <v>0</v>
      </c>
      <c r="CJ72" s="153" t="n">
        <v>0</v>
      </c>
      <c r="CK72" s="153" t="n">
        <v>0</v>
      </c>
      <c r="CL72" s="153" t="n">
        <v>0</v>
      </c>
      <c r="CM72" s="153" t="n">
        <v>0</v>
      </c>
      <c r="CN72" s="153" t="n">
        <v>0</v>
      </c>
      <c r="CO72" s="153" t="n">
        <v>0</v>
      </c>
      <c r="CP72" s="153" t="n">
        <v>0</v>
      </c>
      <c r="CQ72" s="153" t="n">
        <v>0</v>
      </c>
      <c r="CR72" s="153" t="n">
        <v>0</v>
      </c>
      <c r="CS72" s="153" t="n">
        <v>0</v>
      </c>
      <c r="CT72" s="153" t="n">
        <v>0</v>
      </c>
      <c r="CU72" s="153" t="n">
        <v>0</v>
      </c>
      <c r="CV72" s="153" t="n">
        <v>0</v>
      </c>
      <c r="CW72" s="153" t="n">
        <v>0</v>
      </c>
      <c r="CX72" s="153" t="n">
        <v>0</v>
      </c>
      <c r="CY72" s="153" t="n">
        <v>0</v>
      </c>
      <c r="CZ72" s="153" t="n">
        <v>0</v>
      </c>
      <c r="DA72" s="153" t="n">
        <v>0</v>
      </c>
      <c r="DB72" s="153" t="n">
        <v>0</v>
      </c>
      <c r="DC72" s="153" t="n">
        <v>0</v>
      </c>
      <c r="DD72" s="153" t="n">
        <v>0</v>
      </c>
      <c r="DE72" s="153" t="n">
        <v>0</v>
      </c>
      <c r="DF72" s="153" t="n">
        <v>0</v>
      </c>
    </row>
    <row r="73" customFormat="false" ht="15" hidden="false" customHeight="true" outlineLevel="0" collapsed="false">
      <c r="A73" s="127" t="s">
        <v>106</v>
      </c>
      <c r="C73" s="112" t="n">
        <v>0</v>
      </c>
      <c r="D73" s="112" t="n">
        <v>0</v>
      </c>
      <c r="E73" s="112" t="n">
        <v>0</v>
      </c>
      <c r="F73" s="153" t="n">
        <v>0</v>
      </c>
      <c r="G73" s="153" t="n">
        <v>0</v>
      </c>
      <c r="H73" s="153" t="n">
        <v>0</v>
      </c>
      <c r="I73" s="153" t="n">
        <v>0</v>
      </c>
      <c r="J73" s="153" t="n">
        <v>0</v>
      </c>
      <c r="K73" s="153" t="n">
        <v>0</v>
      </c>
      <c r="L73" s="153" t="n">
        <v>0</v>
      </c>
      <c r="M73" s="153" t="n">
        <v>0</v>
      </c>
      <c r="N73" s="153" t="n">
        <v>0</v>
      </c>
      <c r="O73" s="153" t="n">
        <v>0</v>
      </c>
      <c r="P73" s="153" t="n">
        <v>0</v>
      </c>
      <c r="Q73" s="153" t="n">
        <v>0</v>
      </c>
      <c r="R73" s="153" t="n">
        <v>0</v>
      </c>
      <c r="S73" s="153" t="n">
        <v>0</v>
      </c>
      <c r="T73" s="153" t="n">
        <v>0</v>
      </c>
      <c r="U73" s="153" t="n">
        <v>0</v>
      </c>
      <c r="V73" s="153" t="n">
        <v>0</v>
      </c>
      <c r="W73" s="153" t="n">
        <v>0</v>
      </c>
      <c r="X73" s="153" t="n">
        <v>0</v>
      </c>
      <c r="Y73" s="153" t="n">
        <v>0</v>
      </c>
      <c r="Z73" s="153" t="n">
        <v>0</v>
      </c>
      <c r="AA73" s="153" t="n">
        <v>0</v>
      </c>
      <c r="AB73" s="153" t="n">
        <v>0</v>
      </c>
      <c r="AC73" s="153" t="n">
        <v>0</v>
      </c>
      <c r="AD73" s="153" t="n">
        <v>0</v>
      </c>
      <c r="AE73" s="153" t="n">
        <v>0</v>
      </c>
      <c r="AF73" s="153" t="n">
        <v>0</v>
      </c>
      <c r="AG73" s="153" t="n">
        <v>0</v>
      </c>
      <c r="AH73" s="153" t="n">
        <v>0</v>
      </c>
      <c r="AI73" s="153" t="n">
        <v>0</v>
      </c>
      <c r="AJ73" s="153" t="n">
        <v>0</v>
      </c>
      <c r="AK73" s="153" t="n">
        <v>0</v>
      </c>
      <c r="AL73" s="153" t="n">
        <v>0</v>
      </c>
      <c r="AM73" s="153" t="n">
        <v>0</v>
      </c>
      <c r="AN73" s="153" t="n">
        <v>0</v>
      </c>
      <c r="AO73" s="153" t="n">
        <v>0</v>
      </c>
      <c r="AP73" s="153" t="n">
        <v>0</v>
      </c>
      <c r="AQ73" s="153" t="n">
        <v>0</v>
      </c>
      <c r="AR73" s="153" t="n">
        <v>0</v>
      </c>
      <c r="AS73" s="153" t="n">
        <v>0</v>
      </c>
      <c r="AT73" s="153" t="n">
        <v>0</v>
      </c>
      <c r="AU73" s="153" t="n">
        <v>0</v>
      </c>
      <c r="AV73" s="153" t="n">
        <v>0</v>
      </c>
      <c r="AW73" s="153" t="n">
        <v>0</v>
      </c>
      <c r="AX73" s="153" t="n">
        <v>0</v>
      </c>
      <c r="AY73" s="153" t="n">
        <v>0</v>
      </c>
      <c r="AZ73" s="153" t="n">
        <v>0</v>
      </c>
      <c r="BA73" s="153" t="n">
        <v>0</v>
      </c>
      <c r="BB73" s="153" t="n">
        <v>0</v>
      </c>
      <c r="BC73" s="153" t="n">
        <v>0</v>
      </c>
      <c r="BD73" s="153" t="n">
        <v>0</v>
      </c>
      <c r="BE73" s="153" t="n">
        <v>0</v>
      </c>
      <c r="BF73" s="153" t="n">
        <v>0</v>
      </c>
      <c r="BG73" s="153" t="n">
        <v>0</v>
      </c>
      <c r="BH73" s="153" t="n">
        <v>0</v>
      </c>
      <c r="BI73" s="153" t="n">
        <v>0</v>
      </c>
      <c r="BJ73" s="153" t="n">
        <v>0</v>
      </c>
      <c r="BK73" s="153" t="n">
        <v>0</v>
      </c>
      <c r="BL73" s="153" t="n">
        <v>0</v>
      </c>
      <c r="BM73" s="153" t="n">
        <v>0</v>
      </c>
      <c r="BN73" s="153" t="n">
        <v>0</v>
      </c>
      <c r="BO73" s="153" t="n">
        <v>0</v>
      </c>
      <c r="BP73" s="153" t="n">
        <v>0</v>
      </c>
      <c r="BQ73" s="153" t="n">
        <v>0</v>
      </c>
      <c r="BR73" s="153" t="n">
        <v>0</v>
      </c>
      <c r="BS73" s="153" t="n">
        <v>0</v>
      </c>
      <c r="BT73" s="153" t="n">
        <v>0</v>
      </c>
      <c r="BU73" s="153" t="n">
        <v>0</v>
      </c>
      <c r="BV73" s="153" t="n">
        <v>0</v>
      </c>
      <c r="BW73" s="153" t="n">
        <v>0</v>
      </c>
      <c r="BX73" s="153" t="n">
        <v>0</v>
      </c>
      <c r="BY73" s="153" t="n">
        <v>0</v>
      </c>
      <c r="BZ73" s="153" t="n">
        <v>0</v>
      </c>
      <c r="CA73" s="153" t="n">
        <v>0</v>
      </c>
      <c r="CB73" s="153" t="n">
        <v>0</v>
      </c>
      <c r="CC73" s="153" t="n">
        <v>0</v>
      </c>
      <c r="CD73" s="153" t="n">
        <v>0</v>
      </c>
      <c r="CE73" s="153" t="n">
        <v>0</v>
      </c>
      <c r="CF73" s="153" t="n">
        <v>0</v>
      </c>
      <c r="CG73" s="153" t="n">
        <v>0</v>
      </c>
      <c r="CH73" s="153" t="n">
        <v>0</v>
      </c>
      <c r="CI73" s="153" t="n">
        <v>0</v>
      </c>
      <c r="CJ73" s="153" t="n">
        <v>0</v>
      </c>
      <c r="CK73" s="153" t="n">
        <v>0</v>
      </c>
      <c r="CL73" s="153" t="n">
        <v>0</v>
      </c>
      <c r="CM73" s="153" t="n">
        <v>0</v>
      </c>
      <c r="CN73" s="153" t="n">
        <v>0</v>
      </c>
      <c r="CO73" s="153" t="n">
        <v>0</v>
      </c>
      <c r="CP73" s="153" t="n">
        <v>0</v>
      </c>
      <c r="CQ73" s="153" t="n">
        <v>0</v>
      </c>
      <c r="CR73" s="153" t="n">
        <v>0</v>
      </c>
      <c r="CS73" s="153" t="n">
        <v>0</v>
      </c>
      <c r="CT73" s="153" t="n">
        <v>0</v>
      </c>
      <c r="CU73" s="153" t="n">
        <v>0</v>
      </c>
      <c r="CV73" s="153" t="n">
        <v>0</v>
      </c>
      <c r="CW73" s="153" t="n">
        <v>0</v>
      </c>
      <c r="CX73" s="153" t="n">
        <v>0</v>
      </c>
      <c r="CY73" s="153" t="n">
        <v>0</v>
      </c>
      <c r="CZ73" s="153" t="n">
        <v>0</v>
      </c>
      <c r="DA73" s="153" t="n">
        <v>0</v>
      </c>
      <c r="DB73" s="153" t="n">
        <v>0</v>
      </c>
      <c r="DC73" s="153" t="n">
        <v>0</v>
      </c>
      <c r="DD73" s="153" t="n">
        <v>0</v>
      </c>
      <c r="DE73" s="153" t="n">
        <v>0</v>
      </c>
      <c r="DF73" s="153" t="n">
        <v>0</v>
      </c>
    </row>
    <row r="74" customFormat="false" ht="15" hidden="false" customHeight="true" outlineLevel="0" collapsed="false">
      <c r="A74" s="127" t="s">
        <v>107</v>
      </c>
      <c r="C74" s="112" t="n">
        <v>0</v>
      </c>
      <c r="D74" s="112" t="n">
        <v>0</v>
      </c>
      <c r="E74" s="112" t="n">
        <v>0</v>
      </c>
      <c r="F74" s="153" t="n">
        <v>0</v>
      </c>
      <c r="G74" s="153" t="n">
        <v>0</v>
      </c>
      <c r="H74" s="153" t="n">
        <v>0</v>
      </c>
      <c r="I74" s="153" t="n">
        <v>0</v>
      </c>
      <c r="J74" s="153" t="n">
        <v>0</v>
      </c>
      <c r="K74" s="153" t="n">
        <v>0</v>
      </c>
      <c r="L74" s="153" t="n">
        <v>0</v>
      </c>
      <c r="M74" s="153" t="n">
        <v>0</v>
      </c>
      <c r="N74" s="153" t="n">
        <v>0</v>
      </c>
      <c r="O74" s="153" t="n">
        <v>0</v>
      </c>
      <c r="P74" s="153" t="n">
        <v>0</v>
      </c>
      <c r="Q74" s="153" t="n">
        <v>0</v>
      </c>
      <c r="R74" s="153" t="n">
        <v>0</v>
      </c>
      <c r="S74" s="153" t="n">
        <v>0</v>
      </c>
      <c r="T74" s="153" t="n">
        <v>0</v>
      </c>
      <c r="U74" s="153" t="n">
        <v>0</v>
      </c>
      <c r="V74" s="153" t="n">
        <v>0</v>
      </c>
      <c r="W74" s="153" t="n">
        <v>0</v>
      </c>
      <c r="X74" s="153" t="n">
        <v>0</v>
      </c>
      <c r="Y74" s="153" t="n">
        <v>0</v>
      </c>
      <c r="Z74" s="153" t="n">
        <v>0</v>
      </c>
      <c r="AA74" s="153" t="n">
        <v>0</v>
      </c>
      <c r="AB74" s="153" t="n">
        <v>0</v>
      </c>
      <c r="AC74" s="153" t="n">
        <v>0</v>
      </c>
      <c r="AD74" s="153" t="n">
        <v>0</v>
      </c>
      <c r="AE74" s="153" t="n">
        <v>0</v>
      </c>
      <c r="AF74" s="153" t="n">
        <v>0</v>
      </c>
      <c r="AG74" s="153" t="n">
        <v>0</v>
      </c>
      <c r="AH74" s="153" t="n">
        <v>0</v>
      </c>
      <c r="AI74" s="153" t="n">
        <v>0</v>
      </c>
      <c r="AJ74" s="153" t="n">
        <v>0</v>
      </c>
      <c r="AK74" s="153" t="n">
        <v>0</v>
      </c>
      <c r="AL74" s="153" t="n">
        <v>0</v>
      </c>
      <c r="AM74" s="153" t="n">
        <v>0</v>
      </c>
      <c r="AN74" s="153" t="n">
        <v>0</v>
      </c>
      <c r="AO74" s="153" t="n">
        <v>0</v>
      </c>
      <c r="AP74" s="153" t="n">
        <v>0</v>
      </c>
      <c r="AQ74" s="153" t="n">
        <v>0</v>
      </c>
      <c r="AR74" s="153" t="n">
        <v>0</v>
      </c>
      <c r="AS74" s="153" t="n">
        <v>0</v>
      </c>
      <c r="AT74" s="153" t="n">
        <v>0</v>
      </c>
      <c r="AU74" s="153" t="n">
        <v>0</v>
      </c>
      <c r="AV74" s="153" t="n">
        <v>0</v>
      </c>
      <c r="AW74" s="153" t="n">
        <v>0</v>
      </c>
      <c r="AX74" s="153" t="n">
        <v>0</v>
      </c>
      <c r="AY74" s="153" t="n">
        <v>0</v>
      </c>
      <c r="AZ74" s="153" t="n">
        <v>0</v>
      </c>
      <c r="BA74" s="153" t="n">
        <v>0</v>
      </c>
      <c r="BB74" s="153" t="n">
        <v>0</v>
      </c>
      <c r="BC74" s="153" t="n">
        <v>0</v>
      </c>
      <c r="BD74" s="153" t="n">
        <v>0</v>
      </c>
      <c r="BE74" s="153" t="n">
        <v>0</v>
      </c>
      <c r="BF74" s="153" t="n">
        <v>0</v>
      </c>
      <c r="BG74" s="153" t="n">
        <v>0</v>
      </c>
      <c r="BH74" s="153" t="n">
        <v>0</v>
      </c>
      <c r="BI74" s="153" t="n">
        <v>0</v>
      </c>
      <c r="BJ74" s="153" t="n">
        <v>0</v>
      </c>
      <c r="BK74" s="153" t="n">
        <v>0</v>
      </c>
      <c r="BL74" s="153" t="n">
        <v>0</v>
      </c>
      <c r="BM74" s="153" t="n">
        <v>0</v>
      </c>
      <c r="BN74" s="153" t="n">
        <v>0</v>
      </c>
      <c r="BO74" s="153" t="n">
        <v>0</v>
      </c>
      <c r="BP74" s="153" t="n">
        <v>0</v>
      </c>
      <c r="BQ74" s="153" t="n">
        <v>0</v>
      </c>
      <c r="BR74" s="153" t="n">
        <v>0</v>
      </c>
      <c r="BS74" s="153" t="n">
        <v>0</v>
      </c>
      <c r="BT74" s="153" t="n">
        <v>0</v>
      </c>
      <c r="BU74" s="153" t="n">
        <v>0</v>
      </c>
      <c r="BV74" s="153" t="n">
        <v>0</v>
      </c>
      <c r="BW74" s="153" t="n">
        <v>0</v>
      </c>
      <c r="BX74" s="153" t="n">
        <v>0</v>
      </c>
      <c r="BY74" s="153" t="n">
        <v>0</v>
      </c>
      <c r="BZ74" s="153" t="n">
        <v>0</v>
      </c>
      <c r="CA74" s="153" t="n">
        <v>0</v>
      </c>
      <c r="CB74" s="153" t="n">
        <v>0</v>
      </c>
      <c r="CC74" s="153" t="n">
        <v>0</v>
      </c>
      <c r="CD74" s="153" t="n">
        <v>0</v>
      </c>
      <c r="CE74" s="153" t="n">
        <v>0</v>
      </c>
      <c r="CF74" s="153" t="n">
        <v>0</v>
      </c>
      <c r="CG74" s="153" t="n">
        <v>0</v>
      </c>
      <c r="CH74" s="153" t="n">
        <v>0</v>
      </c>
      <c r="CI74" s="153" t="n">
        <v>0</v>
      </c>
      <c r="CJ74" s="153" t="n">
        <v>0</v>
      </c>
      <c r="CK74" s="153" t="n">
        <v>0</v>
      </c>
      <c r="CL74" s="153" t="n">
        <v>0</v>
      </c>
      <c r="CM74" s="153" t="n">
        <v>0</v>
      </c>
      <c r="CN74" s="153" t="n">
        <v>0</v>
      </c>
      <c r="CO74" s="153" t="n">
        <v>0</v>
      </c>
      <c r="CP74" s="153" t="n">
        <v>0</v>
      </c>
      <c r="CQ74" s="153" t="n">
        <v>0</v>
      </c>
      <c r="CR74" s="153" t="n">
        <v>0</v>
      </c>
      <c r="CS74" s="153" t="n">
        <v>0</v>
      </c>
      <c r="CT74" s="153" t="n">
        <v>0</v>
      </c>
      <c r="CU74" s="153" t="n">
        <v>0</v>
      </c>
      <c r="CV74" s="153" t="n">
        <v>0</v>
      </c>
      <c r="CW74" s="153" t="n">
        <v>0</v>
      </c>
      <c r="CX74" s="153" t="n">
        <v>0</v>
      </c>
      <c r="CY74" s="153" t="n">
        <v>0</v>
      </c>
      <c r="CZ74" s="153" t="n">
        <v>0</v>
      </c>
      <c r="DA74" s="153" t="n">
        <v>0</v>
      </c>
      <c r="DB74" s="153" t="n">
        <v>0</v>
      </c>
      <c r="DC74" s="153" t="n">
        <v>0</v>
      </c>
      <c r="DD74" s="153" t="n">
        <v>0</v>
      </c>
      <c r="DE74" s="153" t="n">
        <v>0</v>
      </c>
      <c r="DF74" s="153" t="n">
        <v>0</v>
      </c>
    </row>
    <row r="75" customFormat="false" ht="15" hidden="false" customHeight="true" outlineLevel="0" collapsed="false">
      <c r="A75" s="127" t="s">
        <v>108</v>
      </c>
      <c r="C75" s="112" t="n">
        <v>0</v>
      </c>
      <c r="D75" s="112" t="n">
        <v>0</v>
      </c>
      <c r="E75" s="112" t="n">
        <v>0</v>
      </c>
      <c r="F75" s="153" t="n">
        <v>0</v>
      </c>
      <c r="G75" s="153" t="n">
        <v>0</v>
      </c>
      <c r="H75" s="153" t="n">
        <v>0</v>
      </c>
      <c r="I75" s="153" t="n">
        <v>0</v>
      </c>
      <c r="J75" s="153" t="n">
        <v>0</v>
      </c>
      <c r="K75" s="153" t="n">
        <v>0</v>
      </c>
      <c r="L75" s="153" t="n">
        <v>0</v>
      </c>
      <c r="M75" s="153" t="n">
        <v>0</v>
      </c>
      <c r="N75" s="153" t="n">
        <v>0</v>
      </c>
      <c r="O75" s="153" t="n">
        <v>0</v>
      </c>
      <c r="P75" s="153" t="n">
        <v>0</v>
      </c>
      <c r="Q75" s="153" t="n">
        <v>0</v>
      </c>
      <c r="R75" s="153" t="n">
        <v>0</v>
      </c>
      <c r="S75" s="153" t="n">
        <v>0</v>
      </c>
      <c r="T75" s="153" t="n">
        <v>0</v>
      </c>
      <c r="U75" s="153" t="n">
        <v>0</v>
      </c>
      <c r="V75" s="153" t="n">
        <v>0</v>
      </c>
      <c r="W75" s="153" t="n">
        <v>0</v>
      </c>
      <c r="X75" s="153" t="n">
        <v>0</v>
      </c>
      <c r="Y75" s="153" t="n">
        <v>0</v>
      </c>
      <c r="Z75" s="153" t="n">
        <v>0</v>
      </c>
      <c r="AA75" s="153" t="n">
        <v>0</v>
      </c>
      <c r="AB75" s="153" t="n">
        <v>0</v>
      </c>
      <c r="AC75" s="153" t="n">
        <v>0</v>
      </c>
      <c r="AD75" s="153" t="n">
        <v>0</v>
      </c>
      <c r="AE75" s="153" t="n">
        <v>0</v>
      </c>
      <c r="AF75" s="153" t="n">
        <v>0</v>
      </c>
      <c r="AG75" s="153" t="n">
        <v>0</v>
      </c>
      <c r="AH75" s="153" t="n">
        <v>0</v>
      </c>
      <c r="AI75" s="153" t="n">
        <v>0</v>
      </c>
      <c r="AJ75" s="153" t="n">
        <v>0</v>
      </c>
      <c r="AK75" s="153" t="n">
        <v>0</v>
      </c>
      <c r="AL75" s="153" t="n">
        <v>0</v>
      </c>
      <c r="AM75" s="153" t="n">
        <v>0</v>
      </c>
      <c r="AN75" s="153" t="n">
        <v>0</v>
      </c>
      <c r="AO75" s="153" t="n">
        <v>0</v>
      </c>
      <c r="AP75" s="153" t="n">
        <v>0</v>
      </c>
      <c r="AQ75" s="153" t="n">
        <v>0</v>
      </c>
      <c r="AR75" s="153" t="n">
        <v>0</v>
      </c>
      <c r="AS75" s="153" t="n">
        <v>0</v>
      </c>
      <c r="AT75" s="153" t="n">
        <v>0</v>
      </c>
      <c r="AU75" s="153" t="n">
        <v>0</v>
      </c>
      <c r="AV75" s="153" t="n">
        <v>0</v>
      </c>
      <c r="AW75" s="153" t="n">
        <v>0</v>
      </c>
      <c r="AX75" s="153" t="n">
        <v>0</v>
      </c>
      <c r="AY75" s="153" t="n">
        <v>0</v>
      </c>
      <c r="AZ75" s="153" t="n">
        <v>0</v>
      </c>
      <c r="BA75" s="153" t="n">
        <v>0</v>
      </c>
      <c r="BB75" s="153" t="n">
        <v>0</v>
      </c>
      <c r="BC75" s="153" t="n">
        <v>0</v>
      </c>
      <c r="BD75" s="153" t="n">
        <v>0</v>
      </c>
      <c r="BE75" s="153" t="n">
        <v>0</v>
      </c>
      <c r="BF75" s="153" t="n">
        <v>0</v>
      </c>
      <c r="BG75" s="153" t="n">
        <v>0</v>
      </c>
      <c r="BH75" s="153" t="n">
        <v>0</v>
      </c>
      <c r="BI75" s="153" t="n">
        <v>0</v>
      </c>
      <c r="BJ75" s="153" t="n">
        <v>0</v>
      </c>
      <c r="BK75" s="153" t="n">
        <v>0</v>
      </c>
      <c r="BL75" s="153" t="n">
        <v>0</v>
      </c>
      <c r="BM75" s="153" t="n">
        <v>0</v>
      </c>
      <c r="BN75" s="153" t="n">
        <v>0</v>
      </c>
      <c r="BO75" s="153" t="n">
        <v>0</v>
      </c>
      <c r="BP75" s="153" t="n">
        <v>0</v>
      </c>
      <c r="BQ75" s="153" t="n">
        <v>0</v>
      </c>
      <c r="BR75" s="153" t="n">
        <v>0</v>
      </c>
      <c r="BS75" s="153" t="n">
        <v>0</v>
      </c>
      <c r="BT75" s="153" t="n">
        <v>0</v>
      </c>
      <c r="BU75" s="153" t="n">
        <v>0</v>
      </c>
      <c r="BV75" s="153" t="n">
        <v>0</v>
      </c>
      <c r="BW75" s="153" t="n">
        <v>0</v>
      </c>
      <c r="BX75" s="153" t="n">
        <v>0</v>
      </c>
      <c r="BY75" s="153" t="n">
        <v>0</v>
      </c>
      <c r="BZ75" s="153" t="n">
        <v>0</v>
      </c>
      <c r="CA75" s="153" t="n">
        <v>0</v>
      </c>
      <c r="CB75" s="153" t="n">
        <v>0</v>
      </c>
      <c r="CC75" s="153" t="n">
        <v>0</v>
      </c>
      <c r="CD75" s="153" t="n">
        <v>0</v>
      </c>
      <c r="CE75" s="153" t="n">
        <v>0</v>
      </c>
      <c r="CF75" s="153" t="n">
        <v>0</v>
      </c>
      <c r="CG75" s="153" t="n">
        <v>0</v>
      </c>
      <c r="CH75" s="153" t="n">
        <v>0</v>
      </c>
      <c r="CI75" s="153" t="n">
        <v>0</v>
      </c>
      <c r="CJ75" s="153" t="n">
        <v>0</v>
      </c>
      <c r="CK75" s="153" t="n">
        <v>0</v>
      </c>
      <c r="CL75" s="153" t="n">
        <v>0</v>
      </c>
      <c r="CM75" s="153" t="n">
        <v>0</v>
      </c>
      <c r="CN75" s="153" t="n">
        <v>0</v>
      </c>
      <c r="CO75" s="153" t="n">
        <v>0</v>
      </c>
      <c r="CP75" s="153" t="n">
        <v>0</v>
      </c>
      <c r="CQ75" s="153" t="n">
        <v>0</v>
      </c>
      <c r="CR75" s="153" t="n">
        <v>0</v>
      </c>
      <c r="CS75" s="153" t="n">
        <v>0</v>
      </c>
      <c r="CT75" s="153" t="n">
        <v>0</v>
      </c>
      <c r="CU75" s="153" t="n">
        <v>0</v>
      </c>
      <c r="CV75" s="153" t="n">
        <v>0</v>
      </c>
      <c r="CW75" s="153" t="n">
        <v>0</v>
      </c>
      <c r="CX75" s="153" t="n">
        <v>0</v>
      </c>
      <c r="CY75" s="153" t="n">
        <v>0</v>
      </c>
      <c r="CZ75" s="153" t="n">
        <v>0</v>
      </c>
      <c r="DA75" s="153" t="n">
        <v>0</v>
      </c>
      <c r="DB75" s="153" t="n">
        <v>0</v>
      </c>
      <c r="DC75" s="153" t="n">
        <v>0</v>
      </c>
      <c r="DD75" s="153" t="n">
        <v>0</v>
      </c>
      <c r="DE75" s="153" t="n">
        <v>0</v>
      </c>
      <c r="DF75" s="153" t="n">
        <v>0</v>
      </c>
    </row>
    <row r="76" customFormat="false" ht="15" hidden="false" customHeight="true" outlineLevel="0" collapsed="false">
      <c r="A76" s="127" t="s">
        <v>109</v>
      </c>
      <c r="C76" s="112" t="n">
        <v>0</v>
      </c>
      <c r="D76" s="112" t="n">
        <v>0</v>
      </c>
      <c r="E76" s="112" t="n">
        <v>0</v>
      </c>
      <c r="F76" s="153" t="n">
        <v>0</v>
      </c>
      <c r="G76" s="153" t="n">
        <v>0</v>
      </c>
      <c r="H76" s="153" t="n">
        <v>0</v>
      </c>
      <c r="I76" s="153" t="n">
        <v>0</v>
      </c>
      <c r="J76" s="153" t="n">
        <v>0</v>
      </c>
      <c r="K76" s="153" t="n">
        <v>0</v>
      </c>
      <c r="L76" s="153" t="n">
        <v>0</v>
      </c>
      <c r="M76" s="153" t="n">
        <v>0</v>
      </c>
      <c r="N76" s="153" t="n">
        <v>0</v>
      </c>
      <c r="O76" s="153" t="n">
        <v>0</v>
      </c>
      <c r="P76" s="153" t="n">
        <v>0</v>
      </c>
      <c r="Q76" s="153" t="n">
        <v>0</v>
      </c>
      <c r="R76" s="153" t="n">
        <v>0</v>
      </c>
      <c r="S76" s="153" t="n">
        <v>0</v>
      </c>
      <c r="T76" s="153" t="n">
        <v>0</v>
      </c>
      <c r="U76" s="153" t="n">
        <v>0</v>
      </c>
      <c r="V76" s="153" t="n">
        <v>0</v>
      </c>
      <c r="W76" s="153" t="n">
        <v>0</v>
      </c>
      <c r="X76" s="153" t="n">
        <v>0</v>
      </c>
      <c r="Y76" s="153" t="n">
        <v>0</v>
      </c>
      <c r="Z76" s="153" t="n">
        <v>0</v>
      </c>
      <c r="AA76" s="153" t="n">
        <v>0</v>
      </c>
      <c r="AB76" s="153" t="n">
        <v>0</v>
      </c>
      <c r="AC76" s="153" t="n">
        <v>0</v>
      </c>
      <c r="AD76" s="153" t="n">
        <v>0</v>
      </c>
      <c r="AE76" s="153" t="n">
        <v>0</v>
      </c>
      <c r="AF76" s="153" t="n">
        <v>0</v>
      </c>
      <c r="AG76" s="153" t="n">
        <v>0</v>
      </c>
      <c r="AH76" s="153" t="n">
        <v>0</v>
      </c>
      <c r="AI76" s="153" t="n">
        <v>0</v>
      </c>
      <c r="AJ76" s="153" t="n">
        <v>0</v>
      </c>
      <c r="AK76" s="153" t="n">
        <v>0</v>
      </c>
      <c r="AL76" s="153" t="n">
        <v>0</v>
      </c>
      <c r="AM76" s="153" t="n">
        <v>0</v>
      </c>
      <c r="AN76" s="153" t="n">
        <v>0</v>
      </c>
      <c r="AO76" s="153" t="n">
        <v>0</v>
      </c>
      <c r="AP76" s="153" t="n">
        <v>0</v>
      </c>
      <c r="AQ76" s="153" t="n">
        <v>0</v>
      </c>
      <c r="AR76" s="153" t="n">
        <v>0</v>
      </c>
      <c r="AS76" s="153" t="n">
        <v>0</v>
      </c>
      <c r="AT76" s="153" t="n">
        <v>0</v>
      </c>
      <c r="AU76" s="153" t="n">
        <v>0</v>
      </c>
      <c r="AV76" s="153" t="n">
        <v>0</v>
      </c>
      <c r="AW76" s="153" t="n">
        <v>0</v>
      </c>
      <c r="AX76" s="153" t="n">
        <v>0</v>
      </c>
      <c r="AY76" s="153" t="n">
        <v>0</v>
      </c>
      <c r="AZ76" s="153" t="n">
        <v>0</v>
      </c>
      <c r="BA76" s="153" t="n">
        <v>0</v>
      </c>
      <c r="BB76" s="153" t="n">
        <v>0</v>
      </c>
      <c r="BC76" s="153" t="n">
        <v>0</v>
      </c>
      <c r="BD76" s="153" t="n">
        <v>0</v>
      </c>
      <c r="BE76" s="153" t="n">
        <v>0</v>
      </c>
      <c r="BF76" s="153" t="n">
        <v>0</v>
      </c>
      <c r="BG76" s="153" t="n">
        <v>0</v>
      </c>
      <c r="BH76" s="153" t="n">
        <v>0</v>
      </c>
      <c r="BI76" s="153" t="n">
        <v>0</v>
      </c>
      <c r="BJ76" s="153" t="n">
        <v>0</v>
      </c>
      <c r="BK76" s="153" t="n">
        <v>0</v>
      </c>
      <c r="BL76" s="153" t="n">
        <v>0</v>
      </c>
      <c r="BM76" s="153" t="n">
        <v>0</v>
      </c>
      <c r="BN76" s="153" t="n">
        <v>0</v>
      </c>
      <c r="BO76" s="153" t="n">
        <v>0</v>
      </c>
      <c r="BP76" s="153" t="n">
        <v>0</v>
      </c>
      <c r="BQ76" s="153" t="n">
        <v>0</v>
      </c>
      <c r="BR76" s="153" t="n">
        <v>0</v>
      </c>
      <c r="BS76" s="153" t="n">
        <v>0</v>
      </c>
      <c r="BT76" s="153" t="n">
        <v>0</v>
      </c>
      <c r="BU76" s="153" t="n">
        <v>0</v>
      </c>
      <c r="BV76" s="153" t="n">
        <v>0</v>
      </c>
      <c r="BW76" s="153" t="n">
        <v>0</v>
      </c>
      <c r="BX76" s="153" t="n">
        <v>0</v>
      </c>
      <c r="BY76" s="153" t="n">
        <v>0</v>
      </c>
      <c r="BZ76" s="153" t="n">
        <v>0</v>
      </c>
      <c r="CA76" s="153" t="n">
        <v>0</v>
      </c>
      <c r="CB76" s="153" t="n">
        <v>0</v>
      </c>
      <c r="CC76" s="153" t="n">
        <v>0</v>
      </c>
      <c r="CD76" s="153" t="n">
        <v>0</v>
      </c>
      <c r="CE76" s="153" t="n">
        <v>0</v>
      </c>
      <c r="CF76" s="153" t="n">
        <v>0</v>
      </c>
      <c r="CG76" s="153" t="n">
        <v>0</v>
      </c>
      <c r="CH76" s="153" t="n">
        <v>0</v>
      </c>
      <c r="CI76" s="153" t="n">
        <v>0</v>
      </c>
      <c r="CJ76" s="153" t="n">
        <v>0</v>
      </c>
      <c r="CK76" s="153" t="n">
        <v>0</v>
      </c>
      <c r="CL76" s="153" t="n">
        <v>0</v>
      </c>
      <c r="CM76" s="153" t="n">
        <v>0</v>
      </c>
      <c r="CN76" s="153" t="n">
        <v>0</v>
      </c>
      <c r="CO76" s="153" t="n">
        <v>0</v>
      </c>
      <c r="CP76" s="153" t="n">
        <v>0</v>
      </c>
      <c r="CQ76" s="153" t="n">
        <v>0</v>
      </c>
      <c r="CR76" s="153" t="n">
        <v>0</v>
      </c>
      <c r="CS76" s="153" t="n">
        <v>0</v>
      </c>
      <c r="CT76" s="153" t="n">
        <v>0</v>
      </c>
      <c r="CU76" s="153" t="n">
        <v>0</v>
      </c>
      <c r="CV76" s="153" t="n">
        <v>0</v>
      </c>
      <c r="CW76" s="153" t="n">
        <v>0</v>
      </c>
      <c r="CX76" s="153" t="n">
        <v>0</v>
      </c>
      <c r="CY76" s="153" t="n">
        <v>0</v>
      </c>
      <c r="CZ76" s="153" t="n">
        <v>0</v>
      </c>
      <c r="DA76" s="153" t="n">
        <v>0</v>
      </c>
      <c r="DB76" s="153" t="n">
        <v>0</v>
      </c>
      <c r="DC76" s="153" t="n">
        <v>0</v>
      </c>
      <c r="DD76" s="153" t="n">
        <v>0</v>
      </c>
      <c r="DE76" s="153" t="n">
        <v>0</v>
      </c>
      <c r="DF76" s="153" t="n">
        <v>0</v>
      </c>
    </row>
    <row r="77" customFormat="false" ht="15" hidden="false" customHeight="true" outlineLevel="0" collapsed="false">
      <c r="A77" s="127" t="s">
        <v>110</v>
      </c>
      <c r="C77" s="112" t="n">
        <v>0</v>
      </c>
      <c r="D77" s="112" t="n">
        <v>0</v>
      </c>
      <c r="E77" s="112" t="n">
        <v>0</v>
      </c>
      <c r="F77" s="153" t="n">
        <v>0</v>
      </c>
      <c r="G77" s="153" t="n">
        <v>0</v>
      </c>
      <c r="H77" s="153" t="n">
        <v>0</v>
      </c>
      <c r="I77" s="153" t="n">
        <v>0</v>
      </c>
      <c r="J77" s="153" t="n">
        <v>0</v>
      </c>
      <c r="K77" s="153" t="n">
        <v>0</v>
      </c>
      <c r="L77" s="153" t="n">
        <v>0</v>
      </c>
      <c r="M77" s="153" t="n">
        <v>0</v>
      </c>
      <c r="N77" s="153" t="n">
        <v>0</v>
      </c>
      <c r="O77" s="153" t="n">
        <v>0</v>
      </c>
      <c r="P77" s="153" t="n">
        <v>0</v>
      </c>
      <c r="Q77" s="153" t="n">
        <v>0</v>
      </c>
      <c r="R77" s="153" t="n">
        <v>0</v>
      </c>
      <c r="S77" s="153" t="n">
        <v>0</v>
      </c>
      <c r="T77" s="153" t="n">
        <v>0</v>
      </c>
      <c r="U77" s="153" t="n">
        <v>0</v>
      </c>
      <c r="V77" s="153" t="n">
        <v>0</v>
      </c>
      <c r="W77" s="153" t="n">
        <v>0</v>
      </c>
      <c r="X77" s="153" t="n">
        <v>0</v>
      </c>
      <c r="Y77" s="153" t="n">
        <v>0</v>
      </c>
      <c r="Z77" s="153" t="n">
        <v>0</v>
      </c>
      <c r="AA77" s="153" t="n">
        <v>0</v>
      </c>
      <c r="AB77" s="153" t="n">
        <v>0</v>
      </c>
      <c r="AC77" s="153" t="n">
        <v>0</v>
      </c>
      <c r="AD77" s="153" t="n">
        <v>0</v>
      </c>
      <c r="AE77" s="153" t="n">
        <v>0</v>
      </c>
      <c r="AF77" s="153" t="n">
        <v>0</v>
      </c>
      <c r="AG77" s="153" t="n">
        <v>0</v>
      </c>
      <c r="AH77" s="153" t="n">
        <v>0</v>
      </c>
      <c r="AI77" s="153" t="n">
        <v>0</v>
      </c>
      <c r="AJ77" s="153" t="n">
        <v>0</v>
      </c>
      <c r="AK77" s="153" t="n">
        <v>0</v>
      </c>
      <c r="AL77" s="153" t="n">
        <v>0</v>
      </c>
      <c r="AM77" s="153" t="n">
        <v>0</v>
      </c>
      <c r="AN77" s="153" t="n">
        <v>0</v>
      </c>
      <c r="AO77" s="153" t="n">
        <v>0</v>
      </c>
      <c r="AP77" s="153" t="n">
        <v>0</v>
      </c>
      <c r="AQ77" s="153" t="n">
        <v>0</v>
      </c>
      <c r="AR77" s="153" t="n">
        <v>0</v>
      </c>
      <c r="AS77" s="153" t="n">
        <v>0</v>
      </c>
      <c r="AT77" s="153" t="n">
        <v>0</v>
      </c>
      <c r="AU77" s="153" t="n">
        <v>81683</v>
      </c>
      <c r="AV77" s="153" t="n">
        <v>0</v>
      </c>
      <c r="AW77" s="153" t="n">
        <v>0</v>
      </c>
      <c r="AX77" s="153" t="n">
        <v>81682</v>
      </c>
      <c r="AY77" s="153" t="n">
        <v>0</v>
      </c>
      <c r="AZ77" s="153" t="n">
        <v>0</v>
      </c>
      <c r="BA77" s="153" t="n">
        <v>81682</v>
      </c>
      <c r="BB77" s="153" t="n">
        <v>0</v>
      </c>
      <c r="BC77" s="153" t="n">
        <v>0</v>
      </c>
      <c r="BD77" s="153" t="n">
        <v>81682</v>
      </c>
      <c r="BE77" s="153" t="n">
        <v>0</v>
      </c>
      <c r="BF77" s="153" t="n">
        <v>0</v>
      </c>
      <c r="BG77" s="153" t="n">
        <v>59178</v>
      </c>
      <c r="BH77" s="153" t="n">
        <v>0</v>
      </c>
      <c r="BI77" s="153" t="n">
        <v>0</v>
      </c>
      <c r="BJ77" s="153" t="n">
        <v>59176</v>
      </c>
      <c r="BK77" s="153" t="n">
        <v>0</v>
      </c>
      <c r="BL77" s="153" t="n">
        <v>0</v>
      </c>
      <c r="BM77" s="153" t="n">
        <v>59176</v>
      </c>
      <c r="BN77" s="153" t="n">
        <v>0</v>
      </c>
      <c r="BO77" s="153" t="n">
        <v>0</v>
      </c>
      <c r="BP77" s="153" t="n">
        <v>59176</v>
      </c>
      <c r="BQ77" s="153" t="n">
        <v>0</v>
      </c>
      <c r="BR77" s="153" t="n">
        <v>0</v>
      </c>
      <c r="BS77" s="153" t="n">
        <v>67763</v>
      </c>
      <c r="BT77" s="153" t="n">
        <v>0</v>
      </c>
      <c r="BU77" s="153" t="n">
        <v>0</v>
      </c>
      <c r="BV77" s="153" t="n">
        <v>67762</v>
      </c>
      <c r="BW77" s="153" t="n">
        <v>0</v>
      </c>
      <c r="BX77" s="153" t="n">
        <v>0</v>
      </c>
      <c r="BY77" s="153" t="n">
        <v>67762</v>
      </c>
      <c r="BZ77" s="153" t="n">
        <v>0</v>
      </c>
      <c r="CA77" s="153" t="n">
        <v>0</v>
      </c>
      <c r="CB77" s="153" t="n">
        <v>67762</v>
      </c>
      <c r="CC77" s="153" t="n">
        <v>0</v>
      </c>
      <c r="CD77" s="153" t="n">
        <v>0</v>
      </c>
      <c r="CE77" s="153" t="n">
        <v>76499</v>
      </c>
      <c r="CF77" s="153" t="n">
        <v>0</v>
      </c>
      <c r="CG77" s="153" t="n">
        <v>0</v>
      </c>
      <c r="CH77" s="153" t="n">
        <v>76499</v>
      </c>
      <c r="CI77" s="153" t="n">
        <v>0</v>
      </c>
      <c r="CJ77" s="153" t="n">
        <v>0</v>
      </c>
      <c r="CK77" s="153" t="n">
        <v>76499</v>
      </c>
      <c r="CL77" s="153" t="n">
        <v>76499</v>
      </c>
      <c r="CM77" s="153" t="n">
        <v>76499</v>
      </c>
      <c r="CN77" s="153" t="n">
        <v>76499</v>
      </c>
      <c r="CO77" s="153" t="n">
        <v>76499</v>
      </c>
      <c r="CP77" s="153" t="n">
        <v>76499</v>
      </c>
      <c r="CQ77" s="153" t="n">
        <v>76499</v>
      </c>
      <c r="CR77" s="153" t="n">
        <v>76499</v>
      </c>
      <c r="CS77" s="153" t="n">
        <v>76499</v>
      </c>
      <c r="CT77" s="153" t="n">
        <v>76499</v>
      </c>
      <c r="CU77" s="153" t="n">
        <v>76499</v>
      </c>
      <c r="CV77" s="153" t="n">
        <v>76499</v>
      </c>
      <c r="CW77" s="153" t="n">
        <v>76499</v>
      </c>
      <c r="CX77" s="153" t="n">
        <v>76499</v>
      </c>
      <c r="CY77" s="153" t="n">
        <v>76499</v>
      </c>
      <c r="CZ77" s="153" t="n">
        <v>76499</v>
      </c>
      <c r="DA77" s="153" t="n">
        <v>76499</v>
      </c>
      <c r="DB77" s="153" t="n">
        <v>76499</v>
      </c>
      <c r="DC77" s="153" t="n">
        <v>76499</v>
      </c>
      <c r="DD77" s="153" t="n">
        <v>76499</v>
      </c>
      <c r="DE77" s="153" t="n">
        <v>76499</v>
      </c>
      <c r="DF77" s="153" t="n">
        <v>76499</v>
      </c>
    </row>
    <row r="78" customFormat="false" ht="15" hidden="false" customHeight="true" outlineLevel="0" collapsed="false">
      <c r="A78" s="127" t="s">
        <v>111</v>
      </c>
      <c r="C78" s="112" t="n">
        <v>0</v>
      </c>
      <c r="D78" s="112" t="n">
        <v>0</v>
      </c>
      <c r="E78" s="112" t="n">
        <v>0</v>
      </c>
      <c r="F78" s="153" t="n">
        <v>0</v>
      </c>
      <c r="G78" s="153" t="n">
        <v>0</v>
      </c>
      <c r="H78" s="153" t="n">
        <v>0</v>
      </c>
      <c r="I78" s="153" t="n">
        <v>0</v>
      </c>
      <c r="J78" s="153" t="n">
        <v>0</v>
      </c>
      <c r="K78" s="153" t="n">
        <v>0</v>
      </c>
      <c r="L78" s="153" t="n">
        <v>0</v>
      </c>
      <c r="M78" s="153" t="n">
        <v>0</v>
      </c>
      <c r="N78" s="153" t="n">
        <v>0</v>
      </c>
      <c r="O78" s="153" t="n">
        <v>0</v>
      </c>
      <c r="P78" s="153" t="n">
        <v>0</v>
      </c>
      <c r="Q78" s="153" t="n">
        <v>0</v>
      </c>
      <c r="R78" s="153" t="n">
        <v>0</v>
      </c>
      <c r="S78" s="153" t="n">
        <v>0</v>
      </c>
      <c r="T78" s="153" t="n">
        <v>0</v>
      </c>
      <c r="U78" s="153" t="n">
        <v>0</v>
      </c>
      <c r="V78" s="153" t="n">
        <v>0</v>
      </c>
      <c r="W78" s="153" t="n">
        <v>0</v>
      </c>
      <c r="X78" s="153" t="n">
        <v>0</v>
      </c>
      <c r="Y78" s="153" t="n">
        <v>0</v>
      </c>
      <c r="Z78" s="153" t="n">
        <v>0</v>
      </c>
      <c r="AA78" s="153" t="n">
        <v>0</v>
      </c>
      <c r="AB78" s="153" t="n">
        <v>0</v>
      </c>
      <c r="AC78" s="153" t="n">
        <v>0</v>
      </c>
      <c r="AD78" s="153" t="n">
        <v>0</v>
      </c>
      <c r="AE78" s="153" t="n">
        <v>0</v>
      </c>
      <c r="AF78" s="153" t="n">
        <v>0</v>
      </c>
      <c r="AG78" s="153" t="n">
        <v>0</v>
      </c>
      <c r="AH78" s="153" t="n">
        <v>0</v>
      </c>
      <c r="AI78" s="153" t="n">
        <v>0</v>
      </c>
      <c r="AJ78" s="153" t="n">
        <v>0</v>
      </c>
      <c r="AK78" s="153" t="n">
        <v>0</v>
      </c>
      <c r="AL78" s="153" t="n">
        <v>0</v>
      </c>
      <c r="AM78" s="153" t="n">
        <v>0</v>
      </c>
      <c r="AN78" s="153" t="n">
        <v>0</v>
      </c>
      <c r="AO78" s="153" t="n">
        <v>0</v>
      </c>
      <c r="AP78" s="153" t="n">
        <v>0</v>
      </c>
      <c r="AQ78" s="153" t="n">
        <v>0</v>
      </c>
      <c r="AR78" s="153" t="n">
        <v>0</v>
      </c>
      <c r="AS78" s="153" t="n">
        <v>0</v>
      </c>
      <c r="AT78" s="153" t="n">
        <v>0</v>
      </c>
      <c r="AU78" s="153" t="n">
        <v>0</v>
      </c>
      <c r="AV78" s="153" t="n">
        <v>0</v>
      </c>
      <c r="AW78" s="153" t="n">
        <v>0</v>
      </c>
      <c r="AX78" s="153" t="n">
        <v>0</v>
      </c>
      <c r="AY78" s="153" t="n">
        <v>0</v>
      </c>
      <c r="AZ78" s="153" t="n">
        <v>0</v>
      </c>
      <c r="BA78" s="153" t="n">
        <v>0</v>
      </c>
      <c r="BB78" s="153" t="n">
        <v>0</v>
      </c>
      <c r="BC78" s="153" t="n">
        <v>0</v>
      </c>
      <c r="BD78" s="153" t="n">
        <v>851839</v>
      </c>
      <c r="BE78" s="153" t="n">
        <v>0</v>
      </c>
      <c r="BF78" s="153" t="n">
        <v>0</v>
      </c>
      <c r="BG78" s="153" t="n">
        <v>71700</v>
      </c>
      <c r="BH78" s="153" t="n">
        <v>0</v>
      </c>
      <c r="BI78" s="153" t="n">
        <v>0</v>
      </c>
      <c r="BJ78" s="153" t="n">
        <v>71700</v>
      </c>
      <c r="BK78" s="153" t="n">
        <v>0</v>
      </c>
      <c r="BL78" s="153" t="n">
        <v>0</v>
      </c>
      <c r="BM78" s="153" t="n">
        <v>71700</v>
      </c>
      <c r="BN78" s="153" t="n">
        <v>0</v>
      </c>
      <c r="BO78" s="153" t="n">
        <v>0</v>
      </c>
      <c r="BP78" s="153" t="n">
        <v>71700</v>
      </c>
      <c r="BQ78" s="153" t="n">
        <v>0</v>
      </c>
      <c r="BR78" s="153" t="n">
        <v>0</v>
      </c>
      <c r="BS78" s="153" t="n">
        <v>74643</v>
      </c>
      <c r="BT78" s="153" t="n">
        <v>0</v>
      </c>
      <c r="BU78" s="153" t="n">
        <v>0</v>
      </c>
      <c r="BV78" s="153" t="n">
        <v>74640</v>
      </c>
      <c r="BW78" s="153" t="n">
        <v>0</v>
      </c>
      <c r="BX78" s="153" t="n">
        <v>0</v>
      </c>
      <c r="BY78" s="153" t="n">
        <v>74640</v>
      </c>
      <c r="BZ78" s="153" t="n">
        <v>0</v>
      </c>
      <c r="CA78" s="153" t="n">
        <v>0</v>
      </c>
      <c r="CB78" s="153" t="n">
        <v>74640</v>
      </c>
      <c r="CC78" s="153" t="n">
        <v>0</v>
      </c>
      <c r="CD78" s="153" t="n">
        <v>0</v>
      </c>
      <c r="CE78" s="153" t="n">
        <v>81363</v>
      </c>
      <c r="CF78" s="153" t="n">
        <v>0</v>
      </c>
      <c r="CG78" s="153" t="n">
        <v>0</v>
      </c>
      <c r="CH78" s="153" t="n">
        <v>81362</v>
      </c>
      <c r="CI78" s="153" t="n">
        <v>0</v>
      </c>
      <c r="CJ78" s="153" t="n">
        <v>0</v>
      </c>
      <c r="CK78" s="153" t="n">
        <v>81362</v>
      </c>
      <c r="CL78" s="153" t="n">
        <v>81362</v>
      </c>
      <c r="CM78" s="153" t="n">
        <v>81362</v>
      </c>
      <c r="CN78" s="153" t="n">
        <v>81362</v>
      </c>
      <c r="CO78" s="153" t="n">
        <v>81362</v>
      </c>
      <c r="CP78" s="153" t="n">
        <v>81362</v>
      </c>
      <c r="CQ78" s="153" t="n">
        <v>81362</v>
      </c>
      <c r="CR78" s="153" t="n">
        <v>81362</v>
      </c>
      <c r="CS78" s="153" t="n">
        <v>81362</v>
      </c>
      <c r="CT78" s="153" t="n">
        <v>81362</v>
      </c>
      <c r="CU78" s="153" t="n">
        <v>81362</v>
      </c>
      <c r="CV78" s="153" t="n">
        <v>81362</v>
      </c>
      <c r="CW78" s="153" t="n">
        <v>81362</v>
      </c>
      <c r="CX78" s="153" t="n">
        <v>81362</v>
      </c>
      <c r="CY78" s="153" t="n">
        <v>81362</v>
      </c>
      <c r="CZ78" s="153" t="n">
        <v>81362</v>
      </c>
      <c r="DA78" s="153" t="n">
        <v>81362</v>
      </c>
      <c r="DB78" s="153" t="n">
        <v>81362</v>
      </c>
      <c r="DC78" s="153" t="n">
        <v>81362</v>
      </c>
      <c r="DD78" s="153" t="n">
        <v>81362</v>
      </c>
      <c r="DE78" s="153" t="n">
        <v>81362</v>
      </c>
      <c r="DF78" s="153" t="n">
        <v>81362</v>
      </c>
    </row>
    <row r="79" customFormat="false" ht="15" hidden="false" customHeight="true" outlineLevel="0" collapsed="false">
      <c r="A79" s="127" t="s">
        <v>112</v>
      </c>
      <c r="C79" s="112" t="n">
        <v>0</v>
      </c>
      <c r="D79" s="112" t="n">
        <v>0</v>
      </c>
      <c r="E79" s="112" t="n">
        <v>0</v>
      </c>
      <c r="F79" s="153" t="n">
        <v>0</v>
      </c>
      <c r="G79" s="153" t="n">
        <v>0</v>
      </c>
      <c r="H79" s="153" t="n">
        <v>0</v>
      </c>
      <c r="I79" s="153" t="n">
        <v>0</v>
      </c>
      <c r="J79" s="153" t="n">
        <v>0</v>
      </c>
      <c r="K79" s="153" t="n">
        <v>0</v>
      </c>
      <c r="L79" s="153" t="n">
        <v>0</v>
      </c>
      <c r="M79" s="153" t="n">
        <v>0</v>
      </c>
      <c r="N79" s="153" t="n">
        <v>0</v>
      </c>
      <c r="O79" s="153" t="n">
        <v>0</v>
      </c>
      <c r="P79" s="153" t="n">
        <v>0</v>
      </c>
      <c r="Q79" s="153" t="n">
        <v>0</v>
      </c>
      <c r="R79" s="153" t="n">
        <v>0</v>
      </c>
      <c r="S79" s="153" t="n">
        <v>0</v>
      </c>
      <c r="T79" s="153" t="n">
        <v>0</v>
      </c>
      <c r="U79" s="153" t="n">
        <v>0</v>
      </c>
      <c r="V79" s="153" t="n">
        <v>0</v>
      </c>
      <c r="W79" s="153" t="n">
        <v>0</v>
      </c>
      <c r="X79" s="153" t="n">
        <v>0</v>
      </c>
      <c r="Y79" s="153" t="n">
        <v>0</v>
      </c>
      <c r="Z79" s="153" t="n">
        <v>0</v>
      </c>
      <c r="AA79" s="153" t="n">
        <v>0</v>
      </c>
      <c r="AB79" s="153" t="n">
        <v>0</v>
      </c>
      <c r="AC79" s="153" t="n">
        <v>0</v>
      </c>
      <c r="AD79" s="153" t="n">
        <v>0</v>
      </c>
      <c r="AE79" s="153" t="n">
        <v>0</v>
      </c>
      <c r="AF79" s="153" t="n">
        <v>0</v>
      </c>
      <c r="AG79" s="153" t="n">
        <v>0</v>
      </c>
      <c r="AH79" s="153" t="n">
        <v>0</v>
      </c>
      <c r="AI79" s="153" t="n">
        <v>0</v>
      </c>
      <c r="AJ79" s="153" t="n">
        <v>0</v>
      </c>
      <c r="AK79" s="153" t="n">
        <v>0</v>
      </c>
      <c r="AL79" s="153" t="n">
        <v>0</v>
      </c>
      <c r="AM79" s="153" t="n">
        <v>0</v>
      </c>
      <c r="AN79" s="153" t="n">
        <v>0</v>
      </c>
      <c r="AO79" s="153" t="n">
        <v>0</v>
      </c>
      <c r="AP79" s="153" t="n">
        <v>0</v>
      </c>
      <c r="AQ79" s="153" t="n">
        <v>0</v>
      </c>
      <c r="AR79" s="153" t="n">
        <v>0</v>
      </c>
      <c r="AS79" s="153" t="n">
        <v>0</v>
      </c>
      <c r="AT79" s="153" t="n">
        <v>0</v>
      </c>
      <c r="AU79" s="153" t="n">
        <v>0</v>
      </c>
      <c r="AV79" s="153" t="n">
        <v>0</v>
      </c>
      <c r="AW79" s="153" t="n">
        <v>0</v>
      </c>
      <c r="AX79" s="153" t="n">
        <v>0</v>
      </c>
      <c r="AY79" s="153" t="n">
        <v>0</v>
      </c>
      <c r="AZ79" s="153" t="n">
        <v>0</v>
      </c>
      <c r="BA79" s="153" t="n">
        <v>0</v>
      </c>
      <c r="BB79" s="153" t="n">
        <v>0</v>
      </c>
      <c r="BC79" s="153" t="n">
        <v>0</v>
      </c>
      <c r="BD79" s="153" t="n">
        <v>0</v>
      </c>
      <c r="BE79" s="153" t="n">
        <v>0</v>
      </c>
      <c r="BF79" s="153" t="n">
        <v>0</v>
      </c>
      <c r="BG79" s="153" t="n">
        <v>0</v>
      </c>
      <c r="BH79" s="153" t="n">
        <v>0</v>
      </c>
      <c r="BI79" s="153" t="n">
        <v>0</v>
      </c>
      <c r="BJ79" s="153" t="n">
        <v>0</v>
      </c>
      <c r="BK79" s="153" t="n">
        <v>0</v>
      </c>
      <c r="BL79" s="153" t="n">
        <v>0</v>
      </c>
      <c r="BM79" s="153" t="n">
        <v>0</v>
      </c>
      <c r="BN79" s="153" t="n">
        <v>0</v>
      </c>
      <c r="BO79" s="153" t="n">
        <v>0</v>
      </c>
      <c r="BP79" s="153" t="n">
        <v>0</v>
      </c>
      <c r="BQ79" s="153" t="n">
        <v>0</v>
      </c>
      <c r="BR79" s="153" t="n">
        <v>0</v>
      </c>
      <c r="BS79" s="153" t="n">
        <v>0</v>
      </c>
      <c r="BT79" s="153" t="n">
        <v>0</v>
      </c>
      <c r="BU79" s="153" t="n">
        <v>0</v>
      </c>
      <c r="BV79" s="153" t="n">
        <v>0</v>
      </c>
      <c r="BW79" s="153" t="n">
        <v>0</v>
      </c>
      <c r="BX79" s="153" t="n">
        <v>0</v>
      </c>
      <c r="BY79" s="153" t="n">
        <v>0</v>
      </c>
      <c r="BZ79" s="153" t="n">
        <v>0</v>
      </c>
      <c r="CA79" s="153" t="n">
        <v>0</v>
      </c>
      <c r="CB79" s="153" t="n">
        <v>73156</v>
      </c>
      <c r="CC79" s="153" t="n">
        <v>0</v>
      </c>
      <c r="CD79" s="153" t="n">
        <v>0</v>
      </c>
      <c r="CE79" s="153" t="n">
        <v>73155</v>
      </c>
      <c r="CF79" s="153" t="n">
        <v>0</v>
      </c>
      <c r="CG79" s="153" t="n">
        <v>0</v>
      </c>
      <c r="CH79" s="153" t="n">
        <v>73155</v>
      </c>
      <c r="CI79" s="153" t="n">
        <v>0</v>
      </c>
      <c r="CJ79" s="153" t="n">
        <v>0</v>
      </c>
      <c r="CK79" s="153" t="n">
        <v>73155</v>
      </c>
      <c r="CL79" s="153" t="n">
        <v>73155</v>
      </c>
      <c r="CM79" s="153" t="n">
        <v>73155</v>
      </c>
      <c r="CN79" s="153" t="n">
        <v>73155</v>
      </c>
      <c r="CO79" s="153" t="n">
        <v>73155</v>
      </c>
      <c r="CP79" s="153" t="n">
        <v>73155</v>
      </c>
      <c r="CQ79" s="153" t="n">
        <v>73155</v>
      </c>
      <c r="CR79" s="153" t="n">
        <v>73155</v>
      </c>
      <c r="CS79" s="153" t="n">
        <v>73155</v>
      </c>
      <c r="CT79" s="153" t="n">
        <v>73155</v>
      </c>
      <c r="CU79" s="153" t="n">
        <v>73155</v>
      </c>
      <c r="CV79" s="153" t="n">
        <v>73155</v>
      </c>
      <c r="CW79" s="153" t="n">
        <v>73155</v>
      </c>
      <c r="CX79" s="153" t="n">
        <v>73155</v>
      </c>
      <c r="CY79" s="153" t="n">
        <v>73155</v>
      </c>
      <c r="CZ79" s="153" t="n">
        <v>73155</v>
      </c>
      <c r="DA79" s="153" t="n">
        <v>73155</v>
      </c>
      <c r="DB79" s="153" t="n">
        <v>73155</v>
      </c>
      <c r="DC79" s="153" t="n">
        <v>73155</v>
      </c>
      <c r="DD79" s="153" t="n">
        <v>73155</v>
      </c>
      <c r="DE79" s="153" t="n">
        <v>73155</v>
      </c>
      <c r="DF79" s="153" t="n">
        <v>73155</v>
      </c>
    </row>
    <row r="80" customFormat="false" ht="15" hidden="false" customHeight="true" outlineLevel="0" collapsed="false">
      <c r="A80" s="127" t="s">
        <v>113</v>
      </c>
      <c r="C80" s="112" t="n">
        <v>0</v>
      </c>
      <c r="D80" s="112" t="n">
        <v>0</v>
      </c>
      <c r="E80" s="112" t="n">
        <v>0</v>
      </c>
      <c r="F80" s="153" t="n">
        <v>0</v>
      </c>
      <c r="G80" s="153" t="n">
        <v>0</v>
      </c>
      <c r="H80" s="153" t="n">
        <v>0</v>
      </c>
      <c r="I80" s="153" t="n">
        <v>0</v>
      </c>
      <c r="J80" s="153" t="n">
        <v>0</v>
      </c>
      <c r="K80" s="153" t="n">
        <v>0</v>
      </c>
      <c r="L80" s="153" t="n">
        <v>0</v>
      </c>
      <c r="M80" s="153" t="n">
        <v>0</v>
      </c>
      <c r="N80" s="153" t="n">
        <v>0</v>
      </c>
      <c r="O80" s="153" t="n">
        <v>0</v>
      </c>
      <c r="P80" s="153" t="n">
        <v>0</v>
      </c>
      <c r="Q80" s="153" t="n">
        <v>0</v>
      </c>
      <c r="R80" s="153" t="n">
        <v>0</v>
      </c>
      <c r="S80" s="153" t="n">
        <v>0</v>
      </c>
      <c r="T80" s="153" t="n">
        <v>0</v>
      </c>
      <c r="U80" s="153" t="n">
        <v>0</v>
      </c>
      <c r="V80" s="153" t="n">
        <v>0</v>
      </c>
      <c r="W80" s="153" t="n">
        <v>0</v>
      </c>
      <c r="X80" s="153" t="n">
        <v>0</v>
      </c>
      <c r="Y80" s="153" t="n">
        <v>0</v>
      </c>
      <c r="Z80" s="153" t="n">
        <v>0</v>
      </c>
      <c r="AA80" s="153" t="n">
        <v>0</v>
      </c>
      <c r="AB80" s="153" t="n">
        <v>0</v>
      </c>
      <c r="AC80" s="153" t="n">
        <v>0</v>
      </c>
      <c r="AD80" s="153" t="n">
        <v>0</v>
      </c>
      <c r="AE80" s="153" t="n">
        <v>0</v>
      </c>
      <c r="AF80" s="153" t="n">
        <v>0</v>
      </c>
      <c r="AG80" s="153" t="n">
        <v>0</v>
      </c>
      <c r="AH80" s="153" t="n">
        <v>0</v>
      </c>
      <c r="AI80" s="153" t="n">
        <v>0</v>
      </c>
      <c r="AJ80" s="153" t="n">
        <v>0</v>
      </c>
      <c r="AK80" s="153" t="n">
        <v>0</v>
      </c>
      <c r="AL80" s="153" t="n">
        <v>0</v>
      </c>
      <c r="AM80" s="153" t="n">
        <v>0</v>
      </c>
      <c r="AN80" s="153" t="n">
        <v>0</v>
      </c>
      <c r="AO80" s="153" t="n">
        <v>0</v>
      </c>
      <c r="AP80" s="153" t="n">
        <v>0</v>
      </c>
      <c r="AQ80" s="153" t="n">
        <v>0</v>
      </c>
      <c r="AR80" s="153" t="n">
        <v>0</v>
      </c>
      <c r="AS80" s="153" t="n">
        <v>0</v>
      </c>
      <c r="AT80" s="153" t="n">
        <v>0</v>
      </c>
      <c r="AU80" s="153" t="n">
        <v>0</v>
      </c>
      <c r="AV80" s="153" t="n">
        <v>0</v>
      </c>
      <c r="AW80" s="153" t="n">
        <v>0</v>
      </c>
      <c r="AX80" s="153" t="n">
        <v>0</v>
      </c>
      <c r="AY80" s="153" t="n">
        <v>0</v>
      </c>
      <c r="AZ80" s="153" t="n">
        <v>0</v>
      </c>
      <c r="BA80" s="153" t="n">
        <v>0</v>
      </c>
      <c r="BB80" s="153" t="n">
        <v>0</v>
      </c>
      <c r="BC80" s="153" t="n">
        <v>0</v>
      </c>
      <c r="BD80" s="153" t="n">
        <v>0</v>
      </c>
      <c r="BE80" s="153" t="n">
        <v>0</v>
      </c>
      <c r="BF80" s="153" t="n">
        <v>0</v>
      </c>
      <c r="BG80" s="153" t="n">
        <v>0</v>
      </c>
      <c r="BH80" s="153" t="n">
        <v>0</v>
      </c>
      <c r="BI80" s="153" t="n">
        <v>0</v>
      </c>
      <c r="BJ80" s="153" t="n">
        <v>0</v>
      </c>
      <c r="BK80" s="153" t="n">
        <v>0</v>
      </c>
      <c r="BL80" s="153" t="n">
        <v>0</v>
      </c>
      <c r="BM80" s="153" t="n">
        <v>0</v>
      </c>
      <c r="BN80" s="153" t="n">
        <v>0</v>
      </c>
      <c r="BO80" s="153" t="n">
        <v>0</v>
      </c>
      <c r="BP80" s="153" t="n">
        <v>0</v>
      </c>
      <c r="BQ80" s="153" t="n">
        <v>0</v>
      </c>
      <c r="BR80" s="153" t="n">
        <v>0</v>
      </c>
      <c r="BS80" s="153" t="n">
        <v>0</v>
      </c>
      <c r="BT80" s="153" t="n">
        <v>0</v>
      </c>
      <c r="BU80" s="153" t="n">
        <v>0</v>
      </c>
      <c r="BV80" s="153" t="n">
        <v>0</v>
      </c>
      <c r="BW80" s="153" t="n">
        <v>0</v>
      </c>
      <c r="BX80" s="153" t="n">
        <v>0</v>
      </c>
      <c r="BY80" s="153" t="n">
        <v>0</v>
      </c>
      <c r="BZ80" s="153" t="n">
        <v>0</v>
      </c>
      <c r="CA80" s="153" t="n">
        <v>0</v>
      </c>
      <c r="CB80" s="153" t="n">
        <v>0</v>
      </c>
      <c r="CC80" s="153" t="n">
        <v>0</v>
      </c>
      <c r="CD80" s="153" t="n">
        <v>0</v>
      </c>
      <c r="CE80" s="153" t="n">
        <v>0</v>
      </c>
      <c r="CF80" s="153" t="n">
        <v>0</v>
      </c>
      <c r="CG80" s="153" t="n">
        <v>0</v>
      </c>
      <c r="CH80" s="153" t="n">
        <v>0</v>
      </c>
      <c r="CI80" s="153" t="n">
        <v>0</v>
      </c>
      <c r="CJ80" s="153" t="n">
        <v>0</v>
      </c>
      <c r="CK80" s="153" t="n">
        <v>0</v>
      </c>
      <c r="CL80" s="153" t="n">
        <v>0</v>
      </c>
      <c r="CM80" s="153" t="n">
        <v>0</v>
      </c>
      <c r="CN80" s="153" t="n">
        <v>0</v>
      </c>
      <c r="CO80" s="153" t="n">
        <v>0</v>
      </c>
      <c r="CP80" s="153" t="n">
        <v>0</v>
      </c>
      <c r="CQ80" s="153" t="n">
        <v>0</v>
      </c>
      <c r="CR80" s="153" t="n">
        <v>0</v>
      </c>
      <c r="CS80" s="153" t="n">
        <v>0</v>
      </c>
      <c r="CT80" s="153" t="n">
        <v>0</v>
      </c>
      <c r="CU80" s="153" t="n">
        <v>0</v>
      </c>
      <c r="CV80" s="153" t="n">
        <v>0</v>
      </c>
      <c r="CW80" s="153" t="n">
        <v>0</v>
      </c>
      <c r="CX80" s="153" t="n">
        <v>0</v>
      </c>
      <c r="CY80" s="153" t="n">
        <v>0</v>
      </c>
      <c r="CZ80" s="153" t="n">
        <v>0</v>
      </c>
      <c r="DA80" s="153" t="n">
        <v>0</v>
      </c>
      <c r="DB80" s="153" t="n">
        <v>0</v>
      </c>
      <c r="DC80" s="153" t="n">
        <v>0</v>
      </c>
      <c r="DD80" s="153" t="n">
        <v>0</v>
      </c>
      <c r="DE80" s="153" t="n">
        <v>0</v>
      </c>
      <c r="DF80" s="153" t="n">
        <v>0</v>
      </c>
    </row>
    <row r="81" customFormat="false" ht="15" hidden="false" customHeight="true" outlineLevel="0" collapsed="false">
      <c r="A81" s="108" t="s">
        <v>116</v>
      </c>
      <c r="C81" s="157" t="n">
        <v>34114.58</v>
      </c>
      <c r="D81" s="157" t="n">
        <v>34114.58</v>
      </c>
      <c r="E81" s="157" t="n">
        <v>34114.58</v>
      </c>
      <c r="F81" s="159" t="n">
        <v>43614.58</v>
      </c>
      <c r="G81" s="159" t="n">
        <v>43614.58</v>
      </c>
      <c r="H81" s="159" t="n">
        <v>43614.58</v>
      </c>
      <c r="I81" s="159" t="n">
        <v>43614.58</v>
      </c>
      <c r="J81" s="159" t="n">
        <v>43614.58</v>
      </c>
      <c r="K81" s="159" t="n">
        <v>42781.25</v>
      </c>
      <c r="L81" s="159" t="n">
        <v>42781.25</v>
      </c>
      <c r="M81" s="159" t="n">
        <v>33406.25</v>
      </c>
      <c r="N81" s="159" t="n">
        <v>33406.25</v>
      </c>
      <c r="O81" s="159" t="n">
        <v>33406.25</v>
      </c>
      <c r="P81" s="159" t="n">
        <v>33406.25</v>
      </c>
      <c r="Q81" s="159" t="n">
        <v>33406.25</v>
      </c>
      <c r="R81" s="159" t="n">
        <v>33406.25</v>
      </c>
      <c r="S81" s="159" t="n">
        <v>33406.25</v>
      </c>
      <c r="T81" s="159" t="n">
        <v>33406.25</v>
      </c>
      <c r="U81" s="159" t="n">
        <v>9500</v>
      </c>
      <c r="V81" s="159" t="n">
        <v>9500</v>
      </c>
      <c r="W81" s="159" t="n">
        <v>9500</v>
      </c>
      <c r="X81" s="159" t="n">
        <v>9500</v>
      </c>
      <c r="Y81" s="159" t="n">
        <v>9500</v>
      </c>
      <c r="Z81" s="159" t="n">
        <v>66875</v>
      </c>
      <c r="AA81" s="159" t="n">
        <v>9500</v>
      </c>
      <c r="AB81" s="159" t="n">
        <v>9500</v>
      </c>
      <c r="AC81" s="159" t="n">
        <v>66875</v>
      </c>
      <c r="AD81" s="159" t="n">
        <v>9500</v>
      </c>
      <c r="AE81" s="159" t="n">
        <v>9500</v>
      </c>
      <c r="AF81" s="159" t="n">
        <v>66875</v>
      </c>
      <c r="AG81" s="159" t="n">
        <v>9500</v>
      </c>
      <c r="AH81" s="159" t="n">
        <v>9500</v>
      </c>
      <c r="AI81" s="159" t="n">
        <v>9500</v>
      </c>
      <c r="AJ81" s="159" t="n">
        <v>0</v>
      </c>
      <c r="AK81" s="159" t="n">
        <v>0</v>
      </c>
      <c r="AL81" s="159" t="n">
        <v>0</v>
      </c>
      <c r="AM81" s="159" t="n">
        <v>0</v>
      </c>
      <c r="AN81" s="159" t="n">
        <v>0</v>
      </c>
      <c r="AO81" s="159" t="n">
        <v>0</v>
      </c>
      <c r="AP81" s="159" t="n">
        <v>0</v>
      </c>
      <c r="AQ81" s="159" t="n">
        <v>0</v>
      </c>
      <c r="AR81" s="159" t="n">
        <v>0</v>
      </c>
      <c r="AS81" s="159" t="n">
        <v>0</v>
      </c>
      <c r="AT81" s="159" t="n">
        <v>0</v>
      </c>
      <c r="AU81" s="159" t="n">
        <v>81683</v>
      </c>
      <c r="AV81" s="159" t="n">
        <v>0</v>
      </c>
      <c r="AW81" s="159" t="n">
        <v>0</v>
      </c>
      <c r="AX81" s="159" t="n">
        <v>81682</v>
      </c>
      <c r="AY81" s="159" t="n">
        <v>0</v>
      </c>
      <c r="AZ81" s="159" t="n">
        <v>0</v>
      </c>
      <c r="BA81" s="159" t="n">
        <v>81682</v>
      </c>
      <c r="BB81" s="159" t="n">
        <v>0</v>
      </c>
      <c r="BC81" s="159" t="n">
        <v>0</v>
      </c>
      <c r="BD81" s="159" t="n">
        <v>933521</v>
      </c>
      <c r="BE81" s="159" t="n">
        <v>0</v>
      </c>
      <c r="BF81" s="159" t="n">
        <v>0</v>
      </c>
      <c r="BG81" s="159" t="n">
        <v>130878</v>
      </c>
      <c r="BH81" s="159" t="n">
        <v>0</v>
      </c>
      <c r="BI81" s="159" t="n">
        <v>0</v>
      </c>
      <c r="BJ81" s="159" t="n">
        <v>130876</v>
      </c>
      <c r="BK81" s="159" t="n">
        <v>0</v>
      </c>
      <c r="BL81" s="159" t="n">
        <v>0</v>
      </c>
      <c r="BM81" s="159" t="n">
        <v>130876</v>
      </c>
      <c r="BN81" s="159" t="n">
        <v>0</v>
      </c>
      <c r="BO81" s="159" t="n">
        <v>0</v>
      </c>
      <c r="BP81" s="159" t="n">
        <v>130876</v>
      </c>
      <c r="BQ81" s="159" t="n">
        <v>0</v>
      </c>
      <c r="BR81" s="159" t="n">
        <v>0</v>
      </c>
      <c r="BS81" s="159" t="n">
        <v>142406</v>
      </c>
      <c r="BT81" s="159" t="n">
        <v>0</v>
      </c>
      <c r="BU81" s="159" t="n">
        <v>0</v>
      </c>
      <c r="BV81" s="159" t="n">
        <v>142402</v>
      </c>
      <c r="BW81" s="159" t="n">
        <v>0</v>
      </c>
      <c r="BX81" s="159" t="n">
        <v>0</v>
      </c>
      <c r="BY81" s="159" t="n">
        <v>142402</v>
      </c>
      <c r="BZ81" s="159" t="n">
        <v>0</v>
      </c>
      <c r="CA81" s="159" t="n">
        <v>0</v>
      </c>
      <c r="CB81" s="159" t="n">
        <v>215558</v>
      </c>
      <c r="CC81" s="159" t="n">
        <v>0</v>
      </c>
      <c r="CD81" s="159" t="n">
        <v>0</v>
      </c>
      <c r="CE81" s="159" t="n">
        <v>231017</v>
      </c>
      <c r="CF81" s="159" t="n">
        <v>0</v>
      </c>
      <c r="CG81" s="159" t="n">
        <v>0</v>
      </c>
      <c r="CH81" s="159" t="n">
        <v>231016</v>
      </c>
      <c r="CI81" s="159" t="n">
        <v>0</v>
      </c>
      <c r="CJ81" s="159" t="n">
        <v>0</v>
      </c>
      <c r="CK81" s="159" t="n">
        <v>231016</v>
      </c>
      <c r="CL81" s="159" t="n">
        <v>231016</v>
      </c>
      <c r="CM81" s="159" t="n">
        <v>231016</v>
      </c>
      <c r="CN81" s="159" t="n">
        <v>231016</v>
      </c>
      <c r="CO81" s="159" t="n">
        <v>231016</v>
      </c>
      <c r="CP81" s="159" t="n">
        <v>231016</v>
      </c>
      <c r="CQ81" s="159" t="n">
        <v>231016</v>
      </c>
      <c r="CR81" s="159" t="n">
        <v>231016</v>
      </c>
      <c r="CS81" s="159" t="n">
        <v>231016</v>
      </c>
      <c r="CT81" s="159" t="n">
        <v>231016</v>
      </c>
      <c r="CU81" s="159" t="n">
        <v>231016</v>
      </c>
      <c r="CV81" s="159" t="n">
        <v>231016</v>
      </c>
      <c r="CW81" s="159" t="n">
        <v>231016</v>
      </c>
      <c r="CX81" s="159" t="n">
        <v>231016</v>
      </c>
      <c r="CY81" s="159" t="n">
        <v>231016</v>
      </c>
      <c r="CZ81" s="159" t="n">
        <v>231016</v>
      </c>
      <c r="DA81" s="159" t="n">
        <v>231016</v>
      </c>
      <c r="DB81" s="159" t="n">
        <v>231016</v>
      </c>
      <c r="DC81" s="159" t="n">
        <v>231016</v>
      </c>
      <c r="DD81" s="159" t="n">
        <v>231016</v>
      </c>
      <c r="DE81" s="159" t="n">
        <v>231016</v>
      </c>
      <c r="DF81" s="159" t="n">
        <v>231016</v>
      </c>
    </row>
    <row r="82" customFormat="false" ht="15" hidden="false" customHeight="true" outlineLevel="0" collapsed="false">
      <c r="A82" s="127"/>
      <c r="C82" s="112" t="n">
        <v>0</v>
      </c>
      <c r="D82" s="112" t="n">
        <v>0</v>
      </c>
      <c r="E82" s="112" t="n">
        <v>0</v>
      </c>
      <c r="F82" s="153" t="n">
        <v>0</v>
      </c>
      <c r="G82" s="153" t="n">
        <v>0</v>
      </c>
      <c r="H82" s="153" t="n">
        <v>0</v>
      </c>
      <c r="I82" s="153" t="n">
        <v>0</v>
      </c>
      <c r="J82" s="153" t="n">
        <v>0</v>
      </c>
      <c r="K82" s="153" t="n">
        <v>0</v>
      </c>
      <c r="L82" s="153" t="n">
        <v>0</v>
      </c>
      <c r="M82" s="153" t="n">
        <v>0</v>
      </c>
      <c r="N82" s="153" t="n">
        <v>0</v>
      </c>
      <c r="O82" s="153" t="n">
        <v>0</v>
      </c>
      <c r="P82" s="153" t="n">
        <v>0</v>
      </c>
      <c r="Q82" s="153" t="n">
        <v>0</v>
      </c>
      <c r="R82" s="153" t="n">
        <v>0</v>
      </c>
      <c r="S82" s="153" t="n">
        <v>0</v>
      </c>
      <c r="T82" s="153" t="n">
        <v>0</v>
      </c>
      <c r="U82" s="153" t="n">
        <v>0</v>
      </c>
      <c r="V82" s="153" t="n">
        <v>0</v>
      </c>
      <c r="W82" s="153" t="n">
        <v>0</v>
      </c>
      <c r="X82" s="153" t="n">
        <v>0</v>
      </c>
      <c r="Y82" s="153" t="n">
        <v>0</v>
      </c>
      <c r="Z82" s="153" t="n">
        <v>0</v>
      </c>
      <c r="AA82" s="153" t="n">
        <v>0</v>
      </c>
      <c r="AB82" s="153" t="n">
        <v>0</v>
      </c>
      <c r="AC82" s="153" t="n">
        <v>0</v>
      </c>
      <c r="AD82" s="153" t="n">
        <v>0</v>
      </c>
      <c r="AE82" s="153" t="n">
        <v>0</v>
      </c>
      <c r="AF82" s="153" t="n">
        <v>0</v>
      </c>
      <c r="AG82" s="153" t="n">
        <v>0</v>
      </c>
      <c r="AH82" s="153" t="n">
        <v>0</v>
      </c>
      <c r="AI82" s="153" t="n">
        <v>0</v>
      </c>
      <c r="AJ82" s="153" t="n">
        <v>0</v>
      </c>
      <c r="AK82" s="153" t="n">
        <v>0</v>
      </c>
      <c r="AL82" s="153" t="n">
        <v>0</v>
      </c>
      <c r="AM82" s="153" t="n">
        <v>0</v>
      </c>
      <c r="AN82" s="153" t="n">
        <v>0</v>
      </c>
      <c r="AO82" s="153" t="n">
        <v>0</v>
      </c>
      <c r="AP82" s="153" t="n">
        <v>0</v>
      </c>
      <c r="AQ82" s="153" t="n">
        <v>0</v>
      </c>
      <c r="AR82" s="153" t="n">
        <v>0</v>
      </c>
      <c r="AS82" s="153" t="n">
        <v>0</v>
      </c>
      <c r="AT82" s="153" t="n">
        <v>0</v>
      </c>
      <c r="AU82" s="153" t="n">
        <v>0</v>
      </c>
      <c r="AV82" s="153" t="n">
        <v>0</v>
      </c>
      <c r="AW82" s="153" t="n">
        <v>0</v>
      </c>
      <c r="AX82" s="153" t="n">
        <v>0</v>
      </c>
      <c r="AY82" s="153" t="n">
        <v>0</v>
      </c>
      <c r="AZ82" s="153" t="n">
        <v>0</v>
      </c>
      <c r="BA82" s="153" t="n">
        <v>0</v>
      </c>
      <c r="BB82" s="153" t="n">
        <v>0</v>
      </c>
      <c r="BC82" s="153" t="n">
        <v>0</v>
      </c>
      <c r="BD82" s="153" t="n">
        <v>0</v>
      </c>
      <c r="BE82" s="153" t="n">
        <v>0</v>
      </c>
      <c r="BF82" s="153" t="n">
        <v>0</v>
      </c>
      <c r="BG82" s="153" t="n">
        <v>0</v>
      </c>
      <c r="BH82" s="153" t="n">
        <v>0</v>
      </c>
      <c r="BI82" s="153" t="n">
        <v>0</v>
      </c>
      <c r="BJ82" s="153" t="n">
        <v>0</v>
      </c>
      <c r="BK82" s="153" t="n">
        <v>0</v>
      </c>
      <c r="BL82" s="153" t="n">
        <v>0</v>
      </c>
      <c r="BM82" s="153" t="n">
        <v>0</v>
      </c>
      <c r="BN82" s="153" t="n">
        <v>0</v>
      </c>
      <c r="BO82" s="153" t="n">
        <v>0</v>
      </c>
      <c r="BP82" s="153" t="n">
        <v>0</v>
      </c>
      <c r="BQ82" s="153" t="n">
        <v>0</v>
      </c>
      <c r="BR82" s="153" t="n">
        <v>0</v>
      </c>
      <c r="BS82" s="153" t="n">
        <v>0</v>
      </c>
      <c r="BT82" s="153" t="n">
        <v>0</v>
      </c>
      <c r="BU82" s="153" t="n">
        <v>0</v>
      </c>
      <c r="BV82" s="153" t="n">
        <v>0</v>
      </c>
      <c r="BW82" s="153" t="n">
        <v>0</v>
      </c>
      <c r="BX82" s="153" t="n">
        <v>0</v>
      </c>
      <c r="BY82" s="153" t="n">
        <v>0</v>
      </c>
      <c r="BZ82" s="153" t="n">
        <v>0</v>
      </c>
      <c r="CA82" s="153" t="n">
        <v>0</v>
      </c>
      <c r="CB82" s="153" t="n">
        <v>0</v>
      </c>
      <c r="CC82" s="153" t="n">
        <v>0</v>
      </c>
      <c r="CD82" s="153" t="n">
        <v>0</v>
      </c>
      <c r="CE82" s="153" t="n">
        <v>0</v>
      </c>
      <c r="CF82" s="153" t="n">
        <v>0</v>
      </c>
      <c r="CG82" s="153" t="n">
        <v>0</v>
      </c>
      <c r="CH82" s="153" t="n">
        <v>0</v>
      </c>
      <c r="CI82" s="153" t="n">
        <v>0</v>
      </c>
      <c r="CJ82" s="153" t="n">
        <v>0</v>
      </c>
      <c r="CK82" s="153" t="n">
        <v>0</v>
      </c>
      <c r="CL82" s="153" t="n">
        <v>0</v>
      </c>
      <c r="CM82" s="153" t="n">
        <v>0</v>
      </c>
      <c r="CN82" s="153" t="n">
        <v>0</v>
      </c>
      <c r="CO82" s="153" t="n">
        <v>0</v>
      </c>
      <c r="CP82" s="153" t="n">
        <v>0</v>
      </c>
      <c r="CQ82" s="153" t="n">
        <v>0</v>
      </c>
      <c r="CR82" s="153" t="n">
        <v>0</v>
      </c>
      <c r="CS82" s="153" t="n">
        <v>0</v>
      </c>
      <c r="CT82" s="153" t="n">
        <v>0</v>
      </c>
      <c r="CU82" s="153" t="n">
        <v>0</v>
      </c>
      <c r="CV82" s="153" t="n">
        <v>0</v>
      </c>
      <c r="CW82" s="153" t="n">
        <v>0</v>
      </c>
      <c r="CX82" s="153" t="n">
        <v>0</v>
      </c>
      <c r="CY82" s="153" t="n">
        <v>0</v>
      </c>
      <c r="CZ82" s="153" t="n">
        <v>0</v>
      </c>
      <c r="DA82" s="153" t="n">
        <v>0</v>
      </c>
      <c r="DB82" s="153" t="n">
        <v>0</v>
      </c>
      <c r="DC82" s="153" t="n">
        <v>0</v>
      </c>
      <c r="DD82" s="153" t="n">
        <v>0</v>
      </c>
      <c r="DE82" s="153" t="n">
        <v>0</v>
      </c>
      <c r="DF82" s="153" t="n">
        <v>0</v>
      </c>
    </row>
    <row r="83" customFormat="false" ht="15" hidden="false" customHeight="true" outlineLevel="0" collapsed="false">
      <c r="A83" s="127" t="s">
        <v>60</v>
      </c>
      <c r="C83" s="112" t="n">
        <v>-54421</v>
      </c>
      <c r="D83" s="112" t="n">
        <v>-54166.68</v>
      </c>
      <c r="E83" s="112" t="n">
        <v>-54166.68</v>
      </c>
      <c r="F83" s="153" t="n">
        <v>-11458.3333333333</v>
      </c>
      <c r="G83" s="153" t="n">
        <v>-11458.3333333333</v>
      </c>
      <c r="H83" s="153" t="n">
        <v>-11458.3333333333</v>
      </c>
      <c r="I83" s="153" t="n">
        <v>-11458.3333333333</v>
      </c>
      <c r="J83" s="153" t="n">
        <v>-11458.3333333333</v>
      </c>
      <c r="K83" s="153" t="n">
        <v>-11458.3333333333</v>
      </c>
      <c r="L83" s="153" t="n">
        <v>-11458.3333333333</v>
      </c>
      <c r="M83" s="153" t="n">
        <v>-11458.3333333333</v>
      </c>
      <c r="N83" s="153" t="n">
        <v>-11458.3333333333</v>
      </c>
      <c r="O83" s="153" t="n">
        <v>-11458.3333333333</v>
      </c>
      <c r="P83" s="153" t="n">
        <v>-11458.3333333333</v>
      </c>
      <c r="Q83" s="153" t="n">
        <v>-11458.3333333333</v>
      </c>
      <c r="R83" s="153" t="n">
        <v>-11687.5</v>
      </c>
      <c r="S83" s="153" t="n">
        <v>-11687.5</v>
      </c>
      <c r="T83" s="153" t="n">
        <v>-11687.5</v>
      </c>
      <c r="U83" s="153" t="n">
        <v>-11687.5</v>
      </c>
      <c r="V83" s="153" t="n">
        <v>-11687.5</v>
      </c>
      <c r="W83" s="153" t="n">
        <v>-11687.5</v>
      </c>
      <c r="X83" s="153" t="n">
        <v>-11687.5</v>
      </c>
      <c r="Y83" s="153" t="n">
        <v>-11687.5</v>
      </c>
      <c r="Z83" s="153" t="n">
        <v>-11687.5</v>
      </c>
      <c r="AA83" s="153" t="n">
        <v>-11687.5</v>
      </c>
      <c r="AB83" s="153" t="n">
        <v>-11687.5</v>
      </c>
      <c r="AC83" s="153" t="n">
        <v>-11687.5</v>
      </c>
      <c r="AD83" s="153" t="n">
        <v>-11921.25</v>
      </c>
      <c r="AE83" s="153" t="n">
        <v>-11921.25</v>
      </c>
      <c r="AF83" s="153" t="n">
        <v>-11921.25</v>
      </c>
      <c r="AG83" s="153" t="n">
        <v>-11921.25</v>
      </c>
      <c r="AH83" s="153" t="n">
        <v>-11921.25</v>
      </c>
      <c r="AI83" s="153" t="n">
        <v>-11921.25</v>
      </c>
      <c r="AJ83" s="153" t="n">
        <v>-11921.25</v>
      </c>
      <c r="AK83" s="153" t="n">
        <v>-11921.25</v>
      </c>
      <c r="AL83" s="153" t="n">
        <v>-11921.25</v>
      </c>
      <c r="AM83" s="153" t="n">
        <v>-11921.25</v>
      </c>
      <c r="AN83" s="153" t="n">
        <v>-11921.25</v>
      </c>
      <c r="AO83" s="153" t="n">
        <v>-11921.25</v>
      </c>
      <c r="AP83" s="153" t="n">
        <v>-12159.675</v>
      </c>
      <c r="AQ83" s="153" t="n">
        <v>-12159.675</v>
      </c>
      <c r="AR83" s="153" t="n">
        <v>-12159.675</v>
      </c>
      <c r="AS83" s="153" t="n">
        <v>-12159.675</v>
      </c>
      <c r="AT83" s="153" t="n">
        <v>-12159.675</v>
      </c>
      <c r="AU83" s="153" t="n">
        <v>-12159.675</v>
      </c>
      <c r="AV83" s="153" t="n">
        <v>-12159.675</v>
      </c>
      <c r="AW83" s="153" t="n">
        <v>-12159.675</v>
      </c>
      <c r="AX83" s="153" t="n">
        <v>-12159.675</v>
      </c>
      <c r="AY83" s="153" t="n">
        <v>-12159.675</v>
      </c>
      <c r="AZ83" s="153" t="n">
        <v>-12159.675</v>
      </c>
      <c r="BA83" s="153" t="n">
        <v>-12159.675</v>
      </c>
      <c r="BB83" s="153" t="n">
        <v>-12402.8685</v>
      </c>
      <c r="BC83" s="153" t="n">
        <v>-12402.8685</v>
      </c>
      <c r="BD83" s="153" t="n">
        <v>-12402.8685</v>
      </c>
      <c r="BE83" s="153" t="n">
        <v>-12402.8685</v>
      </c>
      <c r="BF83" s="153" t="n">
        <v>-12402.8685</v>
      </c>
      <c r="BG83" s="153" t="n">
        <v>-12402.8685</v>
      </c>
      <c r="BH83" s="153" t="n">
        <v>-12402.8685</v>
      </c>
      <c r="BI83" s="153" t="n">
        <v>-12402.8685</v>
      </c>
      <c r="BJ83" s="153" t="n">
        <v>-12402.8685</v>
      </c>
      <c r="BK83" s="153" t="n">
        <v>-12402.8685</v>
      </c>
      <c r="BL83" s="153" t="n">
        <v>-12402.8685</v>
      </c>
      <c r="BM83" s="153" t="n">
        <v>-12402.8685</v>
      </c>
      <c r="BN83" s="153" t="n">
        <v>-12650.92587</v>
      </c>
      <c r="BO83" s="153" t="n">
        <v>-12650.92587</v>
      </c>
      <c r="BP83" s="153" t="n">
        <v>-12650.92587</v>
      </c>
      <c r="BQ83" s="153" t="n">
        <v>-12650.92587</v>
      </c>
      <c r="BR83" s="153" t="n">
        <v>-12650.92587</v>
      </c>
      <c r="BS83" s="153" t="n">
        <v>-12650.92587</v>
      </c>
      <c r="BT83" s="153" t="n">
        <v>-12650.92587</v>
      </c>
      <c r="BU83" s="153" t="n">
        <v>-12650.92587</v>
      </c>
      <c r="BV83" s="153" t="n">
        <v>-12650.92587</v>
      </c>
      <c r="BW83" s="153" t="n">
        <v>-12650.92587</v>
      </c>
      <c r="BX83" s="153" t="n">
        <v>-12650.92587</v>
      </c>
      <c r="BY83" s="153" t="n">
        <v>-12650.92587</v>
      </c>
      <c r="BZ83" s="153" t="n">
        <v>-12903.9443874</v>
      </c>
      <c r="CA83" s="153" t="n">
        <v>-12903.9443874</v>
      </c>
      <c r="CB83" s="153" t="n">
        <v>-12903.9443874</v>
      </c>
      <c r="CC83" s="153" t="n">
        <v>-12903.9443874</v>
      </c>
      <c r="CD83" s="153" t="n">
        <v>-12903.9443874</v>
      </c>
      <c r="CE83" s="153" t="n">
        <v>-12903.9443874</v>
      </c>
      <c r="CF83" s="153" t="n">
        <v>-12903.9443874</v>
      </c>
      <c r="CG83" s="153" t="n">
        <v>-12903.9443874</v>
      </c>
      <c r="CH83" s="153" t="n">
        <v>-12903.9443874</v>
      </c>
      <c r="CI83" s="153" t="n">
        <v>-12903.9443874</v>
      </c>
      <c r="CJ83" s="153" t="n">
        <v>-12903.9443874</v>
      </c>
      <c r="CK83" s="153" t="n">
        <v>-12903.9443874</v>
      </c>
      <c r="CL83" s="153" t="n">
        <v>-13162.023275148</v>
      </c>
      <c r="CM83" s="153" t="n">
        <v>-13162.023275148</v>
      </c>
      <c r="CN83" s="153" t="n">
        <v>-13162.023275148</v>
      </c>
      <c r="CO83" s="153" t="n">
        <v>-13162.023275148</v>
      </c>
      <c r="CP83" s="153" t="n">
        <v>-13162.023275148</v>
      </c>
      <c r="CQ83" s="153" t="n">
        <v>-13162.023275148</v>
      </c>
      <c r="CR83" s="153" t="n">
        <v>-13162.023275148</v>
      </c>
      <c r="CS83" s="153" t="n">
        <v>-13162.023275148</v>
      </c>
      <c r="CT83" s="153" t="n">
        <v>-13162.023275148</v>
      </c>
      <c r="CU83" s="153" t="n">
        <v>-13162.023275148</v>
      </c>
      <c r="CV83" s="153" t="n">
        <v>-13162.023275148</v>
      </c>
      <c r="CW83" s="153" t="n">
        <v>-13162.023275148</v>
      </c>
      <c r="CX83" s="153" t="n">
        <v>-13425.263740651</v>
      </c>
      <c r="CY83" s="153" t="n">
        <v>-13425.263740651</v>
      </c>
      <c r="CZ83" s="153" t="n">
        <v>-13425.263740651</v>
      </c>
      <c r="DA83" s="153" t="n">
        <v>-13425.263740651</v>
      </c>
      <c r="DB83" s="153" t="n">
        <v>-13425.263740651</v>
      </c>
      <c r="DC83" s="153" t="n">
        <v>-13425.263740651</v>
      </c>
      <c r="DD83" s="153" t="n">
        <v>-13425.263740651</v>
      </c>
      <c r="DE83" s="153" t="n">
        <v>-13425.263740651</v>
      </c>
      <c r="DF83" s="153" t="n">
        <v>-13425.263740651</v>
      </c>
    </row>
    <row r="84" customFormat="false" ht="15" hidden="false" customHeight="true" outlineLevel="0" collapsed="false">
      <c r="A84" s="127" t="s">
        <v>61</v>
      </c>
      <c r="C84" s="112" t="n">
        <v>-5302</v>
      </c>
      <c r="D84" s="112" t="n">
        <v>-4279.79</v>
      </c>
      <c r="E84" s="112" t="n">
        <v>-4145.97</v>
      </c>
      <c r="F84" s="153" t="n">
        <v>-802.083333333334</v>
      </c>
      <c r="G84" s="153" t="n">
        <v>-802.083333333334</v>
      </c>
      <c r="H84" s="153" t="n">
        <v>-802.083333333334</v>
      </c>
      <c r="I84" s="153" t="n">
        <v>-802.083333333334</v>
      </c>
      <c r="J84" s="153" t="n">
        <v>-802.083333333334</v>
      </c>
      <c r="K84" s="153" t="n">
        <v>-802.083333333334</v>
      </c>
      <c r="L84" s="153" t="n">
        <v>-802.083333333334</v>
      </c>
      <c r="M84" s="153" t="n">
        <v>-802.083333333334</v>
      </c>
      <c r="N84" s="153" t="n">
        <v>-802.083333333334</v>
      </c>
      <c r="O84" s="153" t="n">
        <v>-802.083333333334</v>
      </c>
      <c r="P84" s="153" t="n">
        <v>-802.083333333334</v>
      </c>
      <c r="Q84" s="153" t="n">
        <v>-802.083333333334</v>
      </c>
      <c r="R84" s="153" t="n">
        <v>-818.125</v>
      </c>
      <c r="S84" s="153" t="n">
        <v>-818.125</v>
      </c>
      <c r="T84" s="153" t="n">
        <v>-818.125</v>
      </c>
      <c r="U84" s="153" t="n">
        <v>-818.125</v>
      </c>
      <c r="V84" s="153" t="n">
        <v>-818.125</v>
      </c>
      <c r="W84" s="153" t="n">
        <v>-818.125</v>
      </c>
      <c r="X84" s="153" t="n">
        <v>-818.125</v>
      </c>
      <c r="Y84" s="153" t="n">
        <v>-818.125</v>
      </c>
      <c r="Z84" s="153" t="n">
        <v>-818.125</v>
      </c>
      <c r="AA84" s="153" t="n">
        <v>-818.125</v>
      </c>
      <c r="AB84" s="153" t="n">
        <v>-818.125</v>
      </c>
      <c r="AC84" s="153" t="n">
        <v>-818.125</v>
      </c>
      <c r="AD84" s="153" t="n">
        <v>-834.4875</v>
      </c>
      <c r="AE84" s="153" t="n">
        <v>-834.4875</v>
      </c>
      <c r="AF84" s="153" t="n">
        <v>-834.4875</v>
      </c>
      <c r="AG84" s="153" t="n">
        <v>-834.4875</v>
      </c>
      <c r="AH84" s="153" t="n">
        <v>-834.4875</v>
      </c>
      <c r="AI84" s="153" t="n">
        <v>-834.4875</v>
      </c>
      <c r="AJ84" s="153" t="n">
        <v>-834.4875</v>
      </c>
      <c r="AK84" s="153" t="n">
        <v>-834.4875</v>
      </c>
      <c r="AL84" s="153" t="n">
        <v>-834.4875</v>
      </c>
      <c r="AM84" s="153" t="n">
        <v>-834.4875</v>
      </c>
      <c r="AN84" s="153" t="n">
        <v>-834.4875</v>
      </c>
      <c r="AO84" s="153" t="n">
        <v>-834.4875</v>
      </c>
      <c r="AP84" s="153" t="n">
        <v>-851.17725</v>
      </c>
      <c r="AQ84" s="153" t="n">
        <v>-851.17725</v>
      </c>
      <c r="AR84" s="153" t="n">
        <v>-851.17725</v>
      </c>
      <c r="AS84" s="153" t="n">
        <v>-851.17725</v>
      </c>
      <c r="AT84" s="153" t="n">
        <v>-851.17725</v>
      </c>
      <c r="AU84" s="153" t="n">
        <v>-851.17725</v>
      </c>
      <c r="AV84" s="153" t="n">
        <v>-851.17725</v>
      </c>
      <c r="AW84" s="153" t="n">
        <v>-851.17725</v>
      </c>
      <c r="AX84" s="153" t="n">
        <v>-851.17725</v>
      </c>
      <c r="AY84" s="153" t="n">
        <v>-851.17725</v>
      </c>
      <c r="AZ84" s="153" t="n">
        <v>-851.17725</v>
      </c>
      <c r="BA84" s="153" t="n">
        <v>-851.17725</v>
      </c>
      <c r="BB84" s="153" t="n">
        <v>-868.200795</v>
      </c>
      <c r="BC84" s="153" t="n">
        <v>-868.200795</v>
      </c>
      <c r="BD84" s="153" t="n">
        <v>-868.200795</v>
      </c>
      <c r="BE84" s="153" t="n">
        <v>-868.200795</v>
      </c>
      <c r="BF84" s="153" t="n">
        <v>-868.200795</v>
      </c>
      <c r="BG84" s="153" t="n">
        <v>-868.200795</v>
      </c>
      <c r="BH84" s="153" t="n">
        <v>-868.200795</v>
      </c>
      <c r="BI84" s="153" t="n">
        <v>-868.200795</v>
      </c>
      <c r="BJ84" s="153" t="n">
        <v>-868.200795</v>
      </c>
      <c r="BK84" s="153" t="n">
        <v>-868.200795</v>
      </c>
      <c r="BL84" s="153" t="n">
        <v>-868.200795</v>
      </c>
      <c r="BM84" s="153" t="n">
        <v>-868.200795</v>
      </c>
      <c r="BN84" s="153" t="n">
        <v>-885.5648109</v>
      </c>
      <c r="BO84" s="153" t="n">
        <v>-885.5648109</v>
      </c>
      <c r="BP84" s="153" t="n">
        <v>-885.5648109</v>
      </c>
      <c r="BQ84" s="153" t="n">
        <v>-885.5648109</v>
      </c>
      <c r="BR84" s="153" t="n">
        <v>-885.5648109</v>
      </c>
      <c r="BS84" s="153" t="n">
        <v>-885.5648109</v>
      </c>
      <c r="BT84" s="153" t="n">
        <v>-885.5648109</v>
      </c>
      <c r="BU84" s="153" t="n">
        <v>-885.5648109</v>
      </c>
      <c r="BV84" s="153" t="n">
        <v>-885.5648109</v>
      </c>
      <c r="BW84" s="153" t="n">
        <v>-885.5648109</v>
      </c>
      <c r="BX84" s="153" t="n">
        <v>-885.5648109</v>
      </c>
      <c r="BY84" s="153" t="n">
        <v>-885.5648109</v>
      </c>
      <c r="BZ84" s="153" t="n">
        <v>-903.276107118</v>
      </c>
      <c r="CA84" s="153" t="n">
        <v>-903.276107118</v>
      </c>
      <c r="CB84" s="153" t="n">
        <v>-903.276107118</v>
      </c>
      <c r="CC84" s="153" t="n">
        <v>-903.276107118</v>
      </c>
      <c r="CD84" s="153" t="n">
        <v>-903.276107118</v>
      </c>
      <c r="CE84" s="153" t="n">
        <v>-903.276107118</v>
      </c>
      <c r="CF84" s="153" t="n">
        <v>-903.276107118</v>
      </c>
      <c r="CG84" s="153" t="n">
        <v>-903.276107118</v>
      </c>
      <c r="CH84" s="153" t="n">
        <v>-903.276107118</v>
      </c>
      <c r="CI84" s="153" t="n">
        <v>-903.276107118</v>
      </c>
      <c r="CJ84" s="153" t="n">
        <v>-903.276107118</v>
      </c>
      <c r="CK84" s="153" t="n">
        <v>-903.276107118</v>
      </c>
      <c r="CL84" s="153" t="n">
        <v>-921.34162926036</v>
      </c>
      <c r="CM84" s="153" t="n">
        <v>-921.34162926036</v>
      </c>
      <c r="CN84" s="153" t="n">
        <v>-921.34162926036</v>
      </c>
      <c r="CO84" s="153" t="n">
        <v>-921.34162926036</v>
      </c>
      <c r="CP84" s="153" t="n">
        <v>-921.34162926036</v>
      </c>
      <c r="CQ84" s="153" t="n">
        <v>-921.34162926036</v>
      </c>
      <c r="CR84" s="153" t="n">
        <v>-921.34162926036</v>
      </c>
      <c r="CS84" s="153" t="n">
        <v>-921.34162926036</v>
      </c>
      <c r="CT84" s="153" t="n">
        <v>-921.34162926036</v>
      </c>
      <c r="CU84" s="153" t="n">
        <v>0</v>
      </c>
      <c r="CV84" s="153" t="n">
        <v>0</v>
      </c>
      <c r="CW84" s="153" t="n">
        <v>0</v>
      </c>
      <c r="CX84" s="153" t="n">
        <v>0</v>
      </c>
      <c r="CY84" s="153" t="n">
        <v>0</v>
      </c>
      <c r="CZ84" s="153" t="n">
        <v>0</v>
      </c>
      <c r="DA84" s="153" t="n">
        <v>0</v>
      </c>
      <c r="DB84" s="153" t="n">
        <v>0</v>
      </c>
      <c r="DC84" s="153" t="n">
        <v>0</v>
      </c>
      <c r="DD84" s="153" t="n">
        <v>0</v>
      </c>
      <c r="DE84" s="153" t="n">
        <v>0</v>
      </c>
      <c r="DF84" s="153" t="n">
        <v>0</v>
      </c>
    </row>
    <row r="85" customFormat="false" ht="15" hidden="false" customHeight="true" outlineLevel="0" collapsed="false">
      <c r="A85" s="127" t="s">
        <v>63</v>
      </c>
      <c r="C85" s="112" t="n">
        <v>-12137.77</v>
      </c>
      <c r="D85" s="112" t="n">
        <v>-12137.78</v>
      </c>
      <c r="E85" s="112" t="n">
        <v>-12137.78</v>
      </c>
      <c r="F85" s="153" t="n">
        <v>-572.916666666667</v>
      </c>
      <c r="G85" s="153" t="n">
        <v>-572.916666666667</v>
      </c>
      <c r="H85" s="153" t="n">
        <v>-572.916666666667</v>
      </c>
      <c r="I85" s="153" t="n">
        <v>-572.916666666667</v>
      </c>
      <c r="J85" s="153" t="n">
        <v>-572.916666666667</v>
      </c>
      <c r="K85" s="153" t="n">
        <v>-572.916666666667</v>
      </c>
      <c r="L85" s="153" t="n">
        <v>-572.916666666667</v>
      </c>
      <c r="M85" s="153" t="n">
        <v>-572.916666666667</v>
      </c>
      <c r="N85" s="153" t="n">
        <v>-572.916666666667</v>
      </c>
      <c r="O85" s="153" t="n">
        <v>-572.916666666667</v>
      </c>
      <c r="P85" s="153" t="n">
        <v>-572.916666666667</v>
      </c>
      <c r="Q85" s="153" t="n">
        <v>-572.916666666667</v>
      </c>
      <c r="R85" s="153" t="n">
        <v>-584.375</v>
      </c>
      <c r="S85" s="153" t="n">
        <v>-584.375</v>
      </c>
      <c r="T85" s="153" t="n">
        <v>-584.375</v>
      </c>
      <c r="U85" s="153" t="n">
        <v>-584.375</v>
      </c>
      <c r="V85" s="153" t="n">
        <v>-584.375</v>
      </c>
      <c r="W85" s="153" t="n">
        <v>-584.375</v>
      </c>
      <c r="X85" s="153" t="n">
        <v>-584.375</v>
      </c>
      <c r="Y85" s="153" t="n">
        <v>-584.375</v>
      </c>
      <c r="Z85" s="153" t="n">
        <v>-584.375</v>
      </c>
      <c r="AA85" s="153" t="n">
        <v>-584.375</v>
      </c>
      <c r="AB85" s="153" t="n">
        <v>-584.375</v>
      </c>
      <c r="AC85" s="153" t="n">
        <v>-584.375</v>
      </c>
      <c r="AD85" s="153" t="n">
        <v>-596.0625</v>
      </c>
      <c r="AE85" s="153" t="n">
        <v>-596.0625</v>
      </c>
      <c r="AF85" s="153" t="n">
        <v>-596.0625</v>
      </c>
      <c r="AG85" s="153" t="n">
        <v>-596.0625</v>
      </c>
      <c r="AH85" s="153" t="n">
        <v>-596.0625</v>
      </c>
      <c r="AI85" s="153" t="n">
        <v>-596.0625</v>
      </c>
      <c r="AJ85" s="153" t="n">
        <v>-596.0625</v>
      </c>
      <c r="AK85" s="153" t="n">
        <v>-596.0625</v>
      </c>
      <c r="AL85" s="153" t="n">
        <v>-596.0625</v>
      </c>
      <c r="AM85" s="153" t="n">
        <v>-596.0625</v>
      </c>
      <c r="AN85" s="153" t="n">
        <v>-596.0625</v>
      </c>
      <c r="AO85" s="153" t="n">
        <v>-596.0625</v>
      </c>
      <c r="AP85" s="153" t="n">
        <v>-607.98375</v>
      </c>
      <c r="AQ85" s="153" t="n">
        <v>-607.98375</v>
      </c>
      <c r="AR85" s="153" t="n">
        <v>-607.98375</v>
      </c>
      <c r="AS85" s="153" t="n">
        <v>-607.98375</v>
      </c>
      <c r="AT85" s="153" t="n">
        <v>-607.98375</v>
      </c>
      <c r="AU85" s="153" t="n">
        <v>-607.98375</v>
      </c>
      <c r="AV85" s="153" t="n">
        <v>-607.98375</v>
      </c>
      <c r="AW85" s="153" t="n">
        <v>-607.98375</v>
      </c>
      <c r="AX85" s="153" t="n">
        <v>-607.98375</v>
      </c>
      <c r="AY85" s="153" t="n">
        <v>-607.98375</v>
      </c>
      <c r="AZ85" s="153" t="n">
        <v>-607.98375</v>
      </c>
      <c r="BA85" s="153" t="n">
        <v>-607.98375</v>
      </c>
      <c r="BB85" s="153" t="n">
        <v>-620.143425</v>
      </c>
      <c r="BC85" s="153" t="n">
        <v>-620.143425</v>
      </c>
      <c r="BD85" s="153" t="n">
        <v>-620.143425</v>
      </c>
      <c r="BE85" s="153" t="n">
        <v>-620.143425</v>
      </c>
      <c r="BF85" s="153" t="n">
        <v>-620.143425</v>
      </c>
      <c r="BG85" s="153" t="n">
        <v>-620.143425</v>
      </c>
      <c r="BH85" s="153" t="n">
        <v>-620.143425</v>
      </c>
      <c r="BI85" s="153" t="n">
        <v>-620.143425</v>
      </c>
      <c r="BJ85" s="153" t="n">
        <v>-620.143425</v>
      </c>
      <c r="BK85" s="153" t="n">
        <v>-620.143425</v>
      </c>
      <c r="BL85" s="153" t="n">
        <v>-620.143425</v>
      </c>
      <c r="BM85" s="153" t="n">
        <v>-620.143425</v>
      </c>
      <c r="BN85" s="153" t="n">
        <v>-632.5462935</v>
      </c>
      <c r="BO85" s="153" t="n">
        <v>-632.5462935</v>
      </c>
      <c r="BP85" s="153" t="n">
        <v>-632.5462935</v>
      </c>
      <c r="BQ85" s="153" t="n">
        <v>-632.5462935</v>
      </c>
      <c r="BR85" s="153" t="n">
        <v>-632.5462935</v>
      </c>
      <c r="BS85" s="153" t="n">
        <v>-632.5462935</v>
      </c>
      <c r="BT85" s="153" t="n">
        <v>-632.5462935</v>
      </c>
      <c r="BU85" s="153" t="n">
        <v>-632.5462935</v>
      </c>
      <c r="BV85" s="153" t="n">
        <v>-632.5462935</v>
      </c>
      <c r="BW85" s="153" t="n">
        <v>-632.5462935</v>
      </c>
      <c r="BX85" s="153" t="n">
        <v>-632.5462935</v>
      </c>
      <c r="BY85" s="153" t="n">
        <v>-632.5462935</v>
      </c>
      <c r="BZ85" s="153" t="n">
        <v>-645.19721937</v>
      </c>
      <c r="CA85" s="153" t="n">
        <v>-645.19721937</v>
      </c>
      <c r="CB85" s="153" t="n">
        <v>-645.19721937</v>
      </c>
      <c r="CC85" s="153" t="n">
        <v>-645.19721937</v>
      </c>
      <c r="CD85" s="153" t="n">
        <v>-645.19721937</v>
      </c>
      <c r="CE85" s="153" t="n">
        <v>-645.19721937</v>
      </c>
      <c r="CF85" s="153" t="n">
        <v>-645.19721937</v>
      </c>
      <c r="CG85" s="153" t="n">
        <v>-645.19721937</v>
      </c>
      <c r="CH85" s="153" t="n">
        <v>-645.19721937</v>
      </c>
      <c r="CI85" s="153" t="n">
        <v>-645.19721937</v>
      </c>
      <c r="CJ85" s="153" t="n">
        <v>-645.19721937</v>
      </c>
      <c r="CK85" s="153" t="n">
        <v>-645.19721937</v>
      </c>
      <c r="CL85" s="153" t="n">
        <v>-658.1011637574</v>
      </c>
      <c r="CM85" s="153" t="n">
        <v>-658.1011637574</v>
      </c>
      <c r="CN85" s="153" t="n">
        <v>-658.1011637574</v>
      </c>
      <c r="CO85" s="153" t="n">
        <v>-658.1011637574</v>
      </c>
      <c r="CP85" s="153" t="n">
        <v>-658.1011637574</v>
      </c>
      <c r="CQ85" s="153" t="n">
        <v>-658.1011637574</v>
      </c>
      <c r="CR85" s="153" t="n">
        <v>-658.1011637574</v>
      </c>
      <c r="CS85" s="153" t="n">
        <v>-658.1011637574</v>
      </c>
      <c r="CT85" s="153" t="n">
        <v>-658.1011637574</v>
      </c>
      <c r="CU85" s="153" t="n">
        <v>0</v>
      </c>
      <c r="CV85" s="153" t="n">
        <v>0</v>
      </c>
      <c r="CW85" s="153" t="n">
        <v>0</v>
      </c>
      <c r="CX85" s="153" t="n">
        <v>0</v>
      </c>
      <c r="CY85" s="153" t="n">
        <v>0</v>
      </c>
      <c r="CZ85" s="153" t="n">
        <v>0</v>
      </c>
      <c r="DA85" s="153" t="n">
        <v>0</v>
      </c>
      <c r="DB85" s="153" t="n">
        <v>0</v>
      </c>
      <c r="DC85" s="153" t="n">
        <v>0</v>
      </c>
      <c r="DD85" s="153" t="n">
        <v>0</v>
      </c>
      <c r="DE85" s="153" t="n">
        <v>0</v>
      </c>
      <c r="DF85" s="153" t="n">
        <v>0</v>
      </c>
    </row>
    <row r="86" customFormat="false" ht="15" hidden="false" customHeight="true" outlineLevel="0" collapsed="false">
      <c r="A86" s="127" t="s">
        <v>64</v>
      </c>
      <c r="C86" s="112" t="n">
        <v>-475.76</v>
      </c>
      <c r="D86" s="112" t="n">
        <v>-475.76</v>
      </c>
      <c r="E86" s="112" t="n">
        <v>-475.76</v>
      </c>
      <c r="F86" s="153" t="n">
        <v>-229.166666666667</v>
      </c>
      <c r="G86" s="153" t="n">
        <v>-229.166666666667</v>
      </c>
      <c r="H86" s="153" t="n">
        <v>-229.166666666667</v>
      </c>
      <c r="I86" s="153" t="n">
        <v>-229.166666666667</v>
      </c>
      <c r="J86" s="153" t="n">
        <v>-229.166666666667</v>
      </c>
      <c r="K86" s="153" t="n">
        <v>-229.166666666667</v>
      </c>
      <c r="L86" s="153" t="n">
        <v>-229.166666666667</v>
      </c>
      <c r="M86" s="153" t="n">
        <v>-229.166666666667</v>
      </c>
      <c r="N86" s="153" t="n">
        <v>-229.166666666667</v>
      </c>
      <c r="O86" s="153" t="n">
        <v>-229.166666666667</v>
      </c>
      <c r="P86" s="153" t="n">
        <v>-229.166666666667</v>
      </c>
      <c r="Q86" s="153" t="n">
        <v>-229.166666666667</v>
      </c>
      <c r="R86" s="153" t="n">
        <v>-233.75</v>
      </c>
      <c r="S86" s="153" t="n">
        <v>-233.75</v>
      </c>
      <c r="T86" s="153" t="n">
        <v>-233.75</v>
      </c>
      <c r="U86" s="153" t="n">
        <v>-233.75</v>
      </c>
      <c r="V86" s="153" t="n">
        <v>-233.75</v>
      </c>
      <c r="W86" s="153" t="n">
        <v>-233.75</v>
      </c>
      <c r="X86" s="153" t="n">
        <v>-233.75</v>
      </c>
      <c r="Y86" s="153" t="n">
        <v>-233.75</v>
      </c>
      <c r="Z86" s="153" t="n">
        <v>-233.75</v>
      </c>
      <c r="AA86" s="153" t="n">
        <v>-233.75</v>
      </c>
      <c r="AB86" s="153" t="n">
        <v>-233.75</v>
      </c>
      <c r="AC86" s="153" t="n">
        <v>-233.75</v>
      </c>
      <c r="AD86" s="153" t="n">
        <v>-238.425</v>
      </c>
      <c r="AE86" s="153" t="n">
        <v>-238.425</v>
      </c>
      <c r="AF86" s="153" t="n">
        <v>-238.425</v>
      </c>
      <c r="AG86" s="153" t="n">
        <v>-238.425</v>
      </c>
      <c r="AH86" s="153" t="n">
        <v>-238.425</v>
      </c>
      <c r="AI86" s="153" t="n">
        <v>-238.425</v>
      </c>
      <c r="AJ86" s="153" t="n">
        <v>-238.425</v>
      </c>
      <c r="AK86" s="153" t="n">
        <v>-238.425</v>
      </c>
      <c r="AL86" s="153" t="n">
        <v>-238.425</v>
      </c>
      <c r="AM86" s="153" t="n">
        <v>-238.425</v>
      </c>
      <c r="AN86" s="153" t="n">
        <v>-238.425</v>
      </c>
      <c r="AO86" s="153" t="n">
        <v>-238.425</v>
      </c>
      <c r="AP86" s="153" t="n">
        <v>-243.1935</v>
      </c>
      <c r="AQ86" s="153" t="n">
        <v>-243.1935</v>
      </c>
      <c r="AR86" s="153" t="n">
        <v>-243.1935</v>
      </c>
      <c r="AS86" s="153" t="n">
        <v>-243.1935</v>
      </c>
      <c r="AT86" s="153" t="n">
        <v>-243.1935</v>
      </c>
      <c r="AU86" s="153" t="n">
        <v>-243.1935</v>
      </c>
      <c r="AV86" s="153" t="n">
        <v>-243.1935</v>
      </c>
      <c r="AW86" s="153" t="n">
        <v>-243.1935</v>
      </c>
      <c r="AX86" s="153" t="n">
        <v>-243.1935</v>
      </c>
      <c r="AY86" s="153" t="n">
        <v>-243.1935</v>
      </c>
      <c r="AZ86" s="153" t="n">
        <v>-243.1935</v>
      </c>
      <c r="BA86" s="153" t="n">
        <v>-243.1935</v>
      </c>
      <c r="BB86" s="153" t="n">
        <v>-248.05737</v>
      </c>
      <c r="BC86" s="153" t="n">
        <v>-248.05737</v>
      </c>
      <c r="BD86" s="153" t="n">
        <v>-248.05737</v>
      </c>
      <c r="BE86" s="153" t="n">
        <v>-248.05737</v>
      </c>
      <c r="BF86" s="153" t="n">
        <v>-248.05737</v>
      </c>
      <c r="BG86" s="153" t="n">
        <v>-248.05737</v>
      </c>
      <c r="BH86" s="153" t="n">
        <v>-248.05737</v>
      </c>
      <c r="BI86" s="153" t="n">
        <v>-248.05737</v>
      </c>
      <c r="BJ86" s="153" t="n">
        <v>-248.05737</v>
      </c>
      <c r="BK86" s="153" t="n">
        <v>-248.05737</v>
      </c>
      <c r="BL86" s="153" t="n">
        <v>-248.05737</v>
      </c>
      <c r="BM86" s="153" t="n">
        <v>-248.05737</v>
      </c>
      <c r="BN86" s="153" t="n">
        <v>-253.0185174</v>
      </c>
      <c r="BO86" s="153" t="n">
        <v>-253.0185174</v>
      </c>
      <c r="BP86" s="153" t="n">
        <v>-253.0185174</v>
      </c>
      <c r="BQ86" s="153" t="n">
        <v>-253.0185174</v>
      </c>
      <c r="BR86" s="153" t="n">
        <v>-253.0185174</v>
      </c>
      <c r="BS86" s="153" t="n">
        <v>-253.0185174</v>
      </c>
      <c r="BT86" s="153" t="n">
        <v>-253.0185174</v>
      </c>
      <c r="BU86" s="153" t="n">
        <v>-253.0185174</v>
      </c>
      <c r="BV86" s="153" t="n">
        <v>-253.0185174</v>
      </c>
      <c r="BW86" s="153" t="n">
        <v>-253.0185174</v>
      </c>
      <c r="BX86" s="153" t="n">
        <v>-253.0185174</v>
      </c>
      <c r="BY86" s="153" t="n">
        <v>-253.0185174</v>
      </c>
      <c r="BZ86" s="153" t="n">
        <v>-258.078887748</v>
      </c>
      <c r="CA86" s="153" t="n">
        <v>-258.078887748</v>
      </c>
      <c r="CB86" s="153" t="n">
        <v>-258.078887748</v>
      </c>
      <c r="CC86" s="153" t="n">
        <v>-258.078887748</v>
      </c>
      <c r="CD86" s="153" t="n">
        <v>-258.078887748</v>
      </c>
      <c r="CE86" s="153" t="n">
        <v>-258.078887748</v>
      </c>
      <c r="CF86" s="153" t="n">
        <v>-258.078887748</v>
      </c>
      <c r="CG86" s="153" t="n">
        <v>-258.078887748</v>
      </c>
      <c r="CH86" s="153" t="n">
        <v>-258.078887748</v>
      </c>
      <c r="CI86" s="153" t="n">
        <v>-258.078887748</v>
      </c>
      <c r="CJ86" s="153" t="n">
        <v>-258.078887748</v>
      </c>
      <c r="CK86" s="153" t="n">
        <v>-258.078887748</v>
      </c>
      <c r="CL86" s="153" t="n">
        <v>-263.24046550296</v>
      </c>
      <c r="CM86" s="153" t="n">
        <v>-263.24046550296</v>
      </c>
      <c r="CN86" s="153" t="n">
        <v>-263.24046550296</v>
      </c>
      <c r="CO86" s="153" t="n">
        <v>-263.24046550296</v>
      </c>
      <c r="CP86" s="153" t="n">
        <v>-263.24046550296</v>
      </c>
      <c r="CQ86" s="153" t="n">
        <v>-263.24046550296</v>
      </c>
      <c r="CR86" s="153" t="n">
        <v>-263.24046550296</v>
      </c>
      <c r="CS86" s="153" t="n">
        <v>-263.24046550296</v>
      </c>
      <c r="CT86" s="153" t="n">
        <v>-263.24046550296</v>
      </c>
      <c r="CU86" s="153" t="n">
        <v>0</v>
      </c>
      <c r="CV86" s="153" t="n">
        <v>0</v>
      </c>
      <c r="CW86" s="153" t="n">
        <v>0</v>
      </c>
      <c r="CX86" s="153" t="n">
        <v>0</v>
      </c>
      <c r="CY86" s="153" t="n">
        <v>0</v>
      </c>
      <c r="CZ86" s="153" t="n">
        <v>0</v>
      </c>
      <c r="DA86" s="153" t="n">
        <v>0</v>
      </c>
      <c r="DB86" s="153" t="n">
        <v>0</v>
      </c>
      <c r="DC86" s="153" t="n">
        <v>0</v>
      </c>
      <c r="DD86" s="153" t="n">
        <v>0</v>
      </c>
      <c r="DE86" s="153" t="n">
        <v>0</v>
      </c>
      <c r="DF86" s="153" t="n">
        <v>0</v>
      </c>
    </row>
    <row r="87" customFormat="false" ht="15" hidden="false" customHeight="true" outlineLevel="0" collapsed="false">
      <c r="A87" s="127" t="s">
        <v>65</v>
      </c>
      <c r="C87" s="112" t="n">
        <v>-2200.12</v>
      </c>
      <c r="D87" s="112" t="n">
        <v>-2200.12</v>
      </c>
      <c r="E87" s="112" t="n">
        <v>-2200.12</v>
      </c>
      <c r="F87" s="153" t="n">
        <v>-57.2916666666667</v>
      </c>
      <c r="G87" s="153" t="n">
        <v>-57.2916666666667</v>
      </c>
      <c r="H87" s="153" t="n">
        <v>-57.2916666666667</v>
      </c>
      <c r="I87" s="153" t="n">
        <v>-57.2916666666667</v>
      </c>
      <c r="J87" s="153" t="n">
        <v>-57.2916666666667</v>
      </c>
      <c r="K87" s="153" t="n">
        <v>-57.2916666666667</v>
      </c>
      <c r="L87" s="153" t="n">
        <v>-57.2916666666667</v>
      </c>
      <c r="M87" s="153" t="n">
        <v>-57.2916666666667</v>
      </c>
      <c r="N87" s="153" t="n">
        <v>-57.2916666666667</v>
      </c>
      <c r="O87" s="153" t="n">
        <v>-57.2916666666667</v>
      </c>
      <c r="P87" s="153" t="n">
        <v>-57.2916666666667</v>
      </c>
      <c r="Q87" s="153" t="n">
        <v>-57.2916666666667</v>
      </c>
      <c r="R87" s="153" t="n">
        <v>-58.4375</v>
      </c>
      <c r="S87" s="153" t="n">
        <v>-58.4375</v>
      </c>
      <c r="T87" s="153" t="n">
        <v>-58.4375</v>
      </c>
      <c r="U87" s="153" t="n">
        <v>-58.4375</v>
      </c>
      <c r="V87" s="153" t="n">
        <v>-58.4375</v>
      </c>
      <c r="W87" s="153" t="n">
        <v>-58.4375</v>
      </c>
      <c r="X87" s="153" t="n">
        <v>-58.4375</v>
      </c>
      <c r="Y87" s="153" t="n">
        <v>-58.4375</v>
      </c>
      <c r="Z87" s="153" t="n">
        <v>-58.4375</v>
      </c>
      <c r="AA87" s="153" t="n">
        <v>-58.4375</v>
      </c>
      <c r="AB87" s="153" t="n">
        <v>-58.4375</v>
      </c>
      <c r="AC87" s="153" t="n">
        <v>-58.4375</v>
      </c>
      <c r="AD87" s="153" t="n">
        <v>-59.60625</v>
      </c>
      <c r="AE87" s="153" t="n">
        <v>-59.60625</v>
      </c>
      <c r="AF87" s="153" t="n">
        <v>-59.60625</v>
      </c>
      <c r="AG87" s="153" t="n">
        <v>-59.60625</v>
      </c>
      <c r="AH87" s="153" t="n">
        <v>-59.60625</v>
      </c>
      <c r="AI87" s="153" t="n">
        <v>-59.60625</v>
      </c>
      <c r="AJ87" s="153" t="n">
        <v>-59.60625</v>
      </c>
      <c r="AK87" s="153" t="n">
        <v>-59.60625</v>
      </c>
      <c r="AL87" s="153" t="n">
        <v>-59.60625</v>
      </c>
      <c r="AM87" s="153" t="n">
        <v>-59.60625</v>
      </c>
      <c r="AN87" s="153" t="n">
        <v>-59.60625</v>
      </c>
      <c r="AO87" s="153" t="n">
        <v>-59.60625</v>
      </c>
      <c r="AP87" s="153" t="n">
        <v>-60.798375</v>
      </c>
      <c r="AQ87" s="153" t="n">
        <v>-60.798375</v>
      </c>
      <c r="AR87" s="153" t="n">
        <v>-60.798375</v>
      </c>
      <c r="AS87" s="153" t="n">
        <v>-60.798375</v>
      </c>
      <c r="AT87" s="153" t="n">
        <v>-60.798375</v>
      </c>
      <c r="AU87" s="153" t="n">
        <v>-60.798375</v>
      </c>
      <c r="AV87" s="153" t="n">
        <v>-60.798375</v>
      </c>
      <c r="AW87" s="153" t="n">
        <v>-60.798375</v>
      </c>
      <c r="AX87" s="153" t="n">
        <v>-60.798375</v>
      </c>
      <c r="AY87" s="153" t="n">
        <v>-60.798375</v>
      </c>
      <c r="AZ87" s="153" t="n">
        <v>-60.798375</v>
      </c>
      <c r="BA87" s="153" t="n">
        <v>-60.798375</v>
      </c>
      <c r="BB87" s="153" t="n">
        <v>-62.0143425</v>
      </c>
      <c r="BC87" s="153" t="n">
        <v>-62.0143425</v>
      </c>
      <c r="BD87" s="153" t="n">
        <v>-62.0143425</v>
      </c>
      <c r="BE87" s="153" t="n">
        <v>-62.0143425</v>
      </c>
      <c r="BF87" s="153" t="n">
        <v>-62.0143425</v>
      </c>
      <c r="BG87" s="153" t="n">
        <v>-62.0143425</v>
      </c>
      <c r="BH87" s="153" t="n">
        <v>-62.0143425</v>
      </c>
      <c r="BI87" s="153" t="n">
        <v>-62.0143425</v>
      </c>
      <c r="BJ87" s="153" t="n">
        <v>-62.0143425</v>
      </c>
      <c r="BK87" s="153" t="n">
        <v>-62.0143425</v>
      </c>
      <c r="BL87" s="153" t="n">
        <v>-62.0143425</v>
      </c>
      <c r="BM87" s="153" t="n">
        <v>-62.0143425</v>
      </c>
      <c r="BN87" s="153" t="n">
        <v>-63.25462935</v>
      </c>
      <c r="BO87" s="153" t="n">
        <v>-63.25462935</v>
      </c>
      <c r="BP87" s="153" t="n">
        <v>-63.25462935</v>
      </c>
      <c r="BQ87" s="153" t="n">
        <v>-63.25462935</v>
      </c>
      <c r="BR87" s="153" t="n">
        <v>-63.25462935</v>
      </c>
      <c r="BS87" s="153" t="n">
        <v>-63.25462935</v>
      </c>
      <c r="BT87" s="153" t="n">
        <v>-63.25462935</v>
      </c>
      <c r="BU87" s="153" t="n">
        <v>-63.25462935</v>
      </c>
      <c r="BV87" s="153" t="n">
        <v>-63.25462935</v>
      </c>
      <c r="BW87" s="153" t="n">
        <v>-63.25462935</v>
      </c>
      <c r="BX87" s="153" t="n">
        <v>-63.25462935</v>
      </c>
      <c r="BY87" s="153" t="n">
        <v>-63.25462935</v>
      </c>
      <c r="BZ87" s="153" t="n">
        <v>-64.519721937</v>
      </c>
      <c r="CA87" s="153" t="n">
        <v>-64.519721937</v>
      </c>
      <c r="CB87" s="153" t="n">
        <v>-64.519721937</v>
      </c>
      <c r="CC87" s="153" t="n">
        <v>-64.519721937</v>
      </c>
      <c r="CD87" s="153" t="n">
        <v>-64.519721937</v>
      </c>
      <c r="CE87" s="153" t="n">
        <v>-64.519721937</v>
      </c>
      <c r="CF87" s="153" t="n">
        <v>-64.519721937</v>
      </c>
      <c r="CG87" s="153" t="n">
        <v>-64.519721937</v>
      </c>
      <c r="CH87" s="153" t="n">
        <v>-64.519721937</v>
      </c>
      <c r="CI87" s="153" t="n">
        <v>-64.519721937</v>
      </c>
      <c r="CJ87" s="153" t="n">
        <v>-64.519721937</v>
      </c>
      <c r="CK87" s="153" t="n">
        <v>-64.519721937</v>
      </c>
      <c r="CL87" s="153" t="n">
        <v>-65.81011637574</v>
      </c>
      <c r="CM87" s="153" t="n">
        <v>-65.81011637574</v>
      </c>
      <c r="CN87" s="153" t="n">
        <v>-65.81011637574</v>
      </c>
      <c r="CO87" s="153" t="n">
        <v>-65.81011637574</v>
      </c>
      <c r="CP87" s="153" t="n">
        <v>-65.81011637574</v>
      </c>
      <c r="CQ87" s="153" t="n">
        <v>-65.81011637574</v>
      </c>
      <c r="CR87" s="153" t="n">
        <v>-65.81011637574</v>
      </c>
      <c r="CS87" s="153" t="n">
        <v>-65.81011637574</v>
      </c>
      <c r="CT87" s="153" t="n">
        <v>-65.81011637574</v>
      </c>
      <c r="CU87" s="153" t="n">
        <v>0</v>
      </c>
      <c r="CV87" s="153" t="n">
        <v>0</v>
      </c>
      <c r="CW87" s="153" t="n">
        <v>0</v>
      </c>
      <c r="CX87" s="153" t="n">
        <v>0</v>
      </c>
      <c r="CY87" s="153" t="n">
        <v>0</v>
      </c>
      <c r="CZ87" s="153" t="n">
        <v>0</v>
      </c>
      <c r="DA87" s="153" t="n">
        <v>0</v>
      </c>
      <c r="DB87" s="153" t="n">
        <v>0</v>
      </c>
      <c r="DC87" s="153" t="n">
        <v>0</v>
      </c>
      <c r="DD87" s="153" t="n">
        <v>0</v>
      </c>
      <c r="DE87" s="153" t="n">
        <v>0</v>
      </c>
      <c r="DF87" s="153" t="n">
        <v>0</v>
      </c>
    </row>
    <row r="88" customFormat="false" ht="15" hidden="false" customHeight="true" outlineLevel="0" collapsed="false">
      <c r="A88" s="127" t="s">
        <v>68</v>
      </c>
      <c r="C88" s="112" t="n">
        <v>-8848.65</v>
      </c>
      <c r="D88" s="112" t="n">
        <v>-8817.63</v>
      </c>
      <c r="E88" s="112" t="n">
        <v>-3775.91</v>
      </c>
      <c r="F88" s="153" t="n">
        <v>-8500</v>
      </c>
      <c r="G88" s="153" t="n">
        <v>-8500</v>
      </c>
      <c r="H88" s="153" t="n">
        <v>-8500</v>
      </c>
      <c r="I88" s="153" t="n">
        <v>-8500</v>
      </c>
      <c r="J88" s="153" t="n">
        <v>-8500</v>
      </c>
      <c r="K88" s="153" t="n">
        <v>-8500</v>
      </c>
      <c r="L88" s="153" t="n">
        <v>-8500</v>
      </c>
      <c r="M88" s="153" t="n">
        <v>-8500</v>
      </c>
      <c r="N88" s="153" t="n">
        <v>-8500</v>
      </c>
      <c r="O88" s="153" t="n">
        <v>-8500</v>
      </c>
      <c r="P88" s="153" t="n">
        <v>-8500</v>
      </c>
      <c r="Q88" s="153" t="n">
        <v>-8500</v>
      </c>
      <c r="R88" s="153" t="n">
        <v>-8670</v>
      </c>
      <c r="S88" s="153" t="n">
        <v>-8670</v>
      </c>
      <c r="T88" s="153" t="n">
        <v>-8670</v>
      </c>
      <c r="U88" s="153" t="n">
        <v>-8670</v>
      </c>
      <c r="V88" s="153" t="n">
        <v>-8670</v>
      </c>
      <c r="W88" s="153" t="n">
        <v>-8670</v>
      </c>
      <c r="X88" s="153" t="n">
        <v>-8670</v>
      </c>
      <c r="Y88" s="153" t="n">
        <v>-8670</v>
      </c>
      <c r="Z88" s="153" t="n">
        <v>-8670</v>
      </c>
      <c r="AA88" s="153" t="n">
        <v>-8670</v>
      </c>
      <c r="AB88" s="153" t="n">
        <v>-8670</v>
      </c>
      <c r="AC88" s="153" t="n">
        <v>-8670</v>
      </c>
      <c r="AD88" s="153" t="n">
        <v>-8843.4</v>
      </c>
      <c r="AE88" s="153" t="n">
        <v>-8843.4</v>
      </c>
      <c r="AF88" s="153" t="n">
        <v>-8843.4</v>
      </c>
      <c r="AG88" s="153" t="n">
        <v>-8843.4</v>
      </c>
      <c r="AH88" s="153" t="n">
        <v>-8843.4</v>
      </c>
      <c r="AI88" s="153" t="n">
        <v>-8843.4</v>
      </c>
      <c r="AJ88" s="153" t="n">
        <v>-8843.4</v>
      </c>
      <c r="AK88" s="153" t="n">
        <v>-8843.4</v>
      </c>
      <c r="AL88" s="153" t="n">
        <v>-8843.4</v>
      </c>
      <c r="AM88" s="153" t="n">
        <v>-8843.4</v>
      </c>
      <c r="AN88" s="153" t="n">
        <v>-8843.4</v>
      </c>
      <c r="AO88" s="153" t="n">
        <v>-8843.4</v>
      </c>
      <c r="AP88" s="153" t="n">
        <v>-9020.268</v>
      </c>
      <c r="AQ88" s="153" t="n">
        <v>-9020.268</v>
      </c>
      <c r="AR88" s="153" t="n">
        <v>-9020.268</v>
      </c>
      <c r="AS88" s="153" t="n">
        <v>-9020.268</v>
      </c>
      <c r="AT88" s="153" t="n">
        <v>-9020.268</v>
      </c>
      <c r="AU88" s="153" t="n">
        <v>-9020.268</v>
      </c>
      <c r="AV88" s="153" t="n">
        <v>-9020.268</v>
      </c>
      <c r="AW88" s="153" t="n">
        <v>-9020.268</v>
      </c>
      <c r="AX88" s="153" t="n">
        <v>-9020.268</v>
      </c>
      <c r="AY88" s="153" t="n">
        <v>-9020.268</v>
      </c>
      <c r="AZ88" s="153" t="n">
        <v>-9020.268</v>
      </c>
      <c r="BA88" s="153" t="n">
        <v>-9020.268</v>
      </c>
      <c r="BB88" s="153" t="n">
        <v>-9200.67336</v>
      </c>
      <c r="BC88" s="153" t="n">
        <v>-9200.67336</v>
      </c>
      <c r="BD88" s="153" t="n">
        <v>-9200.67336</v>
      </c>
      <c r="BE88" s="153" t="n">
        <v>-9200.67336</v>
      </c>
      <c r="BF88" s="153" t="n">
        <v>-9200.67336</v>
      </c>
      <c r="BG88" s="153" t="n">
        <v>-9200.67336</v>
      </c>
      <c r="BH88" s="153" t="n">
        <v>-9200.67336</v>
      </c>
      <c r="BI88" s="153" t="n">
        <v>-9200.67336</v>
      </c>
      <c r="BJ88" s="153" t="n">
        <v>-9200.67336</v>
      </c>
      <c r="BK88" s="153" t="n">
        <v>-9200.67336</v>
      </c>
      <c r="BL88" s="153" t="n">
        <v>-9200.67336</v>
      </c>
      <c r="BM88" s="153" t="n">
        <v>-9200.67336</v>
      </c>
      <c r="BN88" s="153" t="n">
        <v>-9384.6868272</v>
      </c>
      <c r="BO88" s="153" t="n">
        <v>-9384.6868272</v>
      </c>
      <c r="BP88" s="153" t="n">
        <v>-9384.6868272</v>
      </c>
      <c r="BQ88" s="153" t="n">
        <v>-9384.6868272</v>
      </c>
      <c r="BR88" s="153" t="n">
        <v>-9384.6868272</v>
      </c>
      <c r="BS88" s="153" t="n">
        <v>-9384.6868272</v>
      </c>
      <c r="BT88" s="153" t="n">
        <v>-9384.6868272</v>
      </c>
      <c r="BU88" s="153" t="n">
        <v>-9384.6868272</v>
      </c>
      <c r="BV88" s="153" t="n">
        <v>-9384.6868272</v>
      </c>
      <c r="BW88" s="153" t="n">
        <v>-9384.6868272</v>
      </c>
      <c r="BX88" s="153" t="n">
        <v>-9384.6868272</v>
      </c>
      <c r="BY88" s="153" t="n">
        <v>-9384.6868272</v>
      </c>
      <c r="BZ88" s="153" t="n">
        <v>-9572.380563744</v>
      </c>
      <c r="CA88" s="153" t="n">
        <v>-9572.380563744</v>
      </c>
      <c r="CB88" s="153" t="n">
        <v>-9572.380563744</v>
      </c>
      <c r="CC88" s="153" t="n">
        <v>-9572.380563744</v>
      </c>
      <c r="CD88" s="153" t="n">
        <v>-9572.380563744</v>
      </c>
      <c r="CE88" s="153" t="n">
        <v>-9572.380563744</v>
      </c>
      <c r="CF88" s="153" t="n">
        <v>-9572.380563744</v>
      </c>
      <c r="CG88" s="153" t="n">
        <v>-9572.380563744</v>
      </c>
      <c r="CH88" s="153" t="n">
        <v>-9572.380563744</v>
      </c>
      <c r="CI88" s="153" t="n">
        <v>-9572.380563744</v>
      </c>
      <c r="CJ88" s="153" t="n">
        <v>-9572.380563744</v>
      </c>
      <c r="CK88" s="153" t="n">
        <v>-9572.380563744</v>
      </c>
      <c r="CL88" s="153" t="n">
        <v>-9763.82817501888</v>
      </c>
      <c r="CM88" s="153" t="n">
        <v>-9763.82817501888</v>
      </c>
      <c r="CN88" s="153" t="n">
        <v>-9763.82817501888</v>
      </c>
      <c r="CO88" s="153" t="n">
        <v>-9763.82817501888</v>
      </c>
      <c r="CP88" s="153" t="n">
        <v>-9763.82817501888</v>
      </c>
      <c r="CQ88" s="153" t="n">
        <v>-9763.82817501888</v>
      </c>
      <c r="CR88" s="153" t="n">
        <v>-9763.82817501888</v>
      </c>
      <c r="CS88" s="153" t="n">
        <v>-9763.82817501888</v>
      </c>
      <c r="CT88" s="153" t="n">
        <v>-9763.82817501888</v>
      </c>
      <c r="CU88" s="153" t="n">
        <v>-9763.82817501888</v>
      </c>
      <c r="CV88" s="153" t="n">
        <v>-9763.82817501888</v>
      </c>
      <c r="CW88" s="153" t="n">
        <v>-9763.82817501888</v>
      </c>
      <c r="CX88" s="153" t="n">
        <v>-9959.10473851926</v>
      </c>
      <c r="CY88" s="153" t="n">
        <v>-9959.10473851926</v>
      </c>
      <c r="CZ88" s="153" t="n">
        <v>-9959.10473851926</v>
      </c>
      <c r="DA88" s="153" t="n">
        <v>-9959.10473851926</v>
      </c>
      <c r="DB88" s="153" t="n">
        <v>-9959.10473851926</v>
      </c>
      <c r="DC88" s="153" t="n">
        <v>-9959.10473851926</v>
      </c>
      <c r="DD88" s="153" t="n">
        <v>-9959.10473851926</v>
      </c>
      <c r="DE88" s="153" t="n">
        <v>-9959.10473851926</v>
      </c>
      <c r="DF88" s="153" t="n">
        <v>-9959.10473851926</v>
      </c>
    </row>
    <row r="89" customFormat="false" ht="15" hidden="false" customHeight="true" outlineLevel="0" collapsed="false">
      <c r="A89" s="127" t="s">
        <v>69</v>
      </c>
      <c r="C89" s="112" t="n">
        <v>-1722.9</v>
      </c>
      <c r="D89" s="112" t="n">
        <v>0</v>
      </c>
      <c r="E89" s="112" t="n">
        <v>-28.51</v>
      </c>
      <c r="F89" s="153" t="n">
        <v>-583.8</v>
      </c>
      <c r="G89" s="153" t="n">
        <v>-583.8</v>
      </c>
      <c r="H89" s="153" t="n">
        <v>-583.8</v>
      </c>
      <c r="I89" s="153" t="n">
        <v>-583.8</v>
      </c>
      <c r="J89" s="153" t="n">
        <v>-583.8</v>
      </c>
      <c r="K89" s="153" t="n">
        <v>-583.8</v>
      </c>
      <c r="L89" s="153" t="n">
        <v>-583.8</v>
      </c>
      <c r="M89" s="153" t="n">
        <v>-583.8</v>
      </c>
      <c r="N89" s="153" t="n">
        <v>-583.8</v>
      </c>
      <c r="O89" s="153" t="n">
        <v>-583.8</v>
      </c>
      <c r="P89" s="153" t="n">
        <v>-583.8</v>
      </c>
      <c r="Q89" s="153" t="n">
        <v>-583.8</v>
      </c>
      <c r="R89" s="153" t="n">
        <v>-595.476</v>
      </c>
      <c r="S89" s="153" t="n">
        <v>-595.476</v>
      </c>
      <c r="T89" s="153" t="n">
        <v>-595.476</v>
      </c>
      <c r="U89" s="153" t="n">
        <v>-595.476</v>
      </c>
      <c r="V89" s="153" t="n">
        <v>-595.476</v>
      </c>
      <c r="W89" s="153" t="n">
        <v>-595.476</v>
      </c>
      <c r="X89" s="153" t="n">
        <v>-595.476</v>
      </c>
      <c r="Y89" s="153" t="n">
        <v>-595.476</v>
      </c>
      <c r="Z89" s="153" t="n">
        <v>-595.476</v>
      </c>
      <c r="AA89" s="153" t="n">
        <v>-595.476</v>
      </c>
      <c r="AB89" s="153" t="n">
        <v>-595.476</v>
      </c>
      <c r="AC89" s="153" t="n">
        <v>-595.476</v>
      </c>
      <c r="AD89" s="153" t="n">
        <v>-607.38552</v>
      </c>
      <c r="AE89" s="153" t="n">
        <v>-607.38552</v>
      </c>
      <c r="AF89" s="153" t="n">
        <v>-607.38552</v>
      </c>
      <c r="AG89" s="153" t="n">
        <v>-607.38552</v>
      </c>
      <c r="AH89" s="153" t="n">
        <v>-607.38552</v>
      </c>
      <c r="AI89" s="153" t="n">
        <v>-607.38552</v>
      </c>
      <c r="AJ89" s="153" t="n">
        <v>-607.38552</v>
      </c>
      <c r="AK89" s="153" t="n">
        <v>-607.38552</v>
      </c>
      <c r="AL89" s="153" t="n">
        <v>-607.38552</v>
      </c>
      <c r="AM89" s="153" t="n">
        <v>-607.38552</v>
      </c>
      <c r="AN89" s="153" t="n">
        <v>-607.38552</v>
      </c>
      <c r="AO89" s="153" t="n">
        <v>-607.38552</v>
      </c>
      <c r="AP89" s="153" t="n">
        <v>-619.5332304</v>
      </c>
      <c r="AQ89" s="153" t="n">
        <v>-619.5332304</v>
      </c>
      <c r="AR89" s="153" t="n">
        <v>-619.5332304</v>
      </c>
      <c r="AS89" s="153" t="n">
        <v>-619.5332304</v>
      </c>
      <c r="AT89" s="153" t="n">
        <v>-619.5332304</v>
      </c>
      <c r="AU89" s="153" t="n">
        <v>-619.5332304</v>
      </c>
      <c r="AV89" s="153" t="n">
        <v>-619.5332304</v>
      </c>
      <c r="AW89" s="153" t="n">
        <v>-619.5332304</v>
      </c>
      <c r="AX89" s="153" t="n">
        <v>-619.5332304</v>
      </c>
      <c r="AY89" s="153" t="n">
        <v>-619.5332304</v>
      </c>
      <c r="AZ89" s="153" t="n">
        <v>-619.5332304</v>
      </c>
      <c r="BA89" s="153" t="n">
        <v>-619.5332304</v>
      </c>
      <c r="BB89" s="153" t="n">
        <v>-631.923895008</v>
      </c>
      <c r="BC89" s="153" t="n">
        <v>-631.923895008</v>
      </c>
      <c r="BD89" s="153" t="n">
        <v>-631.923895008</v>
      </c>
      <c r="BE89" s="153" t="n">
        <v>-631.923895008</v>
      </c>
      <c r="BF89" s="153" t="n">
        <v>-631.923895008</v>
      </c>
      <c r="BG89" s="153" t="n">
        <v>-631.923895008</v>
      </c>
      <c r="BH89" s="153" t="n">
        <v>-631.923895008</v>
      </c>
      <c r="BI89" s="153" t="n">
        <v>-631.923895008</v>
      </c>
      <c r="BJ89" s="153" t="n">
        <v>-631.923895008</v>
      </c>
      <c r="BK89" s="153" t="n">
        <v>-631.923895008</v>
      </c>
      <c r="BL89" s="153" t="n">
        <v>-631.923895008</v>
      </c>
      <c r="BM89" s="153" t="n">
        <v>-631.923895008</v>
      </c>
      <c r="BN89" s="153" t="n">
        <v>-644.56237290816</v>
      </c>
      <c r="BO89" s="153" t="n">
        <v>-644.56237290816</v>
      </c>
      <c r="BP89" s="153" t="n">
        <v>-644.56237290816</v>
      </c>
      <c r="BQ89" s="153" t="n">
        <v>-644.56237290816</v>
      </c>
      <c r="BR89" s="153" t="n">
        <v>-644.56237290816</v>
      </c>
      <c r="BS89" s="153" t="n">
        <v>-644.56237290816</v>
      </c>
      <c r="BT89" s="153" t="n">
        <v>-644.56237290816</v>
      </c>
      <c r="BU89" s="153" t="n">
        <v>-644.56237290816</v>
      </c>
      <c r="BV89" s="153" t="n">
        <v>-644.56237290816</v>
      </c>
      <c r="BW89" s="153" t="n">
        <v>-644.56237290816</v>
      </c>
      <c r="BX89" s="153" t="n">
        <v>-644.56237290816</v>
      </c>
      <c r="BY89" s="153" t="n">
        <v>-644.56237290816</v>
      </c>
      <c r="BZ89" s="153" t="n">
        <v>-657.453620366323</v>
      </c>
      <c r="CA89" s="153" t="n">
        <v>-657.453620366323</v>
      </c>
      <c r="CB89" s="153" t="n">
        <v>-657.453620366323</v>
      </c>
      <c r="CC89" s="153" t="n">
        <v>-657.453620366323</v>
      </c>
      <c r="CD89" s="153" t="n">
        <v>-657.453620366323</v>
      </c>
      <c r="CE89" s="153" t="n">
        <v>-657.453620366323</v>
      </c>
      <c r="CF89" s="153" t="n">
        <v>-657.453620366323</v>
      </c>
      <c r="CG89" s="153" t="n">
        <v>-657.453620366323</v>
      </c>
      <c r="CH89" s="153" t="n">
        <v>-657.453620366323</v>
      </c>
      <c r="CI89" s="153" t="n">
        <v>-657.453620366323</v>
      </c>
      <c r="CJ89" s="153" t="n">
        <v>-657.453620366323</v>
      </c>
      <c r="CK89" s="153" t="n">
        <v>-657.453620366323</v>
      </c>
      <c r="CL89" s="153" t="n">
        <v>-670.60269277365</v>
      </c>
      <c r="CM89" s="153" t="n">
        <v>-670.60269277365</v>
      </c>
      <c r="CN89" s="153" t="n">
        <v>-670.60269277365</v>
      </c>
      <c r="CO89" s="153" t="n">
        <v>-670.60269277365</v>
      </c>
      <c r="CP89" s="153" t="n">
        <v>-670.60269277365</v>
      </c>
      <c r="CQ89" s="153" t="n">
        <v>-670.60269277365</v>
      </c>
      <c r="CR89" s="153" t="n">
        <v>-670.60269277365</v>
      </c>
      <c r="CS89" s="153" t="n">
        <v>-670.60269277365</v>
      </c>
      <c r="CT89" s="153" t="n">
        <v>-670.60269277365</v>
      </c>
      <c r="CU89" s="153" t="n">
        <v>-670.60269277365</v>
      </c>
      <c r="CV89" s="153" t="n">
        <v>-670.60269277365</v>
      </c>
      <c r="CW89" s="153" t="n">
        <v>-670.60269277365</v>
      </c>
      <c r="CX89" s="153" t="n">
        <v>-684.014746629123</v>
      </c>
      <c r="CY89" s="153" t="n">
        <v>-684.014746629123</v>
      </c>
      <c r="CZ89" s="153" t="n">
        <v>-684.014746629123</v>
      </c>
      <c r="DA89" s="153" t="n">
        <v>-684.014746629123</v>
      </c>
      <c r="DB89" s="153" t="n">
        <v>-684.014746629123</v>
      </c>
      <c r="DC89" s="153" t="n">
        <v>-684.014746629123</v>
      </c>
      <c r="DD89" s="153" t="n">
        <v>-684.014746629123</v>
      </c>
      <c r="DE89" s="153" t="n">
        <v>-684.014746629123</v>
      </c>
      <c r="DF89" s="153" t="n">
        <v>-684.014746629123</v>
      </c>
    </row>
    <row r="90" customFormat="false" ht="15" hidden="false" customHeight="true" outlineLevel="0" collapsed="false">
      <c r="A90" s="127" t="s">
        <v>72</v>
      </c>
      <c r="C90" s="157" t="n">
        <v>-246.85</v>
      </c>
      <c r="D90" s="157" t="n">
        <v>0</v>
      </c>
      <c r="E90" s="157" t="n">
        <v>-4246.73</v>
      </c>
      <c r="F90" s="153" t="n">
        <v>-1497.86</v>
      </c>
      <c r="G90" s="153" t="n">
        <v>-1497.86</v>
      </c>
      <c r="H90" s="153" t="n">
        <v>-1497.86</v>
      </c>
      <c r="I90" s="153" t="n">
        <v>-1497.86</v>
      </c>
      <c r="J90" s="153" t="n">
        <v>-1497.86</v>
      </c>
      <c r="K90" s="153" t="n">
        <v>-1497.86</v>
      </c>
      <c r="L90" s="153" t="n">
        <v>-1497.86</v>
      </c>
      <c r="M90" s="153" t="n">
        <v>-1497.86</v>
      </c>
      <c r="N90" s="153" t="n">
        <v>-1497.86</v>
      </c>
      <c r="O90" s="153" t="n">
        <v>-1497.86</v>
      </c>
      <c r="P90" s="153" t="n">
        <v>-1497.86</v>
      </c>
      <c r="Q90" s="153" t="n">
        <v>-1497.86</v>
      </c>
      <c r="R90" s="153" t="n">
        <v>-1527.8172</v>
      </c>
      <c r="S90" s="153" t="n">
        <v>-1527.8172</v>
      </c>
      <c r="T90" s="153" t="n">
        <v>-1527.8172</v>
      </c>
      <c r="U90" s="153" t="n">
        <v>-1527.8172</v>
      </c>
      <c r="V90" s="153" t="n">
        <v>-1527.8172</v>
      </c>
      <c r="W90" s="153" t="n">
        <v>-1527.8172</v>
      </c>
      <c r="X90" s="153" t="n">
        <v>-1527.8172</v>
      </c>
      <c r="Y90" s="153" t="n">
        <v>-1527.8172</v>
      </c>
      <c r="Z90" s="153" t="n">
        <v>-1527.8172</v>
      </c>
      <c r="AA90" s="153" t="n">
        <v>-1527.8172</v>
      </c>
      <c r="AB90" s="153" t="n">
        <v>-1527.8172</v>
      </c>
      <c r="AC90" s="153" t="n">
        <v>-1527.8172</v>
      </c>
      <c r="AD90" s="153" t="n">
        <v>-1558.373544</v>
      </c>
      <c r="AE90" s="153" t="n">
        <v>-1558.373544</v>
      </c>
      <c r="AF90" s="153" t="n">
        <v>-1558.373544</v>
      </c>
      <c r="AG90" s="153" t="n">
        <v>-1558.373544</v>
      </c>
      <c r="AH90" s="153" t="n">
        <v>-1558.373544</v>
      </c>
      <c r="AI90" s="153" t="n">
        <v>-1558.373544</v>
      </c>
      <c r="AJ90" s="153" t="n">
        <v>-1558.373544</v>
      </c>
      <c r="AK90" s="153" t="n">
        <v>-1558.373544</v>
      </c>
      <c r="AL90" s="153" t="n">
        <v>-1558.373544</v>
      </c>
      <c r="AM90" s="153" t="n">
        <v>-1558.373544</v>
      </c>
      <c r="AN90" s="153" t="n">
        <v>-1558.373544</v>
      </c>
      <c r="AO90" s="153" t="n">
        <v>-1558.373544</v>
      </c>
      <c r="AP90" s="153" t="n">
        <v>-1589.54101488</v>
      </c>
      <c r="AQ90" s="153" t="n">
        <v>-1589.54101488</v>
      </c>
      <c r="AR90" s="153" t="n">
        <v>-1589.54101488</v>
      </c>
      <c r="AS90" s="153" t="n">
        <v>-1589.54101488</v>
      </c>
      <c r="AT90" s="153" t="n">
        <v>-1589.54101488</v>
      </c>
      <c r="AU90" s="153" t="n">
        <v>-1589.54101488</v>
      </c>
      <c r="AV90" s="153" t="n">
        <v>-1589.54101488</v>
      </c>
      <c r="AW90" s="153" t="n">
        <v>-1589.54101488</v>
      </c>
      <c r="AX90" s="153" t="n">
        <v>-1589.54101488</v>
      </c>
      <c r="AY90" s="153" t="n">
        <v>-1589.54101488</v>
      </c>
      <c r="AZ90" s="153" t="n">
        <v>-1589.54101488</v>
      </c>
      <c r="BA90" s="153" t="n">
        <v>-1589.54101488</v>
      </c>
      <c r="BB90" s="153" t="n">
        <v>-1621.3318351776</v>
      </c>
      <c r="BC90" s="153" t="n">
        <v>-1621.3318351776</v>
      </c>
      <c r="BD90" s="153" t="n">
        <v>-1621.3318351776</v>
      </c>
      <c r="BE90" s="153" t="n">
        <v>-1621.3318351776</v>
      </c>
      <c r="BF90" s="153" t="n">
        <v>-1621.3318351776</v>
      </c>
      <c r="BG90" s="153" t="n">
        <v>-1621.3318351776</v>
      </c>
      <c r="BH90" s="153" t="n">
        <v>-1621.3318351776</v>
      </c>
      <c r="BI90" s="153" t="n">
        <v>-1621.3318351776</v>
      </c>
      <c r="BJ90" s="153" t="n">
        <v>-1621.3318351776</v>
      </c>
      <c r="BK90" s="153" t="n">
        <v>-1621.3318351776</v>
      </c>
      <c r="BL90" s="153" t="n">
        <v>-1621.3318351776</v>
      </c>
      <c r="BM90" s="153" t="n">
        <v>-1621.3318351776</v>
      </c>
      <c r="BN90" s="153" t="n">
        <v>-1653.75847188115</v>
      </c>
      <c r="BO90" s="153" t="n">
        <v>-1653.75847188115</v>
      </c>
      <c r="BP90" s="153" t="n">
        <v>-1653.75847188115</v>
      </c>
      <c r="BQ90" s="153" t="n">
        <v>-1653.75847188115</v>
      </c>
      <c r="BR90" s="153" t="n">
        <v>-1653.75847188115</v>
      </c>
      <c r="BS90" s="153" t="n">
        <v>-1653.75847188115</v>
      </c>
      <c r="BT90" s="153" t="n">
        <v>-1653.75847188115</v>
      </c>
      <c r="BU90" s="153" t="n">
        <v>-1653.75847188115</v>
      </c>
      <c r="BV90" s="153" t="n">
        <v>-1653.75847188115</v>
      </c>
      <c r="BW90" s="153" t="n">
        <v>-1653.75847188115</v>
      </c>
      <c r="BX90" s="153" t="n">
        <v>-1653.75847188115</v>
      </c>
      <c r="BY90" s="153" t="n">
        <v>-1653.75847188115</v>
      </c>
      <c r="BZ90" s="153" t="n">
        <v>-1686.83364131878</v>
      </c>
      <c r="CA90" s="153" t="n">
        <v>-1686.83364131878</v>
      </c>
      <c r="CB90" s="153" t="n">
        <v>-1686.83364131878</v>
      </c>
      <c r="CC90" s="153" t="n">
        <v>-1686.83364131878</v>
      </c>
      <c r="CD90" s="153" t="n">
        <v>-1686.83364131878</v>
      </c>
      <c r="CE90" s="153" t="n">
        <v>-1686.83364131878</v>
      </c>
      <c r="CF90" s="153" t="n">
        <v>-1686.83364131878</v>
      </c>
      <c r="CG90" s="153" t="n">
        <v>-1686.83364131878</v>
      </c>
      <c r="CH90" s="153" t="n">
        <v>-1686.83364131878</v>
      </c>
      <c r="CI90" s="153" t="n">
        <v>-1686.83364131878</v>
      </c>
      <c r="CJ90" s="153" t="n">
        <v>-1686.83364131878</v>
      </c>
      <c r="CK90" s="153" t="n">
        <v>-1686.83364131878</v>
      </c>
      <c r="CL90" s="153" t="n">
        <v>-1720.57031414515</v>
      </c>
      <c r="CM90" s="153" t="n">
        <v>-1720.57031414515</v>
      </c>
      <c r="CN90" s="153" t="n">
        <v>-1720.57031414515</v>
      </c>
      <c r="CO90" s="153" t="n">
        <v>-1720.57031414515</v>
      </c>
      <c r="CP90" s="153" t="n">
        <v>-1720.57031414515</v>
      </c>
      <c r="CQ90" s="153" t="n">
        <v>-1720.57031414515</v>
      </c>
      <c r="CR90" s="153" t="n">
        <v>-1720.57031414515</v>
      </c>
      <c r="CS90" s="153" t="n">
        <v>-1720.57031414515</v>
      </c>
      <c r="CT90" s="153" t="n">
        <v>-1720.57031414515</v>
      </c>
      <c r="CU90" s="153" t="n">
        <v>-1720.57031414515</v>
      </c>
      <c r="CV90" s="153" t="n">
        <v>-1720.57031414515</v>
      </c>
      <c r="CW90" s="153" t="n">
        <v>-1720.57031414515</v>
      </c>
      <c r="CX90" s="153" t="n">
        <v>-1754.98172042805</v>
      </c>
      <c r="CY90" s="153" t="n">
        <v>-1754.98172042805</v>
      </c>
      <c r="CZ90" s="153" t="n">
        <v>-1754.98172042805</v>
      </c>
      <c r="DA90" s="153" t="n">
        <v>-1754.98172042805</v>
      </c>
      <c r="DB90" s="153" t="n">
        <v>-1754.98172042805</v>
      </c>
      <c r="DC90" s="153" t="n">
        <v>-1754.98172042805</v>
      </c>
      <c r="DD90" s="153" t="n">
        <v>-1754.98172042805</v>
      </c>
      <c r="DE90" s="153" t="n">
        <v>-1754.98172042805</v>
      </c>
      <c r="DF90" s="153" t="n">
        <v>-1754.98172042805</v>
      </c>
    </row>
    <row r="91" customFormat="false" ht="15" hidden="false" customHeight="true" outlineLevel="0" collapsed="false">
      <c r="A91" s="127" t="s">
        <v>118</v>
      </c>
      <c r="C91" s="112" t="n">
        <v>0</v>
      </c>
      <c r="D91" s="112" t="n">
        <v>0</v>
      </c>
      <c r="E91" s="112" t="n">
        <v>-870</v>
      </c>
      <c r="F91" s="153" t="n">
        <v>-290</v>
      </c>
      <c r="G91" s="153" t="n">
        <v>-290</v>
      </c>
      <c r="H91" s="153" t="n">
        <v>-290</v>
      </c>
      <c r="I91" s="153" t="n">
        <v>-290</v>
      </c>
      <c r="J91" s="153" t="n">
        <v>-290</v>
      </c>
      <c r="K91" s="153" t="n">
        <v>-290</v>
      </c>
      <c r="L91" s="153" t="n">
        <v>-290</v>
      </c>
      <c r="M91" s="153" t="n">
        <v>-290</v>
      </c>
      <c r="N91" s="153" t="n">
        <v>-290</v>
      </c>
      <c r="O91" s="153" t="n">
        <v>-290</v>
      </c>
      <c r="P91" s="153" t="n">
        <v>-290</v>
      </c>
      <c r="Q91" s="153" t="n">
        <v>-290</v>
      </c>
      <c r="R91" s="153" t="n">
        <v>-295.8</v>
      </c>
      <c r="S91" s="153" t="n">
        <v>-295.8</v>
      </c>
      <c r="T91" s="153" t="n">
        <v>-295.8</v>
      </c>
      <c r="U91" s="153" t="n">
        <v>-295.8</v>
      </c>
      <c r="V91" s="153" t="n">
        <v>-295.8</v>
      </c>
      <c r="W91" s="153" t="n">
        <v>-295.8</v>
      </c>
      <c r="X91" s="153" t="n">
        <v>-295.8</v>
      </c>
      <c r="Y91" s="153" t="n">
        <v>-295.8</v>
      </c>
      <c r="Z91" s="153" t="n">
        <v>-295.8</v>
      </c>
      <c r="AA91" s="153" t="n">
        <v>-295.8</v>
      </c>
      <c r="AB91" s="153" t="n">
        <v>-295.8</v>
      </c>
      <c r="AC91" s="153" t="n">
        <v>-295.8</v>
      </c>
      <c r="AD91" s="153" t="n">
        <v>-301.716</v>
      </c>
      <c r="AE91" s="153" t="n">
        <v>-301.716</v>
      </c>
      <c r="AF91" s="153" t="n">
        <v>-301.716</v>
      </c>
      <c r="AG91" s="153" t="n">
        <v>-301.716</v>
      </c>
      <c r="AH91" s="153" t="n">
        <v>-301.716</v>
      </c>
      <c r="AI91" s="153" t="n">
        <v>-301.716</v>
      </c>
      <c r="AJ91" s="153" t="n">
        <v>-301.716</v>
      </c>
      <c r="AK91" s="153" t="n">
        <v>-301.716</v>
      </c>
      <c r="AL91" s="153" t="n">
        <v>-301.716</v>
      </c>
      <c r="AM91" s="153" t="n">
        <v>-301.716</v>
      </c>
      <c r="AN91" s="153" t="n">
        <v>-301.716</v>
      </c>
      <c r="AO91" s="153" t="n">
        <v>-301.716</v>
      </c>
      <c r="AP91" s="153" t="n">
        <v>-307.75032</v>
      </c>
      <c r="AQ91" s="153" t="n">
        <v>-307.75032</v>
      </c>
      <c r="AR91" s="153" t="n">
        <v>-307.75032</v>
      </c>
      <c r="AS91" s="153" t="n">
        <v>-307.75032</v>
      </c>
      <c r="AT91" s="153" t="n">
        <v>-307.75032</v>
      </c>
      <c r="AU91" s="153" t="n">
        <v>-307.75032</v>
      </c>
      <c r="AV91" s="153" t="n">
        <v>-307.75032</v>
      </c>
      <c r="AW91" s="153" t="n">
        <v>-307.75032</v>
      </c>
      <c r="AX91" s="153" t="n">
        <v>-307.75032</v>
      </c>
      <c r="AY91" s="153" t="n">
        <v>-307.75032</v>
      </c>
      <c r="AZ91" s="153" t="n">
        <v>-307.75032</v>
      </c>
      <c r="BA91" s="153" t="n">
        <v>-307.75032</v>
      </c>
      <c r="BB91" s="153" t="n">
        <v>-313.9053264</v>
      </c>
      <c r="BC91" s="153" t="n">
        <v>-313.9053264</v>
      </c>
      <c r="BD91" s="153" t="n">
        <v>-313.9053264</v>
      </c>
      <c r="BE91" s="153" t="n">
        <v>-313.9053264</v>
      </c>
      <c r="BF91" s="153" t="n">
        <v>-313.9053264</v>
      </c>
      <c r="BG91" s="153" t="n">
        <v>-313.9053264</v>
      </c>
      <c r="BH91" s="153" t="n">
        <v>-313.9053264</v>
      </c>
      <c r="BI91" s="153" t="n">
        <v>-313.9053264</v>
      </c>
      <c r="BJ91" s="153" t="n">
        <v>-313.9053264</v>
      </c>
      <c r="BK91" s="153" t="n">
        <v>-313.9053264</v>
      </c>
      <c r="BL91" s="153" t="n">
        <v>-313.9053264</v>
      </c>
      <c r="BM91" s="153" t="n">
        <v>-313.9053264</v>
      </c>
      <c r="BN91" s="153" t="n">
        <v>-320.183432928</v>
      </c>
      <c r="BO91" s="153" t="n">
        <v>-320.183432928</v>
      </c>
      <c r="BP91" s="153" t="n">
        <v>-320.183432928</v>
      </c>
      <c r="BQ91" s="153" t="n">
        <v>-320.183432928</v>
      </c>
      <c r="BR91" s="153" t="n">
        <v>-320.183432928</v>
      </c>
      <c r="BS91" s="153" t="n">
        <v>-320.183432928</v>
      </c>
      <c r="BT91" s="153" t="n">
        <v>-320.183432928</v>
      </c>
      <c r="BU91" s="153" t="n">
        <v>-320.183432928</v>
      </c>
      <c r="BV91" s="153" t="n">
        <v>-320.183432928</v>
      </c>
      <c r="BW91" s="153" t="n">
        <v>-320.183432928</v>
      </c>
      <c r="BX91" s="153" t="n">
        <v>-320.183432928</v>
      </c>
      <c r="BY91" s="153" t="n">
        <v>-320.183432928</v>
      </c>
      <c r="BZ91" s="153" t="n">
        <v>-326.58710158656</v>
      </c>
      <c r="CA91" s="153" t="n">
        <v>-326.58710158656</v>
      </c>
      <c r="CB91" s="153" t="n">
        <v>-326.58710158656</v>
      </c>
      <c r="CC91" s="153" t="n">
        <v>-326.58710158656</v>
      </c>
      <c r="CD91" s="153" t="n">
        <v>-326.58710158656</v>
      </c>
      <c r="CE91" s="153" t="n">
        <v>-326.58710158656</v>
      </c>
      <c r="CF91" s="153" t="n">
        <v>-326.58710158656</v>
      </c>
      <c r="CG91" s="153" t="n">
        <v>-326.58710158656</v>
      </c>
      <c r="CH91" s="153" t="n">
        <v>-326.58710158656</v>
      </c>
      <c r="CI91" s="153" t="n">
        <v>-326.58710158656</v>
      </c>
      <c r="CJ91" s="153" t="n">
        <v>-326.58710158656</v>
      </c>
      <c r="CK91" s="153" t="n">
        <v>-326.58710158656</v>
      </c>
      <c r="CL91" s="153" t="n">
        <v>-333.118843618291</v>
      </c>
      <c r="CM91" s="153" t="n">
        <v>-333.118843618291</v>
      </c>
      <c r="CN91" s="153" t="n">
        <v>-333.118843618291</v>
      </c>
      <c r="CO91" s="153" t="n">
        <v>-333.118843618291</v>
      </c>
      <c r="CP91" s="153" t="n">
        <v>-333.118843618291</v>
      </c>
      <c r="CQ91" s="153" t="n">
        <v>-333.118843618291</v>
      </c>
      <c r="CR91" s="153" t="n">
        <v>-333.118843618291</v>
      </c>
      <c r="CS91" s="153" t="n">
        <v>-333.118843618291</v>
      </c>
      <c r="CT91" s="153" t="n">
        <v>-333.118843618291</v>
      </c>
      <c r="CU91" s="153" t="n">
        <v>-333.118843618291</v>
      </c>
      <c r="CV91" s="153" t="n">
        <v>-333.118843618291</v>
      </c>
      <c r="CW91" s="153" t="n">
        <v>-333.118843618291</v>
      </c>
      <c r="CX91" s="153" t="n">
        <v>-339.781220490657</v>
      </c>
      <c r="CY91" s="153" t="n">
        <v>-339.781220490657</v>
      </c>
      <c r="CZ91" s="153" t="n">
        <v>-339.781220490657</v>
      </c>
      <c r="DA91" s="153" t="n">
        <v>-339.781220490657</v>
      </c>
      <c r="DB91" s="153" t="n">
        <v>-339.781220490657</v>
      </c>
      <c r="DC91" s="153" t="n">
        <v>-339.781220490657</v>
      </c>
      <c r="DD91" s="153" t="n">
        <v>-339.781220490657</v>
      </c>
      <c r="DE91" s="153" t="n">
        <v>-339.781220490657</v>
      </c>
      <c r="DF91" s="153" t="n">
        <v>-339.781220490657</v>
      </c>
    </row>
    <row r="92" customFormat="false" ht="15" hidden="false" customHeight="true" outlineLevel="0" collapsed="false">
      <c r="A92" s="107" t="s">
        <v>119</v>
      </c>
      <c r="C92" s="154" t="n">
        <v>-245</v>
      </c>
      <c r="D92" s="154" t="n">
        <v>-245</v>
      </c>
      <c r="E92" s="154" t="n">
        <v>-245</v>
      </c>
      <c r="F92" s="154" t="n">
        <v>-245</v>
      </c>
      <c r="G92" s="154" t="n">
        <v>-245</v>
      </c>
      <c r="H92" s="154" t="n">
        <v>-245</v>
      </c>
      <c r="I92" s="154" t="n">
        <v>-245</v>
      </c>
      <c r="J92" s="154" t="n">
        <v>-245</v>
      </c>
      <c r="K92" s="154" t="n">
        <v>-245</v>
      </c>
      <c r="L92" s="154" t="n">
        <v>-245</v>
      </c>
      <c r="M92" s="154" t="n">
        <v>-245</v>
      </c>
      <c r="N92" s="154" t="n">
        <v>-245</v>
      </c>
      <c r="O92" s="154" t="n">
        <v>-245</v>
      </c>
      <c r="P92" s="154" t="n">
        <v>-245</v>
      </c>
      <c r="Q92" s="154" t="n">
        <v>-245</v>
      </c>
      <c r="R92" s="154" t="n">
        <v>-249.9</v>
      </c>
      <c r="S92" s="154" t="n">
        <v>-249.9</v>
      </c>
      <c r="T92" s="154" t="n">
        <v>-249.9</v>
      </c>
      <c r="U92" s="154" t="n">
        <v>-249.9</v>
      </c>
      <c r="V92" s="154" t="n">
        <v>-249.9</v>
      </c>
      <c r="W92" s="154" t="n">
        <v>-249.9</v>
      </c>
      <c r="X92" s="154" t="n">
        <v>-249.9</v>
      </c>
      <c r="Y92" s="154" t="n">
        <v>-249.9</v>
      </c>
      <c r="Z92" s="154" t="n">
        <v>-249.9</v>
      </c>
      <c r="AA92" s="154" t="n">
        <v>-249.9</v>
      </c>
      <c r="AB92" s="154" t="n">
        <v>-249.9</v>
      </c>
      <c r="AC92" s="154" t="n">
        <v>-249.9</v>
      </c>
      <c r="AD92" s="154" t="n">
        <v>-254.898</v>
      </c>
      <c r="AE92" s="154" t="n">
        <v>-254.898</v>
      </c>
      <c r="AF92" s="154" t="n">
        <v>-254.898</v>
      </c>
      <c r="AG92" s="154" t="n">
        <v>-254.898</v>
      </c>
      <c r="AH92" s="154" t="n">
        <v>-254.898</v>
      </c>
      <c r="AI92" s="154" t="n">
        <v>-254.898</v>
      </c>
      <c r="AJ92" s="154" t="n">
        <v>-254.898</v>
      </c>
      <c r="AK92" s="154" t="n">
        <v>-254.898</v>
      </c>
      <c r="AL92" s="154" t="n">
        <v>-254.898</v>
      </c>
      <c r="AM92" s="154" t="n">
        <v>-254.898</v>
      </c>
      <c r="AN92" s="154" t="n">
        <v>-254.898</v>
      </c>
      <c r="AO92" s="154" t="n">
        <v>-254.898</v>
      </c>
      <c r="AP92" s="154" t="n">
        <v>-259.99596</v>
      </c>
      <c r="AQ92" s="154" t="n">
        <v>-259.99596</v>
      </c>
      <c r="AR92" s="154" t="n">
        <v>-259.99596</v>
      </c>
      <c r="AS92" s="154" t="n">
        <v>-259.99596</v>
      </c>
      <c r="AT92" s="154" t="n">
        <v>-259.99596</v>
      </c>
      <c r="AU92" s="154" t="n">
        <v>-259.99596</v>
      </c>
      <c r="AV92" s="154" t="n">
        <v>-259.99596</v>
      </c>
      <c r="AW92" s="154" t="n">
        <v>-259.99596</v>
      </c>
      <c r="AX92" s="154" t="n">
        <v>-259.99596</v>
      </c>
      <c r="AY92" s="154" t="n">
        <v>-259.99596</v>
      </c>
      <c r="AZ92" s="154" t="n">
        <v>-259.99596</v>
      </c>
      <c r="BA92" s="154" t="n">
        <v>-259.99596</v>
      </c>
      <c r="BB92" s="154" t="n">
        <v>-265.1958792</v>
      </c>
      <c r="BC92" s="154" t="n">
        <v>-265.1958792</v>
      </c>
      <c r="BD92" s="154" t="n">
        <v>-265.1958792</v>
      </c>
      <c r="BE92" s="154" t="n">
        <v>-265.1958792</v>
      </c>
      <c r="BF92" s="154" t="n">
        <v>-265.1958792</v>
      </c>
      <c r="BG92" s="154" t="n">
        <v>-265.1958792</v>
      </c>
      <c r="BH92" s="154" t="n">
        <v>-265.1958792</v>
      </c>
      <c r="BI92" s="154" t="n">
        <v>-265.1958792</v>
      </c>
      <c r="BJ92" s="154" t="n">
        <v>-265.1958792</v>
      </c>
      <c r="BK92" s="154" t="n">
        <v>-265.1958792</v>
      </c>
      <c r="BL92" s="154" t="n">
        <v>-265.1958792</v>
      </c>
      <c r="BM92" s="154" t="n">
        <v>-265.1958792</v>
      </c>
      <c r="BN92" s="154" t="n">
        <v>-270.499796784</v>
      </c>
      <c r="BO92" s="154" t="n">
        <v>-270.499796784</v>
      </c>
      <c r="BP92" s="154" t="n">
        <v>-270.499796784</v>
      </c>
      <c r="BQ92" s="154" t="n">
        <v>-270.499796784</v>
      </c>
      <c r="BR92" s="154" t="n">
        <v>-270.499796784</v>
      </c>
      <c r="BS92" s="154" t="n">
        <v>-270.499796784</v>
      </c>
      <c r="BT92" s="154" t="n">
        <v>-270.499796784</v>
      </c>
      <c r="BU92" s="154" t="n">
        <v>-270.499796784</v>
      </c>
      <c r="BV92" s="154" t="n">
        <v>-270.499796784</v>
      </c>
      <c r="BW92" s="154" t="n">
        <v>-270.499796784</v>
      </c>
      <c r="BX92" s="154" t="n">
        <v>-270.499796784</v>
      </c>
      <c r="BY92" s="154" t="n">
        <v>-270.499796784</v>
      </c>
      <c r="BZ92" s="154" t="n">
        <v>-275.90979271968</v>
      </c>
      <c r="CA92" s="154" t="n">
        <v>-275.90979271968</v>
      </c>
      <c r="CB92" s="154" t="n">
        <v>-275.90979271968</v>
      </c>
      <c r="CC92" s="154" t="n">
        <v>-275.90979271968</v>
      </c>
      <c r="CD92" s="154" t="n">
        <v>-275.90979271968</v>
      </c>
      <c r="CE92" s="154" t="n">
        <v>-275.90979271968</v>
      </c>
      <c r="CF92" s="154" t="n">
        <v>-275.90979271968</v>
      </c>
      <c r="CG92" s="154" t="n">
        <v>-275.90979271968</v>
      </c>
      <c r="CH92" s="154" t="n">
        <v>-275.90979271968</v>
      </c>
      <c r="CI92" s="154" t="n">
        <v>-275.90979271968</v>
      </c>
      <c r="CJ92" s="154" t="n">
        <v>-275.90979271968</v>
      </c>
      <c r="CK92" s="154" t="n">
        <v>-275.90979271968</v>
      </c>
      <c r="CL92" s="154" t="n">
        <v>-281.427988574074</v>
      </c>
      <c r="CM92" s="154" t="n">
        <v>-281.427988574074</v>
      </c>
      <c r="CN92" s="154" t="n">
        <v>-281.427988574074</v>
      </c>
      <c r="CO92" s="154" t="n">
        <v>-281.427988574074</v>
      </c>
      <c r="CP92" s="154" t="n">
        <v>-281.427988574074</v>
      </c>
      <c r="CQ92" s="154" t="n">
        <v>-281.427988574074</v>
      </c>
      <c r="CR92" s="154" t="n">
        <v>-281.427988574074</v>
      </c>
      <c r="CS92" s="154" t="n">
        <v>-281.427988574074</v>
      </c>
      <c r="CT92" s="154" t="n">
        <v>-281.427988574074</v>
      </c>
      <c r="CU92" s="154" t="n">
        <v>-281.427988574074</v>
      </c>
      <c r="CV92" s="154" t="n">
        <v>-281.427988574074</v>
      </c>
      <c r="CW92" s="154" t="n">
        <v>-281.427988574074</v>
      </c>
      <c r="CX92" s="154" t="n">
        <v>-287.056548345555</v>
      </c>
      <c r="CY92" s="154" t="n">
        <v>-287.056548345555</v>
      </c>
      <c r="CZ92" s="154" t="n">
        <v>-287.056548345555</v>
      </c>
      <c r="DA92" s="154" t="n">
        <v>-287.056548345555</v>
      </c>
      <c r="DB92" s="154" t="n">
        <v>-287.056548345555</v>
      </c>
      <c r="DC92" s="154" t="n">
        <v>-287.056548345555</v>
      </c>
      <c r="DD92" s="154" t="n">
        <v>-287.056548345555</v>
      </c>
      <c r="DE92" s="154" t="n">
        <v>-287.056548345555</v>
      </c>
      <c r="DF92" s="154" t="n">
        <v>-287.056548345555</v>
      </c>
    </row>
    <row r="93" customFormat="false" ht="15" hidden="false" customHeight="true" outlineLevel="0" collapsed="false">
      <c r="A93" s="107" t="s">
        <v>120</v>
      </c>
      <c r="C93" s="154" t="n">
        <v>-986.57</v>
      </c>
      <c r="D93" s="154" t="n">
        <v>-1254.61</v>
      </c>
      <c r="E93" s="154" t="n">
        <v>-1297.31</v>
      </c>
      <c r="F93" s="154" t="n">
        <v>-1179.5</v>
      </c>
      <c r="G93" s="154" t="n">
        <v>-1179.5</v>
      </c>
      <c r="H93" s="154" t="n">
        <v>-1179.5</v>
      </c>
      <c r="I93" s="154" t="n">
        <v>-1179.5</v>
      </c>
      <c r="J93" s="154" t="n">
        <v>-1179.5</v>
      </c>
      <c r="K93" s="154" t="n">
        <v>-1179.5</v>
      </c>
      <c r="L93" s="154" t="n">
        <v>-1179.5</v>
      </c>
      <c r="M93" s="154" t="n">
        <v>-1179.5</v>
      </c>
      <c r="N93" s="154" t="n">
        <v>-1179.5</v>
      </c>
      <c r="O93" s="154" t="n">
        <v>-1179.5</v>
      </c>
      <c r="P93" s="154" t="n">
        <v>-1179.5</v>
      </c>
      <c r="Q93" s="154" t="n">
        <v>-1179.5</v>
      </c>
      <c r="R93" s="154" t="n">
        <v>-1203.09</v>
      </c>
      <c r="S93" s="154" t="n">
        <v>-1203.09</v>
      </c>
      <c r="T93" s="154" t="n">
        <v>-1203.09</v>
      </c>
      <c r="U93" s="154" t="n">
        <v>-1203.09</v>
      </c>
      <c r="V93" s="154" t="n">
        <v>-1203.09</v>
      </c>
      <c r="W93" s="154" t="n">
        <v>-1203.09</v>
      </c>
      <c r="X93" s="154" t="n">
        <v>-1203.09</v>
      </c>
      <c r="Y93" s="154" t="n">
        <v>-1203.09</v>
      </c>
      <c r="Z93" s="154" t="n">
        <v>-1203.09</v>
      </c>
      <c r="AA93" s="154" t="n">
        <v>-1203.09</v>
      </c>
      <c r="AB93" s="154" t="n">
        <v>-1203.09</v>
      </c>
      <c r="AC93" s="154" t="n">
        <v>-1203.09</v>
      </c>
      <c r="AD93" s="154" t="n">
        <v>-1227.1518</v>
      </c>
      <c r="AE93" s="154" t="n">
        <v>-1227.1518</v>
      </c>
      <c r="AF93" s="154" t="n">
        <v>-1227.1518</v>
      </c>
      <c r="AG93" s="154" t="n">
        <v>-1227.1518</v>
      </c>
      <c r="AH93" s="154" t="n">
        <v>-1227.1518</v>
      </c>
      <c r="AI93" s="154" t="n">
        <v>-1227.1518</v>
      </c>
      <c r="AJ93" s="154" t="n">
        <v>-1227.1518</v>
      </c>
      <c r="AK93" s="154" t="n">
        <v>-1227.1518</v>
      </c>
      <c r="AL93" s="154" t="n">
        <v>-1227.1518</v>
      </c>
      <c r="AM93" s="154" t="n">
        <v>-1227.1518</v>
      </c>
      <c r="AN93" s="154" t="n">
        <v>-1227.1518</v>
      </c>
      <c r="AO93" s="154" t="n">
        <v>-1227.1518</v>
      </c>
      <c r="AP93" s="154" t="n">
        <v>-1251.694836</v>
      </c>
      <c r="AQ93" s="154" t="n">
        <v>-1251.694836</v>
      </c>
      <c r="AR93" s="154" t="n">
        <v>-1251.694836</v>
      </c>
      <c r="AS93" s="154" t="n">
        <v>-1251.694836</v>
      </c>
      <c r="AT93" s="154" t="n">
        <v>-1251.694836</v>
      </c>
      <c r="AU93" s="154" t="n">
        <v>-1251.694836</v>
      </c>
      <c r="AV93" s="154" t="n">
        <v>-1251.694836</v>
      </c>
      <c r="AW93" s="154" t="n">
        <v>-1251.694836</v>
      </c>
      <c r="AX93" s="154" t="n">
        <v>-1251.694836</v>
      </c>
      <c r="AY93" s="154" t="n">
        <v>-1251.694836</v>
      </c>
      <c r="AZ93" s="154" t="n">
        <v>-1251.694836</v>
      </c>
      <c r="BA93" s="154" t="n">
        <v>-1251.694836</v>
      </c>
      <c r="BB93" s="154" t="n">
        <v>-1276.72873272</v>
      </c>
      <c r="BC93" s="154" t="n">
        <v>-1276.72873272</v>
      </c>
      <c r="BD93" s="154" t="n">
        <v>-1276.72873272</v>
      </c>
      <c r="BE93" s="154" t="n">
        <v>-1276.72873272</v>
      </c>
      <c r="BF93" s="154" t="n">
        <v>-1276.72873272</v>
      </c>
      <c r="BG93" s="154" t="n">
        <v>-1276.72873272</v>
      </c>
      <c r="BH93" s="154" t="n">
        <v>-1276.72873272</v>
      </c>
      <c r="BI93" s="154" t="n">
        <v>-1276.72873272</v>
      </c>
      <c r="BJ93" s="154" t="n">
        <v>-1276.72873272</v>
      </c>
      <c r="BK93" s="154" t="n">
        <v>-1276.72873272</v>
      </c>
      <c r="BL93" s="154" t="n">
        <v>-1276.72873272</v>
      </c>
      <c r="BM93" s="154" t="n">
        <v>-1276.72873272</v>
      </c>
      <c r="BN93" s="154" t="n">
        <v>-1302.2633073744</v>
      </c>
      <c r="BO93" s="154" t="n">
        <v>-1302.2633073744</v>
      </c>
      <c r="BP93" s="154" t="n">
        <v>-1302.2633073744</v>
      </c>
      <c r="BQ93" s="154" t="n">
        <v>-1302.2633073744</v>
      </c>
      <c r="BR93" s="154" t="n">
        <v>-1302.2633073744</v>
      </c>
      <c r="BS93" s="154" t="n">
        <v>-1302.2633073744</v>
      </c>
      <c r="BT93" s="154" t="n">
        <v>-1302.2633073744</v>
      </c>
      <c r="BU93" s="154" t="n">
        <v>-1302.2633073744</v>
      </c>
      <c r="BV93" s="154" t="n">
        <v>-1302.2633073744</v>
      </c>
      <c r="BW93" s="154" t="n">
        <v>-1302.2633073744</v>
      </c>
      <c r="BX93" s="154" t="n">
        <v>-1302.2633073744</v>
      </c>
      <c r="BY93" s="154" t="n">
        <v>-1302.2633073744</v>
      </c>
      <c r="BZ93" s="154" t="n">
        <v>-1328.30857352189</v>
      </c>
      <c r="CA93" s="154" t="n">
        <v>-1328.30857352189</v>
      </c>
      <c r="CB93" s="154" t="n">
        <v>-1328.30857352189</v>
      </c>
      <c r="CC93" s="154" t="n">
        <v>-1328.30857352189</v>
      </c>
      <c r="CD93" s="154" t="n">
        <v>-1328.30857352189</v>
      </c>
      <c r="CE93" s="154" t="n">
        <v>-1328.30857352189</v>
      </c>
      <c r="CF93" s="154" t="n">
        <v>-1328.30857352189</v>
      </c>
      <c r="CG93" s="154" t="n">
        <v>-1328.30857352189</v>
      </c>
      <c r="CH93" s="154" t="n">
        <v>-1328.30857352189</v>
      </c>
      <c r="CI93" s="154" t="n">
        <v>-1328.30857352189</v>
      </c>
      <c r="CJ93" s="154" t="n">
        <v>-1328.30857352189</v>
      </c>
      <c r="CK93" s="154" t="n">
        <v>-1328.30857352189</v>
      </c>
      <c r="CL93" s="154" t="n">
        <v>-1354.87474499233</v>
      </c>
      <c r="CM93" s="154" t="n">
        <v>-1354.87474499233</v>
      </c>
      <c r="CN93" s="154" t="n">
        <v>-1354.87474499233</v>
      </c>
      <c r="CO93" s="154" t="n">
        <v>-1354.87474499233</v>
      </c>
      <c r="CP93" s="154" t="n">
        <v>-1354.87474499233</v>
      </c>
      <c r="CQ93" s="154" t="n">
        <v>-1354.87474499233</v>
      </c>
      <c r="CR93" s="154" t="n">
        <v>-1354.87474499233</v>
      </c>
      <c r="CS93" s="154" t="n">
        <v>-1354.87474499233</v>
      </c>
      <c r="CT93" s="154" t="n">
        <v>-1354.87474499233</v>
      </c>
      <c r="CU93" s="154" t="n">
        <v>-1354.87474499233</v>
      </c>
      <c r="CV93" s="154" t="n">
        <v>-1354.87474499233</v>
      </c>
      <c r="CW93" s="154" t="n">
        <v>-1354.87474499233</v>
      </c>
      <c r="CX93" s="154" t="n">
        <v>-1381.97223989217</v>
      </c>
      <c r="CY93" s="154" t="n">
        <v>-1381.97223989217</v>
      </c>
      <c r="CZ93" s="154" t="n">
        <v>-1381.97223989217</v>
      </c>
      <c r="DA93" s="154" t="n">
        <v>-1381.97223989217</v>
      </c>
      <c r="DB93" s="154" t="n">
        <v>-1381.97223989217</v>
      </c>
      <c r="DC93" s="154" t="n">
        <v>-1381.97223989217</v>
      </c>
      <c r="DD93" s="154" t="n">
        <v>-1381.97223989217</v>
      </c>
      <c r="DE93" s="154" t="n">
        <v>-1381.97223989217</v>
      </c>
      <c r="DF93" s="154" t="n">
        <v>-1381.97223989217</v>
      </c>
    </row>
    <row r="94" customFormat="false" ht="15" hidden="false" customHeight="true" outlineLevel="0" collapsed="false">
      <c r="A94" s="107" t="s">
        <v>121</v>
      </c>
      <c r="C94" s="154" t="n">
        <v>-588.66</v>
      </c>
      <c r="D94" s="154" t="n">
        <v>-22.94</v>
      </c>
      <c r="E94" s="154" t="n">
        <v>-487.3</v>
      </c>
      <c r="F94" s="154" t="n">
        <v>-366.3</v>
      </c>
      <c r="G94" s="154" t="n">
        <v>-366.3</v>
      </c>
      <c r="H94" s="154" t="n">
        <v>-366.3</v>
      </c>
      <c r="I94" s="154" t="n">
        <v>-366.3</v>
      </c>
      <c r="J94" s="154" t="n">
        <v>-366.3</v>
      </c>
      <c r="K94" s="154" t="n">
        <v>-366.3</v>
      </c>
      <c r="L94" s="154" t="n">
        <v>-366.3</v>
      </c>
      <c r="M94" s="154" t="n">
        <v>-366.3</v>
      </c>
      <c r="N94" s="154" t="n">
        <v>-366.3</v>
      </c>
      <c r="O94" s="154" t="n">
        <v>-366.3</v>
      </c>
      <c r="P94" s="154" t="n">
        <v>-366.3</v>
      </c>
      <c r="Q94" s="154" t="n">
        <v>-366.3</v>
      </c>
      <c r="R94" s="154" t="n">
        <v>-373.626</v>
      </c>
      <c r="S94" s="154" t="n">
        <v>-373.626</v>
      </c>
      <c r="T94" s="154" t="n">
        <v>-373.626</v>
      </c>
      <c r="U94" s="154" t="n">
        <v>-373.626</v>
      </c>
      <c r="V94" s="154" t="n">
        <v>-373.626</v>
      </c>
      <c r="W94" s="154" t="n">
        <v>-373.626</v>
      </c>
      <c r="X94" s="154" t="n">
        <v>-373.626</v>
      </c>
      <c r="Y94" s="154" t="n">
        <v>-373.626</v>
      </c>
      <c r="Z94" s="154" t="n">
        <v>-373.626</v>
      </c>
      <c r="AA94" s="154" t="n">
        <v>-373.626</v>
      </c>
      <c r="AB94" s="154" t="n">
        <v>-373.626</v>
      </c>
      <c r="AC94" s="154" t="n">
        <v>-373.626</v>
      </c>
      <c r="AD94" s="154" t="n">
        <v>-381.09852</v>
      </c>
      <c r="AE94" s="154" t="n">
        <v>-381.09852</v>
      </c>
      <c r="AF94" s="154" t="n">
        <v>-381.09852</v>
      </c>
      <c r="AG94" s="154" t="n">
        <v>-381.09852</v>
      </c>
      <c r="AH94" s="154" t="n">
        <v>-381.09852</v>
      </c>
      <c r="AI94" s="154" t="n">
        <v>-381.09852</v>
      </c>
      <c r="AJ94" s="154" t="n">
        <v>-381.09852</v>
      </c>
      <c r="AK94" s="154" t="n">
        <v>-381.09852</v>
      </c>
      <c r="AL94" s="154" t="n">
        <v>-381.09852</v>
      </c>
      <c r="AM94" s="154" t="n">
        <v>-381.09852</v>
      </c>
      <c r="AN94" s="154" t="n">
        <v>-381.09852</v>
      </c>
      <c r="AO94" s="154" t="n">
        <v>-381.09852</v>
      </c>
      <c r="AP94" s="154" t="n">
        <v>-388.7204904</v>
      </c>
      <c r="AQ94" s="154" t="n">
        <v>-388.7204904</v>
      </c>
      <c r="AR94" s="154" t="n">
        <v>-388.7204904</v>
      </c>
      <c r="AS94" s="154" t="n">
        <v>-388.7204904</v>
      </c>
      <c r="AT94" s="154" t="n">
        <v>-388.7204904</v>
      </c>
      <c r="AU94" s="154" t="n">
        <v>-388.7204904</v>
      </c>
      <c r="AV94" s="154" t="n">
        <v>-388.7204904</v>
      </c>
      <c r="AW94" s="154" t="n">
        <v>-388.7204904</v>
      </c>
      <c r="AX94" s="154" t="n">
        <v>-388.7204904</v>
      </c>
      <c r="AY94" s="154" t="n">
        <v>-388.7204904</v>
      </c>
      <c r="AZ94" s="154" t="n">
        <v>-388.7204904</v>
      </c>
      <c r="BA94" s="154" t="n">
        <v>-388.7204904</v>
      </c>
      <c r="BB94" s="154" t="n">
        <v>-396.494900208</v>
      </c>
      <c r="BC94" s="154" t="n">
        <v>-396.494900208</v>
      </c>
      <c r="BD94" s="154" t="n">
        <v>-396.494900208</v>
      </c>
      <c r="BE94" s="154" t="n">
        <v>-396.494900208</v>
      </c>
      <c r="BF94" s="154" t="n">
        <v>-396.494900208</v>
      </c>
      <c r="BG94" s="154" t="n">
        <v>-396.494900208</v>
      </c>
      <c r="BH94" s="154" t="n">
        <v>-396.494900208</v>
      </c>
      <c r="BI94" s="154" t="n">
        <v>-396.494900208</v>
      </c>
      <c r="BJ94" s="154" t="n">
        <v>-396.494900208</v>
      </c>
      <c r="BK94" s="154" t="n">
        <v>-396.494900208</v>
      </c>
      <c r="BL94" s="154" t="n">
        <v>-396.494900208</v>
      </c>
      <c r="BM94" s="154" t="n">
        <v>-396.494900208</v>
      </c>
      <c r="BN94" s="154" t="n">
        <v>-404.42479821216</v>
      </c>
      <c r="BO94" s="154" t="n">
        <v>-404.42479821216</v>
      </c>
      <c r="BP94" s="154" t="n">
        <v>-404.42479821216</v>
      </c>
      <c r="BQ94" s="154" t="n">
        <v>-404.42479821216</v>
      </c>
      <c r="BR94" s="154" t="n">
        <v>-404.42479821216</v>
      </c>
      <c r="BS94" s="154" t="n">
        <v>-404.42479821216</v>
      </c>
      <c r="BT94" s="154" t="n">
        <v>-404.42479821216</v>
      </c>
      <c r="BU94" s="154" t="n">
        <v>-404.42479821216</v>
      </c>
      <c r="BV94" s="154" t="n">
        <v>-404.42479821216</v>
      </c>
      <c r="BW94" s="154" t="n">
        <v>-404.42479821216</v>
      </c>
      <c r="BX94" s="154" t="n">
        <v>-404.42479821216</v>
      </c>
      <c r="BY94" s="154" t="n">
        <v>-404.42479821216</v>
      </c>
      <c r="BZ94" s="154" t="n">
        <v>-412.513294176403</v>
      </c>
      <c r="CA94" s="154" t="n">
        <v>-412.513294176403</v>
      </c>
      <c r="CB94" s="154" t="n">
        <v>-412.513294176403</v>
      </c>
      <c r="CC94" s="154" t="n">
        <v>-412.513294176403</v>
      </c>
      <c r="CD94" s="154" t="n">
        <v>-412.513294176403</v>
      </c>
      <c r="CE94" s="154" t="n">
        <v>-412.513294176403</v>
      </c>
      <c r="CF94" s="154" t="n">
        <v>-412.513294176403</v>
      </c>
      <c r="CG94" s="154" t="n">
        <v>-412.513294176403</v>
      </c>
      <c r="CH94" s="154" t="n">
        <v>-412.513294176403</v>
      </c>
      <c r="CI94" s="154" t="n">
        <v>-412.513294176403</v>
      </c>
      <c r="CJ94" s="154" t="n">
        <v>-412.513294176403</v>
      </c>
      <c r="CK94" s="154" t="n">
        <v>-412.513294176403</v>
      </c>
      <c r="CL94" s="154" t="n">
        <v>-420.763560059931</v>
      </c>
      <c r="CM94" s="154" t="n">
        <v>-420.763560059931</v>
      </c>
      <c r="CN94" s="154" t="n">
        <v>-420.763560059931</v>
      </c>
      <c r="CO94" s="154" t="n">
        <v>-420.763560059931</v>
      </c>
      <c r="CP94" s="154" t="n">
        <v>-420.763560059931</v>
      </c>
      <c r="CQ94" s="154" t="n">
        <v>-420.763560059931</v>
      </c>
      <c r="CR94" s="154" t="n">
        <v>-420.763560059931</v>
      </c>
      <c r="CS94" s="154" t="n">
        <v>-420.763560059931</v>
      </c>
      <c r="CT94" s="154" t="n">
        <v>-420.763560059931</v>
      </c>
      <c r="CU94" s="154" t="n">
        <v>-420.763560059931</v>
      </c>
      <c r="CV94" s="154" t="n">
        <v>-420.763560059931</v>
      </c>
      <c r="CW94" s="154" t="n">
        <v>-420.763560059931</v>
      </c>
      <c r="CX94" s="154" t="n">
        <v>-429.17883126113</v>
      </c>
      <c r="CY94" s="154" t="n">
        <v>-429.17883126113</v>
      </c>
      <c r="CZ94" s="154" t="n">
        <v>-429.17883126113</v>
      </c>
      <c r="DA94" s="154" t="n">
        <v>-429.17883126113</v>
      </c>
      <c r="DB94" s="154" t="n">
        <v>-429.17883126113</v>
      </c>
      <c r="DC94" s="154" t="n">
        <v>-429.17883126113</v>
      </c>
      <c r="DD94" s="154" t="n">
        <v>-429.17883126113</v>
      </c>
      <c r="DE94" s="154" t="n">
        <v>-429.17883126113</v>
      </c>
      <c r="DF94" s="154" t="n">
        <v>-429.17883126113</v>
      </c>
    </row>
    <row r="95" customFormat="false" ht="15" hidden="false" customHeight="true" outlineLevel="0" collapsed="false">
      <c r="A95" s="107" t="s">
        <v>122</v>
      </c>
      <c r="C95" s="154" t="n">
        <v>0</v>
      </c>
      <c r="D95" s="154" t="n">
        <v>-92.75</v>
      </c>
      <c r="E95" s="154" t="n">
        <v>-57.46</v>
      </c>
      <c r="F95" s="154" t="n">
        <v>-50.07</v>
      </c>
      <c r="G95" s="154" t="n">
        <v>-50.07</v>
      </c>
      <c r="H95" s="154" t="n">
        <v>-50.07</v>
      </c>
      <c r="I95" s="154" t="n">
        <v>-50.07</v>
      </c>
      <c r="J95" s="154" t="n">
        <v>-50.07</v>
      </c>
      <c r="K95" s="154" t="n">
        <v>-50.07</v>
      </c>
      <c r="L95" s="154" t="n">
        <v>-50.07</v>
      </c>
      <c r="M95" s="154" t="n">
        <v>-50.07</v>
      </c>
      <c r="N95" s="154" t="n">
        <v>-50.07</v>
      </c>
      <c r="O95" s="154" t="n">
        <v>-50.07</v>
      </c>
      <c r="P95" s="154" t="n">
        <v>-50.07</v>
      </c>
      <c r="Q95" s="154" t="n">
        <v>-50.07</v>
      </c>
      <c r="R95" s="154" t="n">
        <v>-51.0714</v>
      </c>
      <c r="S95" s="154" t="n">
        <v>-51.0714</v>
      </c>
      <c r="T95" s="154" t="n">
        <v>-51.0714</v>
      </c>
      <c r="U95" s="154" t="n">
        <v>-51.0714</v>
      </c>
      <c r="V95" s="154" t="n">
        <v>-51.0714</v>
      </c>
      <c r="W95" s="154" t="n">
        <v>-51.0714</v>
      </c>
      <c r="X95" s="154" t="n">
        <v>-51.0714</v>
      </c>
      <c r="Y95" s="154" t="n">
        <v>-51.0714</v>
      </c>
      <c r="Z95" s="154" t="n">
        <v>-51.0714</v>
      </c>
      <c r="AA95" s="154" t="n">
        <v>-51.0714</v>
      </c>
      <c r="AB95" s="154" t="n">
        <v>-51.0714</v>
      </c>
      <c r="AC95" s="154" t="n">
        <v>-51.0714</v>
      </c>
      <c r="AD95" s="154" t="n">
        <v>-52.092828</v>
      </c>
      <c r="AE95" s="154" t="n">
        <v>-52.092828</v>
      </c>
      <c r="AF95" s="154" t="n">
        <v>-52.092828</v>
      </c>
      <c r="AG95" s="154" t="n">
        <v>-52.092828</v>
      </c>
      <c r="AH95" s="154" t="n">
        <v>-52.092828</v>
      </c>
      <c r="AI95" s="154" t="n">
        <v>-52.092828</v>
      </c>
      <c r="AJ95" s="154" t="n">
        <v>-52.092828</v>
      </c>
      <c r="AK95" s="154" t="n">
        <v>-52.092828</v>
      </c>
      <c r="AL95" s="154" t="n">
        <v>-52.092828</v>
      </c>
      <c r="AM95" s="154" t="n">
        <v>-52.092828</v>
      </c>
      <c r="AN95" s="154" t="n">
        <v>-52.092828</v>
      </c>
      <c r="AO95" s="154" t="n">
        <v>-52.092828</v>
      </c>
      <c r="AP95" s="154" t="n">
        <v>-53.13468456</v>
      </c>
      <c r="AQ95" s="154" t="n">
        <v>-53.13468456</v>
      </c>
      <c r="AR95" s="154" t="n">
        <v>-53.13468456</v>
      </c>
      <c r="AS95" s="154" t="n">
        <v>-53.13468456</v>
      </c>
      <c r="AT95" s="154" t="n">
        <v>-53.13468456</v>
      </c>
      <c r="AU95" s="154" t="n">
        <v>-53.13468456</v>
      </c>
      <c r="AV95" s="154" t="n">
        <v>-53.13468456</v>
      </c>
      <c r="AW95" s="154" t="n">
        <v>-53.13468456</v>
      </c>
      <c r="AX95" s="154" t="n">
        <v>-53.13468456</v>
      </c>
      <c r="AY95" s="154" t="n">
        <v>-53.13468456</v>
      </c>
      <c r="AZ95" s="154" t="n">
        <v>-53.13468456</v>
      </c>
      <c r="BA95" s="154" t="n">
        <v>-53.13468456</v>
      </c>
      <c r="BB95" s="154" t="n">
        <v>-54.1973782512</v>
      </c>
      <c r="BC95" s="154" t="n">
        <v>-54.1973782512</v>
      </c>
      <c r="BD95" s="154" t="n">
        <v>-54.1973782512</v>
      </c>
      <c r="BE95" s="154" t="n">
        <v>-54.1973782512</v>
      </c>
      <c r="BF95" s="154" t="n">
        <v>-54.1973782512</v>
      </c>
      <c r="BG95" s="154" t="n">
        <v>-54.1973782512</v>
      </c>
      <c r="BH95" s="154" t="n">
        <v>-54.1973782512</v>
      </c>
      <c r="BI95" s="154" t="n">
        <v>-54.1973782512</v>
      </c>
      <c r="BJ95" s="154" t="n">
        <v>-54.1973782512</v>
      </c>
      <c r="BK95" s="154" t="n">
        <v>-54.1973782512</v>
      </c>
      <c r="BL95" s="154" t="n">
        <v>-54.1973782512</v>
      </c>
      <c r="BM95" s="154" t="n">
        <v>-54.1973782512</v>
      </c>
      <c r="BN95" s="154" t="n">
        <v>-55.281325816224</v>
      </c>
      <c r="BO95" s="154" t="n">
        <v>-55.281325816224</v>
      </c>
      <c r="BP95" s="154" t="n">
        <v>-55.281325816224</v>
      </c>
      <c r="BQ95" s="154" t="n">
        <v>-55.281325816224</v>
      </c>
      <c r="BR95" s="154" t="n">
        <v>-55.281325816224</v>
      </c>
      <c r="BS95" s="154" t="n">
        <v>-55.281325816224</v>
      </c>
      <c r="BT95" s="154" t="n">
        <v>-55.281325816224</v>
      </c>
      <c r="BU95" s="154" t="n">
        <v>-55.281325816224</v>
      </c>
      <c r="BV95" s="154" t="n">
        <v>-55.281325816224</v>
      </c>
      <c r="BW95" s="154" t="n">
        <v>-55.281325816224</v>
      </c>
      <c r="BX95" s="154" t="n">
        <v>-55.281325816224</v>
      </c>
      <c r="BY95" s="154" t="n">
        <v>-55.281325816224</v>
      </c>
      <c r="BZ95" s="154" t="n">
        <v>-56.3869523325485</v>
      </c>
      <c r="CA95" s="154" t="n">
        <v>-56.3869523325485</v>
      </c>
      <c r="CB95" s="154" t="n">
        <v>-56.3869523325485</v>
      </c>
      <c r="CC95" s="154" t="n">
        <v>-56.3869523325485</v>
      </c>
      <c r="CD95" s="154" t="n">
        <v>-56.3869523325485</v>
      </c>
      <c r="CE95" s="154" t="n">
        <v>-56.3869523325485</v>
      </c>
      <c r="CF95" s="154" t="n">
        <v>-56.3869523325485</v>
      </c>
      <c r="CG95" s="154" t="n">
        <v>-56.3869523325485</v>
      </c>
      <c r="CH95" s="154" t="n">
        <v>-56.3869523325485</v>
      </c>
      <c r="CI95" s="154" t="n">
        <v>-56.3869523325485</v>
      </c>
      <c r="CJ95" s="154" t="n">
        <v>-56.3869523325485</v>
      </c>
      <c r="CK95" s="154" t="n">
        <v>-56.3869523325485</v>
      </c>
      <c r="CL95" s="154" t="n">
        <v>-57.5146913791995</v>
      </c>
      <c r="CM95" s="154" t="n">
        <v>-57.5146913791995</v>
      </c>
      <c r="CN95" s="154" t="n">
        <v>-57.5146913791995</v>
      </c>
      <c r="CO95" s="154" t="n">
        <v>-57.5146913791995</v>
      </c>
      <c r="CP95" s="154" t="n">
        <v>-57.5146913791995</v>
      </c>
      <c r="CQ95" s="154" t="n">
        <v>-57.5146913791995</v>
      </c>
      <c r="CR95" s="154" t="n">
        <v>-57.5146913791995</v>
      </c>
      <c r="CS95" s="154" t="n">
        <v>-57.5146913791995</v>
      </c>
      <c r="CT95" s="154" t="n">
        <v>-57.5146913791995</v>
      </c>
      <c r="CU95" s="154" t="n">
        <v>-57.5146913791995</v>
      </c>
      <c r="CV95" s="154" t="n">
        <v>-57.5146913791995</v>
      </c>
      <c r="CW95" s="154" t="n">
        <v>-57.5146913791995</v>
      </c>
      <c r="CX95" s="154" t="n">
        <v>-58.6649852067835</v>
      </c>
      <c r="CY95" s="154" t="n">
        <v>-58.6649852067835</v>
      </c>
      <c r="CZ95" s="154" t="n">
        <v>-58.6649852067835</v>
      </c>
      <c r="DA95" s="154" t="n">
        <v>-58.6649852067835</v>
      </c>
      <c r="DB95" s="154" t="n">
        <v>-58.6649852067835</v>
      </c>
      <c r="DC95" s="154" t="n">
        <v>-58.6649852067835</v>
      </c>
      <c r="DD95" s="154" t="n">
        <v>-58.6649852067835</v>
      </c>
      <c r="DE95" s="154" t="n">
        <v>-58.6649852067835</v>
      </c>
      <c r="DF95" s="154" t="n">
        <v>-58.6649852067835</v>
      </c>
    </row>
    <row r="96" customFormat="false" ht="15" hidden="false" customHeight="true" outlineLevel="0" collapsed="false">
      <c r="A96" s="107" t="s">
        <v>74</v>
      </c>
      <c r="C96" s="154" t="n">
        <v>-640.88</v>
      </c>
      <c r="D96" s="154" t="n">
        <v>-872.64</v>
      </c>
      <c r="E96" s="154" t="n">
        <v>-1175.78</v>
      </c>
      <c r="F96" s="154" t="n">
        <v>-896.43</v>
      </c>
      <c r="G96" s="154" t="n">
        <v>-896.43</v>
      </c>
      <c r="H96" s="154" t="n">
        <v>-896.43</v>
      </c>
      <c r="I96" s="154" t="n">
        <v>-896.43</v>
      </c>
      <c r="J96" s="154" t="n">
        <v>-896.43</v>
      </c>
      <c r="K96" s="154" t="n">
        <v>-896.43</v>
      </c>
      <c r="L96" s="154" t="n">
        <v>-896.43</v>
      </c>
      <c r="M96" s="154" t="n">
        <v>-896.43</v>
      </c>
      <c r="N96" s="154" t="n">
        <v>-896.43</v>
      </c>
      <c r="O96" s="154" t="n">
        <v>-896.43</v>
      </c>
      <c r="P96" s="154" t="n">
        <v>-896.43</v>
      </c>
      <c r="Q96" s="154" t="n">
        <v>-896.43</v>
      </c>
      <c r="R96" s="154" t="n">
        <v>-914.3586</v>
      </c>
      <c r="S96" s="154" t="n">
        <v>-914.3586</v>
      </c>
      <c r="T96" s="154" t="n">
        <v>-914.3586</v>
      </c>
      <c r="U96" s="154" t="n">
        <v>-914.3586</v>
      </c>
      <c r="V96" s="154" t="n">
        <v>-914.3586</v>
      </c>
      <c r="W96" s="154" t="n">
        <v>-914.3586</v>
      </c>
      <c r="X96" s="154" t="n">
        <v>-914.3586</v>
      </c>
      <c r="Y96" s="154" t="n">
        <v>-914.3586</v>
      </c>
      <c r="Z96" s="154" t="n">
        <v>-914.3586</v>
      </c>
      <c r="AA96" s="154" t="n">
        <v>-914.3586</v>
      </c>
      <c r="AB96" s="154" t="n">
        <v>-914.3586</v>
      </c>
      <c r="AC96" s="154" t="n">
        <v>-914.3586</v>
      </c>
      <c r="AD96" s="154" t="n">
        <v>-932.645772</v>
      </c>
      <c r="AE96" s="154" t="n">
        <v>-932.645772</v>
      </c>
      <c r="AF96" s="154" t="n">
        <v>-932.645772</v>
      </c>
      <c r="AG96" s="154" t="n">
        <v>-932.645772</v>
      </c>
      <c r="AH96" s="154" t="n">
        <v>-932.645772</v>
      </c>
      <c r="AI96" s="154" t="n">
        <v>-932.645772</v>
      </c>
      <c r="AJ96" s="154" t="n">
        <v>-932.645772</v>
      </c>
      <c r="AK96" s="154" t="n">
        <v>-932.645772</v>
      </c>
      <c r="AL96" s="154" t="n">
        <v>-932.645772</v>
      </c>
      <c r="AM96" s="154" t="n">
        <v>-932.645772</v>
      </c>
      <c r="AN96" s="154" t="n">
        <v>-932.645772</v>
      </c>
      <c r="AO96" s="154" t="n">
        <v>-932.645772</v>
      </c>
      <c r="AP96" s="154" t="n">
        <v>-951.29868744</v>
      </c>
      <c r="AQ96" s="154" t="n">
        <v>-951.29868744</v>
      </c>
      <c r="AR96" s="154" t="n">
        <v>-951.29868744</v>
      </c>
      <c r="AS96" s="154" t="n">
        <v>-951.29868744</v>
      </c>
      <c r="AT96" s="154" t="n">
        <v>-951.29868744</v>
      </c>
      <c r="AU96" s="154" t="n">
        <v>-951.29868744</v>
      </c>
      <c r="AV96" s="154" t="n">
        <v>-951.29868744</v>
      </c>
      <c r="AW96" s="154" t="n">
        <v>-951.29868744</v>
      </c>
      <c r="AX96" s="154" t="n">
        <v>-951.29868744</v>
      </c>
      <c r="AY96" s="154" t="n">
        <v>-951.29868744</v>
      </c>
      <c r="AZ96" s="154" t="n">
        <v>-951.29868744</v>
      </c>
      <c r="BA96" s="154" t="n">
        <v>-951.29868744</v>
      </c>
      <c r="BB96" s="154" t="n">
        <v>-970.3246611888</v>
      </c>
      <c r="BC96" s="154" t="n">
        <v>-970.3246611888</v>
      </c>
      <c r="BD96" s="154" t="n">
        <v>-970.3246611888</v>
      </c>
      <c r="BE96" s="154" t="n">
        <v>-970.3246611888</v>
      </c>
      <c r="BF96" s="154" t="n">
        <v>-970.3246611888</v>
      </c>
      <c r="BG96" s="154" t="n">
        <v>-970.3246611888</v>
      </c>
      <c r="BH96" s="154" t="n">
        <v>-970.3246611888</v>
      </c>
      <c r="BI96" s="154" t="n">
        <v>-970.3246611888</v>
      </c>
      <c r="BJ96" s="154" t="n">
        <v>-970.3246611888</v>
      </c>
      <c r="BK96" s="154" t="n">
        <v>-970.3246611888</v>
      </c>
      <c r="BL96" s="154" t="n">
        <v>-970.3246611888</v>
      </c>
      <c r="BM96" s="154" t="n">
        <v>-970.3246611888</v>
      </c>
      <c r="BN96" s="154" t="n">
        <v>-989.731154412576</v>
      </c>
      <c r="BO96" s="154" t="n">
        <v>-989.731154412576</v>
      </c>
      <c r="BP96" s="154" t="n">
        <v>-989.731154412576</v>
      </c>
      <c r="BQ96" s="154" t="n">
        <v>-989.731154412576</v>
      </c>
      <c r="BR96" s="154" t="n">
        <v>-989.731154412576</v>
      </c>
      <c r="BS96" s="154" t="n">
        <v>-989.731154412576</v>
      </c>
      <c r="BT96" s="154" t="n">
        <v>-989.731154412576</v>
      </c>
      <c r="BU96" s="154" t="n">
        <v>-989.731154412576</v>
      </c>
      <c r="BV96" s="154" t="n">
        <v>-989.731154412576</v>
      </c>
      <c r="BW96" s="154" t="n">
        <v>-989.731154412576</v>
      </c>
      <c r="BX96" s="154" t="n">
        <v>-989.731154412576</v>
      </c>
      <c r="BY96" s="154" t="n">
        <v>-989.731154412576</v>
      </c>
      <c r="BZ96" s="154" t="n">
        <v>-1009.52577750083</v>
      </c>
      <c r="CA96" s="154" t="n">
        <v>-1009.52577750083</v>
      </c>
      <c r="CB96" s="154" t="n">
        <v>-1009.52577750083</v>
      </c>
      <c r="CC96" s="154" t="n">
        <v>-1009.52577750083</v>
      </c>
      <c r="CD96" s="154" t="n">
        <v>-1009.52577750083</v>
      </c>
      <c r="CE96" s="154" t="n">
        <v>-1009.52577750083</v>
      </c>
      <c r="CF96" s="154" t="n">
        <v>-1009.52577750083</v>
      </c>
      <c r="CG96" s="154" t="n">
        <v>-1009.52577750083</v>
      </c>
      <c r="CH96" s="154" t="n">
        <v>-1009.52577750083</v>
      </c>
      <c r="CI96" s="154" t="n">
        <v>-1009.52577750083</v>
      </c>
      <c r="CJ96" s="154" t="n">
        <v>-1009.52577750083</v>
      </c>
      <c r="CK96" s="154" t="n">
        <v>-1009.52577750083</v>
      </c>
      <c r="CL96" s="154" t="n">
        <v>-1029.71629305084</v>
      </c>
      <c r="CM96" s="154" t="n">
        <v>-1029.71629305084</v>
      </c>
      <c r="CN96" s="154" t="n">
        <v>-1029.71629305084</v>
      </c>
      <c r="CO96" s="154" t="n">
        <v>-1029.71629305084</v>
      </c>
      <c r="CP96" s="154" t="n">
        <v>-1029.71629305084</v>
      </c>
      <c r="CQ96" s="154" t="n">
        <v>-1029.71629305084</v>
      </c>
      <c r="CR96" s="154" t="n">
        <v>-1029.71629305084</v>
      </c>
      <c r="CS96" s="154" t="n">
        <v>-1029.71629305084</v>
      </c>
      <c r="CT96" s="154" t="n">
        <v>-1029.71629305084</v>
      </c>
      <c r="CU96" s="154" t="n">
        <v>-1029.71629305084</v>
      </c>
      <c r="CV96" s="154" t="n">
        <v>-1029.71629305084</v>
      </c>
      <c r="CW96" s="154" t="n">
        <v>-1029.71629305084</v>
      </c>
      <c r="CX96" s="154" t="n">
        <v>-1050.31061891186</v>
      </c>
      <c r="CY96" s="154" t="n">
        <v>-1050.31061891186</v>
      </c>
      <c r="CZ96" s="154" t="n">
        <v>-1050.31061891186</v>
      </c>
      <c r="DA96" s="154" t="n">
        <v>-1050.31061891186</v>
      </c>
      <c r="DB96" s="154" t="n">
        <v>-1050.31061891186</v>
      </c>
      <c r="DC96" s="154" t="n">
        <v>-1050.31061891186</v>
      </c>
      <c r="DD96" s="154" t="n">
        <v>-1050.31061891186</v>
      </c>
      <c r="DE96" s="154" t="n">
        <v>-1050.31061891186</v>
      </c>
      <c r="DF96" s="154" t="n">
        <v>-1050.31061891186</v>
      </c>
    </row>
    <row r="97" customFormat="false" ht="15" hidden="false" customHeight="true" outlineLevel="0" collapsed="false">
      <c r="A97" s="107" t="s">
        <v>75</v>
      </c>
      <c r="C97" s="154" t="n">
        <v>0</v>
      </c>
      <c r="D97" s="154" t="n">
        <v>0</v>
      </c>
      <c r="E97" s="154" t="n">
        <v>-38050.5</v>
      </c>
      <c r="F97" s="154" t="n">
        <v>-2000</v>
      </c>
      <c r="G97" s="154" t="n">
        <v>-2000</v>
      </c>
      <c r="H97" s="154" t="n">
        <v>-2000</v>
      </c>
      <c r="I97" s="154" t="n">
        <v>-2000</v>
      </c>
      <c r="J97" s="154" t="n">
        <v>-2000</v>
      </c>
      <c r="K97" s="154" t="n">
        <v>-2000</v>
      </c>
      <c r="L97" s="154" t="n">
        <v>-2000</v>
      </c>
      <c r="M97" s="154" t="n">
        <v>-2000</v>
      </c>
      <c r="N97" s="154" t="n">
        <v>-2000</v>
      </c>
      <c r="O97" s="154" t="n">
        <v>-2000</v>
      </c>
      <c r="P97" s="154" t="n">
        <v>-2000</v>
      </c>
      <c r="Q97" s="154" t="n">
        <v>-2000</v>
      </c>
      <c r="R97" s="154" t="n">
        <v>-2040</v>
      </c>
      <c r="S97" s="154" t="n">
        <v>-2040</v>
      </c>
      <c r="T97" s="154" t="n">
        <v>-2040</v>
      </c>
      <c r="U97" s="154" t="n">
        <v>-2040</v>
      </c>
      <c r="V97" s="154" t="n">
        <v>-2040</v>
      </c>
      <c r="W97" s="154" t="n">
        <v>-2040</v>
      </c>
      <c r="X97" s="154" t="n">
        <v>-2040</v>
      </c>
      <c r="Y97" s="154" t="n">
        <v>-2040</v>
      </c>
      <c r="Z97" s="154" t="n">
        <v>-2040</v>
      </c>
      <c r="AA97" s="154" t="n">
        <v>-2040</v>
      </c>
      <c r="AB97" s="154" t="n">
        <v>-2040</v>
      </c>
      <c r="AC97" s="154" t="n">
        <v>-2040</v>
      </c>
      <c r="AD97" s="154" t="n">
        <v>-2080.8</v>
      </c>
      <c r="AE97" s="154" t="n">
        <v>-2080.8</v>
      </c>
      <c r="AF97" s="154" t="n">
        <v>-2080.8</v>
      </c>
      <c r="AG97" s="154" t="n">
        <v>-2080.8</v>
      </c>
      <c r="AH97" s="154" t="n">
        <v>-2080.8</v>
      </c>
      <c r="AI97" s="154" t="n">
        <v>-2080.8</v>
      </c>
      <c r="AJ97" s="154" t="n">
        <v>-2080.8</v>
      </c>
      <c r="AK97" s="154" t="n">
        <v>-2080.8</v>
      </c>
      <c r="AL97" s="154" t="n">
        <v>-2080.8</v>
      </c>
      <c r="AM97" s="154" t="n">
        <v>-2080.8</v>
      </c>
      <c r="AN97" s="154" t="n">
        <v>-2080.8</v>
      </c>
      <c r="AO97" s="154" t="n">
        <v>-2080.8</v>
      </c>
      <c r="AP97" s="154" t="n">
        <v>-2122.416</v>
      </c>
      <c r="AQ97" s="154" t="n">
        <v>-2122.416</v>
      </c>
      <c r="AR97" s="154" t="n">
        <v>-2122.416</v>
      </c>
      <c r="AS97" s="154" t="n">
        <v>-2122.416</v>
      </c>
      <c r="AT97" s="154" t="n">
        <v>-2122.416</v>
      </c>
      <c r="AU97" s="154" t="n">
        <v>-2122.416</v>
      </c>
      <c r="AV97" s="154" t="n">
        <v>-2122.416</v>
      </c>
      <c r="AW97" s="154" t="n">
        <v>-2122.416</v>
      </c>
      <c r="AX97" s="154" t="n">
        <v>-2122.416</v>
      </c>
      <c r="AY97" s="154" t="n">
        <v>-2122.416</v>
      </c>
      <c r="AZ97" s="154" t="n">
        <v>-2122.416</v>
      </c>
      <c r="BA97" s="154" t="n">
        <v>-2122.416</v>
      </c>
      <c r="BB97" s="154" t="n">
        <v>-2164.86432</v>
      </c>
      <c r="BC97" s="154" t="n">
        <v>-2164.86432</v>
      </c>
      <c r="BD97" s="154" t="n">
        <v>-2164.86432</v>
      </c>
      <c r="BE97" s="154" t="n">
        <v>-2164.86432</v>
      </c>
      <c r="BF97" s="154" t="n">
        <v>-2164.86432</v>
      </c>
      <c r="BG97" s="154" t="n">
        <v>-2164.86432</v>
      </c>
      <c r="BH97" s="154" t="n">
        <v>-2164.86432</v>
      </c>
      <c r="BI97" s="154" t="n">
        <v>-2164.86432</v>
      </c>
      <c r="BJ97" s="154" t="n">
        <v>-2164.86432</v>
      </c>
      <c r="BK97" s="154" t="n">
        <v>-2164.86432</v>
      </c>
      <c r="BL97" s="154" t="n">
        <v>-2164.86432</v>
      </c>
      <c r="BM97" s="154" t="n">
        <v>-2164.86432</v>
      </c>
      <c r="BN97" s="154" t="n">
        <v>-2208.1616064</v>
      </c>
      <c r="BO97" s="154" t="n">
        <v>-2208.1616064</v>
      </c>
      <c r="BP97" s="154" t="n">
        <v>-2208.1616064</v>
      </c>
      <c r="BQ97" s="154" t="n">
        <v>-2208.1616064</v>
      </c>
      <c r="BR97" s="154" t="n">
        <v>-2208.1616064</v>
      </c>
      <c r="BS97" s="154" t="n">
        <v>-2208.1616064</v>
      </c>
      <c r="BT97" s="154" t="n">
        <v>-2208.1616064</v>
      </c>
      <c r="BU97" s="154" t="n">
        <v>-2208.1616064</v>
      </c>
      <c r="BV97" s="154" t="n">
        <v>-2208.1616064</v>
      </c>
      <c r="BW97" s="154" t="n">
        <v>-2208.1616064</v>
      </c>
      <c r="BX97" s="154" t="n">
        <v>-2208.1616064</v>
      </c>
      <c r="BY97" s="154" t="n">
        <v>-2208.1616064</v>
      </c>
      <c r="BZ97" s="154" t="n">
        <v>-2252.324838528</v>
      </c>
      <c r="CA97" s="154" t="n">
        <v>-2252.324838528</v>
      </c>
      <c r="CB97" s="154" t="n">
        <v>-2252.324838528</v>
      </c>
      <c r="CC97" s="154" t="n">
        <v>-2252.324838528</v>
      </c>
      <c r="CD97" s="154" t="n">
        <v>-2252.324838528</v>
      </c>
      <c r="CE97" s="154" t="n">
        <v>-2252.324838528</v>
      </c>
      <c r="CF97" s="154" t="n">
        <v>-2252.324838528</v>
      </c>
      <c r="CG97" s="154" t="n">
        <v>-2252.324838528</v>
      </c>
      <c r="CH97" s="154" t="n">
        <v>-2252.324838528</v>
      </c>
      <c r="CI97" s="154" t="n">
        <v>-2252.324838528</v>
      </c>
      <c r="CJ97" s="154" t="n">
        <v>-2252.324838528</v>
      </c>
      <c r="CK97" s="154" t="n">
        <v>-2252.324838528</v>
      </c>
      <c r="CL97" s="154" t="n">
        <v>-2297.37133529856</v>
      </c>
      <c r="CM97" s="154" t="n">
        <v>-2297.37133529856</v>
      </c>
      <c r="CN97" s="154" t="n">
        <v>-2297.37133529856</v>
      </c>
      <c r="CO97" s="154" t="n">
        <v>-2297.37133529856</v>
      </c>
      <c r="CP97" s="154" t="n">
        <v>-2297.37133529856</v>
      </c>
      <c r="CQ97" s="154" t="n">
        <v>-2297.37133529856</v>
      </c>
      <c r="CR97" s="154" t="n">
        <v>-2297.37133529856</v>
      </c>
      <c r="CS97" s="154" t="n">
        <v>-2297.37133529856</v>
      </c>
      <c r="CT97" s="154" t="n">
        <v>-2297.37133529856</v>
      </c>
      <c r="CU97" s="154" t="n">
        <v>-2297.37133529856</v>
      </c>
      <c r="CV97" s="154" t="n">
        <v>-2297.37133529856</v>
      </c>
      <c r="CW97" s="154" t="n">
        <v>-2297.37133529856</v>
      </c>
      <c r="CX97" s="154" t="n">
        <v>-2343.31876200453</v>
      </c>
      <c r="CY97" s="154" t="n">
        <v>-2343.31876200453</v>
      </c>
      <c r="CZ97" s="154" t="n">
        <v>-2343.31876200453</v>
      </c>
      <c r="DA97" s="154" t="n">
        <v>-2343.31876200453</v>
      </c>
      <c r="DB97" s="154" t="n">
        <v>-2343.31876200453</v>
      </c>
      <c r="DC97" s="154" t="n">
        <v>-2343.31876200453</v>
      </c>
      <c r="DD97" s="154" t="n">
        <v>-2343.31876200453</v>
      </c>
      <c r="DE97" s="154" t="n">
        <v>-2343.31876200453</v>
      </c>
      <c r="DF97" s="154" t="n">
        <v>-2343.31876200453</v>
      </c>
    </row>
    <row r="98" customFormat="false" ht="15" hidden="false" customHeight="true" outlineLevel="0" collapsed="false">
      <c r="A98" s="127" t="s">
        <v>76</v>
      </c>
      <c r="C98" s="112" t="n">
        <v>-4097.78</v>
      </c>
      <c r="D98" s="112" t="n">
        <v>-1950.2</v>
      </c>
      <c r="E98" s="112" t="n">
        <v>-1978.2</v>
      </c>
      <c r="F98" s="153" t="n">
        <v>-2675.39</v>
      </c>
      <c r="G98" s="153" t="n">
        <v>-2675.39</v>
      </c>
      <c r="H98" s="153" t="n">
        <v>-2675.39</v>
      </c>
      <c r="I98" s="153" t="n">
        <v>-2675.39</v>
      </c>
      <c r="J98" s="153" t="n">
        <v>-2675.39</v>
      </c>
      <c r="K98" s="153" t="n">
        <v>-2675.39</v>
      </c>
      <c r="L98" s="153" t="n">
        <v>-2675.39</v>
      </c>
      <c r="M98" s="153" t="n">
        <v>-2675.39</v>
      </c>
      <c r="N98" s="153" t="n">
        <v>-2675.39</v>
      </c>
      <c r="O98" s="153" t="n">
        <v>-2675.39</v>
      </c>
      <c r="P98" s="153" t="n">
        <v>-2675.39</v>
      </c>
      <c r="Q98" s="153" t="n">
        <v>-2675.39</v>
      </c>
      <c r="R98" s="153" t="n">
        <v>-2728.8978</v>
      </c>
      <c r="S98" s="153" t="n">
        <v>-2728.8978</v>
      </c>
      <c r="T98" s="153" t="n">
        <v>-2728.8978</v>
      </c>
      <c r="U98" s="153" t="n">
        <v>-2728.8978</v>
      </c>
      <c r="V98" s="153" t="n">
        <v>-2728.8978</v>
      </c>
      <c r="W98" s="153" t="n">
        <v>-2728.8978</v>
      </c>
      <c r="X98" s="153" t="n">
        <v>-2728.8978</v>
      </c>
      <c r="Y98" s="153" t="n">
        <v>-2728.8978</v>
      </c>
      <c r="Z98" s="153" t="n">
        <v>-2728.8978</v>
      </c>
      <c r="AA98" s="153" t="n">
        <v>-2728.8978</v>
      </c>
      <c r="AB98" s="153" t="n">
        <v>-2728.8978</v>
      </c>
      <c r="AC98" s="153" t="n">
        <v>-2728.8978</v>
      </c>
      <c r="AD98" s="153" t="n">
        <v>-2783.475756</v>
      </c>
      <c r="AE98" s="153" t="n">
        <v>-2783.475756</v>
      </c>
      <c r="AF98" s="153" t="n">
        <v>-2783.475756</v>
      </c>
      <c r="AG98" s="153" t="n">
        <v>-2783.475756</v>
      </c>
      <c r="AH98" s="153" t="n">
        <v>-2783.475756</v>
      </c>
      <c r="AI98" s="153" t="n">
        <v>-2783.475756</v>
      </c>
      <c r="AJ98" s="153" t="n">
        <v>-2783.475756</v>
      </c>
      <c r="AK98" s="153" t="n">
        <v>-2783.475756</v>
      </c>
      <c r="AL98" s="153" t="n">
        <v>-2783.475756</v>
      </c>
      <c r="AM98" s="153" t="n">
        <v>-2783.475756</v>
      </c>
      <c r="AN98" s="153" t="n">
        <v>-2783.475756</v>
      </c>
      <c r="AO98" s="153" t="n">
        <v>-2783.475756</v>
      </c>
      <c r="AP98" s="153" t="n">
        <v>-2839.14527112</v>
      </c>
      <c r="AQ98" s="153" t="n">
        <v>-2839.14527112</v>
      </c>
      <c r="AR98" s="153" t="n">
        <v>-2839.14527112</v>
      </c>
      <c r="AS98" s="153" t="n">
        <v>-2839.14527112</v>
      </c>
      <c r="AT98" s="153" t="n">
        <v>-2839.14527112</v>
      </c>
      <c r="AU98" s="153" t="n">
        <v>-2839.14527112</v>
      </c>
      <c r="AV98" s="153" t="n">
        <v>-2839.14527112</v>
      </c>
      <c r="AW98" s="153" t="n">
        <v>-2839.14527112</v>
      </c>
      <c r="AX98" s="153" t="n">
        <v>-2839.14527112</v>
      </c>
      <c r="AY98" s="153" t="n">
        <v>-2839.14527112</v>
      </c>
      <c r="AZ98" s="153" t="n">
        <v>-2839.14527112</v>
      </c>
      <c r="BA98" s="153" t="n">
        <v>-2839.14527112</v>
      </c>
      <c r="BB98" s="153" t="n">
        <v>-2895.9281765424</v>
      </c>
      <c r="BC98" s="153" t="n">
        <v>-2895.9281765424</v>
      </c>
      <c r="BD98" s="153" t="n">
        <v>-2895.9281765424</v>
      </c>
      <c r="BE98" s="153" t="n">
        <v>-2895.9281765424</v>
      </c>
      <c r="BF98" s="153" t="n">
        <v>-2895.9281765424</v>
      </c>
      <c r="BG98" s="153" t="n">
        <v>-2895.9281765424</v>
      </c>
      <c r="BH98" s="153" t="n">
        <v>-2895.9281765424</v>
      </c>
      <c r="BI98" s="153" t="n">
        <v>-2895.9281765424</v>
      </c>
      <c r="BJ98" s="153" t="n">
        <v>-2895.9281765424</v>
      </c>
      <c r="BK98" s="153" t="n">
        <v>-2895.9281765424</v>
      </c>
      <c r="BL98" s="153" t="n">
        <v>-2895.9281765424</v>
      </c>
      <c r="BM98" s="153" t="n">
        <v>-2895.9281765424</v>
      </c>
      <c r="BN98" s="153" t="n">
        <v>-2953.84674007325</v>
      </c>
      <c r="BO98" s="153" t="n">
        <v>-2953.84674007325</v>
      </c>
      <c r="BP98" s="153" t="n">
        <v>-2953.84674007325</v>
      </c>
      <c r="BQ98" s="153" t="n">
        <v>-2953.84674007325</v>
      </c>
      <c r="BR98" s="153" t="n">
        <v>-2953.84674007325</v>
      </c>
      <c r="BS98" s="153" t="n">
        <v>-2953.84674007325</v>
      </c>
      <c r="BT98" s="153" t="n">
        <v>-2953.84674007325</v>
      </c>
      <c r="BU98" s="153" t="n">
        <v>-2953.84674007325</v>
      </c>
      <c r="BV98" s="153" t="n">
        <v>-2953.84674007325</v>
      </c>
      <c r="BW98" s="153" t="n">
        <v>-2953.84674007325</v>
      </c>
      <c r="BX98" s="153" t="n">
        <v>-2953.84674007325</v>
      </c>
      <c r="BY98" s="153" t="n">
        <v>-2953.84674007325</v>
      </c>
      <c r="BZ98" s="153" t="n">
        <v>-3012.92367487471</v>
      </c>
      <c r="CA98" s="153" t="n">
        <v>-3012.92367487471</v>
      </c>
      <c r="CB98" s="153" t="n">
        <v>-3012.92367487471</v>
      </c>
      <c r="CC98" s="153" t="n">
        <v>-3012.92367487471</v>
      </c>
      <c r="CD98" s="153" t="n">
        <v>-3012.92367487471</v>
      </c>
      <c r="CE98" s="153" t="n">
        <v>-3012.92367487471</v>
      </c>
      <c r="CF98" s="153" t="n">
        <v>-3012.92367487471</v>
      </c>
      <c r="CG98" s="153" t="n">
        <v>-3012.92367487471</v>
      </c>
      <c r="CH98" s="153" t="n">
        <v>-3012.92367487471</v>
      </c>
      <c r="CI98" s="153" t="n">
        <v>-3012.92367487471</v>
      </c>
      <c r="CJ98" s="153" t="n">
        <v>-3012.92367487471</v>
      </c>
      <c r="CK98" s="153" t="n">
        <v>-3012.92367487471</v>
      </c>
      <c r="CL98" s="153" t="n">
        <v>-3073.18214837221</v>
      </c>
      <c r="CM98" s="153" t="n">
        <v>-3073.18214837221</v>
      </c>
      <c r="CN98" s="153" t="n">
        <v>-3073.18214837221</v>
      </c>
      <c r="CO98" s="153" t="n">
        <v>-3073.18214837221</v>
      </c>
      <c r="CP98" s="153" t="n">
        <v>-3073.18214837221</v>
      </c>
      <c r="CQ98" s="153" t="n">
        <v>-3073.18214837221</v>
      </c>
      <c r="CR98" s="153" t="n">
        <v>-3073.18214837221</v>
      </c>
      <c r="CS98" s="153" t="n">
        <v>-3073.18214837221</v>
      </c>
      <c r="CT98" s="153" t="n">
        <v>-3073.18214837221</v>
      </c>
      <c r="CU98" s="153" t="n">
        <v>-3073.18214837221</v>
      </c>
      <c r="CV98" s="153" t="n">
        <v>-3073.18214837221</v>
      </c>
      <c r="CW98" s="153" t="n">
        <v>-3073.18214837221</v>
      </c>
      <c r="CX98" s="153" t="n">
        <v>-3134.64579133965</v>
      </c>
      <c r="CY98" s="153" t="n">
        <v>-3134.64579133965</v>
      </c>
      <c r="CZ98" s="153" t="n">
        <v>-3134.64579133965</v>
      </c>
      <c r="DA98" s="153" t="n">
        <v>-3134.64579133965</v>
      </c>
      <c r="DB98" s="153" t="n">
        <v>-3134.64579133965</v>
      </c>
      <c r="DC98" s="153" t="n">
        <v>-3134.64579133965</v>
      </c>
      <c r="DD98" s="153" t="n">
        <v>-3134.64579133965</v>
      </c>
      <c r="DE98" s="153" t="n">
        <v>-3134.64579133965</v>
      </c>
      <c r="DF98" s="153" t="n">
        <v>-3134.64579133965</v>
      </c>
    </row>
    <row r="99" customFormat="false" ht="15" hidden="false" customHeight="true" outlineLevel="0" collapsed="false">
      <c r="A99" s="127" t="s">
        <v>77</v>
      </c>
      <c r="C99" s="112" t="n">
        <v>-28038</v>
      </c>
      <c r="D99" s="112" t="n">
        <v>-29387.5</v>
      </c>
      <c r="E99" s="112" t="n">
        <v>-28083</v>
      </c>
      <c r="F99" s="153" t="n">
        <v>-8625</v>
      </c>
      <c r="G99" s="153" t="n">
        <v>-8625</v>
      </c>
      <c r="H99" s="153" t="n">
        <v>-8625</v>
      </c>
      <c r="I99" s="153" t="n">
        <v>-8625</v>
      </c>
      <c r="J99" s="153" t="n">
        <v>-8625</v>
      </c>
      <c r="K99" s="153" t="n">
        <v>-8625</v>
      </c>
      <c r="L99" s="153" t="n">
        <v>-8625</v>
      </c>
      <c r="M99" s="153" t="n">
        <v>-8625</v>
      </c>
      <c r="N99" s="153" t="n">
        <v>-8625</v>
      </c>
      <c r="O99" s="153" t="n">
        <v>-8625</v>
      </c>
      <c r="P99" s="153" t="n">
        <v>-8625</v>
      </c>
      <c r="Q99" s="153" t="n">
        <v>-8625</v>
      </c>
      <c r="R99" s="153" t="n">
        <v>-8797.5</v>
      </c>
      <c r="S99" s="153" t="n">
        <v>-8797.5</v>
      </c>
      <c r="T99" s="153" t="n">
        <v>-8797.5</v>
      </c>
      <c r="U99" s="153" t="n">
        <v>-8797.5</v>
      </c>
      <c r="V99" s="153" t="n">
        <v>-8797.5</v>
      </c>
      <c r="W99" s="153" t="n">
        <v>-8797.5</v>
      </c>
      <c r="X99" s="153" t="n">
        <v>-8797.5</v>
      </c>
      <c r="Y99" s="153" t="n">
        <v>-8797.5</v>
      </c>
      <c r="Z99" s="153" t="n">
        <v>-8797.5</v>
      </c>
      <c r="AA99" s="153" t="n">
        <v>-8797.5</v>
      </c>
      <c r="AB99" s="153" t="n">
        <v>-8797.5</v>
      </c>
      <c r="AC99" s="153" t="n">
        <v>-8797.5</v>
      </c>
      <c r="AD99" s="153" t="n">
        <v>-8973.45</v>
      </c>
      <c r="AE99" s="153" t="n">
        <v>-8973.45</v>
      </c>
      <c r="AF99" s="153" t="n">
        <v>-8973.45</v>
      </c>
      <c r="AG99" s="153" t="n">
        <v>-8973.45</v>
      </c>
      <c r="AH99" s="153" t="n">
        <v>-8973.45</v>
      </c>
      <c r="AI99" s="153" t="n">
        <v>-8973.45</v>
      </c>
      <c r="AJ99" s="153" t="n">
        <v>-8973.45</v>
      </c>
      <c r="AK99" s="153" t="n">
        <v>-8973.45</v>
      </c>
      <c r="AL99" s="153" t="n">
        <v>-8973.45</v>
      </c>
      <c r="AM99" s="153" t="n">
        <v>-8973.45</v>
      </c>
      <c r="AN99" s="153" t="n">
        <v>-8973.45</v>
      </c>
      <c r="AO99" s="153" t="n">
        <v>-8973.45</v>
      </c>
      <c r="AP99" s="153" t="n">
        <v>-9152.919</v>
      </c>
      <c r="AQ99" s="153" t="n">
        <v>-9152.919</v>
      </c>
      <c r="AR99" s="153" t="n">
        <v>-9152.919</v>
      </c>
      <c r="AS99" s="153" t="n">
        <v>-9152.919</v>
      </c>
      <c r="AT99" s="153" t="n">
        <v>-9152.919</v>
      </c>
      <c r="AU99" s="153" t="n">
        <v>-9152.919</v>
      </c>
      <c r="AV99" s="153" t="n">
        <v>-9152.919</v>
      </c>
      <c r="AW99" s="153" t="n">
        <v>-9152.919</v>
      </c>
      <c r="AX99" s="153" t="n">
        <v>-9152.919</v>
      </c>
      <c r="AY99" s="153" t="n">
        <v>-9152.919</v>
      </c>
      <c r="AZ99" s="153" t="n">
        <v>-9152.919</v>
      </c>
      <c r="BA99" s="153" t="n">
        <v>-9152.919</v>
      </c>
      <c r="BB99" s="153" t="n">
        <v>-9335.97738</v>
      </c>
      <c r="BC99" s="153" t="n">
        <v>-9335.97738</v>
      </c>
      <c r="BD99" s="153" t="n">
        <v>-9335.97738</v>
      </c>
      <c r="BE99" s="153" t="n">
        <v>-9335.97738</v>
      </c>
      <c r="BF99" s="153" t="n">
        <v>-9335.97738</v>
      </c>
      <c r="BG99" s="153" t="n">
        <v>-9335.97738</v>
      </c>
      <c r="BH99" s="153" t="n">
        <v>-9335.97738</v>
      </c>
      <c r="BI99" s="153" t="n">
        <v>-9335.97738</v>
      </c>
      <c r="BJ99" s="153" t="n">
        <v>-9335.97738</v>
      </c>
      <c r="BK99" s="153" t="n">
        <v>-9335.97738</v>
      </c>
      <c r="BL99" s="153" t="n">
        <v>-9335.97738</v>
      </c>
      <c r="BM99" s="153" t="n">
        <v>-9335.97738</v>
      </c>
      <c r="BN99" s="153" t="n">
        <v>-9522.6969276</v>
      </c>
      <c r="BO99" s="153" t="n">
        <v>-9522.6969276</v>
      </c>
      <c r="BP99" s="153" t="n">
        <v>-9522.6969276</v>
      </c>
      <c r="BQ99" s="153" t="n">
        <v>-9522.6969276</v>
      </c>
      <c r="BR99" s="153" t="n">
        <v>-9522.6969276</v>
      </c>
      <c r="BS99" s="153" t="n">
        <v>-9522.6969276</v>
      </c>
      <c r="BT99" s="153" t="n">
        <v>-9522.6969276</v>
      </c>
      <c r="BU99" s="153" t="n">
        <v>-9522.6969276</v>
      </c>
      <c r="BV99" s="153" t="n">
        <v>-9522.6969276</v>
      </c>
      <c r="BW99" s="153" t="n">
        <v>-9522.6969276</v>
      </c>
      <c r="BX99" s="153" t="n">
        <v>-9522.6969276</v>
      </c>
      <c r="BY99" s="153" t="n">
        <v>-9522.6969276</v>
      </c>
      <c r="BZ99" s="153" t="n">
        <v>-9713.150866152</v>
      </c>
      <c r="CA99" s="153" t="n">
        <v>-9713.150866152</v>
      </c>
      <c r="CB99" s="153" t="n">
        <v>-9713.150866152</v>
      </c>
      <c r="CC99" s="153" t="n">
        <v>-9713.150866152</v>
      </c>
      <c r="CD99" s="153" t="n">
        <v>-9713.150866152</v>
      </c>
      <c r="CE99" s="153" t="n">
        <v>-9713.150866152</v>
      </c>
      <c r="CF99" s="153" t="n">
        <v>-9713.150866152</v>
      </c>
      <c r="CG99" s="153" t="n">
        <v>-9713.150866152</v>
      </c>
      <c r="CH99" s="153" t="n">
        <v>-9713.150866152</v>
      </c>
      <c r="CI99" s="153" t="n">
        <v>-9713.150866152</v>
      </c>
      <c r="CJ99" s="153" t="n">
        <v>-9713.150866152</v>
      </c>
      <c r="CK99" s="153" t="n">
        <v>-9713.150866152</v>
      </c>
      <c r="CL99" s="153" t="n">
        <v>-9907.41388347504</v>
      </c>
      <c r="CM99" s="153" t="n">
        <v>-9907.41388347504</v>
      </c>
      <c r="CN99" s="153" t="n">
        <v>-9907.41388347504</v>
      </c>
      <c r="CO99" s="153" t="n">
        <v>-9907.41388347504</v>
      </c>
      <c r="CP99" s="153" t="n">
        <v>-9907.41388347504</v>
      </c>
      <c r="CQ99" s="153" t="n">
        <v>-9907.41388347504</v>
      </c>
      <c r="CR99" s="153" t="n">
        <v>-9907.41388347504</v>
      </c>
      <c r="CS99" s="153" t="n">
        <v>-9907.41388347504</v>
      </c>
      <c r="CT99" s="153" t="n">
        <v>-9907.41388347504</v>
      </c>
      <c r="CU99" s="153" t="n">
        <v>-9907.41388347504</v>
      </c>
      <c r="CV99" s="153" t="n">
        <v>-9907.41388347504</v>
      </c>
      <c r="CW99" s="153" t="n">
        <v>-9907.41388347504</v>
      </c>
      <c r="CX99" s="153" t="n">
        <v>-10105.5621611445</v>
      </c>
      <c r="CY99" s="153" t="n">
        <v>-10105.5621611445</v>
      </c>
      <c r="CZ99" s="153" t="n">
        <v>-10105.5621611445</v>
      </c>
      <c r="DA99" s="153" t="n">
        <v>-10105.5621611445</v>
      </c>
      <c r="DB99" s="153" t="n">
        <v>-10105.5621611445</v>
      </c>
      <c r="DC99" s="153" t="n">
        <v>-10105.5621611445</v>
      </c>
      <c r="DD99" s="153" t="n">
        <v>-10105.5621611445</v>
      </c>
      <c r="DE99" s="153" t="n">
        <v>-10105.5621611445</v>
      </c>
      <c r="DF99" s="153" t="n">
        <v>-10105.5621611445</v>
      </c>
    </row>
    <row r="100" customFormat="false" ht="15" hidden="false" customHeight="true" outlineLevel="0" collapsed="false">
      <c r="A100" s="107" t="s">
        <v>123</v>
      </c>
      <c r="C100" s="154" t="n">
        <v>-268</v>
      </c>
      <c r="D100" s="154" t="n">
        <v>-2088.75</v>
      </c>
      <c r="E100" s="154" t="n">
        <v>-2401.75</v>
      </c>
      <c r="F100" s="154" t="n">
        <v>-1586.17</v>
      </c>
      <c r="G100" s="154" t="n">
        <v>-1586.17</v>
      </c>
      <c r="H100" s="154" t="n">
        <v>-1586.17</v>
      </c>
      <c r="I100" s="154" t="n">
        <v>-1586.17</v>
      </c>
      <c r="J100" s="154" t="n">
        <v>-1586.17</v>
      </c>
      <c r="K100" s="154" t="n">
        <v>-1586.17</v>
      </c>
      <c r="L100" s="154" t="n">
        <v>-1586.17</v>
      </c>
      <c r="M100" s="154" t="n">
        <v>-1586.17</v>
      </c>
      <c r="N100" s="154" t="n">
        <v>-1586.17</v>
      </c>
      <c r="O100" s="154" t="n">
        <v>-1586.17</v>
      </c>
      <c r="P100" s="154" t="n">
        <v>-1586.17</v>
      </c>
      <c r="Q100" s="154" t="n">
        <v>-1586.17</v>
      </c>
      <c r="R100" s="154" t="n">
        <v>-1617.8934</v>
      </c>
      <c r="S100" s="154" t="n">
        <v>-1617.8934</v>
      </c>
      <c r="T100" s="154" t="n">
        <v>-1617.8934</v>
      </c>
      <c r="U100" s="154" t="n">
        <v>-1617.8934</v>
      </c>
      <c r="V100" s="154" t="n">
        <v>-1617.8934</v>
      </c>
      <c r="W100" s="154" t="n">
        <v>-1617.8934</v>
      </c>
      <c r="X100" s="154" t="n">
        <v>-1617.8934</v>
      </c>
      <c r="Y100" s="154" t="n">
        <v>-1617.8934</v>
      </c>
      <c r="Z100" s="154" t="n">
        <v>-1617.8934</v>
      </c>
      <c r="AA100" s="154" t="n">
        <v>-1617.8934</v>
      </c>
      <c r="AB100" s="154" t="n">
        <v>-1617.8934</v>
      </c>
      <c r="AC100" s="154" t="n">
        <v>-1617.8934</v>
      </c>
      <c r="AD100" s="154" t="n">
        <v>-1650.251268</v>
      </c>
      <c r="AE100" s="154" t="n">
        <v>-1650.251268</v>
      </c>
      <c r="AF100" s="154" t="n">
        <v>-1650.251268</v>
      </c>
      <c r="AG100" s="154" t="n">
        <v>-1650.251268</v>
      </c>
      <c r="AH100" s="154" t="n">
        <v>-1650.251268</v>
      </c>
      <c r="AI100" s="154" t="n">
        <v>-1650.251268</v>
      </c>
      <c r="AJ100" s="154" t="n">
        <v>-1650.251268</v>
      </c>
      <c r="AK100" s="154" t="n">
        <v>-1650.251268</v>
      </c>
      <c r="AL100" s="154" t="n">
        <v>-1650.251268</v>
      </c>
      <c r="AM100" s="154" t="n">
        <v>-1650.251268</v>
      </c>
      <c r="AN100" s="154" t="n">
        <v>-1650.251268</v>
      </c>
      <c r="AO100" s="154" t="n">
        <v>-1650.251268</v>
      </c>
      <c r="AP100" s="154" t="n">
        <v>-1683.25629336</v>
      </c>
      <c r="AQ100" s="154" t="n">
        <v>-1683.25629336</v>
      </c>
      <c r="AR100" s="154" t="n">
        <v>-1683.25629336</v>
      </c>
      <c r="AS100" s="154" t="n">
        <v>-1683.25629336</v>
      </c>
      <c r="AT100" s="154" t="n">
        <v>-1683.25629336</v>
      </c>
      <c r="AU100" s="154" t="n">
        <v>-1683.25629336</v>
      </c>
      <c r="AV100" s="154" t="n">
        <v>-1683.25629336</v>
      </c>
      <c r="AW100" s="154" t="n">
        <v>-1683.25629336</v>
      </c>
      <c r="AX100" s="154" t="n">
        <v>-1683.25629336</v>
      </c>
      <c r="AY100" s="154" t="n">
        <v>-1683.25629336</v>
      </c>
      <c r="AZ100" s="154" t="n">
        <v>-1683.25629336</v>
      </c>
      <c r="BA100" s="154" t="n">
        <v>-1683.25629336</v>
      </c>
      <c r="BB100" s="154" t="n">
        <v>-1716.9214192272</v>
      </c>
      <c r="BC100" s="154" t="n">
        <v>-1716.9214192272</v>
      </c>
      <c r="BD100" s="154" t="n">
        <v>-1716.9214192272</v>
      </c>
      <c r="BE100" s="154" t="n">
        <v>-1716.9214192272</v>
      </c>
      <c r="BF100" s="154" t="n">
        <v>-1716.9214192272</v>
      </c>
      <c r="BG100" s="154" t="n">
        <v>-1716.9214192272</v>
      </c>
      <c r="BH100" s="154" t="n">
        <v>-1716.9214192272</v>
      </c>
      <c r="BI100" s="154" t="n">
        <v>-1716.9214192272</v>
      </c>
      <c r="BJ100" s="154" t="n">
        <v>-1716.9214192272</v>
      </c>
      <c r="BK100" s="154" t="n">
        <v>-1716.9214192272</v>
      </c>
      <c r="BL100" s="154" t="n">
        <v>-1716.9214192272</v>
      </c>
      <c r="BM100" s="154" t="n">
        <v>-1716.9214192272</v>
      </c>
      <c r="BN100" s="154" t="n">
        <v>-1751.25984761174</v>
      </c>
      <c r="BO100" s="154" t="n">
        <v>-1751.25984761174</v>
      </c>
      <c r="BP100" s="154" t="n">
        <v>-1751.25984761174</v>
      </c>
      <c r="BQ100" s="154" t="n">
        <v>-1751.25984761174</v>
      </c>
      <c r="BR100" s="154" t="n">
        <v>-1751.25984761174</v>
      </c>
      <c r="BS100" s="154" t="n">
        <v>-1751.25984761174</v>
      </c>
      <c r="BT100" s="154" t="n">
        <v>-1751.25984761174</v>
      </c>
      <c r="BU100" s="154" t="n">
        <v>-1751.25984761174</v>
      </c>
      <c r="BV100" s="154" t="n">
        <v>-1751.25984761174</v>
      </c>
      <c r="BW100" s="154" t="n">
        <v>-1751.25984761174</v>
      </c>
      <c r="BX100" s="154" t="n">
        <v>-1751.25984761174</v>
      </c>
      <c r="BY100" s="154" t="n">
        <v>-1751.25984761174</v>
      </c>
      <c r="BZ100" s="154" t="n">
        <v>-1786.28504456398</v>
      </c>
      <c r="CA100" s="154" t="n">
        <v>-1786.28504456398</v>
      </c>
      <c r="CB100" s="154" t="n">
        <v>-1786.28504456398</v>
      </c>
      <c r="CC100" s="154" t="n">
        <v>-1786.28504456398</v>
      </c>
      <c r="CD100" s="154" t="n">
        <v>-1786.28504456398</v>
      </c>
      <c r="CE100" s="154" t="n">
        <v>-1786.28504456398</v>
      </c>
      <c r="CF100" s="154" t="n">
        <v>-1786.28504456398</v>
      </c>
      <c r="CG100" s="154" t="n">
        <v>-1786.28504456398</v>
      </c>
      <c r="CH100" s="154" t="n">
        <v>-1786.28504456398</v>
      </c>
      <c r="CI100" s="154" t="n">
        <v>-1786.28504456398</v>
      </c>
      <c r="CJ100" s="154" t="n">
        <v>-1786.28504456398</v>
      </c>
      <c r="CK100" s="154" t="n">
        <v>-1786.28504456398</v>
      </c>
      <c r="CL100" s="154" t="n">
        <v>-1822.01074545526</v>
      </c>
      <c r="CM100" s="154" t="n">
        <v>-1822.01074545526</v>
      </c>
      <c r="CN100" s="154" t="n">
        <v>-1822.01074545526</v>
      </c>
      <c r="CO100" s="154" t="n">
        <v>-1822.01074545526</v>
      </c>
      <c r="CP100" s="154" t="n">
        <v>-1822.01074545526</v>
      </c>
      <c r="CQ100" s="154" t="n">
        <v>-1822.01074545526</v>
      </c>
      <c r="CR100" s="154" t="n">
        <v>-1822.01074545526</v>
      </c>
      <c r="CS100" s="154" t="n">
        <v>-1822.01074545526</v>
      </c>
      <c r="CT100" s="154" t="n">
        <v>-1822.01074545526</v>
      </c>
      <c r="CU100" s="154" t="n">
        <v>-1822.01074545526</v>
      </c>
      <c r="CV100" s="154" t="n">
        <v>-1822.01074545526</v>
      </c>
      <c r="CW100" s="154" t="n">
        <v>-1822.01074545526</v>
      </c>
      <c r="CX100" s="154" t="n">
        <v>-1858.45096036436</v>
      </c>
      <c r="CY100" s="154" t="n">
        <v>-1858.45096036436</v>
      </c>
      <c r="CZ100" s="154" t="n">
        <v>-1858.45096036436</v>
      </c>
      <c r="DA100" s="154" t="n">
        <v>-1858.45096036436</v>
      </c>
      <c r="DB100" s="154" t="n">
        <v>-1858.45096036436</v>
      </c>
      <c r="DC100" s="154" t="n">
        <v>-1858.45096036436</v>
      </c>
      <c r="DD100" s="154" t="n">
        <v>-1858.45096036436</v>
      </c>
      <c r="DE100" s="154" t="n">
        <v>-1858.45096036436</v>
      </c>
      <c r="DF100" s="154" t="n">
        <v>-1858.45096036436</v>
      </c>
    </row>
    <row r="101" customFormat="false" ht="15" hidden="false" customHeight="true" outlineLevel="0" collapsed="false">
      <c r="A101" s="107" t="s">
        <v>124</v>
      </c>
      <c r="C101" s="154" t="n">
        <v>-341.83</v>
      </c>
      <c r="D101" s="154" t="n">
        <v>-728</v>
      </c>
      <c r="E101" s="154" t="n">
        <v>-15256.75</v>
      </c>
      <c r="F101" s="154" t="n">
        <v>-5442.19</v>
      </c>
      <c r="G101" s="154" t="n">
        <v>-5442.19</v>
      </c>
      <c r="H101" s="154" t="n">
        <v>-5442.19</v>
      </c>
      <c r="I101" s="154" t="n">
        <v>-5442.19</v>
      </c>
      <c r="J101" s="154" t="n">
        <v>-5442.19</v>
      </c>
      <c r="K101" s="154" t="n">
        <v>-5442.19</v>
      </c>
      <c r="L101" s="154" t="n">
        <v>-5442.19</v>
      </c>
      <c r="M101" s="154" t="n">
        <v>-5442.19</v>
      </c>
      <c r="N101" s="154" t="n">
        <v>-5442.19</v>
      </c>
      <c r="O101" s="154" t="n">
        <v>-5442.19</v>
      </c>
      <c r="P101" s="154" t="n">
        <v>-5442.19</v>
      </c>
      <c r="Q101" s="154" t="n">
        <v>-5442.19</v>
      </c>
      <c r="R101" s="154" t="n">
        <v>-5551.0338</v>
      </c>
      <c r="S101" s="154" t="n">
        <v>-5551.0338</v>
      </c>
      <c r="T101" s="154" t="n">
        <v>-5551.0338</v>
      </c>
      <c r="U101" s="154" t="n">
        <v>-5551.0338</v>
      </c>
      <c r="V101" s="154" t="n">
        <v>-5551.0338</v>
      </c>
      <c r="W101" s="154" t="n">
        <v>-5551.0338</v>
      </c>
      <c r="X101" s="154" t="n">
        <v>-5551.0338</v>
      </c>
      <c r="Y101" s="154" t="n">
        <v>-5551.0338</v>
      </c>
      <c r="Z101" s="154" t="n">
        <v>-5551.0338</v>
      </c>
      <c r="AA101" s="154" t="n">
        <v>-5551.0338</v>
      </c>
      <c r="AB101" s="154" t="n">
        <v>-5551.0338</v>
      </c>
      <c r="AC101" s="154" t="n">
        <v>-5551.0338</v>
      </c>
      <c r="AD101" s="154" t="n">
        <v>-5662.054476</v>
      </c>
      <c r="AE101" s="154" t="n">
        <v>-5662.054476</v>
      </c>
      <c r="AF101" s="154" t="n">
        <v>-5662.054476</v>
      </c>
      <c r="AG101" s="154" t="n">
        <v>-5662.054476</v>
      </c>
      <c r="AH101" s="154" t="n">
        <v>-5662.054476</v>
      </c>
      <c r="AI101" s="154" t="n">
        <v>-5662.054476</v>
      </c>
      <c r="AJ101" s="154" t="n">
        <v>-5662.054476</v>
      </c>
      <c r="AK101" s="154" t="n">
        <v>-5662.054476</v>
      </c>
      <c r="AL101" s="154" t="n">
        <v>-5662.054476</v>
      </c>
      <c r="AM101" s="154" t="n">
        <v>-5662.054476</v>
      </c>
      <c r="AN101" s="154" t="n">
        <v>-5662.054476</v>
      </c>
      <c r="AO101" s="154" t="n">
        <v>-5662.054476</v>
      </c>
      <c r="AP101" s="154" t="n">
        <v>-5775.29556552</v>
      </c>
      <c r="AQ101" s="154" t="n">
        <v>-5775.29556552</v>
      </c>
      <c r="AR101" s="154" t="n">
        <v>-5775.29556552</v>
      </c>
      <c r="AS101" s="154" t="n">
        <v>-5775.29556552</v>
      </c>
      <c r="AT101" s="154" t="n">
        <v>-5775.29556552</v>
      </c>
      <c r="AU101" s="154" t="n">
        <v>-5775.29556552</v>
      </c>
      <c r="AV101" s="154" t="n">
        <v>-5775.29556552</v>
      </c>
      <c r="AW101" s="154" t="n">
        <v>-5775.29556552</v>
      </c>
      <c r="AX101" s="154" t="n">
        <v>-5775.29556552</v>
      </c>
      <c r="AY101" s="154" t="n">
        <v>-5775.29556552</v>
      </c>
      <c r="AZ101" s="154" t="n">
        <v>-5775.29556552</v>
      </c>
      <c r="BA101" s="154" t="n">
        <v>-5775.29556552</v>
      </c>
      <c r="BB101" s="154" t="n">
        <v>-5890.8014768304</v>
      </c>
      <c r="BC101" s="154" t="n">
        <v>-5890.8014768304</v>
      </c>
      <c r="BD101" s="154" t="n">
        <v>-5890.8014768304</v>
      </c>
      <c r="BE101" s="154" t="n">
        <v>-5890.8014768304</v>
      </c>
      <c r="BF101" s="154" t="n">
        <v>-5890.8014768304</v>
      </c>
      <c r="BG101" s="154" t="n">
        <v>-5890.8014768304</v>
      </c>
      <c r="BH101" s="154" t="n">
        <v>-5890.8014768304</v>
      </c>
      <c r="BI101" s="154" t="n">
        <v>-5890.8014768304</v>
      </c>
      <c r="BJ101" s="154" t="n">
        <v>-5890.8014768304</v>
      </c>
      <c r="BK101" s="154" t="n">
        <v>-5890.8014768304</v>
      </c>
      <c r="BL101" s="154" t="n">
        <v>-5890.8014768304</v>
      </c>
      <c r="BM101" s="154" t="n">
        <v>-5890.8014768304</v>
      </c>
      <c r="BN101" s="154" t="n">
        <v>-6008.61750636701</v>
      </c>
      <c r="BO101" s="154" t="n">
        <v>-6008.61750636701</v>
      </c>
      <c r="BP101" s="154" t="n">
        <v>-6008.61750636701</v>
      </c>
      <c r="BQ101" s="154" t="n">
        <v>-6008.61750636701</v>
      </c>
      <c r="BR101" s="154" t="n">
        <v>-6008.61750636701</v>
      </c>
      <c r="BS101" s="154" t="n">
        <v>-6008.61750636701</v>
      </c>
      <c r="BT101" s="154" t="n">
        <v>-6008.61750636701</v>
      </c>
      <c r="BU101" s="154" t="n">
        <v>-6008.61750636701</v>
      </c>
      <c r="BV101" s="154" t="n">
        <v>-6008.61750636701</v>
      </c>
      <c r="BW101" s="154" t="n">
        <v>-6008.61750636701</v>
      </c>
      <c r="BX101" s="154" t="n">
        <v>-6008.61750636701</v>
      </c>
      <c r="BY101" s="154" t="n">
        <v>-6008.61750636701</v>
      </c>
      <c r="BZ101" s="154" t="n">
        <v>-6128.78985649435</v>
      </c>
      <c r="CA101" s="154" t="n">
        <v>-6128.78985649435</v>
      </c>
      <c r="CB101" s="154" t="n">
        <v>-6128.78985649435</v>
      </c>
      <c r="CC101" s="154" t="n">
        <v>-6128.78985649435</v>
      </c>
      <c r="CD101" s="154" t="n">
        <v>-6128.78985649435</v>
      </c>
      <c r="CE101" s="154" t="n">
        <v>-6128.78985649435</v>
      </c>
      <c r="CF101" s="154" t="n">
        <v>-6128.78985649435</v>
      </c>
      <c r="CG101" s="154" t="n">
        <v>-6128.78985649435</v>
      </c>
      <c r="CH101" s="154" t="n">
        <v>-6128.78985649435</v>
      </c>
      <c r="CI101" s="154" t="n">
        <v>-6128.78985649435</v>
      </c>
      <c r="CJ101" s="154" t="n">
        <v>-6128.78985649435</v>
      </c>
      <c r="CK101" s="154" t="n">
        <v>-6128.78985649435</v>
      </c>
      <c r="CL101" s="154" t="n">
        <v>-6251.36565362424</v>
      </c>
      <c r="CM101" s="154" t="n">
        <v>-6251.36565362424</v>
      </c>
      <c r="CN101" s="154" t="n">
        <v>-6251.36565362424</v>
      </c>
      <c r="CO101" s="154" t="n">
        <v>-6251.36565362424</v>
      </c>
      <c r="CP101" s="154" t="n">
        <v>-6251.36565362424</v>
      </c>
      <c r="CQ101" s="154" t="n">
        <v>-6251.36565362424</v>
      </c>
      <c r="CR101" s="154" t="n">
        <v>-6251.36565362424</v>
      </c>
      <c r="CS101" s="154" t="n">
        <v>-6251.36565362424</v>
      </c>
      <c r="CT101" s="154" t="n">
        <v>-6251.36565362424</v>
      </c>
      <c r="CU101" s="154" t="n">
        <v>-6251.36565362424</v>
      </c>
      <c r="CV101" s="154" t="n">
        <v>-6251.36565362424</v>
      </c>
      <c r="CW101" s="154" t="n">
        <v>-6251.36565362424</v>
      </c>
      <c r="CX101" s="154" t="n">
        <v>-6376.39296669672</v>
      </c>
      <c r="CY101" s="154" t="n">
        <v>-6376.39296669672</v>
      </c>
      <c r="CZ101" s="154" t="n">
        <v>-6376.39296669672</v>
      </c>
      <c r="DA101" s="154" t="n">
        <v>-6376.39296669672</v>
      </c>
      <c r="DB101" s="154" t="n">
        <v>-6376.39296669672</v>
      </c>
      <c r="DC101" s="154" t="n">
        <v>-6376.39296669672</v>
      </c>
      <c r="DD101" s="154" t="n">
        <v>-6376.39296669672</v>
      </c>
      <c r="DE101" s="154" t="n">
        <v>-6376.39296669672</v>
      </c>
      <c r="DF101" s="154" t="n">
        <v>-6376.39296669672</v>
      </c>
    </row>
    <row r="102" customFormat="false" ht="15" hidden="false" customHeight="true" outlineLevel="0" collapsed="false">
      <c r="A102" s="114" t="s">
        <v>125</v>
      </c>
      <c r="C102" s="154" t="n">
        <v>-1905.31</v>
      </c>
      <c r="D102" s="154" t="n">
        <v>-1905.31</v>
      </c>
      <c r="E102" s="154" t="n">
        <v>-1905.31</v>
      </c>
      <c r="F102" s="154" t="n">
        <v>-1905.31</v>
      </c>
      <c r="G102" s="154" t="n">
        <v>-1905.31</v>
      </c>
      <c r="H102" s="154" t="n">
        <v>-1905.31</v>
      </c>
      <c r="I102" s="154" t="n">
        <v>-1905.31</v>
      </c>
      <c r="J102" s="154" t="n">
        <v>-1905.31</v>
      </c>
      <c r="K102" s="154" t="n">
        <v>-1905.31</v>
      </c>
      <c r="L102" s="154" t="n">
        <v>-1905.31</v>
      </c>
      <c r="M102" s="154" t="n">
        <v>-1905.31</v>
      </c>
      <c r="N102" s="154" t="n">
        <v>-1905.31</v>
      </c>
      <c r="O102" s="154" t="n">
        <v>-1905.31</v>
      </c>
      <c r="P102" s="154" t="n">
        <v>-1905.31</v>
      </c>
      <c r="Q102" s="154" t="n">
        <v>-1905.31</v>
      </c>
      <c r="R102" s="154" t="n">
        <v>-1943.4162</v>
      </c>
      <c r="S102" s="154" t="n">
        <v>-1943.4162</v>
      </c>
      <c r="T102" s="154" t="n">
        <v>-1943.4162</v>
      </c>
      <c r="U102" s="154" t="n">
        <v>-1943.4162</v>
      </c>
      <c r="V102" s="154" t="n">
        <v>-1943.4162</v>
      </c>
      <c r="W102" s="154" t="n">
        <v>-1943.4162</v>
      </c>
      <c r="X102" s="154" t="n">
        <v>-1943.4162</v>
      </c>
      <c r="Y102" s="154" t="n">
        <v>-1943.4162</v>
      </c>
      <c r="Z102" s="154" t="n">
        <v>-1943.4162</v>
      </c>
      <c r="AA102" s="154" t="n">
        <v>-1943.4162</v>
      </c>
      <c r="AB102" s="154" t="n">
        <v>-1943.4162</v>
      </c>
      <c r="AC102" s="154" t="n">
        <v>-1943.4162</v>
      </c>
      <c r="AD102" s="154" t="n">
        <v>-1982.284524</v>
      </c>
      <c r="AE102" s="154" t="n">
        <v>-1982.284524</v>
      </c>
      <c r="AF102" s="154" t="n">
        <v>-1982.284524</v>
      </c>
      <c r="AG102" s="154" t="n">
        <v>-1982.284524</v>
      </c>
      <c r="AH102" s="154" t="n">
        <v>-1982.284524</v>
      </c>
      <c r="AI102" s="154" t="n">
        <v>-1982.284524</v>
      </c>
      <c r="AJ102" s="154" t="n">
        <v>-1982.284524</v>
      </c>
      <c r="AK102" s="154" t="n">
        <v>-1982.284524</v>
      </c>
      <c r="AL102" s="154" t="n">
        <v>-1982.284524</v>
      </c>
      <c r="AM102" s="154" t="n">
        <v>-1982.284524</v>
      </c>
      <c r="AN102" s="154" t="n">
        <v>-1982.284524</v>
      </c>
      <c r="AO102" s="154" t="n">
        <v>-1982.284524</v>
      </c>
      <c r="AP102" s="154" t="n">
        <v>-2021.93021448</v>
      </c>
      <c r="AQ102" s="154" t="n">
        <v>-2021.93021448</v>
      </c>
      <c r="AR102" s="154" t="n">
        <v>-2021.93021448</v>
      </c>
      <c r="AS102" s="154" t="n">
        <v>-2021.93021448</v>
      </c>
      <c r="AT102" s="154" t="n">
        <v>-2021.93021448</v>
      </c>
      <c r="AU102" s="154" t="n">
        <v>-2021.93021448</v>
      </c>
      <c r="AV102" s="154" t="n">
        <v>-2021.93021448</v>
      </c>
      <c r="AW102" s="154" t="n">
        <v>-2021.93021448</v>
      </c>
      <c r="AX102" s="154" t="n">
        <v>-2021.93021448</v>
      </c>
      <c r="AY102" s="154" t="n">
        <v>-2021.93021448</v>
      </c>
      <c r="AZ102" s="154" t="n">
        <v>-2021.93021448</v>
      </c>
      <c r="BA102" s="154" t="n">
        <v>-2021.93021448</v>
      </c>
      <c r="BB102" s="154" t="n">
        <v>-2062.3688187696</v>
      </c>
      <c r="BC102" s="154" t="n">
        <v>-2062.3688187696</v>
      </c>
      <c r="BD102" s="154" t="n">
        <v>-2062.3688187696</v>
      </c>
      <c r="BE102" s="154" t="n">
        <v>-2062.3688187696</v>
      </c>
      <c r="BF102" s="154" t="n">
        <v>-2062.3688187696</v>
      </c>
      <c r="BG102" s="154" t="n">
        <v>-2062.3688187696</v>
      </c>
      <c r="BH102" s="154" t="n">
        <v>-2062.3688187696</v>
      </c>
      <c r="BI102" s="154" t="n">
        <v>-2062.3688187696</v>
      </c>
      <c r="BJ102" s="154" t="n">
        <v>-2062.3688187696</v>
      </c>
      <c r="BK102" s="154" t="n">
        <v>-2062.3688187696</v>
      </c>
      <c r="BL102" s="154" t="n">
        <v>-2062.3688187696</v>
      </c>
      <c r="BM102" s="154" t="n">
        <v>-2062.3688187696</v>
      </c>
      <c r="BN102" s="154" t="n">
        <v>-2103.61619514499</v>
      </c>
      <c r="BO102" s="154" t="n">
        <v>-2103.61619514499</v>
      </c>
      <c r="BP102" s="154" t="n">
        <v>-2103.61619514499</v>
      </c>
      <c r="BQ102" s="154" t="n">
        <v>-2103.61619514499</v>
      </c>
      <c r="BR102" s="154" t="n">
        <v>-2103.61619514499</v>
      </c>
      <c r="BS102" s="154" t="n">
        <v>-2103.61619514499</v>
      </c>
      <c r="BT102" s="154" t="n">
        <v>-2103.61619514499</v>
      </c>
      <c r="BU102" s="154" t="n">
        <v>-2103.61619514499</v>
      </c>
      <c r="BV102" s="154" t="n">
        <v>-2103.61619514499</v>
      </c>
      <c r="BW102" s="154" t="n">
        <v>-2103.61619514499</v>
      </c>
      <c r="BX102" s="154" t="n">
        <v>-2103.61619514499</v>
      </c>
      <c r="BY102" s="154" t="n">
        <v>-2103.61619514499</v>
      </c>
      <c r="BZ102" s="154" t="n">
        <v>-2145.68851904789</v>
      </c>
      <c r="CA102" s="154" t="n">
        <v>-2145.68851904789</v>
      </c>
      <c r="CB102" s="154" t="n">
        <v>-2145.68851904789</v>
      </c>
      <c r="CC102" s="154" t="n">
        <v>-2145.68851904789</v>
      </c>
      <c r="CD102" s="154" t="n">
        <v>-2145.68851904789</v>
      </c>
      <c r="CE102" s="154" t="n">
        <v>-2145.68851904789</v>
      </c>
      <c r="CF102" s="154" t="n">
        <v>-2145.68851904789</v>
      </c>
      <c r="CG102" s="154" t="n">
        <v>-2145.68851904789</v>
      </c>
      <c r="CH102" s="154" t="n">
        <v>-2145.68851904789</v>
      </c>
      <c r="CI102" s="154" t="n">
        <v>-2145.68851904789</v>
      </c>
      <c r="CJ102" s="154" t="n">
        <v>-2145.68851904789</v>
      </c>
      <c r="CK102" s="154" t="n">
        <v>-2145.68851904789</v>
      </c>
      <c r="CL102" s="154" t="n">
        <v>-2188.60228942885</v>
      </c>
      <c r="CM102" s="154" t="n">
        <v>-2188.60228942885</v>
      </c>
      <c r="CN102" s="154" t="n">
        <v>-2188.60228942885</v>
      </c>
      <c r="CO102" s="154" t="n">
        <v>-2188.60228942885</v>
      </c>
      <c r="CP102" s="154" t="n">
        <v>-2188.60228942885</v>
      </c>
      <c r="CQ102" s="154" t="n">
        <v>-2188.60228942885</v>
      </c>
      <c r="CR102" s="154" t="n">
        <v>-2188.60228942885</v>
      </c>
      <c r="CS102" s="154" t="n">
        <v>-2188.60228942885</v>
      </c>
      <c r="CT102" s="154" t="n">
        <v>-2188.60228942885</v>
      </c>
      <c r="CU102" s="154" t="n">
        <v>-2188.60228942885</v>
      </c>
      <c r="CV102" s="154" t="n">
        <v>-2188.60228942885</v>
      </c>
      <c r="CW102" s="154" t="n">
        <v>-2188.60228942885</v>
      </c>
      <c r="CX102" s="154" t="n">
        <v>-2232.37433521743</v>
      </c>
      <c r="CY102" s="154" t="n">
        <v>-2232.37433521743</v>
      </c>
      <c r="CZ102" s="154" t="n">
        <v>-2232.37433521743</v>
      </c>
      <c r="DA102" s="154" t="n">
        <v>-2232.37433521743</v>
      </c>
      <c r="DB102" s="154" t="n">
        <v>-2232.37433521743</v>
      </c>
      <c r="DC102" s="154" t="n">
        <v>-2232.37433521743</v>
      </c>
      <c r="DD102" s="154" t="n">
        <v>-2232.37433521743</v>
      </c>
      <c r="DE102" s="154" t="n">
        <v>-2232.37433521743</v>
      </c>
      <c r="DF102" s="154" t="n">
        <v>-2232.37433521743</v>
      </c>
    </row>
    <row r="103" customFormat="false" ht="15" hidden="false" customHeight="true" outlineLevel="0" collapsed="false">
      <c r="A103" s="114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-2100</v>
      </c>
      <c r="J103" s="154" t="n">
        <v>-2100</v>
      </c>
      <c r="K103" s="154" t="n">
        <v>-2100</v>
      </c>
      <c r="L103" s="154" t="n">
        <v>-2100</v>
      </c>
      <c r="M103" s="154" t="n">
        <v>-2100</v>
      </c>
      <c r="N103" s="154" t="n">
        <v>-2100</v>
      </c>
      <c r="O103" s="154" t="n">
        <v>-2100</v>
      </c>
      <c r="P103" s="154" t="n">
        <v>-2100</v>
      </c>
      <c r="Q103" s="154" t="n">
        <v>-2100</v>
      </c>
      <c r="R103" s="154" t="n">
        <v>-2142</v>
      </c>
      <c r="S103" s="154" t="n">
        <v>-2142</v>
      </c>
      <c r="T103" s="154" t="n">
        <v>-2142</v>
      </c>
      <c r="U103" s="154" t="n">
        <v>-2142</v>
      </c>
      <c r="V103" s="154" t="n">
        <v>-2142</v>
      </c>
      <c r="W103" s="154" t="n">
        <v>-2142</v>
      </c>
      <c r="X103" s="154" t="n">
        <v>-2142</v>
      </c>
      <c r="Y103" s="154" t="n">
        <v>-2142</v>
      </c>
      <c r="Z103" s="154" t="n">
        <v>-2142</v>
      </c>
      <c r="AA103" s="154" t="n">
        <v>-2142</v>
      </c>
      <c r="AB103" s="154" t="n">
        <v>-2142</v>
      </c>
      <c r="AC103" s="154" t="n">
        <v>-2142</v>
      </c>
      <c r="AD103" s="154" t="n">
        <v>-2184.84</v>
      </c>
      <c r="AE103" s="154" t="n">
        <v>-2184.84</v>
      </c>
      <c r="AF103" s="154" t="n">
        <v>-2184.84</v>
      </c>
      <c r="AG103" s="154" t="n">
        <v>-2184.84</v>
      </c>
      <c r="AH103" s="154" t="n">
        <v>-2184.84</v>
      </c>
      <c r="AI103" s="154" t="n">
        <v>-2184.84</v>
      </c>
      <c r="AJ103" s="154" t="n">
        <v>-2184.84</v>
      </c>
      <c r="AK103" s="154" t="n">
        <v>-2184.84</v>
      </c>
      <c r="AL103" s="154" t="n">
        <v>-2184.84</v>
      </c>
      <c r="AM103" s="154" t="n">
        <v>-2184.84</v>
      </c>
      <c r="AN103" s="154" t="n">
        <v>-2184.84</v>
      </c>
      <c r="AO103" s="154" t="n">
        <v>-2184.84</v>
      </c>
      <c r="AP103" s="154" t="n">
        <v>-2228.5368</v>
      </c>
      <c r="AQ103" s="154" t="n">
        <v>-2228.5368</v>
      </c>
      <c r="AR103" s="154" t="n">
        <v>-2228.5368</v>
      </c>
      <c r="AS103" s="154" t="n">
        <v>-2228.5368</v>
      </c>
      <c r="AT103" s="154" t="n">
        <v>-2228.5368</v>
      </c>
      <c r="AU103" s="154" t="n">
        <v>-2228.5368</v>
      </c>
      <c r="AV103" s="154" t="n">
        <v>-2228.5368</v>
      </c>
      <c r="AW103" s="154" t="n">
        <v>-2228.5368</v>
      </c>
      <c r="AX103" s="154" t="n">
        <v>-2228.5368</v>
      </c>
      <c r="AY103" s="154" t="n">
        <v>-2228.5368</v>
      </c>
      <c r="AZ103" s="154" t="n">
        <v>-2228.5368</v>
      </c>
      <c r="BA103" s="154" t="n">
        <v>-2228.5368</v>
      </c>
      <c r="BB103" s="154" t="n">
        <v>-2273.107536</v>
      </c>
      <c r="BC103" s="154" t="n">
        <v>-2273.107536</v>
      </c>
      <c r="BD103" s="154" t="n">
        <v>-2273.107536</v>
      </c>
      <c r="BE103" s="154" t="n">
        <v>-2273.107536</v>
      </c>
      <c r="BF103" s="154" t="n">
        <v>-2273.107536</v>
      </c>
      <c r="BG103" s="154" t="n">
        <v>-2273.107536</v>
      </c>
      <c r="BH103" s="154" t="n">
        <v>-2273.107536</v>
      </c>
      <c r="BI103" s="154" t="n">
        <v>-2273.107536</v>
      </c>
      <c r="BJ103" s="154" t="n">
        <v>-2273.107536</v>
      </c>
      <c r="BK103" s="154" t="n">
        <v>-2273.107536</v>
      </c>
      <c r="BL103" s="154" t="n">
        <v>-2273.107536</v>
      </c>
      <c r="BM103" s="154" t="n">
        <v>-2273.107536</v>
      </c>
      <c r="BN103" s="154" t="n">
        <v>-2318.56968672</v>
      </c>
      <c r="BO103" s="154" t="n">
        <v>-2318.56968672</v>
      </c>
      <c r="BP103" s="154" t="n">
        <v>-2318.56968672</v>
      </c>
      <c r="BQ103" s="154" t="n">
        <v>-2318.56968672</v>
      </c>
      <c r="BR103" s="154" t="n">
        <v>-2318.56968672</v>
      </c>
      <c r="BS103" s="154" t="n">
        <v>-2318.56968672</v>
      </c>
      <c r="BT103" s="154" t="n">
        <v>-2318.56968672</v>
      </c>
      <c r="BU103" s="154" t="n">
        <v>-2318.56968672</v>
      </c>
      <c r="BV103" s="154" t="n">
        <v>-2318.56968672</v>
      </c>
      <c r="BW103" s="154" t="n">
        <v>-2318.56968672</v>
      </c>
      <c r="BX103" s="154" t="n">
        <v>-2318.56968672</v>
      </c>
      <c r="BY103" s="154" t="n">
        <v>-2318.56968672</v>
      </c>
      <c r="BZ103" s="154" t="n">
        <v>-2364.9410804544</v>
      </c>
      <c r="CA103" s="154" t="n">
        <v>-2364.9410804544</v>
      </c>
      <c r="CB103" s="154" t="n">
        <v>-2364.9410804544</v>
      </c>
      <c r="CC103" s="154" t="n">
        <v>-2364.9410804544</v>
      </c>
      <c r="CD103" s="154" t="n">
        <v>-2364.9410804544</v>
      </c>
      <c r="CE103" s="154" t="n">
        <v>-2364.9410804544</v>
      </c>
      <c r="CF103" s="154" t="n">
        <v>-2364.9410804544</v>
      </c>
      <c r="CG103" s="154" t="n">
        <v>-2364.9410804544</v>
      </c>
      <c r="CH103" s="154" t="n">
        <v>-2364.9410804544</v>
      </c>
      <c r="CI103" s="154" t="n">
        <v>-2364.9410804544</v>
      </c>
      <c r="CJ103" s="154" t="n">
        <v>-2364.9410804544</v>
      </c>
      <c r="CK103" s="154" t="n">
        <v>-2364.9410804544</v>
      </c>
      <c r="CL103" s="154" t="n">
        <v>-2412.23990206349</v>
      </c>
      <c r="CM103" s="154" t="n">
        <v>-2412.23990206349</v>
      </c>
      <c r="CN103" s="154" t="n">
        <v>-2412.23990206349</v>
      </c>
      <c r="CO103" s="154" t="n">
        <v>-2412.23990206349</v>
      </c>
      <c r="CP103" s="154" t="n">
        <v>-2412.23990206349</v>
      </c>
      <c r="CQ103" s="154" t="n">
        <v>-2412.23990206349</v>
      </c>
      <c r="CR103" s="154" t="n">
        <v>-2412.23990206349</v>
      </c>
      <c r="CS103" s="154" t="n">
        <v>-2412.23990206349</v>
      </c>
      <c r="CT103" s="154" t="n">
        <v>-2412.23990206349</v>
      </c>
      <c r="CU103" s="154" t="n">
        <v>-2412.23990206349</v>
      </c>
      <c r="CV103" s="154" t="n">
        <v>-2412.23990206349</v>
      </c>
      <c r="CW103" s="154" t="n">
        <v>-2412.23990206349</v>
      </c>
      <c r="CX103" s="154" t="n">
        <v>-2460.48470010476</v>
      </c>
      <c r="CY103" s="154" t="n">
        <v>-2460.48470010476</v>
      </c>
      <c r="CZ103" s="154" t="n">
        <v>-2460.48470010476</v>
      </c>
      <c r="DA103" s="154" t="n">
        <v>-2460.48470010476</v>
      </c>
      <c r="DB103" s="154" t="n">
        <v>-2460.48470010476</v>
      </c>
      <c r="DC103" s="154" t="n">
        <v>-2460.48470010476</v>
      </c>
      <c r="DD103" s="154" t="n">
        <v>-2460.48470010476</v>
      </c>
      <c r="DE103" s="154" t="n">
        <v>-2460.48470010476</v>
      </c>
      <c r="DF103" s="154" t="n">
        <v>-2460.48470010476</v>
      </c>
    </row>
    <row r="104" customFormat="false" ht="15" hidden="false" customHeight="true" outlineLevel="0" collapsed="false">
      <c r="A104" s="114" t="s">
        <v>80</v>
      </c>
      <c r="C104" s="154" t="n">
        <v>-66666.66</v>
      </c>
      <c r="D104" s="154" t="n">
        <v>-66666.66</v>
      </c>
      <c r="E104" s="154" t="n">
        <v>-66666.66</v>
      </c>
      <c r="F104" s="154" t="n">
        <v>-25000</v>
      </c>
      <c r="G104" s="154" t="n">
        <v>-25000</v>
      </c>
      <c r="H104" s="154" t="n">
        <v>-25000</v>
      </c>
      <c r="I104" s="154" t="n">
        <v>-25000</v>
      </c>
      <c r="J104" s="154" t="n">
        <v>-25000</v>
      </c>
      <c r="K104" s="154" t="n">
        <v>-25000</v>
      </c>
      <c r="L104" s="154" t="n">
        <v>-25000</v>
      </c>
      <c r="M104" s="154" t="n">
        <v>-25000</v>
      </c>
      <c r="N104" s="154" t="n">
        <v>-25000</v>
      </c>
      <c r="O104" s="154" t="n">
        <v>-25000</v>
      </c>
      <c r="P104" s="154" t="n">
        <v>-25000</v>
      </c>
      <c r="Q104" s="154" t="n">
        <v>-25000</v>
      </c>
      <c r="R104" s="154" t="n">
        <v>-25500</v>
      </c>
      <c r="S104" s="154" t="n">
        <v>-25500</v>
      </c>
      <c r="T104" s="154" t="n">
        <v>-25500</v>
      </c>
      <c r="U104" s="154" t="n">
        <v>-25500</v>
      </c>
      <c r="V104" s="154" t="n">
        <v>-25500</v>
      </c>
      <c r="W104" s="154" t="n">
        <v>-25500</v>
      </c>
      <c r="X104" s="154" t="n">
        <v>-25500</v>
      </c>
      <c r="Y104" s="154" t="n">
        <v>-25500</v>
      </c>
      <c r="Z104" s="154" t="n">
        <v>-25500</v>
      </c>
      <c r="AA104" s="154" t="n">
        <v>-25500</v>
      </c>
      <c r="AB104" s="154" t="n">
        <v>-25500</v>
      </c>
      <c r="AC104" s="154" t="n">
        <v>-25500</v>
      </c>
      <c r="AD104" s="154" t="n">
        <v>-26010</v>
      </c>
      <c r="AE104" s="154" t="n">
        <v>-26010</v>
      </c>
      <c r="AF104" s="154" t="n">
        <v>-26010</v>
      </c>
      <c r="AG104" s="154" t="n">
        <v>-26010</v>
      </c>
      <c r="AH104" s="154" t="n">
        <v>-26010</v>
      </c>
      <c r="AI104" s="154" t="n">
        <v>-26010</v>
      </c>
      <c r="AJ104" s="154" t="n">
        <v>-26010</v>
      </c>
      <c r="AK104" s="154" t="n">
        <v>-26010</v>
      </c>
      <c r="AL104" s="154" t="n">
        <v>-26010</v>
      </c>
      <c r="AM104" s="154" t="n">
        <v>-26010</v>
      </c>
      <c r="AN104" s="154" t="n">
        <v>-26010</v>
      </c>
      <c r="AO104" s="154" t="n">
        <v>-26010</v>
      </c>
      <c r="AP104" s="154" t="n">
        <v>-26530.2</v>
      </c>
      <c r="AQ104" s="154" t="n">
        <v>-26530.2</v>
      </c>
      <c r="AR104" s="154" t="n">
        <v>-26530.2</v>
      </c>
      <c r="AS104" s="154" t="n">
        <v>-26530.2</v>
      </c>
      <c r="AT104" s="154" t="n">
        <v>-26530.2</v>
      </c>
      <c r="AU104" s="154" t="n">
        <v>-26530.2</v>
      </c>
      <c r="AV104" s="154" t="n">
        <v>-26530.2</v>
      </c>
      <c r="AW104" s="154" t="n">
        <v>-26530.2</v>
      </c>
      <c r="AX104" s="154" t="n">
        <v>-26530.2</v>
      </c>
      <c r="AY104" s="154" t="n">
        <v>-26530.2</v>
      </c>
      <c r="AZ104" s="154" t="n">
        <v>-26530.2</v>
      </c>
      <c r="BA104" s="154" t="n">
        <v>-26530.2</v>
      </c>
      <c r="BB104" s="154" t="n">
        <v>-27060.804</v>
      </c>
      <c r="BC104" s="154" t="n">
        <v>-27060.804</v>
      </c>
      <c r="BD104" s="154" t="n">
        <v>-27060.804</v>
      </c>
      <c r="BE104" s="154" t="n">
        <v>-27060.804</v>
      </c>
      <c r="BF104" s="154" t="n">
        <v>-27060.804</v>
      </c>
      <c r="BG104" s="154" t="n">
        <v>-27060.804</v>
      </c>
      <c r="BH104" s="154" t="n">
        <v>-27060.804</v>
      </c>
      <c r="BI104" s="154" t="n">
        <v>-27060.804</v>
      </c>
      <c r="BJ104" s="154" t="n">
        <v>-27060.804</v>
      </c>
      <c r="BK104" s="154" t="n">
        <v>-27060.804</v>
      </c>
      <c r="BL104" s="154" t="n">
        <v>-27060.804</v>
      </c>
      <c r="BM104" s="154" t="n">
        <v>-27060.804</v>
      </c>
      <c r="BN104" s="154" t="n">
        <v>-27602.02008</v>
      </c>
      <c r="BO104" s="154" t="n">
        <v>-27602.02008</v>
      </c>
      <c r="BP104" s="154" t="n">
        <v>-27602.02008</v>
      </c>
      <c r="BQ104" s="154" t="n">
        <v>-27602.02008</v>
      </c>
      <c r="BR104" s="154" t="n">
        <v>-27602.02008</v>
      </c>
      <c r="BS104" s="154" t="n">
        <v>-27602.02008</v>
      </c>
      <c r="BT104" s="154" t="n">
        <v>-27602.02008</v>
      </c>
      <c r="BU104" s="154" t="n">
        <v>-27602.02008</v>
      </c>
      <c r="BV104" s="154" t="n">
        <v>-27602.02008</v>
      </c>
      <c r="BW104" s="154" t="n">
        <v>-27602.02008</v>
      </c>
      <c r="BX104" s="154" t="n">
        <v>-27602.02008</v>
      </c>
      <c r="BY104" s="154" t="n">
        <v>-27602.02008</v>
      </c>
      <c r="BZ104" s="154" t="n">
        <v>-28154.0604816</v>
      </c>
      <c r="CA104" s="154" t="n">
        <v>-28154.0604816</v>
      </c>
      <c r="CB104" s="154" t="n">
        <v>-28154.0604816</v>
      </c>
      <c r="CC104" s="154" t="n">
        <v>-28154.0604816</v>
      </c>
      <c r="CD104" s="154" t="n">
        <v>-28154.0604816</v>
      </c>
      <c r="CE104" s="154" t="n">
        <v>-28154.0604816</v>
      </c>
      <c r="CF104" s="154" t="n">
        <v>-28154.0604816</v>
      </c>
      <c r="CG104" s="154" t="n">
        <v>-28154.0604816</v>
      </c>
      <c r="CH104" s="154" t="n">
        <v>-28154.0604816</v>
      </c>
      <c r="CI104" s="154" t="n">
        <v>-28154.0604816</v>
      </c>
      <c r="CJ104" s="154" t="n">
        <v>-28154.0604816</v>
      </c>
      <c r="CK104" s="154" t="n">
        <v>-28154.0604816</v>
      </c>
      <c r="CL104" s="154" t="n">
        <v>-28717.141691232</v>
      </c>
      <c r="CM104" s="154" t="n">
        <v>-28717.141691232</v>
      </c>
      <c r="CN104" s="154" t="n">
        <v>-28717.141691232</v>
      </c>
      <c r="CO104" s="154" t="n">
        <v>-28717.141691232</v>
      </c>
      <c r="CP104" s="154" t="n">
        <v>-28717.141691232</v>
      </c>
      <c r="CQ104" s="154" t="n">
        <v>-28717.141691232</v>
      </c>
      <c r="CR104" s="154" t="n">
        <v>-28717.141691232</v>
      </c>
      <c r="CS104" s="154" t="n">
        <v>-28717.141691232</v>
      </c>
      <c r="CT104" s="154" t="n">
        <v>-28717.141691232</v>
      </c>
      <c r="CU104" s="154" t="n">
        <v>-28717.141691232</v>
      </c>
      <c r="CV104" s="154" t="n">
        <v>-28717.141691232</v>
      </c>
      <c r="CW104" s="154" t="n">
        <v>-28717.141691232</v>
      </c>
      <c r="CX104" s="154" t="n">
        <v>-29291.4845250566</v>
      </c>
      <c r="CY104" s="154" t="n">
        <v>-29291.4845250566</v>
      </c>
      <c r="CZ104" s="154" t="n">
        <v>-29291.4845250566</v>
      </c>
      <c r="DA104" s="154" t="n">
        <v>-29291.4845250566</v>
      </c>
      <c r="DB104" s="154" t="n">
        <v>-29291.4845250566</v>
      </c>
      <c r="DC104" s="154" t="n">
        <v>-29291.4845250566</v>
      </c>
      <c r="DD104" s="154" t="n">
        <v>-29291.4845250566</v>
      </c>
      <c r="DE104" s="154" t="n">
        <v>-29291.4845250566</v>
      </c>
      <c r="DF104" s="154" t="n">
        <v>-29291.4845250566</v>
      </c>
    </row>
    <row r="105" customFormat="false" ht="15" hidden="false" customHeight="true" outlineLevel="0" collapsed="false">
      <c r="A105" s="127" t="s">
        <v>88</v>
      </c>
      <c r="C105" s="112" t="n">
        <v>-4731.96</v>
      </c>
      <c r="D105" s="112" t="n">
        <v>-5</v>
      </c>
      <c r="E105" s="112" t="n">
        <v>-5</v>
      </c>
      <c r="F105" s="153" t="n">
        <v>-1580.65</v>
      </c>
      <c r="G105" s="153" t="n">
        <v>-1580.65</v>
      </c>
      <c r="H105" s="153" t="n">
        <v>-1580.65</v>
      </c>
      <c r="I105" s="153" t="n">
        <v>-1580.65</v>
      </c>
      <c r="J105" s="153" t="n">
        <v>-1580.65</v>
      </c>
      <c r="K105" s="153" t="n">
        <v>-1580.65</v>
      </c>
      <c r="L105" s="153" t="n">
        <v>-1580.65</v>
      </c>
      <c r="M105" s="153" t="n">
        <v>-1580.65</v>
      </c>
      <c r="N105" s="153" t="n">
        <v>-1580.65</v>
      </c>
      <c r="O105" s="153" t="n">
        <v>-1580.65</v>
      </c>
      <c r="P105" s="153" t="n">
        <v>-1580.65</v>
      </c>
      <c r="Q105" s="153" t="n">
        <v>-1580.65</v>
      </c>
      <c r="R105" s="153" t="n">
        <v>-1612.263</v>
      </c>
      <c r="S105" s="153" t="n">
        <v>-1612.263</v>
      </c>
      <c r="T105" s="153" t="n">
        <v>-1612.263</v>
      </c>
      <c r="U105" s="153" t="n">
        <v>-1612.263</v>
      </c>
      <c r="V105" s="153" t="n">
        <v>-1612.263</v>
      </c>
      <c r="W105" s="153" t="n">
        <v>-1612.263</v>
      </c>
      <c r="X105" s="153" t="n">
        <v>-1612.263</v>
      </c>
      <c r="Y105" s="153" t="n">
        <v>-1612.263</v>
      </c>
      <c r="Z105" s="153" t="n">
        <v>-1612.263</v>
      </c>
      <c r="AA105" s="153" t="n">
        <v>-1612.263</v>
      </c>
      <c r="AB105" s="153" t="n">
        <v>-1612.263</v>
      </c>
      <c r="AC105" s="153" t="n">
        <v>-1612.263</v>
      </c>
      <c r="AD105" s="153" t="n">
        <v>-1644.50826</v>
      </c>
      <c r="AE105" s="153" t="n">
        <v>-1644.50826</v>
      </c>
      <c r="AF105" s="153" t="n">
        <v>-1644.50826</v>
      </c>
      <c r="AG105" s="153" t="n">
        <v>-1644.50826</v>
      </c>
      <c r="AH105" s="153" t="n">
        <v>-1644.50826</v>
      </c>
      <c r="AI105" s="153" t="n">
        <v>-1644.50826</v>
      </c>
      <c r="AJ105" s="153" t="n">
        <v>-1644.50826</v>
      </c>
      <c r="AK105" s="153" t="n">
        <v>-1644.50826</v>
      </c>
      <c r="AL105" s="153" t="n">
        <v>-1644.50826</v>
      </c>
      <c r="AM105" s="153" t="n">
        <v>-1644.50826</v>
      </c>
      <c r="AN105" s="153" t="n">
        <v>-1644.50826</v>
      </c>
      <c r="AO105" s="153" t="n">
        <v>-1644.50826</v>
      </c>
      <c r="AP105" s="153" t="n">
        <v>-1677.3984252</v>
      </c>
      <c r="AQ105" s="153" t="n">
        <v>-1677.3984252</v>
      </c>
      <c r="AR105" s="153" t="n">
        <v>-1677.3984252</v>
      </c>
      <c r="AS105" s="153" t="n">
        <v>-1677.3984252</v>
      </c>
      <c r="AT105" s="153" t="n">
        <v>-1677.3984252</v>
      </c>
      <c r="AU105" s="153" t="n">
        <v>-1677.3984252</v>
      </c>
      <c r="AV105" s="153" t="n">
        <v>-1677.3984252</v>
      </c>
      <c r="AW105" s="153" t="n">
        <v>-1677.3984252</v>
      </c>
      <c r="AX105" s="153" t="n">
        <v>-1677.3984252</v>
      </c>
      <c r="AY105" s="153" t="n">
        <v>-1677.3984252</v>
      </c>
      <c r="AZ105" s="153" t="n">
        <v>-1677.3984252</v>
      </c>
      <c r="BA105" s="153" t="n">
        <v>-1677.3984252</v>
      </c>
      <c r="BB105" s="153" t="n">
        <v>-1710.946393704</v>
      </c>
      <c r="BC105" s="153" t="n">
        <v>-1710.946393704</v>
      </c>
      <c r="BD105" s="153" t="n">
        <v>-1710.946393704</v>
      </c>
      <c r="BE105" s="153" t="n">
        <v>-1710.946393704</v>
      </c>
      <c r="BF105" s="153" t="n">
        <v>-1710.946393704</v>
      </c>
      <c r="BG105" s="153" t="n">
        <v>-1710.946393704</v>
      </c>
      <c r="BH105" s="153" t="n">
        <v>-1710.946393704</v>
      </c>
      <c r="BI105" s="153" t="n">
        <v>-1710.946393704</v>
      </c>
      <c r="BJ105" s="153" t="n">
        <v>-1710.946393704</v>
      </c>
      <c r="BK105" s="153" t="n">
        <v>-1710.946393704</v>
      </c>
      <c r="BL105" s="153" t="n">
        <v>-1710.946393704</v>
      </c>
      <c r="BM105" s="153" t="n">
        <v>-1710.946393704</v>
      </c>
      <c r="BN105" s="153" t="n">
        <v>-1745.16532157808</v>
      </c>
      <c r="BO105" s="153" t="n">
        <v>-1745.16532157808</v>
      </c>
      <c r="BP105" s="153" t="n">
        <v>-1745.16532157808</v>
      </c>
      <c r="BQ105" s="153" t="n">
        <v>-1745.16532157808</v>
      </c>
      <c r="BR105" s="153" t="n">
        <v>-1745.16532157808</v>
      </c>
      <c r="BS105" s="153" t="n">
        <v>-1745.16532157808</v>
      </c>
      <c r="BT105" s="153" t="n">
        <v>-1745.16532157808</v>
      </c>
      <c r="BU105" s="153" t="n">
        <v>-1745.16532157808</v>
      </c>
      <c r="BV105" s="153" t="n">
        <v>-1745.16532157808</v>
      </c>
      <c r="BW105" s="153" t="n">
        <v>-1745.16532157808</v>
      </c>
      <c r="BX105" s="153" t="n">
        <v>-1745.16532157808</v>
      </c>
      <c r="BY105" s="153" t="n">
        <v>-1745.16532157808</v>
      </c>
      <c r="BZ105" s="153" t="n">
        <v>-1780.06862800964</v>
      </c>
      <c r="CA105" s="153" t="n">
        <v>-1780.06862800964</v>
      </c>
      <c r="CB105" s="153" t="n">
        <v>-1780.06862800964</v>
      </c>
      <c r="CC105" s="153" t="n">
        <v>-1780.06862800964</v>
      </c>
      <c r="CD105" s="153" t="n">
        <v>-1780.06862800964</v>
      </c>
      <c r="CE105" s="153" t="n">
        <v>-1780.06862800964</v>
      </c>
      <c r="CF105" s="153" t="n">
        <v>-1780.06862800964</v>
      </c>
      <c r="CG105" s="153" t="n">
        <v>-1780.06862800964</v>
      </c>
      <c r="CH105" s="153" t="n">
        <v>-1780.06862800964</v>
      </c>
      <c r="CI105" s="153" t="n">
        <v>-1780.06862800964</v>
      </c>
      <c r="CJ105" s="153" t="n">
        <v>-1780.06862800964</v>
      </c>
      <c r="CK105" s="153" t="n">
        <v>-1780.06862800964</v>
      </c>
      <c r="CL105" s="153" t="n">
        <v>-1815.67000056983</v>
      </c>
      <c r="CM105" s="153" t="n">
        <v>-1815.67000056983</v>
      </c>
      <c r="CN105" s="153" t="n">
        <v>-1815.67000056983</v>
      </c>
      <c r="CO105" s="153" t="n">
        <v>-1815.67000056983</v>
      </c>
      <c r="CP105" s="153" t="n">
        <v>-1815.67000056983</v>
      </c>
      <c r="CQ105" s="153" t="n">
        <v>-1815.67000056983</v>
      </c>
      <c r="CR105" s="153" t="n">
        <v>-1815.67000056983</v>
      </c>
      <c r="CS105" s="153" t="n">
        <v>-1815.67000056983</v>
      </c>
      <c r="CT105" s="153" t="n">
        <v>-1815.67000056983</v>
      </c>
      <c r="CU105" s="153" t="n">
        <v>-1815.67000056983</v>
      </c>
      <c r="CV105" s="153" t="n">
        <v>-1815.67000056983</v>
      </c>
      <c r="CW105" s="153" t="n">
        <v>-1815.67000056983</v>
      </c>
      <c r="CX105" s="153" t="n">
        <v>-1851.98340058123</v>
      </c>
      <c r="CY105" s="153" t="n">
        <v>-1851.98340058123</v>
      </c>
      <c r="CZ105" s="153" t="n">
        <v>-1851.98340058123</v>
      </c>
      <c r="DA105" s="153" t="n">
        <v>-1851.98340058123</v>
      </c>
      <c r="DB105" s="153" t="n">
        <v>-1851.98340058123</v>
      </c>
      <c r="DC105" s="153" t="n">
        <v>-1851.98340058123</v>
      </c>
      <c r="DD105" s="153" t="n">
        <v>-1851.98340058123</v>
      </c>
      <c r="DE105" s="153" t="n">
        <v>-1851.98340058123</v>
      </c>
      <c r="DF105" s="153" t="n">
        <v>-1851.98340058123</v>
      </c>
    </row>
    <row r="106" customFormat="false" ht="15" hidden="false" customHeight="true" outlineLevel="0" collapsed="false">
      <c r="A106" s="127" t="s">
        <v>89</v>
      </c>
      <c r="C106" s="112" t="n">
        <v>-658.14</v>
      </c>
      <c r="D106" s="112" t="n">
        <v>-310</v>
      </c>
      <c r="E106" s="112" t="n">
        <v>-371.74</v>
      </c>
      <c r="F106" s="153" t="n">
        <v>-446.63</v>
      </c>
      <c r="G106" s="153" t="n">
        <v>-446.63</v>
      </c>
      <c r="H106" s="153" t="n">
        <v>-446.63</v>
      </c>
      <c r="I106" s="153" t="n">
        <v>-446.63</v>
      </c>
      <c r="J106" s="153" t="n">
        <v>-446.63</v>
      </c>
      <c r="K106" s="153" t="n">
        <v>-446.63</v>
      </c>
      <c r="L106" s="153" t="n">
        <v>-446.63</v>
      </c>
      <c r="M106" s="153" t="n">
        <v>-446.63</v>
      </c>
      <c r="N106" s="153" t="n">
        <v>-446.63</v>
      </c>
      <c r="O106" s="153" t="n">
        <v>-446.63</v>
      </c>
      <c r="P106" s="153" t="n">
        <v>-446.63</v>
      </c>
      <c r="Q106" s="153" t="n">
        <v>-446.63</v>
      </c>
      <c r="R106" s="153" t="n">
        <v>-455.5626</v>
      </c>
      <c r="S106" s="153" t="n">
        <v>-455.5626</v>
      </c>
      <c r="T106" s="153" t="n">
        <v>-455.5626</v>
      </c>
      <c r="U106" s="153" t="n">
        <v>-455.5626</v>
      </c>
      <c r="V106" s="153" t="n">
        <v>-455.5626</v>
      </c>
      <c r="W106" s="153" t="n">
        <v>-455.5626</v>
      </c>
      <c r="X106" s="153" t="n">
        <v>-455.5626</v>
      </c>
      <c r="Y106" s="153" t="n">
        <v>-455.5626</v>
      </c>
      <c r="Z106" s="153" t="n">
        <v>-455.5626</v>
      </c>
      <c r="AA106" s="153" t="n">
        <v>-455.5626</v>
      </c>
      <c r="AB106" s="153" t="n">
        <v>-455.5626</v>
      </c>
      <c r="AC106" s="153" t="n">
        <v>-455.5626</v>
      </c>
      <c r="AD106" s="153" t="n">
        <v>-464.673852</v>
      </c>
      <c r="AE106" s="153" t="n">
        <v>-464.673852</v>
      </c>
      <c r="AF106" s="153" t="n">
        <v>-464.673852</v>
      </c>
      <c r="AG106" s="153" t="n">
        <v>-464.673852</v>
      </c>
      <c r="AH106" s="153" t="n">
        <v>-464.673852</v>
      </c>
      <c r="AI106" s="153" t="n">
        <v>-464.673852</v>
      </c>
      <c r="AJ106" s="153" t="n">
        <v>-464.673852</v>
      </c>
      <c r="AK106" s="153" t="n">
        <v>-464.673852</v>
      </c>
      <c r="AL106" s="153" t="n">
        <v>-464.673852</v>
      </c>
      <c r="AM106" s="153" t="n">
        <v>-464.673852</v>
      </c>
      <c r="AN106" s="153" t="n">
        <v>-464.673852</v>
      </c>
      <c r="AO106" s="153" t="n">
        <v>-464.673852</v>
      </c>
      <c r="AP106" s="153" t="n">
        <v>-473.96732904</v>
      </c>
      <c r="AQ106" s="153" t="n">
        <v>-473.96732904</v>
      </c>
      <c r="AR106" s="153" t="n">
        <v>-473.96732904</v>
      </c>
      <c r="AS106" s="153" t="n">
        <v>-473.96732904</v>
      </c>
      <c r="AT106" s="153" t="n">
        <v>-473.96732904</v>
      </c>
      <c r="AU106" s="153" t="n">
        <v>-473.96732904</v>
      </c>
      <c r="AV106" s="153" t="n">
        <v>-473.96732904</v>
      </c>
      <c r="AW106" s="153" t="n">
        <v>-473.96732904</v>
      </c>
      <c r="AX106" s="153" t="n">
        <v>-473.96732904</v>
      </c>
      <c r="AY106" s="153" t="n">
        <v>-473.96732904</v>
      </c>
      <c r="AZ106" s="153" t="n">
        <v>-473.96732904</v>
      </c>
      <c r="BA106" s="153" t="n">
        <v>-473.96732904</v>
      </c>
      <c r="BB106" s="153" t="n">
        <v>-483.4466756208</v>
      </c>
      <c r="BC106" s="153" t="n">
        <v>-483.4466756208</v>
      </c>
      <c r="BD106" s="153" t="n">
        <v>-483.4466756208</v>
      </c>
      <c r="BE106" s="153" t="n">
        <v>-483.4466756208</v>
      </c>
      <c r="BF106" s="153" t="n">
        <v>-483.4466756208</v>
      </c>
      <c r="BG106" s="153" t="n">
        <v>-483.4466756208</v>
      </c>
      <c r="BH106" s="153" t="n">
        <v>-483.4466756208</v>
      </c>
      <c r="BI106" s="153" t="n">
        <v>-483.4466756208</v>
      </c>
      <c r="BJ106" s="153" t="n">
        <v>-483.4466756208</v>
      </c>
      <c r="BK106" s="153" t="n">
        <v>-483.4466756208</v>
      </c>
      <c r="BL106" s="153" t="n">
        <v>-483.4466756208</v>
      </c>
      <c r="BM106" s="153" t="n">
        <v>-483.4466756208</v>
      </c>
      <c r="BN106" s="153" t="n">
        <v>-493.115609133216</v>
      </c>
      <c r="BO106" s="153" t="n">
        <v>-493.115609133216</v>
      </c>
      <c r="BP106" s="153" t="n">
        <v>-493.115609133216</v>
      </c>
      <c r="BQ106" s="153" t="n">
        <v>-493.115609133216</v>
      </c>
      <c r="BR106" s="153" t="n">
        <v>-493.115609133216</v>
      </c>
      <c r="BS106" s="153" t="n">
        <v>-493.115609133216</v>
      </c>
      <c r="BT106" s="153" t="n">
        <v>-493.115609133216</v>
      </c>
      <c r="BU106" s="153" t="n">
        <v>-493.115609133216</v>
      </c>
      <c r="BV106" s="153" t="n">
        <v>-493.115609133216</v>
      </c>
      <c r="BW106" s="153" t="n">
        <v>-493.115609133216</v>
      </c>
      <c r="BX106" s="153" t="n">
        <v>-493.115609133216</v>
      </c>
      <c r="BY106" s="153" t="n">
        <v>-493.115609133216</v>
      </c>
      <c r="BZ106" s="153" t="n">
        <v>-502.97792131588</v>
      </c>
      <c r="CA106" s="153" t="n">
        <v>-502.97792131588</v>
      </c>
      <c r="CB106" s="153" t="n">
        <v>-502.97792131588</v>
      </c>
      <c r="CC106" s="153" t="n">
        <v>-502.97792131588</v>
      </c>
      <c r="CD106" s="153" t="n">
        <v>-502.97792131588</v>
      </c>
      <c r="CE106" s="153" t="n">
        <v>-502.97792131588</v>
      </c>
      <c r="CF106" s="153" t="n">
        <v>-502.97792131588</v>
      </c>
      <c r="CG106" s="153" t="n">
        <v>-502.97792131588</v>
      </c>
      <c r="CH106" s="153" t="n">
        <v>-502.97792131588</v>
      </c>
      <c r="CI106" s="153" t="n">
        <v>-502.97792131588</v>
      </c>
      <c r="CJ106" s="153" t="n">
        <v>-502.97792131588</v>
      </c>
      <c r="CK106" s="153" t="n">
        <v>-502.97792131588</v>
      </c>
      <c r="CL106" s="153" t="n">
        <v>-513.037479742198</v>
      </c>
      <c r="CM106" s="153" t="n">
        <v>-513.037479742198</v>
      </c>
      <c r="CN106" s="153" t="n">
        <v>-513.037479742198</v>
      </c>
      <c r="CO106" s="153" t="n">
        <v>-513.037479742198</v>
      </c>
      <c r="CP106" s="153" t="n">
        <v>-513.037479742198</v>
      </c>
      <c r="CQ106" s="153" t="n">
        <v>-513.037479742198</v>
      </c>
      <c r="CR106" s="153" t="n">
        <v>-513.037479742198</v>
      </c>
      <c r="CS106" s="153" t="n">
        <v>-513.037479742198</v>
      </c>
      <c r="CT106" s="153" t="n">
        <v>-513.037479742198</v>
      </c>
      <c r="CU106" s="153" t="n">
        <v>-513.037479742198</v>
      </c>
      <c r="CV106" s="153" t="n">
        <v>-513.037479742198</v>
      </c>
      <c r="CW106" s="153" t="n">
        <v>-513.037479742198</v>
      </c>
      <c r="CX106" s="153" t="n">
        <v>-523.298229337042</v>
      </c>
      <c r="CY106" s="153" t="n">
        <v>-523.298229337042</v>
      </c>
      <c r="CZ106" s="153" t="n">
        <v>-523.298229337042</v>
      </c>
      <c r="DA106" s="153" t="n">
        <v>-523.298229337042</v>
      </c>
      <c r="DB106" s="153" t="n">
        <v>-523.298229337042</v>
      </c>
      <c r="DC106" s="153" t="n">
        <v>-523.298229337042</v>
      </c>
      <c r="DD106" s="153" t="n">
        <v>-523.298229337042</v>
      </c>
      <c r="DE106" s="153" t="n">
        <v>-523.298229337042</v>
      </c>
      <c r="DF106" s="153" t="n">
        <v>-523.298229337042</v>
      </c>
    </row>
    <row r="107" customFormat="false" ht="15" hidden="false" customHeight="true" outlineLevel="0" collapsed="false">
      <c r="A107" s="127" t="s">
        <v>127</v>
      </c>
      <c r="C107" s="112" t="n">
        <v>0</v>
      </c>
      <c r="D107" s="112" t="n">
        <v>0</v>
      </c>
      <c r="E107" s="112" t="n">
        <v>0</v>
      </c>
      <c r="F107" s="153" t="n">
        <v>0</v>
      </c>
      <c r="G107" s="153" t="n">
        <v>0</v>
      </c>
      <c r="H107" s="153" t="n">
        <v>0</v>
      </c>
      <c r="I107" s="153" t="n">
        <v>0</v>
      </c>
      <c r="J107" s="153" t="n">
        <v>0</v>
      </c>
      <c r="K107" s="153" t="n">
        <v>0</v>
      </c>
      <c r="L107" s="153" t="n">
        <v>0</v>
      </c>
      <c r="M107" s="153" t="n">
        <v>0</v>
      </c>
      <c r="N107" s="153" t="n">
        <v>0</v>
      </c>
      <c r="O107" s="153" t="n">
        <v>0</v>
      </c>
      <c r="P107" s="153" t="n">
        <v>0</v>
      </c>
      <c r="Q107" s="153" t="n">
        <v>0</v>
      </c>
      <c r="R107" s="153" t="n">
        <v>0</v>
      </c>
      <c r="S107" s="153" t="n">
        <v>0</v>
      </c>
      <c r="T107" s="153" t="n">
        <v>0</v>
      </c>
      <c r="U107" s="153" t="n">
        <v>0</v>
      </c>
      <c r="V107" s="153" t="n">
        <v>0</v>
      </c>
      <c r="W107" s="153" t="n">
        <v>0</v>
      </c>
      <c r="X107" s="153" t="n">
        <v>0</v>
      </c>
      <c r="Y107" s="153" t="n">
        <v>0</v>
      </c>
      <c r="Z107" s="153" t="n">
        <v>0</v>
      </c>
      <c r="AA107" s="153" t="n">
        <v>0</v>
      </c>
      <c r="AB107" s="153" t="n">
        <v>0</v>
      </c>
      <c r="AC107" s="153" t="n">
        <v>0</v>
      </c>
      <c r="AD107" s="153" t="n">
        <v>0</v>
      </c>
      <c r="AE107" s="153" t="n">
        <v>0</v>
      </c>
      <c r="AF107" s="153" t="n">
        <v>0</v>
      </c>
      <c r="AG107" s="153" t="n">
        <v>0</v>
      </c>
      <c r="AH107" s="153" t="n">
        <v>0</v>
      </c>
      <c r="AI107" s="153" t="n">
        <v>0</v>
      </c>
      <c r="AJ107" s="153" t="n">
        <v>0</v>
      </c>
      <c r="AK107" s="153" t="n">
        <v>0</v>
      </c>
      <c r="AL107" s="153" t="n">
        <v>0</v>
      </c>
      <c r="AM107" s="153" t="n">
        <v>0</v>
      </c>
      <c r="AN107" s="153" t="n">
        <v>0</v>
      </c>
      <c r="AO107" s="153" t="n">
        <v>0</v>
      </c>
      <c r="AP107" s="153" t="n">
        <v>0</v>
      </c>
      <c r="AQ107" s="153" t="n">
        <v>0</v>
      </c>
      <c r="AR107" s="153" t="n">
        <v>0</v>
      </c>
      <c r="AS107" s="153" t="n">
        <v>0</v>
      </c>
      <c r="AT107" s="153" t="n">
        <v>0</v>
      </c>
      <c r="AU107" s="153" t="n">
        <v>0</v>
      </c>
      <c r="AV107" s="153" t="n">
        <v>0</v>
      </c>
      <c r="AW107" s="153" t="n">
        <v>0</v>
      </c>
      <c r="AX107" s="153" t="n">
        <v>0</v>
      </c>
      <c r="AY107" s="153" t="n">
        <v>0</v>
      </c>
      <c r="AZ107" s="153" t="n">
        <v>0</v>
      </c>
      <c r="BA107" s="153" t="n">
        <v>0</v>
      </c>
      <c r="BB107" s="153" t="n">
        <v>0</v>
      </c>
      <c r="BC107" s="153" t="n">
        <v>0</v>
      </c>
      <c r="BD107" s="153" t="n">
        <v>0</v>
      </c>
      <c r="BE107" s="153" t="n">
        <v>0</v>
      </c>
      <c r="BF107" s="153" t="n">
        <v>0</v>
      </c>
      <c r="BG107" s="153" t="n">
        <v>0</v>
      </c>
      <c r="BH107" s="153" t="n">
        <v>0</v>
      </c>
      <c r="BI107" s="153" t="n">
        <v>0</v>
      </c>
      <c r="BJ107" s="153" t="n">
        <v>0</v>
      </c>
      <c r="BK107" s="153" t="n">
        <v>0</v>
      </c>
      <c r="BL107" s="153" t="n">
        <v>0</v>
      </c>
      <c r="BM107" s="153" t="n">
        <v>0</v>
      </c>
      <c r="BN107" s="153" t="n">
        <v>0</v>
      </c>
      <c r="BO107" s="153" t="n">
        <v>0</v>
      </c>
      <c r="BP107" s="153" t="n">
        <v>0</v>
      </c>
      <c r="BQ107" s="153" t="n">
        <v>0</v>
      </c>
      <c r="BR107" s="153" t="n">
        <v>0</v>
      </c>
      <c r="BS107" s="153" t="n">
        <v>0</v>
      </c>
      <c r="BT107" s="153" t="n">
        <v>0</v>
      </c>
      <c r="BU107" s="153" t="n">
        <v>0</v>
      </c>
      <c r="BV107" s="153" t="n">
        <v>0</v>
      </c>
      <c r="BW107" s="153" t="n">
        <v>0</v>
      </c>
      <c r="BX107" s="153" t="n">
        <v>0</v>
      </c>
      <c r="BY107" s="153" t="n">
        <v>0</v>
      </c>
      <c r="BZ107" s="153" t="n">
        <v>0</v>
      </c>
      <c r="CA107" s="153" t="n">
        <v>0</v>
      </c>
      <c r="CB107" s="153" t="n">
        <v>0</v>
      </c>
      <c r="CC107" s="153" t="n">
        <v>0</v>
      </c>
      <c r="CD107" s="153" t="n">
        <v>0</v>
      </c>
      <c r="CE107" s="153" t="n">
        <v>0</v>
      </c>
      <c r="CF107" s="153" t="n">
        <v>0</v>
      </c>
      <c r="CG107" s="153" t="n">
        <v>0</v>
      </c>
      <c r="CH107" s="153" t="n">
        <v>0</v>
      </c>
      <c r="CI107" s="153" t="n">
        <v>0</v>
      </c>
      <c r="CJ107" s="153" t="n">
        <v>0</v>
      </c>
      <c r="CK107" s="153" t="n">
        <v>0</v>
      </c>
      <c r="CL107" s="153" t="n">
        <v>0</v>
      </c>
      <c r="CM107" s="153" t="n">
        <v>0</v>
      </c>
      <c r="CN107" s="153" t="n">
        <v>0</v>
      </c>
      <c r="CO107" s="153" t="n">
        <v>0</v>
      </c>
      <c r="CP107" s="153" t="n">
        <v>0</v>
      </c>
      <c r="CQ107" s="153" t="n">
        <v>0</v>
      </c>
      <c r="CR107" s="153" t="n">
        <v>0</v>
      </c>
      <c r="CS107" s="153" t="n">
        <v>0</v>
      </c>
      <c r="CT107" s="153" t="n">
        <v>0</v>
      </c>
      <c r="CU107" s="153" t="n">
        <v>0</v>
      </c>
      <c r="CV107" s="153" t="n">
        <v>0</v>
      </c>
      <c r="CW107" s="153" t="n">
        <v>0</v>
      </c>
      <c r="CX107" s="153" t="n">
        <v>0</v>
      </c>
      <c r="CY107" s="153" t="n">
        <v>0</v>
      </c>
      <c r="CZ107" s="153" t="n">
        <v>0</v>
      </c>
      <c r="DA107" s="153" t="n">
        <v>0</v>
      </c>
      <c r="DB107" s="153" t="n">
        <v>0</v>
      </c>
      <c r="DC107" s="153" t="n">
        <v>0</v>
      </c>
      <c r="DD107" s="153" t="n">
        <v>0</v>
      </c>
      <c r="DE107" s="153" t="n">
        <v>0</v>
      </c>
      <c r="DF107" s="153" t="n">
        <v>0</v>
      </c>
    </row>
    <row r="108" customFormat="false" ht="15" hidden="false" customHeight="true" outlineLevel="0" collapsed="false">
      <c r="A108" s="127" t="s">
        <v>128</v>
      </c>
      <c r="C108" s="112" t="n">
        <v>0</v>
      </c>
      <c r="D108" s="112" t="n">
        <v>0</v>
      </c>
      <c r="E108" s="112" t="n">
        <v>0</v>
      </c>
      <c r="F108" s="153" t="n">
        <v>0</v>
      </c>
      <c r="G108" s="153" t="n">
        <v>0</v>
      </c>
      <c r="H108" s="153" t="n">
        <v>0</v>
      </c>
      <c r="I108" s="153" t="n">
        <v>0</v>
      </c>
      <c r="J108" s="153" t="n">
        <v>0</v>
      </c>
      <c r="K108" s="153" t="n">
        <v>0</v>
      </c>
      <c r="L108" s="153" t="n">
        <v>0</v>
      </c>
      <c r="M108" s="153" t="n">
        <v>0</v>
      </c>
      <c r="N108" s="153" t="n">
        <v>0</v>
      </c>
      <c r="O108" s="153" t="n">
        <v>0</v>
      </c>
      <c r="P108" s="153" t="n">
        <v>0</v>
      </c>
      <c r="Q108" s="153" t="n">
        <v>0</v>
      </c>
      <c r="R108" s="153" t="n">
        <v>0</v>
      </c>
      <c r="S108" s="153" t="n">
        <v>0</v>
      </c>
      <c r="T108" s="153" t="n">
        <v>0</v>
      </c>
      <c r="U108" s="153" t="n">
        <v>0</v>
      </c>
      <c r="V108" s="153" t="n">
        <v>0</v>
      </c>
      <c r="W108" s="153" t="n">
        <v>0</v>
      </c>
      <c r="X108" s="153" t="n">
        <v>0</v>
      </c>
      <c r="Y108" s="153" t="n">
        <v>0</v>
      </c>
      <c r="Z108" s="153" t="n">
        <v>0</v>
      </c>
      <c r="AA108" s="153" t="n">
        <v>0</v>
      </c>
      <c r="AB108" s="153" t="n">
        <v>0</v>
      </c>
      <c r="AC108" s="153" t="n">
        <v>0</v>
      </c>
      <c r="AD108" s="153" t="n">
        <v>0</v>
      </c>
      <c r="AE108" s="153" t="n">
        <v>0</v>
      </c>
      <c r="AF108" s="153" t="n">
        <v>0</v>
      </c>
      <c r="AG108" s="153" t="n">
        <v>0</v>
      </c>
      <c r="AH108" s="153" t="n">
        <v>0</v>
      </c>
      <c r="AI108" s="153" t="n">
        <v>0</v>
      </c>
      <c r="AJ108" s="153" t="n">
        <v>0</v>
      </c>
      <c r="AK108" s="153" t="n">
        <v>0</v>
      </c>
      <c r="AL108" s="153" t="n">
        <v>0</v>
      </c>
      <c r="AM108" s="153" t="n">
        <v>0</v>
      </c>
      <c r="AN108" s="153" t="n">
        <v>0</v>
      </c>
      <c r="AO108" s="153" t="n">
        <v>0</v>
      </c>
      <c r="AP108" s="153" t="n">
        <v>0</v>
      </c>
      <c r="AQ108" s="153" t="n">
        <v>0</v>
      </c>
      <c r="AR108" s="153" t="n">
        <v>0</v>
      </c>
      <c r="AS108" s="153" t="n">
        <v>0</v>
      </c>
      <c r="AT108" s="153" t="n">
        <v>0</v>
      </c>
      <c r="AU108" s="153" t="n">
        <v>0</v>
      </c>
      <c r="AV108" s="153" t="n">
        <v>0</v>
      </c>
      <c r="AW108" s="153" t="n">
        <v>0</v>
      </c>
      <c r="AX108" s="153" t="n">
        <v>0</v>
      </c>
      <c r="AY108" s="153" t="n">
        <v>0</v>
      </c>
      <c r="AZ108" s="153" t="n">
        <v>0</v>
      </c>
      <c r="BA108" s="153" t="n">
        <v>0</v>
      </c>
      <c r="BB108" s="153" t="n">
        <v>0</v>
      </c>
      <c r="BC108" s="153" t="n">
        <v>0</v>
      </c>
      <c r="BD108" s="153" t="n">
        <v>0</v>
      </c>
      <c r="BE108" s="153" t="n">
        <v>0</v>
      </c>
      <c r="BF108" s="153" t="n">
        <v>0</v>
      </c>
      <c r="BG108" s="153" t="n">
        <v>0</v>
      </c>
      <c r="BH108" s="153" t="n">
        <v>0</v>
      </c>
      <c r="BI108" s="153" t="n">
        <v>0</v>
      </c>
      <c r="BJ108" s="153" t="n">
        <v>0</v>
      </c>
      <c r="BK108" s="153" t="n">
        <v>0</v>
      </c>
      <c r="BL108" s="153" t="n">
        <v>0</v>
      </c>
      <c r="BM108" s="153" t="n">
        <v>0</v>
      </c>
      <c r="BN108" s="153" t="n">
        <v>0</v>
      </c>
      <c r="BO108" s="153" t="n">
        <v>0</v>
      </c>
      <c r="BP108" s="153" t="n">
        <v>0</v>
      </c>
      <c r="BQ108" s="153" t="n">
        <v>0</v>
      </c>
      <c r="BR108" s="153" t="n">
        <v>0</v>
      </c>
      <c r="BS108" s="153" t="n">
        <v>0</v>
      </c>
      <c r="BT108" s="153" t="n">
        <v>0</v>
      </c>
      <c r="BU108" s="153" t="n">
        <v>0</v>
      </c>
      <c r="BV108" s="153" t="n">
        <v>0</v>
      </c>
      <c r="BW108" s="153" t="n">
        <v>0</v>
      </c>
      <c r="BX108" s="153" t="n">
        <v>0</v>
      </c>
      <c r="BY108" s="153" t="n">
        <v>0</v>
      </c>
      <c r="BZ108" s="153" t="n">
        <v>0</v>
      </c>
      <c r="CA108" s="153" t="n">
        <v>0</v>
      </c>
      <c r="CB108" s="153" t="n">
        <v>0</v>
      </c>
      <c r="CC108" s="153" t="n">
        <v>0</v>
      </c>
      <c r="CD108" s="153" t="n">
        <v>0</v>
      </c>
      <c r="CE108" s="153" t="n">
        <v>0</v>
      </c>
      <c r="CF108" s="153" t="n">
        <v>0</v>
      </c>
      <c r="CG108" s="153" t="n">
        <v>0</v>
      </c>
      <c r="CH108" s="153" t="n">
        <v>0</v>
      </c>
      <c r="CI108" s="153" t="n">
        <v>0</v>
      </c>
      <c r="CJ108" s="153" t="n">
        <v>0</v>
      </c>
      <c r="CK108" s="153" t="n">
        <v>0</v>
      </c>
      <c r="CL108" s="153" t="n">
        <v>0</v>
      </c>
      <c r="CM108" s="153" t="n">
        <v>0</v>
      </c>
      <c r="CN108" s="153" t="n">
        <v>0</v>
      </c>
      <c r="CO108" s="153" t="n">
        <v>0</v>
      </c>
      <c r="CP108" s="153" t="n">
        <v>0</v>
      </c>
      <c r="CQ108" s="153" t="n">
        <v>0</v>
      </c>
      <c r="CR108" s="153" t="n">
        <v>0</v>
      </c>
      <c r="CS108" s="153" t="n">
        <v>0</v>
      </c>
      <c r="CT108" s="153" t="n">
        <v>0</v>
      </c>
      <c r="CU108" s="153" t="n">
        <v>0</v>
      </c>
      <c r="CV108" s="153" t="n">
        <v>0</v>
      </c>
      <c r="CW108" s="153" t="n">
        <v>0</v>
      </c>
      <c r="CX108" s="153" t="n">
        <v>0</v>
      </c>
      <c r="CY108" s="153" t="n">
        <v>0</v>
      </c>
      <c r="CZ108" s="153" t="n">
        <v>0</v>
      </c>
      <c r="DA108" s="153" t="n">
        <v>0</v>
      </c>
      <c r="DB108" s="153" t="n">
        <v>0</v>
      </c>
      <c r="DC108" s="153" t="n">
        <v>0</v>
      </c>
      <c r="DD108" s="153" t="n">
        <v>0</v>
      </c>
      <c r="DE108" s="153" t="n">
        <v>0</v>
      </c>
      <c r="DF108" s="153" t="n">
        <v>0</v>
      </c>
    </row>
    <row r="109" customFormat="false" ht="15" hidden="false" customHeight="true" outlineLevel="0" collapsed="false">
      <c r="A109" s="127" t="s">
        <v>129</v>
      </c>
      <c r="C109" s="112" t="n">
        <v>0</v>
      </c>
      <c r="D109" s="112" t="n">
        <v>0</v>
      </c>
      <c r="E109" s="112" t="n">
        <v>0</v>
      </c>
      <c r="F109" s="153" t="n">
        <v>0</v>
      </c>
      <c r="G109" s="153" t="n">
        <v>0</v>
      </c>
      <c r="H109" s="153" t="n">
        <v>0</v>
      </c>
      <c r="I109" s="153" t="n">
        <v>0</v>
      </c>
      <c r="J109" s="153" t="n">
        <v>0</v>
      </c>
      <c r="K109" s="153" t="n">
        <v>0</v>
      </c>
      <c r="L109" s="153" t="n">
        <v>0</v>
      </c>
      <c r="M109" s="153" t="n">
        <v>0</v>
      </c>
      <c r="N109" s="153" t="n">
        <v>0</v>
      </c>
      <c r="O109" s="153" t="n">
        <v>0</v>
      </c>
      <c r="P109" s="153" t="n">
        <v>0</v>
      </c>
      <c r="Q109" s="153" t="n">
        <v>0</v>
      </c>
      <c r="R109" s="153" t="n">
        <v>0</v>
      </c>
      <c r="S109" s="153" t="n">
        <v>0</v>
      </c>
      <c r="T109" s="153" t="n">
        <v>0</v>
      </c>
      <c r="U109" s="153" t="n">
        <v>0</v>
      </c>
      <c r="V109" s="153" t="n">
        <v>0</v>
      </c>
      <c r="W109" s="153" t="n">
        <v>0</v>
      </c>
      <c r="X109" s="153" t="n">
        <v>0</v>
      </c>
      <c r="Y109" s="153" t="n">
        <v>0</v>
      </c>
      <c r="Z109" s="153" t="n">
        <v>0</v>
      </c>
      <c r="AA109" s="153" t="n">
        <v>0</v>
      </c>
      <c r="AB109" s="153" t="n">
        <v>0</v>
      </c>
      <c r="AC109" s="153" t="n">
        <v>0</v>
      </c>
      <c r="AD109" s="153" t="n">
        <v>0</v>
      </c>
      <c r="AE109" s="153" t="n">
        <v>0</v>
      </c>
      <c r="AF109" s="153" t="n">
        <v>0</v>
      </c>
      <c r="AG109" s="153" t="n">
        <v>0</v>
      </c>
      <c r="AH109" s="153" t="n">
        <v>0</v>
      </c>
      <c r="AI109" s="153" t="n">
        <v>0</v>
      </c>
      <c r="AJ109" s="153" t="n">
        <v>0</v>
      </c>
      <c r="AK109" s="153" t="n">
        <v>0</v>
      </c>
      <c r="AL109" s="153" t="n">
        <v>0</v>
      </c>
      <c r="AM109" s="153" t="n">
        <v>0</v>
      </c>
      <c r="AN109" s="153" t="n">
        <v>0</v>
      </c>
      <c r="AO109" s="153" t="n">
        <v>0</v>
      </c>
      <c r="AP109" s="153" t="n">
        <v>0</v>
      </c>
      <c r="AQ109" s="153" t="n">
        <v>0</v>
      </c>
      <c r="AR109" s="153" t="n">
        <v>0</v>
      </c>
      <c r="AS109" s="153" t="n">
        <v>0</v>
      </c>
      <c r="AT109" s="153" t="n">
        <v>0</v>
      </c>
      <c r="AU109" s="153" t="n">
        <v>-81683</v>
      </c>
      <c r="AV109" s="153" t="n">
        <v>0</v>
      </c>
      <c r="AW109" s="153" t="n">
        <v>0</v>
      </c>
      <c r="AX109" s="153" t="n">
        <v>-81682</v>
      </c>
      <c r="AY109" s="153" t="n">
        <v>0</v>
      </c>
      <c r="AZ109" s="153" t="n">
        <v>0</v>
      </c>
      <c r="BA109" s="153" t="n">
        <v>-81682</v>
      </c>
      <c r="BB109" s="153" t="n">
        <v>0</v>
      </c>
      <c r="BC109" s="153" t="n">
        <v>0</v>
      </c>
      <c r="BD109" s="153" t="n">
        <v>-81682</v>
      </c>
      <c r="BE109" s="153" t="n">
        <v>0</v>
      </c>
      <c r="BF109" s="153" t="n">
        <v>0</v>
      </c>
      <c r="BG109" s="153" t="n">
        <v>-59178</v>
      </c>
      <c r="BH109" s="153" t="n">
        <v>0</v>
      </c>
      <c r="BI109" s="153" t="n">
        <v>0</v>
      </c>
      <c r="BJ109" s="153" t="n">
        <v>-59176</v>
      </c>
      <c r="BK109" s="153" t="n">
        <v>0</v>
      </c>
      <c r="BL109" s="153" t="n">
        <v>0</v>
      </c>
      <c r="BM109" s="153" t="n">
        <v>-59176</v>
      </c>
      <c r="BN109" s="153" t="n">
        <v>0</v>
      </c>
      <c r="BO109" s="153" t="n">
        <v>0</v>
      </c>
      <c r="BP109" s="153" t="n">
        <v>-59176</v>
      </c>
      <c r="BQ109" s="153" t="n">
        <v>0</v>
      </c>
      <c r="BR109" s="153" t="n">
        <v>0</v>
      </c>
      <c r="BS109" s="153" t="n">
        <v>-16249.48</v>
      </c>
      <c r="BT109" s="153" t="n">
        <v>0</v>
      </c>
      <c r="BU109" s="153" t="n">
        <v>0</v>
      </c>
      <c r="BV109" s="153" t="n">
        <v>0</v>
      </c>
      <c r="BW109" s="153" t="n">
        <v>0</v>
      </c>
      <c r="BX109" s="153" t="n">
        <v>0</v>
      </c>
      <c r="BY109" s="153" t="n">
        <v>0</v>
      </c>
      <c r="BZ109" s="153" t="n">
        <v>0</v>
      </c>
      <c r="CA109" s="153" t="n">
        <v>0</v>
      </c>
      <c r="CB109" s="153" t="n">
        <v>0</v>
      </c>
      <c r="CC109" s="153" t="n">
        <v>0</v>
      </c>
      <c r="CD109" s="153" t="n">
        <v>0</v>
      </c>
      <c r="CE109" s="153" t="n">
        <v>0</v>
      </c>
      <c r="CF109" s="153" t="n">
        <v>0</v>
      </c>
      <c r="CG109" s="153" t="n">
        <v>0</v>
      </c>
      <c r="CH109" s="153" t="n">
        <v>0</v>
      </c>
      <c r="CI109" s="153" t="n">
        <v>0</v>
      </c>
      <c r="CJ109" s="153" t="n">
        <v>0</v>
      </c>
      <c r="CK109" s="153" t="n">
        <v>0</v>
      </c>
      <c r="CL109" s="153" t="n">
        <v>0</v>
      </c>
      <c r="CM109" s="153" t="n">
        <v>0</v>
      </c>
      <c r="CN109" s="153" t="n">
        <v>0</v>
      </c>
      <c r="CO109" s="153" t="n">
        <v>0</v>
      </c>
      <c r="CP109" s="153" t="n">
        <v>0</v>
      </c>
      <c r="CQ109" s="153" t="n">
        <v>0</v>
      </c>
      <c r="CR109" s="153" t="n">
        <v>0</v>
      </c>
      <c r="CS109" s="153" t="n">
        <v>0</v>
      </c>
      <c r="CT109" s="153" t="n">
        <v>0</v>
      </c>
      <c r="CU109" s="153" t="n">
        <v>0</v>
      </c>
      <c r="CV109" s="153" t="n">
        <v>0</v>
      </c>
      <c r="CW109" s="153" t="n">
        <v>0</v>
      </c>
      <c r="CX109" s="153" t="n">
        <v>0</v>
      </c>
      <c r="CY109" s="153" t="n">
        <v>0</v>
      </c>
      <c r="CZ109" s="153" t="n">
        <v>0</v>
      </c>
      <c r="DA109" s="153" t="n">
        <v>0</v>
      </c>
      <c r="DB109" s="153" t="n">
        <v>0</v>
      </c>
      <c r="DC109" s="153" t="n">
        <v>0</v>
      </c>
      <c r="DD109" s="153" t="n">
        <v>0</v>
      </c>
      <c r="DE109" s="153" t="n">
        <v>0</v>
      </c>
      <c r="DF109" s="153" t="n">
        <v>0</v>
      </c>
    </row>
    <row r="110" customFormat="false" ht="15" hidden="false" customHeight="true" outlineLevel="0" collapsed="false">
      <c r="A110" s="127" t="s">
        <v>130</v>
      </c>
      <c r="C110" s="112" t="n">
        <v>0</v>
      </c>
      <c r="D110" s="112" t="n">
        <v>0</v>
      </c>
      <c r="E110" s="112" t="n">
        <v>0</v>
      </c>
      <c r="F110" s="153" t="n">
        <v>0</v>
      </c>
      <c r="G110" s="153" t="n">
        <v>0</v>
      </c>
      <c r="H110" s="153" t="n">
        <v>0</v>
      </c>
      <c r="I110" s="153" t="n">
        <v>0</v>
      </c>
      <c r="J110" s="153" t="n">
        <v>0</v>
      </c>
      <c r="K110" s="153" t="n">
        <v>0</v>
      </c>
      <c r="L110" s="153" t="n">
        <v>0</v>
      </c>
      <c r="M110" s="153" t="n">
        <v>0</v>
      </c>
      <c r="N110" s="153" t="n">
        <v>0</v>
      </c>
      <c r="O110" s="153" t="n">
        <v>0</v>
      </c>
      <c r="P110" s="153" t="n">
        <v>0</v>
      </c>
      <c r="Q110" s="153" t="n">
        <v>0</v>
      </c>
      <c r="R110" s="153" t="n">
        <v>0</v>
      </c>
      <c r="S110" s="153" t="n">
        <v>0</v>
      </c>
      <c r="T110" s="153" t="n">
        <v>0</v>
      </c>
      <c r="U110" s="153" t="n">
        <v>0</v>
      </c>
      <c r="V110" s="153" t="n">
        <v>0</v>
      </c>
      <c r="W110" s="153" t="n">
        <v>0</v>
      </c>
      <c r="X110" s="153" t="n">
        <v>0</v>
      </c>
      <c r="Y110" s="153" t="n">
        <v>0</v>
      </c>
      <c r="Z110" s="153" t="n">
        <v>0</v>
      </c>
      <c r="AA110" s="153" t="n">
        <v>0</v>
      </c>
      <c r="AB110" s="153" t="n">
        <v>0</v>
      </c>
      <c r="AC110" s="153" t="n">
        <v>0</v>
      </c>
      <c r="AD110" s="153" t="n">
        <v>0</v>
      </c>
      <c r="AE110" s="153" t="n">
        <v>0</v>
      </c>
      <c r="AF110" s="153" t="n">
        <v>0</v>
      </c>
      <c r="AG110" s="153" t="n">
        <v>0</v>
      </c>
      <c r="AH110" s="153" t="n">
        <v>0</v>
      </c>
      <c r="AI110" s="153" t="n">
        <v>0</v>
      </c>
      <c r="AJ110" s="153" t="n">
        <v>0</v>
      </c>
      <c r="AK110" s="153" t="n">
        <v>0</v>
      </c>
      <c r="AL110" s="153" t="n">
        <v>0</v>
      </c>
      <c r="AM110" s="153" t="n">
        <v>0</v>
      </c>
      <c r="AN110" s="153" t="n">
        <v>0</v>
      </c>
      <c r="AO110" s="153" t="n">
        <v>0</v>
      </c>
      <c r="AP110" s="153" t="n">
        <v>0</v>
      </c>
      <c r="AQ110" s="153" t="n">
        <v>0</v>
      </c>
      <c r="AR110" s="153" t="n">
        <v>0</v>
      </c>
      <c r="AS110" s="153" t="n">
        <v>0</v>
      </c>
      <c r="AT110" s="153" t="n">
        <v>0</v>
      </c>
      <c r="AU110" s="153" t="n">
        <v>0</v>
      </c>
      <c r="AV110" s="153" t="n">
        <v>0</v>
      </c>
      <c r="AW110" s="153" t="n">
        <v>0</v>
      </c>
      <c r="AX110" s="153" t="n">
        <v>0</v>
      </c>
      <c r="AY110" s="153" t="n">
        <v>0</v>
      </c>
      <c r="AZ110" s="153" t="n">
        <v>0</v>
      </c>
      <c r="BA110" s="153" t="n">
        <v>0</v>
      </c>
      <c r="BB110" s="153" t="n">
        <v>0</v>
      </c>
      <c r="BC110" s="153" t="n">
        <v>0</v>
      </c>
      <c r="BD110" s="153" t="n">
        <v>-851839</v>
      </c>
      <c r="BE110" s="153" t="n">
        <v>0</v>
      </c>
      <c r="BF110" s="153" t="n">
        <v>0</v>
      </c>
      <c r="BG110" s="153" t="n">
        <v>-71700</v>
      </c>
      <c r="BH110" s="153" t="n">
        <v>0</v>
      </c>
      <c r="BI110" s="153" t="n">
        <v>0</v>
      </c>
      <c r="BJ110" s="153" t="n">
        <v>-71700</v>
      </c>
      <c r="BK110" s="153" t="n">
        <v>0</v>
      </c>
      <c r="BL110" s="153" t="n">
        <v>0</v>
      </c>
      <c r="BM110" s="153" t="n">
        <v>-71700</v>
      </c>
      <c r="BN110" s="153" t="n">
        <v>0</v>
      </c>
      <c r="BO110" s="153" t="n">
        <v>0</v>
      </c>
      <c r="BP110" s="153" t="n">
        <v>-71700</v>
      </c>
      <c r="BQ110" s="153" t="n">
        <v>0</v>
      </c>
      <c r="BR110" s="153" t="n">
        <v>0</v>
      </c>
      <c r="BS110" s="153" t="n">
        <v>-74643</v>
      </c>
      <c r="BT110" s="153" t="n">
        <v>0</v>
      </c>
      <c r="BU110" s="153" t="n">
        <v>0</v>
      </c>
      <c r="BV110" s="153" t="n">
        <v>-74640</v>
      </c>
      <c r="BW110" s="153" t="n">
        <v>0</v>
      </c>
      <c r="BX110" s="153" t="n">
        <v>0</v>
      </c>
      <c r="BY110" s="153" t="n">
        <v>-74640</v>
      </c>
      <c r="BZ110" s="153" t="n">
        <v>0</v>
      </c>
      <c r="CA110" s="153" t="n">
        <v>0</v>
      </c>
      <c r="CB110" s="153" t="n">
        <v>-74640</v>
      </c>
      <c r="CC110" s="153" t="n">
        <v>0</v>
      </c>
      <c r="CD110" s="153" t="n">
        <v>0</v>
      </c>
      <c r="CE110" s="153" t="n">
        <v>-81363</v>
      </c>
      <c r="CF110" s="153" t="n">
        <v>0</v>
      </c>
      <c r="CG110" s="153" t="n">
        <v>0</v>
      </c>
      <c r="CH110" s="153" t="n">
        <v>-81362</v>
      </c>
      <c r="CI110" s="153" t="n">
        <v>0</v>
      </c>
      <c r="CJ110" s="153" t="n">
        <v>0</v>
      </c>
      <c r="CK110" s="153" t="n">
        <v>-74753.9733935208</v>
      </c>
      <c r="CL110" s="153" t="n">
        <v>0</v>
      </c>
      <c r="CM110" s="153" t="n">
        <v>0</v>
      </c>
      <c r="CN110" s="153" t="n">
        <v>0</v>
      </c>
      <c r="CO110" s="153" t="n">
        <v>0</v>
      </c>
      <c r="CP110" s="153" t="n">
        <v>0</v>
      </c>
      <c r="CQ110" s="153" t="n">
        <v>0</v>
      </c>
      <c r="CR110" s="153" t="n">
        <v>0</v>
      </c>
      <c r="CS110" s="153" t="n">
        <v>0</v>
      </c>
      <c r="CT110" s="153" t="n">
        <v>0</v>
      </c>
      <c r="CU110" s="153" t="n">
        <v>0</v>
      </c>
      <c r="CV110" s="153" t="n">
        <v>0</v>
      </c>
      <c r="CW110" s="153" t="n">
        <v>0</v>
      </c>
      <c r="CX110" s="153" t="n">
        <v>0</v>
      </c>
      <c r="CY110" s="153" t="n">
        <v>0</v>
      </c>
      <c r="CZ110" s="153" t="n">
        <v>0</v>
      </c>
      <c r="DA110" s="153" t="n">
        <v>0</v>
      </c>
      <c r="DB110" s="153" t="n">
        <v>0</v>
      </c>
      <c r="DC110" s="153" t="n">
        <v>0</v>
      </c>
      <c r="DD110" s="153" t="n">
        <v>0</v>
      </c>
      <c r="DE110" s="153" t="n">
        <v>0</v>
      </c>
      <c r="DF110" s="153" t="n">
        <v>0</v>
      </c>
    </row>
    <row r="111" customFormat="false" ht="15" hidden="false" customHeight="true" outlineLevel="0" collapsed="false">
      <c r="A111" s="127" t="s">
        <v>131</v>
      </c>
      <c r="C111" s="112" t="n">
        <v>0</v>
      </c>
      <c r="D111" s="112" t="n">
        <v>0</v>
      </c>
      <c r="E111" s="112" t="n">
        <v>0</v>
      </c>
      <c r="F111" s="153" t="n">
        <v>0</v>
      </c>
      <c r="G111" s="153" t="n">
        <v>0</v>
      </c>
      <c r="H111" s="153" t="n">
        <v>0</v>
      </c>
      <c r="I111" s="153" t="n">
        <v>0</v>
      </c>
      <c r="J111" s="153" t="n">
        <v>0</v>
      </c>
      <c r="K111" s="153" t="n">
        <v>0</v>
      </c>
      <c r="L111" s="153" t="n">
        <v>0</v>
      </c>
      <c r="M111" s="153" t="n">
        <v>0</v>
      </c>
      <c r="N111" s="153" t="n">
        <v>0</v>
      </c>
      <c r="O111" s="153" t="n">
        <v>0</v>
      </c>
      <c r="P111" s="153" t="n">
        <v>0</v>
      </c>
      <c r="Q111" s="153" t="n">
        <v>0</v>
      </c>
      <c r="R111" s="153" t="n">
        <v>0</v>
      </c>
      <c r="S111" s="153" t="n">
        <v>0</v>
      </c>
      <c r="T111" s="153" t="n">
        <v>0</v>
      </c>
      <c r="U111" s="153" t="n">
        <v>0</v>
      </c>
      <c r="V111" s="153" t="n">
        <v>0</v>
      </c>
      <c r="W111" s="153" t="n">
        <v>0</v>
      </c>
      <c r="X111" s="153" t="n">
        <v>0</v>
      </c>
      <c r="Y111" s="153" t="n">
        <v>0</v>
      </c>
      <c r="Z111" s="153" t="n">
        <v>0</v>
      </c>
      <c r="AA111" s="153" t="n">
        <v>0</v>
      </c>
      <c r="AB111" s="153" t="n">
        <v>0</v>
      </c>
      <c r="AC111" s="153" t="n">
        <v>0</v>
      </c>
      <c r="AD111" s="153" t="n">
        <v>0</v>
      </c>
      <c r="AE111" s="153" t="n">
        <v>0</v>
      </c>
      <c r="AF111" s="153" t="n">
        <v>0</v>
      </c>
      <c r="AG111" s="153" t="n">
        <v>0</v>
      </c>
      <c r="AH111" s="153" t="n">
        <v>0</v>
      </c>
      <c r="AI111" s="153" t="n">
        <v>0</v>
      </c>
      <c r="AJ111" s="153" t="n">
        <v>0</v>
      </c>
      <c r="AK111" s="153" t="n">
        <v>0</v>
      </c>
      <c r="AL111" s="153" t="n">
        <v>0</v>
      </c>
      <c r="AM111" s="153" t="n">
        <v>0</v>
      </c>
      <c r="AN111" s="153" t="n">
        <v>0</v>
      </c>
      <c r="AO111" s="153" t="n">
        <v>0</v>
      </c>
      <c r="AP111" s="153" t="n">
        <v>0</v>
      </c>
      <c r="AQ111" s="153" t="n">
        <v>0</v>
      </c>
      <c r="AR111" s="153" t="n">
        <v>0</v>
      </c>
      <c r="AS111" s="153" t="n">
        <v>0</v>
      </c>
      <c r="AT111" s="153" t="n">
        <v>0</v>
      </c>
      <c r="AU111" s="153" t="n">
        <v>0</v>
      </c>
      <c r="AV111" s="153" t="n">
        <v>0</v>
      </c>
      <c r="AW111" s="153" t="n">
        <v>0</v>
      </c>
      <c r="AX111" s="153" t="n">
        <v>0</v>
      </c>
      <c r="AY111" s="153" t="n">
        <v>0</v>
      </c>
      <c r="AZ111" s="153" t="n">
        <v>0</v>
      </c>
      <c r="BA111" s="153" t="n">
        <v>0</v>
      </c>
      <c r="BB111" s="153" t="n">
        <v>0</v>
      </c>
      <c r="BC111" s="153" t="n">
        <v>0</v>
      </c>
      <c r="BD111" s="153" t="n">
        <v>0</v>
      </c>
      <c r="BE111" s="153" t="n">
        <v>0</v>
      </c>
      <c r="BF111" s="153" t="n">
        <v>0</v>
      </c>
      <c r="BG111" s="153" t="n">
        <v>0</v>
      </c>
      <c r="BH111" s="153" t="n">
        <v>0</v>
      </c>
      <c r="BI111" s="153" t="n">
        <v>0</v>
      </c>
      <c r="BJ111" s="153" t="n">
        <v>0</v>
      </c>
      <c r="BK111" s="153" t="n">
        <v>0</v>
      </c>
      <c r="BL111" s="153" t="n">
        <v>0</v>
      </c>
      <c r="BM111" s="153" t="n">
        <v>0</v>
      </c>
      <c r="BN111" s="153" t="n">
        <v>0</v>
      </c>
      <c r="BO111" s="153" t="n">
        <v>0</v>
      </c>
      <c r="BP111" s="153" t="n">
        <v>0</v>
      </c>
      <c r="BQ111" s="153" t="n">
        <v>0</v>
      </c>
      <c r="BR111" s="153" t="n">
        <v>0</v>
      </c>
      <c r="BS111" s="153" t="n">
        <v>0</v>
      </c>
      <c r="BT111" s="153" t="n">
        <v>0</v>
      </c>
      <c r="BU111" s="153" t="n">
        <v>0</v>
      </c>
      <c r="BV111" s="153" t="n">
        <v>0</v>
      </c>
      <c r="BW111" s="153" t="n">
        <v>0</v>
      </c>
      <c r="BX111" s="153" t="n">
        <v>0</v>
      </c>
      <c r="BY111" s="153" t="n">
        <v>0</v>
      </c>
      <c r="BZ111" s="153" t="n">
        <v>0</v>
      </c>
      <c r="CA111" s="153" t="n">
        <v>0</v>
      </c>
      <c r="CB111" s="153" t="n">
        <v>-73156</v>
      </c>
      <c r="CC111" s="153" t="n">
        <v>0</v>
      </c>
      <c r="CD111" s="153" t="n">
        <v>0</v>
      </c>
      <c r="CE111" s="153" t="n">
        <v>-73155</v>
      </c>
      <c r="CF111" s="153" t="n">
        <v>0</v>
      </c>
      <c r="CG111" s="153" t="n">
        <v>0</v>
      </c>
      <c r="CH111" s="153" t="n">
        <v>-73155</v>
      </c>
      <c r="CI111" s="153" t="n">
        <v>0</v>
      </c>
      <c r="CJ111" s="153" t="n">
        <v>0</v>
      </c>
      <c r="CK111" s="153" t="n">
        <v>-73155</v>
      </c>
      <c r="CL111" s="153" t="n">
        <v>-73155</v>
      </c>
      <c r="CM111" s="153" t="n">
        <v>-73155</v>
      </c>
      <c r="CN111" s="153" t="n">
        <v>-73155</v>
      </c>
      <c r="CO111" s="153" t="n">
        <v>-73155</v>
      </c>
      <c r="CP111" s="153" t="n">
        <v>-73155</v>
      </c>
      <c r="CQ111" s="153" t="n">
        <v>-73155</v>
      </c>
      <c r="CR111" s="153" t="n">
        <v>-73155</v>
      </c>
      <c r="CS111" s="153" t="n">
        <v>-73155</v>
      </c>
      <c r="CT111" s="153" t="n">
        <v>-73155</v>
      </c>
      <c r="CU111" s="153" t="n">
        <v>-73155</v>
      </c>
      <c r="CV111" s="153" t="n">
        <v>-73155</v>
      </c>
      <c r="CW111" s="153" t="n">
        <v>-73155</v>
      </c>
      <c r="CX111" s="153" t="n">
        <v>-17446.8489364072</v>
      </c>
      <c r="CY111" s="153" t="n">
        <v>0</v>
      </c>
      <c r="CZ111" s="153" t="n">
        <v>0</v>
      </c>
      <c r="DA111" s="153" t="n">
        <v>0</v>
      </c>
      <c r="DB111" s="153" t="n">
        <v>0</v>
      </c>
      <c r="DC111" s="153" t="n">
        <v>0</v>
      </c>
      <c r="DD111" s="153" t="n">
        <v>0</v>
      </c>
      <c r="DE111" s="153" t="n">
        <v>0</v>
      </c>
      <c r="DF111" s="153" t="n">
        <v>0</v>
      </c>
    </row>
    <row r="112" customFormat="false" ht="15" hidden="false" customHeight="true" outlineLevel="0" collapsed="false">
      <c r="A112" s="108" t="s">
        <v>132</v>
      </c>
      <c r="C112" s="157" t="n">
        <v>-196623.84</v>
      </c>
      <c r="D112" s="157" t="n">
        <v>-189707.12</v>
      </c>
      <c r="E112" s="157" t="n">
        <v>-242129.22</v>
      </c>
      <c r="F112" s="157" t="n">
        <v>-78090.0916666666</v>
      </c>
      <c r="G112" s="157" t="n">
        <v>-78090.0916666666</v>
      </c>
      <c r="H112" s="157" t="n">
        <v>-78090.0916666666</v>
      </c>
      <c r="I112" s="157" t="n">
        <v>-78090.0916666666</v>
      </c>
      <c r="J112" s="157" t="n">
        <v>-78090.0916666666</v>
      </c>
      <c r="K112" s="157" t="n">
        <v>-78090.0916666666</v>
      </c>
      <c r="L112" s="157" t="n">
        <v>-78090.0916666666</v>
      </c>
      <c r="M112" s="157" t="n">
        <v>-78090.0916666666</v>
      </c>
      <c r="N112" s="157" t="n">
        <v>-78090.0916666666</v>
      </c>
      <c r="O112" s="157" t="n">
        <v>-78090.0916666666</v>
      </c>
      <c r="P112" s="157" t="n">
        <v>-78090.0916666666</v>
      </c>
      <c r="Q112" s="157" t="n">
        <v>-78090.0916666666</v>
      </c>
      <c r="R112" s="157" t="n">
        <v>-79651.8935</v>
      </c>
      <c r="S112" s="157" t="n">
        <v>-79651.8935</v>
      </c>
      <c r="T112" s="157" t="n">
        <v>-79651.8935</v>
      </c>
      <c r="U112" s="157" t="n">
        <v>-79651.8935</v>
      </c>
      <c r="V112" s="157" t="n">
        <v>-79651.8935</v>
      </c>
      <c r="W112" s="157" t="n">
        <v>-79651.8935</v>
      </c>
      <c r="X112" s="157" t="n">
        <v>-79651.8935</v>
      </c>
      <c r="Y112" s="157" t="n">
        <v>-79651.8935</v>
      </c>
      <c r="Z112" s="157" t="n">
        <v>-79651.8935</v>
      </c>
      <c r="AA112" s="157" t="n">
        <v>-79651.8935</v>
      </c>
      <c r="AB112" s="157" t="n">
        <v>-79651.8935</v>
      </c>
      <c r="AC112" s="157" t="n">
        <v>-79651.8935</v>
      </c>
      <c r="AD112" s="157" t="n">
        <v>-81244.93137</v>
      </c>
      <c r="AE112" s="157" t="n">
        <v>-81244.93137</v>
      </c>
      <c r="AF112" s="157" t="n">
        <v>-81244.93137</v>
      </c>
      <c r="AG112" s="157" t="n">
        <v>-81244.93137</v>
      </c>
      <c r="AH112" s="157" t="n">
        <v>-81244.93137</v>
      </c>
      <c r="AI112" s="157" t="n">
        <v>-81244.93137</v>
      </c>
      <c r="AJ112" s="157" t="n">
        <v>-81244.93137</v>
      </c>
      <c r="AK112" s="157" t="n">
        <v>-81244.93137</v>
      </c>
      <c r="AL112" s="157" t="n">
        <v>-81244.93137</v>
      </c>
      <c r="AM112" s="157" t="n">
        <v>-81244.93137</v>
      </c>
      <c r="AN112" s="157" t="n">
        <v>-81244.93137</v>
      </c>
      <c r="AO112" s="157" t="n">
        <v>-81244.93137</v>
      </c>
      <c r="AP112" s="157" t="n">
        <v>-82869.8299974</v>
      </c>
      <c r="AQ112" s="157" t="n">
        <v>-82869.8299974</v>
      </c>
      <c r="AR112" s="157" t="n">
        <v>-82869.8299974</v>
      </c>
      <c r="AS112" s="157" t="n">
        <v>-82869.8299974</v>
      </c>
      <c r="AT112" s="157" t="n">
        <v>-82869.8299974</v>
      </c>
      <c r="AU112" s="157" t="n">
        <v>-164552.8299974</v>
      </c>
      <c r="AV112" s="157" t="n">
        <v>-82869.8299974</v>
      </c>
      <c r="AW112" s="157" t="n">
        <v>-82869.8299974</v>
      </c>
      <c r="AX112" s="157" t="n">
        <v>-164551.8299974</v>
      </c>
      <c r="AY112" s="157" t="n">
        <v>-82869.8299974</v>
      </c>
      <c r="AZ112" s="157" t="n">
        <v>-82869.8299974</v>
      </c>
      <c r="BA112" s="157" t="n">
        <v>-164551.8299974</v>
      </c>
      <c r="BB112" s="157" t="n">
        <v>-84527.226597348</v>
      </c>
      <c r="BC112" s="157" t="n">
        <v>-84527.226597348</v>
      </c>
      <c r="BD112" s="157" t="n">
        <v>-1018048.22659735</v>
      </c>
      <c r="BE112" s="157" t="n">
        <v>-84527.226597348</v>
      </c>
      <c r="BF112" s="157" t="n">
        <v>-84527.226597348</v>
      </c>
      <c r="BG112" s="157" t="n">
        <v>-215405.226597348</v>
      </c>
      <c r="BH112" s="157" t="n">
        <v>-84527.226597348</v>
      </c>
      <c r="BI112" s="157" t="n">
        <v>-84527.226597348</v>
      </c>
      <c r="BJ112" s="157" t="n">
        <v>-215403.226597348</v>
      </c>
      <c r="BK112" s="157" t="n">
        <v>-84527.226597348</v>
      </c>
      <c r="BL112" s="157" t="n">
        <v>-84527.226597348</v>
      </c>
      <c r="BM112" s="157" t="n">
        <v>-215403.226597348</v>
      </c>
      <c r="BN112" s="157" t="n">
        <v>-86217.771129295</v>
      </c>
      <c r="BO112" s="157" t="n">
        <v>-86217.771129295</v>
      </c>
      <c r="BP112" s="157" t="n">
        <v>-217093.771129295</v>
      </c>
      <c r="BQ112" s="157" t="n">
        <v>-86217.771129295</v>
      </c>
      <c r="BR112" s="157" t="n">
        <v>-86217.771129295</v>
      </c>
      <c r="BS112" s="157" t="n">
        <v>-177110.251129295</v>
      </c>
      <c r="BT112" s="157" t="n">
        <v>-86217.771129295</v>
      </c>
      <c r="BU112" s="157" t="n">
        <v>-86217.771129295</v>
      </c>
      <c r="BV112" s="157" t="n">
        <v>-160857.771129295</v>
      </c>
      <c r="BW112" s="157" t="n">
        <v>-86217.771129295</v>
      </c>
      <c r="BX112" s="157" t="n">
        <v>-86217.771129295</v>
      </c>
      <c r="BY112" s="157" t="n">
        <v>-160857.771129295</v>
      </c>
      <c r="BZ112" s="157" t="n">
        <v>-87942.1265518809</v>
      </c>
      <c r="CA112" s="157" t="n">
        <v>-87942.1265518809</v>
      </c>
      <c r="CB112" s="157" t="n">
        <v>-235738.126551881</v>
      </c>
      <c r="CC112" s="157" t="n">
        <v>-87942.1265518809</v>
      </c>
      <c r="CD112" s="157" t="n">
        <v>-87942.1265518809</v>
      </c>
      <c r="CE112" s="157" t="n">
        <v>-242460.126551881</v>
      </c>
      <c r="CF112" s="157" t="n">
        <v>-87942.1265518809</v>
      </c>
      <c r="CG112" s="157" t="n">
        <v>-87942.1265518809</v>
      </c>
      <c r="CH112" s="157" t="n">
        <v>-242459.126551881</v>
      </c>
      <c r="CI112" s="157" t="n">
        <v>-87942.1265518809</v>
      </c>
      <c r="CJ112" s="157" t="n">
        <v>-87942.1265518809</v>
      </c>
      <c r="CK112" s="157" t="n">
        <v>-235851.099945402</v>
      </c>
      <c r="CL112" s="157" t="n">
        <v>-162855.969082918</v>
      </c>
      <c r="CM112" s="157" t="n">
        <v>-162855.969082918</v>
      </c>
      <c r="CN112" s="157" t="n">
        <v>-162855.969082918</v>
      </c>
      <c r="CO112" s="157" t="n">
        <v>-162855.969082918</v>
      </c>
      <c r="CP112" s="157" t="n">
        <v>-162855.969082918</v>
      </c>
      <c r="CQ112" s="157" t="n">
        <v>-162855.969082918</v>
      </c>
      <c r="CR112" s="157" t="n">
        <v>-162855.969082918</v>
      </c>
      <c r="CS112" s="157" t="n">
        <v>-162855.969082918</v>
      </c>
      <c r="CT112" s="157" t="n">
        <v>-162855.969082918</v>
      </c>
      <c r="CU112" s="157" t="n">
        <v>-160947.475708022</v>
      </c>
      <c r="CV112" s="157" t="n">
        <v>-160947.475708022</v>
      </c>
      <c r="CW112" s="157" t="n">
        <v>-160947.475708022</v>
      </c>
      <c r="CX112" s="157" t="n">
        <v>-106995.17415859</v>
      </c>
      <c r="CY112" s="157" t="n">
        <v>-89548.3252221824</v>
      </c>
      <c r="CZ112" s="157" t="n">
        <v>-89548.3252221824</v>
      </c>
      <c r="DA112" s="157" t="n">
        <v>-89548.3252221824</v>
      </c>
      <c r="DB112" s="157" t="n">
        <v>-89548.3252221824</v>
      </c>
      <c r="DC112" s="157" t="n">
        <v>-89548.3252221824</v>
      </c>
      <c r="DD112" s="157" t="n">
        <v>-89548.3252221824</v>
      </c>
      <c r="DE112" s="157" t="n">
        <v>-89548.3252221824</v>
      </c>
      <c r="DF112" s="157" t="n">
        <v>-89548.3252221824</v>
      </c>
    </row>
    <row r="113" customFormat="false" ht="15" hidden="false" customHeight="true" outlineLevel="0" collapsed="false">
      <c r="A113" s="76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</row>
    <row r="114" customFormat="false" ht="15" hidden="false" customHeight="true" outlineLevel="0" collapsed="false">
      <c r="A114" s="76" t="s">
        <v>133</v>
      </c>
      <c r="C114" s="161" t="n">
        <v>-162509.26</v>
      </c>
      <c r="D114" s="161" t="n">
        <v>-155592.54</v>
      </c>
      <c r="E114" s="161" t="n">
        <v>-208014.64</v>
      </c>
      <c r="F114" s="161" t="n">
        <v>-34475.5116666666</v>
      </c>
      <c r="G114" s="161" t="n">
        <v>-34475.5116666666</v>
      </c>
      <c r="H114" s="161" t="n">
        <v>-34475.5116666666</v>
      </c>
      <c r="I114" s="161" t="n">
        <v>-34475.5116666666</v>
      </c>
      <c r="J114" s="161" t="n">
        <v>-34475.5116666666</v>
      </c>
      <c r="K114" s="161" t="n">
        <v>-35308.8416666666</v>
      </c>
      <c r="L114" s="161" t="n">
        <v>-35308.8416666666</v>
      </c>
      <c r="M114" s="161" t="n">
        <v>-44683.8416666666</v>
      </c>
      <c r="N114" s="161" t="n">
        <v>-44683.8416666666</v>
      </c>
      <c r="O114" s="161" t="n">
        <v>-44683.8416666666</v>
      </c>
      <c r="P114" s="161" t="n">
        <v>-44683.8416666666</v>
      </c>
      <c r="Q114" s="161" t="n">
        <v>-44683.8416666666</v>
      </c>
      <c r="R114" s="161" t="n">
        <v>-46245.6435</v>
      </c>
      <c r="S114" s="161" t="n">
        <v>-46245.6435</v>
      </c>
      <c r="T114" s="161" t="n">
        <v>-46245.6435</v>
      </c>
      <c r="U114" s="161" t="n">
        <v>-70151.8935</v>
      </c>
      <c r="V114" s="161" t="n">
        <v>-70151.8935</v>
      </c>
      <c r="W114" s="161" t="n">
        <v>-70151.8935</v>
      </c>
      <c r="X114" s="161" t="n">
        <v>-70151.8935</v>
      </c>
      <c r="Y114" s="161" t="n">
        <v>-70151.8935</v>
      </c>
      <c r="Z114" s="161" t="n">
        <v>-12776.8935</v>
      </c>
      <c r="AA114" s="161" t="n">
        <v>-70151.8935</v>
      </c>
      <c r="AB114" s="161" t="n">
        <v>-70151.8935</v>
      </c>
      <c r="AC114" s="161" t="n">
        <v>-12776.8935</v>
      </c>
      <c r="AD114" s="161" t="n">
        <v>-71744.93137</v>
      </c>
      <c r="AE114" s="161" t="n">
        <v>-71744.93137</v>
      </c>
      <c r="AF114" s="161" t="n">
        <v>-14369.93137</v>
      </c>
      <c r="AG114" s="161" t="n">
        <v>-71744.93137</v>
      </c>
      <c r="AH114" s="161" t="n">
        <v>-71744.93137</v>
      </c>
      <c r="AI114" s="161" t="n">
        <v>-71744.93137</v>
      </c>
      <c r="AJ114" s="161" t="n">
        <v>-81244.93137</v>
      </c>
      <c r="AK114" s="161" t="n">
        <v>-81244.93137</v>
      </c>
      <c r="AL114" s="161" t="n">
        <v>-81244.93137</v>
      </c>
      <c r="AM114" s="161" t="n">
        <v>-81244.93137</v>
      </c>
      <c r="AN114" s="161" t="n">
        <v>-81244.93137</v>
      </c>
      <c r="AO114" s="161" t="n">
        <v>-81244.93137</v>
      </c>
      <c r="AP114" s="161" t="n">
        <v>-82869.8299974</v>
      </c>
      <c r="AQ114" s="161" t="n">
        <v>-82869.8299974</v>
      </c>
      <c r="AR114" s="161" t="n">
        <v>-82869.8299974</v>
      </c>
      <c r="AS114" s="161" t="n">
        <v>-82869.8299974</v>
      </c>
      <c r="AT114" s="161" t="n">
        <v>-82869.8299974</v>
      </c>
      <c r="AU114" s="161" t="n">
        <v>-82869.8299974</v>
      </c>
      <c r="AV114" s="161" t="n">
        <v>-82869.8299974</v>
      </c>
      <c r="AW114" s="161" t="n">
        <v>-82869.8299974</v>
      </c>
      <c r="AX114" s="161" t="n">
        <v>-82869.8299974</v>
      </c>
      <c r="AY114" s="161" t="n">
        <v>-82869.8299974</v>
      </c>
      <c r="AZ114" s="161" t="n">
        <v>-82869.8299974</v>
      </c>
      <c r="BA114" s="161" t="n">
        <v>-82869.8299974</v>
      </c>
      <c r="BB114" s="161" t="n">
        <v>-84527.226597348</v>
      </c>
      <c r="BC114" s="161" t="n">
        <v>-84527.226597348</v>
      </c>
      <c r="BD114" s="161" t="n">
        <v>-84527.226597348</v>
      </c>
      <c r="BE114" s="161" t="n">
        <v>-84527.226597348</v>
      </c>
      <c r="BF114" s="161" t="n">
        <v>-84527.226597348</v>
      </c>
      <c r="BG114" s="161" t="n">
        <v>-84527.226597348</v>
      </c>
      <c r="BH114" s="161" t="n">
        <v>-84527.226597348</v>
      </c>
      <c r="BI114" s="161" t="n">
        <v>-84527.226597348</v>
      </c>
      <c r="BJ114" s="161" t="n">
        <v>-84527.226597348</v>
      </c>
      <c r="BK114" s="161" t="n">
        <v>-84527.226597348</v>
      </c>
      <c r="BL114" s="161" t="n">
        <v>-84527.226597348</v>
      </c>
      <c r="BM114" s="161" t="n">
        <v>-84527.226597348</v>
      </c>
      <c r="BN114" s="161" t="n">
        <v>-86217.771129295</v>
      </c>
      <c r="BO114" s="161" t="n">
        <v>-86217.771129295</v>
      </c>
      <c r="BP114" s="161" t="n">
        <v>-86217.771129295</v>
      </c>
      <c r="BQ114" s="161" t="n">
        <v>-86217.771129295</v>
      </c>
      <c r="BR114" s="161" t="n">
        <v>-86217.771129295</v>
      </c>
      <c r="BS114" s="161" t="n">
        <v>-34704.251129295</v>
      </c>
      <c r="BT114" s="161" t="n">
        <v>-86217.771129295</v>
      </c>
      <c r="BU114" s="161" t="n">
        <v>-86217.771129295</v>
      </c>
      <c r="BV114" s="161" t="n">
        <v>-18455.771129295</v>
      </c>
      <c r="BW114" s="161" t="n">
        <v>-86217.771129295</v>
      </c>
      <c r="BX114" s="161" t="n">
        <v>-86217.771129295</v>
      </c>
      <c r="BY114" s="161" t="n">
        <v>-18455.771129295</v>
      </c>
      <c r="BZ114" s="161" t="n">
        <v>-87942.1265518809</v>
      </c>
      <c r="CA114" s="161" t="n">
        <v>-87942.1265518809</v>
      </c>
      <c r="CB114" s="161" t="n">
        <v>-20180.1265518809</v>
      </c>
      <c r="CC114" s="161" t="n">
        <v>-87942.1265518809</v>
      </c>
      <c r="CD114" s="161" t="n">
        <v>-87942.1265518809</v>
      </c>
      <c r="CE114" s="161" t="n">
        <v>-11443.1265518809</v>
      </c>
      <c r="CF114" s="161" t="n">
        <v>-87942.1265518809</v>
      </c>
      <c r="CG114" s="161" t="n">
        <v>-87942.1265518809</v>
      </c>
      <c r="CH114" s="161" t="n">
        <v>-11443.1265518809</v>
      </c>
      <c r="CI114" s="161" t="n">
        <v>-87942.1265518809</v>
      </c>
      <c r="CJ114" s="161" t="n">
        <v>-87942.1265518809</v>
      </c>
      <c r="CK114" s="161" t="n">
        <v>-4835.09994540163</v>
      </c>
      <c r="CL114" s="161" t="n">
        <v>68160.0309170815</v>
      </c>
      <c r="CM114" s="161" t="n">
        <v>68160.0309170815</v>
      </c>
      <c r="CN114" s="161" t="n">
        <v>68160.0309170815</v>
      </c>
      <c r="CO114" s="161" t="n">
        <v>68160.0309170815</v>
      </c>
      <c r="CP114" s="161" t="n">
        <v>68160.0309170815</v>
      </c>
      <c r="CQ114" s="161" t="n">
        <v>68160.0309170815</v>
      </c>
      <c r="CR114" s="161" t="n">
        <v>68160.0309170815</v>
      </c>
      <c r="CS114" s="161" t="n">
        <v>68160.0309170815</v>
      </c>
      <c r="CT114" s="161" t="n">
        <v>68160.0309170815</v>
      </c>
      <c r="CU114" s="161" t="n">
        <v>70068.524291978</v>
      </c>
      <c r="CV114" s="161" t="n">
        <v>70068.524291978</v>
      </c>
      <c r="CW114" s="161" t="n">
        <v>70068.524291978</v>
      </c>
      <c r="CX114" s="161" t="n">
        <v>124020.82584141</v>
      </c>
      <c r="CY114" s="161" t="n">
        <v>141467.674777818</v>
      </c>
      <c r="CZ114" s="161" t="n">
        <v>141467.674777818</v>
      </c>
      <c r="DA114" s="161" t="n">
        <v>141467.674777818</v>
      </c>
      <c r="DB114" s="161" t="n">
        <v>141467.674777818</v>
      </c>
      <c r="DC114" s="161" t="n">
        <v>141467.674777818</v>
      </c>
      <c r="DD114" s="161" t="n">
        <v>141467.674777818</v>
      </c>
      <c r="DE114" s="161" t="n">
        <v>141467.674777818</v>
      </c>
      <c r="DF114" s="16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47" t="s">
        <v>337</v>
      </c>
      <c r="B1" s="47" t="s">
        <v>338</v>
      </c>
      <c r="C1" s="47" t="s">
        <v>339</v>
      </c>
      <c r="D1" s="47" t="s">
        <v>340</v>
      </c>
      <c r="E1" s="47" t="s">
        <v>341</v>
      </c>
      <c r="F1" s="47" t="s">
        <v>342</v>
      </c>
      <c r="G1" s="47" t="s">
        <v>343</v>
      </c>
      <c r="H1" s="47" t="s">
        <v>344</v>
      </c>
      <c r="I1" s="47" t="s">
        <v>345</v>
      </c>
      <c r="J1" s="47" t="s">
        <v>346</v>
      </c>
      <c r="K1" s="47" t="s">
        <v>347</v>
      </c>
      <c r="L1" s="47" t="s">
        <v>348</v>
      </c>
      <c r="N1" s="47" t="s">
        <v>349</v>
      </c>
      <c r="O1" s="47" t="s">
        <v>350</v>
      </c>
      <c r="P1" s="47" t="s">
        <v>351</v>
      </c>
      <c r="Q1" s="47" t="s">
        <v>352</v>
      </c>
      <c r="R1" s="47" t="s">
        <v>353</v>
      </c>
      <c r="S1" s="47" t="s">
        <v>354</v>
      </c>
      <c r="T1" s="47" t="s">
        <v>355</v>
      </c>
    </row>
    <row r="2" customFormat="false" ht="15" hidden="false" customHeight="true" outlineLevel="0" collapsed="false">
      <c r="A2" s="162" t="s">
        <v>7</v>
      </c>
      <c r="B2" s="163" t="n">
        <v>7126075</v>
      </c>
      <c r="C2" s="164" t="n">
        <v>1</v>
      </c>
      <c r="D2" s="164" t="n">
        <v>8</v>
      </c>
      <c r="E2" s="164" t="n">
        <v>2</v>
      </c>
      <c r="F2" s="164" t="s">
        <v>356</v>
      </c>
      <c r="G2" s="164" t="s">
        <v>357</v>
      </c>
      <c r="H2" s="164" t="n">
        <v>0</v>
      </c>
      <c r="I2" s="165" t="n">
        <f aca="false">IF(H2=1,Assumptions!$B$16,IF(H2=2,Assumptions!$B$17,0))</f>
        <v>0</v>
      </c>
      <c r="J2" s="164" t="s">
        <v>356</v>
      </c>
      <c r="K2" s="164" t="s">
        <v>356</v>
      </c>
      <c r="L2" s="164" t="s">
        <v>358</v>
      </c>
      <c r="N2" s="163" t="n">
        <v>194932</v>
      </c>
      <c r="O2" s="163" t="n">
        <f aca="false">B2*Assumptions!$B$11</f>
        <v>367676.9657</v>
      </c>
      <c r="P2" s="163" t="n">
        <v>46323</v>
      </c>
      <c r="Q2" s="163" t="n">
        <f aca="false">N2+O2+P2</f>
        <v>608931.9657</v>
      </c>
      <c r="R2" s="163" t="n">
        <f aca="false">Q2*0.05</f>
        <v>30446.598285</v>
      </c>
      <c r="S2" s="162" t="n">
        <f aca="false">C2+D2-1</f>
        <v>8</v>
      </c>
      <c r="T2" s="166"/>
    </row>
    <row r="3" customFormat="false" ht="15" hidden="false" customHeight="true" outlineLevel="0" collapsed="false">
      <c r="A3" s="162" t="s">
        <v>8</v>
      </c>
      <c r="B3" s="163" t="n">
        <v>20176449</v>
      </c>
      <c r="C3" s="164" t="n">
        <v>1</v>
      </c>
      <c r="D3" s="164" t="n">
        <v>16</v>
      </c>
      <c r="E3" s="164" t="n">
        <v>2</v>
      </c>
      <c r="F3" s="164" t="s">
        <v>356</v>
      </c>
      <c r="G3" s="164" t="s">
        <v>357</v>
      </c>
      <c r="H3" s="164" t="n">
        <v>0</v>
      </c>
      <c r="I3" s="165" t="n">
        <f aca="false">IF(H3=1,Assumptions!$B$16,IF(H3=2,Assumptions!$B$17,0))</f>
        <v>0</v>
      </c>
      <c r="J3" s="164" t="s">
        <v>356</v>
      </c>
      <c r="K3" s="164" t="s">
        <v>356</v>
      </c>
      <c r="L3" s="164" t="s">
        <v>358</v>
      </c>
      <c r="N3" s="163" t="n">
        <v>888067</v>
      </c>
      <c r="O3" s="163" t="n">
        <f aca="false">B3*Assumptions!$B$11</f>
        <v>1041024.062604</v>
      </c>
      <c r="P3" s="163" t="n">
        <v>176626</v>
      </c>
      <c r="Q3" s="163" t="n">
        <f aca="false">N3+O3+P3</f>
        <v>2105717.062604</v>
      </c>
      <c r="R3" s="163" t="n">
        <f aca="false">Q3*0.05</f>
        <v>105285.8531302</v>
      </c>
      <c r="S3" s="162" t="n">
        <f aca="false">C3+D3-1</f>
        <v>16</v>
      </c>
      <c r="T3" s="166"/>
    </row>
    <row r="4" customFormat="false" ht="15" hidden="false" customHeight="true" outlineLevel="0" collapsed="false">
      <c r="A4" s="162" t="s">
        <v>9</v>
      </c>
      <c r="B4" s="163" t="n">
        <v>11929880</v>
      </c>
      <c r="C4" s="164" t="n">
        <v>1</v>
      </c>
      <c r="D4" s="164" t="n">
        <v>15</v>
      </c>
      <c r="E4" s="164" t="n">
        <v>3</v>
      </c>
      <c r="F4" s="164" t="s">
        <v>357</v>
      </c>
      <c r="G4" s="164" t="s">
        <v>357</v>
      </c>
      <c r="H4" s="164" t="n">
        <v>1</v>
      </c>
      <c r="I4" s="165" t="n">
        <f aca="false">IF(H4=1,Assumptions!$B$16,IF(H4=2,Assumptions!$B$17,0))</f>
        <v>0.0074</v>
      </c>
      <c r="J4" s="164" t="s">
        <v>356</v>
      </c>
      <c r="K4" s="164" t="s">
        <v>357</v>
      </c>
      <c r="L4" s="164" t="s">
        <v>359</v>
      </c>
      <c r="N4" s="163" t="n">
        <f aca="false">B4*Assumptions!$B$10</f>
        <v>615534.08848</v>
      </c>
      <c r="O4" s="163" t="n">
        <f aca="false">B4*Assumptions!$B$11</f>
        <v>615534.08848</v>
      </c>
      <c r="P4" s="163" t="n">
        <f aca="false">B4*Assumptions!$B$12</f>
        <v>205182.00612</v>
      </c>
      <c r="Q4" s="163" t="n">
        <f aca="false">N4+O4+P4</f>
        <v>1436250.18308</v>
      </c>
      <c r="R4" s="163" t="n">
        <f aca="false">Q4*0.05</f>
        <v>71812.509154</v>
      </c>
      <c r="S4" s="162" t="n">
        <f aca="false">C4+D4-1</f>
        <v>15</v>
      </c>
      <c r="T4" s="166"/>
    </row>
    <row r="5" customFormat="false" ht="15" hidden="false" customHeight="true" outlineLevel="0" collapsed="false">
      <c r="A5" s="162" t="s">
        <v>10</v>
      </c>
      <c r="B5" s="163" t="n">
        <v>14427884</v>
      </c>
      <c r="C5" s="164" t="n">
        <v>1</v>
      </c>
      <c r="D5" s="164" t="n">
        <v>15</v>
      </c>
      <c r="E5" s="164" t="n">
        <v>3</v>
      </c>
      <c r="F5" s="164" t="s">
        <v>357</v>
      </c>
      <c r="G5" s="164" t="s">
        <v>357</v>
      </c>
      <c r="H5" s="164" t="n">
        <v>1</v>
      </c>
      <c r="I5" s="165" t="n">
        <f aca="false">IF(H5=1,Assumptions!$B$16,IF(H5=2,Assumptions!$B$17,0))</f>
        <v>0.0074</v>
      </c>
      <c r="J5" s="164" t="s">
        <v>356</v>
      </c>
      <c r="K5" s="164" t="s">
        <v>357</v>
      </c>
      <c r="L5" s="164" t="s">
        <v>359</v>
      </c>
      <c r="N5" s="163" t="n">
        <f aca="false">B5*Assumptions!$B$10</f>
        <v>744421.102864</v>
      </c>
      <c r="O5" s="163" t="n">
        <f aca="false">B5*Assumptions!$B$11</f>
        <v>744421.102864</v>
      </c>
      <c r="P5" s="163" t="n">
        <f aca="false">B5*Assumptions!$B$12</f>
        <v>248145.176916</v>
      </c>
      <c r="Q5" s="163" t="n">
        <f aca="false">N5+O5+P5</f>
        <v>1736987.382644</v>
      </c>
      <c r="R5" s="163" t="n">
        <f aca="false">Q5*0.05</f>
        <v>86849.3691322</v>
      </c>
      <c r="S5" s="162" t="n">
        <f aca="false">C5+D5-1</f>
        <v>15</v>
      </c>
      <c r="T5" s="166"/>
    </row>
    <row r="6" customFormat="false" ht="15" hidden="false" customHeight="true" outlineLevel="0" collapsed="false">
      <c r="A6" s="162" t="s">
        <v>11</v>
      </c>
      <c r="B6" s="163" t="n">
        <v>3623245</v>
      </c>
      <c r="C6" s="164" t="n">
        <v>1</v>
      </c>
      <c r="D6" s="164" t="n">
        <v>19</v>
      </c>
      <c r="E6" s="164" t="n">
        <v>3</v>
      </c>
      <c r="F6" s="164" t="s">
        <v>356</v>
      </c>
      <c r="G6" s="164" t="s">
        <v>357</v>
      </c>
      <c r="H6" s="164" t="n">
        <v>0</v>
      </c>
      <c r="I6" s="165" t="n">
        <f aca="false">IF(H6=1,Assumptions!$B$16,IF(H6=2,Assumptions!$B$17,0))</f>
        <v>0</v>
      </c>
      <c r="J6" s="164" t="s">
        <v>356</v>
      </c>
      <c r="K6" s="164" t="s">
        <v>357</v>
      </c>
      <c r="L6" s="164" t="s">
        <v>359</v>
      </c>
      <c r="N6" s="163" t="n">
        <v>245000</v>
      </c>
      <c r="O6" s="163" t="n">
        <f aca="false">B6*Assumptions!$B$11</f>
        <v>186944.94902</v>
      </c>
      <c r="P6" s="163" t="n">
        <v>0</v>
      </c>
      <c r="Q6" s="163" t="n">
        <f aca="false">N6+O6+P6</f>
        <v>431944.94902</v>
      </c>
      <c r="R6" s="163" t="n">
        <f aca="false">Q6*0.05</f>
        <v>21597.247451</v>
      </c>
      <c r="S6" s="162" t="n">
        <f aca="false">C6+D6-1</f>
        <v>19</v>
      </c>
      <c r="T6" s="166" t="n">
        <f aca="false">Assumptions!$B$15</f>
        <v>0.015</v>
      </c>
    </row>
    <row r="7" customFormat="false" ht="15" hidden="false" customHeight="true" outlineLevel="0" collapsed="false">
      <c r="A7" s="162" t="s">
        <v>12</v>
      </c>
      <c r="B7" s="163" t="n">
        <v>42794765</v>
      </c>
      <c r="C7" s="164" t="n">
        <v>5</v>
      </c>
      <c r="D7" s="164" t="n">
        <v>30</v>
      </c>
      <c r="E7" s="164" t="n">
        <v>1</v>
      </c>
      <c r="F7" s="164" t="s">
        <v>357</v>
      </c>
      <c r="G7" s="164" t="s">
        <v>357</v>
      </c>
      <c r="H7" s="164" t="n">
        <v>1</v>
      </c>
      <c r="I7" s="165" t="n">
        <f aca="false">Assumptions!$B$18</f>
        <v>0.00725158134079107</v>
      </c>
      <c r="J7" s="164" t="s">
        <v>357</v>
      </c>
      <c r="K7" s="164" t="s">
        <v>357</v>
      </c>
      <c r="L7" s="164" t="s">
        <v>358</v>
      </c>
      <c r="N7" s="163" t="n">
        <f aca="false">B7*Assumptions!$B$10</f>
        <v>2208038.69494</v>
      </c>
      <c r="O7" s="163" t="n">
        <f aca="false">B7*Assumptions!$B$11</f>
        <v>2208038.69494</v>
      </c>
      <c r="P7" s="163" t="n">
        <f aca="false">B7*Assumptions!$B$12</f>
        <v>736027.163235</v>
      </c>
      <c r="Q7" s="163" t="n">
        <f aca="false">N7+O7+P7</f>
        <v>5152104.553115</v>
      </c>
      <c r="R7" s="163" t="n">
        <f aca="false">Q7*0.05</f>
        <v>257605.22765575</v>
      </c>
      <c r="S7" s="162" t="n">
        <f aca="false">C7+D7-1</f>
        <v>34</v>
      </c>
      <c r="T7" s="166" t="n">
        <f aca="false">839113/B7</f>
        <v>0.0196078422208885</v>
      </c>
    </row>
    <row r="8" customFormat="false" ht="15" hidden="false" customHeight="true" outlineLevel="0" collapsed="false">
      <c r="A8" s="162" t="s">
        <v>13</v>
      </c>
      <c r="B8" s="163" t="n">
        <v>12993776.05</v>
      </c>
      <c r="C8" s="164" t="n">
        <v>5</v>
      </c>
      <c r="D8" s="164" t="n">
        <v>19</v>
      </c>
      <c r="E8" s="164" t="n">
        <v>3</v>
      </c>
      <c r="F8" s="164" t="s">
        <v>357</v>
      </c>
      <c r="G8" s="164" t="s">
        <v>357</v>
      </c>
      <c r="H8" s="164" t="n">
        <v>1</v>
      </c>
      <c r="I8" s="165" t="n">
        <f aca="false">Assumptions!$B$18</f>
        <v>0.00725158134079107</v>
      </c>
      <c r="J8" s="164" t="s">
        <v>356</v>
      </c>
      <c r="K8" s="164" t="s">
        <v>357</v>
      </c>
      <c r="L8" s="164" t="s">
        <v>359</v>
      </c>
      <c r="N8" s="163" t="n">
        <f aca="false">B8*Assumptions!$B$10</f>
        <v>670426.8690758</v>
      </c>
      <c r="O8" s="163" t="n">
        <f aca="false">B8*Assumptions!$B$11</f>
        <v>670426.8690758</v>
      </c>
      <c r="P8" s="163" t="n">
        <f aca="false">B8*Assumptions!$B$12</f>
        <v>223479.95428395</v>
      </c>
      <c r="Q8" s="163" t="n">
        <f aca="false">N8+O8+P8</f>
        <v>1564333.69243555</v>
      </c>
      <c r="R8" s="163" t="n">
        <f aca="false">Q8*0.05</f>
        <v>78216.6846217775</v>
      </c>
      <c r="S8" s="162" t="n">
        <f aca="false">C8+D8-1</f>
        <v>23</v>
      </c>
      <c r="T8" s="166" t="n">
        <f aca="false">192026.25/B8</f>
        <v>0.0147783253506205</v>
      </c>
    </row>
    <row r="9" customFormat="false" ht="15" hidden="false" customHeight="true" outlineLevel="0" collapsed="false">
      <c r="A9" s="162" t="s">
        <v>14</v>
      </c>
      <c r="B9" s="163" t="n">
        <v>14337010.8</v>
      </c>
      <c r="C9" s="164" t="n">
        <v>5</v>
      </c>
      <c r="D9" s="164" t="n">
        <v>30</v>
      </c>
      <c r="E9" s="164" t="n">
        <v>1</v>
      </c>
      <c r="F9" s="164" t="s">
        <v>357</v>
      </c>
      <c r="G9" s="164" t="s">
        <v>357</v>
      </c>
      <c r="H9" s="164" t="n">
        <v>1</v>
      </c>
      <c r="I9" s="165" t="n">
        <f aca="false">Assumptions!$B$18</f>
        <v>0.00725158134079107</v>
      </c>
      <c r="J9" s="164" t="s">
        <v>356</v>
      </c>
      <c r="K9" s="164" t="s">
        <v>357</v>
      </c>
      <c r="L9" s="164" t="s">
        <v>359</v>
      </c>
      <c r="N9" s="163" t="n">
        <f aca="false">B9*Assumptions!$B$10</f>
        <v>739732.4092368</v>
      </c>
      <c r="O9" s="163" t="n">
        <f aca="false">B9*Assumptions!$B$11</f>
        <v>739732.4092368</v>
      </c>
      <c r="P9" s="163" t="n">
        <f aca="false">B9*Assumptions!$B$12</f>
        <v>246582.2487492</v>
      </c>
      <c r="Q9" s="163" t="n">
        <f aca="false">N9+O9+P9</f>
        <v>1726047.0672228</v>
      </c>
      <c r="R9" s="163" t="n">
        <f aca="false">Q9*0.05</f>
        <v>86302.35336114</v>
      </c>
      <c r="S9" s="162" t="n">
        <f aca="false">C9+D9-1</f>
        <v>34</v>
      </c>
      <c r="T9" s="166" t="n">
        <f aca="false">211877.01/B9</f>
        <v>0.0147783253396168</v>
      </c>
    </row>
    <row r="10" customFormat="false" ht="15" hidden="false" customHeight="true" outlineLevel="0" collapsed="false">
      <c r="A10" s="162" t="s">
        <v>15</v>
      </c>
      <c r="B10" s="163" t="n">
        <v>21263405</v>
      </c>
      <c r="C10" s="164" t="n">
        <v>6</v>
      </c>
      <c r="D10" s="164" t="n">
        <v>24</v>
      </c>
      <c r="E10" s="164" t="n">
        <v>2</v>
      </c>
      <c r="F10" s="164" t="s">
        <v>357</v>
      </c>
      <c r="G10" s="164" t="s">
        <v>357</v>
      </c>
      <c r="H10" s="164" t="n">
        <v>2</v>
      </c>
      <c r="I10" s="165" t="n">
        <f aca="false">IF(H10=1,Assumptions!$B$16,IF(H10=2,Assumptions!$B$17,0))</f>
        <v>0.0325</v>
      </c>
      <c r="J10" s="164" t="s">
        <v>356</v>
      </c>
      <c r="K10" s="164" t="s">
        <v>357</v>
      </c>
      <c r="L10" s="164" t="s">
        <v>359</v>
      </c>
      <c r="N10" s="163" t="n">
        <f aca="false">B10*Assumptions!$B$10</f>
        <v>1097106.64438</v>
      </c>
      <c r="O10" s="163" t="n">
        <f aca="false">B10*Assumptions!$B$11</f>
        <v>1097106.64438</v>
      </c>
      <c r="P10" s="163" t="n">
        <f aca="false">B10*Assumptions!$B$12</f>
        <v>365709.302595</v>
      </c>
      <c r="Q10" s="163" t="n">
        <f aca="false">N10+O10+P10</f>
        <v>2559922.591355</v>
      </c>
      <c r="R10" s="163" t="n">
        <f aca="false">Q10*0.05</f>
        <v>127996.12956775</v>
      </c>
      <c r="S10" s="162" t="n">
        <f aca="false">C10+D10-1</f>
        <v>29</v>
      </c>
      <c r="T10" s="166" t="n">
        <f aca="false">Assumptions!$B$15</f>
        <v>0.015</v>
      </c>
    </row>
    <row r="11" customFormat="false" ht="15" hidden="false" customHeight="true" outlineLevel="0" collapsed="false">
      <c r="A11" s="162" t="s">
        <v>16</v>
      </c>
      <c r="B11" s="163" t="n">
        <v>9577109</v>
      </c>
      <c r="C11" s="164" t="n">
        <v>5</v>
      </c>
      <c r="D11" s="164" t="n">
        <v>19</v>
      </c>
      <c r="E11" s="164" t="n">
        <v>3</v>
      </c>
      <c r="F11" s="164" t="s">
        <v>356</v>
      </c>
      <c r="G11" s="164" t="s">
        <v>356</v>
      </c>
      <c r="H11" s="164" t="n">
        <v>0</v>
      </c>
      <c r="I11" s="165" t="n">
        <f aca="false">IF(H11=1,Assumptions!$B$16,IF(H11=2,Assumptions!$B$17,0))</f>
        <v>0</v>
      </c>
      <c r="J11" s="164" t="s">
        <v>357</v>
      </c>
      <c r="K11" s="164" t="s">
        <v>356</v>
      </c>
      <c r="L11" s="164" t="s">
        <v>358</v>
      </c>
      <c r="N11" s="163" t="n">
        <f aca="false">B11*Assumptions!$B$10</f>
        <v>494140.515964</v>
      </c>
      <c r="O11" s="163" t="n">
        <f aca="false">B11*Assumptions!$B$11</f>
        <v>494140.515964</v>
      </c>
      <c r="P11" s="163" t="n">
        <f aca="false">B11*Assumptions!$B$12</f>
        <v>164716.697691</v>
      </c>
      <c r="Q11" s="163" t="n">
        <f aca="false">N11+O11+P11</f>
        <v>1152997.729619</v>
      </c>
      <c r="R11" s="163" t="n">
        <f aca="false">Q11*0.05</f>
        <v>57649.88648095</v>
      </c>
      <c r="S11" s="162" t="n">
        <f aca="false">C11+D11-1</f>
        <v>23</v>
      </c>
      <c r="T11" s="166" t="n">
        <f aca="false">Assumptions!$B$15</f>
        <v>0.015</v>
      </c>
    </row>
    <row r="12" customFormat="false" ht="15" hidden="false" customHeight="true" outlineLevel="0" collapsed="false">
      <c r="A12" s="162" t="s">
        <v>17</v>
      </c>
      <c r="B12" s="163" t="n">
        <v>7545203</v>
      </c>
      <c r="C12" s="164" t="n">
        <v>6</v>
      </c>
      <c r="D12" s="164" t="n">
        <v>19</v>
      </c>
      <c r="E12" s="164" t="n">
        <v>3</v>
      </c>
      <c r="F12" s="164" t="s">
        <v>356</v>
      </c>
      <c r="G12" s="164" t="s">
        <v>356</v>
      </c>
      <c r="H12" s="164" t="n">
        <v>0</v>
      </c>
      <c r="I12" s="165" t="n">
        <f aca="false">IF(H12=1,Assumptions!$B$16,IF(H12=2,Assumptions!$B$17,0))</f>
        <v>0</v>
      </c>
      <c r="J12" s="164" t="s">
        <v>357</v>
      </c>
      <c r="K12" s="164" t="s">
        <v>356</v>
      </c>
      <c r="L12" s="164" t="s">
        <v>358</v>
      </c>
      <c r="N12" s="163" t="n">
        <f aca="false">B12*Assumptions!$B$10</f>
        <v>389302.293988</v>
      </c>
      <c r="O12" s="163" t="n">
        <f aca="false">B12*Assumptions!$B$11</f>
        <v>389302.293988</v>
      </c>
      <c r="P12" s="163" t="n">
        <f aca="false">B12*Assumptions!$B$12</f>
        <v>129769.946397</v>
      </c>
      <c r="Q12" s="163" t="n">
        <f aca="false">N12+O12+P12</f>
        <v>908374.534373</v>
      </c>
      <c r="R12" s="163" t="n">
        <f aca="false">Q12*0.05</f>
        <v>45418.72671865</v>
      </c>
      <c r="S12" s="162" t="n">
        <f aca="false">C12+D12-1</f>
        <v>24</v>
      </c>
      <c r="T12" s="166" t="n">
        <f aca="false">Assumptions!$B$15</f>
        <v>0.015</v>
      </c>
    </row>
    <row r="13" customFormat="false" ht="15" hidden="false" customHeight="true" outlineLevel="0" collapsed="false">
      <c r="A13" s="162" t="s">
        <v>18</v>
      </c>
      <c r="B13" s="163" t="n">
        <v>45266770</v>
      </c>
      <c r="C13" s="164" t="n">
        <v>13</v>
      </c>
      <c r="D13" s="164" t="n">
        <v>30</v>
      </c>
      <c r="E13" s="164" t="n">
        <v>1</v>
      </c>
      <c r="F13" s="164" t="s">
        <v>357</v>
      </c>
      <c r="G13" s="164" t="s">
        <v>357</v>
      </c>
      <c r="H13" s="164" t="n">
        <v>2</v>
      </c>
      <c r="I13" s="165" t="n">
        <f aca="false">IF(H13=1,Assumptions!$B$16,IF(H13=2,Assumptions!$B$17,0))</f>
        <v>0.0325</v>
      </c>
      <c r="J13" s="164" t="s">
        <v>357</v>
      </c>
      <c r="K13" s="164" t="s">
        <v>357</v>
      </c>
      <c r="L13" s="164" t="s">
        <v>358</v>
      </c>
      <c r="N13" s="163" t="n">
        <f aca="false">B13*Assumptions!$B$10</f>
        <v>2335584.26492</v>
      </c>
      <c r="O13" s="163" t="n">
        <f aca="false">B13*Assumptions!$B$11</f>
        <v>2335584.26492</v>
      </c>
      <c r="P13" s="163" t="n">
        <f aca="false">B13*Assumptions!$B$12</f>
        <v>778543.17723</v>
      </c>
      <c r="Q13" s="163" t="n">
        <f aca="false">N13+O13+P13</f>
        <v>5449711.70707</v>
      </c>
      <c r="R13" s="163" t="n">
        <f aca="false">Q13*0.05</f>
        <v>272485.5853535</v>
      </c>
      <c r="S13" s="162" t="n">
        <f aca="false">C13+D13-1</f>
        <v>42</v>
      </c>
      <c r="T13" s="166" t="n">
        <f aca="false">Assumptions!$B$15</f>
        <v>0.015</v>
      </c>
    </row>
    <row r="14" customFormat="false" ht="15" hidden="false" customHeight="true" outlineLevel="0" collapsed="false">
      <c r="A14" s="162" t="s">
        <v>19</v>
      </c>
      <c r="B14" s="163" t="n">
        <v>41354632</v>
      </c>
      <c r="C14" s="164" t="n">
        <v>27</v>
      </c>
      <c r="D14" s="164" t="n">
        <v>30</v>
      </c>
      <c r="E14" s="164" t="n">
        <v>1</v>
      </c>
      <c r="F14" s="164" t="s">
        <v>357</v>
      </c>
      <c r="G14" s="164" t="s">
        <v>357</v>
      </c>
      <c r="H14" s="164" t="n">
        <v>2</v>
      </c>
      <c r="I14" s="165" t="n">
        <f aca="false">IF(H14=1,Assumptions!$B$16,IF(H14=2,Assumptions!$B$17,0))</f>
        <v>0.0325</v>
      </c>
      <c r="J14" s="164" t="s">
        <v>357</v>
      </c>
      <c r="K14" s="164" t="s">
        <v>357</v>
      </c>
      <c r="L14" s="164" t="s">
        <v>358</v>
      </c>
      <c r="N14" s="163" t="n">
        <f aca="false">B14*Assumptions!$B$10</f>
        <v>2133733.592672</v>
      </c>
      <c r="O14" s="163" t="n">
        <f aca="false">B14*Assumptions!$B$11</f>
        <v>2133733.592672</v>
      </c>
      <c r="P14" s="163" t="n">
        <f aca="false">B14*Assumptions!$B$12</f>
        <v>711258.315768</v>
      </c>
      <c r="Q14" s="163" t="n">
        <f aca="false">N14+O14+P14</f>
        <v>4978725.501112</v>
      </c>
      <c r="R14" s="163" t="n">
        <f aca="false">Q14*0.05</f>
        <v>248936.2750556</v>
      </c>
      <c r="S14" s="162" t="n">
        <f aca="false">C14+D14-1</f>
        <v>56</v>
      </c>
      <c r="T14" s="166" t="n">
        <f aca="false">Assumptions!$B$15</f>
        <v>0.015</v>
      </c>
    </row>
    <row r="15" customFormat="false" ht="15" hidden="false" customHeight="true" outlineLevel="0" collapsed="false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66" t="n">
        <f aca="false">Assumptions!$B$15</f>
        <v>0.015</v>
      </c>
    </row>
    <row r="16" customFormat="false" ht="15" hidden="false" customHeight="true" outlineLevel="0" collapsed="false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67" t="s">
        <v>360</v>
      </c>
      <c r="N16" s="127"/>
      <c r="O16" s="127"/>
      <c r="P16" s="127"/>
      <c r="Q16" s="127"/>
      <c r="R16" s="127"/>
      <c r="S16" s="127"/>
      <c r="T16" s="166" t="n">
        <f aca="false">Assumptions!$B$15</f>
        <v>0.015</v>
      </c>
    </row>
    <row r="17" customFormat="false" ht="15" hidden="false" customHeight="true" outlineLevel="0" collapsed="false">
      <c r="A17" s="162" t="s">
        <v>20</v>
      </c>
      <c r="B17" s="163" t="n">
        <v>15316015</v>
      </c>
      <c r="C17" s="164" t="n">
        <v>13</v>
      </c>
      <c r="D17" s="164" t="n">
        <v>19</v>
      </c>
      <c r="E17" s="164" t="n">
        <v>3</v>
      </c>
      <c r="F17" s="164" t="s">
        <v>356</v>
      </c>
      <c r="G17" s="164" t="s">
        <v>357</v>
      </c>
      <c r="H17" s="164" t="n">
        <v>0</v>
      </c>
      <c r="I17" s="165" t="n">
        <f aca="false">IF(H17=1,Assumptions!$B$16,IF(H17=2,Assumptions!$B$17,0))</f>
        <v>0</v>
      </c>
      <c r="J17" s="164" t="s">
        <v>356</v>
      </c>
      <c r="K17" s="164" t="s">
        <v>356</v>
      </c>
      <c r="L17" s="164" t="s">
        <v>358</v>
      </c>
      <c r="M17" s="168" t="s">
        <v>357</v>
      </c>
      <c r="N17" s="163" t="n">
        <f aca="false">B17*Assumptions!$B$10</f>
        <v>790245.10994</v>
      </c>
      <c r="O17" s="163" t="n">
        <f aca="false">B17*Assumptions!$B$11</f>
        <v>790245.10994</v>
      </c>
      <c r="P17" s="163" t="n">
        <f aca="false">B17*Assumptions!$B$12</f>
        <v>263420.141985</v>
      </c>
      <c r="Q17" s="163" t="n">
        <f aca="false">N17+O17+P17</f>
        <v>1843910.361865</v>
      </c>
      <c r="R17" s="163" t="n">
        <f aca="false">Q17*0.05</f>
        <v>92195.51809325</v>
      </c>
      <c r="S17" s="162" t="n">
        <f aca="false">C17+D17-1</f>
        <v>31</v>
      </c>
      <c r="T17" s="166"/>
    </row>
    <row r="18" customFormat="false" ht="15" hidden="false" customHeight="true" outlineLevel="0" collapsed="false">
      <c r="A18" s="162" t="s">
        <v>21</v>
      </c>
      <c r="B18" s="163" t="n">
        <v>11317385</v>
      </c>
      <c r="C18" s="164" t="n">
        <v>14</v>
      </c>
      <c r="D18" s="164" t="n">
        <v>19</v>
      </c>
      <c r="E18" s="164" t="n">
        <v>3</v>
      </c>
      <c r="F18" s="164" t="s">
        <v>356</v>
      </c>
      <c r="G18" s="164" t="s">
        <v>357</v>
      </c>
      <c r="H18" s="164" t="n">
        <v>0</v>
      </c>
      <c r="I18" s="165" t="n">
        <f aca="false">IF(H18=1,Assumptions!$B$16,IF(H18=2,Assumptions!$B$17,0))</f>
        <v>0</v>
      </c>
      <c r="J18" s="164" t="s">
        <v>356</v>
      </c>
      <c r="K18" s="164" t="s">
        <v>356</v>
      </c>
      <c r="L18" s="164" t="s">
        <v>358</v>
      </c>
      <c r="M18" s="168" t="s">
        <v>357</v>
      </c>
      <c r="N18" s="163" t="n">
        <f aca="false">B18*Assumptions!$B$10</f>
        <v>583931.79646</v>
      </c>
      <c r="O18" s="163" t="n">
        <f aca="false">B18*Assumptions!$B$11</f>
        <v>583931.79646</v>
      </c>
      <c r="P18" s="163" t="n">
        <f aca="false">B18*Assumptions!$B$12</f>
        <v>194647.704615</v>
      </c>
      <c r="Q18" s="163" t="n">
        <f aca="false">N18+O18+P18</f>
        <v>1362511.297535</v>
      </c>
      <c r="R18" s="163" t="n">
        <f aca="false">Q18*0.05</f>
        <v>68125.56487675</v>
      </c>
      <c r="S18" s="162" t="n">
        <f aca="false">C18+D18-1</f>
        <v>32</v>
      </c>
      <c r="T18" s="166"/>
    </row>
    <row r="19" customFormat="false" ht="15" hidden="false" customHeight="true" outlineLevel="0" collapsed="false">
      <c r="A19" s="162" t="s">
        <v>22</v>
      </c>
      <c r="B19" s="163" t="n">
        <v>18442769</v>
      </c>
      <c r="C19" s="164" t="n">
        <v>15</v>
      </c>
      <c r="D19" s="164" t="n">
        <v>19</v>
      </c>
      <c r="E19" s="164" t="n">
        <v>3</v>
      </c>
      <c r="F19" s="164" t="s">
        <v>356</v>
      </c>
      <c r="G19" s="164" t="s">
        <v>357</v>
      </c>
      <c r="H19" s="164" t="n">
        <v>0</v>
      </c>
      <c r="I19" s="165" t="n">
        <f aca="false">IF(H19=1,Assumptions!$B$16,IF(H19=2,Assumptions!$B$17,0))</f>
        <v>0</v>
      </c>
      <c r="J19" s="164" t="s">
        <v>356</v>
      </c>
      <c r="K19" s="164" t="s">
        <v>356</v>
      </c>
      <c r="L19" s="164" t="s">
        <v>358</v>
      </c>
      <c r="M19" s="168" t="s">
        <v>357</v>
      </c>
      <c r="N19" s="163" t="n">
        <f aca="false">B19*Assumptions!$B$10</f>
        <v>951573.109324</v>
      </c>
      <c r="O19" s="163" t="n">
        <f aca="false">B19*Assumptions!$B$11</f>
        <v>951573.109324</v>
      </c>
      <c r="P19" s="163" t="n">
        <f aca="false">B19*Assumptions!$B$12</f>
        <v>317197.184031</v>
      </c>
      <c r="Q19" s="163" t="n">
        <f aca="false">N19+O19+P19</f>
        <v>2220343.402679</v>
      </c>
      <c r="R19" s="163" t="n">
        <f aca="false">Q19*0.05</f>
        <v>111017.17013395</v>
      </c>
      <c r="S19" s="162" t="n">
        <f aca="false">C19+D19-1</f>
        <v>33</v>
      </c>
      <c r="T19" s="166"/>
    </row>
    <row r="20" customFormat="false" ht="15" hidden="false" customHeight="true" outlineLevel="0" collapsed="false">
      <c r="A20" s="162" t="s">
        <v>23</v>
      </c>
      <c r="B20" s="163" t="n">
        <v>15000000</v>
      </c>
      <c r="C20" s="164" t="n">
        <v>24</v>
      </c>
      <c r="D20" s="164" t="n">
        <v>19</v>
      </c>
      <c r="E20" s="164" t="n">
        <v>3</v>
      </c>
      <c r="F20" s="164" t="s">
        <v>356</v>
      </c>
      <c r="G20" s="164" t="s">
        <v>356</v>
      </c>
      <c r="H20" s="164" t="n">
        <v>0</v>
      </c>
      <c r="I20" s="165" t="n">
        <f aca="false">IF(H20=1,Assumptions!$B$16,IF(H20=2,Assumptions!$B$17,0))</f>
        <v>0</v>
      </c>
      <c r="J20" s="164" t="s">
        <v>356</v>
      </c>
      <c r="K20" s="164" t="s">
        <v>356</v>
      </c>
      <c r="L20" s="164" t="s">
        <v>359</v>
      </c>
      <c r="M20" s="168" t="s">
        <v>357</v>
      </c>
      <c r="N20" s="163" t="n">
        <v>730519</v>
      </c>
      <c r="O20" s="163" t="n">
        <v>730519</v>
      </c>
      <c r="P20" s="163" t="n">
        <v>243506</v>
      </c>
      <c r="Q20" s="163" t="n">
        <f aca="false">N20+O20+P20</f>
        <v>1704544</v>
      </c>
      <c r="R20" s="163" t="n">
        <f aca="false">Q20*0.05</f>
        <v>85227.2</v>
      </c>
      <c r="S20" s="162" t="n">
        <f aca="false">C20+D20-1</f>
        <v>42</v>
      </c>
      <c r="T20" s="166"/>
    </row>
    <row r="21" customFormat="false" ht="15" hidden="false" customHeight="true" outlineLevel="0" collapsed="false">
      <c r="A21" s="162" t="s">
        <v>24</v>
      </c>
      <c r="B21" s="163" t="n">
        <v>15000000</v>
      </c>
      <c r="C21" s="164" t="n">
        <v>27</v>
      </c>
      <c r="D21" s="164" t="n">
        <v>19</v>
      </c>
      <c r="E21" s="164" t="n">
        <v>3</v>
      </c>
      <c r="F21" s="164" t="s">
        <v>356</v>
      </c>
      <c r="G21" s="164" t="s">
        <v>356</v>
      </c>
      <c r="H21" s="164" t="n">
        <v>0</v>
      </c>
      <c r="I21" s="165" t="n">
        <f aca="false">IF(H21=1,Assumptions!$B$16,IF(H21=2,Assumptions!$B$17,0))</f>
        <v>0</v>
      </c>
      <c r="J21" s="164" t="s">
        <v>356</v>
      </c>
      <c r="K21" s="164" t="s">
        <v>356</v>
      </c>
      <c r="L21" s="164" t="s">
        <v>359</v>
      </c>
      <c r="M21" s="168" t="s">
        <v>356</v>
      </c>
      <c r="N21" s="163" t="n">
        <v>730519</v>
      </c>
      <c r="O21" s="163" t="n">
        <v>730519</v>
      </c>
      <c r="P21" s="163" t="n">
        <v>243506</v>
      </c>
      <c r="Q21" s="163" t="n">
        <f aca="false">N21+O21+P21</f>
        <v>1704544</v>
      </c>
      <c r="R21" s="163" t="n">
        <f aca="false">Q21*0.05</f>
        <v>85227.2</v>
      </c>
      <c r="S21" s="162" t="n">
        <f aca="false">C21+D21-1</f>
        <v>45</v>
      </c>
      <c r="T21" s="166"/>
    </row>
    <row r="22" customFormat="false" ht="15" hidden="false" customHeight="true" outlineLevel="0" collapsed="false">
      <c r="A22" s="162" t="s">
        <v>25</v>
      </c>
      <c r="B22" s="163" t="n">
        <v>15000000</v>
      </c>
      <c r="C22" s="164" t="n">
        <v>31</v>
      </c>
      <c r="D22" s="164" t="n">
        <v>19</v>
      </c>
      <c r="E22" s="164" t="n">
        <v>3</v>
      </c>
      <c r="F22" s="164" t="s">
        <v>356</v>
      </c>
      <c r="G22" s="164" t="s">
        <v>356</v>
      </c>
      <c r="H22" s="164" t="n">
        <v>0</v>
      </c>
      <c r="I22" s="165" t="n">
        <f aca="false">IF(H22=1,Assumptions!$B$16,IF(H22=2,Assumptions!$B$17,0))</f>
        <v>0</v>
      </c>
      <c r="J22" s="164" t="s">
        <v>356</v>
      </c>
      <c r="K22" s="164" t="s">
        <v>356</v>
      </c>
      <c r="L22" s="164" t="s">
        <v>359</v>
      </c>
      <c r="M22" s="168" t="s">
        <v>356</v>
      </c>
      <c r="N22" s="163" t="n">
        <v>730519</v>
      </c>
      <c r="O22" s="163" t="n">
        <v>730519</v>
      </c>
      <c r="P22" s="163" t="n">
        <v>243506</v>
      </c>
      <c r="Q22" s="163" t="n">
        <f aca="false">N22+O22+P22</f>
        <v>1704544</v>
      </c>
      <c r="R22" s="163" t="n">
        <f aca="false">Q22*0.05</f>
        <v>85227.2</v>
      </c>
      <c r="S22" s="162" t="n">
        <f aca="false">C22+D22-1</f>
        <v>49</v>
      </c>
      <c r="T22" s="166"/>
    </row>
    <row r="23" customFormat="false" ht="15" hidden="false" customHeight="true" outlineLevel="0" collapsed="false">
      <c r="A23" s="162" t="s">
        <v>26</v>
      </c>
      <c r="B23" s="163" t="n">
        <v>15000000</v>
      </c>
      <c r="C23" s="164" t="n">
        <v>34</v>
      </c>
      <c r="D23" s="164" t="n">
        <v>19</v>
      </c>
      <c r="E23" s="164" t="n">
        <v>3</v>
      </c>
      <c r="F23" s="164" t="s">
        <v>356</v>
      </c>
      <c r="G23" s="164" t="s">
        <v>356</v>
      </c>
      <c r="H23" s="164" t="n">
        <v>0</v>
      </c>
      <c r="I23" s="165" t="n">
        <f aca="false">IF(H23=1,Assumptions!$B$16,IF(H23=2,Assumptions!$B$17,0))</f>
        <v>0</v>
      </c>
      <c r="J23" s="164" t="s">
        <v>356</v>
      </c>
      <c r="K23" s="164" t="s">
        <v>356</v>
      </c>
      <c r="L23" s="164" t="s">
        <v>359</v>
      </c>
      <c r="M23" s="168" t="s">
        <v>357</v>
      </c>
      <c r="N23" s="163" t="n">
        <v>730519</v>
      </c>
      <c r="O23" s="163" t="n">
        <v>730519</v>
      </c>
      <c r="P23" s="163" t="n">
        <v>243506</v>
      </c>
      <c r="Q23" s="163" t="n">
        <f aca="false">N23+O23+P23</f>
        <v>1704544</v>
      </c>
      <c r="R23" s="163" t="n">
        <f aca="false">Q23*0.05</f>
        <v>85227.2</v>
      </c>
      <c r="S23" s="162" t="n">
        <f aca="false">C23+D23-1</f>
        <v>52</v>
      </c>
      <c r="T23" s="166"/>
    </row>
    <row r="24" customFormat="false" ht="15" hidden="false" customHeight="true" outlineLevel="0" collapsed="false">
      <c r="A24" s="162" t="s">
        <v>27</v>
      </c>
      <c r="B24" s="163" t="n">
        <v>18000000</v>
      </c>
      <c r="C24" s="164" t="n">
        <v>37</v>
      </c>
      <c r="D24" s="164" t="n">
        <v>19</v>
      </c>
      <c r="E24" s="164" t="n">
        <v>3</v>
      </c>
      <c r="F24" s="164" t="s">
        <v>356</v>
      </c>
      <c r="G24" s="164" t="s">
        <v>356</v>
      </c>
      <c r="H24" s="164" t="n">
        <v>0</v>
      </c>
      <c r="I24" s="165" t="n">
        <f aca="false">IF(H24=1,Assumptions!$B$16,IF(H24=2,Assumptions!$B$17,0))</f>
        <v>0</v>
      </c>
      <c r="J24" s="164" t="s">
        <v>356</v>
      </c>
      <c r="K24" s="164" t="s">
        <v>356</v>
      </c>
      <c r="L24" s="164" t="s">
        <v>359</v>
      </c>
      <c r="M24" s="168" t="s">
        <v>356</v>
      </c>
      <c r="N24" s="163" t="n">
        <v>876623</v>
      </c>
      <c r="O24" s="163" t="n">
        <v>876623</v>
      </c>
      <c r="P24" s="163" t="n">
        <v>292208</v>
      </c>
      <c r="Q24" s="163" t="n">
        <f aca="false">N24+O24+P24</f>
        <v>2045454</v>
      </c>
      <c r="R24" s="163" t="n">
        <f aca="false">Q24*0.05</f>
        <v>102272.7</v>
      </c>
      <c r="S24" s="162" t="n">
        <f aca="false">C24+D24-1</f>
        <v>55</v>
      </c>
      <c r="T24" s="166"/>
    </row>
    <row r="25" customFormat="false" ht="15" hidden="false" customHeight="true" outlineLevel="0" collapsed="false">
      <c r="A25" s="162" t="s">
        <v>28</v>
      </c>
      <c r="B25" s="163" t="n">
        <v>18000000</v>
      </c>
      <c r="C25" s="164" t="n">
        <v>40</v>
      </c>
      <c r="D25" s="164" t="n">
        <v>19</v>
      </c>
      <c r="E25" s="164" t="n">
        <v>3</v>
      </c>
      <c r="F25" s="164" t="s">
        <v>356</v>
      </c>
      <c r="G25" s="164" t="s">
        <v>356</v>
      </c>
      <c r="H25" s="164" t="n">
        <v>0</v>
      </c>
      <c r="I25" s="165" t="n">
        <f aca="false">IF(H25=1,Assumptions!$B$16,IF(H25=2,Assumptions!$B$17,0))</f>
        <v>0</v>
      </c>
      <c r="J25" s="164" t="s">
        <v>356</v>
      </c>
      <c r="K25" s="164" t="s">
        <v>356</v>
      </c>
      <c r="L25" s="164" t="s">
        <v>359</v>
      </c>
      <c r="M25" s="168" t="s">
        <v>356</v>
      </c>
      <c r="N25" s="163" t="n">
        <v>876623</v>
      </c>
      <c r="O25" s="163" t="n">
        <v>876623</v>
      </c>
      <c r="P25" s="163" t="n">
        <v>292208</v>
      </c>
      <c r="Q25" s="163" t="n">
        <f aca="false">N25+O25+P25</f>
        <v>2045454</v>
      </c>
      <c r="R25" s="163" t="n">
        <f aca="false">Q25*0.05</f>
        <v>102272.7</v>
      </c>
      <c r="S25" s="162" t="n">
        <f aca="false">C25+D25-1</f>
        <v>58</v>
      </c>
      <c r="T25" s="166"/>
    </row>
    <row r="26" customFormat="false" ht="15" hidden="false" customHeight="true" outlineLevel="0" collapsed="false">
      <c r="A26" s="162" t="s">
        <v>29</v>
      </c>
      <c r="B26" s="163" t="n">
        <v>18000000</v>
      </c>
      <c r="C26" s="164" t="n">
        <v>42</v>
      </c>
      <c r="D26" s="164" t="n">
        <v>19</v>
      </c>
      <c r="E26" s="164" t="n">
        <v>3</v>
      </c>
      <c r="F26" s="164" t="s">
        <v>356</v>
      </c>
      <c r="G26" s="164" t="s">
        <v>356</v>
      </c>
      <c r="H26" s="164" t="n">
        <v>0</v>
      </c>
      <c r="I26" s="165" t="n">
        <f aca="false">IF(H26=1,Assumptions!$B$16,IF(H26=2,Assumptions!$B$17,0))</f>
        <v>0</v>
      </c>
      <c r="J26" s="164" t="s">
        <v>356</v>
      </c>
      <c r="K26" s="164" t="s">
        <v>356</v>
      </c>
      <c r="L26" s="164" t="s">
        <v>359</v>
      </c>
      <c r="M26" s="168" t="s">
        <v>356</v>
      </c>
      <c r="N26" s="163" t="n">
        <v>876623</v>
      </c>
      <c r="O26" s="163" t="n">
        <v>876623</v>
      </c>
      <c r="P26" s="163" t="n">
        <v>292208</v>
      </c>
      <c r="Q26" s="163" t="n">
        <f aca="false">N26+O26+P26</f>
        <v>2045454</v>
      </c>
      <c r="R26" s="163" t="n">
        <f aca="false">Q26*0.05</f>
        <v>102272.7</v>
      </c>
      <c r="S26" s="162" t="n">
        <f aca="false">C26+D26-1</f>
        <v>60</v>
      </c>
      <c r="T26" s="166"/>
    </row>
    <row r="27" customFormat="false" ht="15" hidden="false" customHeight="true" outlineLevel="0" collapsed="false">
      <c r="A27" s="162" t="s">
        <v>30</v>
      </c>
      <c r="B27" s="163" t="n">
        <v>15000000</v>
      </c>
      <c r="C27" s="164" t="n">
        <v>44</v>
      </c>
      <c r="D27" s="164" t="n">
        <v>19</v>
      </c>
      <c r="E27" s="164" t="n">
        <v>3</v>
      </c>
      <c r="F27" s="164" t="s">
        <v>356</v>
      </c>
      <c r="G27" s="164" t="s">
        <v>356</v>
      </c>
      <c r="H27" s="164" t="n">
        <v>0</v>
      </c>
      <c r="I27" s="165" t="n">
        <f aca="false">IF(H27=1,Assumptions!$B$16,IF(H27=2,Assumptions!$B$17,0))</f>
        <v>0</v>
      </c>
      <c r="J27" s="164" t="s">
        <v>356</v>
      </c>
      <c r="K27" s="164" t="s">
        <v>356</v>
      </c>
      <c r="L27" s="164" t="s">
        <v>359</v>
      </c>
      <c r="M27" s="168" t="s">
        <v>356</v>
      </c>
      <c r="N27" s="163" t="n">
        <v>730519</v>
      </c>
      <c r="O27" s="163" t="n">
        <v>730519</v>
      </c>
      <c r="P27" s="163" t="n">
        <v>243506</v>
      </c>
      <c r="Q27" s="163" t="n">
        <f aca="false">N27+O27+P27</f>
        <v>1704544</v>
      </c>
      <c r="R27" s="163" t="n">
        <f aca="false">Q27*0.05</f>
        <v>85227.2</v>
      </c>
      <c r="S27" s="162" t="n">
        <f aca="false">C27+D27-1</f>
        <v>62</v>
      </c>
      <c r="T27" s="166"/>
    </row>
    <row r="28" customFormat="false" ht="15" hidden="false" customHeight="true" outlineLevel="0" collapsed="false">
      <c r="A28" s="162" t="s">
        <v>31</v>
      </c>
      <c r="B28" s="163" t="n">
        <v>15000000</v>
      </c>
      <c r="C28" s="164" t="n">
        <v>46</v>
      </c>
      <c r="D28" s="164" t="n">
        <v>19</v>
      </c>
      <c r="E28" s="164" t="n">
        <v>3</v>
      </c>
      <c r="F28" s="164" t="s">
        <v>356</v>
      </c>
      <c r="G28" s="164" t="s">
        <v>356</v>
      </c>
      <c r="H28" s="164" t="n">
        <v>0</v>
      </c>
      <c r="I28" s="165" t="n">
        <f aca="false">IF(H28=1,Assumptions!$B$16,IF(H28=2,Assumptions!$B$17,0))</f>
        <v>0</v>
      </c>
      <c r="J28" s="164" t="s">
        <v>356</v>
      </c>
      <c r="K28" s="164" t="s">
        <v>356</v>
      </c>
      <c r="L28" s="164" t="s">
        <v>359</v>
      </c>
      <c r="M28" s="168" t="s">
        <v>357</v>
      </c>
      <c r="N28" s="163" t="n">
        <v>730519</v>
      </c>
      <c r="O28" s="163" t="n">
        <v>730519</v>
      </c>
      <c r="P28" s="163" t="n">
        <v>243506</v>
      </c>
      <c r="Q28" s="163" t="n">
        <f aca="false">N28+O28+P28</f>
        <v>1704544</v>
      </c>
      <c r="R28" s="163" t="n">
        <f aca="false">Q28*0.05</f>
        <v>85227.2</v>
      </c>
      <c r="S28" s="162" t="n">
        <f aca="false">C28+D28-1</f>
        <v>64</v>
      </c>
      <c r="T28" s="166"/>
    </row>
    <row r="29" customFormat="false" ht="15" hidden="false" customHeight="true" outlineLevel="0" collapsed="false">
      <c r="A29" s="162" t="s">
        <v>32</v>
      </c>
      <c r="B29" s="163" t="n">
        <v>15000000</v>
      </c>
      <c r="C29" s="164" t="n">
        <v>48</v>
      </c>
      <c r="D29" s="164" t="n">
        <v>19</v>
      </c>
      <c r="E29" s="164" t="n">
        <v>3</v>
      </c>
      <c r="F29" s="164" t="s">
        <v>356</v>
      </c>
      <c r="G29" s="164" t="s">
        <v>356</v>
      </c>
      <c r="H29" s="164" t="n">
        <v>0</v>
      </c>
      <c r="I29" s="165" t="n">
        <f aca="false">IF(H29=1,Assumptions!$B$16,IF(H29=2,Assumptions!$B$17,0))</f>
        <v>0</v>
      </c>
      <c r="J29" s="164" t="s">
        <v>356</v>
      </c>
      <c r="K29" s="164" t="s">
        <v>356</v>
      </c>
      <c r="L29" s="164" t="s">
        <v>359</v>
      </c>
      <c r="M29" s="168" t="s">
        <v>356</v>
      </c>
      <c r="N29" s="163" t="n">
        <v>730519</v>
      </c>
      <c r="O29" s="163" t="n">
        <v>730519</v>
      </c>
      <c r="P29" s="163" t="n">
        <v>243506</v>
      </c>
      <c r="Q29" s="163" t="n">
        <f aca="false">N29+O29+P29</f>
        <v>1704544</v>
      </c>
      <c r="R29" s="163" t="n">
        <f aca="false">Q29*0.05</f>
        <v>85227.2</v>
      </c>
      <c r="S29" s="162" t="n">
        <f aca="false">C29+D29-1</f>
        <v>66</v>
      </c>
      <c r="T29" s="166"/>
    </row>
    <row r="30" customFormat="false" ht="15" hidden="false" customHeight="true" outlineLevel="0" collapsed="false">
      <c r="A30" s="162" t="s">
        <v>33</v>
      </c>
      <c r="B30" s="163" t="n">
        <v>15000000</v>
      </c>
      <c r="C30" s="164" t="n">
        <v>50</v>
      </c>
      <c r="D30" s="164" t="n">
        <v>19</v>
      </c>
      <c r="E30" s="164" t="n">
        <v>3</v>
      </c>
      <c r="F30" s="164" t="s">
        <v>356</v>
      </c>
      <c r="G30" s="164" t="s">
        <v>356</v>
      </c>
      <c r="H30" s="164" t="n">
        <v>0</v>
      </c>
      <c r="I30" s="165" t="n">
        <f aca="false">IF(H30=1,Assumptions!$B$16,IF(H30=2,Assumptions!$B$17,0))</f>
        <v>0</v>
      </c>
      <c r="J30" s="164" t="s">
        <v>356</v>
      </c>
      <c r="K30" s="164" t="s">
        <v>356</v>
      </c>
      <c r="L30" s="164" t="s">
        <v>359</v>
      </c>
      <c r="M30" s="168" t="s">
        <v>356</v>
      </c>
      <c r="N30" s="163" t="n">
        <v>730519</v>
      </c>
      <c r="O30" s="163" t="n">
        <v>730519</v>
      </c>
      <c r="P30" s="163" t="n">
        <v>243506</v>
      </c>
      <c r="Q30" s="163" t="n">
        <f aca="false">N30+O30+P30</f>
        <v>1704544</v>
      </c>
      <c r="R30" s="163" t="n">
        <f aca="false">Q30*0.05</f>
        <v>85227.2</v>
      </c>
      <c r="S30" s="162" t="n">
        <f aca="false">C30+D30-1</f>
        <v>68</v>
      </c>
      <c r="T30" s="166"/>
    </row>
    <row r="31" customFormat="false" ht="15" hidden="false" customHeight="true" outlineLevel="0" collapsed="false">
      <c r="A31" s="162" t="s">
        <v>34</v>
      </c>
      <c r="B31" s="163" t="n">
        <v>18000000</v>
      </c>
      <c r="C31" s="164" t="n">
        <v>52</v>
      </c>
      <c r="D31" s="164" t="n">
        <v>19</v>
      </c>
      <c r="E31" s="164" t="n">
        <v>3</v>
      </c>
      <c r="F31" s="164" t="s">
        <v>356</v>
      </c>
      <c r="G31" s="164" t="s">
        <v>356</v>
      </c>
      <c r="H31" s="164" t="n">
        <v>0</v>
      </c>
      <c r="I31" s="165" t="n">
        <f aca="false">IF(H31=1,Assumptions!$B$16,IF(H31=2,Assumptions!$B$17,0))</f>
        <v>0</v>
      </c>
      <c r="J31" s="164" t="s">
        <v>356</v>
      </c>
      <c r="K31" s="164" t="s">
        <v>356</v>
      </c>
      <c r="L31" s="164" t="s">
        <v>359</v>
      </c>
      <c r="M31" s="168" t="s">
        <v>356</v>
      </c>
      <c r="N31" s="163" t="n">
        <v>876623</v>
      </c>
      <c r="O31" s="163" t="n">
        <v>876623</v>
      </c>
      <c r="P31" s="163" t="n">
        <v>292208</v>
      </c>
      <c r="Q31" s="163" t="n">
        <f aca="false">N31+O31+P31</f>
        <v>2045454</v>
      </c>
      <c r="R31" s="163" t="n">
        <f aca="false">Q31*0.05</f>
        <v>102272.7</v>
      </c>
      <c r="S31" s="162" t="n">
        <f aca="false">C31+D31-1</f>
        <v>70</v>
      </c>
      <c r="T31" s="166"/>
    </row>
    <row r="32" customFormat="false" ht="15" hidden="false" customHeight="true" outlineLevel="0" collapsed="false">
      <c r="A32" s="162" t="s">
        <v>35</v>
      </c>
      <c r="B32" s="163" t="n">
        <v>15000000</v>
      </c>
      <c r="C32" s="164" t="n">
        <v>54</v>
      </c>
      <c r="D32" s="164" t="n">
        <v>19</v>
      </c>
      <c r="E32" s="164" t="n">
        <v>3</v>
      </c>
      <c r="F32" s="164" t="s">
        <v>356</v>
      </c>
      <c r="G32" s="164" t="s">
        <v>356</v>
      </c>
      <c r="H32" s="164" t="n">
        <v>0</v>
      </c>
      <c r="I32" s="165" t="n">
        <f aca="false">IF(H32=1,Assumptions!$B$16,IF(H32=2,Assumptions!$B$17,0))</f>
        <v>0</v>
      </c>
      <c r="J32" s="164" t="s">
        <v>356</v>
      </c>
      <c r="K32" s="164" t="s">
        <v>356</v>
      </c>
      <c r="L32" s="164" t="s">
        <v>359</v>
      </c>
      <c r="M32" s="168" t="s">
        <v>356</v>
      </c>
      <c r="N32" s="163" t="n">
        <v>730519</v>
      </c>
      <c r="O32" s="163" t="n">
        <v>730519</v>
      </c>
      <c r="P32" s="163" t="n">
        <v>243506</v>
      </c>
      <c r="Q32" s="163" t="n">
        <f aca="false">N32+O32+P32</f>
        <v>1704544</v>
      </c>
      <c r="R32" s="163" t="n">
        <f aca="false">Q32*0.05</f>
        <v>85227.2</v>
      </c>
      <c r="S32" s="162" t="n">
        <f aca="false">C32+D32-1</f>
        <v>72</v>
      </c>
      <c r="T32" s="166"/>
    </row>
    <row r="33" customFormat="false" ht="15" hidden="false" customHeight="true" outlineLevel="0" collapsed="false">
      <c r="A33" s="162" t="s">
        <v>36</v>
      </c>
      <c r="B33" s="163" t="n">
        <v>15000000</v>
      </c>
      <c r="C33" s="164" t="n">
        <v>56</v>
      </c>
      <c r="D33" s="164" t="n">
        <v>19</v>
      </c>
      <c r="E33" s="164" t="n">
        <v>3</v>
      </c>
      <c r="F33" s="164" t="s">
        <v>356</v>
      </c>
      <c r="G33" s="164" t="s">
        <v>356</v>
      </c>
      <c r="H33" s="164" t="n">
        <v>0</v>
      </c>
      <c r="I33" s="165" t="n">
        <f aca="false">IF(H33=1,Assumptions!$B$16,IF(H33=2,Assumptions!$B$17,0))</f>
        <v>0</v>
      </c>
      <c r="J33" s="164" t="s">
        <v>356</v>
      </c>
      <c r="K33" s="164" t="s">
        <v>356</v>
      </c>
      <c r="L33" s="164" t="s">
        <v>359</v>
      </c>
      <c r="M33" s="168" t="s">
        <v>356</v>
      </c>
      <c r="N33" s="163" t="n">
        <v>730519</v>
      </c>
      <c r="O33" s="163" t="n">
        <v>730519</v>
      </c>
      <c r="P33" s="163" t="n">
        <v>243506</v>
      </c>
      <c r="Q33" s="163" t="n">
        <f aca="false">N33+O33+P33</f>
        <v>1704544</v>
      </c>
      <c r="R33" s="163" t="n">
        <f aca="false">Q33*0.05</f>
        <v>85227.2</v>
      </c>
      <c r="S33" s="162" t="n">
        <f aca="false">C33+D33-1</f>
        <v>74</v>
      </c>
      <c r="T33" s="166"/>
    </row>
    <row r="34" customFormat="false" ht="15" hidden="false" customHeight="true" outlineLevel="0" collapsed="false">
      <c r="A34" s="162" t="s">
        <v>37</v>
      </c>
      <c r="B34" s="163" t="n">
        <v>18000000</v>
      </c>
      <c r="C34" s="164" t="n">
        <v>58</v>
      </c>
      <c r="D34" s="164" t="n">
        <v>19</v>
      </c>
      <c r="E34" s="164" t="n">
        <v>3</v>
      </c>
      <c r="F34" s="164" t="s">
        <v>356</v>
      </c>
      <c r="G34" s="164" t="s">
        <v>356</v>
      </c>
      <c r="H34" s="164" t="n">
        <v>0</v>
      </c>
      <c r="I34" s="165" t="n">
        <f aca="false">IF(H34=1,Assumptions!$B$16,IF(H34=2,Assumptions!$B$17,0))</f>
        <v>0</v>
      </c>
      <c r="J34" s="164" t="s">
        <v>356</v>
      </c>
      <c r="K34" s="164" t="s">
        <v>356</v>
      </c>
      <c r="L34" s="164" t="s">
        <v>359</v>
      </c>
      <c r="M34" s="168" t="s">
        <v>357</v>
      </c>
      <c r="N34" s="163" t="n">
        <v>876623</v>
      </c>
      <c r="O34" s="163" t="n">
        <v>876623</v>
      </c>
      <c r="P34" s="163" t="n">
        <v>292208</v>
      </c>
      <c r="Q34" s="163" t="n">
        <f aca="false">N34+O34+P34</f>
        <v>2045454</v>
      </c>
      <c r="R34" s="163" t="n">
        <f aca="false">Q34*0.05</f>
        <v>102272.7</v>
      </c>
      <c r="S34" s="162" t="n">
        <f aca="false">C34+D34-1</f>
        <v>76</v>
      </c>
      <c r="T34" s="166"/>
    </row>
    <row r="35" customFormat="false" ht="15" hidden="false" customHeight="true" outlineLevel="0" collapsed="false">
      <c r="A35" s="162" t="s">
        <v>38</v>
      </c>
      <c r="B35" s="163" t="n">
        <v>15000000</v>
      </c>
      <c r="C35" s="164" t="n">
        <v>60</v>
      </c>
      <c r="D35" s="164" t="n">
        <v>19</v>
      </c>
      <c r="E35" s="164" t="n">
        <v>3</v>
      </c>
      <c r="F35" s="164" t="s">
        <v>356</v>
      </c>
      <c r="G35" s="164" t="s">
        <v>356</v>
      </c>
      <c r="H35" s="164" t="n">
        <v>0</v>
      </c>
      <c r="I35" s="165" t="n">
        <f aca="false">IF(H35=1,Assumptions!$B$16,IF(H35=2,Assumptions!$B$17,0))</f>
        <v>0</v>
      </c>
      <c r="J35" s="164" t="s">
        <v>356</v>
      </c>
      <c r="K35" s="164" t="s">
        <v>356</v>
      </c>
      <c r="L35" s="164" t="s">
        <v>359</v>
      </c>
      <c r="M35" s="168" t="s">
        <v>356</v>
      </c>
      <c r="N35" s="163" t="n">
        <v>730519</v>
      </c>
      <c r="O35" s="163" t="n">
        <v>730519</v>
      </c>
      <c r="P35" s="163" t="n">
        <v>243506</v>
      </c>
      <c r="Q35" s="163" t="n">
        <f aca="false">N35+O35+P35</f>
        <v>1704544</v>
      </c>
      <c r="R35" s="163" t="n">
        <f aca="false">Q35*0.05</f>
        <v>85227.2</v>
      </c>
      <c r="S35" s="162" t="n">
        <f aca="false">C35+D35-1</f>
        <v>78</v>
      </c>
      <c r="T35" s="166"/>
    </row>
    <row r="36" customFormat="false" ht="15" hidden="false" customHeight="true" outlineLevel="0" collapsed="false">
      <c r="A36" s="162" t="s">
        <v>39</v>
      </c>
      <c r="B36" s="163" t="n">
        <v>18000000</v>
      </c>
      <c r="C36" s="164" t="n">
        <v>62</v>
      </c>
      <c r="D36" s="164" t="n">
        <v>19</v>
      </c>
      <c r="E36" s="164" t="n">
        <v>3</v>
      </c>
      <c r="F36" s="164" t="s">
        <v>356</v>
      </c>
      <c r="G36" s="164" t="s">
        <v>356</v>
      </c>
      <c r="H36" s="164" t="n">
        <v>0</v>
      </c>
      <c r="I36" s="165" t="n">
        <f aca="false">IF(H36=1,Assumptions!$B$16,IF(H36=2,Assumptions!$B$17,0))</f>
        <v>0</v>
      </c>
      <c r="J36" s="164" t="s">
        <v>356</v>
      </c>
      <c r="K36" s="164" t="s">
        <v>356</v>
      </c>
      <c r="L36" s="164" t="s">
        <v>359</v>
      </c>
      <c r="M36" s="168" t="s">
        <v>356</v>
      </c>
      <c r="N36" s="163" t="n">
        <v>876623</v>
      </c>
      <c r="O36" s="163" t="n">
        <v>876623</v>
      </c>
      <c r="P36" s="163" t="n">
        <v>292208</v>
      </c>
      <c r="Q36" s="163" t="n">
        <f aca="false">N36+O36+P36</f>
        <v>2045454</v>
      </c>
      <c r="R36" s="163" t="n">
        <f aca="false">Q36*0.05</f>
        <v>102272.7</v>
      </c>
      <c r="S36" s="162" t="n">
        <f aca="false">C36+D36-1</f>
        <v>80</v>
      </c>
      <c r="T36" s="166"/>
    </row>
    <row r="37" customFormat="false" ht="15" hidden="false" customHeight="true" outlineLevel="0" collapsed="false">
      <c r="A37" s="162" t="s">
        <v>40</v>
      </c>
      <c r="B37" s="163" t="n">
        <v>15000000</v>
      </c>
      <c r="C37" s="164" t="n">
        <v>64</v>
      </c>
      <c r="D37" s="164" t="n">
        <v>19</v>
      </c>
      <c r="E37" s="164" t="n">
        <v>3</v>
      </c>
      <c r="F37" s="164" t="s">
        <v>356</v>
      </c>
      <c r="G37" s="164" t="s">
        <v>356</v>
      </c>
      <c r="H37" s="164" t="n">
        <v>0</v>
      </c>
      <c r="I37" s="165" t="n">
        <f aca="false">IF(H37=1,Assumptions!$B$16,IF(H37=2,Assumptions!$B$17,0))</f>
        <v>0</v>
      </c>
      <c r="J37" s="164" t="s">
        <v>356</v>
      </c>
      <c r="K37" s="164" t="s">
        <v>356</v>
      </c>
      <c r="L37" s="164" t="s">
        <v>359</v>
      </c>
      <c r="M37" s="168" t="s">
        <v>356</v>
      </c>
      <c r="N37" s="163" t="n">
        <v>730519</v>
      </c>
      <c r="O37" s="163" t="n">
        <v>730519</v>
      </c>
      <c r="P37" s="163" t="n">
        <v>243506</v>
      </c>
      <c r="Q37" s="163" t="n">
        <f aca="false">N37+O37+P37</f>
        <v>1704544</v>
      </c>
      <c r="R37" s="163" t="n">
        <f aca="false">Q37*0.05</f>
        <v>85227.2</v>
      </c>
      <c r="S37" s="162" t="n">
        <f aca="false">C37+D37-1</f>
        <v>82</v>
      </c>
      <c r="T37" s="166"/>
    </row>
    <row r="38" customFormat="false" ht="15" hidden="false" customHeight="true" outlineLevel="0" collapsed="false">
      <c r="A38" s="162" t="s">
        <v>41</v>
      </c>
      <c r="B38" s="163" t="n">
        <v>15000000</v>
      </c>
      <c r="C38" s="164" t="n">
        <v>66</v>
      </c>
      <c r="D38" s="164" t="n">
        <v>19</v>
      </c>
      <c r="E38" s="164" t="n">
        <v>3</v>
      </c>
      <c r="F38" s="164" t="s">
        <v>356</v>
      </c>
      <c r="G38" s="164" t="s">
        <v>356</v>
      </c>
      <c r="H38" s="164" t="n">
        <v>0</v>
      </c>
      <c r="I38" s="165" t="n">
        <f aca="false">IF(H38=1,Assumptions!$B$16,IF(H38=2,Assumptions!$B$17,0))</f>
        <v>0</v>
      </c>
      <c r="J38" s="164" t="s">
        <v>356</v>
      </c>
      <c r="K38" s="164" t="s">
        <v>356</v>
      </c>
      <c r="L38" s="164" t="s">
        <v>359</v>
      </c>
      <c r="M38" s="168" t="s">
        <v>356</v>
      </c>
      <c r="N38" s="163" t="n">
        <v>730519</v>
      </c>
      <c r="O38" s="163" t="n">
        <v>730519</v>
      </c>
      <c r="P38" s="163" t="n">
        <v>243506</v>
      </c>
      <c r="Q38" s="163" t="n">
        <f aca="false">N38+O38+P38</f>
        <v>1704544</v>
      </c>
      <c r="R38" s="163" t="n">
        <f aca="false">Q38*0.05</f>
        <v>85227.2</v>
      </c>
      <c r="S38" s="162" t="n">
        <f aca="false">C38+D38-1</f>
        <v>84</v>
      </c>
      <c r="T38" s="166"/>
    </row>
    <row r="39" customFormat="false" ht="15" hidden="false" customHeight="true" outlineLevel="0" collapsed="false">
      <c r="A39" s="162" t="s">
        <v>42</v>
      </c>
      <c r="B39" s="163" t="n">
        <v>18000000</v>
      </c>
      <c r="C39" s="164" t="n">
        <v>68</v>
      </c>
      <c r="D39" s="164" t="n">
        <v>19</v>
      </c>
      <c r="E39" s="164" t="n">
        <v>3</v>
      </c>
      <c r="F39" s="164" t="s">
        <v>356</v>
      </c>
      <c r="G39" s="164" t="s">
        <v>356</v>
      </c>
      <c r="H39" s="164" t="n">
        <v>0</v>
      </c>
      <c r="I39" s="165" t="n">
        <f aca="false">IF(H39=1,Assumptions!$B$16,IF(H39=2,Assumptions!$B$17,0))</f>
        <v>0</v>
      </c>
      <c r="J39" s="164" t="s">
        <v>356</v>
      </c>
      <c r="K39" s="164" t="s">
        <v>356</v>
      </c>
      <c r="L39" s="164" t="s">
        <v>359</v>
      </c>
      <c r="M39" s="168" t="s">
        <v>356</v>
      </c>
      <c r="N39" s="163" t="n">
        <v>876623</v>
      </c>
      <c r="O39" s="163" t="n">
        <v>876623</v>
      </c>
      <c r="P39" s="163" t="n">
        <v>292208</v>
      </c>
      <c r="Q39" s="163" t="n">
        <f aca="false">N39+O39+P39</f>
        <v>2045454</v>
      </c>
      <c r="R39" s="163" t="n">
        <f aca="false">Q39*0.05</f>
        <v>102272.7</v>
      </c>
      <c r="S39" s="162" t="n">
        <f aca="false">C39+D39-1</f>
        <v>86</v>
      </c>
      <c r="T39" s="166"/>
    </row>
    <row r="40" customFormat="false" ht="15" hidden="false" customHeight="true" outlineLevel="0" collapsed="false">
      <c r="A40" s="162" t="s">
        <v>43</v>
      </c>
      <c r="B40" s="163" t="n">
        <v>15000000</v>
      </c>
      <c r="C40" s="164" t="n">
        <v>70</v>
      </c>
      <c r="D40" s="164" t="n">
        <v>19</v>
      </c>
      <c r="E40" s="164" t="n">
        <v>3</v>
      </c>
      <c r="F40" s="164" t="s">
        <v>356</v>
      </c>
      <c r="G40" s="164" t="s">
        <v>356</v>
      </c>
      <c r="H40" s="164" t="n">
        <v>0</v>
      </c>
      <c r="I40" s="165" t="n">
        <f aca="false">IF(H40=1,Assumptions!$B$16,IF(H40=2,Assumptions!$B$17,0))</f>
        <v>0</v>
      </c>
      <c r="J40" s="164" t="s">
        <v>356</v>
      </c>
      <c r="K40" s="164" t="s">
        <v>356</v>
      </c>
      <c r="L40" s="164" t="s">
        <v>359</v>
      </c>
      <c r="M40" s="168" t="s">
        <v>357</v>
      </c>
      <c r="N40" s="163" t="n">
        <v>730519</v>
      </c>
      <c r="O40" s="163" t="n">
        <v>730519</v>
      </c>
      <c r="P40" s="163" t="n">
        <v>243506</v>
      </c>
      <c r="Q40" s="163" t="n">
        <f aca="false">N40+O40+P40</f>
        <v>1704544</v>
      </c>
      <c r="R40" s="163" t="n">
        <f aca="false">Q40*0.05</f>
        <v>85227.2</v>
      </c>
      <c r="S40" s="162" t="n">
        <f aca="false">C40+D40-1</f>
        <v>88</v>
      </c>
      <c r="T40" s="166"/>
    </row>
    <row r="41" customFormat="false" ht="15" hidden="false" customHeight="true" outlineLevel="0" collapsed="false">
      <c r="A41" s="162" t="s">
        <v>44</v>
      </c>
      <c r="B41" s="163" t="n">
        <v>15000000</v>
      </c>
      <c r="C41" s="164" t="n">
        <v>72</v>
      </c>
      <c r="D41" s="164" t="n">
        <v>19</v>
      </c>
      <c r="E41" s="164" t="n">
        <v>3</v>
      </c>
      <c r="F41" s="164" t="s">
        <v>356</v>
      </c>
      <c r="G41" s="164" t="s">
        <v>356</v>
      </c>
      <c r="H41" s="164" t="n">
        <v>0</v>
      </c>
      <c r="I41" s="165" t="n">
        <f aca="false">IF(H41=1,Assumptions!$B$16,IF(H41=2,Assumptions!$B$17,0))</f>
        <v>0</v>
      </c>
      <c r="J41" s="164" t="s">
        <v>356</v>
      </c>
      <c r="K41" s="164" t="s">
        <v>356</v>
      </c>
      <c r="L41" s="164" t="s">
        <v>359</v>
      </c>
      <c r="M41" s="168" t="s">
        <v>356</v>
      </c>
      <c r="N41" s="163" t="n">
        <v>730519</v>
      </c>
      <c r="O41" s="163" t="n">
        <v>730519</v>
      </c>
      <c r="P41" s="163" t="n">
        <v>243506</v>
      </c>
      <c r="Q41" s="163" t="n">
        <f aca="false">N41+O41+P41</f>
        <v>1704544</v>
      </c>
      <c r="R41" s="163" t="n">
        <f aca="false">Q41*0.05</f>
        <v>85227.2</v>
      </c>
      <c r="S41" s="162" t="n">
        <f aca="false">C41+D41-1</f>
        <v>90</v>
      </c>
      <c r="T41" s="166"/>
    </row>
    <row r="42" customFormat="false" ht="15" hidden="false" customHeight="true" outlineLevel="0" collapsed="false">
      <c r="A42" s="162" t="s">
        <v>45</v>
      </c>
      <c r="B42" s="163" t="n">
        <v>18000000</v>
      </c>
      <c r="C42" s="164" t="n">
        <v>74</v>
      </c>
      <c r="D42" s="164" t="n">
        <v>19</v>
      </c>
      <c r="E42" s="164" t="n">
        <v>3</v>
      </c>
      <c r="F42" s="164" t="s">
        <v>356</v>
      </c>
      <c r="G42" s="164" t="s">
        <v>356</v>
      </c>
      <c r="H42" s="164" t="n">
        <v>0</v>
      </c>
      <c r="I42" s="165" t="n">
        <f aca="false">IF(H42=1,Assumptions!$B$16,IF(H42=2,Assumptions!$B$17,0))</f>
        <v>0</v>
      </c>
      <c r="J42" s="164" t="s">
        <v>356</v>
      </c>
      <c r="K42" s="164" t="s">
        <v>356</v>
      </c>
      <c r="L42" s="164" t="s">
        <v>359</v>
      </c>
      <c r="M42" s="168" t="s">
        <v>356</v>
      </c>
      <c r="N42" s="163" t="n">
        <v>876623</v>
      </c>
      <c r="O42" s="163" t="n">
        <v>876623</v>
      </c>
      <c r="P42" s="163" t="n">
        <v>292208</v>
      </c>
      <c r="Q42" s="163" t="n">
        <f aca="false">N42+O42+P42</f>
        <v>2045454</v>
      </c>
      <c r="R42" s="163" t="n">
        <f aca="false">Q42*0.05</f>
        <v>102272.7</v>
      </c>
      <c r="S42" s="162" t="n">
        <f aca="false">C42+D42-1</f>
        <v>92</v>
      </c>
      <c r="T42" s="166"/>
    </row>
    <row r="43" customFormat="false" ht="15" hidden="false" customHeight="true" outlineLevel="0" collapsed="false">
      <c r="A43" s="162" t="s">
        <v>46</v>
      </c>
      <c r="B43" s="163" t="n">
        <v>15000000</v>
      </c>
      <c r="C43" s="164" t="n">
        <v>76</v>
      </c>
      <c r="D43" s="164" t="n">
        <v>19</v>
      </c>
      <c r="E43" s="164" t="n">
        <v>3</v>
      </c>
      <c r="F43" s="164" t="s">
        <v>356</v>
      </c>
      <c r="G43" s="164" t="s">
        <v>356</v>
      </c>
      <c r="H43" s="164" t="n">
        <v>0</v>
      </c>
      <c r="I43" s="165" t="n">
        <f aca="false">IF(H43=1,Assumptions!$B$16,IF(H43=2,Assumptions!$B$17,0))</f>
        <v>0</v>
      </c>
      <c r="J43" s="164" t="s">
        <v>356</v>
      </c>
      <c r="K43" s="164" t="s">
        <v>356</v>
      </c>
      <c r="L43" s="164" t="s">
        <v>359</v>
      </c>
      <c r="M43" s="168" t="s">
        <v>356</v>
      </c>
      <c r="N43" s="163" t="n">
        <v>730519</v>
      </c>
      <c r="O43" s="163" t="n">
        <v>730519</v>
      </c>
      <c r="P43" s="163" t="n">
        <v>243506</v>
      </c>
      <c r="Q43" s="163" t="n">
        <f aca="false">N43+O43+P43</f>
        <v>1704544</v>
      </c>
      <c r="R43" s="163" t="n">
        <f aca="false">Q43*0.05</f>
        <v>85227.2</v>
      </c>
      <c r="S43" s="162" t="n">
        <f aca="false">C43+D43-1</f>
        <v>94</v>
      </c>
      <c r="T43" s="166"/>
    </row>
    <row r="44" customFormat="false" ht="15" hidden="false" customHeight="true" outlineLevel="0" collapsed="false">
      <c r="A44" s="162" t="s">
        <v>47</v>
      </c>
      <c r="B44" s="163" t="n">
        <v>15000000</v>
      </c>
      <c r="C44" s="164" t="n">
        <v>78</v>
      </c>
      <c r="D44" s="164" t="n">
        <v>19</v>
      </c>
      <c r="E44" s="164" t="n">
        <v>3</v>
      </c>
      <c r="F44" s="164" t="s">
        <v>356</v>
      </c>
      <c r="G44" s="164" t="s">
        <v>356</v>
      </c>
      <c r="H44" s="164" t="n">
        <v>0</v>
      </c>
      <c r="I44" s="165" t="n">
        <f aca="false">IF(H44=1,Assumptions!$B$16,IF(H44=2,Assumptions!$B$17,0))</f>
        <v>0</v>
      </c>
      <c r="J44" s="164" t="s">
        <v>356</v>
      </c>
      <c r="K44" s="164" t="s">
        <v>356</v>
      </c>
      <c r="L44" s="164" t="s">
        <v>359</v>
      </c>
      <c r="M44" s="168" t="s">
        <v>356</v>
      </c>
      <c r="N44" s="163" t="n">
        <v>730519</v>
      </c>
      <c r="O44" s="163" t="n">
        <v>730519</v>
      </c>
      <c r="P44" s="163" t="n">
        <v>243506</v>
      </c>
      <c r="Q44" s="163" t="n">
        <f aca="false">N44+O44+P44</f>
        <v>1704544</v>
      </c>
      <c r="R44" s="163" t="n">
        <f aca="false">Q44*0.05</f>
        <v>85227.2</v>
      </c>
      <c r="S44" s="162" t="n">
        <f aca="false">C44+D44-1</f>
        <v>96</v>
      </c>
      <c r="T44" s="166"/>
    </row>
    <row r="45" customFormat="false" ht="15" hidden="false" customHeight="true" outlineLevel="0" collapsed="false">
      <c r="A45" s="162" t="s">
        <v>48</v>
      </c>
      <c r="B45" s="163" t="n">
        <v>18000000</v>
      </c>
      <c r="C45" s="164" t="n">
        <v>80</v>
      </c>
      <c r="D45" s="164" t="n">
        <v>19</v>
      </c>
      <c r="E45" s="164" t="n">
        <v>3</v>
      </c>
      <c r="F45" s="164" t="s">
        <v>356</v>
      </c>
      <c r="G45" s="164" t="s">
        <v>356</v>
      </c>
      <c r="H45" s="164" t="n">
        <v>0</v>
      </c>
      <c r="I45" s="165" t="n">
        <f aca="false">IF(H45=1,Assumptions!$B$16,IF(H45=2,Assumptions!$B$17,0))</f>
        <v>0</v>
      </c>
      <c r="J45" s="164" t="s">
        <v>356</v>
      </c>
      <c r="K45" s="164" t="s">
        <v>356</v>
      </c>
      <c r="L45" s="164" t="s">
        <v>359</v>
      </c>
      <c r="M45" s="168" t="s">
        <v>356</v>
      </c>
      <c r="N45" s="163" t="n">
        <v>876623</v>
      </c>
      <c r="O45" s="163" t="n">
        <v>876623</v>
      </c>
      <c r="P45" s="163" t="n">
        <v>292208</v>
      </c>
      <c r="Q45" s="163" t="n">
        <f aca="false">N45+O45+P45</f>
        <v>2045454</v>
      </c>
      <c r="R45" s="163" t="n">
        <f aca="false">Q45*0.05</f>
        <v>102272.7</v>
      </c>
      <c r="S45" s="162" t="n">
        <f aca="false">C45+D45-1</f>
        <v>98</v>
      </c>
      <c r="T45" s="166"/>
    </row>
    <row r="46" customFormat="false" ht="15" hidden="false" customHeight="true" outlineLevel="0" collapsed="false">
      <c r="A46" s="162" t="s">
        <v>49</v>
      </c>
      <c r="B46" s="163" t="n">
        <v>15000000</v>
      </c>
      <c r="C46" s="164" t="n">
        <v>82</v>
      </c>
      <c r="D46" s="164" t="n">
        <v>19</v>
      </c>
      <c r="E46" s="164" t="n">
        <v>3</v>
      </c>
      <c r="F46" s="164" t="s">
        <v>356</v>
      </c>
      <c r="G46" s="164" t="s">
        <v>356</v>
      </c>
      <c r="H46" s="164" t="n">
        <v>0</v>
      </c>
      <c r="I46" s="165" t="n">
        <f aca="false">IF(H46=1,Assumptions!$B$16,IF(H46=2,Assumptions!$B$17,0))</f>
        <v>0</v>
      </c>
      <c r="J46" s="164" t="s">
        <v>356</v>
      </c>
      <c r="K46" s="164" t="s">
        <v>356</v>
      </c>
      <c r="L46" s="164" t="s">
        <v>359</v>
      </c>
      <c r="M46" s="168" t="s">
        <v>357</v>
      </c>
      <c r="N46" s="163" t="n">
        <v>730519</v>
      </c>
      <c r="O46" s="163" t="n">
        <v>730519</v>
      </c>
      <c r="P46" s="163" t="n">
        <v>243506</v>
      </c>
      <c r="Q46" s="163" t="n">
        <f aca="false">N46+O46+P46</f>
        <v>1704544</v>
      </c>
      <c r="R46" s="163" t="n">
        <f aca="false">Q46*0.05</f>
        <v>85227.2</v>
      </c>
      <c r="S46" s="162" t="n">
        <f aca="false">C46+D46-1</f>
        <v>100</v>
      </c>
      <c r="T46" s="16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69" t="s">
        <v>361</v>
      </c>
      <c r="B1" s="169" t="s">
        <v>362</v>
      </c>
      <c r="C1" s="170" t="s">
        <v>363</v>
      </c>
      <c r="D1" s="170" t="s">
        <v>364</v>
      </c>
      <c r="E1" s="170" t="s">
        <v>339</v>
      </c>
      <c r="F1" s="170" t="s">
        <v>348</v>
      </c>
      <c r="G1" s="170" t="s">
        <v>343</v>
      </c>
      <c r="H1" s="170" t="s">
        <v>365</v>
      </c>
      <c r="I1" s="170" t="s">
        <v>366</v>
      </c>
      <c r="J1" s="170" t="s">
        <v>367</v>
      </c>
    </row>
    <row r="2" customFormat="false" ht="15" hidden="false" customHeight="true" outlineLevel="0" collapsed="false">
      <c r="A2" s="171" t="s">
        <v>368</v>
      </c>
      <c r="B2" s="171" t="s">
        <v>369</v>
      </c>
      <c r="C2" s="172" t="n">
        <v>70000</v>
      </c>
      <c r="D2" s="172" t="n">
        <f aca="false">C2/12</f>
        <v>5833.33333333333</v>
      </c>
      <c r="E2" s="173" t="n">
        <v>1</v>
      </c>
      <c r="F2" s="174" t="s">
        <v>370</v>
      </c>
      <c r="G2" s="174" t="s">
        <v>357</v>
      </c>
      <c r="H2" s="175" t="n">
        <v>0</v>
      </c>
      <c r="I2" s="175" t="n">
        <v>0</v>
      </c>
      <c r="J2" s="171" t="s">
        <v>371</v>
      </c>
      <c r="K2" s="2"/>
    </row>
    <row r="3" customFormat="false" ht="15" hidden="false" customHeight="true" outlineLevel="0" collapsed="false">
      <c r="A3" s="176" t="s">
        <v>372</v>
      </c>
      <c r="B3" s="176" t="s">
        <v>373</v>
      </c>
      <c r="C3" s="177" t="n">
        <v>80000</v>
      </c>
      <c r="D3" s="177" t="n">
        <f aca="false">C3/12</f>
        <v>6666.66666666667</v>
      </c>
      <c r="E3" s="178" t="n">
        <v>1</v>
      </c>
      <c r="F3" s="179" t="s">
        <v>370</v>
      </c>
      <c r="G3" s="179" t="s">
        <v>357</v>
      </c>
      <c r="H3" s="180" t="n">
        <v>0.5</v>
      </c>
      <c r="I3" s="180" t="n">
        <v>0</v>
      </c>
      <c r="J3" s="176" t="s">
        <v>371</v>
      </c>
      <c r="K3" s="2"/>
    </row>
    <row r="4" customFormat="false" ht="15" hidden="false" customHeight="true" outlineLevel="0" collapsed="false">
      <c r="A4" s="171" t="s">
        <v>374</v>
      </c>
      <c r="B4" s="171" t="s">
        <v>373</v>
      </c>
      <c r="C4" s="172" t="n">
        <v>25000</v>
      </c>
      <c r="D4" s="172" t="n">
        <f aca="false">C4/12</f>
        <v>2083.33333333333</v>
      </c>
      <c r="E4" s="173" t="n">
        <v>1</v>
      </c>
      <c r="F4" s="174" t="s">
        <v>370</v>
      </c>
      <c r="G4" s="174" t="s">
        <v>357</v>
      </c>
      <c r="H4" s="175" t="n">
        <v>0.5</v>
      </c>
      <c r="I4" s="175" t="n">
        <v>0</v>
      </c>
      <c r="J4" s="171" t="s">
        <v>371</v>
      </c>
      <c r="K4" s="2"/>
    </row>
    <row r="5" customFormat="false" ht="15" hidden="false" customHeight="true" outlineLevel="0" collapsed="false">
      <c r="A5" s="176" t="s">
        <v>375</v>
      </c>
      <c r="B5" s="176" t="s">
        <v>376</v>
      </c>
      <c r="C5" s="177" t="n">
        <v>19000</v>
      </c>
      <c r="D5" s="177" t="n">
        <f aca="false">C5/12</f>
        <v>1583.33333333333</v>
      </c>
      <c r="E5" s="178" t="n">
        <v>1</v>
      </c>
      <c r="F5" s="179" t="s">
        <v>370</v>
      </c>
      <c r="G5" s="179" t="s">
        <v>357</v>
      </c>
      <c r="H5" s="180" t="n">
        <v>0</v>
      </c>
      <c r="I5" s="180" t="n">
        <v>0</v>
      </c>
      <c r="J5" s="176" t="s">
        <v>371</v>
      </c>
      <c r="K5" s="2"/>
    </row>
    <row r="6" customFormat="false" ht="15" hidden="false" customHeight="true" outlineLevel="0" collapsed="false">
      <c r="A6" s="171" t="s">
        <v>377</v>
      </c>
      <c r="B6" s="171" t="s">
        <v>376</v>
      </c>
      <c r="C6" s="172" t="n">
        <v>20000</v>
      </c>
      <c r="D6" s="172" t="n">
        <f aca="false">C6/12</f>
        <v>1666.66666666667</v>
      </c>
      <c r="E6" s="173" t="n">
        <v>1</v>
      </c>
      <c r="F6" s="174" t="s">
        <v>370</v>
      </c>
      <c r="G6" s="174" t="s">
        <v>357</v>
      </c>
      <c r="H6" s="175" t="n">
        <v>0</v>
      </c>
      <c r="I6" s="175" t="n">
        <v>0</v>
      </c>
      <c r="J6" s="171" t="s">
        <v>371</v>
      </c>
      <c r="K6" s="2"/>
    </row>
    <row r="7" customFormat="false" ht="15" hidden="false" customHeight="true" outlineLevel="0" collapsed="false">
      <c r="A7" s="171" t="s">
        <v>378</v>
      </c>
      <c r="B7" s="171" t="s">
        <v>373</v>
      </c>
      <c r="C7" s="172" t="n">
        <v>320000</v>
      </c>
      <c r="D7" s="172" t="n">
        <f aca="false">C7/12</f>
        <v>26666.6666666667</v>
      </c>
      <c r="E7" s="173" t="n">
        <v>1</v>
      </c>
      <c r="F7" s="174" t="s">
        <v>370</v>
      </c>
      <c r="G7" s="174" t="s">
        <v>357</v>
      </c>
      <c r="H7" s="175" t="n">
        <v>0.5</v>
      </c>
      <c r="I7" s="175" t="n">
        <v>0</v>
      </c>
      <c r="J7" s="171" t="s">
        <v>379</v>
      </c>
      <c r="K7" s="2"/>
    </row>
    <row r="8" customFormat="false" ht="15" hidden="false" customHeight="true" outlineLevel="0" collapsed="false">
      <c r="A8" s="176" t="s">
        <v>380</v>
      </c>
      <c r="B8" s="176" t="s">
        <v>373</v>
      </c>
      <c r="C8" s="177" t="n">
        <v>225000</v>
      </c>
      <c r="D8" s="177" t="n">
        <f aca="false">C8/12</f>
        <v>18750</v>
      </c>
      <c r="E8" s="178" t="n">
        <v>1</v>
      </c>
      <c r="F8" s="179" t="s">
        <v>370</v>
      </c>
      <c r="G8" s="179" t="s">
        <v>357</v>
      </c>
      <c r="H8" s="180" t="n">
        <v>0.5</v>
      </c>
      <c r="I8" s="180" t="n">
        <v>0</v>
      </c>
      <c r="J8" s="176" t="s">
        <v>379</v>
      </c>
      <c r="K8" s="2"/>
    </row>
    <row r="9" customFormat="false" ht="15" hidden="false" customHeight="true" outlineLevel="0" collapsed="false">
      <c r="A9" s="171" t="s">
        <v>381</v>
      </c>
      <c r="B9" s="171" t="s">
        <v>376</v>
      </c>
      <c r="C9" s="172" t="n">
        <v>171000</v>
      </c>
      <c r="D9" s="172" t="n">
        <f aca="false">C9/12</f>
        <v>14250</v>
      </c>
      <c r="E9" s="173" t="n">
        <v>1</v>
      </c>
      <c r="F9" s="174" t="s">
        <v>370</v>
      </c>
      <c r="G9" s="174" t="s">
        <v>357</v>
      </c>
      <c r="H9" s="175" t="n">
        <v>0</v>
      </c>
      <c r="I9" s="175" t="n">
        <v>0</v>
      </c>
      <c r="J9" s="171" t="s">
        <v>379</v>
      </c>
      <c r="K9" s="2"/>
    </row>
    <row r="10" customFormat="false" ht="15" hidden="false" customHeight="true" outlineLevel="0" collapsed="false">
      <c r="A10" s="176" t="s">
        <v>382</v>
      </c>
      <c r="B10" s="176" t="s">
        <v>376</v>
      </c>
      <c r="C10" s="177" t="n">
        <v>180000</v>
      </c>
      <c r="D10" s="177" t="n">
        <f aca="false">C10/12</f>
        <v>15000</v>
      </c>
      <c r="E10" s="178" t="n">
        <v>1</v>
      </c>
      <c r="F10" s="179" t="s">
        <v>370</v>
      </c>
      <c r="G10" s="179" t="s">
        <v>357</v>
      </c>
      <c r="H10" s="180" t="n">
        <v>0</v>
      </c>
      <c r="I10" s="180" t="n">
        <v>0</v>
      </c>
      <c r="J10" s="176" t="s">
        <v>379</v>
      </c>
      <c r="K10" s="2"/>
    </row>
    <row r="11" customFormat="false" ht="15" hidden="false" customHeight="true" outlineLevel="0" collapsed="false">
      <c r="A11" s="171" t="s">
        <v>383</v>
      </c>
      <c r="B11" s="171" t="s">
        <v>384</v>
      </c>
      <c r="C11" s="172" t="n">
        <v>105000</v>
      </c>
      <c r="D11" s="172" t="n">
        <f aca="false">C11/12</f>
        <v>8750</v>
      </c>
      <c r="E11" s="173" t="n">
        <v>3</v>
      </c>
      <c r="F11" s="174" t="s">
        <v>370</v>
      </c>
      <c r="G11" s="174" t="s">
        <v>357</v>
      </c>
      <c r="H11" s="175" t="n">
        <v>0</v>
      </c>
      <c r="I11" s="175" t="n">
        <v>0</v>
      </c>
      <c r="J11" s="171" t="s">
        <v>379</v>
      </c>
      <c r="K11" s="2"/>
    </row>
    <row r="12" customFormat="false" ht="15" hidden="false" customHeight="true" outlineLevel="0" collapsed="false">
      <c r="A12" s="176" t="s">
        <v>385</v>
      </c>
      <c r="B12" s="176" t="s">
        <v>384</v>
      </c>
      <c r="C12" s="177" t="n">
        <v>145000</v>
      </c>
      <c r="D12" s="177" t="n">
        <f aca="false">C12/12</f>
        <v>12083.3333333333</v>
      </c>
      <c r="E12" s="178" t="n">
        <v>1</v>
      </c>
      <c r="F12" s="179" t="s">
        <v>370</v>
      </c>
      <c r="G12" s="179" t="s">
        <v>357</v>
      </c>
      <c r="H12" s="180" t="n">
        <v>0</v>
      </c>
      <c r="I12" s="180" t="n">
        <v>0</v>
      </c>
      <c r="J12" s="176" t="s">
        <v>379</v>
      </c>
      <c r="K12" s="2"/>
    </row>
    <row r="13" customFormat="false" ht="15" hidden="false" customHeight="true" outlineLevel="0" collapsed="false">
      <c r="A13" s="171" t="s">
        <v>386</v>
      </c>
      <c r="B13" s="171" t="s">
        <v>384</v>
      </c>
      <c r="C13" s="172" t="n">
        <v>185000</v>
      </c>
      <c r="D13" s="172" t="n">
        <f aca="false">C13/12</f>
        <v>15416.6666666667</v>
      </c>
      <c r="E13" s="173" t="n">
        <v>1</v>
      </c>
      <c r="F13" s="174" t="s">
        <v>370</v>
      </c>
      <c r="G13" s="174" t="s">
        <v>357</v>
      </c>
      <c r="H13" s="175" t="n">
        <v>0</v>
      </c>
      <c r="I13" s="175" t="n">
        <v>0</v>
      </c>
      <c r="J13" s="171" t="s">
        <v>379</v>
      </c>
      <c r="K13" s="2"/>
    </row>
    <row r="14" customFormat="false" ht="15" hidden="false" customHeight="true" outlineLevel="0" collapsed="false">
      <c r="A14" s="176" t="s">
        <v>387</v>
      </c>
      <c r="B14" s="176" t="s">
        <v>384</v>
      </c>
      <c r="C14" s="177" t="n">
        <v>125000</v>
      </c>
      <c r="D14" s="177" t="n">
        <f aca="false">C14/12</f>
        <v>10416.6666666667</v>
      </c>
      <c r="E14" s="178" t="n">
        <v>2</v>
      </c>
      <c r="F14" s="179" t="s">
        <v>370</v>
      </c>
      <c r="G14" s="179" t="s">
        <v>357</v>
      </c>
      <c r="H14" s="180" t="n">
        <v>0</v>
      </c>
      <c r="I14" s="180" t="n">
        <v>0</v>
      </c>
      <c r="J14" s="176" t="s">
        <v>379</v>
      </c>
      <c r="K14" s="2"/>
    </row>
    <row r="15" customFormat="false" ht="15" hidden="false" customHeight="true" outlineLevel="0" collapsed="false">
      <c r="A15" s="171" t="s">
        <v>388</v>
      </c>
      <c r="B15" s="171" t="s">
        <v>384</v>
      </c>
      <c r="C15" s="172" t="n">
        <v>130000</v>
      </c>
      <c r="D15" s="172" t="n">
        <f aca="false">C15/12</f>
        <v>10833.3333333333</v>
      </c>
      <c r="E15" s="173" t="n">
        <v>9</v>
      </c>
      <c r="F15" s="174" t="s">
        <v>370</v>
      </c>
      <c r="G15" s="174" t="s">
        <v>357</v>
      </c>
      <c r="H15" s="175" t="n">
        <v>0</v>
      </c>
      <c r="I15" s="175" t="n">
        <v>0</v>
      </c>
      <c r="J15" s="171" t="s">
        <v>379</v>
      </c>
      <c r="K15" s="2"/>
    </row>
    <row r="16" customFormat="false" ht="15" hidden="false" customHeight="true" outlineLevel="0" collapsed="false">
      <c r="A16" s="176" t="s">
        <v>389</v>
      </c>
      <c r="B16" s="176" t="s">
        <v>390</v>
      </c>
      <c r="C16" s="177" t="n">
        <v>90000</v>
      </c>
      <c r="D16" s="177" t="n">
        <f aca="false">C16/12</f>
        <v>7500</v>
      </c>
      <c r="E16" s="178" t="n">
        <v>3</v>
      </c>
      <c r="F16" s="179" t="s">
        <v>370</v>
      </c>
      <c r="G16" s="179" t="s">
        <v>357</v>
      </c>
      <c r="H16" s="180" t="n">
        <v>0</v>
      </c>
      <c r="I16" s="180" t="n">
        <v>0</v>
      </c>
      <c r="J16" s="176" t="s">
        <v>379</v>
      </c>
      <c r="K16" s="2"/>
    </row>
    <row r="17" customFormat="false" ht="15" hidden="false" customHeight="true" outlineLevel="0" collapsed="false">
      <c r="A17" s="171" t="s">
        <v>391</v>
      </c>
      <c r="B17" s="171" t="s">
        <v>369</v>
      </c>
      <c r="C17" s="172" t="n">
        <v>97500</v>
      </c>
      <c r="D17" s="172" t="n">
        <f aca="false">C17/12</f>
        <v>8125</v>
      </c>
      <c r="E17" s="173" t="n">
        <v>1</v>
      </c>
      <c r="F17" s="174" t="s">
        <v>370</v>
      </c>
      <c r="G17" s="174" t="s">
        <v>357</v>
      </c>
      <c r="H17" s="175" t="n">
        <v>0</v>
      </c>
      <c r="I17" s="175" t="n">
        <v>0</v>
      </c>
      <c r="J17" s="171" t="s">
        <v>379</v>
      </c>
      <c r="K17" s="2"/>
    </row>
    <row r="18" customFormat="false" ht="15" hidden="false" customHeight="true" outlineLevel="0" collapsed="false">
      <c r="A18" s="176" t="s">
        <v>392</v>
      </c>
      <c r="B18" s="176" t="s">
        <v>393</v>
      </c>
      <c r="C18" s="177" t="n">
        <v>150000</v>
      </c>
      <c r="D18" s="177" t="n">
        <f aca="false">C18/12</f>
        <v>12500</v>
      </c>
      <c r="E18" s="178" t="n">
        <v>1</v>
      </c>
      <c r="F18" s="179" t="s">
        <v>370</v>
      </c>
      <c r="G18" s="179" t="s">
        <v>357</v>
      </c>
      <c r="H18" s="180" t="n">
        <v>0</v>
      </c>
      <c r="I18" s="180" t="n">
        <v>0</v>
      </c>
      <c r="J18" s="176" t="s">
        <v>379</v>
      </c>
      <c r="K18" s="2"/>
    </row>
    <row r="19" customFormat="false" ht="15" hidden="false" customHeight="true" outlineLevel="0" collapsed="false">
      <c r="A19" s="171" t="s">
        <v>394</v>
      </c>
      <c r="B19" s="171" t="s">
        <v>393</v>
      </c>
      <c r="C19" s="172" t="n">
        <v>150000</v>
      </c>
      <c r="D19" s="172" t="n">
        <f aca="false">C19/12</f>
        <v>12500</v>
      </c>
      <c r="E19" s="173" t="n">
        <v>1</v>
      </c>
      <c r="F19" s="174" t="s">
        <v>370</v>
      </c>
      <c r="G19" s="174" t="s">
        <v>357</v>
      </c>
      <c r="H19" s="175" t="n">
        <v>0</v>
      </c>
      <c r="I19" s="175" t="n">
        <v>0</v>
      </c>
      <c r="J19" s="171" t="s">
        <v>379</v>
      </c>
      <c r="K19" s="2"/>
    </row>
    <row r="20" customFormat="false" ht="15" hidden="false" customHeight="true" outlineLevel="0" collapsed="false">
      <c r="A20" s="176" t="s">
        <v>395</v>
      </c>
      <c r="B20" s="176" t="s">
        <v>393</v>
      </c>
      <c r="C20" s="177" t="n">
        <v>110000</v>
      </c>
      <c r="D20" s="177" t="n">
        <f aca="false">C20/12</f>
        <v>9166.66666666667</v>
      </c>
      <c r="E20" s="178" t="n">
        <v>1</v>
      </c>
      <c r="F20" s="179" t="s">
        <v>370</v>
      </c>
      <c r="G20" s="179" t="s">
        <v>357</v>
      </c>
      <c r="H20" s="180" t="n">
        <v>0</v>
      </c>
      <c r="I20" s="180" t="n">
        <v>0</v>
      </c>
      <c r="J20" s="176" t="s">
        <v>379</v>
      </c>
      <c r="K20" s="2"/>
    </row>
    <row r="21" customFormat="false" ht="15" hidden="false" customHeight="true" outlineLevel="0" collapsed="false">
      <c r="A21" s="171" t="s">
        <v>396</v>
      </c>
      <c r="B21" s="171" t="s">
        <v>393</v>
      </c>
      <c r="C21" s="172" t="n">
        <v>170000</v>
      </c>
      <c r="D21" s="172" t="n">
        <f aca="false">C21/12</f>
        <v>14166.6666666667</v>
      </c>
      <c r="E21" s="173" t="n">
        <v>2</v>
      </c>
      <c r="F21" s="174" t="s">
        <v>370</v>
      </c>
      <c r="G21" s="174" t="s">
        <v>357</v>
      </c>
      <c r="H21" s="175" t="n">
        <v>0</v>
      </c>
      <c r="I21" s="175" t="n">
        <v>0</v>
      </c>
      <c r="J21" s="171" t="s">
        <v>379</v>
      </c>
      <c r="K21" s="2"/>
    </row>
    <row r="22" customFormat="false" ht="15" hidden="false" customHeight="true" outlineLevel="0" collapsed="false">
      <c r="A22" s="176" t="s">
        <v>397</v>
      </c>
      <c r="B22" s="176" t="s">
        <v>393</v>
      </c>
      <c r="C22" s="177" t="n">
        <v>160000</v>
      </c>
      <c r="D22" s="177" t="n">
        <f aca="false">C22/12</f>
        <v>13333.3333333333</v>
      </c>
      <c r="E22" s="178" t="n">
        <v>6</v>
      </c>
      <c r="F22" s="179" t="s">
        <v>370</v>
      </c>
      <c r="G22" s="179" t="s">
        <v>357</v>
      </c>
      <c r="H22" s="180" t="n">
        <v>0</v>
      </c>
      <c r="I22" s="180" t="n">
        <v>0</v>
      </c>
      <c r="J22" s="176" t="s">
        <v>379</v>
      </c>
      <c r="K22" s="2"/>
    </row>
    <row r="23" customFormat="false" ht="15" hidden="false" customHeight="true" outlineLevel="0" collapsed="false">
      <c r="A23" s="171" t="s">
        <v>398</v>
      </c>
      <c r="B23" s="171" t="s">
        <v>393</v>
      </c>
      <c r="C23" s="172" t="n">
        <v>160000</v>
      </c>
      <c r="D23" s="172" t="n">
        <f aca="false">C23/12</f>
        <v>13333.3333333333</v>
      </c>
      <c r="E23" s="173" t="n">
        <v>13</v>
      </c>
      <c r="F23" s="174" t="s">
        <v>370</v>
      </c>
      <c r="G23" s="174" t="s">
        <v>357</v>
      </c>
      <c r="H23" s="175" t="n">
        <v>0</v>
      </c>
      <c r="I23" s="175" t="n">
        <v>0</v>
      </c>
      <c r="J23" s="171" t="s">
        <v>379</v>
      </c>
      <c r="K23" s="2"/>
    </row>
    <row r="24" customFormat="false" ht="15" hidden="false" customHeight="true" outlineLevel="0" collapsed="false">
      <c r="A24" s="176" t="s">
        <v>399</v>
      </c>
      <c r="B24" s="176" t="s">
        <v>400</v>
      </c>
      <c r="C24" s="177" t="n">
        <v>75000</v>
      </c>
      <c r="D24" s="177" t="n">
        <f aca="false">C24/12</f>
        <v>6250</v>
      </c>
      <c r="E24" s="178" t="n">
        <v>1</v>
      </c>
      <c r="F24" s="179" t="s">
        <v>370</v>
      </c>
      <c r="G24" s="179" t="s">
        <v>357</v>
      </c>
      <c r="H24" s="180" t="n">
        <v>0</v>
      </c>
      <c r="I24" s="180" t="n">
        <v>0</v>
      </c>
      <c r="J24" s="176" t="s">
        <v>379</v>
      </c>
      <c r="K24" s="2"/>
    </row>
    <row r="25" customFormat="false" ht="15" hidden="false" customHeight="true" outlineLevel="0" collapsed="false">
      <c r="A25" s="171" t="s">
        <v>401</v>
      </c>
      <c r="B25" s="171" t="s">
        <v>400</v>
      </c>
      <c r="C25" s="172" t="n">
        <v>105000</v>
      </c>
      <c r="D25" s="172" t="n">
        <f aca="false">C25/12</f>
        <v>8750</v>
      </c>
      <c r="E25" s="173" t="n">
        <v>3</v>
      </c>
      <c r="F25" s="174" t="s">
        <v>370</v>
      </c>
      <c r="G25" s="174" t="s">
        <v>357</v>
      </c>
      <c r="H25" s="175" t="n">
        <v>0</v>
      </c>
      <c r="I25" s="175" t="n">
        <v>0</v>
      </c>
      <c r="J25" s="171" t="s">
        <v>379</v>
      </c>
      <c r="K25" s="2"/>
    </row>
    <row r="26" customFormat="false" ht="15" hidden="false" customHeight="true" outlineLevel="0" collapsed="false">
      <c r="A26" s="176" t="s">
        <v>402</v>
      </c>
      <c r="B26" s="176" t="s">
        <v>393</v>
      </c>
      <c r="C26" s="177" t="n">
        <v>170000</v>
      </c>
      <c r="D26" s="177" t="n">
        <f aca="false">C26/12</f>
        <v>14166.6666666667</v>
      </c>
      <c r="E26" s="178" t="n">
        <v>4</v>
      </c>
      <c r="F26" s="179" t="s">
        <v>370</v>
      </c>
      <c r="G26" s="179" t="s">
        <v>357</v>
      </c>
      <c r="H26" s="180" t="n">
        <v>0</v>
      </c>
      <c r="I26" s="180" t="n">
        <v>0</v>
      </c>
      <c r="J26" s="176" t="s">
        <v>379</v>
      </c>
      <c r="K26" s="2"/>
    </row>
    <row r="27" customFormat="false" ht="15" hidden="false" customHeight="true" outlineLevel="0" collapsed="false">
      <c r="A27" s="171" t="s">
        <v>403</v>
      </c>
      <c r="B27" s="171" t="s">
        <v>393</v>
      </c>
      <c r="C27" s="172" t="n">
        <v>130000</v>
      </c>
      <c r="D27" s="172" t="n">
        <f aca="false">C27/12</f>
        <v>10833.3333333333</v>
      </c>
      <c r="E27" s="173" t="n">
        <v>4</v>
      </c>
      <c r="F27" s="174" t="s">
        <v>370</v>
      </c>
      <c r="G27" s="174" t="s">
        <v>357</v>
      </c>
      <c r="H27" s="175" t="n">
        <v>0</v>
      </c>
      <c r="I27" s="175" t="n">
        <v>0</v>
      </c>
      <c r="J27" s="171" t="s">
        <v>379</v>
      </c>
      <c r="K27" s="2"/>
    </row>
    <row r="28" customFormat="false" ht="15" hidden="false" customHeight="true" outlineLevel="0" collapsed="false">
      <c r="A28" s="176" t="s">
        <v>404</v>
      </c>
      <c r="B28" s="176" t="s">
        <v>405</v>
      </c>
      <c r="C28" s="177" t="n">
        <v>125000</v>
      </c>
      <c r="D28" s="177" t="n">
        <f aca="false">C28/12</f>
        <v>10416.6666666667</v>
      </c>
      <c r="E28" s="178" t="n">
        <v>8</v>
      </c>
      <c r="F28" s="179" t="s">
        <v>370</v>
      </c>
      <c r="G28" s="179" t="s">
        <v>356</v>
      </c>
      <c r="H28" s="180" t="n">
        <v>0</v>
      </c>
      <c r="I28" s="180" t="n">
        <v>0</v>
      </c>
      <c r="J28" s="176" t="s">
        <v>379</v>
      </c>
      <c r="K28" s="2"/>
    </row>
    <row r="29" customFormat="false" ht="15" hidden="false" customHeight="true" outlineLevel="0" collapsed="false">
      <c r="A29" s="171" t="s">
        <v>406</v>
      </c>
      <c r="B29" s="171" t="s">
        <v>407</v>
      </c>
      <c r="C29" s="172" t="n">
        <v>65000</v>
      </c>
      <c r="D29" s="172" t="n">
        <f aca="false">C29/12</f>
        <v>5416.66666666667</v>
      </c>
      <c r="E29" s="173" t="n">
        <v>1</v>
      </c>
      <c r="F29" s="174" t="s">
        <v>370</v>
      </c>
      <c r="G29" s="174" t="s">
        <v>357</v>
      </c>
      <c r="H29" s="175" t="n">
        <v>0</v>
      </c>
      <c r="I29" s="175" t="n">
        <v>0</v>
      </c>
      <c r="J29" s="171" t="s">
        <v>379</v>
      </c>
      <c r="K29" s="2"/>
    </row>
    <row r="30" customFormat="false" ht="15" hidden="false" customHeight="true" outlineLevel="0" collapsed="false">
      <c r="A30" s="176" t="s">
        <v>408</v>
      </c>
      <c r="B30" s="176" t="s">
        <v>407</v>
      </c>
      <c r="C30" s="177" t="n">
        <v>90000</v>
      </c>
      <c r="D30" s="177" t="n">
        <f aca="false">C30/12</f>
        <v>7500</v>
      </c>
      <c r="E30" s="178" t="n">
        <v>1</v>
      </c>
      <c r="F30" s="179" t="s">
        <v>370</v>
      </c>
      <c r="G30" s="179" t="s">
        <v>357</v>
      </c>
      <c r="H30" s="180" t="n">
        <v>0</v>
      </c>
      <c r="I30" s="180" t="n">
        <v>0</v>
      </c>
      <c r="J30" s="176" t="s">
        <v>379</v>
      </c>
      <c r="K30" s="2"/>
    </row>
    <row r="31" customFormat="false" ht="15" hidden="false" customHeight="true" outlineLevel="0" collapsed="false">
      <c r="A31" s="171" t="s">
        <v>409</v>
      </c>
      <c r="B31" s="171" t="s">
        <v>410</v>
      </c>
      <c r="C31" s="172" t="n">
        <v>70000</v>
      </c>
      <c r="D31" s="172" t="n">
        <f aca="false">C31/12</f>
        <v>5833.33333333333</v>
      </c>
      <c r="E31" s="173" t="n">
        <v>1</v>
      </c>
      <c r="F31" s="174" t="s">
        <v>370</v>
      </c>
      <c r="G31" s="174" t="s">
        <v>357</v>
      </c>
      <c r="H31" s="175" t="n">
        <v>0</v>
      </c>
      <c r="I31" s="175" t="n">
        <v>0</v>
      </c>
      <c r="J31" s="171" t="s">
        <v>379</v>
      </c>
      <c r="K31" s="2"/>
    </row>
    <row r="32" customFormat="false" ht="15" hidden="false" customHeight="true" outlineLevel="0" collapsed="false">
      <c r="A32" s="176" t="s">
        <v>411</v>
      </c>
      <c r="B32" s="176" t="s">
        <v>410</v>
      </c>
      <c r="C32" s="177" t="n">
        <v>55000</v>
      </c>
      <c r="D32" s="177" t="n">
        <f aca="false">C32/12</f>
        <v>4583.33333333333</v>
      </c>
      <c r="E32" s="178" t="n">
        <v>1</v>
      </c>
      <c r="F32" s="179" t="s">
        <v>370</v>
      </c>
      <c r="G32" s="179" t="s">
        <v>357</v>
      </c>
      <c r="H32" s="180" t="n">
        <v>0</v>
      </c>
      <c r="I32" s="180" t="n">
        <v>0</v>
      </c>
      <c r="J32" s="176" t="s">
        <v>379</v>
      </c>
      <c r="K32" s="2"/>
    </row>
    <row r="33" customFormat="false" ht="15" hidden="false" customHeight="true" outlineLevel="0" collapsed="false">
      <c r="A33" s="171" t="s">
        <v>412</v>
      </c>
      <c r="B33" s="171" t="s">
        <v>410</v>
      </c>
      <c r="C33" s="172" t="n">
        <v>75000</v>
      </c>
      <c r="D33" s="172" t="n">
        <f aca="false">C33/12</f>
        <v>6250</v>
      </c>
      <c r="E33" s="173" t="n">
        <v>8</v>
      </c>
      <c r="F33" s="174" t="s">
        <v>370</v>
      </c>
      <c r="G33" s="174" t="s">
        <v>356</v>
      </c>
      <c r="H33" s="175" t="n">
        <v>0</v>
      </c>
      <c r="I33" s="175" t="n">
        <v>0</v>
      </c>
      <c r="J33" s="171" t="s">
        <v>379</v>
      </c>
      <c r="K33" s="2"/>
    </row>
    <row r="34" customFormat="false" ht="15" hidden="false" customHeight="true" outlineLevel="0" collapsed="false">
      <c r="A34" s="181"/>
      <c r="B34" s="181"/>
      <c r="C34" s="182"/>
      <c r="D34" s="182"/>
      <c r="E34" s="183"/>
      <c r="F34" s="184"/>
      <c r="G34" s="184"/>
      <c r="H34" s="185"/>
      <c r="I34" s="185"/>
      <c r="J34" s="181"/>
      <c r="K34" s="2"/>
    </row>
    <row r="35" customFormat="false" ht="15" hidden="false" customHeight="true" outlineLevel="0" collapsed="false">
      <c r="A35" s="186" t="s">
        <v>413</v>
      </c>
      <c r="B35" s="187"/>
      <c r="C35" s="188"/>
      <c r="D35" s="188"/>
      <c r="E35" s="189"/>
      <c r="F35" s="187"/>
      <c r="G35" s="187"/>
      <c r="H35" s="190"/>
      <c r="I35" s="190"/>
      <c r="J35" s="187"/>
      <c r="K35" s="2"/>
    </row>
    <row r="36" customFormat="false" ht="15" hidden="false" customHeight="true" outlineLevel="0" collapsed="false">
      <c r="A36" s="171" t="s">
        <v>414</v>
      </c>
      <c r="B36" s="171" t="s">
        <v>415</v>
      </c>
      <c r="C36" s="172" t="n">
        <v>400000</v>
      </c>
      <c r="D36" s="172" t="n">
        <f aca="false">C36/12</f>
        <v>33333.3333333333</v>
      </c>
      <c r="E36" s="173" t="n">
        <v>1</v>
      </c>
      <c r="F36" s="174" t="s">
        <v>416</v>
      </c>
      <c r="G36" s="174" t="s">
        <v>357</v>
      </c>
      <c r="H36" s="175" t="n">
        <v>1</v>
      </c>
      <c r="I36" s="175" t="n">
        <v>0.75</v>
      </c>
      <c r="J36" s="171" t="s">
        <v>417</v>
      </c>
      <c r="K36" s="2"/>
    </row>
    <row r="37" customFormat="false" ht="15" hidden="false" customHeight="true" outlineLevel="0" collapsed="false">
      <c r="A37" s="176" t="s">
        <v>418</v>
      </c>
      <c r="B37" s="176" t="s">
        <v>415</v>
      </c>
      <c r="C37" s="177" t="n">
        <v>400000</v>
      </c>
      <c r="D37" s="177" t="n">
        <f aca="false">C37/12</f>
        <v>33333.3333333333</v>
      </c>
      <c r="E37" s="178" t="n">
        <v>1</v>
      </c>
      <c r="F37" s="179" t="s">
        <v>416</v>
      </c>
      <c r="G37" s="179" t="s">
        <v>357</v>
      </c>
      <c r="H37" s="180" t="n">
        <v>1</v>
      </c>
      <c r="I37" s="175" t="n">
        <v>0.5</v>
      </c>
      <c r="J37" s="176" t="s">
        <v>417</v>
      </c>
      <c r="K37" s="2"/>
    </row>
    <row r="38" customFormat="false" ht="15" hidden="false" customHeight="true" outlineLevel="0" collapsed="false">
      <c r="A38" s="171" t="s">
        <v>419</v>
      </c>
      <c r="B38" s="171" t="s">
        <v>420</v>
      </c>
      <c r="C38" s="172" t="n">
        <v>222000</v>
      </c>
      <c r="D38" s="172" t="n">
        <f aca="false">C38/12</f>
        <v>18500</v>
      </c>
      <c r="E38" s="173" t="n">
        <v>1</v>
      </c>
      <c r="F38" s="174" t="s">
        <v>416</v>
      </c>
      <c r="G38" s="174" t="s">
        <v>357</v>
      </c>
      <c r="H38" s="175" t="n">
        <v>1</v>
      </c>
      <c r="I38" s="175" t="n">
        <v>1</v>
      </c>
      <c r="J38" s="171" t="s">
        <v>417</v>
      </c>
      <c r="K38" s="2"/>
    </row>
    <row r="39" customFormat="false" ht="15" hidden="false" customHeight="true" outlineLevel="0" collapsed="false">
      <c r="A39" s="176" t="s">
        <v>421</v>
      </c>
      <c r="B39" s="176" t="s">
        <v>422</v>
      </c>
      <c r="C39" s="177" t="n">
        <v>115000</v>
      </c>
      <c r="D39" s="177" t="n">
        <f aca="false">C39/12</f>
        <v>9583.33333333333</v>
      </c>
      <c r="E39" s="178" t="n">
        <v>1</v>
      </c>
      <c r="F39" s="179" t="s">
        <v>416</v>
      </c>
      <c r="G39" s="179" t="s">
        <v>357</v>
      </c>
      <c r="H39" s="180" t="n">
        <v>1</v>
      </c>
      <c r="I39" s="175" t="n">
        <v>0.1</v>
      </c>
      <c r="J39" s="176" t="s">
        <v>417</v>
      </c>
      <c r="K39" s="2"/>
    </row>
    <row r="40" customFormat="false" ht="15" hidden="false" customHeight="true" outlineLevel="0" collapsed="false">
      <c r="A40" s="171" t="s">
        <v>423</v>
      </c>
      <c r="B40" s="171" t="s">
        <v>424</v>
      </c>
      <c r="C40" s="172" t="n">
        <v>250000</v>
      </c>
      <c r="D40" s="172" t="n">
        <f aca="false">C40/12</f>
        <v>20833.3333333333</v>
      </c>
      <c r="E40" s="173" t="n">
        <v>1</v>
      </c>
      <c r="F40" s="174" t="s">
        <v>416</v>
      </c>
      <c r="G40" s="174" t="s">
        <v>357</v>
      </c>
      <c r="H40" s="175" t="n">
        <v>0</v>
      </c>
      <c r="I40" s="175" t="n">
        <v>0.5</v>
      </c>
      <c r="J40" s="171" t="s">
        <v>417</v>
      </c>
      <c r="K40" s="2"/>
    </row>
    <row r="41" customFormat="false" ht="15" hidden="false" customHeight="true" outlineLevel="0" collapsed="false">
      <c r="A41" s="176" t="s">
        <v>425</v>
      </c>
      <c r="B41" s="176" t="s">
        <v>426</v>
      </c>
      <c r="C41" s="177" t="n">
        <v>150000</v>
      </c>
      <c r="D41" s="177" t="n">
        <f aca="false">C41/12</f>
        <v>12500</v>
      </c>
      <c r="E41" s="178" t="n">
        <v>1</v>
      </c>
      <c r="F41" s="179" t="s">
        <v>416</v>
      </c>
      <c r="G41" s="179" t="s">
        <v>357</v>
      </c>
      <c r="H41" s="180" t="n">
        <v>0</v>
      </c>
      <c r="I41" s="175" t="n">
        <v>1</v>
      </c>
      <c r="J41" s="176" t="s">
        <v>417</v>
      </c>
      <c r="K41" s="2"/>
    </row>
    <row r="42" customFormat="false" ht="15" hidden="false" customHeight="true" outlineLevel="0" collapsed="false">
      <c r="A42" s="171" t="s">
        <v>427</v>
      </c>
      <c r="B42" s="171" t="s">
        <v>428</v>
      </c>
      <c r="C42" s="172" t="n">
        <v>250000</v>
      </c>
      <c r="D42" s="172" t="n">
        <f aca="false">C42/12</f>
        <v>20833.3333333333</v>
      </c>
      <c r="E42" s="173" t="n">
        <v>1</v>
      </c>
      <c r="F42" s="174" t="s">
        <v>416</v>
      </c>
      <c r="G42" s="174" t="s">
        <v>357</v>
      </c>
      <c r="H42" s="175" t="n">
        <v>0</v>
      </c>
      <c r="I42" s="175" t="n">
        <v>0.95</v>
      </c>
      <c r="J42" s="171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191" t="s">
        <v>429</v>
      </c>
    </row>
    <row r="2" customFormat="false" ht="15" hidden="false" customHeight="true" outlineLevel="0" collapsed="false">
      <c r="A2" s="127" t="s">
        <v>343</v>
      </c>
      <c r="B2" s="105" t="s">
        <v>356</v>
      </c>
    </row>
    <row r="4" customFormat="false" ht="15" hidden="false" customHeight="true" outlineLevel="0" collapsed="false">
      <c r="A4" s="192" t="s">
        <v>430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customFormat="false" ht="15" hidden="false" customHeight="true" outlineLevel="0" collapsed="false">
      <c r="A5" s="127" t="s">
        <v>431</v>
      </c>
      <c r="B5" s="127" t="s">
        <v>429</v>
      </c>
    </row>
    <row r="6" customFormat="false" ht="15" hidden="false" customHeight="true" outlineLevel="0" collapsed="false">
      <c r="A6" s="127" t="s">
        <v>432</v>
      </c>
      <c r="B6" s="127" t="s">
        <v>433</v>
      </c>
    </row>
    <row r="7" customFormat="false" ht="15" hidden="false" customHeight="true" outlineLevel="0" collapsed="false">
      <c r="A7" s="127" t="s">
        <v>434</v>
      </c>
      <c r="B7" s="193" t="n">
        <v>60</v>
      </c>
    </row>
    <row r="8" customFormat="false" ht="15" hidden="false" customHeight="true" outlineLevel="0" collapsed="false">
      <c r="A8" s="127" t="s">
        <v>435</v>
      </c>
      <c r="B8" s="127" t="s">
        <v>436</v>
      </c>
    </row>
    <row r="9" customFormat="false" ht="15" hidden="false" customHeight="true" outlineLevel="0" collapsed="false">
      <c r="A9" s="127" t="s">
        <v>437</v>
      </c>
      <c r="B9" s="194" t="n">
        <v>1400000</v>
      </c>
    </row>
    <row r="10" customFormat="false" ht="15" hidden="false" customHeight="true" outlineLevel="0" collapsed="false">
      <c r="A10" s="127" t="s">
        <v>438</v>
      </c>
      <c r="B10" s="194" t="n">
        <v>1609391</v>
      </c>
    </row>
    <row r="11" customFormat="false" ht="15" hidden="false" customHeight="true" outlineLevel="0" collapsed="false">
      <c r="A11" s="127" t="s">
        <v>439</v>
      </c>
      <c r="B11" s="194" t="n">
        <v>3419763</v>
      </c>
    </row>
    <row r="12" customFormat="false" ht="15" hidden="false" customHeight="true" outlineLevel="0" collapsed="false">
      <c r="A12" s="127" t="s">
        <v>352</v>
      </c>
      <c r="B12" s="195" t="n">
        <f aca="false">B16</f>
        <v>9009665</v>
      </c>
    </row>
    <row r="14" customFormat="false" ht="15" hidden="false" customHeight="true" outlineLevel="0" collapsed="false">
      <c r="A14" s="196" t="s">
        <v>440</v>
      </c>
      <c r="B14" s="196"/>
      <c r="C14" s="196"/>
      <c r="D14" s="196"/>
      <c r="E14" s="196"/>
      <c r="F14" s="196"/>
      <c r="G14" s="196"/>
      <c r="H14" s="196"/>
      <c r="I14" s="196"/>
      <c r="J14" s="196"/>
      <c r="K14" s="196"/>
    </row>
    <row r="15" customFormat="false" ht="15" hidden="false" customHeight="true" outlineLevel="0" collapsed="false">
      <c r="B15" s="197" t="s">
        <v>441</v>
      </c>
      <c r="C15" s="197" t="s">
        <v>199</v>
      </c>
      <c r="D15" s="197" t="s">
        <v>200</v>
      </c>
      <c r="E15" s="197" t="s">
        <v>201</v>
      </c>
      <c r="F15" s="197" t="s">
        <v>202</v>
      </c>
      <c r="G15" s="197" t="s">
        <v>203</v>
      </c>
      <c r="H15" s="197" t="s">
        <v>204</v>
      </c>
      <c r="I15" s="197" t="s">
        <v>205</v>
      </c>
      <c r="J15" s="197" t="s">
        <v>206</v>
      </c>
    </row>
    <row r="16" customFormat="false" ht="15" hidden="false" customHeight="true" outlineLevel="0" collapsed="false">
      <c r="A16" s="127" t="s">
        <v>352</v>
      </c>
      <c r="B16" s="195" t="n">
        <f aca="false">C16+D16+E16+F16+G16+H16+I16+J16</f>
        <v>9009665</v>
      </c>
      <c r="C16" s="194" t="n">
        <f aca="false">SUM(C99:K99)</f>
        <v>0</v>
      </c>
      <c r="D16" s="194" t="n">
        <f aca="false">SUM(L99:W99)</f>
        <v>1084381.66</v>
      </c>
      <c r="E16" s="194" t="n">
        <f aca="false">SUM(X99:AI99)</f>
        <v>3698017.39</v>
      </c>
      <c r="F16" s="194" t="n">
        <f aca="false">SUM(AJ99:AU99)</f>
        <v>2427299.01</v>
      </c>
      <c r="G16" s="194" t="n">
        <f aca="false">SUM(AV99:BG99)</f>
        <v>1369332.42</v>
      </c>
      <c r="H16" s="194" t="n">
        <f aca="false">SUM(BH99:BS99)</f>
        <v>430634.52</v>
      </c>
      <c r="I16" s="194" t="n">
        <f aca="false">SUM(BT99:CE99)</f>
        <v>0</v>
      </c>
      <c r="J16" s="194" t="n">
        <f aca="false">SUM(CF99:CH99)</f>
        <v>0</v>
      </c>
    </row>
    <row r="17" customFormat="false" ht="15" hidden="false" customHeight="true" outlineLevel="0" collapsed="false">
      <c r="A17" s="127" t="s">
        <v>442</v>
      </c>
      <c r="B17" s="195" t="n">
        <f aca="false">C17+D17+E17+F17+G17+H17+I17+J17</f>
        <v>-1500039</v>
      </c>
      <c r="C17" s="194" t="n">
        <f aca="false">SUM(C100:K100)</f>
        <v>0</v>
      </c>
      <c r="D17" s="194" t="n">
        <f aca="false">SUM(L100:W100)</f>
        <v>-202088</v>
      </c>
      <c r="E17" s="194" t="n">
        <f aca="false">SUM(X100:AI100)</f>
        <v>-397927</v>
      </c>
      <c r="F17" s="194" t="n">
        <f aca="false">SUM(AJ100:AU100)</f>
        <v>-450012</v>
      </c>
      <c r="G17" s="194" t="n">
        <f aca="false">SUM(AV100:BG100)</f>
        <v>-450012</v>
      </c>
      <c r="H17" s="194" t="n">
        <f aca="false">SUM(BH100:BS100)</f>
        <v>0</v>
      </c>
      <c r="I17" s="194" t="n">
        <f aca="false">SUM(BT100:CE100)</f>
        <v>0</v>
      </c>
      <c r="J17" s="194" t="n">
        <f aca="false">SUM(CF100:CH100)</f>
        <v>0</v>
      </c>
    </row>
    <row r="18" customFormat="false" ht="15" hidden="false" customHeight="true" outlineLevel="0" collapsed="false">
      <c r="A18" s="127" t="s">
        <v>443</v>
      </c>
      <c r="B18" s="195" t="n">
        <f aca="false">C18+D18+E18+F18+G18+H18+I18+J18</f>
        <v>-456000</v>
      </c>
      <c r="C18" s="194" t="n">
        <f aca="false">SUM(C101:K101)</f>
        <v>0</v>
      </c>
      <c r="D18" s="194" t="n">
        <f aca="false">SUM(L101:W101)</f>
        <v>-114000</v>
      </c>
      <c r="E18" s="194" t="n">
        <f aca="false">SUM(X101:AI101)</f>
        <v>-114000</v>
      </c>
      <c r="F18" s="194" t="n">
        <f aca="false">SUM(AJ101:AU101)</f>
        <v>-114000</v>
      </c>
      <c r="G18" s="194" t="n">
        <f aca="false">SUM(AV101:BG101)</f>
        <v>-114000</v>
      </c>
      <c r="H18" s="194" t="n">
        <f aca="false">SUM(BH101:BS101)</f>
        <v>0</v>
      </c>
      <c r="I18" s="194" t="n">
        <f aca="false">SUM(BT101:CE101)</f>
        <v>0</v>
      </c>
      <c r="J18" s="194" t="n">
        <f aca="false">SUM(CF101:CH101)</f>
        <v>0</v>
      </c>
    </row>
    <row r="19" customFormat="false" ht="15" hidden="false" customHeight="true" outlineLevel="0" collapsed="false">
      <c r="A19" s="198" t="s">
        <v>444</v>
      </c>
      <c r="B19" s="199" t="n">
        <f aca="false">C19+D19+E19+F19+G19+H19+I19+J19</f>
        <v>7053626</v>
      </c>
      <c r="C19" s="199" t="n">
        <f aca="false">SUM(C102:K102)</f>
        <v>0</v>
      </c>
      <c r="D19" s="199" t="n">
        <f aca="false">SUM(L102:W102)</f>
        <v>768293.66</v>
      </c>
      <c r="E19" s="199" t="n">
        <f aca="false">SUM(X102:AI102)</f>
        <v>3186090.39</v>
      </c>
      <c r="F19" s="199" t="n">
        <f aca="false">SUM(AJ102:AU102)</f>
        <v>1863287.01</v>
      </c>
      <c r="G19" s="199" t="n">
        <f aca="false">SUM(AV102:BG102)</f>
        <v>805320.42</v>
      </c>
      <c r="H19" s="199" t="n">
        <f aca="false">SUM(BH102:BS102)</f>
        <v>430634.52</v>
      </c>
      <c r="I19" s="199" t="n">
        <f aca="false">SUM(BT102:CE102)</f>
        <v>0</v>
      </c>
      <c r="J19" s="199" t="n">
        <f aca="false">SUM(CF102:CH102)</f>
        <v>0</v>
      </c>
    </row>
    <row r="20" customFormat="false" ht="15" hidden="false" customHeight="true" outlineLevel="0" collapsed="false">
      <c r="A20" s="127" t="s">
        <v>445</v>
      </c>
      <c r="B20" s="195" t="n">
        <f aca="false">C20+D20+E20+F20+G20+H20+I20+J20</f>
        <v>563192.617</v>
      </c>
      <c r="C20" s="194" t="n">
        <f aca="false">SUM(C103:K103)</f>
        <v>0</v>
      </c>
      <c r="D20" s="194" t="n">
        <f aca="false">SUM(L103:W103)</f>
        <v>93581.82</v>
      </c>
      <c r="E20" s="194" t="n">
        <f aca="false">SUM(X103:AI103)</f>
        <v>150000</v>
      </c>
      <c r="F20" s="194" t="n">
        <f aca="false">SUM(AJ103:AU103)</f>
        <v>148450.302</v>
      </c>
      <c r="G20" s="194" t="n">
        <f aca="false">SUM(AV103:BG103)</f>
        <v>136933.242</v>
      </c>
      <c r="H20" s="194" t="n">
        <f aca="false">SUM(BH103:BS103)</f>
        <v>34227.253</v>
      </c>
      <c r="I20" s="194" t="n">
        <f aca="false">SUM(BT103:CE103)</f>
        <v>0</v>
      </c>
      <c r="J20" s="194" t="n">
        <f aca="false">SUM(CF103:CH103)</f>
        <v>0</v>
      </c>
    </row>
    <row r="21" customFormat="false" ht="15" hidden="false" customHeight="true" outlineLevel="0" collapsed="false">
      <c r="A21" s="198" t="s">
        <v>446</v>
      </c>
      <c r="B21" s="199" t="n">
        <f aca="false">C21+D21+E21+F21+G21+H21+I21+J21</f>
        <v>6490433.383</v>
      </c>
      <c r="C21" s="199" t="n">
        <f aca="false">SUM(C104:K104)</f>
        <v>0</v>
      </c>
      <c r="D21" s="199" t="n">
        <f aca="false">SUM(L104:W104)</f>
        <v>674711.84</v>
      </c>
      <c r="E21" s="199" t="n">
        <f aca="false">SUM(X104:AI104)</f>
        <v>3036090.39</v>
      </c>
      <c r="F21" s="199" t="n">
        <f aca="false">SUM(AJ104:AU104)</f>
        <v>1714836.708</v>
      </c>
      <c r="G21" s="199" t="n">
        <f aca="false">SUM(AV104:BG104)</f>
        <v>668387.178</v>
      </c>
      <c r="H21" s="199" t="n">
        <f aca="false">SUM(BH104:BS104)</f>
        <v>396407.267</v>
      </c>
      <c r="I21" s="199" t="n">
        <f aca="false">SUM(BT104:CE104)</f>
        <v>0</v>
      </c>
      <c r="J21" s="199" t="n">
        <f aca="false">SUM(CF104:CH104)</f>
        <v>0</v>
      </c>
    </row>
    <row r="22" customFormat="false" ht="15" hidden="false" customHeight="true" outlineLevel="0" collapsed="false">
      <c r="A22" s="127" t="s">
        <v>447</v>
      </c>
      <c r="B22" s="195" t="n">
        <f aca="false">C22+D22+E22+F22+G22+H22+I22+J22</f>
        <v>2951665.926</v>
      </c>
      <c r="C22" s="194" t="n">
        <f aca="false">SUM(C105:K105)</f>
        <v>0</v>
      </c>
      <c r="D22" s="194" t="n">
        <f aca="false">SUM(L105:W105)</f>
        <v>269884.736</v>
      </c>
      <c r="E22" s="194" t="n">
        <f aca="false">SUM(X105:AI105)</f>
        <v>1335772.732</v>
      </c>
      <c r="F22" s="194" t="n">
        <f aca="false">SUM(AJ105:AU105)</f>
        <v>813611.2355</v>
      </c>
      <c r="G22" s="194" t="n">
        <f aca="false">SUM(AV105:BG105)</f>
        <v>334193.589</v>
      </c>
      <c r="H22" s="194" t="n">
        <f aca="false">SUM(BH105:BS105)</f>
        <v>198203.6335</v>
      </c>
      <c r="I22" s="194" t="n">
        <f aca="false">SUM(BT105:CE105)</f>
        <v>0</v>
      </c>
      <c r="J22" s="194" t="n">
        <f aca="false">SUM(CF105:CH105)</f>
        <v>0</v>
      </c>
    </row>
    <row r="23" customFormat="false" ht="15" hidden="false" customHeight="true" outlineLevel="0" collapsed="false">
      <c r="A23" s="127" t="s">
        <v>448</v>
      </c>
      <c r="B23" s="195" t="n">
        <f aca="false">C23+D23+E23+F23+G23+H23+I23+J23</f>
        <v>3538767.457</v>
      </c>
      <c r="C23" s="194" t="n">
        <f aca="false">SUM(C106:K106)</f>
        <v>0</v>
      </c>
      <c r="D23" s="194" t="n">
        <f aca="false">SUM(L106:W106)</f>
        <v>404827.104</v>
      </c>
      <c r="E23" s="194" t="n">
        <f aca="false">SUM(X106:AI106)</f>
        <v>1700317.658</v>
      </c>
      <c r="F23" s="194" t="n">
        <f aca="false">SUM(AJ106:AU106)</f>
        <v>901225.4725</v>
      </c>
      <c r="G23" s="194" t="n">
        <f aca="false">SUM(AV106:BG106)</f>
        <v>334193.589</v>
      </c>
      <c r="H23" s="194" t="n">
        <f aca="false">SUM(BH106:BS106)</f>
        <v>198203.6335</v>
      </c>
      <c r="I23" s="194" t="n">
        <f aca="false">SUM(BT106:CE106)</f>
        <v>0</v>
      </c>
      <c r="J23" s="194" t="n">
        <f aca="false">SUM(CF106:CH106)</f>
        <v>0</v>
      </c>
    </row>
    <row r="24" customFormat="false" ht="15" hidden="false" customHeight="true" outlineLevel="0" collapsed="false">
      <c r="A24" s="200" t="s">
        <v>449</v>
      </c>
      <c r="B24" s="201" t="n">
        <f aca="false">C24+D24+E24+F24+G24+H24+I24+J24</f>
        <v>4101960.074</v>
      </c>
      <c r="C24" s="201" t="n">
        <f aca="false">SUM(C107:K107)</f>
        <v>0</v>
      </c>
      <c r="D24" s="201" t="n">
        <f aca="false">SUM(L107:W107)</f>
        <v>498408.924</v>
      </c>
      <c r="E24" s="201" t="n">
        <f aca="false">SUM(X107:AI107)</f>
        <v>1850317.658</v>
      </c>
      <c r="F24" s="201" t="n">
        <f aca="false">SUM(AJ107:AU107)</f>
        <v>1049675.7745</v>
      </c>
      <c r="G24" s="201" t="n">
        <f aca="false">SUM(AV107:BG107)</f>
        <v>471126.831</v>
      </c>
      <c r="H24" s="201" t="n">
        <f aca="false">SUM(BH107:BS107)</f>
        <v>232430.8865</v>
      </c>
      <c r="I24" s="201" t="n">
        <f aca="false">SUM(BT107:CE107)</f>
        <v>0</v>
      </c>
      <c r="J24" s="201" t="n">
        <f aca="false">SUM(CF107:CH107)</f>
        <v>0</v>
      </c>
    </row>
    <row r="26" customFormat="false" ht="15" hidden="false" customHeight="true" outlineLevel="0" collapsed="false">
      <c r="A26" s="202" t="s">
        <v>450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</row>
    <row r="27" customFormat="false" ht="15" hidden="false" customHeight="true" outlineLevel="0" collapsed="false">
      <c r="A27" s="203" t="s">
        <v>451</v>
      </c>
      <c r="B27" s="203" t="s">
        <v>452</v>
      </c>
      <c r="C27" s="203" t="s">
        <v>453</v>
      </c>
      <c r="D27" s="203" t="s">
        <v>437</v>
      </c>
      <c r="E27" s="203" t="s">
        <v>454</v>
      </c>
    </row>
    <row r="28" customFormat="false" ht="15" hidden="false" customHeight="true" outlineLevel="0" collapsed="false">
      <c r="A28" s="127" t="s">
        <v>455</v>
      </c>
      <c r="B28" s="193" t="n">
        <v>6</v>
      </c>
      <c r="C28" s="127" t="s">
        <v>456</v>
      </c>
      <c r="D28" s="194" t="n">
        <v>1400000</v>
      </c>
      <c r="E28" s="204" t="s">
        <v>457</v>
      </c>
    </row>
    <row r="29" customFormat="false" ht="15" hidden="false" customHeight="true" outlineLevel="0" collapsed="false">
      <c r="A29" s="127" t="s">
        <v>458</v>
      </c>
      <c r="B29" s="193" t="n">
        <v>18</v>
      </c>
      <c r="C29" s="127" t="s">
        <v>459</v>
      </c>
      <c r="D29" s="194" t="n">
        <v>1400000</v>
      </c>
      <c r="E29" s="204" t="s">
        <v>460</v>
      </c>
    </row>
    <row r="30" customFormat="false" ht="15" hidden="false" customHeight="true" outlineLevel="0" collapsed="false">
      <c r="A30" s="127" t="s">
        <v>461</v>
      </c>
      <c r="B30" s="193" t="n">
        <v>18</v>
      </c>
      <c r="C30" s="127" t="s">
        <v>462</v>
      </c>
      <c r="D30" s="194" t="n">
        <v>1400000</v>
      </c>
      <c r="E30" s="204" t="s">
        <v>463</v>
      </c>
    </row>
    <row r="31" customFormat="false" ht="15" hidden="false" customHeight="true" outlineLevel="0" collapsed="false">
      <c r="A31" s="127" t="s">
        <v>464</v>
      </c>
      <c r="B31" s="193" t="n">
        <v>18</v>
      </c>
      <c r="C31" s="127" t="s">
        <v>465</v>
      </c>
      <c r="D31" s="194" t="n">
        <v>1400000</v>
      </c>
      <c r="E31" s="204" t="s">
        <v>466</v>
      </c>
    </row>
    <row r="32" customFormat="false" ht="15" hidden="false" customHeight="true" outlineLevel="0" collapsed="false">
      <c r="A32" s="203" t="s">
        <v>441</v>
      </c>
      <c r="B32" s="205" t="n">
        <v>60</v>
      </c>
      <c r="C32" s="203" t="s">
        <v>467</v>
      </c>
      <c r="D32" s="206" t="n">
        <v>1400000</v>
      </c>
    </row>
    <row r="34" customFormat="false" ht="15" hidden="false" customHeight="true" outlineLevel="0" collapsed="false">
      <c r="A34" s="207" t="s">
        <v>468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</row>
    <row r="35" customFormat="false" ht="15" hidden="false" customHeight="true" outlineLevel="0" collapsed="false">
      <c r="A35" s="208" t="s">
        <v>469</v>
      </c>
      <c r="B35" s="208" t="s">
        <v>470</v>
      </c>
      <c r="C35" s="208" t="s">
        <v>471</v>
      </c>
      <c r="D35" s="208" t="s">
        <v>472</v>
      </c>
      <c r="E35" s="208" t="s">
        <v>473</v>
      </c>
      <c r="F35" s="208" t="s">
        <v>474</v>
      </c>
    </row>
    <row r="36" customFormat="false" ht="15" hidden="false" customHeight="true" outlineLevel="0" collapsed="false">
      <c r="A36" s="127" t="s">
        <v>475</v>
      </c>
      <c r="B36" s="127" t="s">
        <v>476</v>
      </c>
      <c r="C36" s="127" t="s">
        <v>477</v>
      </c>
      <c r="D36" s="194" t="n">
        <v>14000</v>
      </c>
      <c r="E36" s="194" t="n">
        <v>840000</v>
      </c>
      <c r="F36" s="209" t="s">
        <v>478</v>
      </c>
    </row>
    <row r="37" customFormat="false" ht="15" hidden="false" customHeight="true" outlineLevel="0" collapsed="false">
      <c r="A37" s="127" t="s">
        <v>479</v>
      </c>
      <c r="B37" s="127" t="s">
        <v>480</v>
      </c>
      <c r="C37" s="127" t="s">
        <v>481</v>
      </c>
      <c r="D37" s="194" t="n">
        <v>96563</v>
      </c>
      <c r="E37" s="194" t="n">
        <v>5793808</v>
      </c>
      <c r="F37" s="209" t="s">
        <v>482</v>
      </c>
    </row>
    <row r="38" customFormat="false" ht="15" hidden="false" customHeight="true" outlineLevel="0" collapsed="false">
      <c r="A38" s="127" t="s">
        <v>483</v>
      </c>
      <c r="B38" s="127" t="s">
        <v>484</v>
      </c>
      <c r="C38" s="127" t="s">
        <v>485</v>
      </c>
      <c r="D38" s="194" t="n">
        <v>5400</v>
      </c>
      <c r="E38" s="194" t="n">
        <v>324000</v>
      </c>
      <c r="F38" s="209" t="s">
        <v>486</v>
      </c>
    </row>
    <row r="39" customFormat="false" ht="15" hidden="false" customHeight="true" outlineLevel="0" collapsed="false">
      <c r="A39" s="127" t="s">
        <v>487</v>
      </c>
      <c r="B39" s="127" t="s">
        <v>476</v>
      </c>
      <c r="C39" s="127" t="s">
        <v>488</v>
      </c>
      <c r="D39" s="194" t="n">
        <v>34198</v>
      </c>
      <c r="E39" s="194" t="n">
        <v>2051858</v>
      </c>
      <c r="F39" s="209" t="s">
        <v>489</v>
      </c>
    </row>
    <row r="40" customFormat="false" ht="15" hidden="false" customHeight="true" outlineLevel="0" collapsed="false">
      <c r="A40" s="208" t="s">
        <v>352</v>
      </c>
      <c r="D40" s="210" t="n">
        <v>150161</v>
      </c>
      <c r="E40" s="210" t="n">
        <v>9009665</v>
      </c>
    </row>
    <row r="42" customFormat="false" ht="15" hidden="false" customHeight="true" outlineLevel="0" collapsed="false">
      <c r="A42" s="211" t="s">
        <v>490</v>
      </c>
      <c r="B42" s="211"/>
      <c r="C42" s="211"/>
      <c r="D42" s="211"/>
      <c r="E42" s="211"/>
      <c r="F42" s="211"/>
      <c r="G42" s="211"/>
      <c r="H42" s="211"/>
      <c r="I42" s="211"/>
      <c r="J42" s="211"/>
      <c r="K42" s="211"/>
    </row>
    <row r="43" customFormat="false" ht="15" hidden="false" customHeight="true" outlineLevel="0" collapsed="false">
      <c r="A43" s="212" t="s">
        <v>362</v>
      </c>
      <c r="B43" s="212" t="s">
        <v>491</v>
      </c>
      <c r="C43" s="212" t="s">
        <v>492</v>
      </c>
      <c r="D43" s="212" t="s">
        <v>493</v>
      </c>
      <c r="E43" s="212" t="s">
        <v>494</v>
      </c>
      <c r="F43" s="212" t="s">
        <v>495</v>
      </c>
      <c r="G43" s="212" t="s">
        <v>496</v>
      </c>
    </row>
    <row r="44" customFormat="false" ht="15" hidden="false" customHeight="true" outlineLevel="0" collapsed="false">
      <c r="A44" s="127" t="s">
        <v>497</v>
      </c>
      <c r="B44" s="194" t="n">
        <v>125000</v>
      </c>
      <c r="C44" s="194" t="n">
        <v>10417</v>
      </c>
      <c r="D44" s="127" t="s">
        <v>498</v>
      </c>
      <c r="E44" s="127" t="s">
        <v>499</v>
      </c>
      <c r="F44" s="127" t="n">
        <v>47</v>
      </c>
      <c r="G44" s="194" t="n">
        <f aca="false">C44*F44</f>
        <v>489599</v>
      </c>
    </row>
    <row r="45" customFormat="false" ht="15" hidden="false" customHeight="true" outlineLevel="0" collapsed="false">
      <c r="A45" s="127" t="s">
        <v>390</v>
      </c>
      <c r="B45" s="194" t="n">
        <v>90000</v>
      </c>
      <c r="C45" s="194" t="n">
        <v>7500</v>
      </c>
      <c r="D45" s="127" t="s">
        <v>500</v>
      </c>
      <c r="E45" s="127" t="s">
        <v>499</v>
      </c>
      <c r="F45" s="127" t="n">
        <v>44</v>
      </c>
      <c r="G45" s="194" t="n">
        <f aca="false">C45*F45</f>
        <v>330000</v>
      </c>
    </row>
    <row r="46" customFormat="false" ht="15" hidden="false" customHeight="true" outlineLevel="0" collapsed="false">
      <c r="A46" s="127" t="s">
        <v>501</v>
      </c>
      <c r="B46" s="194" t="n">
        <v>110000</v>
      </c>
      <c r="C46" s="194" t="n">
        <v>9167</v>
      </c>
      <c r="D46" s="127" t="s">
        <v>502</v>
      </c>
      <c r="E46" s="127" t="s">
        <v>499</v>
      </c>
      <c r="F46" s="127" t="n">
        <v>39</v>
      </c>
      <c r="G46" s="194" t="n">
        <f aca="false">C46*F46</f>
        <v>357513</v>
      </c>
    </row>
    <row r="47" customFormat="false" ht="15" hidden="false" customHeight="true" outlineLevel="0" collapsed="false">
      <c r="A47" s="127" t="s">
        <v>503</v>
      </c>
      <c r="B47" s="194" t="n">
        <v>125000</v>
      </c>
      <c r="C47" s="194" t="n">
        <v>10417</v>
      </c>
      <c r="D47" s="127" t="s">
        <v>504</v>
      </c>
      <c r="E47" s="127" t="s">
        <v>499</v>
      </c>
      <c r="F47" s="127" t="n">
        <v>31</v>
      </c>
      <c r="G47" s="194" t="n">
        <f aca="false">C47*F47</f>
        <v>322927</v>
      </c>
    </row>
    <row r="48" customFormat="false" ht="15" hidden="false" customHeight="true" outlineLevel="0" collapsed="false">
      <c r="A48" s="212" t="s">
        <v>505</v>
      </c>
      <c r="G48" s="213" t="n">
        <f aca="false">SUM(G44:G47)</f>
        <v>1500039</v>
      </c>
    </row>
    <row r="50" customFormat="false" ht="15" hidden="false" customHeight="true" outlineLevel="0" collapsed="false">
      <c r="A50" s="214" t="s">
        <v>506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14"/>
    </row>
    <row r="51" customFormat="false" ht="15" hidden="false" customHeight="true" outlineLevel="0" collapsed="false">
      <c r="A51" s="215" t="s">
        <v>507</v>
      </c>
      <c r="B51" s="215" t="s">
        <v>508</v>
      </c>
      <c r="C51" s="215" t="s">
        <v>492</v>
      </c>
      <c r="D51" s="215" t="s">
        <v>509</v>
      </c>
      <c r="E51" s="215" t="s">
        <v>441</v>
      </c>
    </row>
    <row r="52" customFormat="false" ht="15" hidden="false" customHeight="true" outlineLevel="0" collapsed="false">
      <c r="A52" s="127" t="s">
        <v>510</v>
      </c>
      <c r="B52" s="194" t="n">
        <v>40000</v>
      </c>
      <c r="C52" s="194" t="n">
        <v>3333</v>
      </c>
      <c r="D52" s="127" t="n">
        <v>4</v>
      </c>
      <c r="E52" s="194" t="n">
        <v>160000</v>
      </c>
    </row>
    <row r="53" customFormat="false" ht="15" hidden="false" customHeight="true" outlineLevel="0" collapsed="false">
      <c r="A53" s="127" t="s">
        <v>511</v>
      </c>
      <c r="B53" s="194" t="n">
        <v>20000</v>
      </c>
      <c r="C53" s="194" t="n">
        <v>1667</v>
      </c>
      <c r="D53" s="127" t="n">
        <v>4</v>
      </c>
      <c r="E53" s="194" t="n">
        <v>80000</v>
      </c>
    </row>
    <row r="54" customFormat="false" ht="15" hidden="false" customHeight="true" outlineLevel="0" collapsed="false">
      <c r="A54" s="127" t="s">
        <v>512</v>
      </c>
      <c r="B54" s="194" t="n">
        <v>30000</v>
      </c>
      <c r="C54" s="194" t="n">
        <v>2500</v>
      </c>
      <c r="D54" s="127" t="n">
        <v>4</v>
      </c>
      <c r="E54" s="194" t="n">
        <v>120000</v>
      </c>
    </row>
    <row r="55" customFormat="false" ht="15" hidden="false" customHeight="true" outlineLevel="0" collapsed="false">
      <c r="A55" s="127" t="s">
        <v>513</v>
      </c>
      <c r="B55" s="194" t="n">
        <v>24000</v>
      </c>
      <c r="C55" s="194" t="n">
        <v>2000</v>
      </c>
      <c r="D55" s="127" t="n">
        <v>4</v>
      </c>
      <c r="E55" s="194" t="n">
        <v>96000</v>
      </c>
    </row>
    <row r="56" customFormat="false" ht="15" hidden="false" customHeight="true" outlineLevel="0" collapsed="false">
      <c r="A56" s="215" t="s">
        <v>514</v>
      </c>
      <c r="E56" s="216" t="n">
        <v>456000</v>
      </c>
    </row>
    <row r="57" customFormat="false" ht="15" hidden="false" customHeight="true" outlineLevel="0" collapsed="false">
      <c r="A57" s="217" t="s">
        <v>515</v>
      </c>
    </row>
    <row r="59" customFormat="false" ht="15" hidden="false" customHeight="true" outlineLevel="0" collapsed="false">
      <c r="A59" s="218" t="s">
        <v>516</v>
      </c>
      <c r="B59" s="218"/>
      <c r="C59" s="218"/>
      <c r="D59" s="218"/>
      <c r="E59" s="218"/>
      <c r="F59" s="218"/>
      <c r="G59" s="218"/>
      <c r="H59" s="218"/>
      <c r="I59" s="218"/>
      <c r="J59" s="218"/>
      <c r="K59" s="218"/>
    </row>
    <row r="60" customFormat="false" ht="15" hidden="false" customHeight="true" outlineLevel="0" collapsed="false">
      <c r="A60" s="127" t="s">
        <v>517</v>
      </c>
      <c r="B60" s="194" t="n">
        <f aca="false">B16</f>
        <v>9009665</v>
      </c>
    </row>
    <row r="61" customFormat="false" ht="15" hidden="false" customHeight="true" outlineLevel="0" collapsed="false">
      <c r="A61" s="127" t="s">
        <v>442</v>
      </c>
      <c r="B61" s="194" t="n">
        <f aca="false">B17</f>
        <v>-1500039</v>
      </c>
    </row>
    <row r="62" customFormat="false" ht="15" hidden="false" customHeight="true" outlineLevel="0" collapsed="false">
      <c r="A62" s="127" t="s">
        <v>443</v>
      </c>
      <c r="B62" s="194" t="n">
        <f aca="false">B18</f>
        <v>-456000</v>
      </c>
    </row>
    <row r="63" customFormat="false" ht="15" hidden="false" customHeight="true" outlineLevel="0" collapsed="false">
      <c r="A63" s="203" t="s">
        <v>444</v>
      </c>
      <c r="B63" s="206" t="n">
        <f aca="false">B60+B61+B62</f>
        <v>7053626</v>
      </c>
    </row>
    <row r="64" customFormat="false" ht="15" hidden="false" customHeight="true" outlineLevel="0" collapsed="false">
      <c r="A64" s="127" t="s">
        <v>518</v>
      </c>
      <c r="B64" s="194" t="n">
        <f aca="false">-B20</f>
        <v>-563192.617</v>
      </c>
    </row>
    <row r="65" customFormat="false" ht="15" hidden="false" customHeight="true" outlineLevel="0" collapsed="false">
      <c r="A65" s="203" t="s">
        <v>446</v>
      </c>
      <c r="B65" s="206" t="n">
        <f aca="false">B63+B64</f>
        <v>6490433.383</v>
      </c>
    </row>
    <row r="66" customFormat="false" ht="15" hidden="false" customHeight="true" outlineLevel="0" collapsed="false">
      <c r="A66" s="127" t="s">
        <v>519</v>
      </c>
      <c r="B66" s="194" t="n">
        <f aca="false">-B22</f>
        <v>-2951665.926</v>
      </c>
    </row>
    <row r="67" customFormat="false" ht="15" hidden="false" customHeight="true" outlineLevel="0" collapsed="false">
      <c r="A67" s="203" t="s">
        <v>448</v>
      </c>
      <c r="B67" s="206" t="n">
        <f aca="false">B65+B66</f>
        <v>3538767.457</v>
      </c>
    </row>
    <row r="68" customFormat="false" ht="15" hidden="false" customHeight="true" outlineLevel="0" collapsed="false">
      <c r="A68" s="127" t="s">
        <v>445</v>
      </c>
      <c r="B68" s="194" t="n">
        <f aca="false">B20</f>
        <v>563192.617</v>
      </c>
    </row>
    <row r="69" customFormat="false" ht="15" hidden="false" customHeight="true" outlineLevel="0" collapsed="false">
      <c r="A69" s="203" t="s">
        <v>449</v>
      </c>
      <c r="B69" s="206" t="n">
        <f aca="false">B67+B68</f>
        <v>4101960.074</v>
      </c>
    </row>
    <row r="71" customFormat="false" ht="15" hidden="false" customHeight="true" outlineLevel="0" collapsed="false">
      <c r="A71" s="207" t="s">
        <v>520</v>
      </c>
      <c r="B71" s="207"/>
      <c r="C71" s="207"/>
      <c r="D71" s="207"/>
      <c r="E71" s="207"/>
      <c r="F71" s="207"/>
      <c r="G71" s="207"/>
      <c r="H71" s="207"/>
      <c r="I71" s="207"/>
      <c r="J71" s="207"/>
      <c r="K71" s="207"/>
    </row>
    <row r="72" customFormat="false" ht="15" hidden="false" customHeight="true" outlineLevel="0" collapsed="false">
      <c r="A72" s="208" t="s">
        <v>361</v>
      </c>
      <c r="B72" s="208" t="s">
        <v>362</v>
      </c>
      <c r="C72" s="208" t="s">
        <v>521</v>
      </c>
    </row>
    <row r="73" customFormat="false" ht="31.5" hidden="false" customHeight="true" outlineLevel="0" collapsed="false">
      <c r="A73" s="105" t="s">
        <v>421</v>
      </c>
      <c r="B73" s="127" t="s">
        <v>522</v>
      </c>
      <c r="C73" s="219" t="s">
        <v>523</v>
      </c>
      <c r="D73" s="219"/>
      <c r="E73" s="219"/>
      <c r="F73" s="219"/>
      <c r="G73" s="219"/>
    </row>
    <row r="74" customFormat="false" ht="31.5" hidden="false" customHeight="true" outlineLevel="0" collapsed="false">
      <c r="A74" s="105" t="s">
        <v>414</v>
      </c>
      <c r="B74" s="127" t="s">
        <v>524</v>
      </c>
      <c r="C74" s="219" t="s">
        <v>525</v>
      </c>
      <c r="D74" s="219"/>
      <c r="E74" s="219"/>
      <c r="F74" s="219"/>
      <c r="G74" s="219"/>
    </row>
    <row r="75" customFormat="false" ht="31.5" hidden="false" customHeight="true" outlineLevel="0" collapsed="false">
      <c r="A75" s="105" t="s">
        <v>423</v>
      </c>
      <c r="B75" s="127" t="s">
        <v>526</v>
      </c>
      <c r="C75" s="219" t="s">
        <v>527</v>
      </c>
      <c r="D75" s="219"/>
      <c r="E75" s="219"/>
      <c r="F75" s="219"/>
      <c r="G75" s="219"/>
    </row>
    <row r="76" customFormat="false" ht="31.5" hidden="false" customHeight="true" outlineLevel="0" collapsed="false">
      <c r="A76" s="105" t="s">
        <v>427</v>
      </c>
      <c r="B76" s="127" t="s">
        <v>528</v>
      </c>
      <c r="C76" s="219" t="s">
        <v>529</v>
      </c>
      <c r="D76" s="219"/>
      <c r="E76" s="219"/>
      <c r="F76" s="219"/>
      <c r="G76" s="219"/>
    </row>
    <row r="77" customFormat="false" ht="31.5" hidden="false" customHeight="true" outlineLevel="0" collapsed="false">
      <c r="A77" s="105" t="s">
        <v>425</v>
      </c>
      <c r="B77" s="127" t="s">
        <v>528</v>
      </c>
      <c r="C77" s="219" t="s">
        <v>530</v>
      </c>
      <c r="D77" s="219"/>
      <c r="E77" s="219"/>
      <c r="F77" s="219"/>
      <c r="G77" s="219"/>
    </row>
    <row r="78" customFormat="false" ht="31.5" hidden="false" customHeight="true" outlineLevel="0" collapsed="false">
      <c r="A78" s="105" t="s">
        <v>419</v>
      </c>
      <c r="B78" s="127" t="s">
        <v>531</v>
      </c>
      <c r="C78" s="219" t="s">
        <v>532</v>
      </c>
      <c r="D78" s="219"/>
      <c r="E78" s="219"/>
      <c r="F78" s="219"/>
      <c r="G78" s="219"/>
    </row>
    <row r="80" customFormat="false" ht="15" hidden="false" customHeight="true" outlineLevel="0" collapsed="false">
      <c r="A80" s="220" t="s">
        <v>533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</row>
    <row r="81" customFormat="false" ht="27.75" hidden="false" customHeight="true" outlineLevel="0" collapsed="false">
      <c r="A81" s="105" t="s">
        <v>534</v>
      </c>
      <c r="B81" s="219" t="s">
        <v>535</v>
      </c>
      <c r="C81" s="219"/>
      <c r="D81" s="219"/>
      <c r="E81" s="219"/>
      <c r="F81" s="219"/>
      <c r="G81" s="219"/>
    </row>
    <row r="82" customFormat="false" ht="27.75" hidden="false" customHeight="true" outlineLevel="0" collapsed="false">
      <c r="A82" s="105" t="s">
        <v>536</v>
      </c>
      <c r="B82" s="219" t="s">
        <v>537</v>
      </c>
      <c r="C82" s="219"/>
      <c r="D82" s="219"/>
      <c r="E82" s="219"/>
      <c r="F82" s="219"/>
      <c r="G82" s="219"/>
    </row>
    <row r="83" customFormat="false" ht="27.75" hidden="false" customHeight="true" outlineLevel="0" collapsed="false">
      <c r="A83" s="105" t="s">
        <v>538</v>
      </c>
      <c r="B83" s="219" t="s">
        <v>539</v>
      </c>
      <c r="C83" s="219"/>
      <c r="D83" s="219"/>
      <c r="E83" s="219"/>
      <c r="F83" s="219"/>
      <c r="G83" s="219"/>
    </row>
    <row r="84" customFormat="false" ht="27.75" hidden="false" customHeight="true" outlineLevel="0" collapsed="false">
      <c r="A84" s="105" t="s">
        <v>540</v>
      </c>
      <c r="B84" s="219" t="s">
        <v>541</v>
      </c>
      <c r="C84" s="219"/>
      <c r="D84" s="219"/>
      <c r="E84" s="219"/>
      <c r="F84" s="219"/>
      <c r="G84" s="219"/>
    </row>
    <row r="85" customFormat="false" ht="27.75" hidden="false" customHeight="true" outlineLevel="0" collapsed="false">
      <c r="A85" s="105" t="s">
        <v>542</v>
      </c>
      <c r="B85" s="219" t="s">
        <v>543</v>
      </c>
      <c r="C85" s="219"/>
      <c r="D85" s="219"/>
      <c r="E85" s="219"/>
      <c r="F85" s="219"/>
      <c r="G85" s="219"/>
    </row>
    <row r="86" customFormat="false" ht="27.75" hidden="false" customHeight="true" outlineLevel="0" collapsed="false">
      <c r="A86" s="105" t="s">
        <v>544</v>
      </c>
      <c r="B86" s="219" t="s">
        <v>545</v>
      </c>
      <c r="C86" s="219"/>
      <c r="D86" s="219"/>
      <c r="E86" s="219"/>
      <c r="F86" s="219"/>
      <c r="G86" s="219"/>
    </row>
    <row r="87" customFormat="false" ht="27.75" hidden="false" customHeight="true" outlineLevel="0" collapsed="false">
      <c r="A87" s="105" t="s">
        <v>546</v>
      </c>
      <c r="B87" s="219" t="s">
        <v>547</v>
      </c>
      <c r="C87" s="219"/>
      <c r="D87" s="219"/>
      <c r="E87" s="219"/>
      <c r="F87" s="219"/>
      <c r="G87" s="219"/>
    </row>
    <row r="88" customFormat="false" ht="27.75" hidden="false" customHeight="true" outlineLevel="0" collapsed="false">
      <c r="A88" s="105" t="s">
        <v>548</v>
      </c>
      <c r="B88" s="219" t="s">
        <v>549</v>
      </c>
      <c r="C88" s="219"/>
      <c r="D88" s="219"/>
      <c r="E88" s="219"/>
      <c r="F88" s="219"/>
      <c r="G88" s="219"/>
    </row>
    <row r="89" customFormat="false" ht="27.75" hidden="false" customHeight="true" outlineLevel="0" collapsed="false">
      <c r="A89" s="105" t="s">
        <v>550</v>
      </c>
      <c r="B89" s="219" t="s">
        <v>551</v>
      </c>
      <c r="C89" s="219"/>
      <c r="D89" s="219"/>
      <c r="E89" s="219"/>
      <c r="F89" s="219"/>
      <c r="G89" s="219"/>
    </row>
    <row r="90" customFormat="false" ht="27.75" hidden="false" customHeight="true" outlineLevel="0" collapsed="false">
      <c r="A90" s="105" t="s">
        <v>552</v>
      </c>
      <c r="B90" s="219" t="s">
        <v>553</v>
      </c>
      <c r="C90" s="219"/>
      <c r="D90" s="219"/>
      <c r="E90" s="219"/>
      <c r="F90" s="219"/>
      <c r="G90" s="219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02" t="s">
        <v>556</v>
      </c>
      <c r="B93" s="202"/>
      <c r="C93" s="202"/>
      <c r="D93" s="202"/>
      <c r="E93" s="202"/>
      <c r="F93" s="202"/>
      <c r="G93" s="202"/>
      <c r="H93" s="202"/>
      <c r="I93" s="202"/>
      <c r="J93" s="202"/>
      <c r="K93" s="202"/>
    </row>
    <row r="94" customFormat="false" ht="15" hidden="false" customHeight="true" outlineLevel="0" collapsed="false">
      <c r="A94" s="127" t="s">
        <v>557</v>
      </c>
      <c r="B94" s="221" t="n">
        <v>0.1</v>
      </c>
    </row>
    <row r="95" customFormat="false" ht="15" hidden="false" customHeight="true" outlineLevel="0" collapsed="false">
      <c r="A95" s="127" t="s">
        <v>558</v>
      </c>
      <c r="B95" s="221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18" t="s">
        <v>561</v>
      </c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07" t="n">
        <v>1</v>
      </c>
      <c r="D98" s="107" t="n">
        <v>2</v>
      </c>
      <c r="E98" s="107" t="n">
        <v>3</v>
      </c>
      <c r="F98" s="107" t="n">
        <v>4</v>
      </c>
      <c r="G98" s="107" t="n">
        <v>5</v>
      </c>
      <c r="H98" s="107" t="n">
        <v>6</v>
      </c>
      <c r="I98" s="107" t="n">
        <v>7</v>
      </c>
      <c r="J98" s="107" t="n">
        <v>8</v>
      </c>
      <c r="K98" s="107" t="n">
        <v>9</v>
      </c>
      <c r="L98" s="107" t="n">
        <v>10</v>
      </c>
      <c r="M98" s="107" t="n">
        <v>11</v>
      </c>
      <c r="N98" s="107" t="n">
        <v>12</v>
      </c>
      <c r="O98" s="107" t="n">
        <v>13</v>
      </c>
      <c r="P98" s="107" t="n">
        <v>14</v>
      </c>
      <c r="Q98" s="107" t="n">
        <v>15</v>
      </c>
      <c r="R98" s="107" t="n">
        <v>16</v>
      </c>
      <c r="S98" s="107" t="n">
        <v>17</v>
      </c>
      <c r="T98" s="107" t="n">
        <v>18</v>
      </c>
      <c r="U98" s="107" t="n">
        <v>19</v>
      </c>
      <c r="V98" s="107" t="n">
        <v>20</v>
      </c>
      <c r="W98" s="107" t="n">
        <v>21</v>
      </c>
      <c r="X98" s="107" t="n">
        <v>22</v>
      </c>
      <c r="Y98" s="107" t="n">
        <v>23</v>
      </c>
      <c r="Z98" s="107" t="n">
        <v>24</v>
      </c>
      <c r="AA98" s="107" t="n">
        <v>25</v>
      </c>
      <c r="AB98" s="107" t="n">
        <v>26</v>
      </c>
      <c r="AC98" s="107" t="n">
        <v>27</v>
      </c>
      <c r="AD98" s="107" t="n">
        <v>28</v>
      </c>
      <c r="AE98" s="107" t="n">
        <v>29</v>
      </c>
      <c r="AF98" s="107" t="n">
        <v>30</v>
      </c>
      <c r="AG98" s="107" t="n">
        <v>31</v>
      </c>
      <c r="AH98" s="107" t="n">
        <v>32</v>
      </c>
      <c r="AI98" s="107" t="n">
        <v>33</v>
      </c>
      <c r="AJ98" s="107" t="n">
        <v>34</v>
      </c>
      <c r="AK98" s="107" t="n">
        <v>35</v>
      </c>
      <c r="AL98" s="107" t="n">
        <v>36</v>
      </c>
      <c r="AM98" s="107" t="n">
        <v>37</v>
      </c>
      <c r="AN98" s="107" t="n">
        <v>38</v>
      </c>
      <c r="AO98" s="107" t="n">
        <v>39</v>
      </c>
      <c r="AP98" s="107" t="n">
        <v>40</v>
      </c>
      <c r="AQ98" s="107" t="n">
        <v>41</v>
      </c>
      <c r="AR98" s="107" t="n">
        <v>42</v>
      </c>
      <c r="AS98" s="107" t="n">
        <v>43</v>
      </c>
      <c r="AT98" s="107" t="n">
        <v>44</v>
      </c>
      <c r="AU98" s="107" t="n">
        <v>45</v>
      </c>
      <c r="AV98" s="107" t="n">
        <v>46</v>
      </c>
      <c r="AW98" s="107" t="n">
        <v>47</v>
      </c>
      <c r="AX98" s="107" t="n">
        <v>48</v>
      </c>
      <c r="AY98" s="107" t="n">
        <v>49</v>
      </c>
      <c r="AZ98" s="107" t="n">
        <v>50</v>
      </c>
      <c r="BA98" s="107" t="n">
        <v>51</v>
      </c>
      <c r="BB98" s="107" t="n">
        <v>52</v>
      </c>
      <c r="BC98" s="107" t="n">
        <v>53</v>
      </c>
      <c r="BD98" s="107" t="n">
        <v>54</v>
      </c>
      <c r="BE98" s="107" t="n">
        <v>55</v>
      </c>
      <c r="BF98" s="107" t="n">
        <v>56</v>
      </c>
      <c r="BG98" s="107" t="n">
        <v>57</v>
      </c>
      <c r="BH98" s="107" t="n">
        <v>58</v>
      </c>
      <c r="BI98" s="107" t="n">
        <v>59</v>
      </c>
      <c r="BJ98" s="107" t="n">
        <v>60</v>
      </c>
      <c r="BK98" s="107" t="n">
        <v>61</v>
      </c>
      <c r="BL98" s="107" t="n">
        <v>62</v>
      </c>
      <c r="BM98" s="107" t="n">
        <v>63</v>
      </c>
      <c r="BN98" s="107" t="n">
        <v>64</v>
      </c>
      <c r="BO98" s="107" t="n">
        <v>65</v>
      </c>
      <c r="BP98" s="107" t="n">
        <v>66</v>
      </c>
      <c r="BQ98" s="107" t="n">
        <v>67</v>
      </c>
      <c r="BR98" s="107" t="n">
        <v>68</v>
      </c>
      <c r="BS98" s="107" t="n">
        <v>69</v>
      </c>
      <c r="BT98" s="107" t="n">
        <v>70</v>
      </c>
      <c r="BU98" s="107" t="n">
        <v>71</v>
      </c>
      <c r="BV98" s="107" t="n">
        <v>72</v>
      </c>
      <c r="BW98" s="107" t="n">
        <v>73</v>
      </c>
      <c r="BX98" s="107" t="n">
        <v>74</v>
      </c>
      <c r="BY98" s="107" t="n">
        <v>75</v>
      </c>
      <c r="BZ98" s="107" t="n">
        <v>76</v>
      </c>
      <c r="CA98" s="107" t="n">
        <v>77</v>
      </c>
      <c r="CB98" s="107" t="n">
        <v>78</v>
      </c>
      <c r="CC98" s="107" t="n">
        <v>79</v>
      </c>
      <c r="CD98" s="107" t="n">
        <v>80</v>
      </c>
      <c r="CE98" s="107" t="n">
        <v>81</v>
      </c>
      <c r="CF98" s="107" t="n">
        <v>82</v>
      </c>
      <c r="CG98" s="107" t="n">
        <v>83</v>
      </c>
      <c r="CH98" s="107" t="n">
        <v>84</v>
      </c>
    </row>
    <row r="99" customFormat="false" ht="15" hidden="false" customHeight="true" outlineLevel="0" collapsed="false">
      <c r="A99" s="107" t="s">
        <v>352</v>
      </c>
      <c r="B99" s="222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23" t="n">
        <v>45050.36</v>
      </c>
      <c r="M99" s="223" t="n">
        <v>45050.36</v>
      </c>
      <c r="N99" s="223" t="n">
        <v>45050.36</v>
      </c>
      <c r="O99" s="223" t="n">
        <v>45050.36</v>
      </c>
      <c r="P99" s="223" t="n">
        <v>45050.36</v>
      </c>
      <c r="Q99" s="223" t="n">
        <v>45050.36</v>
      </c>
      <c r="R99" s="223" t="n">
        <v>70944.52</v>
      </c>
      <c r="S99" s="223" t="n">
        <v>96838.68</v>
      </c>
      <c r="T99" s="223" t="n">
        <v>122732.84</v>
      </c>
      <c r="U99" s="223" t="n">
        <v>148626.99</v>
      </c>
      <c r="V99" s="223" t="n">
        <v>174521.16</v>
      </c>
      <c r="W99" s="223" t="n">
        <v>200415.31</v>
      </c>
      <c r="X99" s="223" t="n">
        <v>226309.46</v>
      </c>
      <c r="Y99" s="223" t="n">
        <v>252203.62</v>
      </c>
      <c r="Z99" s="223" t="n">
        <v>278097.79</v>
      </c>
      <c r="AA99" s="223" t="n">
        <v>303991.94</v>
      </c>
      <c r="AB99" s="223" t="n">
        <v>329886.11</v>
      </c>
      <c r="AC99" s="223" t="n">
        <v>400830.61</v>
      </c>
      <c r="AD99" s="223" t="n">
        <v>311512.01</v>
      </c>
      <c r="AE99" s="223" t="n">
        <v>312294.13</v>
      </c>
      <c r="AF99" s="223" t="n">
        <v>313076.23</v>
      </c>
      <c r="AG99" s="223" t="n">
        <v>313858.34</v>
      </c>
      <c r="AH99" s="223" t="n">
        <v>314640.44</v>
      </c>
      <c r="AI99" s="223" t="n">
        <v>341316.71</v>
      </c>
      <c r="AJ99" s="223" t="n">
        <v>316204.67</v>
      </c>
      <c r="AK99" s="223" t="n">
        <v>291092.62</v>
      </c>
      <c r="AL99" s="223" t="n">
        <v>265980.57</v>
      </c>
      <c r="AM99" s="223" t="n">
        <v>240868.51</v>
      </c>
      <c r="AN99" s="223" t="n">
        <v>215756.47</v>
      </c>
      <c r="AO99" s="223" t="n">
        <v>190644.42</v>
      </c>
      <c r="AP99" s="223" t="n">
        <v>165532.36</v>
      </c>
      <c r="AQ99" s="223" t="n">
        <v>140420.32</v>
      </c>
      <c r="AR99" s="223" t="n">
        <v>115308.27</v>
      </c>
      <c r="AS99" s="223" t="n">
        <v>196095.1</v>
      </c>
      <c r="AT99" s="223" t="n">
        <v>170200.95</v>
      </c>
      <c r="AU99" s="223" t="n">
        <v>119194.75</v>
      </c>
      <c r="AV99" s="223" t="n">
        <v>118412.64</v>
      </c>
      <c r="AW99" s="223" t="n">
        <v>117630.52</v>
      </c>
      <c r="AX99" s="223" t="n">
        <v>116848.42</v>
      </c>
      <c r="AY99" s="223" t="n">
        <v>116066.31</v>
      </c>
      <c r="AZ99" s="223" t="n">
        <v>115284.2</v>
      </c>
      <c r="BA99" s="223" t="n">
        <v>114502.09</v>
      </c>
      <c r="BB99" s="223" t="n">
        <v>113719.98</v>
      </c>
      <c r="BC99" s="223" t="n">
        <v>112937.87</v>
      </c>
      <c r="BD99" s="223" t="n">
        <v>112155.76</v>
      </c>
      <c r="BE99" s="223" t="n">
        <v>111373.65</v>
      </c>
      <c r="BF99" s="223" t="n">
        <v>110591.54</v>
      </c>
      <c r="BG99" s="223" t="n">
        <v>109809.44</v>
      </c>
      <c r="BH99" s="223" t="n">
        <v>109027.32</v>
      </c>
      <c r="BI99" s="223" t="n">
        <v>108245.21</v>
      </c>
      <c r="BJ99" s="223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07" t="s">
        <v>442</v>
      </c>
      <c r="B100" s="222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23" t="n">
        <v>0</v>
      </c>
      <c r="M100" s="223" t="n">
        <v>-10417</v>
      </c>
      <c r="N100" s="223" t="n">
        <v>-10417</v>
      </c>
      <c r="O100" s="223" t="n">
        <v>-10417</v>
      </c>
      <c r="P100" s="223" t="n">
        <v>-17917</v>
      </c>
      <c r="Q100" s="223" t="n">
        <v>-17917</v>
      </c>
      <c r="R100" s="223" t="n">
        <v>-17917</v>
      </c>
      <c r="S100" s="223" t="n">
        <v>-17917</v>
      </c>
      <c r="T100" s="223" t="n">
        <v>-17917</v>
      </c>
      <c r="U100" s="223" t="n">
        <v>-27084</v>
      </c>
      <c r="V100" s="223" t="n">
        <v>-27084</v>
      </c>
      <c r="W100" s="223" t="n">
        <v>-27084</v>
      </c>
      <c r="X100" s="223" t="n">
        <v>-27084</v>
      </c>
      <c r="Y100" s="223" t="n">
        <v>-27084</v>
      </c>
      <c r="Z100" s="223" t="n">
        <v>-27084</v>
      </c>
      <c r="AA100" s="223" t="n">
        <v>-27084</v>
      </c>
      <c r="AB100" s="223" t="n">
        <v>-27084</v>
      </c>
      <c r="AC100" s="223" t="n">
        <v>-37501</v>
      </c>
      <c r="AD100" s="223" t="n">
        <v>-37501</v>
      </c>
      <c r="AE100" s="223" t="n">
        <v>-37501</v>
      </c>
      <c r="AF100" s="223" t="n">
        <v>-37501</v>
      </c>
      <c r="AG100" s="223" t="n">
        <v>-37501</v>
      </c>
      <c r="AH100" s="223" t="n">
        <v>-37501</v>
      </c>
      <c r="AI100" s="223" t="n">
        <v>-37501</v>
      </c>
      <c r="AJ100" s="223" t="n">
        <v>-37501</v>
      </c>
      <c r="AK100" s="223" t="n">
        <v>-37501</v>
      </c>
      <c r="AL100" s="223" t="n">
        <v>-37501</v>
      </c>
      <c r="AM100" s="223" t="n">
        <v>-37501</v>
      </c>
      <c r="AN100" s="223" t="n">
        <v>-37501</v>
      </c>
      <c r="AO100" s="223" t="n">
        <v>-37501</v>
      </c>
      <c r="AP100" s="223" t="n">
        <v>-37501</v>
      </c>
      <c r="AQ100" s="223" t="n">
        <v>-37501</v>
      </c>
      <c r="AR100" s="223" t="n">
        <v>-37501</v>
      </c>
      <c r="AS100" s="223" t="n">
        <v>-37501</v>
      </c>
      <c r="AT100" s="223" t="n">
        <v>-37501</v>
      </c>
      <c r="AU100" s="223" t="n">
        <v>-37501</v>
      </c>
      <c r="AV100" s="223" t="n">
        <v>-37501</v>
      </c>
      <c r="AW100" s="223" t="n">
        <v>-37501</v>
      </c>
      <c r="AX100" s="223" t="n">
        <v>-37501</v>
      </c>
      <c r="AY100" s="223" t="n">
        <v>-37501</v>
      </c>
      <c r="AZ100" s="223" t="n">
        <v>-37501</v>
      </c>
      <c r="BA100" s="223" t="n">
        <v>-37501</v>
      </c>
      <c r="BB100" s="223" t="n">
        <v>-37501</v>
      </c>
      <c r="BC100" s="223" t="n">
        <v>-37501</v>
      </c>
      <c r="BD100" s="223" t="n">
        <v>-37501</v>
      </c>
      <c r="BE100" s="223" t="n">
        <v>-37501</v>
      </c>
      <c r="BF100" s="223" t="n">
        <v>-37501</v>
      </c>
      <c r="BG100" s="223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07" t="s">
        <v>443</v>
      </c>
      <c r="B101" s="222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23" t="n">
        <v>-9500</v>
      </c>
      <c r="M101" s="223" t="n">
        <v>-9500</v>
      </c>
      <c r="N101" s="223" t="n">
        <v>-9500</v>
      </c>
      <c r="O101" s="223" t="n">
        <v>-9500</v>
      </c>
      <c r="P101" s="223" t="n">
        <v>-9500</v>
      </c>
      <c r="Q101" s="223" t="n">
        <v>-9500</v>
      </c>
      <c r="R101" s="223" t="n">
        <v>-9500</v>
      </c>
      <c r="S101" s="223" t="n">
        <v>-9500</v>
      </c>
      <c r="T101" s="223" t="n">
        <v>-9500</v>
      </c>
      <c r="U101" s="223" t="n">
        <v>-9500</v>
      </c>
      <c r="V101" s="223" t="n">
        <v>-9500</v>
      </c>
      <c r="W101" s="223" t="n">
        <v>-9500</v>
      </c>
      <c r="X101" s="223" t="n">
        <v>-9500</v>
      </c>
      <c r="Y101" s="223" t="n">
        <v>-9500</v>
      </c>
      <c r="Z101" s="223" t="n">
        <v>-9500</v>
      </c>
      <c r="AA101" s="223" t="n">
        <v>-9500</v>
      </c>
      <c r="AB101" s="223" t="n">
        <v>-9500</v>
      </c>
      <c r="AC101" s="223" t="n">
        <v>-9500</v>
      </c>
      <c r="AD101" s="223" t="n">
        <v>-9500</v>
      </c>
      <c r="AE101" s="223" t="n">
        <v>-9500</v>
      </c>
      <c r="AF101" s="223" t="n">
        <v>-9500</v>
      </c>
      <c r="AG101" s="223" t="n">
        <v>-9500</v>
      </c>
      <c r="AH101" s="223" t="n">
        <v>-9500</v>
      </c>
      <c r="AI101" s="223" t="n">
        <v>-9500</v>
      </c>
      <c r="AJ101" s="223" t="n">
        <v>-9500</v>
      </c>
      <c r="AK101" s="223" t="n">
        <v>-9500</v>
      </c>
      <c r="AL101" s="223" t="n">
        <v>-9500</v>
      </c>
      <c r="AM101" s="223" t="n">
        <v>-9500</v>
      </c>
      <c r="AN101" s="223" t="n">
        <v>-9500</v>
      </c>
      <c r="AO101" s="223" t="n">
        <v>-9500</v>
      </c>
      <c r="AP101" s="223" t="n">
        <v>-9500</v>
      </c>
      <c r="AQ101" s="223" t="n">
        <v>-9500</v>
      </c>
      <c r="AR101" s="223" t="n">
        <v>-9500</v>
      </c>
      <c r="AS101" s="223" t="n">
        <v>-9500</v>
      </c>
      <c r="AT101" s="223" t="n">
        <v>-9500</v>
      </c>
      <c r="AU101" s="223" t="n">
        <v>-9500</v>
      </c>
      <c r="AV101" s="223" t="n">
        <v>-9500</v>
      </c>
      <c r="AW101" s="223" t="n">
        <v>-9500</v>
      </c>
      <c r="AX101" s="223" t="n">
        <v>-9500</v>
      </c>
      <c r="AY101" s="223" t="n">
        <v>-9500</v>
      </c>
      <c r="AZ101" s="223" t="n">
        <v>-9500</v>
      </c>
      <c r="BA101" s="223" t="n">
        <v>-9500</v>
      </c>
      <c r="BB101" s="223" t="n">
        <v>-9500</v>
      </c>
      <c r="BC101" s="223" t="n">
        <v>-9500</v>
      </c>
      <c r="BD101" s="223" t="n">
        <v>-9500</v>
      </c>
      <c r="BE101" s="223" t="n">
        <v>-9500</v>
      </c>
      <c r="BF101" s="223" t="n">
        <v>-9500</v>
      </c>
      <c r="BG101" s="223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07" t="s">
        <v>444</v>
      </c>
      <c r="B102" s="222" t="n">
        <f aca="false">SUM(C102:CH102)</f>
        <v>7053626</v>
      </c>
      <c r="C102" s="224" t="n">
        <f aca="false">C99+C100+C101</f>
        <v>0</v>
      </c>
      <c r="D102" s="224" t="n">
        <f aca="false">D99+D100+D101</f>
        <v>0</v>
      </c>
      <c r="E102" s="224" t="n">
        <f aca="false">E99+E100+E101</f>
        <v>0</v>
      </c>
      <c r="F102" s="224" t="n">
        <f aca="false">F99+F100+F101</f>
        <v>0</v>
      </c>
      <c r="G102" s="224" t="n">
        <f aca="false">G99+G100+G101</f>
        <v>0</v>
      </c>
      <c r="H102" s="224" t="n">
        <f aca="false">H99+H100+H101</f>
        <v>0</v>
      </c>
      <c r="I102" s="224" t="n">
        <f aca="false">I99+I100+I101</f>
        <v>0</v>
      </c>
      <c r="J102" s="224" t="n">
        <f aca="false">J99+J100+J101</f>
        <v>0</v>
      </c>
      <c r="K102" s="224" t="n">
        <f aca="false">K99+K100+K101</f>
        <v>0</v>
      </c>
      <c r="L102" s="224" t="n">
        <f aca="false">L99+L100+L101</f>
        <v>35550.36</v>
      </c>
      <c r="M102" s="224" t="n">
        <f aca="false">M99+M100+M101</f>
        <v>25133.36</v>
      </c>
      <c r="N102" s="224" t="n">
        <f aca="false">N99+N100+N101</f>
        <v>25133.36</v>
      </c>
      <c r="O102" s="224" t="n">
        <f aca="false">O99+O100+O101</f>
        <v>25133.36</v>
      </c>
      <c r="P102" s="224" t="n">
        <f aca="false">P99+P100+P101</f>
        <v>17633.36</v>
      </c>
      <c r="Q102" s="224" t="n">
        <f aca="false">Q99+Q100+Q101</f>
        <v>17633.36</v>
      </c>
      <c r="R102" s="224" t="n">
        <f aca="false">R99+R100+R101</f>
        <v>43527.52</v>
      </c>
      <c r="S102" s="224" t="n">
        <f aca="false">S99+S100+S101</f>
        <v>69421.68</v>
      </c>
      <c r="T102" s="224" t="n">
        <f aca="false">T99+T100+T101</f>
        <v>95315.84</v>
      </c>
      <c r="U102" s="224" t="n">
        <f aca="false">U99+U100+U101</f>
        <v>112042.99</v>
      </c>
      <c r="V102" s="224" t="n">
        <f aca="false">V99+V100+V101</f>
        <v>137937.16</v>
      </c>
      <c r="W102" s="224" t="n">
        <f aca="false">W99+W100+W101</f>
        <v>163831.31</v>
      </c>
      <c r="X102" s="224" t="n">
        <f aca="false">X99+X100+X101</f>
        <v>189725.46</v>
      </c>
      <c r="Y102" s="224" t="n">
        <f aca="false">Y99+Y100+Y101</f>
        <v>215619.62</v>
      </c>
      <c r="Z102" s="224" t="n">
        <f aca="false">Z99+Z100+Z101</f>
        <v>241513.79</v>
      </c>
      <c r="AA102" s="224" t="n">
        <f aca="false">AA99+AA100+AA101</f>
        <v>267407.94</v>
      </c>
      <c r="AB102" s="224" t="n">
        <f aca="false">AB99+AB100+AB101</f>
        <v>293302.11</v>
      </c>
      <c r="AC102" s="224" t="n">
        <f aca="false">AC99+AC100+AC101</f>
        <v>353829.61</v>
      </c>
      <c r="AD102" s="224" t="n">
        <f aca="false">AD99+AD100+AD101</f>
        <v>264511.01</v>
      </c>
      <c r="AE102" s="224" t="n">
        <f aca="false">AE99+AE100+AE101</f>
        <v>265293.13</v>
      </c>
      <c r="AF102" s="224" t="n">
        <f aca="false">AF99+AF100+AF101</f>
        <v>266075.23</v>
      </c>
      <c r="AG102" s="224" t="n">
        <f aca="false">AG99+AG100+AG101</f>
        <v>266857.34</v>
      </c>
      <c r="AH102" s="224" t="n">
        <f aca="false">AH99+AH100+AH101</f>
        <v>267639.44</v>
      </c>
      <c r="AI102" s="224" t="n">
        <f aca="false">AI99+AI100+AI101</f>
        <v>294315.71</v>
      </c>
      <c r="AJ102" s="224" t="n">
        <f aca="false">AJ99+AJ100+AJ101</f>
        <v>269203.67</v>
      </c>
      <c r="AK102" s="224" t="n">
        <f aca="false">AK99+AK100+AK101</f>
        <v>244091.62</v>
      </c>
      <c r="AL102" s="224" t="n">
        <f aca="false">AL99+AL100+AL101</f>
        <v>218979.57</v>
      </c>
      <c r="AM102" s="224" t="n">
        <f aca="false">AM99+AM100+AM101</f>
        <v>193867.51</v>
      </c>
      <c r="AN102" s="224" t="n">
        <f aca="false">AN99+AN100+AN101</f>
        <v>168755.47</v>
      </c>
      <c r="AO102" s="224" t="n">
        <f aca="false">AO99+AO100+AO101</f>
        <v>143643.42</v>
      </c>
      <c r="AP102" s="224" t="n">
        <f aca="false">AP99+AP100+AP101</f>
        <v>118531.36</v>
      </c>
      <c r="AQ102" s="224" t="n">
        <f aca="false">AQ99+AQ100+AQ101</f>
        <v>93419.32</v>
      </c>
      <c r="AR102" s="224" t="n">
        <f aca="false">AR99+AR100+AR101</f>
        <v>68307.27</v>
      </c>
      <c r="AS102" s="224" t="n">
        <f aca="false">AS99+AS100+AS101</f>
        <v>149094.1</v>
      </c>
      <c r="AT102" s="224" t="n">
        <f aca="false">AT99+AT100+AT101</f>
        <v>123199.95</v>
      </c>
      <c r="AU102" s="224" t="n">
        <f aca="false">AU99+AU100+AU101</f>
        <v>72193.75</v>
      </c>
      <c r="AV102" s="224" t="n">
        <f aca="false">AV99+AV100+AV101</f>
        <v>71411.64</v>
      </c>
      <c r="AW102" s="224" t="n">
        <f aca="false">AW99+AW100+AW101</f>
        <v>70629.52</v>
      </c>
      <c r="AX102" s="224" t="n">
        <f aca="false">AX99+AX100+AX101</f>
        <v>69847.42</v>
      </c>
      <c r="AY102" s="224" t="n">
        <f aca="false">AY99+AY100+AY101</f>
        <v>69065.31</v>
      </c>
      <c r="AZ102" s="224" t="n">
        <f aca="false">AZ99+AZ100+AZ101</f>
        <v>68283.2</v>
      </c>
      <c r="BA102" s="224" t="n">
        <f aca="false">BA99+BA100+BA101</f>
        <v>67501.09</v>
      </c>
      <c r="BB102" s="224" t="n">
        <f aca="false">BB99+BB100+BB101</f>
        <v>66718.98</v>
      </c>
      <c r="BC102" s="224" t="n">
        <f aca="false">BC99+BC100+BC101</f>
        <v>65936.87</v>
      </c>
      <c r="BD102" s="224" t="n">
        <f aca="false">BD99+BD100+BD101</f>
        <v>65154.76</v>
      </c>
      <c r="BE102" s="224" t="n">
        <f aca="false">BE99+BE100+BE101</f>
        <v>64372.65</v>
      </c>
      <c r="BF102" s="224" t="n">
        <f aca="false">BF99+BF100+BF101</f>
        <v>63590.54</v>
      </c>
      <c r="BG102" s="224" t="n">
        <f aca="false">BG99+BG100+BG101</f>
        <v>62808.44</v>
      </c>
      <c r="BH102" s="224" t="n">
        <f aca="false">BH99+BH100+BH101</f>
        <v>109027.32</v>
      </c>
      <c r="BI102" s="224" t="n">
        <f aca="false">BI99+BI100+BI101</f>
        <v>108245.21</v>
      </c>
      <c r="BJ102" s="224" t="n">
        <f aca="false">BJ99+BJ100+BJ101</f>
        <v>213361.99</v>
      </c>
      <c r="BK102" s="224" t="n">
        <f aca="false">BK99+BK100+BK101</f>
        <v>0</v>
      </c>
      <c r="BL102" s="224" t="n">
        <f aca="false">BL99+BL100+BL101</f>
        <v>0</v>
      </c>
      <c r="BM102" s="224" t="n">
        <f aca="false">BM99+BM100+BM101</f>
        <v>0</v>
      </c>
      <c r="BN102" s="224" t="n">
        <f aca="false">BN99+BN100+BN101</f>
        <v>0</v>
      </c>
      <c r="BO102" s="224" t="n">
        <f aca="false">BO99+BO100+BO101</f>
        <v>0</v>
      </c>
      <c r="BP102" s="224" t="n">
        <f aca="false">BP99+BP100+BP101</f>
        <v>0</v>
      </c>
      <c r="BQ102" s="224" t="n">
        <f aca="false">BQ99+BQ100+BQ101</f>
        <v>0</v>
      </c>
      <c r="BR102" s="224" t="n">
        <f aca="false">BR99+BR100+BR101</f>
        <v>0</v>
      </c>
      <c r="BS102" s="224" t="n">
        <f aca="false">BS99+BS100+BS101</f>
        <v>0</v>
      </c>
      <c r="BT102" s="224" t="n">
        <f aca="false">BT99+BT100+BT101</f>
        <v>0</v>
      </c>
      <c r="BU102" s="224" t="n">
        <f aca="false">BU99+BU100+BU101</f>
        <v>0</v>
      </c>
      <c r="BV102" s="224" t="n">
        <f aca="false">BV99+BV100+BV101</f>
        <v>0</v>
      </c>
      <c r="BW102" s="224" t="n">
        <f aca="false">BW99+BW100+BW101</f>
        <v>0</v>
      </c>
      <c r="BX102" s="224" t="n">
        <f aca="false">BX99+BX100+BX101</f>
        <v>0</v>
      </c>
      <c r="BY102" s="224" t="n">
        <f aca="false">BY99+BY100+BY101</f>
        <v>0</v>
      </c>
      <c r="BZ102" s="224" t="n">
        <f aca="false">BZ99+BZ100+BZ101</f>
        <v>0</v>
      </c>
      <c r="CA102" s="224" t="n">
        <f aca="false">CA99+CA100+CA101</f>
        <v>0</v>
      </c>
      <c r="CB102" s="224" t="n">
        <f aca="false">CB99+CB100+CB101</f>
        <v>0</v>
      </c>
      <c r="CC102" s="224" t="n">
        <f aca="false">CC99+CC100+CC101</f>
        <v>0</v>
      </c>
      <c r="CD102" s="224" t="n">
        <f aca="false">CD99+CD100+CD101</f>
        <v>0</v>
      </c>
      <c r="CE102" s="224" t="n">
        <f aca="false">CE99+CE100+CE101</f>
        <v>0</v>
      </c>
      <c r="CF102" s="224" t="n">
        <f aca="false">CF99+CF100+CF101</f>
        <v>0</v>
      </c>
      <c r="CG102" s="224" t="n">
        <f aca="false">CG99+CG100+CG101</f>
        <v>0</v>
      </c>
      <c r="CH102" s="224" t="n">
        <f aca="false">CH99+CH100+CH101</f>
        <v>0</v>
      </c>
    </row>
    <row r="103" customFormat="false" ht="15" hidden="false" customHeight="true" outlineLevel="0" collapsed="false">
      <c r="A103" s="107" t="s">
        <v>445</v>
      </c>
      <c r="B103" s="222" t="n">
        <f aca="false">SUM(C103:CH103)</f>
        <v>563192.617</v>
      </c>
      <c r="C103" s="224" t="n">
        <f aca="false">C99*$B$94</f>
        <v>0</v>
      </c>
      <c r="D103" s="224" t="n">
        <f aca="false">D99*$B$94</f>
        <v>0</v>
      </c>
      <c r="E103" s="224" t="n">
        <f aca="false">E99*$B$94</f>
        <v>0</v>
      </c>
      <c r="F103" s="224" t="n">
        <f aca="false">F99*$B$94</f>
        <v>0</v>
      </c>
      <c r="G103" s="224" t="n">
        <f aca="false">G99*$B$94</f>
        <v>0</v>
      </c>
      <c r="H103" s="224" t="n">
        <f aca="false">H99*$B$94</f>
        <v>0</v>
      </c>
      <c r="I103" s="224" t="n">
        <f aca="false">I99*$B$94</f>
        <v>0</v>
      </c>
      <c r="J103" s="224" t="n">
        <f aca="false">J99*$B$94</f>
        <v>0</v>
      </c>
      <c r="K103" s="224" t="n">
        <f aca="false">K99*$B$94</f>
        <v>0</v>
      </c>
      <c r="L103" s="224" t="n">
        <f aca="false">MIN(L99*$B$94,12500)</f>
        <v>4505.036</v>
      </c>
      <c r="M103" s="224" t="n">
        <f aca="false">MIN(M99*$B$94,12500)</f>
        <v>4505.036</v>
      </c>
      <c r="N103" s="224" t="n">
        <f aca="false">MIN(N99*$B$94,12500)</f>
        <v>4505.036</v>
      </c>
      <c r="O103" s="224" t="n">
        <f aca="false">MIN(O99*$B$94,12500)</f>
        <v>4505.036</v>
      </c>
      <c r="P103" s="224" t="n">
        <f aca="false">MIN(P99*$B$94,12500)</f>
        <v>4505.036</v>
      </c>
      <c r="Q103" s="224" t="n">
        <f aca="false">MIN(Q99*$B$94,12500)</f>
        <v>4505.036</v>
      </c>
      <c r="R103" s="224" t="n">
        <f aca="false">MIN(R99*$B$94,12500)</f>
        <v>7094.452</v>
      </c>
      <c r="S103" s="224" t="n">
        <f aca="false">MIN(S99*$B$94,12500)</f>
        <v>9683.868</v>
      </c>
      <c r="T103" s="224" t="n">
        <f aca="false">MIN(T99*$B$94,12500)</f>
        <v>12273.284</v>
      </c>
      <c r="U103" s="224" t="n">
        <f aca="false">MIN(U99*$B$94,12500)</f>
        <v>12500</v>
      </c>
      <c r="V103" s="224" t="n">
        <f aca="false">MIN(V99*$B$94,12500)</f>
        <v>12500</v>
      </c>
      <c r="W103" s="224" t="n">
        <f aca="false">MIN(W99*$B$94,12500)</f>
        <v>12500</v>
      </c>
      <c r="X103" s="224" t="n">
        <f aca="false">MIN(X99*$B$94,12500)</f>
        <v>12500</v>
      </c>
      <c r="Y103" s="224" t="n">
        <f aca="false">MIN(Y99*$B$94,12500)</f>
        <v>12500</v>
      </c>
      <c r="Z103" s="224" t="n">
        <f aca="false">MIN(Z99*$B$94,12500)</f>
        <v>12500</v>
      </c>
      <c r="AA103" s="224" t="n">
        <f aca="false">MIN(AA99*$B$94,12500)</f>
        <v>12500</v>
      </c>
      <c r="AB103" s="224" t="n">
        <f aca="false">MIN(AB99*$B$94,12500)</f>
        <v>12500</v>
      </c>
      <c r="AC103" s="224" t="n">
        <f aca="false">MIN(AC99*$B$94,12500)</f>
        <v>12500</v>
      </c>
      <c r="AD103" s="224" t="n">
        <f aca="false">MIN(AD99*$B$94,12500)</f>
        <v>12500</v>
      </c>
      <c r="AE103" s="224" t="n">
        <f aca="false">MIN(AE99*$B$94,12500)</f>
        <v>12500</v>
      </c>
      <c r="AF103" s="224" t="n">
        <f aca="false">MIN(AF99*$B$94,12500)</f>
        <v>12500</v>
      </c>
      <c r="AG103" s="224" t="n">
        <f aca="false">MIN(AG99*$B$94,12500)</f>
        <v>12500</v>
      </c>
      <c r="AH103" s="224" t="n">
        <f aca="false">MIN(AH99*$B$94,12500)</f>
        <v>12500</v>
      </c>
      <c r="AI103" s="224" t="n">
        <f aca="false">MIN(AI99*$B$94,12500)</f>
        <v>12500</v>
      </c>
      <c r="AJ103" s="224" t="n">
        <f aca="false">MIN(AJ99*$B$94,12500)</f>
        <v>12500</v>
      </c>
      <c r="AK103" s="224" t="n">
        <f aca="false">MIN(AK99*$B$94,12500)</f>
        <v>12500</v>
      </c>
      <c r="AL103" s="224" t="n">
        <f aca="false">MIN(AL99*$B$94,12500)</f>
        <v>12500</v>
      </c>
      <c r="AM103" s="224" t="n">
        <f aca="false">MIN(AM99*$B$94,12500)</f>
        <v>12500</v>
      </c>
      <c r="AN103" s="224" t="n">
        <f aca="false">MIN(AN99*$B$94,12500)</f>
        <v>12500</v>
      </c>
      <c r="AO103" s="224" t="n">
        <f aca="false">MIN(AO99*$B$94,12500)</f>
        <v>12500</v>
      </c>
      <c r="AP103" s="224" t="n">
        <f aca="false">MIN(AP99*$B$94,12500)</f>
        <v>12500</v>
      </c>
      <c r="AQ103" s="224" t="n">
        <f aca="false">MIN(AQ99*$B$94,12500)</f>
        <v>12500</v>
      </c>
      <c r="AR103" s="224" t="n">
        <f aca="false">MIN(AR99*$B$94,12500)</f>
        <v>11530.827</v>
      </c>
      <c r="AS103" s="224" t="n">
        <f aca="false">MIN(AS99*$B$94,12500)</f>
        <v>12500</v>
      </c>
      <c r="AT103" s="224" t="n">
        <f aca="false">MIN(AT99*$B$94,12500)</f>
        <v>12500</v>
      </c>
      <c r="AU103" s="224" t="n">
        <f aca="false">MIN(AU99*$B$94,12500)</f>
        <v>11919.475</v>
      </c>
      <c r="AV103" s="224" t="n">
        <f aca="false">MIN(AV99*$B$94,12500)</f>
        <v>11841.264</v>
      </c>
      <c r="AW103" s="224" t="n">
        <f aca="false">MIN(AW99*$B$94,12500)</f>
        <v>11763.052</v>
      </c>
      <c r="AX103" s="224" t="n">
        <f aca="false">MIN(AX99*$B$94,12500)</f>
        <v>11684.842</v>
      </c>
      <c r="AY103" s="224" t="n">
        <f aca="false">MIN(AY99*$B$94,12500)</f>
        <v>11606.631</v>
      </c>
      <c r="AZ103" s="224" t="n">
        <f aca="false">MIN(AZ99*$B$94,12500)</f>
        <v>11528.42</v>
      </c>
      <c r="BA103" s="224" t="n">
        <f aca="false">MIN(BA99*$B$94,12500)</f>
        <v>11450.209</v>
      </c>
      <c r="BB103" s="224" t="n">
        <f aca="false">MIN(BB99*$B$94,12500)</f>
        <v>11371.998</v>
      </c>
      <c r="BC103" s="224" t="n">
        <f aca="false">MIN(BC99*$B$94,12500)</f>
        <v>11293.787</v>
      </c>
      <c r="BD103" s="224" t="n">
        <f aca="false">MIN(BD99*$B$94,12500)</f>
        <v>11215.576</v>
      </c>
      <c r="BE103" s="224" t="n">
        <f aca="false">MIN(BE99*$B$94,12500)</f>
        <v>11137.365</v>
      </c>
      <c r="BF103" s="224" t="n">
        <f aca="false">MIN(BF99*$B$94,12500)</f>
        <v>11059.154</v>
      </c>
      <c r="BG103" s="224" t="n">
        <f aca="false">MIN(BG99*$B$94,12500)</f>
        <v>10980.944</v>
      </c>
      <c r="BH103" s="224" t="n">
        <f aca="false">MIN(BH99*$B$94,12500)</f>
        <v>10902.732</v>
      </c>
      <c r="BI103" s="224" t="n">
        <f aca="false">MIN(BI99*$B$94,12500)</f>
        <v>10824.521</v>
      </c>
      <c r="BJ103" s="224" t="n">
        <f aca="false">MIN(BJ99*$B$94,12500)</f>
        <v>12500</v>
      </c>
      <c r="BK103" s="224" t="n">
        <f aca="false">MIN(BK99*$B$94,12500)</f>
        <v>0</v>
      </c>
      <c r="BL103" s="224" t="n">
        <f aca="false">MIN(BL99*$B$94,12500)</f>
        <v>0</v>
      </c>
      <c r="BM103" s="224" t="n">
        <f aca="false">MIN(BM99*$B$94,12500)</f>
        <v>0</v>
      </c>
      <c r="BN103" s="224" t="n">
        <f aca="false">MIN(BN99*$B$94,12500)</f>
        <v>0</v>
      </c>
      <c r="BO103" s="224" t="n">
        <f aca="false">MIN(BO99*$B$94,12500)</f>
        <v>0</v>
      </c>
      <c r="BP103" s="224" t="n">
        <f aca="false">MIN(BP99*$B$94,12500)</f>
        <v>0</v>
      </c>
      <c r="BQ103" s="224" t="n">
        <f aca="false">MIN(BQ99*$B$94,12500)</f>
        <v>0</v>
      </c>
      <c r="BR103" s="224" t="n">
        <f aca="false">MIN(BR99*$B$94,12500)</f>
        <v>0</v>
      </c>
      <c r="BS103" s="224" t="n">
        <f aca="false">MIN(BS99*$B$94,12500)</f>
        <v>0</v>
      </c>
      <c r="BT103" s="224" t="n">
        <f aca="false">MIN(BT99*$B$94,12500)</f>
        <v>0</v>
      </c>
      <c r="BU103" s="224" t="n">
        <f aca="false">MIN(BU99*$B$94,12500)</f>
        <v>0</v>
      </c>
      <c r="BV103" s="224" t="n">
        <f aca="false">MIN(BV99*$B$94,12500)</f>
        <v>0</v>
      </c>
      <c r="BW103" s="224" t="n">
        <f aca="false">MIN(BW99*$B$94,12500)</f>
        <v>0</v>
      </c>
      <c r="BX103" s="224" t="n">
        <f aca="false">MIN(BX99*$B$94,12500)</f>
        <v>0</v>
      </c>
      <c r="BY103" s="224" t="n">
        <f aca="false">MIN(BY99*$B$94,12500)</f>
        <v>0</v>
      </c>
      <c r="BZ103" s="224" t="n">
        <f aca="false">MIN(BZ99*$B$94,12500)</f>
        <v>0</v>
      </c>
      <c r="CA103" s="224" t="n">
        <f aca="false">MIN(CA99*$B$94,12500)</f>
        <v>0</v>
      </c>
      <c r="CB103" s="224" t="n">
        <f aca="false">MIN(CB99*$B$94,12500)</f>
        <v>0</v>
      </c>
      <c r="CC103" s="224" t="n">
        <f aca="false">MIN(CC99*$B$94,12500)</f>
        <v>0</v>
      </c>
      <c r="CD103" s="224" t="n">
        <f aca="false">MIN(CD99*$B$94,12500)</f>
        <v>0</v>
      </c>
      <c r="CE103" s="224" t="n">
        <f aca="false">MIN(CE99*$B$94,12500)</f>
        <v>0</v>
      </c>
      <c r="CF103" s="224" t="n">
        <f aca="false">MIN(CF99*$B$94,12500)</f>
        <v>0</v>
      </c>
      <c r="CG103" s="224" t="n">
        <f aca="false">MIN(CG99*$B$94,12500)</f>
        <v>0</v>
      </c>
      <c r="CH103" s="224" t="n">
        <f aca="false">CH99*$B$94</f>
        <v>0</v>
      </c>
    </row>
    <row r="104" customFormat="false" ht="15" hidden="false" customHeight="true" outlineLevel="0" collapsed="false">
      <c r="A104" s="107" t="s">
        <v>446</v>
      </c>
      <c r="B104" s="222" t="n">
        <f aca="false">SUM(C104:CH104)</f>
        <v>6490433.383</v>
      </c>
      <c r="C104" s="224" t="n">
        <f aca="false">C102-C103</f>
        <v>0</v>
      </c>
      <c r="D104" s="224" t="n">
        <f aca="false">D102-D103</f>
        <v>0</v>
      </c>
      <c r="E104" s="224" t="n">
        <f aca="false">E102-E103</f>
        <v>0</v>
      </c>
      <c r="F104" s="224" t="n">
        <f aca="false">F102-F103</f>
        <v>0</v>
      </c>
      <c r="G104" s="224" t="n">
        <f aca="false">G102-G103</f>
        <v>0</v>
      </c>
      <c r="H104" s="224" t="n">
        <f aca="false">H102-H103</f>
        <v>0</v>
      </c>
      <c r="I104" s="224" t="n">
        <f aca="false">I102-I103</f>
        <v>0</v>
      </c>
      <c r="J104" s="224" t="n">
        <f aca="false">J102-J103</f>
        <v>0</v>
      </c>
      <c r="K104" s="224" t="n">
        <f aca="false">K102-K103</f>
        <v>0</v>
      </c>
      <c r="L104" s="224" t="n">
        <f aca="false">L102-L103</f>
        <v>31045.324</v>
      </c>
      <c r="M104" s="224" t="n">
        <f aca="false">M102-M103</f>
        <v>20628.324</v>
      </c>
      <c r="N104" s="224" t="n">
        <f aca="false">N102-N103</f>
        <v>20628.324</v>
      </c>
      <c r="O104" s="224" t="n">
        <f aca="false">O102-O103</f>
        <v>20628.324</v>
      </c>
      <c r="P104" s="224" t="n">
        <f aca="false">P102-P103</f>
        <v>13128.324</v>
      </c>
      <c r="Q104" s="224" t="n">
        <f aca="false">Q102-Q103</f>
        <v>13128.324</v>
      </c>
      <c r="R104" s="224" t="n">
        <f aca="false">R102-R103</f>
        <v>36433.068</v>
      </c>
      <c r="S104" s="224" t="n">
        <f aca="false">S102-S103</f>
        <v>59737.812</v>
      </c>
      <c r="T104" s="224" t="n">
        <f aca="false">T102-T103</f>
        <v>83042.556</v>
      </c>
      <c r="U104" s="224" t="n">
        <f aca="false">U102-U103</f>
        <v>99542.99</v>
      </c>
      <c r="V104" s="224" t="n">
        <f aca="false">V102-V103</f>
        <v>125437.16</v>
      </c>
      <c r="W104" s="224" t="n">
        <f aca="false">W102-W103</f>
        <v>151331.31</v>
      </c>
      <c r="X104" s="224" t="n">
        <f aca="false">X102-X103</f>
        <v>177225.46</v>
      </c>
      <c r="Y104" s="224" t="n">
        <f aca="false">Y102-Y103</f>
        <v>203119.62</v>
      </c>
      <c r="Z104" s="224" t="n">
        <f aca="false">Z102-Z103</f>
        <v>229013.79</v>
      </c>
      <c r="AA104" s="224" t="n">
        <f aca="false">AA102-AA103</f>
        <v>254907.94</v>
      </c>
      <c r="AB104" s="224" t="n">
        <f aca="false">AB102-AB103</f>
        <v>280802.11</v>
      </c>
      <c r="AC104" s="224" t="n">
        <f aca="false">AC102-AC103</f>
        <v>341329.61</v>
      </c>
      <c r="AD104" s="224" t="n">
        <f aca="false">AD102-AD103</f>
        <v>252011.01</v>
      </c>
      <c r="AE104" s="224" t="n">
        <f aca="false">AE102-AE103</f>
        <v>252793.13</v>
      </c>
      <c r="AF104" s="224" t="n">
        <f aca="false">AF102-AF103</f>
        <v>253575.23</v>
      </c>
      <c r="AG104" s="224" t="n">
        <f aca="false">AG102-AG103</f>
        <v>254357.34</v>
      </c>
      <c r="AH104" s="224" t="n">
        <f aca="false">AH102-AH103</f>
        <v>255139.44</v>
      </c>
      <c r="AI104" s="224" t="n">
        <f aca="false">AI102-AI103</f>
        <v>281815.71</v>
      </c>
      <c r="AJ104" s="224" t="n">
        <f aca="false">AJ102-AJ103</f>
        <v>256703.67</v>
      </c>
      <c r="AK104" s="224" t="n">
        <f aca="false">AK102-AK103</f>
        <v>231591.62</v>
      </c>
      <c r="AL104" s="224" t="n">
        <f aca="false">AL102-AL103</f>
        <v>206479.57</v>
      </c>
      <c r="AM104" s="224" t="n">
        <f aca="false">AM102-AM103</f>
        <v>181367.51</v>
      </c>
      <c r="AN104" s="224" t="n">
        <f aca="false">AN102-AN103</f>
        <v>156255.47</v>
      </c>
      <c r="AO104" s="224" t="n">
        <f aca="false">AO102-AO103</f>
        <v>131143.42</v>
      </c>
      <c r="AP104" s="224" t="n">
        <f aca="false">AP102-AP103</f>
        <v>106031.36</v>
      </c>
      <c r="AQ104" s="224" t="n">
        <f aca="false">AQ102-AQ103</f>
        <v>80919.32</v>
      </c>
      <c r="AR104" s="224" t="n">
        <f aca="false">AR102-AR103</f>
        <v>56776.443</v>
      </c>
      <c r="AS104" s="224" t="n">
        <f aca="false">AS102-AS103</f>
        <v>136594.1</v>
      </c>
      <c r="AT104" s="224" t="n">
        <f aca="false">AT102-AT103</f>
        <v>110699.95</v>
      </c>
      <c r="AU104" s="224" t="n">
        <f aca="false">AU102-AU103</f>
        <v>60274.275</v>
      </c>
      <c r="AV104" s="224" t="n">
        <f aca="false">AV102-AV103</f>
        <v>59570.376</v>
      </c>
      <c r="AW104" s="224" t="n">
        <f aca="false">AW102-AW103</f>
        <v>58866.468</v>
      </c>
      <c r="AX104" s="224" t="n">
        <f aca="false">AX102-AX103</f>
        <v>58162.578</v>
      </c>
      <c r="AY104" s="224" t="n">
        <f aca="false">AY102-AY103</f>
        <v>57458.679</v>
      </c>
      <c r="AZ104" s="224" t="n">
        <f aca="false">AZ102-AZ103</f>
        <v>56754.78</v>
      </c>
      <c r="BA104" s="224" t="n">
        <f aca="false">BA102-BA103</f>
        <v>56050.881</v>
      </c>
      <c r="BB104" s="224" t="n">
        <f aca="false">BB102-BB103</f>
        <v>55346.982</v>
      </c>
      <c r="BC104" s="224" t="n">
        <f aca="false">BC102-BC103</f>
        <v>54643.083</v>
      </c>
      <c r="BD104" s="224" t="n">
        <f aca="false">BD102-BD103</f>
        <v>53939.184</v>
      </c>
      <c r="BE104" s="224" t="n">
        <f aca="false">BE102-BE103</f>
        <v>53235.285</v>
      </c>
      <c r="BF104" s="224" t="n">
        <f aca="false">BF102-BF103</f>
        <v>52531.386</v>
      </c>
      <c r="BG104" s="224" t="n">
        <f aca="false">BG102-BG103</f>
        <v>51827.496</v>
      </c>
      <c r="BH104" s="224" t="n">
        <f aca="false">BH102-BH103</f>
        <v>98124.588</v>
      </c>
      <c r="BI104" s="224" t="n">
        <f aca="false">BI102-BI103</f>
        <v>97420.689</v>
      </c>
      <c r="BJ104" s="224" t="n">
        <f aca="false">BJ102-BJ103</f>
        <v>200861.99</v>
      </c>
      <c r="BK104" s="224" t="n">
        <f aca="false">BK102-BK103</f>
        <v>0</v>
      </c>
      <c r="BL104" s="224" t="n">
        <f aca="false">BL102-BL103</f>
        <v>0</v>
      </c>
      <c r="BM104" s="224" t="n">
        <f aca="false">BM102-BM103</f>
        <v>0</v>
      </c>
      <c r="BN104" s="224" t="n">
        <f aca="false">BN102-BN103</f>
        <v>0</v>
      </c>
      <c r="BO104" s="224" t="n">
        <f aca="false">BO102-BO103</f>
        <v>0</v>
      </c>
      <c r="BP104" s="224" t="n">
        <f aca="false">BP102-BP103</f>
        <v>0</v>
      </c>
      <c r="BQ104" s="224" t="n">
        <f aca="false">BQ102-BQ103</f>
        <v>0</v>
      </c>
      <c r="BR104" s="224" t="n">
        <f aca="false">BR102-BR103</f>
        <v>0</v>
      </c>
      <c r="BS104" s="224" t="n">
        <f aca="false">BS102-BS103</f>
        <v>0</v>
      </c>
      <c r="BT104" s="224" t="n">
        <f aca="false">BT102-BT103</f>
        <v>0</v>
      </c>
      <c r="BU104" s="224" t="n">
        <f aca="false">BU102-BU103</f>
        <v>0</v>
      </c>
      <c r="BV104" s="224" t="n">
        <f aca="false">BV102-BV103</f>
        <v>0</v>
      </c>
      <c r="BW104" s="224" t="n">
        <f aca="false">BW102-BW103</f>
        <v>0</v>
      </c>
      <c r="BX104" s="224" t="n">
        <f aca="false">BX102-BX103</f>
        <v>0</v>
      </c>
      <c r="BY104" s="224" t="n">
        <f aca="false">BY102-BY103</f>
        <v>0</v>
      </c>
      <c r="BZ104" s="224" t="n">
        <f aca="false">BZ102-BZ103</f>
        <v>0</v>
      </c>
      <c r="CA104" s="224" t="n">
        <f aca="false">CA102-CA103</f>
        <v>0</v>
      </c>
      <c r="CB104" s="224" t="n">
        <f aca="false">CB102-CB103</f>
        <v>0</v>
      </c>
      <c r="CC104" s="224" t="n">
        <f aca="false">CC102-CC103</f>
        <v>0</v>
      </c>
      <c r="CD104" s="224" t="n">
        <f aca="false">CD102-CD103</f>
        <v>0</v>
      </c>
      <c r="CE104" s="224" t="n">
        <f aca="false">CE102-CE103</f>
        <v>0</v>
      </c>
      <c r="CF104" s="224" t="n">
        <f aca="false">CF102-CF103</f>
        <v>0</v>
      </c>
      <c r="CG104" s="224" t="n">
        <f aca="false">CG102-CG103</f>
        <v>0</v>
      </c>
      <c r="CH104" s="224" t="n">
        <f aca="false">CH102-CH103</f>
        <v>0</v>
      </c>
    </row>
    <row r="105" customFormat="false" ht="15" hidden="false" customHeight="true" outlineLevel="0" collapsed="false">
      <c r="A105" s="107" t="s">
        <v>447</v>
      </c>
      <c r="B105" s="222" t="n">
        <f aca="false">SUM(C105:CH105)</f>
        <v>2951665.926</v>
      </c>
      <c r="C105" s="224" t="n">
        <v>0</v>
      </c>
      <c r="D105" s="224" t="n">
        <v>0</v>
      </c>
      <c r="E105" s="224" t="n">
        <v>0</v>
      </c>
      <c r="F105" s="224" t="n">
        <v>0</v>
      </c>
      <c r="G105" s="224" t="n">
        <v>0</v>
      </c>
      <c r="H105" s="224" t="n">
        <v>0</v>
      </c>
      <c r="I105" s="224" t="n">
        <v>0</v>
      </c>
      <c r="J105" s="224" t="n">
        <v>0</v>
      </c>
      <c r="K105" s="224" t="n">
        <v>0</v>
      </c>
      <c r="L105" s="224" t="n">
        <f aca="false">MAX(0,L104)*0.4</f>
        <v>12418.1296</v>
      </c>
      <c r="M105" s="224" t="n">
        <f aca="false">MAX(0,M104)*0.4</f>
        <v>8251.3296</v>
      </c>
      <c r="N105" s="224" t="n">
        <f aca="false">MAX(0,N104)*0.4</f>
        <v>8251.3296</v>
      </c>
      <c r="O105" s="224" t="n">
        <f aca="false">MAX(0,O104)*0.4</f>
        <v>8251.3296</v>
      </c>
      <c r="P105" s="224" t="n">
        <f aca="false">MAX(0,P104)*0.4</f>
        <v>5251.3296</v>
      </c>
      <c r="Q105" s="224" t="n">
        <f aca="false">MAX(0,Q104)*0.4</f>
        <v>5251.3296</v>
      </c>
      <c r="R105" s="224" t="n">
        <f aca="false">MAX(0,R104)*0.4</f>
        <v>14573.2272</v>
      </c>
      <c r="S105" s="224" t="n">
        <f aca="false">MAX(0,S104)*0.4</f>
        <v>23895.1248</v>
      </c>
      <c r="T105" s="224" t="n">
        <f aca="false">MAX(0,T104)*0.4</f>
        <v>33217.0224</v>
      </c>
      <c r="U105" s="224" t="n">
        <f aca="false">MAX(0,U104)*0.4</f>
        <v>39817.196</v>
      </c>
      <c r="V105" s="224" t="n">
        <f aca="false">MAX(0,V104)*0.4</f>
        <v>50174.864</v>
      </c>
      <c r="W105" s="224" t="n">
        <f aca="false">MAX(0,W104)*0.4</f>
        <v>60532.524</v>
      </c>
      <c r="X105" s="224" t="n">
        <f aca="false">MAX(0,X104)*0.4</f>
        <v>70890.184</v>
      </c>
      <c r="Y105" s="224" t="n">
        <f aca="false">MAX(0,Y104)*0.4</f>
        <v>81247.848</v>
      </c>
      <c r="Z105" s="224" t="n">
        <f aca="false">MAX(0,Z104)*0.4</f>
        <v>91605.516</v>
      </c>
      <c r="AA105" s="224" t="n">
        <f aca="false">MAX(0,AA104)*0.45</f>
        <v>114708.573</v>
      </c>
      <c r="AB105" s="224" t="n">
        <f aca="false">MAX(0,AB104)*0.45</f>
        <v>126360.9495</v>
      </c>
      <c r="AC105" s="224" t="n">
        <f aca="false">MAX(0,AC104)*0.45</f>
        <v>153598.3245</v>
      </c>
      <c r="AD105" s="224" t="n">
        <f aca="false">MAX(0,AD104)*0.45</f>
        <v>113404.9545</v>
      </c>
      <c r="AE105" s="224" t="n">
        <f aca="false">MAX(0,AE104)*0.45</f>
        <v>113756.9085</v>
      </c>
      <c r="AF105" s="224" t="n">
        <f aca="false">MAX(0,AF104)*0.45</f>
        <v>114108.8535</v>
      </c>
      <c r="AG105" s="224" t="n">
        <f aca="false">MAX(0,AG104)*0.45</f>
        <v>114460.803</v>
      </c>
      <c r="AH105" s="224" t="n">
        <f aca="false">MAX(0,AH104)*0.45</f>
        <v>114812.748</v>
      </c>
      <c r="AI105" s="224" t="n">
        <f aca="false">MAX(0,AI104)*0.45</f>
        <v>126817.0695</v>
      </c>
      <c r="AJ105" s="224" t="n">
        <f aca="false">MAX(0,AJ104)*0.45</f>
        <v>115516.6515</v>
      </c>
      <c r="AK105" s="224" t="n">
        <f aca="false">MAX(0,AK104)*0.45</f>
        <v>104216.229</v>
      </c>
      <c r="AL105" s="224" t="n">
        <f aca="false">MAX(0,AL104)*0.45</f>
        <v>92915.8065</v>
      </c>
      <c r="AM105" s="224" t="n">
        <f aca="false">MAX(0,AM104)*0.45</f>
        <v>81615.3795</v>
      </c>
      <c r="AN105" s="224" t="n">
        <f aca="false">MAX(0,AN104)*0.5</f>
        <v>78127.735</v>
      </c>
      <c r="AO105" s="224" t="n">
        <f aca="false">MAX(0,AO104)*0.5</f>
        <v>65571.71</v>
      </c>
      <c r="AP105" s="224" t="n">
        <f aca="false">MAX(0,AP104)*0.5</f>
        <v>53015.68</v>
      </c>
      <c r="AQ105" s="224" t="n">
        <f aca="false">MAX(0,AQ104)*0.5</f>
        <v>40459.66</v>
      </c>
      <c r="AR105" s="224" t="n">
        <f aca="false">MAX(0,AR104)*0.5</f>
        <v>28388.2215</v>
      </c>
      <c r="AS105" s="224" t="n">
        <f aca="false">MAX(0,AS104)*0.5</f>
        <v>68297.05</v>
      </c>
      <c r="AT105" s="224" t="n">
        <f aca="false">MAX(0,AT104)*0.5</f>
        <v>55349.975</v>
      </c>
      <c r="AU105" s="224" t="n">
        <f aca="false">MAX(0,AU104)*0.5</f>
        <v>30137.1375</v>
      </c>
      <c r="AV105" s="224" t="n">
        <f aca="false">MAX(0,AV104)*0.5</f>
        <v>29785.188</v>
      </c>
      <c r="AW105" s="224" t="n">
        <f aca="false">MAX(0,AW104)*0.5</f>
        <v>29433.234</v>
      </c>
      <c r="AX105" s="224" t="n">
        <f aca="false">MAX(0,AX104)*0.5</f>
        <v>29081.289</v>
      </c>
      <c r="AY105" s="224" t="n">
        <f aca="false">MAX(0,AY104)*0.5</f>
        <v>28729.3395</v>
      </c>
      <c r="AZ105" s="224" t="n">
        <f aca="false">MAX(0,AZ104)*0.5</f>
        <v>28377.39</v>
      </c>
      <c r="BA105" s="224" t="n">
        <f aca="false">MAX(0,BA104)*0.5</f>
        <v>28025.4405</v>
      </c>
      <c r="BB105" s="224" t="n">
        <f aca="false">MAX(0,BB104)*0.5</f>
        <v>27673.491</v>
      </c>
      <c r="BC105" s="224" t="n">
        <f aca="false">MAX(0,BC104)*0.5</f>
        <v>27321.5415</v>
      </c>
      <c r="BD105" s="224" t="n">
        <f aca="false">MAX(0,BD104)*0.5</f>
        <v>26969.592</v>
      </c>
      <c r="BE105" s="224" t="n">
        <f aca="false">MAX(0,BE104)*0.5</f>
        <v>26617.6425</v>
      </c>
      <c r="BF105" s="224" t="n">
        <f aca="false">MAX(0,BF104)*0.5</f>
        <v>26265.693</v>
      </c>
      <c r="BG105" s="224" t="n">
        <f aca="false">MAX(0,BG104)*0.5</f>
        <v>25913.748</v>
      </c>
      <c r="BH105" s="224" t="n">
        <f aca="false">MAX(0,BH104)*0.5</f>
        <v>49062.294</v>
      </c>
      <c r="BI105" s="224" t="n">
        <f aca="false">MAX(0,BI104)*0.5</f>
        <v>48710.3445</v>
      </c>
      <c r="BJ105" s="224" t="n">
        <f aca="false">MAX(0,BJ104)*0.5</f>
        <v>100430.995</v>
      </c>
      <c r="BK105" s="224" t="n">
        <f aca="false">MAX(0,BK104)*0.5</f>
        <v>0</v>
      </c>
      <c r="BL105" s="224" t="n">
        <f aca="false">MAX(0,BL104)*0.5</f>
        <v>0</v>
      </c>
      <c r="BM105" s="224" t="n">
        <f aca="false">MAX(0,BM104)*0.5</f>
        <v>0</v>
      </c>
      <c r="BN105" s="224" t="n">
        <f aca="false">MAX(0,BN104)*0.5</f>
        <v>0</v>
      </c>
      <c r="BO105" s="224" t="n">
        <f aca="false">MAX(0,BO104)*0.5</f>
        <v>0</v>
      </c>
      <c r="BP105" s="224" t="n">
        <f aca="false">MAX(0,BP104)*0.5</f>
        <v>0</v>
      </c>
      <c r="BQ105" s="224" t="n">
        <f aca="false">MAX(0,BQ104)*0.5</f>
        <v>0</v>
      </c>
      <c r="BR105" s="224" t="n">
        <f aca="false">MAX(0,BR104)*0.5</f>
        <v>0</v>
      </c>
      <c r="BS105" s="224" t="n">
        <f aca="false">MAX(0,BS104)*0.5</f>
        <v>0</v>
      </c>
      <c r="BT105" s="224" t="n">
        <f aca="false">MAX(0,BT104)*0.5</f>
        <v>0</v>
      </c>
      <c r="BU105" s="224" t="n">
        <f aca="false">MAX(0,BU104)*0.5</f>
        <v>0</v>
      </c>
      <c r="BV105" s="224" t="n">
        <f aca="false">MAX(0,BV104)*0.5</f>
        <v>0</v>
      </c>
      <c r="BW105" s="224" t="n">
        <f aca="false">MAX(0,BW104)*0.5</f>
        <v>0</v>
      </c>
      <c r="BX105" s="224" t="n">
        <f aca="false">MAX(0,BX104)*0.5</f>
        <v>0</v>
      </c>
      <c r="BY105" s="224" t="n">
        <f aca="false">MAX(0,BY104)*0.5</f>
        <v>0</v>
      </c>
      <c r="BZ105" s="224" t="n">
        <f aca="false">MAX(0,BZ104)*0.5</f>
        <v>0</v>
      </c>
      <c r="CA105" s="224" t="n">
        <f aca="false">MAX(0,CA104)*0.5</f>
        <v>0</v>
      </c>
      <c r="CB105" s="224" t="n">
        <f aca="false">MAX(0,CB104)*0.5</f>
        <v>0</v>
      </c>
      <c r="CC105" s="224" t="n">
        <f aca="false">MAX(0,CC104)*0.5</f>
        <v>0</v>
      </c>
      <c r="CD105" s="224" t="n">
        <f aca="false">MAX(0,CD104)*0.5</f>
        <v>0</v>
      </c>
      <c r="CE105" s="224" t="n">
        <f aca="false">MAX(0,CE104)*0.5</f>
        <v>0</v>
      </c>
      <c r="CF105" s="224" t="n">
        <f aca="false">MAX(0,CF104)*0.5</f>
        <v>0</v>
      </c>
      <c r="CG105" s="224" t="n">
        <f aca="false">MAX(0,CG104)*0.5</f>
        <v>0</v>
      </c>
      <c r="CH105" s="224" t="n">
        <f aca="false">MAX(0,CH104)*$B$95</f>
        <v>0</v>
      </c>
    </row>
    <row r="106" customFormat="false" ht="15" hidden="false" customHeight="true" outlineLevel="0" collapsed="false">
      <c r="A106" s="107" t="s">
        <v>448</v>
      </c>
      <c r="B106" s="222" t="n">
        <f aca="false">B104-B105</f>
        <v>3538767.457</v>
      </c>
      <c r="C106" s="224" t="n">
        <f aca="false">C104-C105</f>
        <v>0</v>
      </c>
      <c r="D106" s="224" t="n">
        <f aca="false">D104-D105</f>
        <v>0</v>
      </c>
      <c r="E106" s="224" t="n">
        <f aca="false">E104-E105</f>
        <v>0</v>
      </c>
      <c r="F106" s="224" t="n">
        <f aca="false">F104-F105</f>
        <v>0</v>
      </c>
      <c r="G106" s="224" t="n">
        <f aca="false">G104-G105</f>
        <v>0</v>
      </c>
      <c r="H106" s="224" t="n">
        <f aca="false">H104-H105</f>
        <v>0</v>
      </c>
      <c r="I106" s="224" t="n">
        <f aca="false">I104-I105</f>
        <v>0</v>
      </c>
      <c r="J106" s="224" t="n">
        <f aca="false">J104-J105</f>
        <v>0</v>
      </c>
      <c r="K106" s="224" t="n">
        <f aca="false">K104-K105</f>
        <v>0</v>
      </c>
      <c r="L106" s="224" t="n">
        <f aca="false">L104-L105</f>
        <v>18627.1944</v>
      </c>
      <c r="M106" s="224" t="n">
        <f aca="false">M104-M105</f>
        <v>12376.9944</v>
      </c>
      <c r="N106" s="224" t="n">
        <f aca="false">N104-N105</f>
        <v>12376.9944</v>
      </c>
      <c r="O106" s="224" t="n">
        <f aca="false">O104-O105</f>
        <v>12376.9944</v>
      </c>
      <c r="P106" s="224" t="n">
        <f aca="false">P104-P105</f>
        <v>7876.9944</v>
      </c>
      <c r="Q106" s="224" t="n">
        <f aca="false">Q104-Q105</f>
        <v>7876.9944</v>
      </c>
      <c r="R106" s="224" t="n">
        <f aca="false">R104-R105</f>
        <v>21859.8408</v>
      </c>
      <c r="S106" s="224" t="n">
        <f aca="false">S104-S105</f>
        <v>35842.6872</v>
      </c>
      <c r="T106" s="224" t="n">
        <f aca="false">T104-T105</f>
        <v>49825.5336</v>
      </c>
      <c r="U106" s="224" t="n">
        <f aca="false">U104-U105</f>
        <v>59725.794</v>
      </c>
      <c r="V106" s="224" t="n">
        <f aca="false">V104-V105</f>
        <v>75262.296</v>
      </c>
      <c r="W106" s="224" t="n">
        <f aca="false">W104-W105</f>
        <v>90798.786</v>
      </c>
      <c r="X106" s="224" t="n">
        <f aca="false">X104-X105</f>
        <v>106335.276</v>
      </c>
      <c r="Y106" s="224" t="n">
        <f aca="false">Y104-Y105</f>
        <v>121871.772</v>
      </c>
      <c r="Z106" s="224" t="n">
        <f aca="false">Z104-Z105</f>
        <v>137408.274</v>
      </c>
      <c r="AA106" s="224" t="n">
        <f aca="false">AA104-AA105</f>
        <v>140199.367</v>
      </c>
      <c r="AB106" s="224" t="n">
        <f aca="false">AB104-AB105</f>
        <v>154441.1605</v>
      </c>
      <c r="AC106" s="224" t="n">
        <f aca="false">AC104-AC105</f>
        <v>187731.2855</v>
      </c>
      <c r="AD106" s="224" t="n">
        <f aca="false">AD104-AD105</f>
        <v>138606.0555</v>
      </c>
      <c r="AE106" s="224" t="n">
        <f aca="false">AE104-AE105</f>
        <v>139036.2215</v>
      </c>
      <c r="AF106" s="224" t="n">
        <f aca="false">AF104-AF105</f>
        <v>139466.3765</v>
      </c>
      <c r="AG106" s="224" t="n">
        <f aca="false">AG104-AG105</f>
        <v>139896.537</v>
      </c>
      <c r="AH106" s="224" t="n">
        <f aca="false">AH104-AH105</f>
        <v>140326.692</v>
      </c>
      <c r="AI106" s="224" t="n">
        <f aca="false">AI104-AI105</f>
        <v>154998.6405</v>
      </c>
      <c r="AJ106" s="224" t="n">
        <f aca="false">AJ104-AJ105</f>
        <v>141187.0185</v>
      </c>
      <c r="AK106" s="224" t="n">
        <f aca="false">AK104-AK105</f>
        <v>127375.391</v>
      </c>
      <c r="AL106" s="224" t="n">
        <f aca="false">AL104-AL105</f>
        <v>113563.7635</v>
      </c>
      <c r="AM106" s="224" t="n">
        <f aca="false">AM104-AM105</f>
        <v>99752.1305</v>
      </c>
      <c r="AN106" s="224" t="n">
        <f aca="false">AN104-AN105</f>
        <v>78127.735</v>
      </c>
      <c r="AO106" s="224" t="n">
        <f aca="false">AO104-AO105</f>
        <v>65571.71</v>
      </c>
      <c r="AP106" s="224" t="n">
        <f aca="false">AP104-AP105</f>
        <v>53015.68</v>
      </c>
      <c r="AQ106" s="224" t="n">
        <f aca="false">AQ104-AQ105</f>
        <v>40459.66</v>
      </c>
      <c r="AR106" s="224" t="n">
        <f aca="false">AR104-AR105</f>
        <v>28388.2215</v>
      </c>
      <c r="AS106" s="224" t="n">
        <f aca="false">AS104-AS105</f>
        <v>68297.05</v>
      </c>
      <c r="AT106" s="224" t="n">
        <f aca="false">AT104-AT105</f>
        <v>55349.975</v>
      </c>
      <c r="AU106" s="224" t="n">
        <f aca="false">AU104-AU105</f>
        <v>30137.1375</v>
      </c>
      <c r="AV106" s="224" t="n">
        <f aca="false">AV104-AV105</f>
        <v>29785.188</v>
      </c>
      <c r="AW106" s="224" t="n">
        <f aca="false">AW104-AW105</f>
        <v>29433.234</v>
      </c>
      <c r="AX106" s="224" t="n">
        <f aca="false">AX104-AX105</f>
        <v>29081.289</v>
      </c>
      <c r="AY106" s="224" t="n">
        <f aca="false">AY104-AY105</f>
        <v>28729.3395</v>
      </c>
      <c r="AZ106" s="224" t="n">
        <f aca="false">AZ104-AZ105</f>
        <v>28377.39</v>
      </c>
      <c r="BA106" s="224" t="n">
        <f aca="false">BA104-BA105</f>
        <v>28025.4405</v>
      </c>
      <c r="BB106" s="224" t="n">
        <f aca="false">BB104-BB105</f>
        <v>27673.491</v>
      </c>
      <c r="BC106" s="224" t="n">
        <f aca="false">BC104-BC105</f>
        <v>27321.5415</v>
      </c>
      <c r="BD106" s="224" t="n">
        <f aca="false">BD104-BD105</f>
        <v>26969.592</v>
      </c>
      <c r="BE106" s="224" t="n">
        <f aca="false">BE104-BE105</f>
        <v>26617.6425</v>
      </c>
      <c r="BF106" s="224" t="n">
        <f aca="false">BF104-BF105</f>
        <v>26265.693</v>
      </c>
      <c r="BG106" s="224" t="n">
        <f aca="false">BG104-BG105</f>
        <v>25913.748</v>
      </c>
      <c r="BH106" s="224" t="n">
        <f aca="false">BH104-BH105</f>
        <v>49062.294</v>
      </c>
      <c r="BI106" s="224" t="n">
        <f aca="false">BI104-BI105</f>
        <v>48710.3445</v>
      </c>
      <c r="BJ106" s="224" t="n">
        <f aca="false">BJ104-BJ105</f>
        <v>100430.995</v>
      </c>
      <c r="BK106" s="224" t="n">
        <f aca="false">BK104-BK105</f>
        <v>0</v>
      </c>
      <c r="BL106" s="224" t="n">
        <f aca="false">BL104-BL105</f>
        <v>0</v>
      </c>
      <c r="BM106" s="224" t="n">
        <f aca="false">BM104-BM105</f>
        <v>0</v>
      </c>
      <c r="BN106" s="224" t="n">
        <f aca="false">BN104-BN105</f>
        <v>0</v>
      </c>
      <c r="BO106" s="224" t="n">
        <f aca="false">BO104-BO105</f>
        <v>0</v>
      </c>
      <c r="BP106" s="224" t="n">
        <f aca="false">BP104-BP105</f>
        <v>0</v>
      </c>
      <c r="BQ106" s="224" t="n">
        <f aca="false">BQ104-BQ105</f>
        <v>0</v>
      </c>
      <c r="BR106" s="224" t="n">
        <f aca="false">BR104-BR105</f>
        <v>0</v>
      </c>
      <c r="BS106" s="224" t="n">
        <f aca="false">BS104-BS105</f>
        <v>0</v>
      </c>
      <c r="BT106" s="224" t="n">
        <f aca="false">BT104-BT105</f>
        <v>0</v>
      </c>
      <c r="BU106" s="224" t="n">
        <f aca="false">BU104-BU105</f>
        <v>0</v>
      </c>
      <c r="BV106" s="224" t="n">
        <f aca="false">BV104-BV105</f>
        <v>0</v>
      </c>
      <c r="BW106" s="224" t="n">
        <f aca="false">BW104-BW105</f>
        <v>0</v>
      </c>
      <c r="BX106" s="224" t="n">
        <f aca="false">BX104-BX105</f>
        <v>0</v>
      </c>
      <c r="BY106" s="224" t="n">
        <f aca="false">BY104-BY105</f>
        <v>0</v>
      </c>
      <c r="BZ106" s="224" t="n">
        <f aca="false">BZ104-BZ105</f>
        <v>0</v>
      </c>
      <c r="CA106" s="224" t="n">
        <f aca="false">CA104-CA105</f>
        <v>0</v>
      </c>
      <c r="CB106" s="224" t="n">
        <f aca="false">CB104-CB105</f>
        <v>0</v>
      </c>
      <c r="CC106" s="224" t="n">
        <f aca="false">CC104-CC105</f>
        <v>0</v>
      </c>
      <c r="CD106" s="224" t="n">
        <f aca="false">CD104-CD105</f>
        <v>0</v>
      </c>
      <c r="CE106" s="224" t="n">
        <f aca="false">CE104-CE105</f>
        <v>0</v>
      </c>
      <c r="CF106" s="224" t="n">
        <f aca="false">CF104-CF105</f>
        <v>0</v>
      </c>
      <c r="CG106" s="224" t="n">
        <f aca="false">CG104-CG105</f>
        <v>0</v>
      </c>
      <c r="CH106" s="224" t="n">
        <f aca="false">CH104-CH105</f>
        <v>0</v>
      </c>
    </row>
    <row r="107" customFormat="false" ht="15" hidden="false" customHeight="true" outlineLevel="0" collapsed="false">
      <c r="A107" s="107" t="s">
        <v>449</v>
      </c>
      <c r="B107" s="222" t="n">
        <f aca="false">B103+B106</f>
        <v>4101960.074</v>
      </c>
      <c r="C107" s="224" t="n">
        <f aca="false">C103+C106</f>
        <v>0</v>
      </c>
      <c r="D107" s="224" t="n">
        <f aca="false">D103+D106</f>
        <v>0</v>
      </c>
      <c r="E107" s="224" t="n">
        <f aca="false">E103+E106</f>
        <v>0</v>
      </c>
      <c r="F107" s="224" t="n">
        <f aca="false">F103+F106</f>
        <v>0</v>
      </c>
      <c r="G107" s="224" t="n">
        <f aca="false">G103+G106</f>
        <v>0</v>
      </c>
      <c r="H107" s="224" t="n">
        <f aca="false">H103+H106</f>
        <v>0</v>
      </c>
      <c r="I107" s="224" t="n">
        <f aca="false">I103+I106</f>
        <v>0</v>
      </c>
      <c r="J107" s="224" t="n">
        <f aca="false">J103+J106</f>
        <v>0</v>
      </c>
      <c r="K107" s="224" t="n">
        <f aca="false">K103+K106</f>
        <v>0</v>
      </c>
      <c r="L107" s="224" t="n">
        <f aca="false">L103+L106</f>
        <v>23132.2304</v>
      </c>
      <c r="M107" s="224" t="n">
        <f aca="false">M103+M106</f>
        <v>16882.0304</v>
      </c>
      <c r="N107" s="224" t="n">
        <f aca="false">N103+N106</f>
        <v>16882.0304</v>
      </c>
      <c r="O107" s="224" t="n">
        <f aca="false">O103+O106</f>
        <v>16882.0304</v>
      </c>
      <c r="P107" s="224" t="n">
        <f aca="false">P103+P106</f>
        <v>12382.0304</v>
      </c>
      <c r="Q107" s="224" t="n">
        <f aca="false">Q103+Q106</f>
        <v>12382.0304</v>
      </c>
      <c r="R107" s="224" t="n">
        <f aca="false">R103+R106</f>
        <v>28954.2928</v>
      </c>
      <c r="S107" s="224" t="n">
        <f aca="false">S103+S106</f>
        <v>45526.5552</v>
      </c>
      <c r="T107" s="224" t="n">
        <f aca="false">T103+T106</f>
        <v>62098.8176</v>
      </c>
      <c r="U107" s="224" t="n">
        <f aca="false">U103+U106</f>
        <v>72225.794</v>
      </c>
      <c r="V107" s="224" t="n">
        <f aca="false">V103+V106</f>
        <v>87762.296</v>
      </c>
      <c r="W107" s="224" t="n">
        <f aca="false">W103+W106</f>
        <v>103298.786</v>
      </c>
      <c r="X107" s="224" t="n">
        <f aca="false">X103+X106</f>
        <v>118835.276</v>
      </c>
      <c r="Y107" s="224" t="n">
        <f aca="false">Y103+Y106</f>
        <v>134371.772</v>
      </c>
      <c r="Z107" s="224" t="n">
        <f aca="false">Z103+Z106</f>
        <v>149908.274</v>
      </c>
      <c r="AA107" s="224" t="n">
        <f aca="false">AA103+AA106</f>
        <v>152699.367</v>
      </c>
      <c r="AB107" s="224" t="n">
        <f aca="false">AB103+AB106</f>
        <v>166941.1605</v>
      </c>
      <c r="AC107" s="224" t="n">
        <f aca="false">AC103+AC106</f>
        <v>200231.2855</v>
      </c>
      <c r="AD107" s="224" t="n">
        <f aca="false">AD103+AD106</f>
        <v>151106.0555</v>
      </c>
      <c r="AE107" s="224" t="n">
        <f aca="false">AE103+AE106</f>
        <v>151536.2215</v>
      </c>
      <c r="AF107" s="224" t="n">
        <f aca="false">AF103+AF106</f>
        <v>151966.3765</v>
      </c>
      <c r="AG107" s="224" t="n">
        <f aca="false">AG103+AG106</f>
        <v>152396.537</v>
      </c>
      <c r="AH107" s="224" t="n">
        <f aca="false">AH103+AH106</f>
        <v>152826.692</v>
      </c>
      <c r="AI107" s="224" t="n">
        <f aca="false">AI103+AI106</f>
        <v>167498.6405</v>
      </c>
      <c r="AJ107" s="224" t="n">
        <f aca="false">AJ103+AJ106</f>
        <v>153687.0185</v>
      </c>
      <c r="AK107" s="224" t="n">
        <f aca="false">AK103+AK106</f>
        <v>139875.391</v>
      </c>
      <c r="AL107" s="224" t="n">
        <f aca="false">AL103+AL106</f>
        <v>126063.7635</v>
      </c>
      <c r="AM107" s="224" t="n">
        <f aca="false">AM103+AM106</f>
        <v>112252.1305</v>
      </c>
      <c r="AN107" s="224" t="n">
        <f aca="false">AN103+AN106</f>
        <v>90627.735</v>
      </c>
      <c r="AO107" s="224" t="n">
        <f aca="false">AO103+AO106</f>
        <v>78071.71</v>
      </c>
      <c r="AP107" s="224" t="n">
        <f aca="false">AP103+AP106</f>
        <v>65515.68</v>
      </c>
      <c r="AQ107" s="224" t="n">
        <f aca="false">AQ103+AQ106</f>
        <v>52959.66</v>
      </c>
      <c r="AR107" s="224" t="n">
        <f aca="false">AR103+AR106</f>
        <v>39919.0485</v>
      </c>
      <c r="AS107" s="224" t="n">
        <f aca="false">AS103+AS106</f>
        <v>80797.05</v>
      </c>
      <c r="AT107" s="224" t="n">
        <f aca="false">AT103+AT106</f>
        <v>67849.975</v>
      </c>
      <c r="AU107" s="224" t="n">
        <f aca="false">AU103+AU106</f>
        <v>42056.6125</v>
      </c>
      <c r="AV107" s="224" t="n">
        <f aca="false">AV103+AV106</f>
        <v>41626.452</v>
      </c>
      <c r="AW107" s="224" t="n">
        <f aca="false">AW103+AW106</f>
        <v>41196.286</v>
      </c>
      <c r="AX107" s="224" t="n">
        <f aca="false">AX103+AX106</f>
        <v>40766.131</v>
      </c>
      <c r="AY107" s="224" t="n">
        <f aca="false">AY103+AY106</f>
        <v>40335.9705</v>
      </c>
      <c r="AZ107" s="224" t="n">
        <f aca="false">AZ103+AZ106</f>
        <v>39905.81</v>
      </c>
      <c r="BA107" s="224" t="n">
        <f aca="false">BA103+BA106</f>
        <v>39475.6495</v>
      </c>
      <c r="BB107" s="224" t="n">
        <f aca="false">BB103+BB106</f>
        <v>39045.489</v>
      </c>
      <c r="BC107" s="224" t="n">
        <f aca="false">BC103+BC106</f>
        <v>38615.3285</v>
      </c>
      <c r="BD107" s="224" t="n">
        <f aca="false">BD103+BD106</f>
        <v>38185.168</v>
      </c>
      <c r="BE107" s="224" t="n">
        <f aca="false">BE103+BE106</f>
        <v>37755.0075</v>
      </c>
      <c r="BF107" s="224" t="n">
        <f aca="false">BF103+BF106</f>
        <v>37324.847</v>
      </c>
      <c r="BG107" s="224" t="n">
        <f aca="false">BG103+BG106</f>
        <v>36894.692</v>
      </c>
      <c r="BH107" s="224" t="n">
        <f aca="false">BH103+BH106</f>
        <v>59965.026</v>
      </c>
      <c r="BI107" s="224" t="n">
        <f aca="false">BI103+BI106</f>
        <v>59534.8655</v>
      </c>
      <c r="BJ107" s="224" t="n">
        <f aca="false">BJ103+BJ106</f>
        <v>112930.995</v>
      </c>
      <c r="BK107" s="224" t="n">
        <f aca="false">BK103+BK106</f>
        <v>0</v>
      </c>
      <c r="BL107" s="224" t="n">
        <f aca="false">BL103+BL106</f>
        <v>0</v>
      </c>
      <c r="BM107" s="224" t="n">
        <f aca="false">BM103+BM106</f>
        <v>0</v>
      </c>
      <c r="BN107" s="224" t="n">
        <f aca="false">BN103+BN106</f>
        <v>0</v>
      </c>
      <c r="BO107" s="224" t="n">
        <f aca="false">BO103+BO106</f>
        <v>0</v>
      </c>
      <c r="BP107" s="224" t="n">
        <f aca="false">BP103+BP106</f>
        <v>0</v>
      </c>
      <c r="BQ107" s="224" t="n">
        <f aca="false">BQ103+BQ106</f>
        <v>0</v>
      </c>
      <c r="BR107" s="224" t="n">
        <f aca="false">BR103+BR106</f>
        <v>0</v>
      </c>
      <c r="BS107" s="224" t="n">
        <f aca="false">BS103+BS106</f>
        <v>0</v>
      </c>
      <c r="BT107" s="224" t="n">
        <f aca="false">BT103+BT106</f>
        <v>0</v>
      </c>
      <c r="BU107" s="224" t="n">
        <f aca="false">BU103+BU106</f>
        <v>0</v>
      </c>
      <c r="BV107" s="224" t="n">
        <f aca="false">BV103+BV106</f>
        <v>0</v>
      </c>
      <c r="BW107" s="224" t="n">
        <f aca="false">BW103+BW106</f>
        <v>0</v>
      </c>
      <c r="BX107" s="224" t="n">
        <f aca="false">BX103+BX106</f>
        <v>0</v>
      </c>
      <c r="BY107" s="224" t="n">
        <f aca="false">BY103+BY106</f>
        <v>0</v>
      </c>
      <c r="BZ107" s="224" t="n">
        <f aca="false">BZ103+BZ106</f>
        <v>0</v>
      </c>
      <c r="CA107" s="224" t="n">
        <f aca="false">CA103+CA106</f>
        <v>0</v>
      </c>
      <c r="CB107" s="224" t="n">
        <f aca="false">CB103+CB106</f>
        <v>0</v>
      </c>
      <c r="CC107" s="224" t="n">
        <f aca="false">CC103+CC106</f>
        <v>0</v>
      </c>
      <c r="CD107" s="224" t="n">
        <f aca="false">CD103+CD106</f>
        <v>0</v>
      </c>
      <c r="CE107" s="224" t="n">
        <f aca="false">CE103+CE106</f>
        <v>0</v>
      </c>
      <c r="CF107" s="224" t="n">
        <f aca="false">CF103+CF106</f>
        <v>0</v>
      </c>
      <c r="CG107" s="224" t="n">
        <f aca="false">CG103+CG106</f>
        <v>0</v>
      </c>
      <c r="CH107" s="224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3" t="s">
        <v>562</v>
      </c>
      <c r="B1" s="83"/>
      <c r="C1" s="83"/>
      <c r="D1" s="83"/>
      <c r="E1" s="83"/>
      <c r="F1" s="8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customFormat="false" ht="15" hidden="false" customHeight="true" outlineLevel="0" collapsed="false">
      <c r="A4" s="86" t="s">
        <v>563</v>
      </c>
      <c r="B4" s="3"/>
      <c r="C4" s="225" t="n">
        <f aca="false">Model!E154</f>
        <v>9375</v>
      </c>
      <c r="D4" s="225" t="n">
        <f aca="false">Model!F154</f>
        <v>9375</v>
      </c>
      <c r="E4" s="225" t="n">
        <f aca="false">Model!G154</f>
        <v>9375</v>
      </c>
      <c r="F4" s="225" t="n">
        <f aca="false">Model!H154</f>
        <v>9375</v>
      </c>
      <c r="G4" s="225" t="n">
        <f aca="false">Model!I154</f>
        <v>9375</v>
      </c>
      <c r="H4" s="225" t="n">
        <f aca="false">Model!J154</f>
        <v>9375</v>
      </c>
      <c r="I4" s="225" t="n">
        <f aca="false">Model!K154</f>
        <v>9375</v>
      </c>
      <c r="J4" s="225" t="n">
        <f aca="false">Model!L154</f>
        <v>0</v>
      </c>
      <c r="K4" s="225" t="n">
        <f aca="false">Model!M154</f>
        <v>0</v>
      </c>
      <c r="L4" s="225" t="n">
        <f aca="false">Model!N154</f>
        <v>0</v>
      </c>
      <c r="M4" s="225" t="n">
        <f aca="false">Model!O154</f>
        <v>0</v>
      </c>
      <c r="N4" s="225" t="n">
        <f aca="false">Model!P154</f>
        <v>0</v>
      </c>
      <c r="O4" s="225" t="n">
        <f aca="false">Model!Q154</f>
        <v>0</v>
      </c>
      <c r="P4" s="225" t="n">
        <f aca="false">Model!R154</f>
        <v>0</v>
      </c>
      <c r="Q4" s="225" t="n">
        <f aca="false">Model!S154</f>
        <v>0</v>
      </c>
      <c r="R4" s="225" t="n">
        <f aca="false">Model!T154</f>
        <v>0</v>
      </c>
      <c r="S4" s="225" t="n">
        <f aca="false">Model!U154</f>
        <v>0</v>
      </c>
      <c r="T4" s="225" t="n">
        <f aca="false">Model!V154</f>
        <v>0</v>
      </c>
      <c r="U4" s="225" t="n">
        <f aca="false">Model!W154</f>
        <v>0</v>
      </c>
      <c r="V4" s="225" t="n">
        <f aca="false">Model!X154</f>
        <v>0</v>
      </c>
      <c r="W4" s="225" t="n">
        <f aca="false">Model!Y154</f>
        <v>0</v>
      </c>
      <c r="X4" s="225" t="n">
        <f aca="false">Model!Z154</f>
        <v>0</v>
      </c>
      <c r="Y4" s="225" t="n">
        <f aca="false">Model!AA154</f>
        <v>0</v>
      </c>
      <c r="Z4" s="225" t="n">
        <f aca="false">Model!AB154</f>
        <v>0</v>
      </c>
      <c r="AA4" s="225" t="n">
        <f aca="false">Model!AC154</f>
        <v>0</v>
      </c>
      <c r="AB4" s="225" t="n">
        <f aca="false">Model!AD154</f>
        <v>0</v>
      </c>
      <c r="AC4" s="225" t="n">
        <f aca="false">Model!AE154</f>
        <v>0</v>
      </c>
      <c r="AD4" s="225" t="n">
        <f aca="false">Model!AF154</f>
        <v>0</v>
      </c>
      <c r="AE4" s="225" t="n">
        <f aca="false">Model!AG154</f>
        <v>0</v>
      </c>
      <c r="AF4" s="225" t="n">
        <f aca="false">Model!AH154</f>
        <v>0</v>
      </c>
      <c r="AG4" s="225" t="n">
        <f aca="false">Model!AI154</f>
        <v>0</v>
      </c>
      <c r="AH4" s="225" t="n">
        <f aca="false">Model!AJ154</f>
        <v>0</v>
      </c>
      <c r="AI4" s="225" t="n">
        <f aca="false">Model!AK154</f>
        <v>0</v>
      </c>
      <c r="AJ4" s="225" t="n">
        <f aca="false">Model!AL154</f>
        <v>0</v>
      </c>
      <c r="AK4" s="225" t="n">
        <f aca="false">Model!AM154</f>
        <v>0</v>
      </c>
      <c r="AL4" s="225" t="n">
        <f aca="false">Model!AN154</f>
        <v>0</v>
      </c>
      <c r="AM4" s="225" t="n">
        <f aca="false">Model!AO154</f>
        <v>0</v>
      </c>
      <c r="AN4" s="225" t="n">
        <f aca="false">Model!AP154</f>
        <v>0</v>
      </c>
      <c r="AO4" s="225" t="n">
        <f aca="false">Model!AQ154</f>
        <v>0</v>
      </c>
      <c r="AP4" s="225" t="n">
        <f aca="false">Model!AR154</f>
        <v>0</v>
      </c>
      <c r="AQ4" s="225" t="n">
        <f aca="false">Model!AS154</f>
        <v>0</v>
      </c>
      <c r="AR4" s="225" t="n">
        <f aca="false">Model!AT154</f>
        <v>0</v>
      </c>
      <c r="AS4" s="225" t="n">
        <f aca="false">Model!AU154</f>
        <v>0</v>
      </c>
      <c r="AT4" s="225" t="n">
        <f aca="false">Model!AV154</f>
        <v>0</v>
      </c>
      <c r="AU4" s="225" t="n">
        <f aca="false">Model!AW154</f>
        <v>0</v>
      </c>
      <c r="AV4" s="225" t="n">
        <f aca="false">Model!AX154</f>
        <v>0</v>
      </c>
      <c r="AW4" s="225" t="n">
        <f aca="false">Model!AY154</f>
        <v>0</v>
      </c>
      <c r="AX4" s="225" t="n">
        <f aca="false">Model!AZ154</f>
        <v>0</v>
      </c>
      <c r="AY4" s="225" t="n">
        <f aca="false">Model!BA154</f>
        <v>0</v>
      </c>
      <c r="AZ4" s="225" t="n">
        <f aca="false">Model!BB154</f>
        <v>0</v>
      </c>
      <c r="BA4" s="225" t="n">
        <f aca="false">Model!BC154</f>
        <v>0</v>
      </c>
      <c r="BB4" s="225" t="n">
        <f aca="false">Model!BD154</f>
        <v>0</v>
      </c>
      <c r="BC4" s="225" t="n">
        <f aca="false">Model!BE154</f>
        <v>0</v>
      </c>
      <c r="BD4" s="225" t="n">
        <f aca="false">Model!BF154</f>
        <v>0</v>
      </c>
      <c r="BE4" s="225" t="n">
        <f aca="false">Model!BG154</f>
        <v>0</v>
      </c>
      <c r="BF4" s="225" t="n">
        <f aca="false">Model!BH154</f>
        <v>0</v>
      </c>
      <c r="BG4" s="225" t="n">
        <f aca="false">Model!BI154</f>
        <v>0</v>
      </c>
      <c r="BH4" s="225" t="n">
        <f aca="false">Model!BJ154</f>
        <v>0</v>
      </c>
      <c r="BI4" s="225" t="n">
        <f aca="false">Model!BK154</f>
        <v>0</v>
      </c>
      <c r="BJ4" s="225" t="n">
        <f aca="false">Model!BL154</f>
        <v>0</v>
      </c>
      <c r="BK4" s="225" t="n">
        <f aca="false">Model!BM154</f>
        <v>0</v>
      </c>
      <c r="BL4" s="225" t="n">
        <f aca="false">Model!BN154</f>
        <v>0</v>
      </c>
      <c r="BM4" s="225" t="n">
        <f aca="false">Model!BO154</f>
        <v>0</v>
      </c>
      <c r="BN4" s="225" t="n">
        <f aca="false">Model!BP154</f>
        <v>0</v>
      </c>
      <c r="BO4" s="225" t="n">
        <f aca="false">Model!BQ154</f>
        <v>0</v>
      </c>
      <c r="BP4" s="225" t="n">
        <f aca="false">Model!BR154</f>
        <v>0</v>
      </c>
      <c r="BQ4" s="225" t="n">
        <f aca="false">Model!BS154</f>
        <v>0</v>
      </c>
      <c r="BR4" s="225" t="n">
        <f aca="false">Model!BT154</f>
        <v>0</v>
      </c>
      <c r="BS4" s="225" t="n">
        <f aca="false">Model!BU154</f>
        <v>0</v>
      </c>
      <c r="BT4" s="225" t="n">
        <f aca="false">Model!BV154</f>
        <v>0</v>
      </c>
      <c r="BU4" s="225" t="n">
        <f aca="false">Model!BW154</f>
        <v>0</v>
      </c>
      <c r="BV4" s="225" t="n">
        <f aca="false">Model!BX154</f>
        <v>0</v>
      </c>
      <c r="BW4" s="225" t="n">
        <f aca="false">Model!BY154</f>
        <v>0</v>
      </c>
      <c r="BX4" s="225" t="n">
        <f aca="false">Model!BZ154</f>
        <v>0</v>
      </c>
      <c r="BY4" s="225" t="n">
        <f aca="false">Model!CA154</f>
        <v>0</v>
      </c>
      <c r="BZ4" s="225" t="n">
        <f aca="false">Model!CB154</f>
        <v>0</v>
      </c>
      <c r="CA4" s="225" t="n">
        <f aca="false">Model!CC154</f>
        <v>0</v>
      </c>
      <c r="CB4" s="225" t="n">
        <f aca="false">Model!CD154</f>
        <v>0</v>
      </c>
      <c r="CC4" s="225" t="n">
        <f aca="false">Model!CE154</f>
        <v>0</v>
      </c>
      <c r="CD4" s="225" t="n">
        <f aca="false">Model!CF154</f>
        <v>0</v>
      </c>
      <c r="CE4" s="225" t="n">
        <f aca="false">Model!CG154</f>
        <v>0</v>
      </c>
      <c r="CF4" s="225" t="n">
        <f aca="false">Model!CH154</f>
        <v>0</v>
      </c>
      <c r="CG4" s="225" t="n">
        <f aca="false">Model!CI154</f>
        <v>0</v>
      </c>
      <c r="CH4" s="225" t="n">
        <f aca="false">Model!CJ154</f>
        <v>0</v>
      </c>
    </row>
    <row r="5" customFormat="false" ht="15" hidden="false" customHeight="true" outlineLevel="0" collapsed="false">
      <c r="A5" s="226" t="s">
        <v>564</v>
      </c>
      <c r="B5" s="226"/>
      <c r="C5" s="227" t="n">
        <f aca="false">C4</f>
        <v>9375</v>
      </c>
      <c r="D5" s="227" t="n">
        <f aca="false">D4</f>
        <v>9375</v>
      </c>
      <c r="E5" s="227" t="n">
        <f aca="false">E4</f>
        <v>9375</v>
      </c>
      <c r="F5" s="227" t="n">
        <f aca="false">F4</f>
        <v>9375</v>
      </c>
      <c r="G5" s="227" t="n">
        <f aca="false">G4</f>
        <v>9375</v>
      </c>
      <c r="H5" s="227" t="n">
        <f aca="false">H4</f>
        <v>9375</v>
      </c>
      <c r="I5" s="227" t="n">
        <f aca="false">I4</f>
        <v>9375</v>
      </c>
      <c r="J5" s="227" t="n">
        <f aca="false">J4</f>
        <v>0</v>
      </c>
      <c r="K5" s="227" t="n">
        <f aca="false">K4</f>
        <v>0</v>
      </c>
      <c r="L5" s="227" t="n">
        <f aca="false">L4</f>
        <v>0</v>
      </c>
      <c r="M5" s="227" t="n">
        <f aca="false">M4</f>
        <v>0</v>
      </c>
      <c r="N5" s="227" t="n">
        <f aca="false">N4</f>
        <v>0</v>
      </c>
      <c r="O5" s="227" t="n">
        <f aca="false">O4</f>
        <v>0</v>
      </c>
      <c r="P5" s="227" t="n">
        <f aca="false">P4</f>
        <v>0</v>
      </c>
      <c r="Q5" s="227" t="n">
        <f aca="false">Q4</f>
        <v>0</v>
      </c>
      <c r="R5" s="227" t="n">
        <f aca="false">R4</f>
        <v>0</v>
      </c>
      <c r="S5" s="227" t="n">
        <f aca="false">S4</f>
        <v>0</v>
      </c>
      <c r="T5" s="227" t="n">
        <f aca="false">T4</f>
        <v>0</v>
      </c>
      <c r="U5" s="227" t="n">
        <f aca="false">U4</f>
        <v>0</v>
      </c>
      <c r="V5" s="227" t="n">
        <f aca="false">V4</f>
        <v>0</v>
      </c>
      <c r="W5" s="227" t="n">
        <f aca="false">W4</f>
        <v>0</v>
      </c>
      <c r="X5" s="227" t="n">
        <f aca="false">X4</f>
        <v>0</v>
      </c>
      <c r="Y5" s="227" t="n">
        <f aca="false">Y4</f>
        <v>0</v>
      </c>
      <c r="Z5" s="227" t="n">
        <f aca="false">Z4</f>
        <v>0</v>
      </c>
      <c r="AA5" s="227" t="n">
        <f aca="false">AA4</f>
        <v>0</v>
      </c>
      <c r="AB5" s="227" t="n">
        <f aca="false">AB4</f>
        <v>0</v>
      </c>
      <c r="AC5" s="227" t="n">
        <f aca="false">AC4</f>
        <v>0</v>
      </c>
      <c r="AD5" s="227" t="n">
        <f aca="false">AD4</f>
        <v>0</v>
      </c>
      <c r="AE5" s="227" t="n">
        <f aca="false">AE4</f>
        <v>0</v>
      </c>
      <c r="AF5" s="227" t="n">
        <f aca="false">AF4</f>
        <v>0</v>
      </c>
      <c r="AG5" s="227" t="n">
        <f aca="false">AG4</f>
        <v>0</v>
      </c>
      <c r="AH5" s="227" t="n">
        <f aca="false">AH4</f>
        <v>0</v>
      </c>
      <c r="AI5" s="227" t="n">
        <f aca="false">AI4</f>
        <v>0</v>
      </c>
      <c r="AJ5" s="227" t="n">
        <f aca="false">AJ4</f>
        <v>0</v>
      </c>
      <c r="AK5" s="227" t="n">
        <f aca="false">AK4</f>
        <v>0</v>
      </c>
      <c r="AL5" s="227" t="n">
        <f aca="false">AL4</f>
        <v>0</v>
      </c>
      <c r="AM5" s="227" t="n">
        <f aca="false">AM4</f>
        <v>0</v>
      </c>
      <c r="AN5" s="227" t="n">
        <f aca="false">AN4</f>
        <v>0</v>
      </c>
      <c r="AO5" s="227" t="n">
        <f aca="false">AO4</f>
        <v>0</v>
      </c>
      <c r="AP5" s="227" t="n">
        <f aca="false">AP4</f>
        <v>0</v>
      </c>
      <c r="AQ5" s="227" t="n">
        <f aca="false">AQ4</f>
        <v>0</v>
      </c>
      <c r="AR5" s="227" t="n">
        <f aca="false">AR4</f>
        <v>0</v>
      </c>
      <c r="AS5" s="227" t="n">
        <f aca="false">AS4</f>
        <v>0</v>
      </c>
      <c r="AT5" s="227" t="n">
        <f aca="false">AT4</f>
        <v>0</v>
      </c>
      <c r="AU5" s="227" t="n">
        <f aca="false">AU4</f>
        <v>0</v>
      </c>
      <c r="AV5" s="227" t="n">
        <f aca="false">AV4</f>
        <v>0</v>
      </c>
      <c r="AW5" s="227" t="n">
        <f aca="false">AW4</f>
        <v>0</v>
      </c>
      <c r="AX5" s="227" t="n">
        <f aca="false">AX4</f>
        <v>0</v>
      </c>
      <c r="AY5" s="227" t="n">
        <f aca="false">AY4</f>
        <v>0</v>
      </c>
      <c r="AZ5" s="227" t="n">
        <f aca="false">AZ4</f>
        <v>0</v>
      </c>
      <c r="BA5" s="227" t="n">
        <f aca="false">BA4</f>
        <v>0</v>
      </c>
      <c r="BB5" s="227" t="n">
        <f aca="false">BB4</f>
        <v>0</v>
      </c>
      <c r="BC5" s="227" t="n">
        <f aca="false">BC4</f>
        <v>0</v>
      </c>
      <c r="BD5" s="227" t="n">
        <f aca="false">BD4</f>
        <v>0</v>
      </c>
      <c r="BE5" s="227" t="n">
        <f aca="false">BE4</f>
        <v>0</v>
      </c>
      <c r="BF5" s="227" t="n">
        <f aca="false">BF4</f>
        <v>0</v>
      </c>
      <c r="BG5" s="227" t="n">
        <f aca="false">BG4</f>
        <v>0</v>
      </c>
      <c r="BH5" s="227" t="n">
        <f aca="false">BH4</f>
        <v>0</v>
      </c>
      <c r="BI5" s="227" t="n">
        <f aca="false">BI4</f>
        <v>0</v>
      </c>
      <c r="BJ5" s="227" t="n">
        <f aca="false">BJ4</f>
        <v>0</v>
      </c>
      <c r="BK5" s="227" t="n">
        <f aca="false">BK4</f>
        <v>0</v>
      </c>
      <c r="BL5" s="227" t="n">
        <f aca="false">BL4</f>
        <v>0</v>
      </c>
      <c r="BM5" s="227" t="n">
        <f aca="false">BM4</f>
        <v>0</v>
      </c>
      <c r="BN5" s="227" t="n">
        <f aca="false">BN4</f>
        <v>0</v>
      </c>
      <c r="BO5" s="227" t="n">
        <f aca="false">BO4</f>
        <v>0</v>
      </c>
      <c r="BP5" s="227" t="n">
        <f aca="false">BP4</f>
        <v>0</v>
      </c>
      <c r="BQ5" s="227" t="n">
        <f aca="false">BQ4</f>
        <v>0</v>
      </c>
      <c r="BR5" s="227" t="n">
        <f aca="false">BR4</f>
        <v>0</v>
      </c>
      <c r="BS5" s="227" t="n">
        <f aca="false">BS4</f>
        <v>0</v>
      </c>
      <c r="BT5" s="227" t="n">
        <f aca="false">BT4</f>
        <v>0</v>
      </c>
      <c r="BU5" s="227" t="n">
        <f aca="false">BU4</f>
        <v>0</v>
      </c>
      <c r="BV5" s="227" t="n">
        <f aca="false">BV4</f>
        <v>0</v>
      </c>
      <c r="BW5" s="227" t="n">
        <f aca="false">BW4</f>
        <v>0</v>
      </c>
      <c r="BX5" s="227" t="n">
        <f aca="false">BX4</f>
        <v>0</v>
      </c>
      <c r="BY5" s="227" t="n">
        <f aca="false">BY4</f>
        <v>0</v>
      </c>
      <c r="BZ5" s="227" t="n">
        <f aca="false">BZ4</f>
        <v>0</v>
      </c>
      <c r="CA5" s="227" t="n">
        <f aca="false">CA4</f>
        <v>0</v>
      </c>
      <c r="CB5" s="227" t="n">
        <f aca="false">CB4</f>
        <v>0</v>
      </c>
      <c r="CC5" s="227" t="n">
        <f aca="false">CC4</f>
        <v>0</v>
      </c>
      <c r="CD5" s="227" t="n">
        <f aca="false">CD4</f>
        <v>0</v>
      </c>
      <c r="CE5" s="227" t="n">
        <f aca="false">CE4</f>
        <v>0</v>
      </c>
      <c r="CF5" s="227" t="n">
        <f aca="false">CF4</f>
        <v>0</v>
      </c>
      <c r="CG5" s="227" t="n">
        <f aca="false">CG4</f>
        <v>0</v>
      </c>
      <c r="CH5" s="227" t="n">
        <f aca="false">CH4</f>
        <v>0</v>
      </c>
    </row>
    <row r="6" customFormat="false" ht="15" hidden="false" customHeight="true" outlineLevel="0" collapsed="false">
      <c r="A6" s="72" t="s">
        <v>565</v>
      </c>
      <c r="B6" s="3"/>
      <c r="C6" s="228" t="n">
        <f aca="false">C5</f>
        <v>9375</v>
      </c>
      <c r="D6" s="228" t="n">
        <f aca="false">C6+D5</f>
        <v>18750</v>
      </c>
      <c r="E6" s="228" t="n">
        <f aca="false">D6+E5</f>
        <v>28125</v>
      </c>
      <c r="F6" s="228" t="n">
        <f aca="false">E6+F5</f>
        <v>37500</v>
      </c>
      <c r="G6" s="228" t="n">
        <f aca="false">F6+G5</f>
        <v>46875</v>
      </c>
      <c r="H6" s="228" t="n">
        <f aca="false">G6+H5</f>
        <v>56250</v>
      </c>
      <c r="I6" s="228" t="n">
        <f aca="false">H6+I5</f>
        <v>65625</v>
      </c>
      <c r="J6" s="228" t="n">
        <f aca="false">I6+J5</f>
        <v>65625</v>
      </c>
      <c r="K6" s="228" t="n">
        <f aca="false">J6+K5</f>
        <v>65625</v>
      </c>
      <c r="L6" s="228" t="n">
        <f aca="false">K6+L5</f>
        <v>65625</v>
      </c>
      <c r="M6" s="228" t="n">
        <f aca="false">L6+M5</f>
        <v>65625</v>
      </c>
      <c r="N6" s="228" t="n">
        <f aca="false">M6+N5</f>
        <v>65625</v>
      </c>
      <c r="O6" s="228" t="n">
        <f aca="false">N6+O5</f>
        <v>65625</v>
      </c>
      <c r="P6" s="228" t="n">
        <f aca="false">O6+P5</f>
        <v>65625</v>
      </c>
      <c r="Q6" s="228" t="n">
        <f aca="false">P6+Q5</f>
        <v>65625</v>
      </c>
      <c r="R6" s="228" t="n">
        <f aca="false">Q6+R5</f>
        <v>65625</v>
      </c>
      <c r="S6" s="228" t="n">
        <f aca="false">R6+S5</f>
        <v>65625</v>
      </c>
      <c r="T6" s="228" t="n">
        <f aca="false">S6+T5</f>
        <v>65625</v>
      </c>
      <c r="U6" s="228" t="n">
        <f aca="false">T6+U5</f>
        <v>65625</v>
      </c>
      <c r="V6" s="228" t="n">
        <f aca="false">U6+V5</f>
        <v>65625</v>
      </c>
      <c r="W6" s="228" t="n">
        <f aca="false">V6+W5</f>
        <v>65625</v>
      </c>
      <c r="X6" s="228" t="n">
        <f aca="false">W6+X5</f>
        <v>65625</v>
      </c>
      <c r="Y6" s="228" t="n">
        <f aca="false">X6+Y5</f>
        <v>65625</v>
      </c>
      <c r="Z6" s="228" t="n">
        <f aca="false">Y6+Z5</f>
        <v>65625</v>
      </c>
      <c r="AA6" s="228" t="n">
        <f aca="false">Z6+AA5</f>
        <v>65625</v>
      </c>
      <c r="AB6" s="228" t="n">
        <f aca="false">AA6+AB5</f>
        <v>65625</v>
      </c>
      <c r="AC6" s="228" t="n">
        <f aca="false">AB6+AC5</f>
        <v>65625</v>
      </c>
      <c r="AD6" s="228" t="n">
        <f aca="false">AC6+AD5</f>
        <v>65625</v>
      </c>
      <c r="AE6" s="228" t="n">
        <f aca="false">AD6+AE5</f>
        <v>65625</v>
      </c>
      <c r="AF6" s="228" t="n">
        <f aca="false">AE6+AF5</f>
        <v>65625</v>
      </c>
      <c r="AG6" s="228" t="n">
        <f aca="false">AF6+AG5</f>
        <v>65625</v>
      </c>
      <c r="AH6" s="228" t="n">
        <f aca="false">AG6+AH5</f>
        <v>65625</v>
      </c>
      <c r="AI6" s="228" t="n">
        <f aca="false">AH6+AI5</f>
        <v>65625</v>
      </c>
      <c r="AJ6" s="228" t="n">
        <f aca="false">AI6+AJ5</f>
        <v>65625</v>
      </c>
      <c r="AK6" s="228" t="n">
        <f aca="false">AJ6+AK5</f>
        <v>65625</v>
      </c>
      <c r="AL6" s="228" t="n">
        <f aca="false">AK6+AL5</f>
        <v>65625</v>
      </c>
      <c r="AM6" s="228" t="n">
        <f aca="false">AL6+AM5</f>
        <v>65625</v>
      </c>
      <c r="AN6" s="228" t="n">
        <f aca="false">AM6+AN5</f>
        <v>65625</v>
      </c>
      <c r="AO6" s="228" t="n">
        <f aca="false">AN6+AO5</f>
        <v>65625</v>
      </c>
      <c r="AP6" s="228" t="n">
        <f aca="false">AO6+AP5</f>
        <v>65625</v>
      </c>
      <c r="AQ6" s="228" t="n">
        <f aca="false">AP6+AQ5</f>
        <v>65625</v>
      </c>
      <c r="AR6" s="228" t="n">
        <f aca="false">AQ6+AR5</f>
        <v>65625</v>
      </c>
      <c r="AS6" s="228" t="n">
        <f aca="false">AR6+AS5</f>
        <v>65625</v>
      </c>
      <c r="AT6" s="228" t="n">
        <f aca="false">AS6+AT5</f>
        <v>65625</v>
      </c>
      <c r="AU6" s="228" t="n">
        <f aca="false">AT6+AU5</f>
        <v>65625</v>
      </c>
      <c r="AV6" s="228" t="n">
        <f aca="false">AU6+AV5</f>
        <v>65625</v>
      </c>
      <c r="AW6" s="228" t="n">
        <f aca="false">AV6+AW5</f>
        <v>65625</v>
      </c>
      <c r="AX6" s="228" t="n">
        <f aca="false">AW6+AX5</f>
        <v>65625</v>
      </c>
      <c r="AY6" s="228" t="n">
        <f aca="false">AX6+AY5</f>
        <v>65625</v>
      </c>
      <c r="AZ6" s="228" t="n">
        <f aca="false">AY6+AZ5</f>
        <v>65625</v>
      </c>
      <c r="BA6" s="228" t="n">
        <f aca="false">AZ6+BA5</f>
        <v>65625</v>
      </c>
      <c r="BB6" s="228" t="n">
        <f aca="false">BA6+BB5</f>
        <v>65625</v>
      </c>
      <c r="BC6" s="228" t="n">
        <f aca="false">BB6+BC5</f>
        <v>65625</v>
      </c>
      <c r="BD6" s="228" t="n">
        <f aca="false">BC6+BD5</f>
        <v>65625</v>
      </c>
      <c r="BE6" s="228" t="n">
        <f aca="false">BD6+BE5</f>
        <v>65625</v>
      </c>
      <c r="BF6" s="228" t="n">
        <f aca="false">BE6+BF5</f>
        <v>65625</v>
      </c>
      <c r="BG6" s="228" t="n">
        <f aca="false">BF6+BG5</f>
        <v>65625</v>
      </c>
      <c r="BH6" s="228" t="n">
        <f aca="false">BG6+BH5</f>
        <v>65625</v>
      </c>
      <c r="BI6" s="228" t="n">
        <f aca="false">BH6+BI5</f>
        <v>65625</v>
      </c>
      <c r="BJ6" s="228" t="n">
        <f aca="false">BI6+BJ5</f>
        <v>65625</v>
      </c>
      <c r="BK6" s="228" t="n">
        <f aca="false">BJ6+BK5</f>
        <v>65625</v>
      </c>
      <c r="BL6" s="228" t="n">
        <f aca="false">BK6+BL5</f>
        <v>65625</v>
      </c>
      <c r="BM6" s="228" t="n">
        <f aca="false">BL6+BM5</f>
        <v>65625</v>
      </c>
      <c r="BN6" s="228" t="n">
        <f aca="false">BM6+BN5</f>
        <v>65625</v>
      </c>
      <c r="BO6" s="228" t="n">
        <f aca="false">BN6+BO5</f>
        <v>65625</v>
      </c>
      <c r="BP6" s="228" t="n">
        <f aca="false">BO6+BP5</f>
        <v>65625</v>
      </c>
      <c r="BQ6" s="228" t="n">
        <f aca="false">BP6+BQ5</f>
        <v>65625</v>
      </c>
      <c r="BR6" s="228" t="n">
        <f aca="false">BQ6+BR5</f>
        <v>65625</v>
      </c>
      <c r="BS6" s="228" t="n">
        <f aca="false">BR6+BS5</f>
        <v>65625</v>
      </c>
      <c r="BT6" s="228" t="n">
        <f aca="false">BS6+BT5</f>
        <v>65625</v>
      </c>
      <c r="BU6" s="228" t="n">
        <f aca="false">BT6+BU5</f>
        <v>65625</v>
      </c>
      <c r="BV6" s="228" t="n">
        <f aca="false">BU6+BV5</f>
        <v>65625</v>
      </c>
      <c r="BW6" s="228" t="n">
        <f aca="false">BV6+BW5</f>
        <v>65625</v>
      </c>
      <c r="BX6" s="228" t="n">
        <f aca="false">BW6+BX5</f>
        <v>65625</v>
      </c>
      <c r="BY6" s="228" t="n">
        <f aca="false">BX6+BY5</f>
        <v>65625</v>
      </c>
      <c r="BZ6" s="228" t="n">
        <f aca="false">BY6+BZ5</f>
        <v>65625</v>
      </c>
      <c r="CA6" s="228" t="n">
        <f aca="false">BZ6+CA5</f>
        <v>65625</v>
      </c>
      <c r="CB6" s="228" t="n">
        <f aca="false">CA6+CB5</f>
        <v>65625</v>
      </c>
      <c r="CC6" s="228" t="n">
        <f aca="false">CB6+CC5</f>
        <v>65625</v>
      </c>
      <c r="CD6" s="228" t="n">
        <f aca="false">CC6+CD5</f>
        <v>65625</v>
      </c>
      <c r="CE6" s="228" t="n">
        <f aca="false">CD6+CE5</f>
        <v>65625</v>
      </c>
      <c r="CF6" s="228" t="n">
        <f aca="false">CE6+CF5</f>
        <v>65625</v>
      </c>
      <c r="CG6" s="228" t="n">
        <f aca="false">CF6+CG5</f>
        <v>65625</v>
      </c>
      <c r="CH6" s="228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customFormat="false" ht="15" hidden="false" customHeight="true" outlineLevel="0" collapsed="false">
      <c r="A9" s="86" t="s">
        <v>563</v>
      </c>
      <c r="B9" s="3"/>
      <c r="C9" s="225" t="n">
        <f aca="false">Model!E150+Model!E151+Model!E152+Model!E153</f>
        <v>23906.25</v>
      </c>
      <c r="D9" s="225" t="n">
        <f aca="false">Model!F150+Model!F151+Model!F152+Model!F153</f>
        <v>23906.25</v>
      </c>
      <c r="E9" s="225" t="n">
        <f aca="false">Model!G150+Model!G151+Model!G152+Model!G153</f>
        <v>23906.25</v>
      </c>
      <c r="F9" s="225" t="n">
        <f aca="false">Model!H150+Model!H151+Model!H152+Model!H153</f>
        <v>23906.25</v>
      </c>
      <c r="G9" s="225" t="n">
        <f aca="false">Model!I150+Model!I151+Model!I152+Model!I153</f>
        <v>23906.25</v>
      </c>
      <c r="H9" s="225" t="n">
        <f aca="false">Model!J150+Model!J151+Model!J152+Model!J153</f>
        <v>23906.25</v>
      </c>
      <c r="I9" s="225" t="n">
        <f aca="false">Model!K150+Model!K151+Model!K152+Model!K153</f>
        <v>23906.25</v>
      </c>
      <c r="J9" s="225" t="n">
        <f aca="false">Model!L150+Model!L151+Model!L152+Model!L153</f>
        <v>23906.25</v>
      </c>
      <c r="K9" s="225" t="n">
        <f aca="false">Model!M150+Model!M151+Model!M152+Model!M153</f>
        <v>23906.25</v>
      </c>
      <c r="L9" s="225" t="n">
        <f aca="false">Model!N150+Model!N151+Model!N152+Model!N153</f>
        <v>23906.25</v>
      </c>
      <c r="M9" s="225" t="n">
        <f aca="false">Model!O150+Model!O151+Model!O152+Model!O153</f>
        <v>23906.25</v>
      </c>
      <c r="N9" s="225" t="n">
        <f aca="false">Model!P150+Model!P151+Model!P152+Model!P153</f>
        <v>23906.25</v>
      </c>
      <c r="O9" s="225" t="n">
        <f aca="false">Model!Q150+Model!Q151+Model!Q152+Model!Q153</f>
        <v>23906.25</v>
      </c>
      <c r="P9" s="225" t="n">
        <f aca="false">Model!R150+Model!R151+Model!R152+Model!R153</f>
        <v>23906.25</v>
      </c>
      <c r="Q9" s="225" t="n">
        <f aca="false">Model!S150+Model!S151+Model!S152+Model!S153</f>
        <v>23906.25</v>
      </c>
      <c r="R9" s="225" t="n">
        <f aca="false">Model!T150+Model!T151+Model!T152+Model!T153</f>
        <v>0</v>
      </c>
      <c r="S9" s="225" t="n">
        <f aca="false">Model!U150+Model!U151+Model!U152+Model!U153</f>
        <v>0</v>
      </c>
      <c r="T9" s="225" t="n">
        <f aca="false">Model!V150+Model!V151+Model!V152+Model!V153</f>
        <v>0</v>
      </c>
      <c r="U9" s="225" t="n">
        <f aca="false">Model!W150+Model!W151+Model!W152+Model!W153</f>
        <v>0</v>
      </c>
      <c r="V9" s="225" t="n">
        <f aca="false">Model!X150+Model!X151+Model!X152+Model!X153</f>
        <v>0</v>
      </c>
      <c r="W9" s="225" t="n">
        <f aca="false">Model!Y150+Model!Y151+Model!Y152+Model!Y153</f>
        <v>57375</v>
      </c>
      <c r="X9" s="225" t="n">
        <f aca="false">Model!Z150+Model!Z151+Model!Z152+Model!Z153</f>
        <v>0</v>
      </c>
      <c r="Y9" s="225" t="n">
        <f aca="false">Model!AA150+Model!AA151+Model!AA152+Model!AA153</f>
        <v>0</v>
      </c>
      <c r="Z9" s="225" t="n">
        <f aca="false">Model!AB150+Model!AB151+Model!AB152+Model!AB153</f>
        <v>57375</v>
      </c>
      <c r="AA9" s="225" t="n">
        <f aca="false">Model!AC150+Model!AC151+Model!AC152+Model!AC153</f>
        <v>0</v>
      </c>
      <c r="AB9" s="225" t="n">
        <f aca="false">Model!AD150+Model!AD151+Model!AD152+Model!AD153</f>
        <v>0</v>
      </c>
      <c r="AC9" s="225" t="n">
        <f aca="false">Model!AE150+Model!AE151+Model!AE152+Model!AE153</f>
        <v>57375</v>
      </c>
      <c r="AD9" s="225" t="n">
        <f aca="false">Model!AF150+Model!AF151+Model!AF152+Model!AF153</f>
        <v>0</v>
      </c>
      <c r="AE9" s="225" t="n">
        <f aca="false">Model!AG150+Model!AG151+Model!AG152+Model!AG153</f>
        <v>0</v>
      </c>
      <c r="AF9" s="225" t="n">
        <f aca="false">Model!AH150+Model!AH151+Model!AH152+Model!AH153</f>
        <v>0</v>
      </c>
      <c r="AG9" s="225" t="n">
        <f aca="false">Model!AI150+Model!AI151+Model!AI152+Model!AI153</f>
        <v>0</v>
      </c>
      <c r="AH9" s="225" t="n">
        <f aca="false">Model!AJ150+Model!AJ151+Model!AJ152+Model!AJ153</f>
        <v>0</v>
      </c>
      <c r="AI9" s="225" t="n">
        <f aca="false">Model!AK150+Model!AK151+Model!AK152+Model!AK153</f>
        <v>0</v>
      </c>
      <c r="AJ9" s="225" t="n">
        <f aca="false">Model!AL150+Model!AL151+Model!AL152+Model!AL153</f>
        <v>0</v>
      </c>
      <c r="AK9" s="225" t="n">
        <f aca="false">Model!AM150+Model!AM151+Model!AM152+Model!AM153</f>
        <v>0</v>
      </c>
      <c r="AL9" s="225" t="n">
        <f aca="false">Model!AN150+Model!AN151+Model!AN152+Model!AN153</f>
        <v>0</v>
      </c>
      <c r="AM9" s="225" t="n">
        <f aca="false">Model!AO150+Model!AO151+Model!AO152+Model!AO153</f>
        <v>0</v>
      </c>
      <c r="AN9" s="225" t="n">
        <f aca="false">Model!AP150+Model!AP151+Model!AP152+Model!AP153</f>
        <v>0</v>
      </c>
      <c r="AO9" s="225" t="n">
        <f aca="false">Model!AQ150+Model!AQ151+Model!AQ152+Model!AQ153</f>
        <v>0</v>
      </c>
      <c r="AP9" s="225" t="n">
        <f aca="false">Model!AR150+Model!AR151+Model!AR152+Model!AR153</f>
        <v>0</v>
      </c>
      <c r="AQ9" s="225" t="n">
        <f aca="false">Model!AS150+Model!AS151+Model!AS152+Model!AS153</f>
        <v>0</v>
      </c>
      <c r="AR9" s="225" t="n">
        <f aca="false">Model!AT150+Model!AT151+Model!AT152+Model!AT153</f>
        <v>0</v>
      </c>
      <c r="AS9" s="225" t="n">
        <f aca="false">Model!AU150+Model!AU151+Model!AU152+Model!AU153</f>
        <v>0</v>
      </c>
      <c r="AT9" s="225" t="n">
        <f aca="false">Model!AV150+Model!AV151+Model!AV152+Model!AV153</f>
        <v>0</v>
      </c>
      <c r="AU9" s="225" t="n">
        <f aca="false">Model!AW150+Model!AW151+Model!AW152+Model!AW153</f>
        <v>0</v>
      </c>
      <c r="AV9" s="225" t="n">
        <f aca="false">Model!AX150+Model!AX151+Model!AX152+Model!AX153</f>
        <v>0</v>
      </c>
      <c r="AW9" s="225" t="n">
        <f aca="false">Model!AY150+Model!AY151+Model!AY152+Model!AY153</f>
        <v>0</v>
      </c>
      <c r="AX9" s="225" t="n">
        <f aca="false">Model!AZ150+Model!AZ151+Model!AZ152+Model!AZ153</f>
        <v>0</v>
      </c>
      <c r="AY9" s="225" t="n">
        <f aca="false">Model!BA150+Model!BA151+Model!BA152+Model!BA153</f>
        <v>0</v>
      </c>
      <c r="AZ9" s="225" t="n">
        <f aca="false">Model!BB150+Model!BB151+Model!BB152+Model!BB153</f>
        <v>0</v>
      </c>
      <c r="BA9" s="225" t="n">
        <f aca="false">Model!BC150+Model!BC151+Model!BC152+Model!BC153</f>
        <v>0</v>
      </c>
      <c r="BB9" s="225" t="n">
        <f aca="false">Model!BD150+Model!BD151+Model!BD152+Model!BD153</f>
        <v>0</v>
      </c>
      <c r="BC9" s="225" t="n">
        <f aca="false">Model!BE150+Model!BE151+Model!BE152+Model!BE153</f>
        <v>0</v>
      </c>
      <c r="BD9" s="225" t="n">
        <f aca="false">Model!BF150+Model!BF151+Model!BF152+Model!BF153</f>
        <v>0</v>
      </c>
      <c r="BE9" s="225" t="n">
        <f aca="false">Model!BG150+Model!BG151+Model!BG152+Model!BG153</f>
        <v>0</v>
      </c>
      <c r="BF9" s="225" t="n">
        <f aca="false">Model!BH150+Model!BH151+Model!BH152+Model!BH153</f>
        <v>0</v>
      </c>
      <c r="BG9" s="225" t="n">
        <f aca="false">Model!BI150+Model!BI151+Model!BI152+Model!BI153</f>
        <v>0</v>
      </c>
      <c r="BH9" s="225" t="n">
        <f aca="false">Model!BJ150+Model!BJ151+Model!BJ152+Model!BJ153</f>
        <v>0</v>
      </c>
      <c r="BI9" s="225" t="n">
        <f aca="false">Model!BK150+Model!BK151+Model!BK152+Model!BK153</f>
        <v>0</v>
      </c>
      <c r="BJ9" s="225" t="n">
        <f aca="false">Model!BL150+Model!BL151+Model!BL152+Model!BL153</f>
        <v>0</v>
      </c>
      <c r="BK9" s="225" t="n">
        <f aca="false">Model!BM150+Model!BM151+Model!BM152+Model!BM153</f>
        <v>0</v>
      </c>
      <c r="BL9" s="225" t="n">
        <f aca="false">Model!BN150+Model!BN151+Model!BN152+Model!BN153</f>
        <v>0</v>
      </c>
      <c r="BM9" s="225" t="n">
        <f aca="false">Model!BO150+Model!BO151+Model!BO152+Model!BO153</f>
        <v>0</v>
      </c>
      <c r="BN9" s="225" t="n">
        <f aca="false">Model!BP150+Model!BP151+Model!BP152+Model!BP153</f>
        <v>0</v>
      </c>
      <c r="BO9" s="225" t="n">
        <f aca="false">Model!BQ150+Model!BQ151+Model!BQ152+Model!BQ153</f>
        <v>0</v>
      </c>
      <c r="BP9" s="225" t="n">
        <f aca="false">Model!BR150+Model!BR151+Model!BR152+Model!BR153</f>
        <v>0</v>
      </c>
      <c r="BQ9" s="225" t="n">
        <f aca="false">Model!BS150+Model!BS151+Model!BS152+Model!BS153</f>
        <v>0</v>
      </c>
      <c r="BR9" s="225" t="n">
        <f aca="false">Model!BT150+Model!BT151+Model!BT152+Model!BT153</f>
        <v>0</v>
      </c>
      <c r="BS9" s="225" t="n">
        <f aca="false">Model!BU150+Model!BU151+Model!BU152+Model!BU153</f>
        <v>0</v>
      </c>
      <c r="BT9" s="225" t="n">
        <f aca="false">Model!BV150+Model!BV151+Model!BV152+Model!BV153</f>
        <v>0</v>
      </c>
      <c r="BU9" s="225" t="n">
        <f aca="false">Model!BW150+Model!BW151+Model!BW152+Model!BW153</f>
        <v>0</v>
      </c>
      <c r="BV9" s="225" t="n">
        <f aca="false">Model!BX150+Model!BX151+Model!BX152+Model!BX153</f>
        <v>0</v>
      </c>
      <c r="BW9" s="225" t="n">
        <f aca="false">Model!BY150+Model!BY151+Model!BY152+Model!BY153</f>
        <v>0</v>
      </c>
      <c r="BX9" s="225" t="n">
        <f aca="false">Model!BZ150+Model!BZ151+Model!BZ152+Model!BZ153</f>
        <v>0</v>
      </c>
      <c r="BY9" s="225" t="n">
        <f aca="false">Model!CA150+Model!CA151+Model!CA152+Model!CA153</f>
        <v>0</v>
      </c>
      <c r="BZ9" s="225" t="n">
        <f aca="false">Model!CB150+Model!CB151+Model!CB152+Model!CB153</f>
        <v>0</v>
      </c>
      <c r="CA9" s="225" t="n">
        <f aca="false">Model!CC150+Model!CC151+Model!CC152+Model!CC153</f>
        <v>0</v>
      </c>
      <c r="CB9" s="225" t="n">
        <f aca="false">Model!CD150+Model!CD151+Model!CD152+Model!CD153</f>
        <v>0</v>
      </c>
      <c r="CC9" s="225" t="n">
        <f aca="false">Model!CE150+Model!CE151+Model!CE152+Model!CE153</f>
        <v>0</v>
      </c>
      <c r="CD9" s="225" t="n">
        <f aca="false">Model!CF150+Model!CF151+Model!CF152+Model!CF153</f>
        <v>0</v>
      </c>
      <c r="CE9" s="225" t="n">
        <f aca="false">Model!CG150+Model!CG151+Model!CG152+Model!CG153</f>
        <v>0</v>
      </c>
      <c r="CF9" s="225" t="n">
        <f aca="false">Model!CH150+Model!CH151+Model!CH152+Model!CH153</f>
        <v>0</v>
      </c>
      <c r="CG9" s="225" t="n">
        <f aca="false">Model!CI150+Model!CI151+Model!CI152+Model!CI153</f>
        <v>0</v>
      </c>
      <c r="CH9" s="225" t="n">
        <f aca="false">Model!CJ150+Model!CJ151+Model!CJ152+Model!CJ153</f>
        <v>0</v>
      </c>
    </row>
    <row r="10" customFormat="false" ht="15" hidden="false" customHeight="true" outlineLevel="0" collapsed="false">
      <c r="A10" s="226" t="s">
        <v>564</v>
      </c>
      <c r="B10" s="226"/>
      <c r="C10" s="227" t="n">
        <f aca="false">C9</f>
        <v>23906.25</v>
      </c>
      <c r="D10" s="227" t="n">
        <f aca="false">D9</f>
        <v>23906.25</v>
      </c>
      <c r="E10" s="227" t="n">
        <f aca="false">E9</f>
        <v>23906.25</v>
      </c>
      <c r="F10" s="227" t="n">
        <f aca="false">F9</f>
        <v>23906.25</v>
      </c>
      <c r="G10" s="227" t="n">
        <f aca="false">G9</f>
        <v>23906.25</v>
      </c>
      <c r="H10" s="227" t="n">
        <f aca="false">H9</f>
        <v>23906.25</v>
      </c>
      <c r="I10" s="227" t="n">
        <f aca="false">I9</f>
        <v>23906.25</v>
      </c>
      <c r="J10" s="227" t="n">
        <f aca="false">J9</f>
        <v>23906.25</v>
      </c>
      <c r="K10" s="227" t="n">
        <f aca="false">K9</f>
        <v>23906.25</v>
      </c>
      <c r="L10" s="227" t="n">
        <f aca="false">L9</f>
        <v>23906.25</v>
      </c>
      <c r="M10" s="227" t="n">
        <f aca="false">M9</f>
        <v>23906.25</v>
      </c>
      <c r="N10" s="227" t="n">
        <f aca="false">N9</f>
        <v>23906.25</v>
      </c>
      <c r="O10" s="227" t="n">
        <f aca="false">O9</f>
        <v>23906.25</v>
      </c>
      <c r="P10" s="227" t="n">
        <f aca="false">P9</f>
        <v>23906.25</v>
      </c>
      <c r="Q10" s="227" t="n">
        <f aca="false">Q9</f>
        <v>23906.25</v>
      </c>
      <c r="R10" s="227" t="n">
        <f aca="false">R9</f>
        <v>0</v>
      </c>
      <c r="S10" s="227" t="n">
        <f aca="false">S9</f>
        <v>0</v>
      </c>
      <c r="T10" s="227" t="n">
        <f aca="false">T9</f>
        <v>0</v>
      </c>
      <c r="U10" s="227" t="n">
        <f aca="false">U9</f>
        <v>0</v>
      </c>
      <c r="V10" s="227" t="n">
        <f aca="false">V9</f>
        <v>0</v>
      </c>
      <c r="W10" s="227" t="n">
        <f aca="false">W9</f>
        <v>57375</v>
      </c>
      <c r="X10" s="227" t="n">
        <f aca="false">X9</f>
        <v>0</v>
      </c>
      <c r="Y10" s="227" t="n">
        <f aca="false">Y9</f>
        <v>0</v>
      </c>
      <c r="Z10" s="227" t="n">
        <f aca="false">Z9</f>
        <v>57375</v>
      </c>
      <c r="AA10" s="227" t="n">
        <f aca="false">AA9</f>
        <v>0</v>
      </c>
      <c r="AB10" s="227" t="n">
        <f aca="false">AB9</f>
        <v>0</v>
      </c>
      <c r="AC10" s="227" t="n">
        <f aca="false">AC9</f>
        <v>57375</v>
      </c>
      <c r="AD10" s="227" t="n">
        <f aca="false">AD9</f>
        <v>0</v>
      </c>
      <c r="AE10" s="227" t="n">
        <f aca="false">AE9</f>
        <v>0</v>
      </c>
      <c r="AF10" s="227" t="n">
        <f aca="false">AF9</f>
        <v>0</v>
      </c>
      <c r="AG10" s="227" t="n">
        <f aca="false">AG9</f>
        <v>0</v>
      </c>
      <c r="AH10" s="227" t="n">
        <f aca="false">AH9</f>
        <v>0</v>
      </c>
      <c r="AI10" s="227" t="n">
        <f aca="false">AI9</f>
        <v>0</v>
      </c>
      <c r="AJ10" s="227" t="n">
        <f aca="false">AJ9</f>
        <v>0</v>
      </c>
      <c r="AK10" s="227" t="n">
        <f aca="false">AK9</f>
        <v>0</v>
      </c>
      <c r="AL10" s="227" t="n">
        <f aca="false">AL9</f>
        <v>0</v>
      </c>
      <c r="AM10" s="227" t="n">
        <f aca="false">AM9</f>
        <v>0</v>
      </c>
      <c r="AN10" s="227" t="n">
        <f aca="false">AN9</f>
        <v>0</v>
      </c>
      <c r="AO10" s="227" t="n">
        <f aca="false">AO9</f>
        <v>0</v>
      </c>
      <c r="AP10" s="227" t="n">
        <f aca="false">AP9</f>
        <v>0</v>
      </c>
      <c r="AQ10" s="227" t="n">
        <f aca="false">AQ9</f>
        <v>0</v>
      </c>
      <c r="AR10" s="227" t="n">
        <f aca="false">AR9</f>
        <v>0</v>
      </c>
      <c r="AS10" s="227" t="n">
        <f aca="false">AS9</f>
        <v>0</v>
      </c>
      <c r="AT10" s="227" t="n">
        <f aca="false">AT9</f>
        <v>0</v>
      </c>
      <c r="AU10" s="227" t="n">
        <f aca="false">AU9</f>
        <v>0</v>
      </c>
      <c r="AV10" s="227" t="n">
        <f aca="false">AV9</f>
        <v>0</v>
      </c>
      <c r="AW10" s="227" t="n">
        <f aca="false">AW9</f>
        <v>0</v>
      </c>
      <c r="AX10" s="227" t="n">
        <f aca="false">AX9</f>
        <v>0</v>
      </c>
      <c r="AY10" s="227" t="n">
        <f aca="false">AY9</f>
        <v>0</v>
      </c>
      <c r="AZ10" s="227" t="n">
        <f aca="false">AZ9</f>
        <v>0</v>
      </c>
      <c r="BA10" s="227" t="n">
        <f aca="false">BA9</f>
        <v>0</v>
      </c>
      <c r="BB10" s="227" t="n">
        <f aca="false">BB9</f>
        <v>0</v>
      </c>
      <c r="BC10" s="227" t="n">
        <f aca="false">BC9</f>
        <v>0</v>
      </c>
      <c r="BD10" s="227" t="n">
        <f aca="false">BD9</f>
        <v>0</v>
      </c>
      <c r="BE10" s="227" t="n">
        <f aca="false">BE9</f>
        <v>0</v>
      </c>
      <c r="BF10" s="227" t="n">
        <f aca="false">BF9</f>
        <v>0</v>
      </c>
      <c r="BG10" s="227" t="n">
        <f aca="false">BG9</f>
        <v>0</v>
      </c>
      <c r="BH10" s="227" t="n">
        <f aca="false">BH9</f>
        <v>0</v>
      </c>
      <c r="BI10" s="227" t="n">
        <f aca="false">BI9</f>
        <v>0</v>
      </c>
      <c r="BJ10" s="227" t="n">
        <f aca="false">BJ9</f>
        <v>0</v>
      </c>
      <c r="BK10" s="227" t="n">
        <f aca="false">BK9</f>
        <v>0</v>
      </c>
      <c r="BL10" s="227" t="n">
        <f aca="false">BL9</f>
        <v>0</v>
      </c>
      <c r="BM10" s="227" t="n">
        <f aca="false">BM9</f>
        <v>0</v>
      </c>
      <c r="BN10" s="227" t="n">
        <f aca="false">BN9</f>
        <v>0</v>
      </c>
      <c r="BO10" s="227" t="n">
        <f aca="false">BO9</f>
        <v>0</v>
      </c>
      <c r="BP10" s="227" t="n">
        <f aca="false">BP9</f>
        <v>0</v>
      </c>
      <c r="BQ10" s="227" t="n">
        <f aca="false">BQ9</f>
        <v>0</v>
      </c>
      <c r="BR10" s="227" t="n">
        <f aca="false">BR9</f>
        <v>0</v>
      </c>
      <c r="BS10" s="227" t="n">
        <f aca="false">BS9</f>
        <v>0</v>
      </c>
      <c r="BT10" s="227" t="n">
        <f aca="false">BT9</f>
        <v>0</v>
      </c>
      <c r="BU10" s="227" t="n">
        <f aca="false">BU9</f>
        <v>0</v>
      </c>
      <c r="BV10" s="227" t="n">
        <f aca="false">BV9</f>
        <v>0</v>
      </c>
      <c r="BW10" s="227" t="n">
        <f aca="false">BW9</f>
        <v>0</v>
      </c>
      <c r="BX10" s="227" t="n">
        <f aca="false">BX9</f>
        <v>0</v>
      </c>
      <c r="BY10" s="227" t="n">
        <f aca="false">BY9</f>
        <v>0</v>
      </c>
      <c r="BZ10" s="227" t="n">
        <f aca="false">BZ9</f>
        <v>0</v>
      </c>
      <c r="CA10" s="227" t="n">
        <f aca="false">CA9</f>
        <v>0</v>
      </c>
      <c r="CB10" s="227" t="n">
        <f aca="false">CB9</f>
        <v>0</v>
      </c>
      <c r="CC10" s="227" t="n">
        <f aca="false">CC9</f>
        <v>0</v>
      </c>
      <c r="CD10" s="227" t="n">
        <f aca="false">CD9</f>
        <v>0</v>
      </c>
      <c r="CE10" s="227" t="n">
        <f aca="false">CE9</f>
        <v>0</v>
      </c>
      <c r="CF10" s="227" t="n">
        <f aca="false">CF9</f>
        <v>0</v>
      </c>
      <c r="CG10" s="227" t="n">
        <f aca="false">CG9</f>
        <v>0</v>
      </c>
      <c r="CH10" s="227" t="n">
        <f aca="false">CH9</f>
        <v>0</v>
      </c>
    </row>
    <row r="11" customFormat="false" ht="15" hidden="false" customHeight="true" outlineLevel="0" collapsed="false">
      <c r="A11" s="72" t="s">
        <v>565</v>
      </c>
      <c r="B11" s="3"/>
      <c r="C11" s="228" t="n">
        <f aca="false">C10</f>
        <v>23906.25</v>
      </c>
      <c r="D11" s="228" t="n">
        <f aca="false">C11+D10</f>
        <v>47812.5</v>
      </c>
      <c r="E11" s="228" t="n">
        <f aca="false">D11+E10</f>
        <v>71718.75</v>
      </c>
      <c r="F11" s="228" t="n">
        <f aca="false">E11+F10</f>
        <v>95625</v>
      </c>
      <c r="G11" s="228" t="n">
        <f aca="false">F11+G10</f>
        <v>119531.25</v>
      </c>
      <c r="H11" s="228" t="n">
        <f aca="false">G11+H10</f>
        <v>143437.5</v>
      </c>
      <c r="I11" s="228" t="n">
        <f aca="false">H11+I10</f>
        <v>167343.75</v>
      </c>
      <c r="J11" s="228" t="n">
        <f aca="false">I11+J10</f>
        <v>191250</v>
      </c>
      <c r="K11" s="228" t="n">
        <f aca="false">J11+K10</f>
        <v>215156.25</v>
      </c>
      <c r="L11" s="228" t="n">
        <f aca="false">K11+L10</f>
        <v>239062.5</v>
      </c>
      <c r="M11" s="228" t="n">
        <f aca="false">L11+M10</f>
        <v>262968.75</v>
      </c>
      <c r="N11" s="228" t="n">
        <f aca="false">M11+N10</f>
        <v>286875</v>
      </c>
      <c r="O11" s="228" t="n">
        <f aca="false">N11+O10</f>
        <v>310781.25</v>
      </c>
      <c r="P11" s="228" t="n">
        <f aca="false">O11+P10</f>
        <v>334687.5</v>
      </c>
      <c r="Q11" s="228" t="n">
        <f aca="false">P11+Q10</f>
        <v>358593.75</v>
      </c>
      <c r="R11" s="228" t="n">
        <f aca="false">Q11+R10</f>
        <v>358593.75</v>
      </c>
      <c r="S11" s="228" t="n">
        <f aca="false">R11+S10</f>
        <v>358593.75</v>
      </c>
      <c r="T11" s="228" t="n">
        <f aca="false">S11+T10</f>
        <v>358593.75</v>
      </c>
      <c r="U11" s="228" t="n">
        <f aca="false">T11+U10</f>
        <v>358593.75</v>
      </c>
      <c r="V11" s="228" t="n">
        <f aca="false">U11+V10</f>
        <v>358593.75</v>
      </c>
      <c r="W11" s="228" t="n">
        <f aca="false">V11+W10</f>
        <v>415968.75</v>
      </c>
      <c r="X11" s="228" t="n">
        <f aca="false">W11+X10</f>
        <v>415968.75</v>
      </c>
      <c r="Y11" s="228" t="n">
        <f aca="false">X11+Y10</f>
        <v>415968.75</v>
      </c>
      <c r="Z11" s="228" t="n">
        <f aca="false">Y11+Z10</f>
        <v>473343.75</v>
      </c>
      <c r="AA11" s="228" t="n">
        <f aca="false">Z11+AA10</f>
        <v>473343.75</v>
      </c>
      <c r="AB11" s="228" t="n">
        <f aca="false">AA11+AB10</f>
        <v>473343.75</v>
      </c>
      <c r="AC11" s="228" t="n">
        <f aca="false">AB11+AC10</f>
        <v>530718.75</v>
      </c>
      <c r="AD11" s="228" t="n">
        <f aca="false">AC11+AD10</f>
        <v>530718.75</v>
      </c>
      <c r="AE11" s="228" t="n">
        <f aca="false">AD11+AE10</f>
        <v>530718.75</v>
      </c>
      <c r="AF11" s="228" t="n">
        <f aca="false">AE11+AF10</f>
        <v>530718.75</v>
      </c>
      <c r="AG11" s="228" t="n">
        <f aca="false">AF11+AG10</f>
        <v>530718.75</v>
      </c>
      <c r="AH11" s="228" t="n">
        <f aca="false">AG11+AH10</f>
        <v>530718.75</v>
      </c>
      <c r="AI11" s="228" t="n">
        <f aca="false">AH11+AI10</f>
        <v>530718.75</v>
      </c>
      <c r="AJ11" s="228" t="n">
        <f aca="false">AI11+AJ10</f>
        <v>530718.75</v>
      </c>
      <c r="AK11" s="228" t="n">
        <f aca="false">AJ11+AK10</f>
        <v>530718.75</v>
      </c>
      <c r="AL11" s="228" t="n">
        <f aca="false">AK11+AL10</f>
        <v>530718.75</v>
      </c>
      <c r="AM11" s="228" t="n">
        <f aca="false">AL11+AM10</f>
        <v>530718.75</v>
      </c>
      <c r="AN11" s="228" t="n">
        <f aca="false">AM11+AN10</f>
        <v>530718.75</v>
      </c>
      <c r="AO11" s="228" t="n">
        <f aca="false">AN11+AO10</f>
        <v>530718.75</v>
      </c>
      <c r="AP11" s="228" t="n">
        <f aca="false">AO11+AP10</f>
        <v>530718.75</v>
      </c>
      <c r="AQ11" s="228" t="n">
        <f aca="false">AP11+AQ10</f>
        <v>530718.75</v>
      </c>
      <c r="AR11" s="228" t="n">
        <f aca="false">AQ11+AR10</f>
        <v>530718.75</v>
      </c>
      <c r="AS11" s="228" t="n">
        <f aca="false">AR11+AS10</f>
        <v>530718.75</v>
      </c>
      <c r="AT11" s="228" t="n">
        <f aca="false">AS11+AT10</f>
        <v>530718.75</v>
      </c>
      <c r="AU11" s="228" t="n">
        <f aca="false">AT11+AU10</f>
        <v>530718.75</v>
      </c>
      <c r="AV11" s="228" t="n">
        <f aca="false">AU11+AV10</f>
        <v>530718.75</v>
      </c>
      <c r="AW11" s="228" t="n">
        <f aca="false">AV11+AW10</f>
        <v>530718.75</v>
      </c>
      <c r="AX11" s="228" t="n">
        <f aca="false">AW11+AX10</f>
        <v>530718.75</v>
      </c>
      <c r="AY11" s="228" t="n">
        <f aca="false">AX11+AY10</f>
        <v>530718.75</v>
      </c>
      <c r="AZ11" s="228" t="n">
        <f aca="false">AY11+AZ10</f>
        <v>530718.75</v>
      </c>
      <c r="BA11" s="228" t="n">
        <f aca="false">AZ11+BA10</f>
        <v>530718.75</v>
      </c>
      <c r="BB11" s="228" t="n">
        <f aca="false">BA11+BB10</f>
        <v>530718.75</v>
      </c>
      <c r="BC11" s="228" t="n">
        <f aca="false">BB11+BC10</f>
        <v>530718.75</v>
      </c>
      <c r="BD11" s="228" t="n">
        <f aca="false">BC11+BD10</f>
        <v>530718.75</v>
      </c>
      <c r="BE11" s="228" t="n">
        <f aca="false">BD11+BE10</f>
        <v>530718.75</v>
      </c>
      <c r="BF11" s="228" t="n">
        <f aca="false">BE11+BF10</f>
        <v>530718.75</v>
      </c>
      <c r="BG11" s="228" t="n">
        <f aca="false">BF11+BG10</f>
        <v>530718.75</v>
      </c>
      <c r="BH11" s="228" t="n">
        <f aca="false">BG11+BH10</f>
        <v>530718.75</v>
      </c>
      <c r="BI11" s="228" t="n">
        <f aca="false">BH11+BI10</f>
        <v>530718.75</v>
      </c>
      <c r="BJ11" s="228" t="n">
        <f aca="false">BI11+BJ10</f>
        <v>530718.75</v>
      </c>
      <c r="BK11" s="228" t="n">
        <f aca="false">BJ11+BK10</f>
        <v>530718.75</v>
      </c>
      <c r="BL11" s="228" t="n">
        <f aca="false">BK11+BL10</f>
        <v>530718.75</v>
      </c>
      <c r="BM11" s="228" t="n">
        <f aca="false">BL11+BM10</f>
        <v>530718.75</v>
      </c>
      <c r="BN11" s="228" t="n">
        <f aca="false">BM11+BN10</f>
        <v>530718.75</v>
      </c>
      <c r="BO11" s="228" t="n">
        <f aca="false">BN11+BO10</f>
        <v>530718.75</v>
      </c>
      <c r="BP11" s="228" t="n">
        <f aca="false">BO11+BP10</f>
        <v>530718.75</v>
      </c>
      <c r="BQ11" s="228" t="n">
        <f aca="false">BP11+BQ10</f>
        <v>530718.75</v>
      </c>
      <c r="BR11" s="228" t="n">
        <f aca="false">BQ11+BR10</f>
        <v>530718.75</v>
      </c>
      <c r="BS11" s="228" t="n">
        <f aca="false">BR11+BS10</f>
        <v>530718.75</v>
      </c>
      <c r="BT11" s="228" t="n">
        <f aca="false">BS11+BT10</f>
        <v>530718.75</v>
      </c>
      <c r="BU11" s="228" t="n">
        <f aca="false">BT11+BU10</f>
        <v>530718.75</v>
      </c>
      <c r="BV11" s="228" t="n">
        <f aca="false">BU11+BV10</f>
        <v>530718.75</v>
      </c>
      <c r="BW11" s="228" t="n">
        <f aca="false">BV11+BW10</f>
        <v>530718.75</v>
      </c>
      <c r="BX11" s="228" t="n">
        <f aca="false">BW11+BX10</f>
        <v>530718.75</v>
      </c>
      <c r="BY11" s="228" t="n">
        <f aca="false">BX11+BY10</f>
        <v>530718.75</v>
      </c>
      <c r="BZ11" s="228" t="n">
        <f aca="false">BY11+BZ10</f>
        <v>530718.75</v>
      </c>
      <c r="CA11" s="228" t="n">
        <f aca="false">BZ11+CA10</f>
        <v>530718.75</v>
      </c>
      <c r="CB11" s="228" t="n">
        <f aca="false">CA11+CB10</f>
        <v>530718.75</v>
      </c>
      <c r="CC11" s="228" t="n">
        <f aca="false">CB11+CC10</f>
        <v>530718.75</v>
      </c>
      <c r="CD11" s="228" t="n">
        <f aca="false">CC11+CD10</f>
        <v>530718.75</v>
      </c>
      <c r="CE11" s="228" t="n">
        <f aca="false">CD11+CE10</f>
        <v>530718.75</v>
      </c>
      <c r="CF11" s="228" t="n">
        <f aca="false">CE11+CF10</f>
        <v>530718.75</v>
      </c>
      <c r="CG11" s="228" t="n">
        <f aca="false">CF11+CG10</f>
        <v>530718.75</v>
      </c>
      <c r="CH11" s="228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customFormat="false" ht="15" hidden="false" customHeight="true" outlineLevel="0" collapsed="false">
      <c r="A14" s="86" t="s">
        <v>563</v>
      </c>
      <c r="B14" s="3"/>
      <c r="C14" s="225" t="n">
        <f aca="false">Model!E156+Model!E157+Model!E158</f>
        <v>0</v>
      </c>
      <c r="D14" s="225" t="n">
        <f aca="false">Model!F156+Model!F157+Model!F158</f>
        <v>0</v>
      </c>
      <c r="E14" s="225" t="n">
        <f aca="false">Model!G156+Model!G157+Model!G158</f>
        <v>0</v>
      </c>
      <c r="F14" s="225" t="n">
        <f aca="false">Model!H156+Model!H157+Model!H158</f>
        <v>0</v>
      </c>
      <c r="G14" s="225" t="n">
        <f aca="false">Model!I156+Model!I157+Model!I158</f>
        <v>0</v>
      </c>
      <c r="H14" s="225" t="n">
        <f aca="false">Model!J156+Model!J157+Model!J158</f>
        <v>0</v>
      </c>
      <c r="I14" s="225" t="n">
        <f aca="false">Model!K156+Model!K157+Model!K158</f>
        <v>0</v>
      </c>
      <c r="J14" s="225" t="n">
        <f aca="false">Model!L156+Model!L157+Model!L158</f>
        <v>0</v>
      </c>
      <c r="K14" s="225" t="n">
        <f aca="false">Model!M156+Model!M157+Model!M158</f>
        <v>0</v>
      </c>
      <c r="L14" s="225" t="n">
        <f aca="false">Model!N156+Model!N157+Model!N158</f>
        <v>0</v>
      </c>
      <c r="M14" s="225" t="n">
        <f aca="false">Model!O156+Model!O157+Model!O158</f>
        <v>0</v>
      </c>
      <c r="N14" s="225" t="n">
        <f aca="false">Model!P156+Model!P157+Model!P158</f>
        <v>0</v>
      </c>
      <c r="O14" s="225" t="n">
        <f aca="false">Model!Q156+Model!Q157+Model!Q158</f>
        <v>0</v>
      </c>
      <c r="P14" s="225" t="n">
        <f aca="false">Model!R156+Model!R157+Model!R158</f>
        <v>0</v>
      </c>
      <c r="Q14" s="225" t="n">
        <f aca="false">Model!S156+Model!S157+Model!S158</f>
        <v>0</v>
      </c>
      <c r="R14" s="225" t="n">
        <f aca="false">Model!T156+Model!T157+Model!T158</f>
        <v>0</v>
      </c>
      <c r="S14" s="225" t="n">
        <f aca="false">Model!U156+Model!U157+Model!U158</f>
        <v>0</v>
      </c>
      <c r="T14" s="225" t="n">
        <f aca="false">Model!V156+Model!V157+Model!V158</f>
        <v>0</v>
      </c>
      <c r="U14" s="225" t="n">
        <f aca="false">Model!W156+Model!W157+Model!W158</f>
        <v>0</v>
      </c>
      <c r="V14" s="225" t="n">
        <f aca="false">Model!X156+Model!X157+Model!X158</f>
        <v>0</v>
      </c>
      <c r="W14" s="225" t="n">
        <f aca="false">Model!Y156+Model!Y157+Model!Y158</f>
        <v>0</v>
      </c>
      <c r="X14" s="225" t="n">
        <f aca="false">Model!Z156+Model!Z157+Model!Z158</f>
        <v>0</v>
      </c>
      <c r="Y14" s="225" t="n">
        <f aca="false">Model!AA156+Model!AA157+Model!AA158</f>
        <v>0</v>
      </c>
      <c r="Z14" s="225" t="n">
        <f aca="false">Model!AB156+Model!AB157+Model!AB158</f>
        <v>0</v>
      </c>
      <c r="AA14" s="225" t="n">
        <f aca="false">Model!AC156+Model!AC157+Model!AC158</f>
        <v>0</v>
      </c>
      <c r="AB14" s="225" t="n">
        <f aca="false">Model!AD156+Model!AD157+Model!AD158</f>
        <v>0</v>
      </c>
      <c r="AC14" s="225" t="n">
        <f aca="false">Model!AE156+Model!AE157+Model!AE158</f>
        <v>0</v>
      </c>
      <c r="AD14" s="225" t="n">
        <f aca="false">Model!AF156+Model!AF157+Model!AF158</f>
        <v>0</v>
      </c>
      <c r="AE14" s="225" t="n">
        <f aca="false">Model!AG156+Model!AG157+Model!AG158</f>
        <v>0</v>
      </c>
      <c r="AF14" s="225" t="n">
        <f aca="false">Model!AH156+Model!AH157+Model!AH158</f>
        <v>0</v>
      </c>
      <c r="AG14" s="225" t="n">
        <f aca="false">Model!AI156+Model!AI157+Model!AI158</f>
        <v>0</v>
      </c>
      <c r="AH14" s="225" t="n">
        <f aca="false">Model!AJ156+Model!AJ157+Model!AJ158</f>
        <v>0</v>
      </c>
      <c r="AI14" s="225" t="n">
        <f aca="false">Model!AK156+Model!AK157+Model!AK158</f>
        <v>0</v>
      </c>
      <c r="AJ14" s="225" t="n">
        <f aca="false">Model!AL156+Model!AL157+Model!AL158</f>
        <v>0</v>
      </c>
      <c r="AK14" s="225" t="n">
        <f aca="false">Model!AM156+Model!AM157+Model!AM158</f>
        <v>0</v>
      </c>
      <c r="AL14" s="225" t="n">
        <f aca="false">Model!AN156+Model!AN157+Model!AN158</f>
        <v>0</v>
      </c>
      <c r="AM14" s="225" t="n">
        <f aca="false">Model!AO156+Model!AO157+Model!AO158</f>
        <v>0</v>
      </c>
      <c r="AN14" s="225" t="n">
        <f aca="false">Model!AP156+Model!AP157+Model!AP158</f>
        <v>0</v>
      </c>
      <c r="AO14" s="225" t="n">
        <f aca="false">Model!AQ156+Model!AQ157+Model!AQ158</f>
        <v>0</v>
      </c>
      <c r="AP14" s="225" t="n">
        <f aca="false">Model!AR156+Model!AR157+Model!AR158</f>
        <v>0</v>
      </c>
      <c r="AQ14" s="225" t="n">
        <f aca="false">Model!AS156+Model!AS157+Model!AS158</f>
        <v>0</v>
      </c>
      <c r="AR14" s="225" t="n">
        <f aca="false">Model!AT156+Model!AT157+Model!AT158</f>
        <v>0</v>
      </c>
      <c r="AS14" s="225" t="n">
        <f aca="false">Model!AU156+Model!AU157+Model!AU158</f>
        <v>0</v>
      </c>
      <c r="AT14" s="225" t="n">
        <f aca="false">Model!AV156+Model!AV157+Model!AV158</f>
        <v>0</v>
      </c>
      <c r="AU14" s="225" t="n">
        <f aca="false">Model!AW156+Model!AW157+Model!AW158</f>
        <v>0</v>
      </c>
      <c r="AV14" s="225" t="n">
        <f aca="false">Model!AX156+Model!AX157+Model!AX158</f>
        <v>0</v>
      </c>
      <c r="AW14" s="225" t="n">
        <f aca="false">Model!AY156+Model!AY157+Model!AY158</f>
        <v>0</v>
      </c>
      <c r="AX14" s="225" t="n">
        <f aca="false">Model!AZ156+Model!AZ157+Model!AZ158</f>
        <v>0</v>
      </c>
      <c r="AY14" s="225" t="n">
        <f aca="false">Model!BA156+Model!BA157+Model!BA158</f>
        <v>0</v>
      </c>
      <c r="AZ14" s="225" t="n">
        <f aca="false">Model!BB156+Model!BB157+Model!BB158</f>
        <v>0</v>
      </c>
      <c r="BA14" s="225" t="n">
        <f aca="false">Model!BC156+Model!BC157+Model!BC158</f>
        <v>0</v>
      </c>
      <c r="BB14" s="225" t="n">
        <f aca="false">Model!BD156+Model!BD157+Model!BD158</f>
        <v>0</v>
      </c>
      <c r="BC14" s="225" t="n">
        <f aca="false">Model!BE156+Model!BE157+Model!BE158</f>
        <v>0</v>
      </c>
      <c r="BD14" s="225" t="n">
        <f aca="false">Model!BF156+Model!BF157+Model!BF158</f>
        <v>0</v>
      </c>
      <c r="BE14" s="225" t="n">
        <f aca="false">Model!BG156+Model!BG157+Model!BG158</f>
        <v>0</v>
      </c>
      <c r="BF14" s="225" t="n">
        <f aca="false">Model!BH156+Model!BH157+Model!BH158</f>
        <v>0</v>
      </c>
      <c r="BG14" s="225" t="n">
        <f aca="false">Model!BI156+Model!BI157+Model!BI158</f>
        <v>0</v>
      </c>
      <c r="BH14" s="225" t="n">
        <f aca="false">Model!BJ156+Model!BJ157+Model!BJ158</f>
        <v>0</v>
      </c>
      <c r="BI14" s="225" t="n">
        <f aca="false">Model!BK156+Model!BK157+Model!BK158</f>
        <v>0</v>
      </c>
      <c r="BJ14" s="225" t="n">
        <f aca="false">Model!BL156+Model!BL157+Model!BL158</f>
        <v>0</v>
      </c>
      <c r="BK14" s="225" t="n">
        <f aca="false">Model!BM156+Model!BM157+Model!BM158</f>
        <v>0</v>
      </c>
      <c r="BL14" s="225" t="n">
        <f aca="false">Model!BN156+Model!BN157+Model!BN158</f>
        <v>0</v>
      </c>
      <c r="BM14" s="225" t="n">
        <f aca="false">Model!BO156+Model!BO157+Model!BO158</f>
        <v>0</v>
      </c>
      <c r="BN14" s="225" t="n">
        <f aca="false">Model!BP156+Model!BP157+Model!BP158</f>
        <v>0</v>
      </c>
      <c r="BO14" s="225" t="n">
        <f aca="false">Model!BQ156+Model!BQ157+Model!BQ158</f>
        <v>0</v>
      </c>
      <c r="BP14" s="225" t="n">
        <f aca="false">Model!BR156+Model!BR157+Model!BR158</f>
        <v>0</v>
      </c>
      <c r="BQ14" s="225" t="n">
        <f aca="false">Model!BS156+Model!BS157+Model!BS158</f>
        <v>0</v>
      </c>
      <c r="BR14" s="225" t="n">
        <f aca="false">Model!BT156+Model!BT157+Model!BT158</f>
        <v>0</v>
      </c>
      <c r="BS14" s="225" t="n">
        <f aca="false">Model!BU156+Model!BU157+Model!BU158</f>
        <v>0</v>
      </c>
      <c r="BT14" s="225" t="n">
        <f aca="false">Model!BV156+Model!BV157+Model!BV158</f>
        <v>0</v>
      </c>
      <c r="BU14" s="225" t="n">
        <f aca="false">Model!BW156+Model!BW157+Model!BW158</f>
        <v>0</v>
      </c>
      <c r="BV14" s="225" t="n">
        <f aca="false">Model!BX156+Model!BX157+Model!BX158</f>
        <v>0</v>
      </c>
      <c r="BW14" s="225" t="n">
        <f aca="false">Model!BY156+Model!BY157+Model!BY158</f>
        <v>0</v>
      </c>
      <c r="BX14" s="225" t="n">
        <f aca="false">Model!BZ156+Model!BZ157+Model!BZ158</f>
        <v>0</v>
      </c>
      <c r="BY14" s="225" t="n">
        <f aca="false">Model!CA156+Model!CA157+Model!CA158</f>
        <v>0</v>
      </c>
      <c r="BZ14" s="225" t="n">
        <f aca="false">Model!CB156+Model!CB157+Model!CB158</f>
        <v>0</v>
      </c>
      <c r="CA14" s="225" t="n">
        <f aca="false">Model!CC156+Model!CC157+Model!CC158</f>
        <v>0</v>
      </c>
      <c r="CB14" s="225" t="n">
        <f aca="false">Model!CD156+Model!CD157+Model!CD158</f>
        <v>0</v>
      </c>
      <c r="CC14" s="225" t="n">
        <f aca="false">Model!CE156+Model!CE157+Model!CE158</f>
        <v>0</v>
      </c>
      <c r="CD14" s="225" t="n">
        <f aca="false">Model!CF156+Model!CF157+Model!CF158</f>
        <v>0</v>
      </c>
      <c r="CE14" s="225" t="n">
        <f aca="false">Model!CG156+Model!CG157+Model!CG158</f>
        <v>0</v>
      </c>
      <c r="CF14" s="225" t="n">
        <f aca="false">Model!CH156+Model!CH157+Model!CH158</f>
        <v>0</v>
      </c>
      <c r="CG14" s="225" t="n">
        <f aca="false">Model!CI156+Model!CI157+Model!CI158</f>
        <v>0</v>
      </c>
      <c r="CH14" s="225" t="n">
        <f aca="false">Model!CJ156+Model!CJ157+Model!CJ158</f>
        <v>0</v>
      </c>
    </row>
    <row r="15" customFormat="false" ht="15" hidden="false" customHeight="true" outlineLevel="0" collapsed="false">
      <c r="A15" s="229" t="s">
        <v>566</v>
      </c>
      <c r="B15" s="3"/>
      <c r="C15" s="230" t="n">
        <v>0</v>
      </c>
      <c r="D15" s="230" t="n">
        <v>0</v>
      </c>
      <c r="E15" s="230" t="n">
        <v>0</v>
      </c>
      <c r="F15" s="230" t="n">
        <v>0</v>
      </c>
      <c r="G15" s="230" t="n">
        <f aca="false">IF(Projects!$G$11="Yes",-155771,0)</f>
        <v>0</v>
      </c>
      <c r="H15" s="230" t="n">
        <v>0</v>
      </c>
      <c r="I15" s="230" t="n">
        <v>0</v>
      </c>
      <c r="J15" s="230" t="n">
        <v>0</v>
      </c>
      <c r="K15" s="230" t="n">
        <v>0</v>
      </c>
      <c r="L15" s="230" t="n">
        <v>0</v>
      </c>
      <c r="M15" s="230" t="n">
        <v>0</v>
      </c>
      <c r="N15" s="230" t="n">
        <v>0</v>
      </c>
      <c r="O15" s="230" t="n">
        <v>0</v>
      </c>
      <c r="P15" s="230" t="n">
        <v>0</v>
      </c>
      <c r="Q15" s="230" t="n">
        <v>0</v>
      </c>
      <c r="R15" s="230" t="n">
        <v>0</v>
      </c>
      <c r="S15" s="230" t="n">
        <v>0</v>
      </c>
      <c r="T15" s="230" t="n">
        <v>0</v>
      </c>
      <c r="U15" s="230" t="n">
        <v>0</v>
      </c>
      <c r="V15" s="230" t="n">
        <v>0</v>
      </c>
      <c r="W15" s="230" t="n">
        <v>0</v>
      </c>
      <c r="X15" s="230" t="n">
        <v>0</v>
      </c>
      <c r="Y15" s="230" t="n">
        <v>0</v>
      </c>
      <c r="Z15" s="230" t="n">
        <v>0</v>
      </c>
      <c r="AA15" s="230" t="n">
        <v>0</v>
      </c>
      <c r="AB15" s="230" t="n">
        <v>0</v>
      </c>
      <c r="AC15" s="230" t="n">
        <v>0</v>
      </c>
      <c r="AD15" s="230" t="n">
        <v>0</v>
      </c>
      <c r="AE15" s="230" t="n">
        <v>0</v>
      </c>
      <c r="AF15" s="230" t="n">
        <v>0</v>
      </c>
      <c r="AG15" s="230" t="n">
        <v>0</v>
      </c>
      <c r="AH15" s="230" t="n">
        <v>0</v>
      </c>
      <c r="AI15" s="230" t="n">
        <v>0</v>
      </c>
      <c r="AJ15" s="230" t="n">
        <v>0</v>
      </c>
      <c r="AK15" s="230" t="n">
        <v>0</v>
      </c>
      <c r="AL15" s="230" t="n">
        <v>0</v>
      </c>
      <c r="AM15" s="230" t="n">
        <v>0</v>
      </c>
      <c r="AN15" s="230" t="n">
        <v>0</v>
      </c>
      <c r="AO15" s="230" t="n">
        <v>0</v>
      </c>
      <c r="AP15" s="230" t="n">
        <v>0</v>
      </c>
      <c r="AQ15" s="230" t="n">
        <v>0</v>
      </c>
      <c r="AR15" s="230" t="n">
        <v>0</v>
      </c>
      <c r="AS15" s="230" t="n">
        <v>0</v>
      </c>
      <c r="AT15" s="230" t="n">
        <v>0</v>
      </c>
      <c r="AU15" s="230" t="n">
        <v>0</v>
      </c>
      <c r="AV15" s="230" t="n">
        <v>0</v>
      </c>
      <c r="AW15" s="230" t="n">
        <v>0</v>
      </c>
      <c r="AX15" s="230" t="n">
        <v>0</v>
      </c>
      <c r="AY15" s="230" t="n">
        <v>0</v>
      </c>
      <c r="AZ15" s="230" t="n">
        <v>0</v>
      </c>
      <c r="BA15" s="230" t="n">
        <v>0</v>
      </c>
      <c r="BB15" s="230" t="n">
        <v>0</v>
      </c>
      <c r="BC15" s="230" t="n">
        <v>0</v>
      </c>
      <c r="BD15" s="230" t="n">
        <v>0</v>
      </c>
      <c r="BE15" s="230" t="n">
        <v>0</v>
      </c>
      <c r="BF15" s="230" t="n">
        <v>0</v>
      </c>
      <c r="BG15" s="230" t="n">
        <v>0</v>
      </c>
      <c r="BH15" s="230" t="n">
        <v>0</v>
      </c>
      <c r="BI15" s="230" t="n">
        <v>0</v>
      </c>
      <c r="BJ15" s="230" t="n">
        <v>0</v>
      </c>
      <c r="BK15" s="230" t="n">
        <v>0</v>
      </c>
      <c r="BL15" s="230" t="n">
        <v>0</v>
      </c>
      <c r="BM15" s="230" t="n">
        <v>0</v>
      </c>
      <c r="BN15" s="230" t="n">
        <v>0</v>
      </c>
      <c r="BO15" s="230" t="n">
        <v>0</v>
      </c>
      <c r="BP15" s="230" t="n">
        <v>0</v>
      </c>
      <c r="BQ15" s="230" t="n">
        <v>0</v>
      </c>
      <c r="BR15" s="230" t="n">
        <v>0</v>
      </c>
      <c r="BS15" s="230" t="n">
        <v>0</v>
      </c>
      <c r="BT15" s="230" t="n">
        <v>0</v>
      </c>
      <c r="BU15" s="230" t="n">
        <v>0</v>
      </c>
      <c r="BV15" s="230" t="n">
        <v>0</v>
      </c>
      <c r="BW15" s="230" t="n">
        <v>0</v>
      </c>
      <c r="BX15" s="230" t="n">
        <v>0</v>
      </c>
      <c r="BY15" s="230" t="n">
        <v>0</v>
      </c>
      <c r="BZ15" s="230" t="n">
        <v>0</v>
      </c>
      <c r="CA15" s="230" t="n">
        <v>0</v>
      </c>
      <c r="CB15" s="230" t="n">
        <v>0</v>
      </c>
      <c r="CC15" s="230" t="n">
        <v>0</v>
      </c>
      <c r="CD15" s="230" t="n">
        <v>0</v>
      </c>
      <c r="CE15" s="230" t="n">
        <v>0</v>
      </c>
      <c r="CF15" s="230" t="n">
        <v>0</v>
      </c>
      <c r="CG15" s="230" t="n">
        <v>0</v>
      </c>
      <c r="CH15" s="230" t="n">
        <v>0</v>
      </c>
    </row>
    <row r="16" customFormat="false" ht="15" hidden="false" customHeight="true" outlineLevel="0" collapsed="false">
      <c r="A16" s="226" t="s">
        <v>564</v>
      </c>
      <c r="B16" s="226"/>
      <c r="C16" s="227" t="n">
        <f aca="false">C14+C15</f>
        <v>0</v>
      </c>
      <c r="D16" s="227" t="n">
        <f aca="false">D14+D15</f>
        <v>0</v>
      </c>
      <c r="E16" s="227" t="n">
        <f aca="false">E14+E15</f>
        <v>0</v>
      </c>
      <c r="F16" s="227" t="n">
        <f aca="false">F14+F15</f>
        <v>0</v>
      </c>
      <c r="G16" s="227" t="n">
        <f aca="false">G14+G15</f>
        <v>0</v>
      </c>
      <c r="H16" s="227" t="n">
        <f aca="false">H14+H15</f>
        <v>0</v>
      </c>
      <c r="I16" s="227" t="n">
        <f aca="false">I14+I15</f>
        <v>0</v>
      </c>
      <c r="J16" s="227" t="n">
        <f aca="false">J14+J15</f>
        <v>0</v>
      </c>
      <c r="K16" s="227" t="n">
        <f aca="false">K14+K15</f>
        <v>0</v>
      </c>
      <c r="L16" s="227" t="n">
        <f aca="false">L14+L15</f>
        <v>0</v>
      </c>
      <c r="M16" s="227" t="n">
        <f aca="false">M14+M15</f>
        <v>0</v>
      </c>
      <c r="N16" s="227" t="n">
        <f aca="false">N14+N15</f>
        <v>0</v>
      </c>
      <c r="O16" s="227" t="n">
        <f aca="false">O14+O15</f>
        <v>0</v>
      </c>
      <c r="P16" s="227" t="n">
        <f aca="false">P14+P15</f>
        <v>0</v>
      </c>
      <c r="Q16" s="227" t="n">
        <f aca="false">Q14+Q15</f>
        <v>0</v>
      </c>
      <c r="R16" s="227" t="n">
        <f aca="false">R14+R15</f>
        <v>0</v>
      </c>
      <c r="S16" s="227" t="n">
        <f aca="false">S14+S15</f>
        <v>0</v>
      </c>
      <c r="T16" s="227" t="n">
        <f aca="false">T14+T15</f>
        <v>0</v>
      </c>
      <c r="U16" s="227" t="n">
        <f aca="false">U14+U15</f>
        <v>0</v>
      </c>
      <c r="V16" s="227" t="n">
        <f aca="false">V14+V15</f>
        <v>0</v>
      </c>
      <c r="W16" s="227" t="n">
        <f aca="false">W14+W15</f>
        <v>0</v>
      </c>
      <c r="X16" s="227" t="n">
        <f aca="false">X14+X15</f>
        <v>0</v>
      </c>
      <c r="Y16" s="227" t="n">
        <f aca="false">Y14+Y15</f>
        <v>0</v>
      </c>
      <c r="Z16" s="227" t="n">
        <f aca="false">Z14+Z15</f>
        <v>0</v>
      </c>
      <c r="AA16" s="227" t="n">
        <f aca="false">AA14+AA15</f>
        <v>0</v>
      </c>
      <c r="AB16" s="227" t="n">
        <f aca="false">AB14+AB15</f>
        <v>0</v>
      </c>
      <c r="AC16" s="227" t="n">
        <f aca="false">AC14+AC15</f>
        <v>0</v>
      </c>
      <c r="AD16" s="227" t="n">
        <f aca="false">AD14+AD15</f>
        <v>0</v>
      </c>
      <c r="AE16" s="227" t="n">
        <f aca="false">AE14+AE15</f>
        <v>0</v>
      </c>
      <c r="AF16" s="227" t="n">
        <f aca="false">AF14+AF15</f>
        <v>0</v>
      </c>
      <c r="AG16" s="227" t="n">
        <f aca="false">AG14+AG15</f>
        <v>0</v>
      </c>
      <c r="AH16" s="227" t="n">
        <f aca="false">AH14+AH15</f>
        <v>0</v>
      </c>
      <c r="AI16" s="227" t="n">
        <f aca="false">AI14+AI15</f>
        <v>0</v>
      </c>
      <c r="AJ16" s="227" t="n">
        <f aca="false">AJ14+AJ15</f>
        <v>0</v>
      </c>
      <c r="AK16" s="227" t="n">
        <f aca="false">AK14+AK15</f>
        <v>0</v>
      </c>
      <c r="AL16" s="227" t="n">
        <f aca="false">AL14+AL15</f>
        <v>0</v>
      </c>
      <c r="AM16" s="227" t="n">
        <f aca="false">AM14+AM15</f>
        <v>0</v>
      </c>
      <c r="AN16" s="227" t="n">
        <f aca="false">AN14+AN15</f>
        <v>0</v>
      </c>
      <c r="AO16" s="227" t="n">
        <f aca="false">AO14+AO15</f>
        <v>0</v>
      </c>
      <c r="AP16" s="227" t="n">
        <f aca="false">AP14+AP15</f>
        <v>0</v>
      </c>
      <c r="AQ16" s="227" t="n">
        <f aca="false">AQ14+AQ15</f>
        <v>0</v>
      </c>
      <c r="AR16" s="227" t="n">
        <f aca="false">AR14+AR15</f>
        <v>0</v>
      </c>
      <c r="AS16" s="227" t="n">
        <f aca="false">AS14+AS15</f>
        <v>0</v>
      </c>
      <c r="AT16" s="227" t="n">
        <f aca="false">AT14+AT15</f>
        <v>0</v>
      </c>
      <c r="AU16" s="227" t="n">
        <f aca="false">AU14+AU15</f>
        <v>0</v>
      </c>
      <c r="AV16" s="227" t="n">
        <f aca="false">AV14+AV15</f>
        <v>0</v>
      </c>
      <c r="AW16" s="227" t="n">
        <f aca="false">AW14+AW15</f>
        <v>0</v>
      </c>
      <c r="AX16" s="227" t="n">
        <f aca="false">AX14+AX15</f>
        <v>0</v>
      </c>
      <c r="AY16" s="227" t="n">
        <f aca="false">AY14+AY15</f>
        <v>0</v>
      </c>
      <c r="AZ16" s="227" t="n">
        <f aca="false">AZ14+AZ15</f>
        <v>0</v>
      </c>
      <c r="BA16" s="227" t="n">
        <f aca="false">BA14+BA15</f>
        <v>0</v>
      </c>
      <c r="BB16" s="227" t="n">
        <f aca="false">BB14+BB15</f>
        <v>0</v>
      </c>
      <c r="BC16" s="227" t="n">
        <f aca="false">BC14+BC15</f>
        <v>0</v>
      </c>
      <c r="BD16" s="227" t="n">
        <f aca="false">BD14+BD15</f>
        <v>0</v>
      </c>
      <c r="BE16" s="227" t="n">
        <f aca="false">BE14+BE15</f>
        <v>0</v>
      </c>
      <c r="BF16" s="227" t="n">
        <f aca="false">BF14+BF15</f>
        <v>0</v>
      </c>
      <c r="BG16" s="227" t="n">
        <f aca="false">BG14+BG15</f>
        <v>0</v>
      </c>
      <c r="BH16" s="227" t="n">
        <f aca="false">BH14+BH15</f>
        <v>0</v>
      </c>
      <c r="BI16" s="227" t="n">
        <f aca="false">BI14+BI15</f>
        <v>0</v>
      </c>
      <c r="BJ16" s="227" t="n">
        <f aca="false">BJ14+BJ15</f>
        <v>0</v>
      </c>
      <c r="BK16" s="227" t="n">
        <f aca="false">BK14+BK15</f>
        <v>0</v>
      </c>
      <c r="BL16" s="227" t="n">
        <f aca="false">BL14+BL15</f>
        <v>0</v>
      </c>
      <c r="BM16" s="227" t="n">
        <f aca="false">BM14+BM15</f>
        <v>0</v>
      </c>
      <c r="BN16" s="227" t="n">
        <f aca="false">BN14+BN15</f>
        <v>0</v>
      </c>
      <c r="BO16" s="227" t="n">
        <f aca="false">BO14+BO15</f>
        <v>0</v>
      </c>
      <c r="BP16" s="227" t="n">
        <f aca="false">BP14+BP15</f>
        <v>0</v>
      </c>
      <c r="BQ16" s="227" t="n">
        <f aca="false">BQ14+BQ15</f>
        <v>0</v>
      </c>
      <c r="BR16" s="227" t="n">
        <f aca="false">BR14+BR15</f>
        <v>0</v>
      </c>
      <c r="BS16" s="227" t="n">
        <f aca="false">BS14+BS15</f>
        <v>0</v>
      </c>
      <c r="BT16" s="227" t="n">
        <f aca="false">BT14+BT15</f>
        <v>0</v>
      </c>
      <c r="BU16" s="227" t="n">
        <f aca="false">BU14+BU15</f>
        <v>0</v>
      </c>
      <c r="BV16" s="227" t="n">
        <f aca="false">BV14+BV15</f>
        <v>0</v>
      </c>
      <c r="BW16" s="227" t="n">
        <f aca="false">BW14+BW15</f>
        <v>0</v>
      </c>
      <c r="BX16" s="227" t="n">
        <f aca="false">BX14+BX15</f>
        <v>0</v>
      </c>
      <c r="BY16" s="227" t="n">
        <f aca="false">BY14+BY15</f>
        <v>0</v>
      </c>
      <c r="BZ16" s="227" t="n">
        <f aca="false">BZ14+BZ15</f>
        <v>0</v>
      </c>
      <c r="CA16" s="227" t="n">
        <f aca="false">CA14+CA15</f>
        <v>0</v>
      </c>
      <c r="CB16" s="227" t="n">
        <f aca="false">CB14+CB15</f>
        <v>0</v>
      </c>
      <c r="CC16" s="227" t="n">
        <f aca="false">CC14+CC15</f>
        <v>0</v>
      </c>
      <c r="CD16" s="227" t="n">
        <f aca="false">CD14+CD15</f>
        <v>0</v>
      </c>
      <c r="CE16" s="227" t="n">
        <f aca="false">CE14+CE15</f>
        <v>0</v>
      </c>
      <c r="CF16" s="227" t="n">
        <f aca="false">CF14+CF15</f>
        <v>0</v>
      </c>
      <c r="CG16" s="227" t="n">
        <f aca="false">CG14+CG15</f>
        <v>0</v>
      </c>
      <c r="CH16" s="227" t="n">
        <f aca="false">CH14+CH15</f>
        <v>0</v>
      </c>
    </row>
    <row r="17" customFormat="false" ht="15" hidden="false" customHeight="true" outlineLevel="0" collapsed="false">
      <c r="A17" s="72" t="s">
        <v>565</v>
      </c>
      <c r="B17" s="3"/>
      <c r="C17" s="228" t="n">
        <f aca="false">C16</f>
        <v>0</v>
      </c>
      <c r="D17" s="228" t="n">
        <f aca="false">C17+D16</f>
        <v>0</v>
      </c>
      <c r="E17" s="228" t="n">
        <f aca="false">D17+E16</f>
        <v>0</v>
      </c>
      <c r="F17" s="228" t="n">
        <f aca="false">E17+F16</f>
        <v>0</v>
      </c>
      <c r="G17" s="228" t="n">
        <f aca="false">F17+G16</f>
        <v>0</v>
      </c>
      <c r="H17" s="228" t="n">
        <f aca="false">G17+H16</f>
        <v>0</v>
      </c>
      <c r="I17" s="228" t="n">
        <f aca="false">H17+I16</f>
        <v>0</v>
      </c>
      <c r="J17" s="228" t="n">
        <f aca="false">I17+J16</f>
        <v>0</v>
      </c>
      <c r="K17" s="228" t="n">
        <f aca="false">J17+K16</f>
        <v>0</v>
      </c>
      <c r="L17" s="228" t="n">
        <f aca="false">K17+L16</f>
        <v>0</v>
      </c>
      <c r="M17" s="228" t="n">
        <f aca="false">L17+M16</f>
        <v>0</v>
      </c>
      <c r="N17" s="228" t="n">
        <f aca="false">M17+N16</f>
        <v>0</v>
      </c>
      <c r="O17" s="228" t="n">
        <f aca="false">N17+O16</f>
        <v>0</v>
      </c>
      <c r="P17" s="228" t="n">
        <f aca="false">O17+P16</f>
        <v>0</v>
      </c>
      <c r="Q17" s="228" t="n">
        <f aca="false">P17+Q16</f>
        <v>0</v>
      </c>
      <c r="R17" s="228" t="n">
        <f aca="false">Q17+R16</f>
        <v>0</v>
      </c>
      <c r="S17" s="228" t="n">
        <f aca="false">R17+S16</f>
        <v>0</v>
      </c>
      <c r="T17" s="228" t="n">
        <f aca="false">S17+T16</f>
        <v>0</v>
      </c>
      <c r="U17" s="228" t="n">
        <f aca="false">T17+U16</f>
        <v>0</v>
      </c>
      <c r="V17" s="228" t="n">
        <f aca="false">U17+V16</f>
        <v>0</v>
      </c>
      <c r="W17" s="228" t="n">
        <f aca="false">V17+W16</f>
        <v>0</v>
      </c>
      <c r="X17" s="228" t="n">
        <f aca="false">W17+X16</f>
        <v>0</v>
      </c>
      <c r="Y17" s="228" t="n">
        <f aca="false">X17+Y16</f>
        <v>0</v>
      </c>
      <c r="Z17" s="228" t="n">
        <f aca="false">Y17+Z16</f>
        <v>0</v>
      </c>
      <c r="AA17" s="228" t="n">
        <f aca="false">Z17+AA16</f>
        <v>0</v>
      </c>
      <c r="AB17" s="228" t="n">
        <f aca="false">AA17+AB16</f>
        <v>0</v>
      </c>
      <c r="AC17" s="228" t="n">
        <f aca="false">AB17+AC16</f>
        <v>0</v>
      </c>
      <c r="AD17" s="228" t="n">
        <f aca="false">AC17+AD16</f>
        <v>0</v>
      </c>
      <c r="AE17" s="228" t="n">
        <f aca="false">AD17+AE16</f>
        <v>0</v>
      </c>
      <c r="AF17" s="228" t="n">
        <f aca="false">AE17+AF16</f>
        <v>0</v>
      </c>
      <c r="AG17" s="228" t="n">
        <f aca="false">AF17+AG16</f>
        <v>0</v>
      </c>
      <c r="AH17" s="228" t="n">
        <f aca="false">AG17+AH16</f>
        <v>0</v>
      </c>
      <c r="AI17" s="228" t="n">
        <f aca="false">AH17+AI16</f>
        <v>0</v>
      </c>
      <c r="AJ17" s="228" t="n">
        <f aca="false">AI17+AJ16</f>
        <v>0</v>
      </c>
      <c r="AK17" s="228" t="n">
        <f aca="false">AJ17+AK16</f>
        <v>0</v>
      </c>
      <c r="AL17" s="228" t="n">
        <f aca="false">AK17+AL16</f>
        <v>0</v>
      </c>
      <c r="AM17" s="228" t="n">
        <f aca="false">AL17+AM16</f>
        <v>0</v>
      </c>
      <c r="AN17" s="228" t="n">
        <f aca="false">AM17+AN16</f>
        <v>0</v>
      </c>
      <c r="AO17" s="228" t="n">
        <f aca="false">AN17+AO16</f>
        <v>0</v>
      </c>
      <c r="AP17" s="228" t="n">
        <f aca="false">AO17+AP16</f>
        <v>0</v>
      </c>
      <c r="AQ17" s="228" t="n">
        <f aca="false">AP17+AQ16</f>
        <v>0</v>
      </c>
      <c r="AR17" s="228" t="n">
        <f aca="false">AQ17+AR16</f>
        <v>0</v>
      </c>
      <c r="AS17" s="228" t="n">
        <f aca="false">AR17+AS16</f>
        <v>0</v>
      </c>
      <c r="AT17" s="228" t="n">
        <f aca="false">AS17+AT16</f>
        <v>0</v>
      </c>
      <c r="AU17" s="228" t="n">
        <f aca="false">AT17+AU16</f>
        <v>0</v>
      </c>
      <c r="AV17" s="228" t="n">
        <f aca="false">AU17+AV16</f>
        <v>0</v>
      </c>
      <c r="AW17" s="228" t="n">
        <f aca="false">AV17+AW16</f>
        <v>0</v>
      </c>
      <c r="AX17" s="228" t="n">
        <f aca="false">AW17+AX16</f>
        <v>0</v>
      </c>
      <c r="AY17" s="228" t="n">
        <f aca="false">AX17+AY16</f>
        <v>0</v>
      </c>
      <c r="AZ17" s="228" t="n">
        <f aca="false">AY17+AZ16</f>
        <v>0</v>
      </c>
      <c r="BA17" s="228" t="n">
        <f aca="false">AZ17+BA16</f>
        <v>0</v>
      </c>
      <c r="BB17" s="228" t="n">
        <f aca="false">BA17+BB16</f>
        <v>0</v>
      </c>
      <c r="BC17" s="228" t="n">
        <f aca="false">BB17+BC16</f>
        <v>0</v>
      </c>
      <c r="BD17" s="228" t="n">
        <f aca="false">BC17+BD16</f>
        <v>0</v>
      </c>
      <c r="BE17" s="228" t="n">
        <f aca="false">BD17+BE16</f>
        <v>0</v>
      </c>
      <c r="BF17" s="228" t="n">
        <f aca="false">BE17+BF16</f>
        <v>0</v>
      </c>
      <c r="BG17" s="228" t="n">
        <f aca="false">BF17+BG16</f>
        <v>0</v>
      </c>
      <c r="BH17" s="228" t="n">
        <f aca="false">BG17+BH16</f>
        <v>0</v>
      </c>
      <c r="BI17" s="228" t="n">
        <f aca="false">BH17+BI16</f>
        <v>0</v>
      </c>
      <c r="BJ17" s="228" t="n">
        <f aca="false">BI17+BJ16</f>
        <v>0</v>
      </c>
      <c r="BK17" s="228" t="n">
        <f aca="false">BJ17+BK16</f>
        <v>0</v>
      </c>
      <c r="BL17" s="228" t="n">
        <f aca="false">BK17+BL16</f>
        <v>0</v>
      </c>
      <c r="BM17" s="228" t="n">
        <f aca="false">BL17+BM16</f>
        <v>0</v>
      </c>
      <c r="BN17" s="228" t="n">
        <f aca="false">BM17+BN16</f>
        <v>0</v>
      </c>
      <c r="BO17" s="228" t="n">
        <f aca="false">BN17+BO16</f>
        <v>0</v>
      </c>
      <c r="BP17" s="228" t="n">
        <f aca="false">BO17+BP16</f>
        <v>0</v>
      </c>
      <c r="BQ17" s="228" t="n">
        <f aca="false">BP17+BQ16</f>
        <v>0</v>
      </c>
      <c r="BR17" s="228" t="n">
        <f aca="false">BQ17+BR16</f>
        <v>0</v>
      </c>
      <c r="BS17" s="228" t="n">
        <f aca="false">BR17+BS16</f>
        <v>0</v>
      </c>
      <c r="BT17" s="228" t="n">
        <f aca="false">BS17+BT16</f>
        <v>0</v>
      </c>
      <c r="BU17" s="228" t="n">
        <f aca="false">BT17+BU16</f>
        <v>0</v>
      </c>
      <c r="BV17" s="228" t="n">
        <f aca="false">BU17+BV16</f>
        <v>0</v>
      </c>
      <c r="BW17" s="228" t="n">
        <f aca="false">BV17+BW16</f>
        <v>0</v>
      </c>
      <c r="BX17" s="228" t="n">
        <f aca="false">BW17+BX16</f>
        <v>0</v>
      </c>
      <c r="BY17" s="228" t="n">
        <f aca="false">BX17+BY16</f>
        <v>0</v>
      </c>
      <c r="BZ17" s="228" t="n">
        <f aca="false">BY17+BZ16</f>
        <v>0</v>
      </c>
      <c r="CA17" s="228" t="n">
        <f aca="false">BZ17+CA16</f>
        <v>0</v>
      </c>
      <c r="CB17" s="228" t="n">
        <f aca="false">CA17+CB16</f>
        <v>0</v>
      </c>
      <c r="CC17" s="228" t="n">
        <f aca="false">CB17+CC16</f>
        <v>0</v>
      </c>
      <c r="CD17" s="228" t="n">
        <f aca="false">CC17+CD16</f>
        <v>0</v>
      </c>
      <c r="CE17" s="228" t="n">
        <f aca="false">CD17+CE16</f>
        <v>0</v>
      </c>
      <c r="CF17" s="228" t="n">
        <f aca="false">CE17+CF16</f>
        <v>0</v>
      </c>
      <c r="CG17" s="228" t="n">
        <f aca="false">CF17+CG16</f>
        <v>0</v>
      </c>
      <c r="CH17" s="228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customFormat="false" ht="15" hidden="false" customHeight="true" outlineLevel="0" collapsed="false">
      <c r="A20" s="86" t="s">
        <v>563</v>
      </c>
      <c r="B20" s="3"/>
      <c r="C20" s="225" t="n">
        <f aca="false">Model!E159+Model!E160+Model!E161</f>
        <v>0</v>
      </c>
      <c r="D20" s="225" t="n">
        <f aca="false">Model!F159+Model!F160+Model!F161</f>
        <v>0</v>
      </c>
      <c r="E20" s="225" t="n">
        <f aca="false">Model!G159+Model!G160+Model!G161</f>
        <v>0</v>
      </c>
      <c r="F20" s="225" t="n">
        <f aca="false">Model!H159+Model!H160+Model!H161</f>
        <v>0</v>
      </c>
      <c r="G20" s="225" t="n">
        <f aca="false">Model!I159+Model!I160+Model!I161</f>
        <v>0</v>
      </c>
      <c r="H20" s="225" t="n">
        <f aca="false">Model!J159+Model!J160+Model!J161</f>
        <v>0</v>
      </c>
      <c r="I20" s="225" t="n">
        <f aca="false">Model!K159+Model!K160+Model!K161</f>
        <v>0</v>
      </c>
      <c r="J20" s="225" t="n">
        <f aca="false">Model!L159+Model!L160+Model!L161</f>
        <v>0</v>
      </c>
      <c r="K20" s="225" t="n">
        <f aca="false">Model!M159+Model!M160+Model!M161</f>
        <v>0</v>
      </c>
      <c r="L20" s="225" t="n">
        <f aca="false">Model!N159+Model!N160+Model!N161</f>
        <v>0</v>
      </c>
      <c r="M20" s="225" t="n">
        <f aca="false">Model!O159+Model!O160+Model!O161</f>
        <v>0</v>
      </c>
      <c r="N20" s="225" t="n">
        <f aca="false">Model!P159+Model!P160+Model!P161</f>
        <v>0</v>
      </c>
      <c r="O20" s="225" t="n">
        <f aca="false">Model!Q159+Model!Q160+Model!Q161</f>
        <v>0</v>
      </c>
      <c r="P20" s="225" t="n">
        <f aca="false">Model!R159+Model!R160+Model!R161</f>
        <v>0</v>
      </c>
      <c r="Q20" s="225" t="n">
        <f aca="false">Model!S159+Model!S160+Model!S161</f>
        <v>0</v>
      </c>
      <c r="R20" s="225" t="n">
        <f aca="false">Model!T159+Model!T160+Model!T161</f>
        <v>0</v>
      </c>
      <c r="S20" s="225" t="n">
        <f aca="false">Model!U159+Model!U160+Model!U161</f>
        <v>0</v>
      </c>
      <c r="T20" s="225" t="n">
        <f aca="false">Model!V159+Model!V160+Model!V161</f>
        <v>0</v>
      </c>
      <c r="U20" s="225" t="n">
        <f aca="false">Model!W159+Model!W160+Model!W161</f>
        <v>0</v>
      </c>
      <c r="V20" s="225" t="n">
        <f aca="false">Model!X159+Model!X160+Model!X161</f>
        <v>0</v>
      </c>
      <c r="W20" s="225" t="n">
        <f aca="false">Model!Y159+Model!Y160+Model!Y161</f>
        <v>0</v>
      </c>
      <c r="X20" s="225" t="n">
        <f aca="false">Model!Z159+Model!Z160+Model!Z161</f>
        <v>0</v>
      </c>
      <c r="Y20" s="225" t="n">
        <f aca="false">Model!AA159+Model!AA160+Model!AA161</f>
        <v>0</v>
      </c>
      <c r="Z20" s="225" t="n">
        <f aca="false">Model!AB159+Model!AB160+Model!AB161</f>
        <v>0</v>
      </c>
      <c r="AA20" s="225" t="n">
        <f aca="false">Model!AC159+Model!AC160+Model!AC161</f>
        <v>0</v>
      </c>
      <c r="AB20" s="225" t="n">
        <f aca="false">Model!AD159+Model!AD160+Model!AD161</f>
        <v>0</v>
      </c>
      <c r="AC20" s="225" t="n">
        <f aca="false">Model!AE159+Model!AE160+Model!AE161</f>
        <v>0</v>
      </c>
      <c r="AD20" s="225" t="n">
        <f aca="false">Model!AF159+Model!AF160+Model!AF161</f>
        <v>0</v>
      </c>
      <c r="AE20" s="225" t="n">
        <f aca="false">Model!AG159+Model!AG160+Model!AG161</f>
        <v>0</v>
      </c>
      <c r="AF20" s="225" t="n">
        <f aca="false">Model!AH159+Model!AH160+Model!AH161</f>
        <v>0</v>
      </c>
      <c r="AG20" s="225" t="n">
        <f aca="false">Model!AI159+Model!AI160+Model!AI161</f>
        <v>0</v>
      </c>
      <c r="AH20" s="225" t="n">
        <f aca="false">Model!AJ159+Model!AJ160+Model!AJ161</f>
        <v>0</v>
      </c>
      <c r="AI20" s="225" t="n">
        <f aca="false">Model!AK159+Model!AK160+Model!AK161</f>
        <v>0</v>
      </c>
      <c r="AJ20" s="225" t="n">
        <f aca="false">Model!AL159+Model!AL160+Model!AL161</f>
        <v>0</v>
      </c>
      <c r="AK20" s="225" t="n">
        <f aca="false">Model!AM159+Model!AM160+Model!AM161</f>
        <v>0</v>
      </c>
      <c r="AL20" s="225" t="n">
        <f aca="false">Model!AN159+Model!AN160+Model!AN161</f>
        <v>0</v>
      </c>
      <c r="AM20" s="225" t="n">
        <f aca="false">Model!AO159+Model!AO160+Model!AO161</f>
        <v>0</v>
      </c>
      <c r="AN20" s="225" t="n">
        <f aca="false">Model!AP159+Model!AP160+Model!AP161</f>
        <v>0</v>
      </c>
      <c r="AO20" s="225" t="n">
        <f aca="false">Model!AQ159+Model!AQ160+Model!AQ161</f>
        <v>0</v>
      </c>
      <c r="AP20" s="225" t="n">
        <f aca="false">Model!AR159+Model!AR160+Model!AR161</f>
        <v>0</v>
      </c>
      <c r="AQ20" s="225" t="n">
        <f aca="false">Model!AS159+Model!AS160+Model!AS161</f>
        <v>0</v>
      </c>
      <c r="AR20" s="225" t="n">
        <f aca="false">Model!AT159+Model!AT160+Model!AT161</f>
        <v>0</v>
      </c>
      <c r="AS20" s="225" t="n">
        <f aca="false">Model!AU159+Model!AU160+Model!AU161</f>
        <v>0</v>
      </c>
      <c r="AT20" s="225" t="n">
        <f aca="false">Model!AV159+Model!AV160+Model!AV161</f>
        <v>0</v>
      </c>
      <c r="AU20" s="225" t="n">
        <f aca="false">Model!AW159+Model!AW160+Model!AW161</f>
        <v>0</v>
      </c>
      <c r="AV20" s="225" t="n">
        <f aca="false">Model!AX159+Model!AX160+Model!AX161</f>
        <v>0</v>
      </c>
      <c r="AW20" s="225" t="n">
        <f aca="false">Model!AY159+Model!AY160+Model!AY161</f>
        <v>0</v>
      </c>
      <c r="AX20" s="225" t="n">
        <f aca="false">Model!AZ159+Model!AZ160+Model!AZ161</f>
        <v>0</v>
      </c>
      <c r="AY20" s="225" t="n">
        <f aca="false">Model!BA159+Model!BA160+Model!BA161</f>
        <v>0</v>
      </c>
      <c r="AZ20" s="225" t="n">
        <f aca="false">Model!BB159+Model!BB160+Model!BB161</f>
        <v>0</v>
      </c>
      <c r="BA20" s="225" t="n">
        <f aca="false">Model!BC159+Model!BC160+Model!BC161</f>
        <v>0</v>
      </c>
      <c r="BB20" s="225" t="n">
        <f aca="false">Model!BD159+Model!BD160+Model!BD161</f>
        <v>0</v>
      </c>
      <c r="BC20" s="225" t="n">
        <f aca="false">Model!BE159+Model!BE160+Model!BE161</f>
        <v>0</v>
      </c>
      <c r="BD20" s="225" t="n">
        <f aca="false">Model!BF159+Model!BF160+Model!BF161</f>
        <v>0</v>
      </c>
      <c r="BE20" s="225" t="n">
        <f aca="false">Model!BG159+Model!BG160+Model!BG161</f>
        <v>0</v>
      </c>
      <c r="BF20" s="225" t="n">
        <f aca="false">Model!BH159+Model!BH160+Model!BH161</f>
        <v>0</v>
      </c>
      <c r="BG20" s="225" t="n">
        <f aca="false">Model!BI159+Model!BI160+Model!BI161</f>
        <v>0</v>
      </c>
      <c r="BH20" s="225" t="n">
        <f aca="false">Model!BJ159+Model!BJ160+Model!BJ161</f>
        <v>0</v>
      </c>
      <c r="BI20" s="225" t="n">
        <f aca="false">Model!BK159+Model!BK160+Model!BK161</f>
        <v>0</v>
      </c>
      <c r="BJ20" s="225" t="n">
        <f aca="false">Model!BL159+Model!BL160+Model!BL161</f>
        <v>0</v>
      </c>
      <c r="BK20" s="225" t="n">
        <f aca="false">Model!BM159+Model!BM160+Model!BM161</f>
        <v>0</v>
      </c>
      <c r="BL20" s="225" t="n">
        <f aca="false">Model!BN159+Model!BN160+Model!BN161</f>
        <v>0</v>
      </c>
      <c r="BM20" s="225" t="n">
        <f aca="false">Model!BO159+Model!BO160+Model!BO161</f>
        <v>0</v>
      </c>
      <c r="BN20" s="225" t="n">
        <f aca="false">Model!BP159+Model!BP160+Model!BP161</f>
        <v>0</v>
      </c>
      <c r="BO20" s="225" t="n">
        <f aca="false">Model!BQ159+Model!BQ160+Model!BQ161</f>
        <v>0</v>
      </c>
      <c r="BP20" s="225" t="n">
        <f aca="false">Model!BR159+Model!BR160+Model!BR161</f>
        <v>0</v>
      </c>
      <c r="BQ20" s="225" t="n">
        <f aca="false">Model!BS159+Model!BS160+Model!BS161</f>
        <v>0</v>
      </c>
      <c r="BR20" s="225" t="n">
        <f aca="false">Model!BT159+Model!BT160+Model!BT161</f>
        <v>0</v>
      </c>
      <c r="BS20" s="225" t="n">
        <f aca="false">Model!BU159+Model!BU160+Model!BU161</f>
        <v>0</v>
      </c>
      <c r="BT20" s="225" t="n">
        <f aca="false">Model!BV159+Model!BV160+Model!BV161</f>
        <v>0</v>
      </c>
      <c r="BU20" s="225" t="n">
        <f aca="false">Model!BW159+Model!BW160+Model!BW161</f>
        <v>0</v>
      </c>
      <c r="BV20" s="225" t="n">
        <f aca="false">Model!BX159+Model!BX160+Model!BX161</f>
        <v>0</v>
      </c>
      <c r="BW20" s="225" t="n">
        <f aca="false">Model!BY159+Model!BY160+Model!BY161</f>
        <v>0</v>
      </c>
      <c r="BX20" s="225" t="n">
        <f aca="false">Model!BZ159+Model!BZ160+Model!BZ161</f>
        <v>0</v>
      </c>
      <c r="BY20" s="225" t="n">
        <f aca="false">Model!CA159+Model!CA160+Model!CA161</f>
        <v>0</v>
      </c>
      <c r="BZ20" s="225" t="n">
        <f aca="false">Model!CB159+Model!CB160+Model!CB161</f>
        <v>0</v>
      </c>
      <c r="CA20" s="225" t="n">
        <f aca="false">Model!CC159+Model!CC160+Model!CC161</f>
        <v>0</v>
      </c>
      <c r="CB20" s="225" t="n">
        <f aca="false">Model!CD159+Model!CD160+Model!CD161</f>
        <v>0</v>
      </c>
      <c r="CC20" s="225" t="n">
        <f aca="false">Model!CE159+Model!CE160+Model!CE161</f>
        <v>0</v>
      </c>
      <c r="CD20" s="225" t="n">
        <f aca="false">Model!CF159+Model!CF160+Model!CF161</f>
        <v>0</v>
      </c>
      <c r="CE20" s="225" t="n">
        <f aca="false">Model!CG159+Model!CG160+Model!CG161</f>
        <v>0</v>
      </c>
      <c r="CF20" s="225" t="n">
        <f aca="false">Model!CH159+Model!CH160+Model!CH161</f>
        <v>0</v>
      </c>
      <c r="CG20" s="225" t="n">
        <f aca="false">Model!CI159+Model!CI160+Model!CI161</f>
        <v>0</v>
      </c>
      <c r="CH20" s="225" t="n">
        <f aca="false">Model!CJ159+Model!CJ160+Model!CJ161</f>
        <v>0</v>
      </c>
    </row>
    <row r="21" customFormat="false" ht="15" hidden="false" customHeight="true" outlineLevel="0" collapsed="false">
      <c r="A21" s="229" t="s">
        <v>566</v>
      </c>
      <c r="B21" s="3"/>
      <c r="C21" s="230" t="n">
        <v>0</v>
      </c>
      <c r="D21" s="230" t="n">
        <v>0</v>
      </c>
      <c r="E21" s="230" t="n">
        <v>0</v>
      </c>
      <c r="F21" s="230" t="n">
        <v>0</v>
      </c>
      <c r="G21" s="230" t="n">
        <v>0</v>
      </c>
      <c r="H21" s="230" t="n">
        <f aca="false">IF(Projects!$G$12="Yes",-135452,0)</f>
        <v>0</v>
      </c>
      <c r="I21" s="230" t="n">
        <v>0</v>
      </c>
      <c r="J21" s="230" t="n">
        <v>0</v>
      </c>
      <c r="K21" s="230" t="n">
        <v>0</v>
      </c>
      <c r="L21" s="230" t="n">
        <v>0</v>
      </c>
      <c r="M21" s="230" t="n">
        <v>0</v>
      </c>
      <c r="N21" s="230" t="n">
        <v>0</v>
      </c>
      <c r="O21" s="230" t="n">
        <v>0</v>
      </c>
      <c r="P21" s="230" t="n">
        <v>0</v>
      </c>
      <c r="Q21" s="230" t="n">
        <v>0</v>
      </c>
      <c r="R21" s="230" t="n">
        <v>0</v>
      </c>
      <c r="S21" s="230" t="n">
        <v>0</v>
      </c>
      <c r="T21" s="230" t="n">
        <v>0</v>
      </c>
      <c r="U21" s="230" t="n">
        <v>0</v>
      </c>
      <c r="V21" s="230" t="n">
        <v>0</v>
      </c>
      <c r="W21" s="230" t="n">
        <v>0</v>
      </c>
      <c r="X21" s="230" t="n">
        <v>0</v>
      </c>
      <c r="Y21" s="230" t="n">
        <v>0</v>
      </c>
      <c r="Z21" s="230" t="n">
        <v>0</v>
      </c>
      <c r="AA21" s="230" t="n">
        <v>0</v>
      </c>
      <c r="AB21" s="230" t="n">
        <v>0</v>
      </c>
      <c r="AC21" s="230" t="n">
        <v>0</v>
      </c>
      <c r="AD21" s="230" t="n">
        <v>0</v>
      </c>
      <c r="AE21" s="230" t="n">
        <v>0</v>
      </c>
      <c r="AF21" s="230" t="n">
        <v>0</v>
      </c>
      <c r="AG21" s="230" t="n">
        <v>0</v>
      </c>
      <c r="AH21" s="230" t="n">
        <v>0</v>
      </c>
      <c r="AI21" s="230" t="n">
        <v>0</v>
      </c>
      <c r="AJ21" s="230" t="n">
        <v>0</v>
      </c>
      <c r="AK21" s="230" t="n">
        <v>0</v>
      </c>
      <c r="AL21" s="230" t="n">
        <v>0</v>
      </c>
      <c r="AM21" s="230" t="n">
        <v>0</v>
      </c>
      <c r="AN21" s="230" t="n">
        <v>0</v>
      </c>
      <c r="AO21" s="230" t="n">
        <v>0</v>
      </c>
      <c r="AP21" s="230" t="n">
        <v>0</v>
      </c>
      <c r="AQ21" s="230" t="n">
        <v>0</v>
      </c>
      <c r="AR21" s="230" t="n">
        <v>0</v>
      </c>
      <c r="AS21" s="230" t="n">
        <v>0</v>
      </c>
      <c r="AT21" s="230" t="n">
        <v>0</v>
      </c>
      <c r="AU21" s="230" t="n">
        <v>0</v>
      </c>
      <c r="AV21" s="230" t="n">
        <v>0</v>
      </c>
      <c r="AW21" s="230" t="n">
        <v>0</v>
      </c>
      <c r="AX21" s="230" t="n">
        <v>0</v>
      </c>
      <c r="AY21" s="230" t="n">
        <v>0</v>
      </c>
      <c r="AZ21" s="230" t="n">
        <v>0</v>
      </c>
      <c r="BA21" s="230" t="n">
        <v>0</v>
      </c>
      <c r="BB21" s="230" t="n">
        <v>0</v>
      </c>
      <c r="BC21" s="230" t="n">
        <v>0</v>
      </c>
      <c r="BD21" s="230" t="n">
        <v>0</v>
      </c>
      <c r="BE21" s="230" t="n">
        <v>0</v>
      </c>
      <c r="BF21" s="230" t="n">
        <v>0</v>
      </c>
      <c r="BG21" s="230" t="n">
        <v>0</v>
      </c>
      <c r="BH21" s="230" t="n">
        <v>0</v>
      </c>
      <c r="BI21" s="230" t="n">
        <v>0</v>
      </c>
      <c r="BJ21" s="230" t="n">
        <v>0</v>
      </c>
      <c r="BK21" s="230" t="n">
        <v>0</v>
      </c>
      <c r="BL21" s="230" t="n">
        <v>0</v>
      </c>
      <c r="BM21" s="230" t="n">
        <v>0</v>
      </c>
      <c r="BN21" s="230" t="n">
        <v>0</v>
      </c>
      <c r="BO21" s="230" t="n">
        <v>0</v>
      </c>
      <c r="BP21" s="230" t="n">
        <v>0</v>
      </c>
      <c r="BQ21" s="230" t="n">
        <v>0</v>
      </c>
      <c r="BR21" s="230" t="n">
        <v>0</v>
      </c>
      <c r="BS21" s="230" t="n">
        <v>0</v>
      </c>
      <c r="BT21" s="230" t="n">
        <v>0</v>
      </c>
      <c r="BU21" s="230" t="n">
        <v>0</v>
      </c>
      <c r="BV21" s="230" t="n">
        <v>0</v>
      </c>
      <c r="BW21" s="230" t="n">
        <v>0</v>
      </c>
      <c r="BX21" s="230" t="n">
        <v>0</v>
      </c>
      <c r="BY21" s="230" t="n">
        <v>0</v>
      </c>
      <c r="BZ21" s="230" t="n">
        <v>0</v>
      </c>
      <c r="CA21" s="230" t="n">
        <v>0</v>
      </c>
      <c r="CB21" s="230" t="n">
        <v>0</v>
      </c>
      <c r="CC21" s="230" t="n">
        <v>0</v>
      </c>
      <c r="CD21" s="230" t="n">
        <v>0</v>
      </c>
      <c r="CE21" s="230" t="n">
        <v>0</v>
      </c>
      <c r="CF21" s="230" t="n">
        <v>0</v>
      </c>
      <c r="CG21" s="230" t="n">
        <v>0</v>
      </c>
      <c r="CH21" s="230" t="n">
        <v>0</v>
      </c>
    </row>
    <row r="22" customFormat="false" ht="15" hidden="false" customHeight="true" outlineLevel="0" collapsed="false">
      <c r="A22" s="226" t="s">
        <v>564</v>
      </c>
      <c r="B22" s="226"/>
      <c r="C22" s="227" t="n">
        <f aca="false">C20+C21</f>
        <v>0</v>
      </c>
      <c r="D22" s="227" t="n">
        <f aca="false">D20+D21</f>
        <v>0</v>
      </c>
      <c r="E22" s="227" t="n">
        <f aca="false">E20+E21</f>
        <v>0</v>
      </c>
      <c r="F22" s="227" t="n">
        <f aca="false">F20+F21</f>
        <v>0</v>
      </c>
      <c r="G22" s="227" t="n">
        <f aca="false">G20+G21</f>
        <v>0</v>
      </c>
      <c r="H22" s="227" t="n">
        <f aca="false">H20+H21</f>
        <v>0</v>
      </c>
      <c r="I22" s="227" t="n">
        <f aca="false">I20+I21</f>
        <v>0</v>
      </c>
      <c r="J22" s="227" t="n">
        <f aca="false">J20+J21</f>
        <v>0</v>
      </c>
      <c r="K22" s="227" t="n">
        <f aca="false">K20+K21</f>
        <v>0</v>
      </c>
      <c r="L22" s="227" t="n">
        <f aca="false">L20+L21</f>
        <v>0</v>
      </c>
      <c r="M22" s="227" t="n">
        <f aca="false">M20+M21</f>
        <v>0</v>
      </c>
      <c r="N22" s="227" t="n">
        <f aca="false">N20+N21</f>
        <v>0</v>
      </c>
      <c r="O22" s="227" t="n">
        <f aca="false">O20+O21</f>
        <v>0</v>
      </c>
      <c r="P22" s="227" t="n">
        <f aca="false">P20+P21</f>
        <v>0</v>
      </c>
      <c r="Q22" s="227" t="n">
        <f aca="false">Q20+Q21</f>
        <v>0</v>
      </c>
      <c r="R22" s="227" t="n">
        <f aca="false">R20+R21</f>
        <v>0</v>
      </c>
      <c r="S22" s="227" t="n">
        <f aca="false">S20+S21</f>
        <v>0</v>
      </c>
      <c r="T22" s="227" t="n">
        <f aca="false">T20+T21</f>
        <v>0</v>
      </c>
      <c r="U22" s="227" t="n">
        <f aca="false">U20+U21</f>
        <v>0</v>
      </c>
      <c r="V22" s="227" t="n">
        <f aca="false">V20+V21</f>
        <v>0</v>
      </c>
      <c r="W22" s="227" t="n">
        <f aca="false">W20+W21</f>
        <v>0</v>
      </c>
      <c r="X22" s="227" t="n">
        <f aca="false">X20+X21</f>
        <v>0</v>
      </c>
      <c r="Y22" s="227" t="n">
        <f aca="false">Y20+Y21</f>
        <v>0</v>
      </c>
      <c r="Z22" s="227" t="n">
        <f aca="false">Z20+Z21</f>
        <v>0</v>
      </c>
      <c r="AA22" s="227" t="n">
        <f aca="false">AA20+AA21</f>
        <v>0</v>
      </c>
      <c r="AB22" s="227" t="n">
        <f aca="false">AB20+AB21</f>
        <v>0</v>
      </c>
      <c r="AC22" s="227" t="n">
        <f aca="false">AC20+AC21</f>
        <v>0</v>
      </c>
      <c r="AD22" s="227" t="n">
        <f aca="false">AD20+AD21</f>
        <v>0</v>
      </c>
      <c r="AE22" s="227" t="n">
        <f aca="false">AE20+AE21</f>
        <v>0</v>
      </c>
      <c r="AF22" s="227" t="n">
        <f aca="false">AF20+AF21</f>
        <v>0</v>
      </c>
      <c r="AG22" s="227" t="n">
        <f aca="false">AG20+AG21</f>
        <v>0</v>
      </c>
      <c r="AH22" s="227" t="n">
        <f aca="false">AH20+AH21</f>
        <v>0</v>
      </c>
      <c r="AI22" s="227" t="n">
        <f aca="false">AI20+AI21</f>
        <v>0</v>
      </c>
      <c r="AJ22" s="227" t="n">
        <f aca="false">AJ20+AJ21</f>
        <v>0</v>
      </c>
      <c r="AK22" s="227" t="n">
        <f aca="false">AK20+AK21</f>
        <v>0</v>
      </c>
      <c r="AL22" s="227" t="n">
        <f aca="false">AL20+AL21</f>
        <v>0</v>
      </c>
      <c r="AM22" s="227" t="n">
        <f aca="false">AM20+AM21</f>
        <v>0</v>
      </c>
      <c r="AN22" s="227" t="n">
        <f aca="false">AN20+AN21</f>
        <v>0</v>
      </c>
      <c r="AO22" s="227" t="n">
        <f aca="false">AO20+AO21</f>
        <v>0</v>
      </c>
      <c r="AP22" s="227" t="n">
        <f aca="false">AP20+AP21</f>
        <v>0</v>
      </c>
      <c r="AQ22" s="227" t="n">
        <f aca="false">AQ20+AQ21</f>
        <v>0</v>
      </c>
      <c r="AR22" s="227" t="n">
        <f aca="false">AR20+AR21</f>
        <v>0</v>
      </c>
      <c r="AS22" s="227" t="n">
        <f aca="false">AS20+AS21</f>
        <v>0</v>
      </c>
      <c r="AT22" s="227" t="n">
        <f aca="false">AT20+AT21</f>
        <v>0</v>
      </c>
      <c r="AU22" s="227" t="n">
        <f aca="false">AU20+AU21</f>
        <v>0</v>
      </c>
      <c r="AV22" s="227" t="n">
        <f aca="false">AV20+AV21</f>
        <v>0</v>
      </c>
      <c r="AW22" s="227" t="n">
        <f aca="false">AW20+AW21</f>
        <v>0</v>
      </c>
      <c r="AX22" s="227" t="n">
        <f aca="false">AX20+AX21</f>
        <v>0</v>
      </c>
      <c r="AY22" s="227" t="n">
        <f aca="false">AY20+AY21</f>
        <v>0</v>
      </c>
      <c r="AZ22" s="227" t="n">
        <f aca="false">AZ20+AZ21</f>
        <v>0</v>
      </c>
      <c r="BA22" s="227" t="n">
        <f aca="false">BA20+BA21</f>
        <v>0</v>
      </c>
      <c r="BB22" s="227" t="n">
        <f aca="false">BB20+BB21</f>
        <v>0</v>
      </c>
      <c r="BC22" s="227" t="n">
        <f aca="false">BC20+BC21</f>
        <v>0</v>
      </c>
      <c r="BD22" s="227" t="n">
        <f aca="false">BD20+BD21</f>
        <v>0</v>
      </c>
      <c r="BE22" s="227" t="n">
        <f aca="false">BE20+BE21</f>
        <v>0</v>
      </c>
      <c r="BF22" s="227" t="n">
        <f aca="false">BF20+BF21</f>
        <v>0</v>
      </c>
      <c r="BG22" s="227" t="n">
        <f aca="false">BG20+BG21</f>
        <v>0</v>
      </c>
      <c r="BH22" s="227" t="n">
        <f aca="false">BH20+BH21</f>
        <v>0</v>
      </c>
      <c r="BI22" s="227" t="n">
        <f aca="false">BI20+BI21</f>
        <v>0</v>
      </c>
      <c r="BJ22" s="227" t="n">
        <f aca="false">BJ20+BJ21</f>
        <v>0</v>
      </c>
      <c r="BK22" s="227" t="n">
        <f aca="false">BK20+BK21</f>
        <v>0</v>
      </c>
      <c r="BL22" s="227" t="n">
        <f aca="false">BL20+BL21</f>
        <v>0</v>
      </c>
      <c r="BM22" s="227" t="n">
        <f aca="false">BM20+BM21</f>
        <v>0</v>
      </c>
      <c r="BN22" s="227" t="n">
        <f aca="false">BN20+BN21</f>
        <v>0</v>
      </c>
      <c r="BO22" s="227" t="n">
        <f aca="false">BO20+BO21</f>
        <v>0</v>
      </c>
      <c r="BP22" s="227" t="n">
        <f aca="false">BP20+BP21</f>
        <v>0</v>
      </c>
      <c r="BQ22" s="227" t="n">
        <f aca="false">BQ20+BQ21</f>
        <v>0</v>
      </c>
      <c r="BR22" s="227" t="n">
        <f aca="false">BR20+BR21</f>
        <v>0</v>
      </c>
      <c r="BS22" s="227" t="n">
        <f aca="false">BS20+BS21</f>
        <v>0</v>
      </c>
      <c r="BT22" s="227" t="n">
        <f aca="false">BT20+BT21</f>
        <v>0</v>
      </c>
      <c r="BU22" s="227" t="n">
        <f aca="false">BU20+BU21</f>
        <v>0</v>
      </c>
      <c r="BV22" s="227" t="n">
        <f aca="false">BV20+BV21</f>
        <v>0</v>
      </c>
      <c r="BW22" s="227" t="n">
        <f aca="false">BW20+BW21</f>
        <v>0</v>
      </c>
      <c r="BX22" s="227" t="n">
        <f aca="false">BX20+BX21</f>
        <v>0</v>
      </c>
      <c r="BY22" s="227" t="n">
        <f aca="false">BY20+BY21</f>
        <v>0</v>
      </c>
      <c r="BZ22" s="227" t="n">
        <f aca="false">BZ20+BZ21</f>
        <v>0</v>
      </c>
      <c r="CA22" s="227" t="n">
        <f aca="false">CA20+CA21</f>
        <v>0</v>
      </c>
      <c r="CB22" s="227" t="n">
        <f aca="false">CB20+CB21</f>
        <v>0</v>
      </c>
      <c r="CC22" s="227" t="n">
        <f aca="false">CC20+CC21</f>
        <v>0</v>
      </c>
      <c r="CD22" s="227" t="n">
        <f aca="false">CD20+CD21</f>
        <v>0</v>
      </c>
      <c r="CE22" s="227" t="n">
        <f aca="false">CE20+CE21</f>
        <v>0</v>
      </c>
      <c r="CF22" s="227" t="n">
        <f aca="false">CF20+CF21</f>
        <v>0</v>
      </c>
      <c r="CG22" s="227" t="n">
        <f aca="false">CG20+CG21</f>
        <v>0</v>
      </c>
      <c r="CH22" s="227" t="n">
        <f aca="false">CH20+CH21</f>
        <v>0</v>
      </c>
    </row>
    <row r="23" customFormat="false" ht="15" hidden="false" customHeight="true" outlineLevel="0" collapsed="false">
      <c r="A23" s="72" t="s">
        <v>565</v>
      </c>
      <c r="B23" s="3"/>
      <c r="C23" s="228" t="n">
        <f aca="false">C22</f>
        <v>0</v>
      </c>
      <c r="D23" s="228" t="n">
        <f aca="false">C23+D22</f>
        <v>0</v>
      </c>
      <c r="E23" s="228" t="n">
        <f aca="false">D23+E22</f>
        <v>0</v>
      </c>
      <c r="F23" s="228" t="n">
        <f aca="false">E23+F22</f>
        <v>0</v>
      </c>
      <c r="G23" s="228" t="n">
        <f aca="false">F23+G22</f>
        <v>0</v>
      </c>
      <c r="H23" s="228" t="n">
        <f aca="false">G23+H22</f>
        <v>0</v>
      </c>
      <c r="I23" s="228" t="n">
        <f aca="false">H23+I22</f>
        <v>0</v>
      </c>
      <c r="J23" s="228" t="n">
        <f aca="false">I23+J22</f>
        <v>0</v>
      </c>
      <c r="K23" s="228" t="n">
        <f aca="false">J23+K22</f>
        <v>0</v>
      </c>
      <c r="L23" s="228" t="n">
        <f aca="false">K23+L22</f>
        <v>0</v>
      </c>
      <c r="M23" s="228" t="n">
        <f aca="false">L23+M22</f>
        <v>0</v>
      </c>
      <c r="N23" s="228" t="n">
        <f aca="false">M23+N22</f>
        <v>0</v>
      </c>
      <c r="O23" s="228" t="n">
        <f aca="false">N23+O22</f>
        <v>0</v>
      </c>
      <c r="P23" s="228" t="n">
        <f aca="false">O23+P22</f>
        <v>0</v>
      </c>
      <c r="Q23" s="228" t="n">
        <f aca="false">P23+Q22</f>
        <v>0</v>
      </c>
      <c r="R23" s="228" t="n">
        <f aca="false">Q23+R22</f>
        <v>0</v>
      </c>
      <c r="S23" s="228" t="n">
        <f aca="false">R23+S22</f>
        <v>0</v>
      </c>
      <c r="T23" s="228" t="n">
        <f aca="false">S23+T22</f>
        <v>0</v>
      </c>
      <c r="U23" s="228" t="n">
        <f aca="false">T23+U22</f>
        <v>0</v>
      </c>
      <c r="V23" s="228" t="n">
        <f aca="false">U23+V22</f>
        <v>0</v>
      </c>
      <c r="W23" s="228" t="n">
        <f aca="false">V23+W22</f>
        <v>0</v>
      </c>
      <c r="X23" s="228" t="n">
        <f aca="false">W23+X22</f>
        <v>0</v>
      </c>
      <c r="Y23" s="228" t="n">
        <f aca="false">X23+Y22</f>
        <v>0</v>
      </c>
      <c r="Z23" s="228" t="n">
        <f aca="false">Y23+Z22</f>
        <v>0</v>
      </c>
      <c r="AA23" s="228" t="n">
        <f aca="false">Z23+AA22</f>
        <v>0</v>
      </c>
      <c r="AB23" s="228" t="n">
        <f aca="false">AA23+AB22</f>
        <v>0</v>
      </c>
      <c r="AC23" s="228" t="n">
        <f aca="false">AB23+AC22</f>
        <v>0</v>
      </c>
      <c r="AD23" s="228" t="n">
        <f aca="false">AC23+AD22</f>
        <v>0</v>
      </c>
      <c r="AE23" s="228" t="n">
        <f aca="false">AD23+AE22</f>
        <v>0</v>
      </c>
      <c r="AF23" s="228" t="n">
        <f aca="false">AE23+AF22</f>
        <v>0</v>
      </c>
      <c r="AG23" s="228" t="n">
        <f aca="false">AF23+AG22</f>
        <v>0</v>
      </c>
      <c r="AH23" s="228" t="n">
        <f aca="false">AG23+AH22</f>
        <v>0</v>
      </c>
      <c r="AI23" s="228" t="n">
        <f aca="false">AH23+AI22</f>
        <v>0</v>
      </c>
      <c r="AJ23" s="228" t="n">
        <f aca="false">AI23+AJ22</f>
        <v>0</v>
      </c>
      <c r="AK23" s="228" t="n">
        <f aca="false">AJ23+AK22</f>
        <v>0</v>
      </c>
      <c r="AL23" s="228" t="n">
        <f aca="false">AK23+AL22</f>
        <v>0</v>
      </c>
      <c r="AM23" s="228" t="n">
        <f aca="false">AL23+AM22</f>
        <v>0</v>
      </c>
      <c r="AN23" s="228" t="n">
        <f aca="false">AM23+AN22</f>
        <v>0</v>
      </c>
      <c r="AO23" s="228" t="n">
        <f aca="false">AN23+AO22</f>
        <v>0</v>
      </c>
      <c r="AP23" s="228" t="n">
        <f aca="false">AO23+AP22</f>
        <v>0</v>
      </c>
      <c r="AQ23" s="228" t="n">
        <f aca="false">AP23+AQ22</f>
        <v>0</v>
      </c>
      <c r="AR23" s="228" t="n">
        <f aca="false">AQ23+AR22</f>
        <v>0</v>
      </c>
      <c r="AS23" s="228" t="n">
        <f aca="false">AR23+AS22</f>
        <v>0</v>
      </c>
      <c r="AT23" s="228" t="n">
        <f aca="false">AS23+AT22</f>
        <v>0</v>
      </c>
      <c r="AU23" s="228" t="n">
        <f aca="false">AT23+AU22</f>
        <v>0</v>
      </c>
      <c r="AV23" s="228" t="n">
        <f aca="false">AU23+AV22</f>
        <v>0</v>
      </c>
      <c r="AW23" s="228" t="n">
        <f aca="false">AV23+AW22</f>
        <v>0</v>
      </c>
      <c r="AX23" s="228" t="n">
        <f aca="false">AW23+AX22</f>
        <v>0</v>
      </c>
      <c r="AY23" s="228" t="n">
        <f aca="false">AX23+AY22</f>
        <v>0</v>
      </c>
      <c r="AZ23" s="228" t="n">
        <f aca="false">AY23+AZ22</f>
        <v>0</v>
      </c>
      <c r="BA23" s="228" t="n">
        <f aca="false">AZ23+BA22</f>
        <v>0</v>
      </c>
      <c r="BB23" s="228" t="n">
        <f aca="false">BA23+BB22</f>
        <v>0</v>
      </c>
      <c r="BC23" s="228" t="n">
        <f aca="false">BB23+BC22</f>
        <v>0</v>
      </c>
      <c r="BD23" s="228" t="n">
        <f aca="false">BC23+BD22</f>
        <v>0</v>
      </c>
      <c r="BE23" s="228" t="n">
        <f aca="false">BD23+BE22</f>
        <v>0</v>
      </c>
      <c r="BF23" s="228" t="n">
        <f aca="false">BE23+BF22</f>
        <v>0</v>
      </c>
      <c r="BG23" s="228" t="n">
        <f aca="false">BF23+BG22</f>
        <v>0</v>
      </c>
      <c r="BH23" s="228" t="n">
        <f aca="false">BG23+BH22</f>
        <v>0</v>
      </c>
      <c r="BI23" s="228" t="n">
        <f aca="false">BH23+BI22</f>
        <v>0</v>
      </c>
      <c r="BJ23" s="228" t="n">
        <f aca="false">BI23+BJ22</f>
        <v>0</v>
      </c>
      <c r="BK23" s="228" t="n">
        <f aca="false">BJ23+BK22</f>
        <v>0</v>
      </c>
      <c r="BL23" s="228" t="n">
        <f aca="false">BK23+BL22</f>
        <v>0</v>
      </c>
      <c r="BM23" s="228" t="n">
        <f aca="false">BL23+BM22</f>
        <v>0</v>
      </c>
      <c r="BN23" s="228" t="n">
        <f aca="false">BM23+BN22</f>
        <v>0</v>
      </c>
      <c r="BO23" s="228" t="n">
        <f aca="false">BN23+BO22</f>
        <v>0</v>
      </c>
      <c r="BP23" s="228" t="n">
        <f aca="false">BO23+BP22</f>
        <v>0</v>
      </c>
      <c r="BQ23" s="228" t="n">
        <f aca="false">BP23+BQ22</f>
        <v>0</v>
      </c>
      <c r="BR23" s="228" t="n">
        <f aca="false">BQ23+BR22</f>
        <v>0</v>
      </c>
      <c r="BS23" s="228" t="n">
        <f aca="false">BR23+BS22</f>
        <v>0</v>
      </c>
      <c r="BT23" s="228" t="n">
        <f aca="false">BS23+BT22</f>
        <v>0</v>
      </c>
      <c r="BU23" s="228" t="n">
        <f aca="false">BT23+BU22</f>
        <v>0</v>
      </c>
      <c r="BV23" s="228" t="n">
        <f aca="false">BU23+BV22</f>
        <v>0</v>
      </c>
      <c r="BW23" s="228" t="n">
        <f aca="false">BV23+BW22</f>
        <v>0</v>
      </c>
      <c r="BX23" s="228" t="n">
        <f aca="false">BW23+BX22</f>
        <v>0</v>
      </c>
      <c r="BY23" s="228" t="n">
        <f aca="false">BX23+BY22</f>
        <v>0</v>
      </c>
      <c r="BZ23" s="228" t="n">
        <f aca="false">BY23+BZ22</f>
        <v>0</v>
      </c>
      <c r="CA23" s="228" t="n">
        <f aca="false">BZ23+CA22</f>
        <v>0</v>
      </c>
      <c r="CB23" s="228" t="n">
        <f aca="false">CA23+CB22</f>
        <v>0</v>
      </c>
      <c r="CC23" s="228" t="n">
        <f aca="false">CB23+CC22</f>
        <v>0</v>
      </c>
      <c r="CD23" s="228" t="n">
        <f aca="false">CC23+CD22</f>
        <v>0</v>
      </c>
      <c r="CE23" s="228" t="n">
        <f aca="false">CD23+CE22</f>
        <v>0</v>
      </c>
      <c r="CF23" s="228" t="n">
        <f aca="false">CE23+CF22</f>
        <v>0</v>
      </c>
      <c r="CG23" s="228" t="n">
        <f aca="false">CF23+CG22</f>
        <v>0</v>
      </c>
      <c r="CH23" s="228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customFormat="false" ht="15" hidden="false" customHeight="true" outlineLevel="0" collapsed="false">
      <c r="A26" s="86" t="s">
        <v>563</v>
      </c>
      <c r="B26" s="3"/>
      <c r="C26" s="225" t="n">
        <f aca="false">Model!E162</f>
        <v>0</v>
      </c>
      <c r="D26" s="225" t="n">
        <f aca="false">Model!F162</f>
        <v>0</v>
      </c>
      <c r="E26" s="225" t="n">
        <f aca="false">Model!G162</f>
        <v>0</v>
      </c>
      <c r="F26" s="225" t="n">
        <f aca="false">Model!H162</f>
        <v>0</v>
      </c>
      <c r="G26" s="225" t="n">
        <f aca="false">Model!I162</f>
        <v>0</v>
      </c>
      <c r="H26" s="225" t="n">
        <f aca="false">Model!J162</f>
        <v>0</v>
      </c>
      <c r="I26" s="225" t="n">
        <f aca="false">Model!K162</f>
        <v>0</v>
      </c>
      <c r="J26" s="225" t="n">
        <f aca="false">Model!L162</f>
        <v>0</v>
      </c>
      <c r="K26" s="225" t="n">
        <f aca="false">Model!M162</f>
        <v>0</v>
      </c>
      <c r="L26" s="225" t="n">
        <f aca="false">Model!N162</f>
        <v>0</v>
      </c>
      <c r="M26" s="225" t="n">
        <f aca="false">Model!O162</f>
        <v>0</v>
      </c>
      <c r="N26" s="225" t="n">
        <f aca="false">Model!P162</f>
        <v>0</v>
      </c>
      <c r="O26" s="225" t="n">
        <f aca="false">Model!Q162</f>
        <v>0</v>
      </c>
      <c r="P26" s="225" t="n">
        <f aca="false">Model!R162</f>
        <v>0</v>
      </c>
      <c r="Q26" s="225" t="n">
        <f aca="false">Model!S162</f>
        <v>0</v>
      </c>
      <c r="R26" s="225" t="n">
        <f aca="false">Model!T162</f>
        <v>0</v>
      </c>
      <c r="S26" s="225" t="n">
        <f aca="false">Model!U162</f>
        <v>0</v>
      </c>
      <c r="T26" s="225" t="n">
        <f aca="false">Model!V162</f>
        <v>0</v>
      </c>
      <c r="U26" s="225" t="n">
        <f aca="false">Model!W162</f>
        <v>0</v>
      </c>
      <c r="V26" s="225" t="n">
        <f aca="false">Model!X162</f>
        <v>0</v>
      </c>
      <c r="W26" s="225" t="n">
        <f aca="false">Model!Y162</f>
        <v>0</v>
      </c>
      <c r="X26" s="225" t="n">
        <f aca="false">Model!Z162</f>
        <v>0</v>
      </c>
      <c r="Y26" s="225" t="n">
        <f aca="false">Model!AA162</f>
        <v>0</v>
      </c>
      <c r="Z26" s="225" t="n">
        <f aca="false">Model!AB162</f>
        <v>0</v>
      </c>
      <c r="AA26" s="225" t="n">
        <f aca="false">Model!AC162</f>
        <v>0</v>
      </c>
      <c r="AB26" s="225" t="n">
        <f aca="false">Model!AD162</f>
        <v>0</v>
      </c>
      <c r="AC26" s="225" t="n">
        <f aca="false">Model!AE162</f>
        <v>0</v>
      </c>
      <c r="AD26" s="225" t="n">
        <f aca="false">Model!AF162</f>
        <v>0</v>
      </c>
      <c r="AE26" s="225" t="n">
        <f aca="false">Model!AG162</f>
        <v>0</v>
      </c>
      <c r="AF26" s="225" t="n">
        <f aca="false">Model!AH162</f>
        <v>0</v>
      </c>
      <c r="AG26" s="225" t="n">
        <f aca="false">Model!AI162</f>
        <v>0</v>
      </c>
      <c r="AH26" s="225" t="n">
        <f aca="false">Model!AJ162</f>
        <v>0</v>
      </c>
      <c r="AI26" s="225" t="n">
        <f aca="false">Model!AK162</f>
        <v>0</v>
      </c>
      <c r="AJ26" s="225" t="n">
        <f aca="false">Model!AL162</f>
        <v>0</v>
      </c>
      <c r="AK26" s="225" t="n">
        <f aca="false">Model!AM162</f>
        <v>0</v>
      </c>
      <c r="AL26" s="225" t="n">
        <f aca="false">Model!AN162</f>
        <v>0</v>
      </c>
      <c r="AM26" s="225" t="n">
        <f aca="false">Model!AO162</f>
        <v>0</v>
      </c>
      <c r="AN26" s="225" t="n">
        <f aca="false">Model!AP162</f>
        <v>0</v>
      </c>
      <c r="AO26" s="225" t="n">
        <f aca="false">Model!AQ162</f>
        <v>0</v>
      </c>
      <c r="AP26" s="225" t="n">
        <f aca="false">Model!AR162</f>
        <v>0</v>
      </c>
      <c r="AQ26" s="225" t="n">
        <f aca="false">Model!AS162</f>
        <v>0</v>
      </c>
      <c r="AR26" s="225" t="n">
        <f aca="false">Model!AT162</f>
        <v>81683</v>
      </c>
      <c r="AS26" s="225" t="n">
        <f aca="false">Model!AU162</f>
        <v>0</v>
      </c>
      <c r="AT26" s="225" t="n">
        <f aca="false">Model!AV162</f>
        <v>0</v>
      </c>
      <c r="AU26" s="225" t="n">
        <f aca="false">Model!AW162</f>
        <v>81682</v>
      </c>
      <c r="AV26" s="225" t="n">
        <f aca="false">Model!AX162</f>
        <v>0</v>
      </c>
      <c r="AW26" s="225" t="n">
        <f aca="false">Model!AY162</f>
        <v>0</v>
      </c>
      <c r="AX26" s="225" t="n">
        <f aca="false">Model!AZ162</f>
        <v>81682</v>
      </c>
      <c r="AY26" s="225" t="n">
        <f aca="false">Model!BA162</f>
        <v>0</v>
      </c>
      <c r="AZ26" s="225" t="n">
        <f aca="false">Model!BB162</f>
        <v>0</v>
      </c>
      <c r="BA26" s="225" t="n">
        <f aca="false">Model!BC162</f>
        <v>81682</v>
      </c>
      <c r="BB26" s="225" t="n">
        <f aca="false">Model!BD162</f>
        <v>0</v>
      </c>
      <c r="BC26" s="225" t="n">
        <f aca="false">Model!BE162</f>
        <v>0</v>
      </c>
      <c r="BD26" s="225" t="n">
        <f aca="false">Model!BF162</f>
        <v>59178</v>
      </c>
      <c r="BE26" s="225" t="n">
        <f aca="false">Model!BG162</f>
        <v>0</v>
      </c>
      <c r="BF26" s="225" t="n">
        <f aca="false">Model!BH162</f>
        <v>0</v>
      </c>
      <c r="BG26" s="225" t="n">
        <f aca="false">Model!BI162</f>
        <v>59176</v>
      </c>
      <c r="BH26" s="225" t="n">
        <f aca="false">Model!BJ162</f>
        <v>0</v>
      </c>
      <c r="BI26" s="225" t="n">
        <f aca="false">Model!BK162</f>
        <v>0</v>
      </c>
      <c r="BJ26" s="225" t="n">
        <f aca="false">Model!BL162</f>
        <v>59176</v>
      </c>
      <c r="BK26" s="225" t="n">
        <f aca="false">Model!BM162</f>
        <v>0</v>
      </c>
      <c r="BL26" s="225" t="n">
        <f aca="false">Model!BN162</f>
        <v>0</v>
      </c>
      <c r="BM26" s="225" t="n">
        <f aca="false">Model!BO162</f>
        <v>59176</v>
      </c>
      <c r="BN26" s="225" t="n">
        <f aca="false">Model!BP162</f>
        <v>0</v>
      </c>
      <c r="BO26" s="225" t="n">
        <f aca="false">Model!BQ162</f>
        <v>0</v>
      </c>
      <c r="BP26" s="225" t="n">
        <f aca="false">Model!BR162</f>
        <v>67763</v>
      </c>
      <c r="BQ26" s="225" t="n">
        <f aca="false">Model!BS162</f>
        <v>0</v>
      </c>
      <c r="BR26" s="225" t="n">
        <f aca="false">Model!BT162</f>
        <v>0</v>
      </c>
      <c r="BS26" s="225" t="n">
        <f aca="false">Model!BU162</f>
        <v>67762</v>
      </c>
      <c r="BT26" s="225" t="n">
        <f aca="false">Model!BV162</f>
        <v>0</v>
      </c>
      <c r="BU26" s="225" t="n">
        <f aca="false">Model!BW162</f>
        <v>0</v>
      </c>
      <c r="BV26" s="225" t="n">
        <f aca="false">Model!BX162</f>
        <v>67762</v>
      </c>
      <c r="BW26" s="225" t="n">
        <f aca="false">Model!BY162</f>
        <v>0</v>
      </c>
      <c r="BX26" s="225" t="n">
        <f aca="false">Model!BZ162</f>
        <v>0</v>
      </c>
      <c r="BY26" s="225" t="n">
        <f aca="false">Model!CA162</f>
        <v>67762</v>
      </c>
      <c r="BZ26" s="225" t="n">
        <f aca="false">Model!CB162</f>
        <v>0</v>
      </c>
      <c r="CA26" s="225" t="n">
        <f aca="false">Model!CC162</f>
        <v>0</v>
      </c>
      <c r="CB26" s="225" t="n">
        <f aca="false">Model!CD162</f>
        <v>76499</v>
      </c>
      <c r="CC26" s="225" t="n">
        <f aca="false">Model!CE162</f>
        <v>0</v>
      </c>
      <c r="CD26" s="225" t="n">
        <f aca="false">Model!CF162</f>
        <v>0</v>
      </c>
      <c r="CE26" s="225" t="n">
        <f aca="false">Model!CG162</f>
        <v>76499</v>
      </c>
      <c r="CF26" s="225" t="n">
        <f aca="false">Model!CH162</f>
        <v>0</v>
      </c>
      <c r="CG26" s="225" t="n">
        <f aca="false">Model!CI162</f>
        <v>0</v>
      </c>
      <c r="CH26" s="225" t="n">
        <f aca="false">Model!CJ162</f>
        <v>76499</v>
      </c>
    </row>
    <row r="27" customFormat="false" ht="15" hidden="false" customHeight="true" outlineLevel="0" collapsed="false">
      <c r="A27" s="229" t="s">
        <v>566</v>
      </c>
      <c r="B27" s="3"/>
      <c r="C27" s="230" t="n">
        <f aca="false">Model!E196</f>
        <v>-0</v>
      </c>
      <c r="D27" s="230" t="n">
        <f aca="false">Model!F196</f>
        <v>-0</v>
      </c>
      <c r="E27" s="230" t="n">
        <f aca="false">Model!G196</f>
        <v>-0</v>
      </c>
      <c r="F27" s="230" t="n">
        <f aca="false">Model!H196</f>
        <v>-0</v>
      </c>
      <c r="G27" s="230" t="n">
        <f aca="false">Model!I196</f>
        <v>-0</v>
      </c>
      <c r="H27" s="230" t="n">
        <f aca="false">Model!J196</f>
        <v>-0</v>
      </c>
      <c r="I27" s="230" t="n">
        <f aca="false">Model!K196</f>
        <v>-0</v>
      </c>
      <c r="J27" s="230" t="n">
        <f aca="false">Model!L196</f>
        <v>-0</v>
      </c>
      <c r="K27" s="230" t="n">
        <f aca="false">Model!M196</f>
        <v>-0</v>
      </c>
      <c r="L27" s="230" t="n">
        <f aca="false">Model!N196</f>
        <v>-0</v>
      </c>
      <c r="M27" s="230" t="n">
        <f aca="false">Model!O196</f>
        <v>-0</v>
      </c>
      <c r="N27" s="230" t="n">
        <f aca="false">Model!P196</f>
        <v>-0</v>
      </c>
      <c r="O27" s="230" t="n">
        <f aca="false">Model!Q196</f>
        <v>-0</v>
      </c>
      <c r="P27" s="230" t="n">
        <f aca="false">Model!R196</f>
        <v>-0</v>
      </c>
      <c r="Q27" s="230" t="n">
        <f aca="false">Model!S196</f>
        <v>-0</v>
      </c>
      <c r="R27" s="230" t="n">
        <f aca="false">Model!T196</f>
        <v>-0</v>
      </c>
      <c r="S27" s="230" t="n">
        <f aca="false">Model!U196</f>
        <v>-0</v>
      </c>
      <c r="T27" s="230" t="n">
        <f aca="false">Model!V196</f>
        <v>-0</v>
      </c>
      <c r="U27" s="230" t="n">
        <f aca="false">Model!W196</f>
        <v>-0</v>
      </c>
      <c r="V27" s="230" t="n">
        <f aca="false">Model!X196</f>
        <v>-0</v>
      </c>
      <c r="W27" s="230" t="n">
        <f aca="false">Model!Y196</f>
        <v>-0</v>
      </c>
      <c r="X27" s="230" t="n">
        <f aca="false">Model!Z196</f>
        <v>-0</v>
      </c>
      <c r="Y27" s="230" t="n">
        <f aca="false">Model!AA196</f>
        <v>-0</v>
      </c>
      <c r="Z27" s="230" t="n">
        <f aca="false">Model!AB196</f>
        <v>-0</v>
      </c>
      <c r="AA27" s="230" t="n">
        <f aca="false">Model!AC196</f>
        <v>-0</v>
      </c>
      <c r="AB27" s="230" t="n">
        <f aca="false">Model!AD196</f>
        <v>-0</v>
      </c>
      <c r="AC27" s="230" t="n">
        <f aca="false">Model!AE196</f>
        <v>-0</v>
      </c>
      <c r="AD27" s="230" t="n">
        <f aca="false">Model!AF196</f>
        <v>-0</v>
      </c>
      <c r="AE27" s="230" t="n">
        <f aca="false">Model!AG196</f>
        <v>-0</v>
      </c>
      <c r="AF27" s="230" t="n">
        <f aca="false">Model!AH196</f>
        <v>-0</v>
      </c>
      <c r="AG27" s="230" t="n">
        <f aca="false">Model!AI196</f>
        <v>-0</v>
      </c>
      <c r="AH27" s="230" t="n">
        <f aca="false">Model!AJ196</f>
        <v>-0</v>
      </c>
      <c r="AI27" s="230" t="n">
        <f aca="false">Model!AK196</f>
        <v>-0</v>
      </c>
      <c r="AJ27" s="230" t="n">
        <f aca="false">Model!AL196</f>
        <v>-0</v>
      </c>
      <c r="AK27" s="230" t="n">
        <f aca="false">Model!AM196</f>
        <v>-0</v>
      </c>
      <c r="AL27" s="230" t="n">
        <f aca="false">Model!AN196</f>
        <v>-0</v>
      </c>
      <c r="AM27" s="230" t="n">
        <f aca="false">Model!AO196</f>
        <v>-0</v>
      </c>
      <c r="AN27" s="230" t="n">
        <f aca="false">Model!AP196</f>
        <v>-0</v>
      </c>
      <c r="AO27" s="230" t="n">
        <f aca="false">Model!AQ196</f>
        <v>-0</v>
      </c>
      <c r="AP27" s="230" t="n">
        <f aca="false">Model!AR196</f>
        <v>-0</v>
      </c>
      <c r="AQ27" s="230" t="n">
        <f aca="false">Model!AS196</f>
        <v>-0</v>
      </c>
      <c r="AR27" s="230" t="n">
        <f aca="false">Model!AT196</f>
        <v>-81683</v>
      </c>
      <c r="AS27" s="230" t="n">
        <f aca="false">Model!AU196</f>
        <v>-0</v>
      </c>
      <c r="AT27" s="230" t="n">
        <f aca="false">Model!AV196</f>
        <v>-0</v>
      </c>
      <c r="AU27" s="230" t="n">
        <f aca="false">Model!AW196</f>
        <v>-81682</v>
      </c>
      <c r="AV27" s="230" t="n">
        <f aca="false">Model!AX196</f>
        <v>-0</v>
      </c>
      <c r="AW27" s="230" t="n">
        <f aca="false">Model!AY196</f>
        <v>-0</v>
      </c>
      <c r="AX27" s="230" t="n">
        <f aca="false">Model!AZ196</f>
        <v>-81682</v>
      </c>
      <c r="AY27" s="230" t="n">
        <f aca="false">Model!BA196</f>
        <v>-0</v>
      </c>
      <c r="AZ27" s="230" t="n">
        <f aca="false">Model!BB196</f>
        <v>-0</v>
      </c>
      <c r="BA27" s="230" t="n">
        <f aca="false">Model!BC196</f>
        <v>-81682</v>
      </c>
      <c r="BB27" s="230" t="n">
        <f aca="false">Model!BD196</f>
        <v>-0</v>
      </c>
      <c r="BC27" s="230" t="n">
        <f aca="false">Model!BE196</f>
        <v>-0</v>
      </c>
      <c r="BD27" s="230" t="n">
        <f aca="false">Model!BF196</f>
        <v>-59178</v>
      </c>
      <c r="BE27" s="230" t="n">
        <f aca="false">Model!BG196</f>
        <v>-0</v>
      </c>
      <c r="BF27" s="230" t="n">
        <f aca="false">Model!BH196</f>
        <v>-0</v>
      </c>
      <c r="BG27" s="230" t="n">
        <f aca="false">Model!BI196</f>
        <v>-59176</v>
      </c>
      <c r="BH27" s="230" t="n">
        <f aca="false">Model!BJ196</f>
        <v>-0</v>
      </c>
      <c r="BI27" s="230" t="n">
        <f aca="false">Model!BK196</f>
        <v>-0</v>
      </c>
      <c r="BJ27" s="230" t="n">
        <f aca="false">Model!BL196</f>
        <v>-59176</v>
      </c>
      <c r="BK27" s="230" t="n">
        <f aca="false">Model!BM196</f>
        <v>-0</v>
      </c>
      <c r="BL27" s="230" t="n">
        <f aca="false">Model!BN196</f>
        <v>-0</v>
      </c>
      <c r="BM27" s="230" t="n">
        <f aca="false">Model!BO196</f>
        <v>-59176</v>
      </c>
      <c r="BN27" s="230" t="n">
        <f aca="false">Model!BP196</f>
        <v>-0</v>
      </c>
      <c r="BO27" s="230" t="n">
        <f aca="false">Model!BQ196</f>
        <v>-0</v>
      </c>
      <c r="BP27" s="230" t="n">
        <f aca="false">Model!BR196</f>
        <v>-14512.65</v>
      </c>
      <c r="BQ27" s="230" t="n">
        <f aca="false">Model!BS196</f>
        <v>-0</v>
      </c>
      <c r="BR27" s="230" t="n">
        <f aca="false">Model!BT196</f>
        <v>-0</v>
      </c>
      <c r="BS27" s="230" t="n">
        <f aca="false">Model!BU196</f>
        <v>-0</v>
      </c>
      <c r="BT27" s="230" t="n">
        <f aca="false">Model!BV196</f>
        <v>-0</v>
      </c>
      <c r="BU27" s="230" t="n">
        <f aca="false">Model!BW196</f>
        <v>-0</v>
      </c>
      <c r="BV27" s="230" t="n">
        <f aca="false">Model!BX196</f>
        <v>-0</v>
      </c>
      <c r="BW27" s="230" t="n">
        <f aca="false">Model!BY196</f>
        <v>-0</v>
      </c>
      <c r="BX27" s="230" t="n">
        <f aca="false">Model!BZ196</f>
        <v>-0</v>
      </c>
      <c r="BY27" s="230" t="n">
        <f aca="false">Model!CA196</f>
        <v>-0</v>
      </c>
      <c r="BZ27" s="230" t="n">
        <f aca="false">Model!CB196</f>
        <v>-0</v>
      </c>
      <c r="CA27" s="230" t="n">
        <f aca="false">Model!CC196</f>
        <v>-0</v>
      </c>
      <c r="CB27" s="230" t="n">
        <f aca="false">Model!CD196</f>
        <v>-0</v>
      </c>
      <c r="CC27" s="230" t="n">
        <f aca="false">Model!CE196</f>
        <v>-0</v>
      </c>
      <c r="CD27" s="230" t="n">
        <f aca="false">Model!CF196</f>
        <v>-0</v>
      </c>
      <c r="CE27" s="230" t="n">
        <f aca="false">Model!CG196</f>
        <v>-0</v>
      </c>
      <c r="CF27" s="230" t="n">
        <f aca="false">Model!CH196</f>
        <v>-0</v>
      </c>
      <c r="CG27" s="230" t="n">
        <f aca="false">Model!CI196</f>
        <v>-0</v>
      </c>
      <c r="CH27" s="230" t="n">
        <f aca="false">Model!CJ196</f>
        <v>-0</v>
      </c>
    </row>
    <row r="28" customFormat="false" ht="15" hidden="false" customHeight="true" outlineLevel="0" collapsed="false">
      <c r="A28" s="226" t="s">
        <v>564</v>
      </c>
      <c r="B28" s="226"/>
      <c r="C28" s="227" t="n">
        <f aca="false">C26+C27</f>
        <v>0</v>
      </c>
      <c r="D28" s="227" t="n">
        <f aca="false">D26+D27</f>
        <v>0</v>
      </c>
      <c r="E28" s="227" t="n">
        <f aca="false">E26+E27</f>
        <v>0</v>
      </c>
      <c r="F28" s="227" t="n">
        <f aca="false">F26+F27</f>
        <v>0</v>
      </c>
      <c r="G28" s="227" t="n">
        <f aca="false">G26+G27</f>
        <v>0</v>
      </c>
      <c r="H28" s="227" t="n">
        <f aca="false">H26+H27</f>
        <v>0</v>
      </c>
      <c r="I28" s="227" t="n">
        <f aca="false">I26+I27</f>
        <v>0</v>
      </c>
      <c r="J28" s="227" t="n">
        <f aca="false">J26+J27</f>
        <v>0</v>
      </c>
      <c r="K28" s="227" t="n">
        <f aca="false">K26+K27</f>
        <v>0</v>
      </c>
      <c r="L28" s="227" t="n">
        <f aca="false">L26+L27</f>
        <v>0</v>
      </c>
      <c r="M28" s="227" t="n">
        <f aca="false">M26+M27</f>
        <v>0</v>
      </c>
      <c r="N28" s="227" t="n">
        <f aca="false">N26+N27</f>
        <v>0</v>
      </c>
      <c r="O28" s="227" t="n">
        <f aca="false">O26+O27</f>
        <v>0</v>
      </c>
      <c r="P28" s="227" t="n">
        <f aca="false">P26+P27</f>
        <v>0</v>
      </c>
      <c r="Q28" s="227" t="n">
        <f aca="false">Q26+Q27</f>
        <v>0</v>
      </c>
      <c r="R28" s="227" t="n">
        <f aca="false">R26+R27</f>
        <v>0</v>
      </c>
      <c r="S28" s="227" t="n">
        <f aca="false">S26+S27</f>
        <v>0</v>
      </c>
      <c r="T28" s="227" t="n">
        <f aca="false">T26+T27</f>
        <v>0</v>
      </c>
      <c r="U28" s="227" t="n">
        <f aca="false">U26+U27</f>
        <v>0</v>
      </c>
      <c r="V28" s="227" t="n">
        <f aca="false">V26+V27</f>
        <v>0</v>
      </c>
      <c r="W28" s="227" t="n">
        <f aca="false">W26+W27</f>
        <v>0</v>
      </c>
      <c r="X28" s="227" t="n">
        <f aca="false">X26+X27</f>
        <v>0</v>
      </c>
      <c r="Y28" s="227" t="n">
        <f aca="false">Y26+Y27</f>
        <v>0</v>
      </c>
      <c r="Z28" s="227" t="n">
        <f aca="false">Z26+Z27</f>
        <v>0</v>
      </c>
      <c r="AA28" s="227" t="n">
        <f aca="false">AA26+AA27</f>
        <v>0</v>
      </c>
      <c r="AB28" s="227" t="n">
        <f aca="false">AB26+AB27</f>
        <v>0</v>
      </c>
      <c r="AC28" s="227" t="n">
        <f aca="false">AC26+AC27</f>
        <v>0</v>
      </c>
      <c r="AD28" s="227" t="n">
        <f aca="false">AD26+AD27</f>
        <v>0</v>
      </c>
      <c r="AE28" s="227" t="n">
        <f aca="false">AE26+AE27</f>
        <v>0</v>
      </c>
      <c r="AF28" s="227" t="n">
        <f aca="false">AF26+AF27</f>
        <v>0</v>
      </c>
      <c r="AG28" s="227" t="n">
        <f aca="false">AG26+AG27</f>
        <v>0</v>
      </c>
      <c r="AH28" s="227" t="n">
        <f aca="false">AH26+AH27</f>
        <v>0</v>
      </c>
      <c r="AI28" s="227" t="n">
        <f aca="false">AI26+AI27</f>
        <v>0</v>
      </c>
      <c r="AJ28" s="227" t="n">
        <f aca="false">AJ26+AJ27</f>
        <v>0</v>
      </c>
      <c r="AK28" s="227" t="n">
        <f aca="false">AK26+AK27</f>
        <v>0</v>
      </c>
      <c r="AL28" s="227" t="n">
        <f aca="false">AL26+AL27</f>
        <v>0</v>
      </c>
      <c r="AM28" s="227" t="n">
        <f aca="false">AM26+AM27</f>
        <v>0</v>
      </c>
      <c r="AN28" s="227" t="n">
        <f aca="false">AN26+AN27</f>
        <v>0</v>
      </c>
      <c r="AO28" s="227" t="n">
        <f aca="false">AO26+AO27</f>
        <v>0</v>
      </c>
      <c r="AP28" s="227" t="n">
        <f aca="false">AP26+AP27</f>
        <v>0</v>
      </c>
      <c r="AQ28" s="227" t="n">
        <f aca="false">AQ26+AQ27</f>
        <v>0</v>
      </c>
      <c r="AR28" s="227" t="n">
        <f aca="false">AR26+AR27</f>
        <v>0</v>
      </c>
      <c r="AS28" s="227" t="n">
        <f aca="false">AS26+AS27</f>
        <v>0</v>
      </c>
      <c r="AT28" s="227" t="n">
        <f aca="false">AT26+AT27</f>
        <v>0</v>
      </c>
      <c r="AU28" s="227" t="n">
        <f aca="false">AU26+AU27</f>
        <v>0</v>
      </c>
      <c r="AV28" s="227" t="n">
        <f aca="false">AV26+AV27</f>
        <v>0</v>
      </c>
      <c r="AW28" s="227" t="n">
        <f aca="false">AW26+AW27</f>
        <v>0</v>
      </c>
      <c r="AX28" s="227" t="n">
        <f aca="false">AX26+AX27</f>
        <v>0</v>
      </c>
      <c r="AY28" s="227" t="n">
        <f aca="false">AY26+AY27</f>
        <v>0</v>
      </c>
      <c r="AZ28" s="227" t="n">
        <f aca="false">AZ26+AZ27</f>
        <v>0</v>
      </c>
      <c r="BA28" s="227" t="n">
        <f aca="false">BA26+BA27</f>
        <v>0</v>
      </c>
      <c r="BB28" s="227" t="n">
        <f aca="false">BB26+BB27</f>
        <v>0</v>
      </c>
      <c r="BC28" s="227" t="n">
        <f aca="false">BC26+BC27</f>
        <v>0</v>
      </c>
      <c r="BD28" s="227" t="n">
        <f aca="false">BD26+BD27</f>
        <v>0</v>
      </c>
      <c r="BE28" s="227" t="n">
        <f aca="false">BE26+BE27</f>
        <v>0</v>
      </c>
      <c r="BF28" s="227" t="n">
        <f aca="false">BF26+BF27</f>
        <v>0</v>
      </c>
      <c r="BG28" s="227" t="n">
        <f aca="false">BG26+BG27</f>
        <v>0</v>
      </c>
      <c r="BH28" s="227" t="n">
        <f aca="false">BH26+BH27</f>
        <v>0</v>
      </c>
      <c r="BI28" s="227" t="n">
        <f aca="false">BI26+BI27</f>
        <v>0</v>
      </c>
      <c r="BJ28" s="227" t="n">
        <f aca="false">BJ26+BJ27</f>
        <v>0</v>
      </c>
      <c r="BK28" s="227" t="n">
        <f aca="false">BK26+BK27</f>
        <v>0</v>
      </c>
      <c r="BL28" s="227" t="n">
        <f aca="false">BL26+BL27</f>
        <v>0</v>
      </c>
      <c r="BM28" s="227" t="n">
        <f aca="false">BM26+BM27</f>
        <v>0</v>
      </c>
      <c r="BN28" s="227" t="n">
        <f aca="false">BN26+BN27</f>
        <v>0</v>
      </c>
      <c r="BO28" s="227" t="n">
        <f aca="false">BO26+BO27</f>
        <v>0</v>
      </c>
      <c r="BP28" s="227" t="n">
        <f aca="false">BP26+BP27</f>
        <v>53250.35</v>
      </c>
      <c r="BQ28" s="227" t="n">
        <f aca="false">BQ26+BQ27</f>
        <v>0</v>
      </c>
      <c r="BR28" s="227" t="n">
        <f aca="false">BR26+BR27</f>
        <v>0</v>
      </c>
      <c r="BS28" s="227" t="n">
        <f aca="false">BS26+BS27</f>
        <v>67762</v>
      </c>
      <c r="BT28" s="227" t="n">
        <f aca="false">BT26+BT27</f>
        <v>0</v>
      </c>
      <c r="BU28" s="227" t="n">
        <f aca="false">BU26+BU27</f>
        <v>0</v>
      </c>
      <c r="BV28" s="227" t="n">
        <f aca="false">BV26+BV27</f>
        <v>67762</v>
      </c>
      <c r="BW28" s="227" t="n">
        <f aca="false">BW26+BW27</f>
        <v>0</v>
      </c>
      <c r="BX28" s="227" t="n">
        <f aca="false">BX26+BX27</f>
        <v>0</v>
      </c>
      <c r="BY28" s="227" t="n">
        <f aca="false">BY26+BY27</f>
        <v>67762</v>
      </c>
      <c r="BZ28" s="227" t="n">
        <f aca="false">BZ26+BZ27</f>
        <v>0</v>
      </c>
      <c r="CA28" s="227" t="n">
        <f aca="false">CA26+CA27</f>
        <v>0</v>
      </c>
      <c r="CB28" s="227" t="n">
        <f aca="false">CB26+CB27</f>
        <v>76499</v>
      </c>
      <c r="CC28" s="227" t="n">
        <f aca="false">CC26+CC27</f>
        <v>0</v>
      </c>
      <c r="CD28" s="227" t="n">
        <f aca="false">CD26+CD27</f>
        <v>0</v>
      </c>
      <c r="CE28" s="227" t="n">
        <f aca="false">CE26+CE27</f>
        <v>76499</v>
      </c>
      <c r="CF28" s="227" t="n">
        <f aca="false">CF26+CF27</f>
        <v>0</v>
      </c>
      <c r="CG28" s="227" t="n">
        <f aca="false">CG26+CG27</f>
        <v>0</v>
      </c>
      <c r="CH28" s="227" t="n">
        <f aca="false">CH26+CH27</f>
        <v>76499</v>
      </c>
    </row>
    <row r="29" customFormat="false" ht="15" hidden="false" customHeight="true" outlineLevel="0" collapsed="false">
      <c r="A29" s="72" t="s">
        <v>565</v>
      </c>
      <c r="B29" s="3"/>
      <c r="C29" s="228" t="n">
        <f aca="false">C28</f>
        <v>0</v>
      </c>
      <c r="D29" s="228" t="n">
        <f aca="false">C29+D28</f>
        <v>0</v>
      </c>
      <c r="E29" s="228" t="n">
        <f aca="false">D29+E28</f>
        <v>0</v>
      </c>
      <c r="F29" s="228" t="n">
        <f aca="false">E29+F28</f>
        <v>0</v>
      </c>
      <c r="G29" s="228" t="n">
        <f aca="false">F29+G28</f>
        <v>0</v>
      </c>
      <c r="H29" s="228" t="n">
        <f aca="false">G29+H28</f>
        <v>0</v>
      </c>
      <c r="I29" s="228" t="n">
        <f aca="false">H29+I28</f>
        <v>0</v>
      </c>
      <c r="J29" s="228" t="n">
        <f aca="false">I29+J28</f>
        <v>0</v>
      </c>
      <c r="K29" s="228" t="n">
        <f aca="false">J29+K28</f>
        <v>0</v>
      </c>
      <c r="L29" s="228" t="n">
        <f aca="false">K29+L28</f>
        <v>0</v>
      </c>
      <c r="M29" s="228" t="n">
        <f aca="false">L29+M28</f>
        <v>0</v>
      </c>
      <c r="N29" s="228" t="n">
        <f aca="false">M29+N28</f>
        <v>0</v>
      </c>
      <c r="O29" s="228" t="n">
        <f aca="false">N29+O28</f>
        <v>0</v>
      </c>
      <c r="P29" s="228" t="n">
        <f aca="false">O29+P28</f>
        <v>0</v>
      </c>
      <c r="Q29" s="228" t="n">
        <f aca="false">P29+Q28</f>
        <v>0</v>
      </c>
      <c r="R29" s="228" t="n">
        <f aca="false">Q29+R28</f>
        <v>0</v>
      </c>
      <c r="S29" s="228" t="n">
        <f aca="false">R29+S28</f>
        <v>0</v>
      </c>
      <c r="T29" s="228" t="n">
        <f aca="false">S29+T28</f>
        <v>0</v>
      </c>
      <c r="U29" s="228" t="n">
        <f aca="false">T29+U28</f>
        <v>0</v>
      </c>
      <c r="V29" s="228" t="n">
        <f aca="false">U29+V28</f>
        <v>0</v>
      </c>
      <c r="W29" s="228" t="n">
        <f aca="false">V29+W28</f>
        <v>0</v>
      </c>
      <c r="X29" s="228" t="n">
        <f aca="false">W29+X28</f>
        <v>0</v>
      </c>
      <c r="Y29" s="228" t="n">
        <f aca="false">X29+Y28</f>
        <v>0</v>
      </c>
      <c r="Z29" s="228" t="n">
        <f aca="false">Y29+Z28</f>
        <v>0</v>
      </c>
      <c r="AA29" s="228" t="n">
        <f aca="false">Z29+AA28</f>
        <v>0</v>
      </c>
      <c r="AB29" s="228" t="n">
        <f aca="false">AA29+AB28</f>
        <v>0</v>
      </c>
      <c r="AC29" s="228" t="n">
        <f aca="false">AB29+AC28</f>
        <v>0</v>
      </c>
      <c r="AD29" s="228" t="n">
        <f aca="false">AC29+AD28</f>
        <v>0</v>
      </c>
      <c r="AE29" s="228" t="n">
        <f aca="false">AD29+AE28</f>
        <v>0</v>
      </c>
      <c r="AF29" s="228" t="n">
        <f aca="false">AE29+AF28</f>
        <v>0</v>
      </c>
      <c r="AG29" s="228" t="n">
        <f aca="false">AF29+AG28</f>
        <v>0</v>
      </c>
      <c r="AH29" s="228" t="n">
        <f aca="false">AG29+AH28</f>
        <v>0</v>
      </c>
      <c r="AI29" s="228" t="n">
        <f aca="false">AH29+AI28</f>
        <v>0</v>
      </c>
      <c r="AJ29" s="228" t="n">
        <f aca="false">AI29+AJ28</f>
        <v>0</v>
      </c>
      <c r="AK29" s="228" t="n">
        <f aca="false">AJ29+AK28</f>
        <v>0</v>
      </c>
      <c r="AL29" s="228" t="n">
        <f aca="false">AK29+AL28</f>
        <v>0</v>
      </c>
      <c r="AM29" s="228" t="n">
        <f aca="false">AL29+AM28</f>
        <v>0</v>
      </c>
      <c r="AN29" s="228" t="n">
        <f aca="false">AM29+AN28</f>
        <v>0</v>
      </c>
      <c r="AO29" s="228" t="n">
        <f aca="false">AN29+AO28</f>
        <v>0</v>
      </c>
      <c r="AP29" s="228" t="n">
        <f aca="false">AO29+AP28</f>
        <v>0</v>
      </c>
      <c r="AQ29" s="228" t="n">
        <f aca="false">AP29+AQ28</f>
        <v>0</v>
      </c>
      <c r="AR29" s="228" t="n">
        <f aca="false">AQ29+AR28</f>
        <v>0</v>
      </c>
      <c r="AS29" s="228" t="n">
        <f aca="false">AR29+AS28</f>
        <v>0</v>
      </c>
      <c r="AT29" s="228" t="n">
        <f aca="false">AS29+AT28</f>
        <v>0</v>
      </c>
      <c r="AU29" s="228" t="n">
        <f aca="false">AT29+AU28</f>
        <v>0</v>
      </c>
      <c r="AV29" s="228" t="n">
        <f aca="false">AU29+AV28</f>
        <v>0</v>
      </c>
      <c r="AW29" s="228" t="n">
        <f aca="false">AV29+AW28</f>
        <v>0</v>
      </c>
      <c r="AX29" s="228" t="n">
        <f aca="false">AW29+AX28</f>
        <v>0</v>
      </c>
      <c r="AY29" s="228" t="n">
        <f aca="false">AX29+AY28</f>
        <v>0</v>
      </c>
      <c r="AZ29" s="228" t="n">
        <f aca="false">AY29+AZ28</f>
        <v>0</v>
      </c>
      <c r="BA29" s="228" t="n">
        <f aca="false">AZ29+BA28</f>
        <v>0</v>
      </c>
      <c r="BB29" s="228" t="n">
        <f aca="false">BA29+BB28</f>
        <v>0</v>
      </c>
      <c r="BC29" s="228" t="n">
        <f aca="false">BB29+BC28</f>
        <v>0</v>
      </c>
      <c r="BD29" s="228" t="n">
        <f aca="false">BC29+BD28</f>
        <v>0</v>
      </c>
      <c r="BE29" s="228" t="n">
        <f aca="false">BD29+BE28</f>
        <v>0</v>
      </c>
      <c r="BF29" s="228" t="n">
        <f aca="false">BE29+BF28</f>
        <v>0</v>
      </c>
      <c r="BG29" s="228" t="n">
        <f aca="false">BF29+BG28</f>
        <v>0</v>
      </c>
      <c r="BH29" s="228" t="n">
        <f aca="false">BG29+BH28</f>
        <v>0</v>
      </c>
      <c r="BI29" s="228" t="n">
        <f aca="false">BH29+BI28</f>
        <v>0</v>
      </c>
      <c r="BJ29" s="228" t="n">
        <f aca="false">BI29+BJ28</f>
        <v>0</v>
      </c>
      <c r="BK29" s="228" t="n">
        <f aca="false">BJ29+BK28</f>
        <v>0</v>
      </c>
      <c r="BL29" s="228" t="n">
        <f aca="false">BK29+BL28</f>
        <v>0</v>
      </c>
      <c r="BM29" s="228" t="n">
        <f aca="false">BL29+BM28</f>
        <v>0</v>
      </c>
      <c r="BN29" s="228" t="n">
        <f aca="false">BM29+BN28</f>
        <v>0</v>
      </c>
      <c r="BO29" s="228" t="n">
        <f aca="false">BN29+BO28</f>
        <v>0</v>
      </c>
      <c r="BP29" s="228" t="n">
        <f aca="false">BO29+BP28</f>
        <v>53250.35</v>
      </c>
      <c r="BQ29" s="228" t="n">
        <f aca="false">BP29+BQ28</f>
        <v>53250.35</v>
      </c>
      <c r="BR29" s="228" t="n">
        <f aca="false">BQ29+BR28</f>
        <v>53250.35</v>
      </c>
      <c r="BS29" s="228" t="n">
        <f aca="false">BR29+BS28</f>
        <v>121012.35</v>
      </c>
      <c r="BT29" s="228" t="n">
        <f aca="false">BS29+BT28</f>
        <v>121012.35</v>
      </c>
      <c r="BU29" s="228" t="n">
        <f aca="false">BT29+BU28</f>
        <v>121012.35</v>
      </c>
      <c r="BV29" s="228" t="n">
        <f aca="false">BU29+BV28</f>
        <v>188774.35</v>
      </c>
      <c r="BW29" s="228" t="n">
        <f aca="false">BV29+BW28</f>
        <v>188774.35</v>
      </c>
      <c r="BX29" s="228" t="n">
        <f aca="false">BW29+BX28</f>
        <v>188774.35</v>
      </c>
      <c r="BY29" s="228" t="n">
        <f aca="false">BX29+BY28</f>
        <v>256536.35</v>
      </c>
      <c r="BZ29" s="228" t="n">
        <f aca="false">BY29+BZ28</f>
        <v>256536.35</v>
      </c>
      <c r="CA29" s="228" t="n">
        <f aca="false">BZ29+CA28</f>
        <v>256536.35</v>
      </c>
      <c r="CB29" s="228" t="n">
        <f aca="false">CA29+CB28</f>
        <v>333035.35</v>
      </c>
      <c r="CC29" s="228" t="n">
        <f aca="false">CB29+CC28</f>
        <v>333035.35</v>
      </c>
      <c r="CD29" s="228" t="n">
        <f aca="false">CC29+CD28</f>
        <v>333035.35</v>
      </c>
      <c r="CE29" s="228" t="n">
        <f aca="false">CD29+CE28</f>
        <v>409534.35</v>
      </c>
      <c r="CF29" s="228" t="n">
        <f aca="false">CE29+CF28</f>
        <v>409534.35</v>
      </c>
      <c r="CG29" s="228" t="n">
        <f aca="false">CF29+CG28</f>
        <v>409534.35</v>
      </c>
      <c r="CH29" s="228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customFormat="false" ht="15" hidden="false" customHeight="true" outlineLevel="0" collapsed="false">
      <c r="A32" s="86" t="s">
        <v>563</v>
      </c>
      <c r="B32" s="3"/>
      <c r="C32" s="225" t="n">
        <f aca="false">Model!E163</f>
        <v>0</v>
      </c>
      <c r="D32" s="225" t="n">
        <f aca="false">Model!F163</f>
        <v>0</v>
      </c>
      <c r="E32" s="225" t="n">
        <f aca="false">Model!G163</f>
        <v>0</v>
      </c>
      <c r="F32" s="225" t="n">
        <f aca="false">Model!H163</f>
        <v>0</v>
      </c>
      <c r="G32" s="225" t="n">
        <f aca="false">Model!I163</f>
        <v>0</v>
      </c>
      <c r="H32" s="225" t="n">
        <f aca="false">Model!J163</f>
        <v>0</v>
      </c>
      <c r="I32" s="225" t="n">
        <f aca="false">Model!K163</f>
        <v>0</v>
      </c>
      <c r="J32" s="225" t="n">
        <f aca="false">Model!L163</f>
        <v>0</v>
      </c>
      <c r="K32" s="225" t="n">
        <f aca="false">Model!M163</f>
        <v>0</v>
      </c>
      <c r="L32" s="225" t="n">
        <f aca="false">Model!N163</f>
        <v>0</v>
      </c>
      <c r="M32" s="225" t="n">
        <f aca="false">Model!O163</f>
        <v>0</v>
      </c>
      <c r="N32" s="225" t="n">
        <f aca="false">Model!P163</f>
        <v>0</v>
      </c>
      <c r="O32" s="225" t="n">
        <f aca="false">Model!Q163</f>
        <v>0</v>
      </c>
      <c r="P32" s="225" t="n">
        <f aca="false">Model!R163</f>
        <v>0</v>
      </c>
      <c r="Q32" s="225" t="n">
        <f aca="false">Model!S163</f>
        <v>0</v>
      </c>
      <c r="R32" s="225" t="n">
        <f aca="false">Model!T163</f>
        <v>0</v>
      </c>
      <c r="S32" s="225" t="n">
        <f aca="false">Model!U163</f>
        <v>0</v>
      </c>
      <c r="T32" s="225" t="n">
        <f aca="false">Model!V163</f>
        <v>0</v>
      </c>
      <c r="U32" s="225" t="n">
        <f aca="false">Model!W163</f>
        <v>0</v>
      </c>
      <c r="V32" s="225" t="n">
        <f aca="false">Model!X163</f>
        <v>0</v>
      </c>
      <c r="W32" s="225" t="n">
        <f aca="false">Model!Y163</f>
        <v>0</v>
      </c>
      <c r="X32" s="225" t="n">
        <f aca="false">Model!Z163</f>
        <v>0</v>
      </c>
      <c r="Y32" s="225" t="n">
        <f aca="false">Model!AA163</f>
        <v>0</v>
      </c>
      <c r="Z32" s="225" t="n">
        <f aca="false">Model!AB163</f>
        <v>0</v>
      </c>
      <c r="AA32" s="225" t="n">
        <f aca="false">Model!AC163</f>
        <v>0</v>
      </c>
      <c r="AB32" s="225" t="n">
        <f aca="false">Model!AD163</f>
        <v>0</v>
      </c>
      <c r="AC32" s="225" t="n">
        <f aca="false">Model!AE163</f>
        <v>0</v>
      </c>
      <c r="AD32" s="225" t="n">
        <f aca="false">Model!AF163</f>
        <v>0</v>
      </c>
      <c r="AE32" s="225" t="n">
        <f aca="false">Model!AG163</f>
        <v>0</v>
      </c>
      <c r="AF32" s="225" t="n">
        <f aca="false">Model!AH163</f>
        <v>0</v>
      </c>
      <c r="AG32" s="225" t="n">
        <f aca="false">Model!AI163</f>
        <v>0</v>
      </c>
      <c r="AH32" s="225" t="n">
        <f aca="false">Model!AJ163</f>
        <v>0</v>
      </c>
      <c r="AI32" s="225" t="n">
        <f aca="false">Model!AK163</f>
        <v>0</v>
      </c>
      <c r="AJ32" s="225" t="n">
        <f aca="false">Model!AL163</f>
        <v>0</v>
      </c>
      <c r="AK32" s="225" t="n">
        <f aca="false">Model!AM163</f>
        <v>0</v>
      </c>
      <c r="AL32" s="225" t="n">
        <f aca="false">Model!AN163</f>
        <v>0</v>
      </c>
      <c r="AM32" s="225" t="n">
        <f aca="false">Model!AO163</f>
        <v>0</v>
      </c>
      <c r="AN32" s="225" t="n">
        <f aca="false">Model!AP163</f>
        <v>0</v>
      </c>
      <c r="AO32" s="225" t="n">
        <f aca="false">Model!AQ163</f>
        <v>0</v>
      </c>
      <c r="AP32" s="225" t="n">
        <f aca="false">Model!AR163</f>
        <v>0</v>
      </c>
      <c r="AQ32" s="225" t="n">
        <f aca="false">Model!AS163</f>
        <v>0</v>
      </c>
      <c r="AR32" s="225" t="n">
        <f aca="false">Model!AT163</f>
        <v>0</v>
      </c>
      <c r="AS32" s="225" t="n">
        <f aca="false">Model!AU163</f>
        <v>0</v>
      </c>
      <c r="AT32" s="225" t="n">
        <f aca="false">Model!AV163</f>
        <v>0</v>
      </c>
      <c r="AU32" s="225" t="n">
        <f aca="false">Model!AW163</f>
        <v>0</v>
      </c>
      <c r="AV32" s="225" t="n">
        <f aca="false">Model!AX163</f>
        <v>0</v>
      </c>
      <c r="AW32" s="225" t="n">
        <f aca="false">Model!AY163</f>
        <v>0</v>
      </c>
      <c r="AX32" s="225" t="n">
        <f aca="false">Model!AZ163</f>
        <v>0</v>
      </c>
      <c r="AY32" s="225" t="n">
        <f aca="false">Model!BA163</f>
        <v>0</v>
      </c>
      <c r="AZ32" s="225" t="n">
        <f aca="false">Model!BB163</f>
        <v>0</v>
      </c>
      <c r="BA32" s="225" t="n">
        <f aca="false">Model!BC163</f>
        <v>851839</v>
      </c>
      <c r="BB32" s="225" t="n">
        <f aca="false">Model!BD163</f>
        <v>0</v>
      </c>
      <c r="BC32" s="225" t="n">
        <f aca="false">Model!BE163</f>
        <v>0</v>
      </c>
      <c r="BD32" s="225" t="n">
        <f aca="false">Model!BF163</f>
        <v>71700</v>
      </c>
      <c r="BE32" s="225" t="n">
        <f aca="false">Model!BG163</f>
        <v>0</v>
      </c>
      <c r="BF32" s="225" t="n">
        <f aca="false">Model!BH163</f>
        <v>0</v>
      </c>
      <c r="BG32" s="225" t="n">
        <f aca="false">Model!BI163</f>
        <v>71700</v>
      </c>
      <c r="BH32" s="225" t="n">
        <f aca="false">Model!BJ163</f>
        <v>0</v>
      </c>
      <c r="BI32" s="225" t="n">
        <f aca="false">Model!BK163</f>
        <v>0</v>
      </c>
      <c r="BJ32" s="225" t="n">
        <f aca="false">Model!BL163</f>
        <v>71700</v>
      </c>
      <c r="BK32" s="225" t="n">
        <f aca="false">Model!BM163</f>
        <v>0</v>
      </c>
      <c r="BL32" s="225" t="n">
        <f aca="false">Model!BN163</f>
        <v>0</v>
      </c>
      <c r="BM32" s="225" t="n">
        <f aca="false">Model!BO163</f>
        <v>71700</v>
      </c>
      <c r="BN32" s="225" t="n">
        <f aca="false">Model!BP163</f>
        <v>0</v>
      </c>
      <c r="BO32" s="225" t="n">
        <f aca="false">Model!BQ163</f>
        <v>0</v>
      </c>
      <c r="BP32" s="225" t="n">
        <f aca="false">Model!BR163</f>
        <v>74643</v>
      </c>
      <c r="BQ32" s="225" t="n">
        <f aca="false">Model!BS163</f>
        <v>0</v>
      </c>
      <c r="BR32" s="225" t="n">
        <f aca="false">Model!BT163</f>
        <v>0</v>
      </c>
      <c r="BS32" s="225" t="n">
        <f aca="false">Model!BU163</f>
        <v>74640</v>
      </c>
      <c r="BT32" s="225" t="n">
        <f aca="false">Model!BV163</f>
        <v>0</v>
      </c>
      <c r="BU32" s="225" t="n">
        <f aca="false">Model!BW163</f>
        <v>0</v>
      </c>
      <c r="BV32" s="225" t="n">
        <f aca="false">Model!BX163</f>
        <v>74640</v>
      </c>
      <c r="BW32" s="225" t="n">
        <f aca="false">Model!BY163</f>
        <v>0</v>
      </c>
      <c r="BX32" s="225" t="n">
        <f aca="false">Model!BZ163</f>
        <v>0</v>
      </c>
      <c r="BY32" s="225" t="n">
        <f aca="false">Model!CA163</f>
        <v>74640</v>
      </c>
      <c r="BZ32" s="225" t="n">
        <f aca="false">Model!CB163</f>
        <v>0</v>
      </c>
      <c r="CA32" s="225" t="n">
        <f aca="false">Model!CC163</f>
        <v>0</v>
      </c>
      <c r="CB32" s="225" t="n">
        <f aca="false">Model!CD163</f>
        <v>81363</v>
      </c>
      <c r="CC32" s="225" t="n">
        <f aca="false">Model!CE163</f>
        <v>0</v>
      </c>
      <c r="CD32" s="225" t="n">
        <f aca="false">Model!CF163</f>
        <v>0</v>
      </c>
      <c r="CE32" s="225" t="n">
        <f aca="false">Model!CG163</f>
        <v>81362</v>
      </c>
      <c r="CF32" s="225" t="n">
        <f aca="false">Model!CH163</f>
        <v>0</v>
      </c>
      <c r="CG32" s="225" t="n">
        <f aca="false">Model!CI163</f>
        <v>0</v>
      </c>
      <c r="CH32" s="225" t="n">
        <f aca="false">Model!CJ163</f>
        <v>81362</v>
      </c>
    </row>
    <row r="33" customFormat="false" ht="15" hidden="false" customHeight="true" outlineLevel="0" collapsed="false">
      <c r="A33" s="229" t="s">
        <v>566</v>
      </c>
      <c r="B33" s="3"/>
      <c r="C33" s="230" t="n">
        <f aca="false">Model!E197</f>
        <v>-0</v>
      </c>
      <c r="D33" s="230" t="n">
        <f aca="false">Model!F197</f>
        <v>-0</v>
      </c>
      <c r="E33" s="230" t="n">
        <f aca="false">Model!G197</f>
        <v>-0</v>
      </c>
      <c r="F33" s="230" t="n">
        <f aca="false">Model!H197</f>
        <v>-0</v>
      </c>
      <c r="G33" s="230" t="n">
        <f aca="false">Model!I197</f>
        <v>-0</v>
      </c>
      <c r="H33" s="230" t="n">
        <f aca="false">Model!J197</f>
        <v>-0</v>
      </c>
      <c r="I33" s="230" t="n">
        <f aca="false">Model!K197</f>
        <v>-0</v>
      </c>
      <c r="J33" s="230" t="n">
        <f aca="false">Model!L197</f>
        <v>-0</v>
      </c>
      <c r="K33" s="230" t="n">
        <f aca="false">Model!M197</f>
        <v>-0</v>
      </c>
      <c r="L33" s="230" t="n">
        <f aca="false">Model!N197</f>
        <v>-0</v>
      </c>
      <c r="M33" s="230" t="n">
        <f aca="false">Model!O197</f>
        <v>-0</v>
      </c>
      <c r="N33" s="230" t="n">
        <f aca="false">Model!P197</f>
        <v>-0</v>
      </c>
      <c r="O33" s="230" t="n">
        <f aca="false">Model!Q197</f>
        <v>-0</v>
      </c>
      <c r="P33" s="230" t="n">
        <f aca="false">Model!R197</f>
        <v>-0</v>
      </c>
      <c r="Q33" s="230" t="n">
        <f aca="false">Model!S197</f>
        <v>-0</v>
      </c>
      <c r="R33" s="230" t="n">
        <f aca="false">Model!T197</f>
        <v>-0</v>
      </c>
      <c r="S33" s="230" t="n">
        <f aca="false">Model!U197</f>
        <v>-0</v>
      </c>
      <c r="T33" s="230" t="n">
        <f aca="false">Model!V197</f>
        <v>-0</v>
      </c>
      <c r="U33" s="230" t="n">
        <f aca="false">Model!W197</f>
        <v>-0</v>
      </c>
      <c r="V33" s="230" t="n">
        <f aca="false">Model!X197</f>
        <v>-0</v>
      </c>
      <c r="W33" s="230" t="n">
        <f aca="false">Model!Y197</f>
        <v>-0</v>
      </c>
      <c r="X33" s="230" t="n">
        <f aca="false">Model!Z197</f>
        <v>-0</v>
      </c>
      <c r="Y33" s="230" t="n">
        <f aca="false">Model!AA197</f>
        <v>-0</v>
      </c>
      <c r="Z33" s="230" t="n">
        <f aca="false">Model!AB197</f>
        <v>-0</v>
      </c>
      <c r="AA33" s="230" t="n">
        <f aca="false">Model!AC197</f>
        <v>-0</v>
      </c>
      <c r="AB33" s="230" t="n">
        <f aca="false">Model!AD197</f>
        <v>-0</v>
      </c>
      <c r="AC33" s="230" t="n">
        <f aca="false">Model!AE197</f>
        <v>-0</v>
      </c>
      <c r="AD33" s="230" t="n">
        <f aca="false">Model!AF197</f>
        <v>-0</v>
      </c>
      <c r="AE33" s="230" t="n">
        <f aca="false">Model!AG197</f>
        <v>-0</v>
      </c>
      <c r="AF33" s="230" t="n">
        <f aca="false">Model!AH197</f>
        <v>-0</v>
      </c>
      <c r="AG33" s="230" t="n">
        <f aca="false">Model!AI197</f>
        <v>-0</v>
      </c>
      <c r="AH33" s="230" t="n">
        <f aca="false">Model!AJ197</f>
        <v>-0</v>
      </c>
      <c r="AI33" s="230" t="n">
        <f aca="false">Model!AK197</f>
        <v>-0</v>
      </c>
      <c r="AJ33" s="230" t="n">
        <f aca="false">Model!AL197</f>
        <v>-0</v>
      </c>
      <c r="AK33" s="230" t="n">
        <f aca="false">Model!AM197</f>
        <v>-0</v>
      </c>
      <c r="AL33" s="230" t="n">
        <f aca="false">Model!AN197</f>
        <v>-0</v>
      </c>
      <c r="AM33" s="230" t="n">
        <f aca="false">Model!AO197</f>
        <v>-0</v>
      </c>
      <c r="AN33" s="230" t="n">
        <f aca="false">Model!AP197</f>
        <v>-0</v>
      </c>
      <c r="AO33" s="230" t="n">
        <f aca="false">Model!AQ197</f>
        <v>-0</v>
      </c>
      <c r="AP33" s="230" t="n">
        <f aca="false">Model!AR197</f>
        <v>-0</v>
      </c>
      <c r="AQ33" s="230" t="n">
        <f aca="false">Model!AS197</f>
        <v>-0</v>
      </c>
      <c r="AR33" s="230" t="n">
        <f aca="false">Model!AT197</f>
        <v>-0</v>
      </c>
      <c r="AS33" s="230" t="n">
        <f aca="false">Model!AU197</f>
        <v>-0</v>
      </c>
      <c r="AT33" s="230" t="n">
        <f aca="false">Model!AV197</f>
        <v>-0</v>
      </c>
      <c r="AU33" s="230" t="n">
        <f aca="false">Model!AW197</f>
        <v>-0</v>
      </c>
      <c r="AV33" s="230" t="n">
        <f aca="false">Model!AX197</f>
        <v>-0</v>
      </c>
      <c r="AW33" s="230" t="n">
        <f aca="false">Model!AY197</f>
        <v>-0</v>
      </c>
      <c r="AX33" s="230" t="n">
        <f aca="false">Model!AZ197</f>
        <v>-0</v>
      </c>
      <c r="AY33" s="230" t="n">
        <f aca="false">Model!BA197</f>
        <v>-0</v>
      </c>
      <c r="AZ33" s="230" t="n">
        <f aca="false">Model!BB197</f>
        <v>-0</v>
      </c>
      <c r="BA33" s="230" t="n">
        <f aca="false">Model!BC197</f>
        <v>-851839</v>
      </c>
      <c r="BB33" s="230" t="n">
        <f aca="false">Model!BD197</f>
        <v>-0</v>
      </c>
      <c r="BC33" s="230" t="n">
        <f aca="false">Model!BE197</f>
        <v>-0</v>
      </c>
      <c r="BD33" s="230" t="n">
        <f aca="false">Model!BF197</f>
        <v>-71700</v>
      </c>
      <c r="BE33" s="230" t="n">
        <f aca="false">Model!BG197</f>
        <v>-0</v>
      </c>
      <c r="BF33" s="230" t="n">
        <f aca="false">Model!BH197</f>
        <v>-0</v>
      </c>
      <c r="BG33" s="230" t="n">
        <f aca="false">Model!BI197</f>
        <v>-71700</v>
      </c>
      <c r="BH33" s="230" t="n">
        <f aca="false">Model!BJ197</f>
        <v>-0</v>
      </c>
      <c r="BI33" s="230" t="n">
        <f aca="false">Model!BK197</f>
        <v>-0</v>
      </c>
      <c r="BJ33" s="230" t="n">
        <f aca="false">Model!BL197</f>
        <v>-71700</v>
      </c>
      <c r="BK33" s="230" t="n">
        <f aca="false">Model!BM197</f>
        <v>-0</v>
      </c>
      <c r="BL33" s="230" t="n">
        <f aca="false">Model!BN197</f>
        <v>-0</v>
      </c>
      <c r="BM33" s="230" t="n">
        <f aca="false">Model!BO197</f>
        <v>-71700</v>
      </c>
      <c r="BN33" s="230" t="n">
        <f aca="false">Model!BP197</f>
        <v>-0</v>
      </c>
      <c r="BO33" s="230" t="n">
        <f aca="false">Model!BQ197</f>
        <v>-0</v>
      </c>
      <c r="BP33" s="230" t="n">
        <f aca="false">Model!BR197</f>
        <v>-74643</v>
      </c>
      <c r="BQ33" s="230" t="n">
        <f aca="false">Model!BS197</f>
        <v>-0</v>
      </c>
      <c r="BR33" s="230" t="n">
        <f aca="false">Model!BT197</f>
        <v>-0</v>
      </c>
      <c r="BS33" s="230" t="n">
        <f aca="false">Model!BU197</f>
        <v>-74640</v>
      </c>
      <c r="BT33" s="230" t="n">
        <f aca="false">Model!BV197</f>
        <v>-0</v>
      </c>
      <c r="BU33" s="230" t="n">
        <f aca="false">Model!BW197</f>
        <v>-0</v>
      </c>
      <c r="BV33" s="230" t="n">
        <f aca="false">Model!BX197</f>
        <v>-74640</v>
      </c>
      <c r="BW33" s="230" t="n">
        <f aca="false">Model!BY197</f>
        <v>-0</v>
      </c>
      <c r="BX33" s="230" t="n">
        <f aca="false">Model!BZ197</f>
        <v>-0</v>
      </c>
      <c r="BY33" s="230" t="n">
        <f aca="false">Model!CA197</f>
        <v>-74640</v>
      </c>
      <c r="BZ33" s="230" t="n">
        <f aca="false">Model!CB197</f>
        <v>-0</v>
      </c>
      <c r="CA33" s="230" t="n">
        <f aca="false">Model!CC197</f>
        <v>-0</v>
      </c>
      <c r="CB33" s="230" t="n">
        <f aca="false">Model!CD197</f>
        <v>-81363</v>
      </c>
      <c r="CC33" s="230" t="n">
        <f aca="false">Model!CE197</f>
        <v>-0</v>
      </c>
      <c r="CD33" s="230" t="n">
        <f aca="false">Model!CF197</f>
        <v>-0</v>
      </c>
      <c r="CE33" s="230" t="n">
        <f aca="false">Model!CG197</f>
        <v>-81362</v>
      </c>
      <c r="CF33" s="230" t="n">
        <f aca="false">Model!CH197</f>
        <v>-0</v>
      </c>
      <c r="CG33" s="230" t="n">
        <f aca="false">Model!CI197</f>
        <v>-0</v>
      </c>
      <c r="CH33" s="230" t="n">
        <f aca="false">Model!CJ197</f>
        <v>-74753.9733935208</v>
      </c>
    </row>
    <row r="34" customFormat="false" ht="15" hidden="false" customHeight="true" outlineLevel="0" collapsed="false">
      <c r="A34" s="229" t="s">
        <v>229</v>
      </c>
      <c r="B34" s="3"/>
      <c r="C34" s="230" t="n">
        <f aca="false">Model!E279</f>
        <v>0</v>
      </c>
      <c r="D34" s="230" t="n">
        <f aca="false">Model!F279</f>
        <v>0</v>
      </c>
      <c r="E34" s="230" t="n">
        <f aca="false">Model!G279</f>
        <v>0</v>
      </c>
      <c r="F34" s="230" t="n">
        <f aca="false">Model!H279</f>
        <v>0</v>
      </c>
      <c r="G34" s="230" t="n">
        <f aca="false">Model!I279</f>
        <v>0</v>
      </c>
      <c r="H34" s="230" t="n">
        <f aca="false">Model!J279</f>
        <v>0</v>
      </c>
      <c r="I34" s="230" t="n">
        <f aca="false">Model!K279</f>
        <v>0</v>
      </c>
      <c r="J34" s="230" t="n">
        <f aca="false">Model!L279</f>
        <v>0</v>
      </c>
      <c r="K34" s="230" t="n">
        <f aca="false">Model!M279</f>
        <v>0</v>
      </c>
      <c r="L34" s="230" t="n">
        <f aca="false">Model!N279</f>
        <v>0</v>
      </c>
      <c r="M34" s="230" t="n">
        <f aca="false">Model!O279</f>
        <v>0</v>
      </c>
      <c r="N34" s="230" t="n">
        <f aca="false">Model!P279</f>
        <v>0</v>
      </c>
      <c r="O34" s="230" t="n">
        <f aca="false">Model!Q279</f>
        <v>0</v>
      </c>
      <c r="P34" s="230" t="n">
        <f aca="false">Model!R279</f>
        <v>0</v>
      </c>
      <c r="Q34" s="230" t="n">
        <f aca="false">Model!S279</f>
        <v>0</v>
      </c>
      <c r="R34" s="230" t="n">
        <f aca="false">Model!T279</f>
        <v>0</v>
      </c>
      <c r="S34" s="230" t="n">
        <f aca="false">Model!U279</f>
        <v>0</v>
      </c>
      <c r="T34" s="230" t="n">
        <f aca="false">Model!V279</f>
        <v>0</v>
      </c>
      <c r="U34" s="230" t="n">
        <f aca="false">Model!W279</f>
        <v>0</v>
      </c>
      <c r="V34" s="230" t="n">
        <f aca="false">Model!X279</f>
        <v>0</v>
      </c>
      <c r="W34" s="230" t="n">
        <f aca="false">Model!Y279</f>
        <v>0</v>
      </c>
      <c r="X34" s="230" t="n">
        <f aca="false">Model!Z279</f>
        <v>0</v>
      </c>
      <c r="Y34" s="230" t="n">
        <f aca="false">Model!AA279</f>
        <v>0</v>
      </c>
      <c r="Z34" s="230" t="n">
        <f aca="false">Model!AB279</f>
        <v>0</v>
      </c>
      <c r="AA34" s="230" t="n">
        <f aca="false">Model!AC279</f>
        <v>0</v>
      </c>
      <c r="AB34" s="230" t="n">
        <f aca="false">Model!AD279</f>
        <v>0</v>
      </c>
      <c r="AC34" s="230" t="n">
        <f aca="false">Model!AE279</f>
        <v>0</v>
      </c>
      <c r="AD34" s="230" t="n">
        <f aca="false">Model!AF279</f>
        <v>0</v>
      </c>
      <c r="AE34" s="230" t="n">
        <f aca="false">Model!AG279</f>
        <v>0</v>
      </c>
      <c r="AF34" s="230" t="n">
        <f aca="false">Model!AH279</f>
        <v>0</v>
      </c>
      <c r="AG34" s="230" t="n">
        <f aca="false">Model!AI279</f>
        <v>0</v>
      </c>
      <c r="AH34" s="230" t="n">
        <f aca="false">Model!AJ279</f>
        <v>0</v>
      </c>
      <c r="AI34" s="230" t="n">
        <f aca="false">Model!AK279</f>
        <v>0</v>
      </c>
      <c r="AJ34" s="230" t="n">
        <f aca="false">Model!AL279</f>
        <v>0</v>
      </c>
      <c r="AK34" s="230" t="n">
        <f aca="false">Model!AM279</f>
        <v>0</v>
      </c>
      <c r="AL34" s="230" t="n">
        <f aca="false">Model!AN279</f>
        <v>0</v>
      </c>
      <c r="AM34" s="230" t="n">
        <f aca="false">Model!AO279</f>
        <v>0</v>
      </c>
      <c r="AN34" s="230" t="n">
        <f aca="false">Model!AP279</f>
        <v>0</v>
      </c>
      <c r="AO34" s="230" t="n">
        <f aca="false">Model!AQ279</f>
        <v>0</v>
      </c>
      <c r="AP34" s="230" t="n">
        <f aca="false">Model!AR279</f>
        <v>0</v>
      </c>
      <c r="AQ34" s="230" t="n">
        <f aca="false">Model!AS279</f>
        <v>0</v>
      </c>
      <c r="AR34" s="230" t="n">
        <f aca="false">Model!AT279</f>
        <v>0</v>
      </c>
      <c r="AS34" s="230" t="n">
        <f aca="false">Model!AU279</f>
        <v>0</v>
      </c>
      <c r="AT34" s="230" t="n">
        <f aca="false">Model!AV279</f>
        <v>0</v>
      </c>
      <c r="AU34" s="230" t="n">
        <f aca="false">Model!AW279</f>
        <v>0</v>
      </c>
      <c r="AV34" s="230" t="n">
        <f aca="false">Model!AX279</f>
        <v>0</v>
      </c>
      <c r="AW34" s="230" t="n">
        <f aca="false">Model!AY279</f>
        <v>0</v>
      </c>
      <c r="AX34" s="230" t="n">
        <f aca="false">Model!AZ279</f>
        <v>0</v>
      </c>
      <c r="AY34" s="230" t="n">
        <f aca="false">Model!BA279</f>
        <v>0</v>
      </c>
      <c r="AZ34" s="230" t="n">
        <f aca="false">Model!BB279</f>
        <v>0</v>
      </c>
      <c r="BA34" s="230" t="n">
        <f aca="false">Model!BC279</f>
        <v>0</v>
      </c>
      <c r="BB34" s="230" t="n">
        <f aca="false">Model!BD279</f>
        <v>0</v>
      </c>
      <c r="BC34" s="230" t="n">
        <f aca="false">Model!BE279</f>
        <v>0</v>
      </c>
      <c r="BD34" s="230" t="n">
        <f aca="false">Model!BF279</f>
        <v>0</v>
      </c>
      <c r="BE34" s="230" t="n">
        <f aca="false">Model!BG279</f>
        <v>0</v>
      </c>
      <c r="BF34" s="230" t="n">
        <f aca="false">Model!BH279</f>
        <v>0</v>
      </c>
      <c r="BG34" s="230" t="n">
        <f aca="false">Model!BI279</f>
        <v>0</v>
      </c>
      <c r="BH34" s="230" t="n">
        <f aca="false">Model!BJ279</f>
        <v>0</v>
      </c>
      <c r="BI34" s="230" t="n">
        <f aca="false">Model!BK279</f>
        <v>0</v>
      </c>
      <c r="BJ34" s="230" t="n">
        <f aca="false">Model!BL279</f>
        <v>0</v>
      </c>
      <c r="BK34" s="230" t="n">
        <f aca="false">Model!BM279</f>
        <v>0</v>
      </c>
      <c r="BL34" s="230" t="n">
        <f aca="false">Model!BN279</f>
        <v>0</v>
      </c>
      <c r="BM34" s="230" t="n">
        <f aca="false">Model!BO279</f>
        <v>0</v>
      </c>
      <c r="BN34" s="230" t="n">
        <f aca="false">Model!BP279</f>
        <v>0</v>
      </c>
      <c r="BO34" s="230" t="n">
        <f aca="false">Model!BQ279</f>
        <v>0</v>
      </c>
      <c r="BP34" s="230" t="n">
        <f aca="false">Model!BR279</f>
        <v>0</v>
      </c>
      <c r="BQ34" s="230" t="n">
        <f aca="false">Model!BS279</f>
        <v>0</v>
      </c>
      <c r="BR34" s="230" t="n">
        <f aca="false">Model!BT279</f>
        <v>0</v>
      </c>
      <c r="BS34" s="230" t="n">
        <f aca="false">Model!BU279</f>
        <v>0</v>
      </c>
      <c r="BT34" s="230" t="n">
        <f aca="false">Model!BV279</f>
        <v>0</v>
      </c>
      <c r="BU34" s="230" t="n">
        <f aca="false">Model!BW279</f>
        <v>0</v>
      </c>
      <c r="BV34" s="230" t="n">
        <f aca="false">Model!BX279</f>
        <v>0</v>
      </c>
      <c r="BW34" s="230" t="n">
        <f aca="false">Model!BY279</f>
        <v>0</v>
      </c>
      <c r="BX34" s="230" t="n">
        <f aca="false">Model!BZ279</f>
        <v>0</v>
      </c>
      <c r="BY34" s="230" t="n">
        <f aca="false">Model!CA279</f>
        <v>0</v>
      </c>
      <c r="BZ34" s="230" t="n">
        <f aca="false">Model!CB279</f>
        <v>0</v>
      </c>
      <c r="CA34" s="230" t="n">
        <f aca="false">Model!CC279</f>
        <v>0</v>
      </c>
      <c r="CB34" s="230" t="n">
        <f aca="false">Model!CD279</f>
        <v>0</v>
      </c>
      <c r="CC34" s="230" t="n">
        <f aca="false">Model!CE279</f>
        <v>0</v>
      </c>
      <c r="CD34" s="230" t="n">
        <f aca="false">Model!CF279</f>
        <v>0</v>
      </c>
      <c r="CE34" s="230" t="n">
        <f aca="false">Model!CG279</f>
        <v>0</v>
      </c>
      <c r="CF34" s="230" t="n">
        <f aca="false">Model!CH279</f>
        <v>0</v>
      </c>
      <c r="CG34" s="230" t="n">
        <f aca="false">Model!CI279</f>
        <v>0</v>
      </c>
      <c r="CH34" s="230" t="n">
        <f aca="false">Model!CJ279</f>
        <v>0</v>
      </c>
    </row>
    <row r="35" customFormat="false" ht="15" hidden="false" customHeight="true" outlineLevel="0" collapsed="false">
      <c r="A35" s="226" t="s">
        <v>564</v>
      </c>
      <c r="B35" s="226"/>
      <c r="C35" s="227" t="n">
        <f aca="false">C32+C33+C34</f>
        <v>0</v>
      </c>
      <c r="D35" s="227" t="n">
        <f aca="false">D32+D33+D34</f>
        <v>0</v>
      </c>
      <c r="E35" s="227" t="n">
        <f aca="false">E32+E33+E34</f>
        <v>0</v>
      </c>
      <c r="F35" s="227" t="n">
        <f aca="false">F32+F33+F34</f>
        <v>0</v>
      </c>
      <c r="G35" s="227" t="n">
        <f aca="false">G32+G33+G34</f>
        <v>0</v>
      </c>
      <c r="H35" s="227" t="n">
        <f aca="false">H32+H33+H34</f>
        <v>0</v>
      </c>
      <c r="I35" s="227" t="n">
        <f aca="false">I32+I33+I34</f>
        <v>0</v>
      </c>
      <c r="J35" s="227" t="n">
        <f aca="false">J32+J33+J34</f>
        <v>0</v>
      </c>
      <c r="K35" s="227" t="n">
        <f aca="false">K32+K33+K34</f>
        <v>0</v>
      </c>
      <c r="L35" s="227" t="n">
        <f aca="false">L32+L33+L34</f>
        <v>0</v>
      </c>
      <c r="M35" s="227" t="n">
        <f aca="false">M32+M33+M34</f>
        <v>0</v>
      </c>
      <c r="N35" s="227" t="n">
        <f aca="false">N32+N33+N34</f>
        <v>0</v>
      </c>
      <c r="O35" s="227" t="n">
        <f aca="false">O32+O33+O34</f>
        <v>0</v>
      </c>
      <c r="P35" s="227" t="n">
        <f aca="false">P32+P33+P34</f>
        <v>0</v>
      </c>
      <c r="Q35" s="227" t="n">
        <f aca="false">Q32+Q33+Q34</f>
        <v>0</v>
      </c>
      <c r="R35" s="227" t="n">
        <f aca="false">R32+R33+R34</f>
        <v>0</v>
      </c>
      <c r="S35" s="227" t="n">
        <f aca="false">S32+S33+S34</f>
        <v>0</v>
      </c>
      <c r="T35" s="227" t="n">
        <f aca="false">T32+T33+T34</f>
        <v>0</v>
      </c>
      <c r="U35" s="227" t="n">
        <f aca="false">U32+U33+U34</f>
        <v>0</v>
      </c>
      <c r="V35" s="227" t="n">
        <f aca="false">V32+V33+V34</f>
        <v>0</v>
      </c>
      <c r="W35" s="227" t="n">
        <f aca="false">W32+W33+W34</f>
        <v>0</v>
      </c>
      <c r="X35" s="227" t="n">
        <f aca="false">X32+X33+X34</f>
        <v>0</v>
      </c>
      <c r="Y35" s="227" t="n">
        <f aca="false">Y32+Y33+Y34</f>
        <v>0</v>
      </c>
      <c r="Z35" s="227" t="n">
        <f aca="false">Z32+Z33+Z34</f>
        <v>0</v>
      </c>
      <c r="AA35" s="227" t="n">
        <f aca="false">AA32+AA33+AA34</f>
        <v>0</v>
      </c>
      <c r="AB35" s="227" t="n">
        <f aca="false">AB32+AB33+AB34</f>
        <v>0</v>
      </c>
      <c r="AC35" s="227" t="n">
        <f aca="false">AC32+AC33+AC34</f>
        <v>0</v>
      </c>
      <c r="AD35" s="227" t="n">
        <f aca="false">AD32+AD33+AD34</f>
        <v>0</v>
      </c>
      <c r="AE35" s="227" t="n">
        <f aca="false">AE32+AE33+AE34</f>
        <v>0</v>
      </c>
      <c r="AF35" s="227" t="n">
        <f aca="false">AF32+AF33+AF34</f>
        <v>0</v>
      </c>
      <c r="AG35" s="227" t="n">
        <f aca="false">AG32+AG33+AG34</f>
        <v>0</v>
      </c>
      <c r="AH35" s="227" t="n">
        <f aca="false">AH32+AH33+AH34</f>
        <v>0</v>
      </c>
      <c r="AI35" s="227" t="n">
        <f aca="false">AI32+AI33+AI34</f>
        <v>0</v>
      </c>
      <c r="AJ35" s="227" t="n">
        <f aca="false">AJ32+AJ33+AJ34</f>
        <v>0</v>
      </c>
      <c r="AK35" s="227" t="n">
        <f aca="false">AK32+AK33+AK34</f>
        <v>0</v>
      </c>
      <c r="AL35" s="227" t="n">
        <f aca="false">AL32+AL33+AL34</f>
        <v>0</v>
      </c>
      <c r="AM35" s="227" t="n">
        <f aca="false">AM32+AM33+AM34</f>
        <v>0</v>
      </c>
      <c r="AN35" s="227" t="n">
        <f aca="false">AN32+AN33+AN34</f>
        <v>0</v>
      </c>
      <c r="AO35" s="227" t="n">
        <f aca="false">AO32+AO33+AO34</f>
        <v>0</v>
      </c>
      <c r="AP35" s="227" t="n">
        <f aca="false">AP32+AP33+AP34</f>
        <v>0</v>
      </c>
      <c r="AQ35" s="227" t="n">
        <f aca="false">AQ32+AQ33+AQ34</f>
        <v>0</v>
      </c>
      <c r="AR35" s="227" t="n">
        <f aca="false">AR32+AR33+AR34</f>
        <v>0</v>
      </c>
      <c r="AS35" s="227" t="n">
        <f aca="false">AS32+AS33+AS34</f>
        <v>0</v>
      </c>
      <c r="AT35" s="227" t="n">
        <f aca="false">AT32+AT33+AT34</f>
        <v>0</v>
      </c>
      <c r="AU35" s="227" t="n">
        <f aca="false">AU32+AU33+AU34</f>
        <v>0</v>
      </c>
      <c r="AV35" s="227" t="n">
        <f aca="false">AV32+AV33+AV34</f>
        <v>0</v>
      </c>
      <c r="AW35" s="227" t="n">
        <f aca="false">AW32+AW33+AW34</f>
        <v>0</v>
      </c>
      <c r="AX35" s="227" t="n">
        <f aca="false">AX32+AX33+AX34</f>
        <v>0</v>
      </c>
      <c r="AY35" s="227" t="n">
        <f aca="false">AY32+AY33+AY34</f>
        <v>0</v>
      </c>
      <c r="AZ35" s="227" t="n">
        <f aca="false">AZ32+AZ33+AZ34</f>
        <v>0</v>
      </c>
      <c r="BA35" s="227" t="n">
        <f aca="false">BA32+BA33+BA34</f>
        <v>0</v>
      </c>
      <c r="BB35" s="227" t="n">
        <f aca="false">BB32+BB33+BB34</f>
        <v>0</v>
      </c>
      <c r="BC35" s="227" t="n">
        <f aca="false">BC32+BC33+BC34</f>
        <v>0</v>
      </c>
      <c r="BD35" s="227" t="n">
        <f aca="false">BD32+BD33+BD34</f>
        <v>0</v>
      </c>
      <c r="BE35" s="227" t="n">
        <f aca="false">BE32+BE33+BE34</f>
        <v>0</v>
      </c>
      <c r="BF35" s="227" t="n">
        <f aca="false">BF32+BF33+BF34</f>
        <v>0</v>
      </c>
      <c r="BG35" s="227" t="n">
        <f aca="false">BG32+BG33+BG34</f>
        <v>0</v>
      </c>
      <c r="BH35" s="227" t="n">
        <f aca="false">BH32+BH33+BH34</f>
        <v>0</v>
      </c>
      <c r="BI35" s="227" t="n">
        <f aca="false">BI32+BI33+BI34</f>
        <v>0</v>
      </c>
      <c r="BJ35" s="227" t="n">
        <f aca="false">BJ32+BJ33+BJ34</f>
        <v>0</v>
      </c>
      <c r="BK35" s="227" t="n">
        <f aca="false">BK32+BK33+BK34</f>
        <v>0</v>
      </c>
      <c r="BL35" s="227" t="n">
        <f aca="false">BL32+BL33+BL34</f>
        <v>0</v>
      </c>
      <c r="BM35" s="227" t="n">
        <f aca="false">BM32+BM33+BM34</f>
        <v>0</v>
      </c>
      <c r="BN35" s="227" t="n">
        <f aca="false">BN32+BN33+BN34</f>
        <v>0</v>
      </c>
      <c r="BO35" s="227" t="n">
        <f aca="false">BO32+BO33+BO34</f>
        <v>0</v>
      </c>
      <c r="BP35" s="227" t="n">
        <f aca="false">BP32+BP33+BP34</f>
        <v>0</v>
      </c>
      <c r="BQ35" s="227" t="n">
        <f aca="false">BQ32+BQ33+BQ34</f>
        <v>0</v>
      </c>
      <c r="BR35" s="227" t="n">
        <f aca="false">BR32+BR33+BR34</f>
        <v>0</v>
      </c>
      <c r="BS35" s="227" t="n">
        <f aca="false">BS32+BS33+BS34</f>
        <v>0</v>
      </c>
      <c r="BT35" s="227" t="n">
        <f aca="false">BT32+BT33+BT34</f>
        <v>0</v>
      </c>
      <c r="BU35" s="227" t="n">
        <f aca="false">BU32+BU33+BU34</f>
        <v>0</v>
      </c>
      <c r="BV35" s="227" t="n">
        <f aca="false">BV32+BV33+BV34</f>
        <v>0</v>
      </c>
      <c r="BW35" s="227" t="n">
        <f aca="false">BW32+BW33+BW34</f>
        <v>0</v>
      </c>
      <c r="BX35" s="227" t="n">
        <f aca="false">BX32+BX33+BX34</f>
        <v>0</v>
      </c>
      <c r="BY35" s="227" t="n">
        <f aca="false">BY32+BY33+BY34</f>
        <v>0</v>
      </c>
      <c r="BZ35" s="227" t="n">
        <f aca="false">BZ32+BZ33+BZ34</f>
        <v>0</v>
      </c>
      <c r="CA35" s="227" t="n">
        <f aca="false">CA32+CA33+CA34</f>
        <v>0</v>
      </c>
      <c r="CB35" s="227" t="n">
        <f aca="false">CB32+CB33+CB34</f>
        <v>0</v>
      </c>
      <c r="CC35" s="227" t="n">
        <f aca="false">CC32+CC33+CC34</f>
        <v>0</v>
      </c>
      <c r="CD35" s="227" t="n">
        <f aca="false">CD32+CD33+CD34</f>
        <v>0</v>
      </c>
      <c r="CE35" s="227" t="n">
        <f aca="false">CE32+CE33+CE34</f>
        <v>0</v>
      </c>
      <c r="CF35" s="227" t="n">
        <f aca="false">CF32+CF33+CF34</f>
        <v>0</v>
      </c>
      <c r="CG35" s="227" t="n">
        <f aca="false">CG32+CG33+CG34</f>
        <v>0</v>
      </c>
      <c r="CH35" s="227" t="n">
        <f aca="false">CH32+CH33+CH34</f>
        <v>6608.02660647922</v>
      </c>
    </row>
    <row r="36" customFormat="false" ht="15" hidden="false" customHeight="true" outlineLevel="0" collapsed="false">
      <c r="A36" s="72" t="s">
        <v>565</v>
      </c>
      <c r="B36" s="3"/>
      <c r="C36" s="228" t="n">
        <f aca="false">C35</f>
        <v>0</v>
      </c>
      <c r="D36" s="228" t="n">
        <f aca="false">C36+D35</f>
        <v>0</v>
      </c>
      <c r="E36" s="228" t="n">
        <f aca="false">D36+E35</f>
        <v>0</v>
      </c>
      <c r="F36" s="228" t="n">
        <f aca="false">E36+F35</f>
        <v>0</v>
      </c>
      <c r="G36" s="228" t="n">
        <f aca="false">F36+G35</f>
        <v>0</v>
      </c>
      <c r="H36" s="228" t="n">
        <f aca="false">G36+H35</f>
        <v>0</v>
      </c>
      <c r="I36" s="228" t="n">
        <f aca="false">H36+I35</f>
        <v>0</v>
      </c>
      <c r="J36" s="228" t="n">
        <f aca="false">I36+J35</f>
        <v>0</v>
      </c>
      <c r="K36" s="228" t="n">
        <f aca="false">J36+K35</f>
        <v>0</v>
      </c>
      <c r="L36" s="228" t="n">
        <f aca="false">K36+L35</f>
        <v>0</v>
      </c>
      <c r="M36" s="228" t="n">
        <f aca="false">L36+M35</f>
        <v>0</v>
      </c>
      <c r="N36" s="228" t="n">
        <f aca="false">M36+N35</f>
        <v>0</v>
      </c>
      <c r="O36" s="228" t="n">
        <f aca="false">N36+O35</f>
        <v>0</v>
      </c>
      <c r="P36" s="228" t="n">
        <f aca="false">O36+P35</f>
        <v>0</v>
      </c>
      <c r="Q36" s="228" t="n">
        <f aca="false">P36+Q35</f>
        <v>0</v>
      </c>
      <c r="R36" s="228" t="n">
        <f aca="false">Q36+R35</f>
        <v>0</v>
      </c>
      <c r="S36" s="228" t="n">
        <f aca="false">R36+S35</f>
        <v>0</v>
      </c>
      <c r="T36" s="228" t="n">
        <f aca="false">S36+T35</f>
        <v>0</v>
      </c>
      <c r="U36" s="228" t="n">
        <f aca="false">T36+U35</f>
        <v>0</v>
      </c>
      <c r="V36" s="228" t="n">
        <f aca="false">U36+V35</f>
        <v>0</v>
      </c>
      <c r="W36" s="228" t="n">
        <f aca="false">V36+W35</f>
        <v>0</v>
      </c>
      <c r="X36" s="228" t="n">
        <f aca="false">W36+X35</f>
        <v>0</v>
      </c>
      <c r="Y36" s="228" t="n">
        <f aca="false">X36+Y35</f>
        <v>0</v>
      </c>
      <c r="Z36" s="228" t="n">
        <f aca="false">Y36+Z35</f>
        <v>0</v>
      </c>
      <c r="AA36" s="228" t="n">
        <f aca="false">Z36+AA35</f>
        <v>0</v>
      </c>
      <c r="AB36" s="228" t="n">
        <f aca="false">AA36+AB35</f>
        <v>0</v>
      </c>
      <c r="AC36" s="228" t="n">
        <f aca="false">AB36+AC35</f>
        <v>0</v>
      </c>
      <c r="AD36" s="228" t="n">
        <f aca="false">AC36+AD35</f>
        <v>0</v>
      </c>
      <c r="AE36" s="228" t="n">
        <f aca="false">AD36+AE35</f>
        <v>0</v>
      </c>
      <c r="AF36" s="228" t="n">
        <f aca="false">AE36+AF35</f>
        <v>0</v>
      </c>
      <c r="AG36" s="228" t="n">
        <f aca="false">AF36+AG35</f>
        <v>0</v>
      </c>
      <c r="AH36" s="228" t="n">
        <f aca="false">AG36+AH35</f>
        <v>0</v>
      </c>
      <c r="AI36" s="228" t="n">
        <f aca="false">AH36+AI35</f>
        <v>0</v>
      </c>
      <c r="AJ36" s="228" t="n">
        <f aca="false">AI36+AJ35</f>
        <v>0</v>
      </c>
      <c r="AK36" s="228" t="n">
        <f aca="false">AJ36+AK35</f>
        <v>0</v>
      </c>
      <c r="AL36" s="228" t="n">
        <f aca="false">AK36+AL35</f>
        <v>0</v>
      </c>
      <c r="AM36" s="228" t="n">
        <f aca="false">AL36+AM35</f>
        <v>0</v>
      </c>
      <c r="AN36" s="228" t="n">
        <f aca="false">AM36+AN35</f>
        <v>0</v>
      </c>
      <c r="AO36" s="228" t="n">
        <f aca="false">AN36+AO35</f>
        <v>0</v>
      </c>
      <c r="AP36" s="228" t="n">
        <f aca="false">AO36+AP35</f>
        <v>0</v>
      </c>
      <c r="AQ36" s="228" t="n">
        <f aca="false">AP36+AQ35</f>
        <v>0</v>
      </c>
      <c r="AR36" s="228" t="n">
        <f aca="false">AQ36+AR35</f>
        <v>0</v>
      </c>
      <c r="AS36" s="228" t="n">
        <f aca="false">AR36+AS35</f>
        <v>0</v>
      </c>
      <c r="AT36" s="228" t="n">
        <f aca="false">AS36+AT35</f>
        <v>0</v>
      </c>
      <c r="AU36" s="228" t="n">
        <f aca="false">AT36+AU35</f>
        <v>0</v>
      </c>
      <c r="AV36" s="228" t="n">
        <f aca="false">AU36+AV35</f>
        <v>0</v>
      </c>
      <c r="AW36" s="228" t="n">
        <f aca="false">AV36+AW35</f>
        <v>0</v>
      </c>
      <c r="AX36" s="228" t="n">
        <f aca="false">AW36+AX35</f>
        <v>0</v>
      </c>
      <c r="AY36" s="228" t="n">
        <f aca="false">AX36+AY35</f>
        <v>0</v>
      </c>
      <c r="AZ36" s="228" t="n">
        <f aca="false">AY36+AZ35</f>
        <v>0</v>
      </c>
      <c r="BA36" s="228" t="n">
        <f aca="false">AZ36+BA35</f>
        <v>0</v>
      </c>
      <c r="BB36" s="228" t="n">
        <f aca="false">BA36+BB35</f>
        <v>0</v>
      </c>
      <c r="BC36" s="228" t="n">
        <f aca="false">BB36+BC35</f>
        <v>0</v>
      </c>
      <c r="BD36" s="228" t="n">
        <f aca="false">BC36+BD35</f>
        <v>0</v>
      </c>
      <c r="BE36" s="228" t="n">
        <f aca="false">BD36+BE35</f>
        <v>0</v>
      </c>
      <c r="BF36" s="228" t="n">
        <f aca="false">BE36+BF35</f>
        <v>0</v>
      </c>
      <c r="BG36" s="228" t="n">
        <f aca="false">BF36+BG35</f>
        <v>0</v>
      </c>
      <c r="BH36" s="228" t="n">
        <f aca="false">BG36+BH35</f>
        <v>0</v>
      </c>
      <c r="BI36" s="228" t="n">
        <f aca="false">BH36+BI35</f>
        <v>0</v>
      </c>
      <c r="BJ36" s="228" t="n">
        <f aca="false">BI36+BJ35</f>
        <v>0</v>
      </c>
      <c r="BK36" s="228" t="n">
        <f aca="false">BJ36+BK35</f>
        <v>0</v>
      </c>
      <c r="BL36" s="228" t="n">
        <f aca="false">BK36+BL35</f>
        <v>0</v>
      </c>
      <c r="BM36" s="228" t="n">
        <f aca="false">BL36+BM35</f>
        <v>0</v>
      </c>
      <c r="BN36" s="228" t="n">
        <f aca="false">BM36+BN35</f>
        <v>0</v>
      </c>
      <c r="BO36" s="228" t="n">
        <f aca="false">BN36+BO35</f>
        <v>0</v>
      </c>
      <c r="BP36" s="228" t="n">
        <f aca="false">BO36+BP35</f>
        <v>0</v>
      </c>
      <c r="BQ36" s="228" t="n">
        <f aca="false">BP36+BQ35</f>
        <v>0</v>
      </c>
      <c r="BR36" s="228" t="n">
        <f aca="false">BQ36+BR35</f>
        <v>0</v>
      </c>
      <c r="BS36" s="228" t="n">
        <f aca="false">BR36+BS35</f>
        <v>0</v>
      </c>
      <c r="BT36" s="228" t="n">
        <f aca="false">BS36+BT35</f>
        <v>0</v>
      </c>
      <c r="BU36" s="228" t="n">
        <f aca="false">BT36+BU35</f>
        <v>0</v>
      </c>
      <c r="BV36" s="228" t="n">
        <f aca="false">BU36+BV35</f>
        <v>0</v>
      </c>
      <c r="BW36" s="228" t="n">
        <f aca="false">BV36+BW35</f>
        <v>0</v>
      </c>
      <c r="BX36" s="228" t="n">
        <f aca="false">BW36+BX35</f>
        <v>0</v>
      </c>
      <c r="BY36" s="228" t="n">
        <f aca="false">BX36+BY35</f>
        <v>0</v>
      </c>
      <c r="BZ36" s="228" t="n">
        <f aca="false">BY36+BZ35</f>
        <v>0</v>
      </c>
      <c r="CA36" s="228" t="n">
        <f aca="false">BZ36+CA35</f>
        <v>0</v>
      </c>
      <c r="CB36" s="228" t="n">
        <f aca="false">CA36+CB35</f>
        <v>0</v>
      </c>
      <c r="CC36" s="228" t="n">
        <f aca="false">CB36+CC35</f>
        <v>0</v>
      </c>
      <c r="CD36" s="228" t="n">
        <f aca="false">CC36+CD35</f>
        <v>0</v>
      </c>
      <c r="CE36" s="228" t="n">
        <f aca="false">CD36+CE35</f>
        <v>0</v>
      </c>
      <c r="CF36" s="228" t="n">
        <f aca="false">CE36+CF35</f>
        <v>0</v>
      </c>
      <c r="CG36" s="228" t="n">
        <f aca="false">CF36+CG35</f>
        <v>0</v>
      </c>
      <c r="CH36" s="228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customFormat="false" ht="15" hidden="false" customHeight="true" outlineLevel="0" collapsed="false">
      <c r="A39" s="86" t="s">
        <v>563</v>
      </c>
      <c r="B39" s="3"/>
      <c r="C39" s="225" t="n">
        <v>0</v>
      </c>
      <c r="D39" s="225" t="n">
        <v>0</v>
      </c>
      <c r="E39" s="225" t="n">
        <v>0</v>
      </c>
      <c r="F39" s="225" t="n">
        <v>0</v>
      </c>
      <c r="G39" s="225" t="n">
        <v>0</v>
      </c>
      <c r="H39" s="225" t="n">
        <v>0</v>
      </c>
      <c r="I39" s="225" t="n">
        <v>0</v>
      </c>
      <c r="J39" s="225" t="n">
        <v>0</v>
      </c>
      <c r="K39" s="225" t="n">
        <v>0</v>
      </c>
      <c r="L39" s="225" t="n">
        <v>0</v>
      </c>
      <c r="M39" s="225" t="n">
        <v>0</v>
      </c>
      <c r="N39" s="225" t="n">
        <v>0</v>
      </c>
      <c r="O39" s="225" t="n">
        <v>0</v>
      </c>
      <c r="P39" s="225" t="n">
        <v>0</v>
      </c>
      <c r="Q39" s="225" t="n">
        <v>0</v>
      </c>
      <c r="R39" s="225" t="n">
        <v>0</v>
      </c>
      <c r="S39" s="225" t="n">
        <v>0</v>
      </c>
      <c r="T39" s="225" t="n">
        <v>0</v>
      </c>
      <c r="U39" s="225" t="n">
        <v>0</v>
      </c>
      <c r="V39" s="225" t="n">
        <v>0</v>
      </c>
      <c r="W39" s="225" t="n">
        <v>0</v>
      </c>
      <c r="X39" s="225" t="n">
        <v>0</v>
      </c>
      <c r="Y39" s="225" t="n">
        <v>0</v>
      </c>
      <c r="Z39" s="225" t="n">
        <v>0</v>
      </c>
      <c r="AA39" s="225" t="n">
        <v>0</v>
      </c>
      <c r="AB39" s="225" t="n">
        <v>0</v>
      </c>
      <c r="AC39" s="225" t="n">
        <v>0</v>
      </c>
      <c r="AD39" s="225" t="n">
        <v>0</v>
      </c>
      <c r="AE39" s="225" t="n">
        <v>0</v>
      </c>
      <c r="AF39" s="225" t="n">
        <v>0</v>
      </c>
      <c r="AG39" s="225" t="n">
        <v>0</v>
      </c>
      <c r="AH39" s="225" t="n">
        <v>0</v>
      </c>
      <c r="AI39" s="225" t="n">
        <v>0</v>
      </c>
      <c r="AJ39" s="225" t="n">
        <v>0</v>
      </c>
      <c r="AK39" s="225" t="n">
        <v>0</v>
      </c>
      <c r="AL39" s="225" t="n">
        <v>0</v>
      </c>
      <c r="AM39" s="225" t="n">
        <v>0</v>
      </c>
      <c r="AN39" s="225" t="n">
        <v>0</v>
      </c>
      <c r="AO39" s="225" t="n">
        <v>0</v>
      </c>
      <c r="AP39" s="225" t="n">
        <v>0</v>
      </c>
      <c r="AQ39" s="225" t="n">
        <v>0</v>
      </c>
      <c r="AR39" s="225" t="n">
        <v>0</v>
      </c>
      <c r="AS39" s="225" t="n">
        <v>0</v>
      </c>
      <c r="AT39" s="225" t="n">
        <v>0</v>
      </c>
      <c r="AU39" s="225" t="n">
        <v>0</v>
      </c>
      <c r="AV39" s="225" t="n">
        <v>0</v>
      </c>
      <c r="AW39" s="225" t="n">
        <v>0</v>
      </c>
      <c r="AX39" s="225" t="n">
        <v>0</v>
      </c>
      <c r="AY39" s="225" t="n">
        <v>0</v>
      </c>
      <c r="AZ39" s="225" t="n">
        <v>0</v>
      </c>
      <c r="BA39" s="225" t="n">
        <v>0</v>
      </c>
      <c r="BB39" s="225" t="n">
        <v>0</v>
      </c>
      <c r="BC39" s="225" t="n">
        <v>0</v>
      </c>
      <c r="BD39" s="225" t="n">
        <v>0</v>
      </c>
      <c r="BE39" s="225" t="n">
        <v>0</v>
      </c>
      <c r="BF39" s="225" t="n">
        <v>0</v>
      </c>
      <c r="BG39" s="225" t="n">
        <v>0</v>
      </c>
      <c r="BH39" s="225" t="n">
        <v>0</v>
      </c>
      <c r="BI39" s="225" t="n">
        <v>0</v>
      </c>
      <c r="BJ39" s="225" t="n">
        <v>0</v>
      </c>
      <c r="BK39" s="225" t="n">
        <v>0</v>
      </c>
      <c r="BL39" s="225" t="n">
        <v>0</v>
      </c>
      <c r="BM39" s="225" t="n">
        <v>0</v>
      </c>
      <c r="BN39" s="225" t="n">
        <v>0</v>
      </c>
      <c r="BO39" s="225" t="n">
        <v>0</v>
      </c>
      <c r="BP39" s="225" t="n">
        <v>0</v>
      </c>
      <c r="BQ39" s="225" t="n">
        <v>0</v>
      </c>
      <c r="BR39" s="225" t="n">
        <v>0</v>
      </c>
      <c r="BS39" s="225" t="n">
        <v>0</v>
      </c>
      <c r="BT39" s="225" t="n">
        <v>0</v>
      </c>
      <c r="BU39" s="225" t="n">
        <v>0</v>
      </c>
      <c r="BV39" s="225" t="n">
        <v>0</v>
      </c>
      <c r="BW39" s="225" t="n">
        <v>0</v>
      </c>
      <c r="BX39" s="225" t="n">
        <v>0</v>
      </c>
      <c r="BY39" s="225" t="n">
        <v>0</v>
      </c>
      <c r="BZ39" s="225" t="n">
        <v>0</v>
      </c>
      <c r="CA39" s="225" t="n">
        <v>0</v>
      </c>
      <c r="CB39" s="225" t="n">
        <v>0</v>
      </c>
      <c r="CC39" s="225" t="n">
        <v>0</v>
      </c>
      <c r="CD39" s="225" t="n">
        <v>0</v>
      </c>
      <c r="CE39" s="225" t="n">
        <v>0</v>
      </c>
      <c r="CF39" s="225" t="n">
        <v>0</v>
      </c>
      <c r="CG39" s="225" t="n">
        <v>0</v>
      </c>
      <c r="CH39" s="225" t="n">
        <v>0</v>
      </c>
    </row>
    <row r="40" customFormat="false" ht="15" hidden="false" customHeight="true" outlineLevel="0" collapsed="false">
      <c r="A40" s="229" t="s">
        <v>566</v>
      </c>
      <c r="B40" s="3"/>
      <c r="C40" s="230" t="n">
        <f aca="false">Model!E198</f>
        <v>-0</v>
      </c>
      <c r="D40" s="230" t="n">
        <f aca="false">Model!F198</f>
        <v>-0</v>
      </c>
      <c r="E40" s="230" t="n">
        <f aca="false">Model!G198</f>
        <v>-0</v>
      </c>
      <c r="F40" s="230" t="n">
        <f aca="false">Model!H198</f>
        <v>-0</v>
      </c>
      <c r="G40" s="230" t="n">
        <f aca="false">Model!I198</f>
        <v>-0</v>
      </c>
      <c r="H40" s="230" t="n">
        <f aca="false">Model!J198</f>
        <v>-0</v>
      </c>
      <c r="I40" s="230" t="n">
        <f aca="false">Model!K198</f>
        <v>-0</v>
      </c>
      <c r="J40" s="230" t="n">
        <f aca="false">Model!L198</f>
        <v>-0</v>
      </c>
      <c r="K40" s="230" t="n">
        <f aca="false">Model!M198</f>
        <v>-0</v>
      </c>
      <c r="L40" s="230" t="n">
        <f aca="false">Model!N198</f>
        <v>-0</v>
      </c>
      <c r="M40" s="230" t="n">
        <f aca="false">Model!O198</f>
        <v>-0</v>
      </c>
      <c r="N40" s="230" t="n">
        <f aca="false">Model!P198</f>
        <v>-0</v>
      </c>
      <c r="O40" s="230" t="n">
        <f aca="false">Model!Q198</f>
        <v>-0</v>
      </c>
      <c r="P40" s="230" t="n">
        <f aca="false">Model!R198</f>
        <v>-0</v>
      </c>
      <c r="Q40" s="230" t="n">
        <f aca="false">Model!S198</f>
        <v>-0</v>
      </c>
      <c r="R40" s="230" t="n">
        <f aca="false">Model!T198</f>
        <v>-0</v>
      </c>
      <c r="S40" s="230" t="n">
        <f aca="false">Model!U198</f>
        <v>-0</v>
      </c>
      <c r="T40" s="230" t="n">
        <f aca="false">Model!V198</f>
        <v>-0</v>
      </c>
      <c r="U40" s="230" t="n">
        <f aca="false">Model!W198</f>
        <v>-0</v>
      </c>
      <c r="V40" s="230" t="n">
        <f aca="false">Model!X198</f>
        <v>-0</v>
      </c>
      <c r="W40" s="230" t="n">
        <f aca="false">Model!Y198</f>
        <v>-0</v>
      </c>
      <c r="X40" s="230" t="n">
        <f aca="false">Model!Z198</f>
        <v>-0</v>
      </c>
      <c r="Y40" s="230" t="n">
        <f aca="false">Model!AA198</f>
        <v>-0</v>
      </c>
      <c r="Z40" s="230" t="n">
        <f aca="false">Model!AB198</f>
        <v>-0</v>
      </c>
      <c r="AA40" s="230" t="n">
        <f aca="false">Model!AC198</f>
        <v>-0</v>
      </c>
      <c r="AB40" s="230" t="n">
        <f aca="false">Model!AD198</f>
        <v>-0</v>
      </c>
      <c r="AC40" s="230" t="n">
        <f aca="false">Model!AE198</f>
        <v>-0</v>
      </c>
      <c r="AD40" s="230" t="n">
        <f aca="false">Model!AF198</f>
        <v>-0</v>
      </c>
      <c r="AE40" s="230" t="n">
        <f aca="false">Model!AG198</f>
        <v>-0</v>
      </c>
      <c r="AF40" s="230" t="n">
        <f aca="false">Model!AH198</f>
        <v>-0</v>
      </c>
      <c r="AG40" s="230" t="n">
        <f aca="false">Model!AI198</f>
        <v>-0</v>
      </c>
      <c r="AH40" s="230" t="n">
        <f aca="false">Model!AJ198</f>
        <v>-0</v>
      </c>
      <c r="AI40" s="230" t="n">
        <f aca="false">Model!AK198</f>
        <v>-0</v>
      </c>
      <c r="AJ40" s="230" t="n">
        <f aca="false">Model!AL198</f>
        <v>-0</v>
      </c>
      <c r="AK40" s="230" t="n">
        <f aca="false">Model!AM198</f>
        <v>-0</v>
      </c>
      <c r="AL40" s="230" t="n">
        <f aca="false">Model!AN198</f>
        <v>-0</v>
      </c>
      <c r="AM40" s="230" t="n">
        <f aca="false">Model!AO198</f>
        <v>-0</v>
      </c>
      <c r="AN40" s="230" t="n">
        <f aca="false">Model!AP198</f>
        <v>-0</v>
      </c>
      <c r="AO40" s="230" t="n">
        <f aca="false">Model!AQ198</f>
        <v>-0</v>
      </c>
      <c r="AP40" s="230" t="n">
        <f aca="false">Model!AR198</f>
        <v>-0</v>
      </c>
      <c r="AQ40" s="230" t="n">
        <f aca="false">Model!AS198</f>
        <v>-0</v>
      </c>
      <c r="AR40" s="230" t="n">
        <f aca="false">Model!AT198</f>
        <v>-0</v>
      </c>
      <c r="AS40" s="230" t="n">
        <f aca="false">Model!AU198</f>
        <v>-0</v>
      </c>
      <c r="AT40" s="230" t="n">
        <f aca="false">Model!AV198</f>
        <v>-0</v>
      </c>
      <c r="AU40" s="230" t="n">
        <f aca="false">Model!AW198</f>
        <v>-0</v>
      </c>
      <c r="AV40" s="230" t="n">
        <f aca="false">Model!AX198</f>
        <v>-0</v>
      </c>
      <c r="AW40" s="230" t="n">
        <f aca="false">Model!AY198</f>
        <v>-0</v>
      </c>
      <c r="AX40" s="230" t="n">
        <f aca="false">Model!AZ198</f>
        <v>-0</v>
      </c>
      <c r="AY40" s="230" t="n">
        <f aca="false">Model!BA198</f>
        <v>-0</v>
      </c>
      <c r="AZ40" s="230" t="n">
        <f aca="false">Model!BB198</f>
        <v>-0</v>
      </c>
      <c r="BA40" s="230" t="n">
        <f aca="false">Model!BC198</f>
        <v>-0</v>
      </c>
      <c r="BB40" s="230" t="n">
        <f aca="false">Model!BD198</f>
        <v>-0</v>
      </c>
      <c r="BC40" s="230" t="n">
        <f aca="false">Model!BE198</f>
        <v>-0</v>
      </c>
      <c r="BD40" s="230" t="n">
        <f aca="false">Model!BF198</f>
        <v>-0</v>
      </c>
      <c r="BE40" s="230" t="n">
        <f aca="false">Model!BG198</f>
        <v>-0</v>
      </c>
      <c r="BF40" s="230" t="n">
        <f aca="false">Model!BH198</f>
        <v>-0</v>
      </c>
      <c r="BG40" s="230" t="n">
        <f aca="false">Model!BI198</f>
        <v>-0</v>
      </c>
      <c r="BH40" s="230" t="n">
        <f aca="false">Model!BJ198</f>
        <v>-0</v>
      </c>
      <c r="BI40" s="230" t="n">
        <f aca="false">Model!BK198</f>
        <v>-0</v>
      </c>
      <c r="BJ40" s="230" t="n">
        <f aca="false">Model!BL198</f>
        <v>-0</v>
      </c>
      <c r="BK40" s="230" t="n">
        <f aca="false">Model!BM198</f>
        <v>-0</v>
      </c>
      <c r="BL40" s="230" t="n">
        <f aca="false">Model!BN198</f>
        <v>-0</v>
      </c>
      <c r="BM40" s="230" t="n">
        <f aca="false">Model!BO198</f>
        <v>-0</v>
      </c>
      <c r="BN40" s="230" t="n">
        <f aca="false">Model!BP198</f>
        <v>-0</v>
      </c>
      <c r="BO40" s="230" t="n">
        <f aca="false">Model!BQ198</f>
        <v>-0</v>
      </c>
      <c r="BP40" s="230" t="n">
        <f aca="false">Model!BR198</f>
        <v>-0</v>
      </c>
      <c r="BQ40" s="230" t="n">
        <f aca="false">Model!BS198</f>
        <v>-0</v>
      </c>
      <c r="BR40" s="230" t="n">
        <f aca="false">Model!BT198</f>
        <v>-0</v>
      </c>
      <c r="BS40" s="230" t="n">
        <f aca="false">Model!BU198</f>
        <v>-0</v>
      </c>
      <c r="BT40" s="230" t="n">
        <f aca="false">Model!BV198</f>
        <v>-0</v>
      </c>
      <c r="BU40" s="230" t="n">
        <f aca="false">Model!BW198</f>
        <v>-0</v>
      </c>
      <c r="BV40" s="230" t="n">
        <f aca="false">Model!BX198</f>
        <v>-0</v>
      </c>
      <c r="BW40" s="230" t="n">
        <f aca="false">Model!BY198</f>
        <v>-0</v>
      </c>
      <c r="BX40" s="230" t="n">
        <f aca="false">Model!BZ198</f>
        <v>-0</v>
      </c>
      <c r="BY40" s="230" t="n">
        <f aca="false">Model!CA198</f>
        <v>-73156</v>
      </c>
      <c r="BZ40" s="230" t="n">
        <f aca="false">Model!CB198</f>
        <v>-0</v>
      </c>
      <c r="CA40" s="230" t="n">
        <f aca="false">Model!CC198</f>
        <v>-0</v>
      </c>
      <c r="CB40" s="230" t="n">
        <f aca="false">Model!CD198</f>
        <v>-73155</v>
      </c>
      <c r="CC40" s="230" t="n">
        <f aca="false">Model!CE198</f>
        <v>-0</v>
      </c>
      <c r="CD40" s="230" t="n">
        <f aca="false">Model!CF198</f>
        <v>-0</v>
      </c>
      <c r="CE40" s="230" t="n">
        <f aca="false">Model!CG198</f>
        <v>-73155</v>
      </c>
      <c r="CF40" s="230" t="n">
        <f aca="false">Model!CH198</f>
        <v>-0</v>
      </c>
      <c r="CG40" s="230" t="n">
        <f aca="false">Model!CI198</f>
        <v>-0</v>
      </c>
      <c r="CH40" s="230" t="n">
        <f aca="false">Model!CJ198</f>
        <v>-73155</v>
      </c>
    </row>
    <row r="41" customFormat="false" ht="15" hidden="false" customHeight="true" outlineLevel="0" collapsed="false">
      <c r="A41" s="226" t="s">
        <v>564</v>
      </c>
      <c r="B41" s="226"/>
      <c r="C41" s="227" t="n">
        <f aca="false">C39+C40</f>
        <v>0</v>
      </c>
      <c r="D41" s="227" t="n">
        <f aca="false">D39+D40</f>
        <v>0</v>
      </c>
      <c r="E41" s="227" t="n">
        <f aca="false">E39+E40</f>
        <v>0</v>
      </c>
      <c r="F41" s="227" t="n">
        <f aca="false">F39+F40</f>
        <v>0</v>
      </c>
      <c r="G41" s="227" t="n">
        <f aca="false">G39+G40</f>
        <v>0</v>
      </c>
      <c r="H41" s="227" t="n">
        <f aca="false">H39+H40</f>
        <v>0</v>
      </c>
      <c r="I41" s="227" t="n">
        <f aca="false">I39+I40</f>
        <v>0</v>
      </c>
      <c r="J41" s="227" t="n">
        <f aca="false">J39+J40</f>
        <v>0</v>
      </c>
      <c r="K41" s="227" t="n">
        <f aca="false">K39+K40</f>
        <v>0</v>
      </c>
      <c r="L41" s="227" t="n">
        <f aca="false">L39+L40</f>
        <v>0</v>
      </c>
      <c r="M41" s="227" t="n">
        <f aca="false">M39+M40</f>
        <v>0</v>
      </c>
      <c r="N41" s="227" t="n">
        <f aca="false">N39+N40</f>
        <v>0</v>
      </c>
      <c r="O41" s="227" t="n">
        <f aca="false">O39+O40</f>
        <v>0</v>
      </c>
      <c r="P41" s="227" t="n">
        <f aca="false">P39+P40</f>
        <v>0</v>
      </c>
      <c r="Q41" s="227" t="n">
        <f aca="false">Q39+Q40</f>
        <v>0</v>
      </c>
      <c r="R41" s="227" t="n">
        <f aca="false">R39+R40</f>
        <v>0</v>
      </c>
      <c r="S41" s="227" t="n">
        <f aca="false">S39+S40</f>
        <v>0</v>
      </c>
      <c r="T41" s="227" t="n">
        <f aca="false">T39+T40</f>
        <v>0</v>
      </c>
      <c r="U41" s="227" t="n">
        <f aca="false">U39+U40</f>
        <v>0</v>
      </c>
      <c r="V41" s="227" t="n">
        <f aca="false">V39+V40</f>
        <v>0</v>
      </c>
      <c r="W41" s="227" t="n">
        <f aca="false">W39+W40</f>
        <v>0</v>
      </c>
      <c r="X41" s="227" t="n">
        <f aca="false">X39+X40</f>
        <v>0</v>
      </c>
      <c r="Y41" s="227" t="n">
        <f aca="false">Y39+Y40</f>
        <v>0</v>
      </c>
      <c r="Z41" s="227" t="n">
        <f aca="false">Z39+Z40</f>
        <v>0</v>
      </c>
      <c r="AA41" s="227" t="n">
        <f aca="false">AA39+AA40</f>
        <v>0</v>
      </c>
      <c r="AB41" s="227" t="n">
        <f aca="false">AB39+AB40</f>
        <v>0</v>
      </c>
      <c r="AC41" s="227" t="n">
        <f aca="false">AC39+AC40</f>
        <v>0</v>
      </c>
      <c r="AD41" s="227" t="n">
        <f aca="false">AD39+AD40</f>
        <v>0</v>
      </c>
      <c r="AE41" s="227" t="n">
        <f aca="false">AE39+AE40</f>
        <v>0</v>
      </c>
      <c r="AF41" s="227" t="n">
        <f aca="false">AF39+AF40</f>
        <v>0</v>
      </c>
      <c r="AG41" s="227" t="n">
        <f aca="false">AG39+AG40</f>
        <v>0</v>
      </c>
      <c r="AH41" s="227" t="n">
        <f aca="false">AH39+AH40</f>
        <v>0</v>
      </c>
      <c r="AI41" s="227" t="n">
        <f aca="false">AI39+AI40</f>
        <v>0</v>
      </c>
      <c r="AJ41" s="227" t="n">
        <f aca="false">AJ39+AJ40</f>
        <v>0</v>
      </c>
      <c r="AK41" s="227" t="n">
        <f aca="false">AK39+AK40</f>
        <v>0</v>
      </c>
      <c r="AL41" s="227" t="n">
        <f aca="false">AL39+AL40</f>
        <v>0</v>
      </c>
      <c r="AM41" s="227" t="n">
        <f aca="false">AM39+AM40</f>
        <v>0</v>
      </c>
      <c r="AN41" s="227" t="n">
        <f aca="false">AN39+AN40</f>
        <v>0</v>
      </c>
      <c r="AO41" s="227" t="n">
        <f aca="false">AO39+AO40</f>
        <v>0</v>
      </c>
      <c r="AP41" s="227" t="n">
        <f aca="false">AP39+AP40</f>
        <v>0</v>
      </c>
      <c r="AQ41" s="227" t="n">
        <f aca="false">AQ39+AQ40</f>
        <v>0</v>
      </c>
      <c r="AR41" s="227" t="n">
        <f aca="false">AR39+AR40</f>
        <v>0</v>
      </c>
      <c r="AS41" s="227" t="n">
        <f aca="false">AS39+AS40</f>
        <v>0</v>
      </c>
      <c r="AT41" s="227" t="n">
        <f aca="false">AT39+AT40</f>
        <v>0</v>
      </c>
      <c r="AU41" s="227" t="n">
        <f aca="false">AU39+AU40</f>
        <v>0</v>
      </c>
      <c r="AV41" s="227" t="n">
        <f aca="false">AV39+AV40</f>
        <v>0</v>
      </c>
      <c r="AW41" s="227" t="n">
        <f aca="false">AW39+AW40</f>
        <v>0</v>
      </c>
      <c r="AX41" s="227" t="n">
        <f aca="false">AX39+AX40</f>
        <v>0</v>
      </c>
      <c r="AY41" s="227" t="n">
        <f aca="false">AY39+AY40</f>
        <v>0</v>
      </c>
      <c r="AZ41" s="227" t="n">
        <f aca="false">AZ39+AZ40</f>
        <v>0</v>
      </c>
      <c r="BA41" s="227" t="n">
        <f aca="false">BA39+BA40</f>
        <v>0</v>
      </c>
      <c r="BB41" s="227" t="n">
        <f aca="false">BB39+BB40</f>
        <v>0</v>
      </c>
      <c r="BC41" s="227" t="n">
        <f aca="false">BC39+BC40</f>
        <v>0</v>
      </c>
      <c r="BD41" s="227" t="n">
        <f aca="false">BD39+BD40</f>
        <v>0</v>
      </c>
      <c r="BE41" s="227" t="n">
        <f aca="false">BE39+BE40</f>
        <v>0</v>
      </c>
      <c r="BF41" s="227" t="n">
        <f aca="false">BF39+BF40</f>
        <v>0</v>
      </c>
      <c r="BG41" s="227" t="n">
        <f aca="false">BG39+BG40</f>
        <v>0</v>
      </c>
      <c r="BH41" s="227" t="n">
        <f aca="false">BH39+BH40</f>
        <v>0</v>
      </c>
      <c r="BI41" s="227" t="n">
        <f aca="false">BI39+BI40</f>
        <v>0</v>
      </c>
      <c r="BJ41" s="227" t="n">
        <f aca="false">BJ39+BJ40</f>
        <v>0</v>
      </c>
      <c r="BK41" s="227" t="n">
        <f aca="false">BK39+BK40</f>
        <v>0</v>
      </c>
      <c r="BL41" s="227" t="n">
        <f aca="false">BL39+BL40</f>
        <v>0</v>
      </c>
      <c r="BM41" s="227" t="n">
        <f aca="false">BM39+BM40</f>
        <v>0</v>
      </c>
      <c r="BN41" s="227" t="n">
        <f aca="false">BN39+BN40</f>
        <v>0</v>
      </c>
      <c r="BO41" s="227" t="n">
        <f aca="false">BO39+BO40</f>
        <v>0</v>
      </c>
      <c r="BP41" s="227" t="n">
        <f aca="false">BP39+BP40</f>
        <v>0</v>
      </c>
      <c r="BQ41" s="227" t="n">
        <f aca="false">BQ39+BQ40</f>
        <v>0</v>
      </c>
      <c r="BR41" s="227" t="n">
        <f aca="false">BR39+BR40</f>
        <v>0</v>
      </c>
      <c r="BS41" s="227" t="n">
        <f aca="false">BS39+BS40</f>
        <v>0</v>
      </c>
      <c r="BT41" s="227" t="n">
        <f aca="false">BT39+BT40</f>
        <v>0</v>
      </c>
      <c r="BU41" s="227" t="n">
        <f aca="false">BU39+BU40</f>
        <v>0</v>
      </c>
      <c r="BV41" s="227" t="n">
        <f aca="false">BV39+BV40</f>
        <v>0</v>
      </c>
      <c r="BW41" s="227" t="n">
        <f aca="false">BW39+BW40</f>
        <v>0</v>
      </c>
      <c r="BX41" s="227" t="n">
        <f aca="false">BX39+BX40</f>
        <v>0</v>
      </c>
      <c r="BY41" s="227" t="n">
        <f aca="false">BY39+BY40</f>
        <v>-73156</v>
      </c>
      <c r="BZ41" s="227" t="n">
        <f aca="false">BZ39+BZ40</f>
        <v>0</v>
      </c>
      <c r="CA41" s="227" t="n">
        <f aca="false">CA39+CA40</f>
        <v>0</v>
      </c>
      <c r="CB41" s="227" t="n">
        <f aca="false">CB39+CB40</f>
        <v>-73155</v>
      </c>
      <c r="CC41" s="227" t="n">
        <f aca="false">CC39+CC40</f>
        <v>0</v>
      </c>
      <c r="CD41" s="227" t="n">
        <f aca="false">CD39+CD40</f>
        <v>0</v>
      </c>
      <c r="CE41" s="227" t="n">
        <f aca="false">CE39+CE40</f>
        <v>-73155</v>
      </c>
      <c r="CF41" s="227" t="n">
        <f aca="false">CF39+CF40</f>
        <v>0</v>
      </c>
      <c r="CG41" s="227" t="n">
        <f aca="false">CG39+CG40</f>
        <v>0</v>
      </c>
      <c r="CH41" s="227" t="n">
        <f aca="false">CH39+CH40</f>
        <v>-73155</v>
      </c>
    </row>
    <row r="42" customFormat="false" ht="15" hidden="false" customHeight="true" outlineLevel="0" collapsed="false">
      <c r="A42" s="72" t="s">
        <v>565</v>
      </c>
      <c r="B42" s="3"/>
      <c r="C42" s="228" t="n">
        <f aca="false">C41</f>
        <v>0</v>
      </c>
      <c r="D42" s="228" t="n">
        <f aca="false">C42+D41</f>
        <v>0</v>
      </c>
      <c r="E42" s="228" t="n">
        <f aca="false">D42+E41</f>
        <v>0</v>
      </c>
      <c r="F42" s="228" t="n">
        <f aca="false">E42+F41</f>
        <v>0</v>
      </c>
      <c r="G42" s="228" t="n">
        <f aca="false">F42+G41</f>
        <v>0</v>
      </c>
      <c r="H42" s="228" t="n">
        <f aca="false">G42+H41</f>
        <v>0</v>
      </c>
      <c r="I42" s="228" t="n">
        <f aca="false">H42+I41</f>
        <v>0</v>
      </c>
      <c r="J42" s="228" t="n">
        <f aca="false">I42+J41</f>
        <v>0</v>
      </c>
      <c r="K42" s="228" t="n">
        <f aca="false">J42+K41</f>
        <v>0</v>
      </c>
      <c r="L42" s="228" t="n">
        <f aca="false">K42+L41</f>
        <v>0</v>
      </c>
      <c r="M42" s="228" t="n">
        <f aca="false">L42+M41</f>
        <v>0</v>
      </c>
      <c r="N42" s="228" t="n">
        <f aca="false">M42+N41</f>
        <v>0</v>
      </c>
      <c r="O42" s="228" t="n">
        <f aca="false">N42+O41</f>
        <v>0</v>
      </c>
      <c r="P42" s="228" t="n">
        <f aca="false">O42+P41</f>
        <v>0</v>
      </c>
      <c r="Q42" s="228" t="n">
        <f aca="false">P42+Q41</f>
        <v>0</v>
      </c>
      <c r="R42" s="228" t="n">
        <f aca="false">Q42+R41</f>
        <v>0</v>
      </c>
      <c r="S42" s="228" t="n">
        <f aca="false">R42+S41</f>
        <v>0</v>
      </c>
      <c r="T42" s="228" t="n">
        <f aca="false">S42+T41</f>
        <v>0</v>
      </c>
      <c r="U42" s="228" t="n">
        <f aca="false">T42+U41</f>
        <v>0</v>
      </c>
      <c r="V42" s="228" t="n">
        <f aca="false">U42+V41</f>
        <v>0</v>
      </c>
      <c r="W42" s="228" t="n">
        <f aca="false">V42+W41</f>
        <v>0</v>
      </c>
      <c r="X42" s="228" t="n">
        <f aca="false">W42+X41</f>
        <v>0</v>
      </c>
      <c r="Y42" s="228" t="n">
        <f aca="false">X42+Y41</f>
        <v>0</v>
      </c>
      <c r="Z42" s="228" t="n">
        <f aca="false">Y42+Z41</f>
        <v>0</v>
      </c>
      <c r="AA42" s="228" t="n">
        <f aca="false">Z42+AA41</f>
        <v>0</v>
      </c>
      <c r="AB42" s="228" t="n">
        <f aca="false">AA42+AB41</f>
        <v>0</v>
      </c>
      <c r="AC42" s="228" t="n">
        <f aca="false">AB42+AC41</f>
        <v>0</v>
      </c>
      <c r="AD42" s="228" t="n">
        <f aca="false">AC42+AD41</f>
        <v>0</v>
      </c>
      <c r="AE42" s="228" t="n">
        <f aca="false">AD42+AE41</f>
        <v>0</v>
      </c>
      <c r="AF42" s="228" t="n">
        <f aca="false">AE42+AF41</f>
        <v>0</v>
      </c>
      <c r="AG42" s="228" t="n">
        <f aca="false">AF42+AG41</f>
        <v>0</v>
      </c>
      <c r="AH42" s="228" t="n">
        <f aca="false">AG42+AH41</f>
        <v>0</v>
      </c>
      <c r="AI42" s="228" t="n">
        <f aca="false">AH42+AI41</f>
        <v>0</v>
      </c>
      <c r="AJ42" s="228" t="n">
        <f aca="false">AI42+AJ41</f>
        <v>0</v>
      </c>
      <c r="AK42" s="228" t="n">
        <f aca="false">AJ42+AK41</f>
        <v>0</v>
      </c>
      <c r="AL42" s="228" t="n">
        <f aca="false">AK42+AL41</f>
        <v>0</v>
      </c>
      <c r="AM42" s="228" t="n">
        <f aca="false">AL42+AM41</f>
        <v>0</v>
      </c>
      <c r="AN42" s="228" t="n">
        <f aca="false">AM42+AN41</f>
        <v>0</v>
      </c>
      <c r="AO42" s="228" t="n">
        <f aca="false">AN42+AO41</f>
        <v>0</v>
      </c>
      <c r="AP42" s="228" t="n">
        <f aca="false">AO42+AP41</f>
        <v>0</v>
      </c>
      <c r="AQ42" s="228" t="n">
        <f aca="false">AP42+AQ41</f>
        <v>0</v>
      </c>
      <c r="AR42" s="228" t="n">
        <f aca="false">AQ42+AR41</f>
        <v>0</v>
      </c>
      <c r="AS42" s="228" t="n">
        <f aca="false">AR42+AS41</f>
        <v>0</v>
      </c>
      <c r="AT42" s="228" t="n">
        <f aca="false">AS42+AT41</f>
        <v>0</v>
      </c>
      <c r="AU42" s="228" t="n">
        <f aca="false">AT42+AU41</f>
        <v>0</v>
      </c>
      <c r="AV42" s="228" t="n">
        <f aca="false">AU42+AV41</f>
        <v>0</v>
      </c>
      <c r="AW42" s="228" t="n">
        <f aca="false">AV42+AW41</f>
        <v>0</v>
      </c>
      <c r="AX42" s="228" t="n">
        <f aca="false">AW42+AX41</f>
        <v>0</v>
      </c>
      <c r="AY42" s="228" t="n">
        <f aca="false">AX42+AY41</f>
        <v>0</v>
      </c>
      <c r="AZ42" s="228" t="n">
        <f aca="false">AY42+AZ41</f>
        <v>0</v>
      </c>
      <c r="BA42" s="228" t="n">
        <f aca="false">AZ42+BA41</f>
        <v>0</v>
      </c>
      <c r="BB42" s="228" t="n">
        <f aca="false">BA42+BB41</f>
        <v>0</v>
      </c>
      <c r="BC42" s="228" t="n">
        <f aca="false">BB42+BC41</f>
        <v>0</v>
      </c>
      <c r="BD42" s="228" t="n">
        <f aca="false">BC42+BD41</f>
        <v>0</v>
      </c>
      <c r="BE42" s="228" t="n">
        <f aca="false">BD42+BE41</f>
        <v>0</v>
      </c>
      <c r="BF42" s="228" t="n">
        <f aca="false">BE42+BF41</f>
        <v>0</v>
      </c>
      <c r="BG42" s="228" t="n">
        <f aca="false">BF42+BG41</f>
        <v>0</v>
      </c>
      <c r="BH42" s="228" t="n">
        <f aca="false">BG42+BH41</f>
        <v>0</v>
      </c>
      <c r="BI42" s="228" t="n">
        <f aca="false">BH42+BI41</f>
        <v>0</v>
      </c>
      <c r="BJ42" s="228" t="n">
        <f aca="false">BI42+BJ41</f>
        <v>0</v>
      </c>
      <c r="BK42" s="228" t="n">
        <f aca="false">BJ42+BK41</f>
        <v>0</v>
      </c>
      <c r="BL42" s="228" t="n">
        <f aca="false">BK42+BL41</f>
        <v>0</v>
      </c>
      <c r="BM42" s="228" t="n">
        <f aca="false">BL42+BM41</f>
        <v>0</v>
      </c>
      <c r="BN42" s="228" t="n">
        <f aca="false">BM42+BN41</f>
        <v>0</v>
      </c>
      <c r="BO42" s="228" t="n">
        <f aca="false">BN42+BO41</f>
        <v>0</v>
      </c>
      <c r="BP42" s="228" t="n">
        <f aca="false">BO42+BP41</f>
        <v>0</v>
      </c>
      <c r="BQ42" s="228" t="n">
        <f aca="false">BP42+BQ41</f>
        <v>0</v>
      </c>
      <c r="BR42" s="228" t="n">
        <f aca="false">BQ42+BR41</f>
        <v>0</v>
      </c>
      <c r="BS42" s="228" t="n">
        <f aca="false">BR42+BS41</f>
        <v>0</v>
      </c>
      <c r="BT42" s="228" t="n">
        <f aca="false">BS42+BT41</f>
        <v>0</v>
      </c>
      <c r="BU42" s="228" t="n">
        <f aca="false">BT42+BU41</f>
        <v>0</v>
      </c>
      <c r="BV42" s="228" t="n">
        <f aca="false">BU42+BV41</f>
        <v>0</v>
      </c>
      <c r="BW42" s="228" t="n">
        <f aca="false">BV42+BW41</f>
        <v>0</v>
      </c>
      <c r="BX42" s="228" t="n">
        <f aca="false">BW42+BX41</f>
        <v>0</v>
      </c>
      <c r="BY42" s="228" t="n">
        <f aca="false">BX42+BY41</f>
        <v>-73156</v>
      </c>
      <c r="BZ42" s="228" t="n">
        <f aca="false">BY42+BZ41</f>
        <v>-73156</v>
      </c>
      <c r="CA42" s="228" t="n">
        <f aca="false">BZ42+CA41</f>
        <v>-73156</v>
      </c>
      <c r="CB42" s="228" t="n">
        <f aca="false">CA42+CB41</f>
        <v>-146311</v>
      </c>
      <c r="CC42" s="228" t="n">
        <f aca="false">CB42+CC41</f>
        <v>-146311</v>
      </c>
      <c r="CD42" s="228" t="n">
        <f aca="false">CC42+CD41</f>
        <v>-146311</v>
      </c>
      <c r="CE42" s="228" t="n">
        <f aca="false">CD42+CE41</f>
        <v>-219466</v>
      </c>
      <c r="CF42" s="228" t="n">
        <f aca="false">CE42+CF41</f>
        <v>-219466</v>
      </c>
      <c r="CG42" s="228" t="n">
        <f aca="false">CF42+CG41</f>
        <v>-219466</v>
      </c>
      <c r="CH42" s="228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47" t="s">
        <v>567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</row>
    <row r="45" customFormat="false" ht="15" hidden="false" customHeight="true" outlineLevel="0" collapsed="false">
      <c r="A45" s="226" t="s">
        <v>568</v>
      </c>
      <c r="B45" s="226"/>
      <c r="C45" s="227" t="n">
        <f aca="false">C5+C10+C16+C22+C28+C35+C41</f>
        <v>33281.25</v>
      </c>
      <c r="D45" s="227" t="n">
        <f aca="false">D5+D10+D16+D22+D28+D35+D41</f>
        <v>33281.25</v>
      </c>
      <c r="E45" s="227" t="n">
        <f aca="false">E5+E10+E16+E22+E28+E35+E41</f>
        <v>33281.25</v>
      </c>
      <c r="F45" s="227" t="n">
        <f aca="false">F5+F10+F16+F22+F28+F35+F41</f>
        <v>33281.25</v>
      </c>
      <c r="G45" s="227" t="n">
        <f aca="false">G5+G10+G16+G22+G28+G35+G41</f>
        <v>33281.25</v>
      </c>
      <c r="H45" s="227" t="n">
        <f aca="false">H5+H10+H16+H22+H28+H35+H41</f>
        <v>33281.25</v>
      </c>
      <c r="I45" s="227" t="n">
        <f aca="false">I5+I10+I16+I22+I28+I35+I41</f>
        <v>33281.25</v>
      </c>
      <c r="J45" s="227" t="n">
        <f aca="false">J5+J10+J16+J22+J28+J35+J41</f>
        <v>23906.25</v>
      </c>
      <c r="K45" s="227" t="n">
        <f aca="false">K5+K10+K16+K22+K28+K35+K41</f>
        <v>23906.25</v>
      </c>
      <c r="L45" s="227" t="n">
        <f aca="false">L5+L10+L16+L22+L28+L35+L41</f>
        <v>23906.25</v>
      </c>
      <c r="M45" s="227" t="n">
        <f aca="false">M5+M10+M16+M22+M28+M35+M41</f>
        <v>23906.25</v>
      </c>
      <c r="N45" s="227" t="n">
        <f aca="false">N5+N10+N16+N22+N28+N35+N41</f>
        <v>23906.25</v>
      </c>
      <c r="O45" s="227" t="n">
        <f aca="false">O5+O10+O16+O22+O28+O35+O41</f>
        <v>23906.25</v>
      </c>
      <c r="P45" s="227" t="n">
        <f aca="false">P5+P10+P16+P22+P28+P35+P41</f>
        <v>23906.25</v>
      </c>
      <c r="Q45" s="227" t="n">
        <f aca="false">Q5+Q10+Q16+Q22+Q28+Q35+Q41</f>
        <v>23906.25</v>
      </c>
      <c r="R45" s="227" t="n">
        <f aca="false">R5+R10+R16+R22+R28+R35+R41</f>
        <v>0</v>
      </c>
      <c r="S45" s="227" t="n">
        <f aca="false">S5+S10+S16+S22+S28+S35+S41</f>
        <v>0</v>
      </c>
      <c r="T45" s="227" t="n">
        <f aca="false">T5+T10+T16+T22+T28+T35+T41</f>
        <v>0</v>
      </c>
      <c r="U45" s="227" t="n">
        <f aca="false">U5+U10+U16+U22+U28+U35+U41</f>
        <v>0</v>
      </c>
      <c r="V45" s="227" t="n">
        <f aca="false">V5+V10+V16+V22+V28+V35+V41</f>
        <v>0</v>
      </c>
      <c r="W45" s="227" t="n">
        <f aca="false">W5+W10+W16+W22+W28+W35+W41</f>
        <v>57375</v>
      </c>
      <c r="X45" s="227" t="n">
        <f aca="false">X5+X10+X16+X22+X28+X35+X41</f>
        <v>0</v>
      </c>
      <c r="Y45" s="227" t="n">
        <f aca="false">Y5+Y10+Y16+Y22+Y28+Y35+Y41</f>
        <v>0</v>
      </c>
      <c r="Z45" s="227" t="n">
        <f aca="false">Z5+Z10+Z16+Z22+Z28+Z35+Z41</f>
        <v>57375</v>
      </c>
      <c r="AA45" s="227" t="n">
        <f aca="false">AA5+AA10+AA16+AA22+AA28+AA35+AA41</f>
        <v>0</v>
      </c>
      <c r="AB45" s="227" t="n">
        <f aca="false">AB5+AB10+AB16+AB22+AB28+AB35+AB41</f>
        <v>0</v>
      </c>
      <c r="AC45" s="227" t="n">
        <f aca="false">AC5+AC10+AC16+AC22+AC28+AC35+AC41</f>
        <v>57375</v>
      </c>
      <c r="AD45" s="227" t="n">
        <f aca="false">AD5+AD10+AD16+AD22+AD28+AD35+AD41</f>
        <v>0</v>
      </c>
      <c r="AE45" s="227" t="n">
        <f aca="false">AE5+AE10+AE16+AE22+AE28+AE35+AE41</f>
        <v>0</v>
      </c>
      <c r="AF45" s="227" t="n">
        <f aca="false">AF5+AF10+AF16+AF22+AF28+AF35+AF41</f>
        <v>0</v>
      </c>
      <c r="AG45" s="227" t="n">
        <f aca="false">AG5+AG10+AG16+AG22+AG28+AG35+AG41</f>
        <v>0</v>
      </c>
      <c r="AH45" s="227" t="n">
        <f aca="false">AH5+AH10+AH16+AH22+AH28+AH35+AH41</f>
        <v>0</v>
      </c>
      <c r="AI45" s="227" t="n">
        <f aca="false">AI5+AI10+AI16+AI22+AI28+AI35+AI41</f>
        <v>0</v>
      </c>
      <c r="AJ45" s="227" t="n">
        <f aca="false">AJ5+AJ10+AJ16+AJ22+AJ28+AJ35+AJ41</f>
        <v>0</v>
      </c>
      <c r="AK45" s="227" t="n">
        <f aca="false">AK5+AK10+AK16+AK22+AK28+AK35+AK41</f>
        <v>0</v>
      </c>
      <c r="AL45" s="227" t="n">
        <f aca="false">AL5+AL10+AL16+AL22+AL28+AL35+AL41</f>
        <v>0</v>
      </c>
      <c r="AM45" s="227" t="n">
        <f aca="false">AM5+AM10+AM16+AM22+AM28+AM35+AM41</f>
        <v>0</v>
      </c>
      <c r="AN45" s="227" t="n">
        <f aca="false">AN5+AN10+AN16+AN22+AN28+AN35+AN41</f>
        <v>0</v>
      </c>
      <c r="AO45" s="227" t="n">
        <f aca="false">AO5+AO10+AO16+AO22+AO28+AO35+AO41</f>
        <v>0</v>
      </c>
      <c r="AP45" s="227" t="n">
        <f aca="false">AP5+AP10+AP16+AP22+AP28+AP35+AP41</f>
        <v>0</v>
      </c>
      <c r="AQ45" s="227" t="n">
        <f aca="false">AQ5+AQ10+AQ16+AQ22+AQ28+AQ35+AQ41</f>
        <v>0</v>
      </c>
      <c r="AR45" s="227" t="n">
        <f aca="false">AR5+AR10+AR16+AR22+AR28+AR35+AR41</f>
        <v>0</v>
      </c>
      <c r="AS45" s="227" t="n">
        <f aca="false">AS5+AS10+AS16+AS22+AS28+AS35+AS41</f>
        <v>0</v>
      </c>
      <c r="AT45" s="227" t="n">
        <f aca="false">AT5+AT10+AT16+AT22+AT28+AT35+AT41</f>
        <v>0</v>
      </c>
      <c r="AU45" s="227" t="n">
        <f aca="false">AU5+AU10+AU16+AU22+AU28+AU35+AU41</f>
        <v>0</v>
      </c>
      <c r="AV45" s="227" t="n">
        <f aca="false">AV5+AV10+AV16+AV22+AV28+AV35+AV41</f>
        <v>0</v>
      </c>
      <c r="AW45" s="227" t="n">
        <f aca="false">AW5+AW10+AW16+AW22+AW28+AW35+AW41</f>
        <v>0</v>
      </c>
      <c r="AX45" s="227" t="n">
        <f aca="false">AX5+AX10+AX16+AX22+AX28+AX35+AX41</f>
        <v>0</v>
      </c>
      <c r="AY45" s="227" t="n">
        <f aca="false">AY5+AY10+AY16+AY22+AY28+AY35+AY41</f>
        <v>0</v>
      </c>
      <c r="AZ45" s="227" t="n">
        <f aca="false">AZ5+AZ10+AZ16+AZ22+AZ28+AZ35+AZ41</f>
        <v>0</v>
      </c>
      <c r="BA45" s="227" t="n">
        <f aca="false">BA5+BA10+BA16+BA22+BA28+BA35+BA41</f>
        <v>0</v>
      </c>
      <c r="BB45" s="227" t="n">
        <f aca="false">BB5+BB10+BB16+BB22+BB28+BB35+BB41</f>
        <v>0</v>
      </c>
      <c r="BC45" s="227" t="n">
        <f aca="false">BC5+BC10+BC16+BC22+BC28+BC35+BC41</f>
        <v>0</v>
      </c>
      <c r="BD45" s="227" t="n">
        <f aca="false">BD5+BD10+BD16+BD22+BD28+BD35+BD41</f>
        <v>0</v>
      </c>
      <c r="BE45" s="227" t="n">
        <f aca="false">BE5+BE10+BE16+BE22+BE28+BE35+BE41</f>
        <v>0</v>
      </c>
      <c r="BF45" s="227" t="n">
        <f aca="false">BF5+BF10+BF16+BF22+BF28+BF35+BF41</f>
        <v>0</v>
      </c>
      <c r="BG45" s="227" t="n">
        <f aca="false">BG5+BG10+BG16+BG22+BG28+BG35+BG41</f>
        <v>0</v>
      </c>
      <c r="BH45" s="227" t="n">
        <f aca="false">BH5+BH10+BH16+BH22+BH28+BH35+BH41</f>
        <v>0</v>
      </c>
      <c r="BI45" s="227" t="n">
        <f aca="false">BI5+BI10+BI16+BI22+BI28+BI35+BI41</f>
        <v>0</v>
      </c>
      <c r="BJ45" s="227" t="n">
        <f aca="false">BJ5+BJ10+BJ16+BJ22+BJ28+BJ35+BJ41</f>
        <v>0</v>
      </c>
      <c r="BK45" s="227" t="n">
        <f aca="false">BK5+BK10+BK16+BK22+BK28+BK35+BK41</f>
        <v>0</v>
      </c>
      <c r="BL45" s="227" t="n">
        <f aca="false">BL5+BL10+BL16+BL22+BL28+BL35+BL41</f>
        <v>0</v>
      </c>
      <c r="BM45" s="227" t="n">
        <f aca="false">BM5+BM10+BM16+BM22+BM28+BM35+BM41</f>
        <v>0</v>
      </c>
      <c r="BN45" s="227" t="n">
        <f aca="false">BN5+BN10+BN16+BN22+BN28+BN35+BN41</f>
        <v>0</v>
      </c>
      <c r="BO45" s="227" t="n">
        <f aca="false">BO5+BO10+BO16+BO22+BO28+BO35+BO41</f>
        <v>0</v>
      </c>
      <c r="BP45" s="227" t="n">
        <f aca="false">BP5+BP10+BP16+BP22+BP28+BP35+BP41</f>
        <v>53250.35</v>
      </c>
      <c r="BQ45" s="227" t="n">
        <f aca="false">BQ5+BQ10+BQ16+BQ22+BQ28+BQ35+BQ41</f>
        <v>0</v>
      </c>
      <c r="BR45" s="227" t="n">
        <f aca="false">BR5+BR10+BR16+BR22+BR28+BR35+BR41</f>
        <v>0</v>
      </c>
      <c r="BS45" s="227" t="n">
        <f aca="false">BS5+BS10+BS16+BS22+BS28+BS35+BS41</f>
        <v>67762</v>
      </c>
      <c r="BT45" s="227" t="n">
        <f aca="false">BT5+BT10+BT16+BT22+BT28+BT35+BT41</f>
        <v>0</v>
      </c>
      <c r="BU45" s="227" t="n">
        <f aca="false">BU5+BU10+BU16+BU22+BU28+BU35+BU41</f>
        <v>0</v>
      </c>
      <c r="BV45" s="227" t="n">
        <f aca="false">BV5+BV10+BV16+BV22+BV28+BV35+BV41</f>
        <v>67762</v>
      </c>
      <c r="BW45" s="227" t="n">
        <f aca="false">BW5+BW10+BW16+BW22+BW28+BW35+BW41</f>
        <v>0</v>
      </c>
      <c r="BX45" s="227" t="n">
        <f aca="false">BX5+BX10+BX16+BX22+BX28+BX35+BX41</f>
        <v>0</v>
      </c>
      <c r="BY45" s="227" t="n">
        <f aca="false">BY5+BY10+BY16+BY22+BY28+BY35+BY41</f>
        <v>-5394</v>
      </c>
      <c r="BZ45" s="227" t="n">
        <f aca="false">BZ5+BZ10+BZ16+BZ22+BZ28+BZ35+BZ41</f>
        <v>0</v>
      </c>
      <c r="CA45" s="227" t="n">
        <f aca="false">CA5+CA10+CA16+CA22+CA28+CA35+CA41</f>
        <v>0</v>
      </c>
      <c r="CB45" s="227" t="n">
        <f aca="false">CB5+CB10+CB16+CB22+CB28+CB35+CB41</f>
        <v>3344</v>
      </c>
      <c r="CC45" s="227" t="n">
        <f aca="false">CC5+CC10+CC16+CC22+CC28+CC35+CC41</f>
        <v>0</v>
      </c>
      <c r="CD45" s="227" t="n">
        <f aca="false">CD5+CD10+CD16+CD22+CD28+CD35+CD41</f>
        <v>0</v>
      </c>
      <c r="CE45" s="227" t="n">
        <f aca="false">CE5+CE10+CE16+CE22+CE28+CE35+CE41</f>
        <v>3344</v>
      </c>
      <c r="CF45" s="227" t="n">
        <f aca="false">CF5+CF10+CF16+CF22+CF28+CF35+CF41</f>
        <v>0</v>
      </c>
      <c r="CG45" s="227" t="n">
        <f aca="false">CG5+CG10+CG16+CG22+CG28+CG35+CG41</f>
        <v>0</v>
      </c>
      <c r="CH45" s="227" t="n">
        <f aca="false">CH5+CH10+CH16+CH22+CH28+CH35+CH41</f>
        <v>9952.02660647922</v>
      </c>
    </row>
    <row r="46" customFormat="false" ht="15" hidden="false" customHeight="true" outlineLevel="0" collapsed="false">
      <c r="A46" s="72" t="s">
        <v>569</v>
      </c>
      <c r="B46" s="3"/>
      <c r="C46" s="228" t="n">
        <f aca="false">C45</f>
        <v>33281.25</v>
      </c>
      <c r="D46" s="228" t="n">
        <f aca="false">C46+D45</f>
        <v>66562.5</v>
      </c>
      <c r="E46" s="228" t="n">
        <f aca="false">D46+E45</f>
        <v>99843.75</v>
      </c>
      <c r="F46" s="228" t="n">
        <f aca="false">E46+F45</f>
        <v>133125</v>
      </c>
      <c r="G46" s="228" t="n">
        <f aca="false">F46+G45</f>
        <v>166406.25</v>
      </c>
      <c r="H46" s="228" t="n">
        <f aca="false">G46+H45</f>
        <v>199687.5</v>
      </c>
      <c r="I46" s="228" t="n">
        <f aca="false">H46+I45</f>
        <v>232968.75</v>
      </c>
      <c r="J46" s="228" t="n">
        <f aca="false">I46+J45</f>
        <v>256875</v>
      </c>
      <c r="K46" s="228" t="n">
        <f aca="false">J46+K45</f>
        <v>280781.25</v>
      </c>
      <c r="L46" s="228" t="n">
        <f aca="false">K46+L45</f>
        <v>304687.5</v>
      </c>
      <c r="M46" s="228" t="n">
        <f aca="false">L46+M45</f>
        <v>328593.75</v>
      </c>
      <c r="N46" s="228" t="n">
        <f aca="false">M46+N45</f>
        <v>352500</v>
      </c>
      <c r="O46" s="228" t="n">
        <f aca="false">N46+O45</f>
        <v>376406.25</v>
      </c>
      <c r="P46" s="228" t="n">
        <f aca="false">O46+P45</f>
        <v>400312.5</v>
      </c>
      <c r="Q46" s="228" t="n">
        <f aca="false">P46+Q45</f>
        <v>424218.75</v>
      </c>
      <c r="R46" s="228" t="n">
        <f aca="false">Q46+R45</f>
        <v>424218.75</v>
      </c>
      <c r="S46" s="228" t="n">
        <f aca="false">R46+S45</f>
        <v>424218.75</v>
      </c>
      <c r="T46" s="228" t="n">
        <f aca="false">S46+T45</f>
        <v>424218.75</v>
      </c>
      <c r="U46" s="228" t="n">
        <f aca="false">T46+U45</f>
        <v>424218.75</v>
      </c>
      <c r="V46" s="228" t="n">
        <f aca="false">U46+V45</f>
        <v>424218.75</v>
      </c>
      <c r="W46" s="228" t="n">
        <f aca="false">V46+W45</f>
        <v>481593.75</v>
      </c>
      <c r="X46" s="228" t="n">
        <f aca="false">W46+X45</f>
        <v>481593.75</v>
      </c>
      <c r="Y46" s="228" t="n">
        <f aca="false">X46+Y45</f>
        <v>481593.75</v>
      </c>
      <c r="Z46" s="228" t="n">
        <f aca="false">Y46+Z45</f>
        <v>538968.75</v>
      </c>
      <c r="AA46" s="228" t="n">
        <f aca="false">Z46+AA45</f>
        <v>538968.75</v>
      </c>
      <c r="AB46" s="228" t="n">
        <f aca="false">AA46+AB45</f>
        <v>538968.75</v>
      </c>
      <c r="AC46" s="228" t="n">
        <f aca="false">AB46+AC45</f>
        <v>596343.75</v>
      </c>
      <c r="AD46" s="228" t="n">
        <f aca="false">AC46+AD45</f>
        <v>596343.75</v>
      </c>
      <c r="AE46" s="228" t="n">
        <f aca="false">AD46+AE45</f>
        <v>596343.75</v>
      </c>
      <c r="AF46" s="228" t="n">
        <f aca="false">AE46+AF45</f>
        <v>596343.75</v>
      </c>
      <c r="AG46" s="228" t="n">
        <f aca="false">AF46+AG45</f>
        <v>596343.75</v>
      </c>
      <c r="AH46" s="228" t="n">
        <f aca="false">AG46+AH45</f>
        <v>596343.75</v>
      </c>
      <c r="AI46" s="228" t="n">
        <f aca="false">AH46+AI45</f>
        <v>596343.75</v>
      </c>
      <c r="AJ46" s="228" t="n">
        <f aca="false">AI46+AJ45</f>
        <v>596343.75</v>
      </c>
      <c r="AK46" s="228" t="n">
        <f aca="false">AJ46+AK45</f>
        <v>596343.75</v>
      </c>
      <c r="AL46" s="228" t="n">
        <f aca="false">AK46+AL45</f>
        <v>596343.75</v>
      </c>
      <c r="AM46" s="228" t="n">
        <f aca="false">AL46+AM45</f>
        <v>596343.75</v>
      </c>
      <c r="AN46" s="228" t="n">
        <f aca="false">AM46+AN45</f>
        <v>596343.75</v>
      </c>
      <c r="AO46" s="228" t="n">
        <f aca="false">AN46+AO45</f>
        <v>596343.75</v>
      </c>
      <c r="AP46" s="228" t="n">
        <f aca="false">AO46+AP45</f>
        <v>596343.75</v>
      </c>
      <c r="AQ46" s="228" t="n">
        <f aca="false">AP46+AQ45</f>
        <v>596343.75</v>
      </c>
      <c r="AR46" s="228" t="n">
        <f aca="false">AQ46+AR45</f>
        <v>596343.75</v>
      </c>
      <c r="AS46" s="228" t="n">
        <f aca="false">AR46+AS45</f>
        <v>596343.75</v>
      </c>
      <c r="AT46" s="228" t="n">
        <f aca="false">AS46+AT45</f>
        <v>596343.75</v>
      </c>
      <c r="AU46" s="228" t="n">
        <f aca="false">AT46+AU45</f>
        <v>596343.75</v>
      </c>
      <c r="AV46" s="228" t="n">
        <f aca="false">AU46+AV45</f>
        <v>596343.75</v>
      </c>
      <c r="AW46" s="228" t="n">
        <f aca="false">AV46+AW45</f>
        <v>596343.75</v>
      </c>
      <c r="AX46" s="228" t="n">
        <f aca="false">AW46+AX45</f>
        <v>596343.75</v>
      </c>
      <c r="AY46" s="228" t="n">
        <f aca="false">AX46+AY45</f>
        <v>596343.75</v>
      </c>
      <c r="AZ46" s="228" t="n">
        <f aca="false">AY46+AZ45</f>
        <v>596343.75</v>
      </c>
      <c r="BA46" s="228" t="n">
        <f aca="false">AZ46+BA45</f>
        <v>596343.75</v>
      </c>
      <c r="BB46" s="228" t="n">
        <f aca="false">BA46+BB45</f>
        <v>596343.75</v>
      </c>
      <c r="BC46" s="228" t="n">
        <f aca="false">BB46+BC45</f>
        <v>596343.75</v>
      </c>
      <c r="BD46" s="228" t="n">
        <f aca="false">BC46+BD45</f>
        <v>596343.75</v>
      </c>
      <c r="BE46" s="228" t="n">
        <f aca="false">BD46+BE45</f>
        <v>596343.75</v>
      </c>
      <c r="BF46" s="228" t="n">
        <f aca="false">BE46+BF45</f>
        <v>596343.75</v>
      </c>
      <c r="BG46" s="228" t="n">
        <f aca="false">BF46+BG45</f>
        <v>596343.75</v>
      </c>
      <c r="BH46" s="228" t="n">
        <f aca="false">BG46+BH45</f>
        <v>596343.75</v>
      </c>
      <c r="BI46" s="228" t="n">
        <f aca="false">BH46+BI45</f>
        <v>596343.75</v>
      </c>
      <c r="BJ46" s="228" t="n">
        <f aca="false">BI46+BJ45</f>
        <v>596343.75</v>
      </c>
      <c r="BK46" s="228" t="n">
        <f aca="false">BJ46+BK45</f>
        <v>596343.75</v>
      </c>
      <c r="BL46" s="228" t="n">
        <f aca="false">BK46+BL45</f>
        <v>596343.75</v>
      </c>
      <c r="BM46" s="228" t="n">
        <f aca="false">BL46+BM45</f>
        <v>596343.75</v>
      </c>
      <c r="BN46" s="228" t="n">
        <f aca="false">BM46+BN45</f>
        <v>596343.75</v>
      </c>
      <c r="BO46" s="228" t="n">
        <f aca="false">BN46+BO45</f>
        <v>596343.75</v>
      </c>
      <c r="BP46" s="228" t="n">
        <f aca="false">BO46+BP45</f>
        <v>649594.1</v>
      </c>
      <c r="BQ46" s="228" t="n">
        <f aca="false">BP46+BQ45</f>
        <v>649594.1</v>
      </c>
      <c r="BR46" s="228" t="n">
        <f aca="false">BQ46+BR45</f>
        <v>649594.1</v>
      </c>
      <c r="BS46" s="228" t="n">
        <f aca="false">BR46+BS45</f>
        <v>717356.1</v>
      </c>
      <c r="BT46" s="228" t="n">
        <f aca="false">BS46+BT45</f>
        <v>717356.1</v>
      </c>
      <c r="BU46" s="228" t="n">
        <f aca="false">BT46+BU45</f>
        <v>717356.1</v>
      </c>
      <c r="BV46" s="228" t="n">
        <f aca="false">BU46+BV45</f>
        <v>785118.1</v>
      </c>
      <c r="BW46" s="228" t="n">
        <f aca="false">BV46+BW45</f>
        <v>785118.1</v>
      </c>
      <c r="BX46" s="228" t="n">
        <f aca="false">BW46+BX45</f>
        <v>785118.1</v>
      </c>
      <c r="BY46" s="228" t="n">
        <f aca="false">BX46+BY45</f>
        <v>779724.1</v>
      </c>
      <c r="BZ46" s="228" t="n">
        <f aca="false">BY46+BZ45</f>
        <v>779724.1</v>
      </c>
      <c r="CA46" s="228" t="n">
        <f aca="false">BZ46+CA45</f>
        <v>779724.1</v>
      </c>
      <c r="CB46" s="228" t="n">
        <f aca="false">CA46+CB45</f>
        <v>783068.1</v>
      </c>
      <c r="CC46" s="228" t="n">
        <f aca="false">CB46+CC45</f>
        <v>783068.1</v>
      </c>
      <c r="CD46" s="228" t="n">
        <f aca="false">CC46+CD45</f>
        <v>783068.1</v>
      </c>
      <c r="CE46" s="228" t="n">
        <f aca="false">CD46+CE45</f>
        <v>786412.1</v>
      </c>
      <c r="CF46" s="228" t="n">
        <f aca="false">CE46+CF45</f>
        <v>786412.1</v>
      </c>
      <c r="CG46" s="228" t="n">
        <f aca="false">CF46+CG45</f>
        <v>786412.1</v>
      </c>
      <c r="CH46" s="228" t="n">
        <f aca="false">CG46+CH45</f>
        <v>796364.126606479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2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86" t="s">
        <v>571</v>
      </c>
      <c r="B49" s="23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86" t="s">
        <v>572</v>
      </c>
      <c r="B50" s="23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86" t="s">
        <v>573</v>
      </c>
      <c r="B51" s="23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86" t="s">
        <v>574</v>
      </c>
      <c r="B52" s="23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86" t="s">
        <v>575</v>
      </c>
      <c r="B53" s="23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86" t="s">
        <v>576</v>
      </c>
      <c r="B54" s="23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86" t="s">
        <v>577</v>
      </c>
      <c r="B55" s="232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2" t="s">
        <v>579</v>
      </c>
      <c r="B56" s="23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3" t="s">
        <v>580</v>
      </c>
      <c r="B1" s="83"/>
      <c r="C1" s="83"/>
      <c r="D1" s="83"/>
      <c r="E1" s="83"/>
      <c r="F1" s="83"/>
      <c r="G1" s="8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23" t="s">
        <v>582</v>
      </c>
      <c r="B4" s="23" t="s">
        <v>583</v>
      </c>
      <c r="C4" s="23" t="s">
        <v>584</v>
      </c>
      <c r="D4" s="23" t="s">
        <v>585</v>
      </c>
      <c r="E4" s="23" t="s">
        <v>586</v>
      </c>
      <c r="F4" s="23" t="s">
        <v>587</v>
      </c>
      <c r="G4" s="23" t="s">
        <v>474</v>
      </c>
      <c r="H4" s="3"/>
      <c r="I4" s="3"/>
    </row>
    <row r="5" customFormat="false" ht="15" hidden="false" customHeight="true" outlineLevel="0" collapsed="false">
      <c r="A5" s="86" t="s">
        <v>588</v>
      </c>
      <c r="B5" s="234" t="n">
        <f aca="false">Assumptions!B4</f>
        <v>0.06</v>
      </c>
      <c r="C5" s="235" t="n">
        <v>0.06</v>
      </c>
      <c r="D5" s="236" t="n">
        <v>0.04</v>
      </c>
      <c r="E5" s="236" t="n">
        <v>0.08</v>
      </c>
      <c r="F5" s="86" t="s">
        <v>589</v>
      </c>
      <c r="G5" s="73" t="s">
        <v>590</v>
      </c>
      <c r="H5" s="3"/>
      <c r="I5" s="3"/>
    </row>
    <row r="6" customFormat="false" ht="15" hidden="false" customHeight="true" outlineLevel="0" collapsed="false">
      <c r="A6" s="86" t="s">
        <v>591</v>
      </c>
      <c r="B6" s="234" t="n">
        <f aca="false">Assumptions!B5</f>
        <v>0.06</v>
      </c>
      <c r="C6" s="235" t="n">
        <v>0.06</v>
      </c>
      <c r="D6" s="236" t="n">
        <v>0.04</v>
      </c>
      <c r="E6" s="236" t="n">
        <v>0.08</v>
      </c>
      <c r="F6" s="86" t="s">
        <v>589</v>
      </c>
      <c r="G6" s="73" t="s">
        <v>590</v>
      </c>
      <c r="H6" s="3"/>
      <c r="I6" s="3"/>
    </row>
    <row r="7" customFormat="false" ht="15" hidden="false" customHeight="true" outlineLevel="0" collapsed="false">
      <c r="A7" s="86" t="s">
        <v>592</v>
      </c>
      <c r="B7" s="234" t="n">
        <f aca="false">Assumptions!B6</f>
        <v>0.02</v>
      </c>
      <c r="C7" s="235" t="n">
        <v>0.02</v>
      </c>
      <c r="D7" s="236" t="n">
        <v>0.01</v>
      </c>
      <c r="E7" s="236" t="n">
        <v>0.03</v>
      </c>
      <c r="F7" s="86" t="s">
        <v>589</v>
      </c>
      <c r="G7" s="73" t="s">
        <v>593</v>
      </c>
      <c r="H7" s="3"/>
      <c r="I7" s="3"/>
    </row>
    <row r="8" customFormat="false" ht="15" hidden="false" customHeight="true" outlineLevel="0" collapsed="false">
      <c r="A8" s="86"/>
      <c r="B8" s="234"/>
      <c r="C8" s="235"/>
      <c r="D8" s="236"/>
      <c r="E8" s="236"/>
      <c r="F8" s="86"/>
      <c r="G8" s="73"/>
      <c r="H8" s="3"/>
      <c r="I8" s="3"/>
    </row>
    <row r="9" customFormat="false" ht="15" hidden="false" customHeight="true" outlineLevel="0" collapsed="false">
      <c r="A9" s="86" t="s">
        <v>594</v>
      </c>
      <c r="B9" s="234" t="n">
        <f aca="false">Assumptions!B26</f>
        <v>0.02</v>
      </c>
      <c r="C9" s="235" t="n">
        <v>0.02</v>
      </c>
      <c r="D9" s="236" t="n">
        <v>0</v>
      </c>
      <c r="E9" s="236" t="n">
        <v>0.04</v>
      </c>
      <c r="F9" s="86" t="s">
        <v>589</v>
      </c>
      <c r="G9" s="73" t="s">
        <v>595</v>
      </c>
      <c r="H9" s="3"/>
      <c r="I9" s="3"/>
    </row>
    <row r="10" customFormat="false" ht="15" hidden="false" customHeight="true" outlineLevel="0" collapsed="false">
      <c r="A10" s="86" t="s">
        <v>596</v>
      </c>
      <c r="B10" s="234" t="n">
        <f aca="false">Assumptions!B15</f>
        <v>0.015</v>
      </c>
      <c r="C10" s="235" t="n">
        <v>0.015</v>
      </c>
      <c r="D10" s="236" t="n">
        <v>0.01</v>
      </c>
      <c r="E10" s="236" t="n">
        <v>0.02</v>
      </c>
      <c r="F10" s="86" t="s">
        <v>589</v>
      </c>
      <c r="G10" s="73" t="s">
        <v>597</v>
      </c>
      <c r="H10" s="3"/>
      <c r="I10" s="3"/>
    </row>
    <row r="11" customFormat="false" ht="15" hidden="false" customHeight="true" outlineLevel="0" collapsed="false">
      <c r="A11" s="86" t="s">
        <v>598</v>
      </c>
      <c r="B11" s="234" t="n">
        <f aca="false">Assumptions!B16</f>
        <v>0.0074</v>
      </c>
      <c r="C11" s="235" t="n">
        <v>0.0074</v>
      </c>
      <c r="D11" s="236" t="n">
        <v>0.005</v>
      </c>
      <c r="E11" s="236" t="n">
        <v>0.015</v>
      </c>
      <c r="F11" s="86" t="s">
        <v>589</v>
      </c>
      <c r="G11" s="73" t="s">
        <v>599</v>
      </c>
      <c r="H11" s="3"/>
      <c r="I11" s="3"/>
    </row>
    <row r="12" customFormat="false" ht="15" hidden="false" customHeight="true" outlineLevel="0" collapsed="false">
      <c r="A12" s="86" t="s">
        <v>600</v>
      </c>
      <c r="B12" s="234" t="n">
        <f aca="false">Assumptions!B17</f>
        <v>0.0325</v>
      </c>
      <c r="C12" s="235" t="n">
        <v>0.0325</v>
      </c>
      <c r="D12" s="236" t="n">
        <v>0.02</v>
      </c>
      <c r="E12" s="236" t="n">
        <v>0.05</v>
      </c>
      <c r="F12" s="86" t="s">
        <v>589</v>
      </c>
      <c r="G12" s="73" t="s">
        <v>601</v>
      </c>
      <c r="H12" s="3"/>
      <c r="I12" s="3"/>
    </row>
    <row r="13" customFormat="false" ht="15" hidden="false" customHeight="true" outlineLevel="0" collapsed="false">
      <c r="A13" s="86" t="s">
        <v>602</v>
      </c>
      <c r="B13" s="234" t="n">
        <f aca="false">Assumptions!B34</f>
        <v>0.15</v>
      </c>
      <c r="C13" s="235" t="n">
        <v>0.15</v>
      </c>
      <c r="D13" s="236" t="n">
        <v>0.1</v>
      </c>
      <c r="E13" s="236" t="n">
        <v>0.2</v>
      </c>
      <c r="F13" s="86" t="s">
        <v>589</v>
      </c>
      <c r="G13" s="73" t="s">
        <v>603</v>
      </c>
      <c r="H13" s="3"/>
      <c r="I13" s="3"/>
    </row>
    <row r="14" customFormat="false" ht="15" hidden="false" customHeight="true" outlineLevel="0" collapsed="false">
      <c r="A14" s="86" t="s">
        <v>604</v>
      </c>
      <c r="B14" s="225" t="n">
        <f aca="false">Assumptions!B36</f>
        <v>112000</v>
      </c>
      <c r="C14" s="237" t="n">
        <v>130000</v>
      </c>
      <c r="D14" s="238" t="n">
        <v>100000</v>
      </c>
      <c r="E14" s="238" t="n">
        <v>175000</v>
      </c>
      <c r="F14" s="86" t="s">
        <v>605</v>
      </c>
      <c r="G14" s="73" t="s">
        <v>606</v>
      </c>
      <c r="H14" s="3"/>
      <c r="I14" s="3"/>
    </row>
    <row r="15" customFormat="false" ht="15" hidden="false" customHeight="true" outlineLevel="0" collapsed="false">
      <c r="A15" s="86" t="s">
        <v>607</v>
      </c>
      <c r="B15" s="234" t="n">
        <f aca="false">Assumptions!B58</f>
        <v>0.15</v>
      </c>
      <c r="C15" s="235" t="n">
        <v>0.15</v>
      </c>
      <c r="D15" s="236" t="n">
        <v>0.1</v>
      </c>
      <c r="E15" s="236" t="n">
        <v>0.2</v>
      </c>
      <c r="F15" s="86" t="s">
        <v>589</v>
      </c>
      <c r="G15" s="73" t="s">
        <v>608</v>
      </c>
      <c r="H15" s="3"/>
      <c r="I15" s="3"/>
    </row>
    <row r="16" customFormat="false" ht="15" hidden="false" customHeight="true" outlineLevel="0" collapsed="false">
      <c r="A16" s="86" t="s">
        <v>609</v>
      </c>
      <c r="B16" s="234" t="n">
        <f aca="false">Assumptions!B47</f>
        <v>0.01</v>
      </c>
      <c r="C16" s="235" t="n">
        <v>0.01</v>
      </c>
      <c r="D16" s="236" t="n">
        <v>0.005</v>
      </c>
      <c r="E16" s="236" t="n">
        <v>0.02</v>
      </c>
      <c r="F16" s="86" t="s">
        <v>589</v>
      </c>
      <c r="G16" s="73" t="s">
        <v>610</v>
      </c>
      <c r="H16" s="3"/>
      <c r="I16" s="3"/>
    </row>
    <row r="17" customFormat="false" ht="15" hidden="false" customHeight="true" outlineLevel="0" collapsed="false">
      <c r="A17" s="86" t="s">
        <v>611</v>
      </c>
      <c r="B17" s="234" t="n">
        <f aca="false">Assumptions!B48</f>
        <v>0.03</v>
      </c>
      <c r="C17" s="235" t="n">
        <v>0.03</v>
      </c>
      <c r="D17" s="236" t="n">
        <v>0.02</v>
      </c>
      <c r="E17" s="236" t="n">
        <v>0.05</v>
      </c>
      <c r="F17" s="86" t="s">
        <v>589</v>
      </c>
      <c r="G17" s="73" t="s">
        <v>612</v>
      </c>
      <c r="H17" s="3"/>
      <c r="I17" s="3"/>
    </row>
    <row r="18" customFormat="false" ht="15" hidden="false" customHeight="true" outlineLevel="0" collapsed="false">
      <c r="A18" s="86" t="s">
        <v>613</v>
      </c>
      <c r="B18" s="239" t="n">
        <v>10</v>
      </c>
      <c r="C18" s="240" t="n">
        <v>10</v>
      </c>
      <c r="D18" s="241" t="n">
        <v>5</v>
      </c>
      <c r="E18" s="241" t="n">
        <v>15</v>
      </c>
      <c r="F18" s="86" t="s">
        <v>614</v>
      </c>
      <c r="G18" s="73" t="s">
        <v>615</v>
      </c>
      <c r="H18" s="3"/>
      <c r="I18" s="3"/>
    </row>
    <row r="19" customFormat="false" ht="15" hidden="false" customHeight="true" outlineLevel="0" collapsed="false">
      <c r="A19" s="86" t="s">
        <v>616</v>
      </c>
      <c r="B19" s="242" t="n">
        <v>18700</v>
      </c>
      <c r="C19" s="237" t="n">
        <v>18700</v>
      </c>
      <c r="D19" s="238" t="n">
        <v>15000</v>
      </c>
      <c r="E19" s="238" t="n">
        <v>25000</v>
      </c>
      <c r="F19" s="86" t="s">
        <v>605</v>
      </c>
      <c r="G19" s="73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23" t="s">
        <v>337</v>
      </c>
      <c r="B23" s="23" t="s">
        <v>343</v>
      </c>
      <c r="C23" s="23" t="s">
        <v>619</v>
      </c>
      <c r="D23" s="23" t="s">
        <v>348</v>
      </c>
      <c r="E23" s="23" t="s">
        <v>340</v>
      </c>
      <c r="F23" s="23" t="s">
        <v>620</v>
      </c>
      <c r="G23" s="23" t="s">
        <v>347</v>
      </c>
      <c r="H23" s="3"/>
      <c r="I23" s="3"/>
    </row>
    <row r="24" customFormat="false" ht="15" hidden="false" customHeight="true" outlineLevel="0" collapsed="false">
      <c r="A24" s="86" t="s">
        <v>7</v>
      </c>
      <c r="B24" s="243" t="str">
        <f aca="false">Projects!$G$2</f>
        <v>Yes</v>
      </c>
      <c r="C24" s="242" t="n">
        <v>5321971</v>
      </c>
      <c r="D24" s="86" t="s">
        <v>621</v>
      </c>
      <c r="E24" s="86" t="s">
        <v>622</v>
      </c>
      <c r="F24" s="86" t="s">
        <v>356</v>
      </c>
      <c r="G24" s="86" t="s">
        <v>356</v>
      </c>
      <c r="H24" s="3"/>
      <c r="I24" s="3"/>
    </row>
    <row r="25" customFormat="false" ht="15" hidden="false" customHeight="true" outlineLevel="0" collapsed="false">
      <c r="A25" s="86" t="s">
        <v>8</v>
      </c>
      <c r="B25" s="243" t="str">
        <f aca="false">Projects!$G$3</f>
        <v>Yes</v>
      </c>
      <c r="C25" s="242" t="n">
        <v>19982132</v>
      </c>
      <c r="D25" s="86" t="s">
        <v>621</v>
      </c>
      <c r="E25" s="86" t="s">
        <v>623</v>
      </c>
      <c r="F25" s="86" t="s">
        <v>356</v>
      </c>
      <c r="G25" s="86" t="s">
        <v>356</v>
      </c>
      <c r="H25" s="3"/>
      <c r="I25" s="3"/>
    </row>
    <row r="26" customFormat="false" ht="15" hidden="false" customHeight="true" outlineLevel="0" collapsed="false">
      <c r="A26" s="86" t="s">
        <v>9</v>
      </c>
      <c r="B26" s="243" t="str">
        <f aca="false">Projects!$G$4</f>
        <v>Yes</v>
      </c>
      <c r="C26" s="242" t="n">
        <v>11673185</v>
      </c>
      <c r="D26" s="86" t="s">
        <v>624</v>
      </c>
      <c r="E26" s="86" t="s">
        <v>625</v>
      </c>
      <c r="F26" s="86" t="s">
        <v>356</v>
      </c>
      <c r="G26" s="86" t="s">
        <v>357</v>
      </c>
      <c r="H26" s="3"/>
      <c r="I26" s="3"/>
    </row>
    <row r="27" customFormat="false" ht="15" hidden="false" customHeight="true" outlineLevel="0" collapsed="false">
      <c r="A27" s="86" t="s">
        <v>10</v>
      </c>
      <c r="B27" s="243" t="str">
        <f aca="false">Projects!$G$5</f>
        <v>Yes</v>
      </c>
      <c r="C27" s="242" t="n">
        <v>13492534</v>
      </c>
      <c r="D27" s="86" t="s">
        <v>624</v>
      </c>
      <c r="E27" s="86" t="s">
        <v>625</v>
      </c>
      <c r="F27" s="86" t="s">
        <v>356</v>
      </c>
      <c r="G27" s="86" t="s">
        <v>357</v>
      </c>
      <c r="H27" s="3"/>
      <c r="I27" s="3"/>
    </row>
    <row r="28" customFormat="false" ht="15" hidden="false" customHeight="true" outlineLevel="0" collapsed="false">
      <c r="A28" s="86" t="s">
        <v>11</v>
      </c>
      <c r="B28" s="243" t="str">
        <f aca="false">Projects!$G$6</f>
        <v>Yes</v>
      </c>
      <c r="C28" s="242" t="n">
        <v>4052747</v>
      </c>
      <c r="D28" s="86" t="s">
        <v>624</v>
      </c>
      <c r="E28" s="86" t="s">
        <v>626</v>
      </c>
      <c r="F28" s="86" t="s">
        <v>356</v>
      </c>
      <c r="G28" s="86" t="s">
        <v>357</v>
      </c>
      <c r="H28" s="3"/>
      <c r="I28" s="3"/>
    </row>
    <row r="29" customFormat="false" ht="15" hidden="false" customHeight="true" outlineLevel="0" collapsed="false">
      <c r="A29" s="86" t="s">
        <v>12</v>
      </c>
      <c r="B29" s="243" t="str">
        <f aca="false">Projects!$G$7</f>
        <v>Yes</v>
      </c>
      <c r="C29" s="242" t="n">
        <v>42794765</v>
      </c>
      <c r="D29" s="86" t="s">
        <v>621</v>
      </c>
      <c r="E29" s="86" t="s">
        <v>627</v>
      </c>
      <c r="F29" s="86" t="s">
        <v>357</v>
      </c>
      <c r="G29" s="86" t="s">
        <v>357</v>
      </c>
      <c r="H29" s="3"/>
      <c r="I29" s="3"/>
    </row>
    <row r="30" customFormat="false" ht="15" hidden="false" customHeight="true" outlineLevel="0" collapsed="false">
      <c r="A30" s="86" t="s">
        <v>13</v>
      </c>
      <c r="B30" s="243" t="str">
        <f aca="false">Projects!$G$8</f>
        <v>Yes</v>
      </c>
      <c r="C30" s="242" t="n">
        <v>12993776.05</v>
      </c>
      <c r="D30" s="86" t="s">
        <v>624</v>
      </c>
      <c r="E30" s="86" t="s">
        <v>626</v>
      </c>
      <c r="F30" s="86" t="s">
        <v>356</v>
      </c>
      <c r="G30" s="86" t="s">
        <v>357</v>
      </c>
      <c r="H30" s="3"/>
      <c r="I30" s="3"/>
    </row>
    <row r="31" customFormat="false" ht="15" hidden="false" customHeight="true" outlineLevel="0" collapsed="false">
      <c r="A31" s="86" t="s">
        <v>14</v>
      </c>
      <c r="B31" s="243" t="str">
        <f aca="false">Projects!$G$9</f>
        <v>Yes</v>
      </c>
      <c r="C31" s="242" t="n">
        <v>14337010.8</v>
      </c>
      <c r="D31" s="86" t="s">
        <v>624</v>
      </c>
      <c r="E31" s="86" t="s">
        <v>628</v>
      </c>
      <c r="F31" s="86" t="s">
        <v>356</v>
      </c>
      <c r="G31" s="86" t="s">
        <v>357</v>
      </c>
      <c r="H31" s="3"/>
      <c r="I31" s="3"/>
    </row>
    <row r="32" customFormat="false" ht="15" hidden="false" customHeight="true" outlineLevel="0" collapsed="false">
      <c r="A32" s="86" t="s">
        <v>15</v>
      </c>
      <c r="B32" s="243" t="str">
        <f aca="false">Projects!$G$10</f>
        <v>Yes</v>
      </c>
      <c r="C32" s="242" t="n">
        <v>21263405</v>
      </c>
      <c r="D32" s="86" t="s">
        <v>624</v>
      </c>
      <c r="E32" s="86" t="s">
        <v>626</v>
      </c>
      <c r="F32" s="86" t="s">
        <v>356</v>
      </c>
      <c r="G32" s="86" t="s">
        <v>357</v>
      </c>
      <c r="H32" s="3"/>
      <c r="I32" s="3"/>
    </row>
    <row r="33" customFormat="false" ht="15" hidden="false" customHeight="true" outlineLevel="0" collapsed="false">
      <c r="A33" s="86" t="s">
        <v>16</v>
      </c>
      <c r="B33" s="243" t="str">
        <f aca="false">Projects!$G$11</f>
        <v>No</v>
      </c>
      <c r="C33" s="242" t="n">
        <v>9577109</v>
      </c>
      <c r="D33" s="86" t="s">
        <v>621</v>
      </c>
      <c r="E33" s="86" t="s">
        <v>626</v>
      </c>
      <c r="F33" s="86" t="s">
        <v>357</v>
      </c>
      <c r="G33" s="86" t="s">
        <v>356</v>
      </c>
      <c r="H33" s="3"/>
      <c r="I33" s="3"/>
    </row>
    <row r="34" customFormat="false" ht="15" hidden="false" customHeight="true" outlineLevel="0" collapsed="false">
      <c r="A34" s="86" t="s">
        <v>17</v>
      </c>
      <c r="B34" s="243" t="str">
        <f aca="false">Projects!$G$12</f>
        <v>No</v>
      </c>
      <c r="C34" s="242" t="n">
        <v>7545203</v>
      </c>
      <c r="D34" s="86" t="s">
        <v>621</v>
      </c>
      <c r="E34" s="86" t="s">
        <v>626</v>
      </c>
      <c r="F34" s="86" t="s">
        <v>357</v>
      </c>
      <c r="G34" s="86" t="s">
        <v>356</v>
      </c>
      <c r="H34" s="3"/>
      <c r="I34" s="3"/>
    </row>
    <row r="35" customFormat="false" ht="15" hidden="false" customHeight="true" outlineLevel="0" collapsed="false">
      <c r="A35" s="86" t="s">
        <v>18</v>
      </c>
      <c r="B35" s="243" t="str">
        <f aca="false">Projects!$G$13</f>
        <v>Yes</v>
      </c>
      <c r="C35" s="242" t="n">
        <v>45266770</v>
      </c>
      <c r="D35" s="86" t="s">
        <v>621</v>
      </c>
      <c r="E35" s="86" t="s">
        <v>628</v>
      </c>
      <c r="F35" s="86" t="s">
        <v>357</v>
      </c>
      <c r="G35" s="86" t="s">
        <v>357</v>
      </c>
      <c r="H35" s="3"/>
      <c r="I35" s="3"/>
    </row>
    <row r="36" customFormat="false" ht="15" hidden="false" customHeight="true" outlineLevel="0" collapsed="false">
      <c r="A36" s="86" t="s">
        <v>19</v>
      </c>
      <c r="B36" s="243" t="str">
        <f aca="false">Projects!$G$14</f>
        <v>Yes</v>
      </c>
      <c r="C36" s="242" t="n">
        <v>41354632</v>
      </c>
      <c r="D36" s="86" t="s">
        <v>621</v>
      </c>
      <c r="E36" s="86" t="s">
        <v>628</v>
      </c>
      <c r="F36" s="86" t="s">
        <v>357</v>
      </c>
      <c r="G36" s="86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23" t="s">
        <v>630</v>
      </c>
      <c r="B40" s="244" t="s">
        <v>199</v>
      </c>
      <c r="C40" s="244" t="s">
        <v>200</v>
      </c>
      <c r="D40" s="244" t="s">
        <v>201</v>
      </c>
      <c r="E40" s="244" t="s">
        <v>202</v>
      </c>
      <c r="F40" s="244" t="s">
        <v>203</v>
      </c>
      <c r="G40" s="244" t="s">
        <v>204</v>
      </c>
      <c r="H40" s="244" t="s">
        <v>205</v>
      </c>
      <c r="I40" s="244" t="s">
        <v>206</v>
      </c>
    </row>
    <row r="41" customFormat="false" ht="15" hidden="false" customHeight="true" outlineLevel="0" collapsed="false">
      <c r="A41" s="226" t="s">
        <v>631</v>
      </c>
      <c r="B41" s="227" t="n">
        <f aca="false">'Annual Summary'!B7</f>
        <v>59330490.4522998</v>
      </c>
      <c r="C41" s="227" t="n">
        <f aca="false">'Annual Summary'!C7</f>
        <v>94222993.5154558</v>
      </c>
      <c r="D41" s="227" t="n">
        <f aca="false">'Annual Summary'!D7</f>
        <v>87219886.3188533</v>
      </c>
      <c r="E41" s="227" t="n">
        <f aca="false">'Annual Summary'!E7</f>
        <v>32931050.4945238</v>
      </c>
      <c r="F41" s="227" t="n">
        <f aca="false">'Annual Summary'!F7</f>
        <v>13258749.920152</v>
      </c>
      <c r="G41" s="227" t="n">
        <f aca="false">'Annual Summary'!G7</f>
        <v>0</v>
      </c>
      <c r="H41" s="227" t="n">
        <f aca="false">'Annual Summary'!H7</f>
        <v>0</v>
      </c>
      <c r="I41" s="227" t="n">
        <f aca="false">'Annual Summary'!I7</f>
        <v>0</v>
      </c>
    </row>
    <row r="42" customFormat="false" ht="15" hidden="false" customHeight="true" outlineLevel="0" collapsed="false">
      <c r="A42" s="44" t="s">
        <v>94</v>
      </c>
      <c r="B42" s="245" t="n">
        <f aca="false">'Annual Summary'!B20</f>
        <v>1499344.29571525</v>
      </c>
      <c r="C42" s="245" t="n">
        <f aca="false">'Annual Summary'!C20</f>
        <v>2782001.70956619</v>
      </c>
      <c r="D42" s="245" t="n">
        <f aca="false">'Annual Summary'!D20</f>
        <v>3096045.19053506</v>
      </c>
      <c r="E42" s="245" t="n">
        <f aca="false">'Annual Summary'!E20</f>
        <v>-2240750.96519027</v>
      </c>
      <c r="F42" s="245" t="n">
        <f aca="false">'Annual Summary'!F20</f>
        <v>-4642324.18439543</v>
      </c>
      <c r="G42" s="245" t="n">
        <f aca="false">'Annual Summary'!G20</f>
        <v>-6733106.83918514</v>
      </c>
      <c r="H42" s="245" t="n">
        <f aca="false">'Annual Summary'!H20</f>
        <v>-6842848.97596885</v>
      </c>
      <c r="I42" s="245" t="n">
        <f aca="false">'Annual Summary'!I20</f>
        <v>-6954785.95548822</v>
      </c>
    </row>
    <row r="43" customFormat="false" ht="15" hidden="false" customHeight="true" outlineLevel="0" collapsed="false">
      <c r="A43" s="86" t="s">
        <v>632</v>
      </c>
      <c r="B43" s="234" t="n">
        <f aca="false">'Annual Summary'!B21</f>
        <v>0.0252710585111493</v>
      </c>
      <c r="C43" s="234" t="n">
        <f aca="false">'Annual Summary'!C21</f>
        <v>0.0295257198457598</v>
      </c>
      <c r="D43" s="234" t="n">
        <f aca="false">'Annual Summary'!D21</f>
        <v>0.0354970101567975</v>
      </c>
      <c r="E43" s="234" t="n">
        <f aca="false">'Annual Summary'!E21</f>
        <v>-0.0680437135026376</v>
      </c>
      <c r="F43" s="234" t="n">
        <f aca="false">'Annual Summary'!F21</f>
        <v>-0.350132871677409</v>
      </c>
      <c r="G43" s="234" t="n">
        <f aca="false">'Annual Summary'!G21</f>
        <v>0</v>
      </c>
      <c r="H43" s="234" t="n">
        <f aca="false">'Annual Summary'!H21</f>
        <v>0</v>
      </c>
      <c r="I43" s="234" t="n">
        <f aca="false">'Annual Summary'!I21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26" t="s">
        <v>96</v>
      </c>
      <c r="B45" s="227" t="n">
        <f aca="false">'Annual Summary'!B23</f>
        <v>831574.497142857</v>
      </c>
      <c r="C45" s="227" t="n">
        <f aca="false">'Annual Summary'!C23</f>
        <v>607324.642857143</v>
      </c>
      <c r="D45" s="227" t="n">
        <f aca="false">'Annual Summary'!D23</f>
        <v>122810</v>
      </c>
      <c r="E45" s="227" t="n">
        <f aca="false">'Annual Summary'!E23</f>
        <v>104155</v>
      </c>
      <c r="F45" s="227" t="n">
        <f aca="false">'Annual Summary'!F23</f>
        <v>1276957</v>
      </c>
      <c r="G45" s="227" t="n">
        <f aca="false">'Annual Summary'!G23</f>
        <v>546560</v>
      </c>
      <c r="H45" s="227" t="n">
        <f aca="false">'Annual Summary'!H23</f>
        <v>819993</v>
      </c>
      <c r="I45" s="227" t="n">
        <f aca="false">'Annual Summary'!I23</f>
        <v>2310160</v>
      </c>
    </row>
    <row r="46" customFormat="false" ht="15" hidden="false" customHeight="true" outlineLevel="0" collapsed="false">
      <c r="A46" s="44" t="s">
        <v>133</v>
      </c>
      <c r="B46" s="245" t="n">
        <f aca="false">'Annual Summary'!B25</f>
        <v>-930836.582857143</v>
      </c>
      <c r="C46" s="245" t="n">
        <f aca="false">'Annual Summary'!C25</f>
        <v>-343812.673642857</v>
      </c>
      <c r="D46" s="245" t="n">
        <f aca="false">'Annual Summary'!D25</f>
        <v>-847350.06283</v>
      </c>
      <c r="E46" s="245" t="n">
        <f aca="false">'Annual Summary'!E25</f>
        <v>-1048773.2640866</v>
      </c>
      <c r="F46" s="245" t="n">
        <f aca="false">'Annual Summary'!F25</f>
        <v>-1009354.52936833</v>
      </c>
      <c r="G46" s="245" t="n">
        <f aca="false">'Annual Summary'!G25</f>
        <v>-908529.269955699</v>
      </c>
      <c r="H46" s="245" t="n">
        <f aca="false">'Annual Summary'!H25</f>
        <v>-761610.452354813</v>
      </c>
      <c r="I46" s="245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4" t="s">
        <v>137</v>
      </c>
      <c r="B48" s="245" t="n">
        <f aca="false">'Annual Summary'!B27</f>
        <v>568507.712858112</v>
      </c>
      <c r="C48" s="245" t="n">
        <f aca="false">'Annual Summary'!C27</f>
        <v>2438189.03592333</v>
      </c>
      <c r="D48" s="245" t="n">
        <f aca="false">'Annual Summary'!D27</f>
        <v>2248695.12770506</v>
      </c>
      <c r="E48" s="245" t="n">
        <f aca="false">'Annual Summary'!E27</f>
        <v>-3289524.22927687</v>
      </c>
      <c r="F48" s="245" t="n">
        <f aca="false">'Annual Summary'!F27</f>
        <v>-5651678.71376376</v>
      </c>
      <c r="G48" s="245" t="n">
        <f aca="false">'Annual Summary'!G27</f>
        <v>-7641636.10914084</v>
      </c>
      <c r="H48" s="245" t="n">
        <f aca="false">'Annual Summary'!H27</f>
        <v>-7604459.42832366</v>
      </c>
      <c r="I48" s="245" t="n">
        <f aca="false">'Annual Summary'!I27</f>
        <v>-6522065.03028365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46" t="s">
        <v>191</v>
      </c>
      <c r="B50" s="247" t="n">
        <f aca="false">'Annual Summary'!B49</f>
        <v>1298514.34738203</v>
      </c>
      <c r="C50" s="247" t="n">
        <f aca="false">'Annual Summary'!C49</f>
        <v>1992101.04673248</v>
      </c>
      <c r="D50" s="247" t="n">
        <f aca="false">'Annual Summary'!D49</f>
        <v>3340843.15312053</v>
      </c>
      <c r="E50" s="247" t="n">
        <f aca="false">'Annual Summary'!E49</f>
        <v>1517637.70023604</v>
      </c>
      <c r="F50" s="247" t="n">
        <f aca="false">'Annual Summary'!F49</f>
        <v>-3667994.69456722</v>
      </c>
      <c r="G50" s="247" t="n">
        <f aca="false">'Annual Summary'!G49</f>
        <v>-11300620.7760575</v>
      </c>
      <c r="H50" s="247" t="n">
        <f aca="false">'Annual Summary'!H49</f>
        <v>-18895889.9761776</v>
      </c>
      <c r="I50" s="247" t="n">
        <f aca="false">'Annual Summary'!I49</f>
        <v>-25408580.9736936</v>
      </c>
    </row>
    <row r="51" customFormat="false" ht="15" hidden="false" customHeight="true" outlineLevel="0" collapsed="false">
      <c r="A51" s="246" t="s">
        <v>180</v>
      </c>
      <c r="B51" s="247" t="n">
        <f aca="false">'Annual Summary'!B46</f>
        <v>1440326.78747725</v>
      </c>
      <c r="C51" s="247" t="n">
        <f aca="false">'Annual Summary'!C46</f>
        <v>3954552.57378385</v>
      </c>
      <c r="D51" s="247" t="n">
        <f aca="false">'Annual Summary'!D46</f>
        <v>7087521.32858555</v>
      </c>
      <c r="E51" s="247" t="n">
        <f aca="false">'Annual Summary'!E46</f>
        <v>5861615.96733723</v>
      </c>
      <c r="F51" s="247" t="n">
        <f aca="false">'Annual Summary'!F46</f>
        <v>1526728.08263546</v>
      </c>
      <c r="G51" s="247" t="n">
        <f aca="false">'Annual Summary'!G46</f>
        <v>-5206378.75654968</v>
      </c>
      <c r="H51" s="247" t="n">
        <f aca="false">'Annual Summary'!H46</f>
        <v>-12049227.7325185</v>
      </c>
      <c r="I51" s="247" t="n">
        <f aca="false">'Annual Summary'!I46</f>
        <v>-19004013.6880067</v>
      </c>
    </row>
    <row r="52" customFormat="false" ht="15" hidden="false" customHeight="true" outlineLevel="0" collapsed="false">
      <c r="A52" s="246" t="s">
        <v>187</v>
      </c>
      <c r="B52" s="247" t="n">
        <f aca="false">'Annual Summary'!B47</f>
        <v>-3785.53285714291</v>
      </c>
      <c r="C52" s="247" t="n">
        <f aca="false">'Annual Summary'!C47</f>
        <v>-1691598.2065</v>
      </c>
      <c r="D52" s="247" t="n">
        <f aca="false">'Annual Summary'!D47</f>
        <v>-3440929.6996086</v>
      </c>
      <c r="E52" s="247" t="n">
        <f aca="false">'Annual Summary'!E47</f>
        <v>-4739702.9636952</v>
      </c>
      <c r="F52" s="247" t="n">
        <f aca="false">'Annual Summary'!F47</f>
        <v>-5749057.49306353</v>
      </c>
      <c r="G52" s="247" t="n">
        <f aca="false">'Annual Summary'!G47</f>
        <v>-6657586.76301923</v>
      </c>
      <c r="H52" s="247" t="n">
        <f aca="false">'Annual Summary'!H47</f>
        <v>-7419197.21537404</v>
      </c>
      <c r="I52" s="247" t="n">
        <f aca="false">'Annual Summary'!I47</f>
        <v>-6986476.29016947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86" t="s">
        <v>169</v>
      </c>
      <c r="B54" s="225" t="n">
        <f aca="false">'Annual Summary'!B44</f>
        <v>86032873.6923599</v>
      </c>
      <c r="C54" s="225" t="n">
        <f aca="false">'Annual Summary'!C44</f>
        <v>52993542.7870939</v>
      </c>
      <c r="D54" s="225" t="n">
        <f aca="false">'Annual Summary'!D44</f>
        <v>45500358.0697596</v>
      </c>
      <c r="E54" s="225" t="n">
        <f aca="false">'Annual Summary'!E44</f>
        <v>13258584.501624</v>
      </c>
      <c r="F54" s="225" t="n">
        <f aca="false">'Annual Summary'!F44</f>
        <v>0</v>
      </c>
      <c r="G54" s="225" t="n">
        <f aca="false">'Annual Summary'!G44</f>
        <v>0</v>
      </c>
      <c r="H54" s="225" t="n">
        <f aca="false">'Annual Summary'!H44</f>
        <v>0</v>
      </c>
      <c r="I54" s="225" t="n">
        <f aca="false">'Annual Summary'!I44</f>
        <v>0</v>
      </c>
    </row>
    <row r="55" customFormat="false" ht="15" hidden="false" customHeight="true" outlineLevel="0" collapsed="false">
      <c r="A55" s="86" t="s">
        <v>633</v>
      </c>
      <c r="B55" s="225" t="n">
        <f aca="false">'Annual Summary'!B42</f>
        <v>2378399.92018311</v>
      </c>
      <c r="C55" s="225" t="n">
        <f aca="false">'Annual Summary'!C42</f>
        <v>1714451.09866009</v>
      </c>
      <c r="D55" s="225" t="n">
        <f aca="false">'Annual Summary'!D42</f>
        <v>1035128.51554915</v>
      </c>
      <c r="E55" s="225" t="n">
        <f aca="false">'Annual Summary'!E42</f>
        <v>1199352.08415979</v>
      </c>
      <c r="F55" s="225" t="n">
        <f aca="false">'Annual Summary'!F42</f>
        <v>975331.495449082</v>
      </c>
      <c r="G55" s="225" t="n">
        <f aca="false">'Annual Summary'!G42</f>
        <v>820735.28594806</v>
      </c>
      <c r="H55" s="225" t="n">
        <f aca="false">'Annual Summary'!H42</f>
        <v>621470.381107174</v>
      </c>
      <c r="I55" s="225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3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48" t="s">
        <v>636</v>
      </c>
      <c r="B60" s="249" t="n">
        <v>0.07</v>
      </c>
      <c r="C60" s="249" t="n">
        <v>0.08</v>
      </c>
      <c r="D60" s="249" t="n">
        <v>0.092</v>
      </c>
      <c r="E60" s="249" t="n">
        <v>0.1</v>
      </c>
      <c r="F60" s="249" t="n">
        <v>0.12</v>
      </c>
      <c r="G60" s="3"/>
      <c r="H60" s="3"/>
      <c r="I60" s="3"/>
    </row>
    <row r="61" customFormat="false" ht="15" hidden="false" customHeight="true" outlineLevel="0" collapsed="false">
      <c r="A61" s="250" t="n">
        <v>0.1</v>
      </c>
      <c r="B61" s="238" t="n">
        <v>21535794</v>
      </c>
      <c r="C61" s="238" t="n">
        <v>21353287</v>
      </c>
      <c r="D61" s="238" t="n">
        <v>21138321</v>
      </c>
      <c r="E61" s="238" t="n">
        <v>20997399</v>
      </c>
      <c r="F61" s="238" t="n">
        <v>20653180</v>
      </c>
      <c r="G61" s="3"/>
      <c r="H61" s="3"/>
      <c r="I61" s="3"/>
    </row>
    <row r="62" customFormat="false" ht="15" hidden="false" customHeight="true" outlineLevel="0" collapsed="false">
      <c r="A62" s="250" t="n">
        <v>0.12</v>
      </c>
      <c r="B62" s="238" t="n">
        <v>25408618</v>
      </c>
      <c r="C62" s="238" t="n">
        <v>25196879</v>
      </c>
      <c r="D62" s="238" t="n">
        <v>24947405</v>
      </c>
      <c r="E62" s="238" t="n">
        <v>24783816</v>
      </c>
      <c r="F62" s="238" t="n">
        <v>24384077</v>
      </c>
      <c r="G62" s="3"/>
      <c r="H62" s="3"/>
      <c r="I62" s="3"/>
    </row>
    <row r="63" customFormat="false" ht="15" hidden="false" customHeight="true" outlineLevel="0" collapsed="false">
      <c r="A63" s="250" t="n">
        <v>0.14</v>
      </c>
      <c r="B63" s="238" t="n">
        <v>29153414</v>
      </c>
      <c r="C63" s="238" t="n">
        <v>28914451</v>
      </c>
      <c r="D63" s="251" t="n">
        <v>28632817</v>
      </c>
      <c r="E63" s="238" t="n">
        <v>28448089</v>
      </c>
      <c r="F63" s="238" t="n">
        <v>27996532</v>
      </c>
      <c r="G63" s="3"/>
      <c r="H63" s="3"/>
      <c r="I63" s="3"/>
    </row>
    <row r="64" customFormat="false" ht="15" hidden="false" customHeight="true" outlineLevel="0" collapsed="false">
      <c r="A64" s="250" t="n">
        <v>0.16</v>
      </c>
      <c r="B64" s="238" t="n">
        <v>32776428</v>
      </c>
      <c r="C64" s="238" t="n">
        <v>32512102</v>
      </c>
      <c r="D64" s="238" t="n">
        <v>32200484</v>
      </c>
      <c r="E64" s="238" t="n">
        <v>31996037</v>
      </c>
      <c r="F64" s="238" t="n">
        <v>31496099</v>
      </c>
      <c r="G64" s="3"/>
      <c r="H64" s="3"/>
      <c r="I64" s="3"/>
    </row>
    <row r="65" customFormat="false" ht="15" hidden="false" customHeight="true" outlineLevel="0" collapsed="false">
      <c r="A65" s="250" t="n">
        <v>0.18</v>
      </c>
      <c r="B65" s="238" t="n">
        <v>36283506</v>
      </c>
      <c r="C65" s="238" t="n">
        <v>35995542</v>
      </c>
      <c r="D65" s="238" t="n">
        <v>35655961</v>
      </c>
      <c r="E65" s="238" t="n">
        <v>35433111</v>
      </c>
      <c r="F65" s="238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23" t="s">
        <v>638</v>
      </c>
      <c r="B69" s="23" t="s">
        <v>639</v>
      </c>
      <c r="C69" s="23" t="s">
        <v>640</v>
      </c>
      <c r="D69" s="23" t="s">
        <v>641</v>
      </c>
      <c r="E69" s="23" t="s">
        <v>642</v>
      </c>
      <c r="F69" s="23" t="s">
        <v>643</v>
      </c>
      <c r="G69" s="3"/>
      <c r="H69" s="3"/>
      <c r="I69" s="3"/>
    </row>
    <row r="70" customFormat="false" ht="15" hidden="false" customHeight="true" outlineLevel="0" collapsed="false">
      <c r="A70" s="86" t="s">
        <v>644</v>
      </c>
      <c r="B70" s="242" t="n">
        <f aca="false">'Annual Summary'!B46</f>
        <v>1440326.78747725</v>
      </c>
      <c r="C70" s="238" t="n">
        <f aca="false">'Annual Summary'!C46</f>
        <v>3954552.57378385</v>
      </c>
      <c r="D70" s="238" t="n">
        <f aca="false">'Annual Summary'!E46</f>
        <v>5861615.96733723</v>
      </c>
      <c r="E70" s="238" t="n">
        <f aca="false">'Annual Summary'!G46</f>
        <v>-5206378.75654968</v>
      </c>
      <c r="F70" s="238" t="n">
        <f aca="false">'Annual Summary'!I46</f>
        <v>-19004013.6880067</v>
      </c>
      <c r="G70" s="3"/>
      <c r="H70" s="3"/>
      <c r="I70" s="3"/>
    </row>
    <row r="71" customFormat="false" ht="15" hidden="false" customHeight="true" outlineLevel="0" collapsed="false">
      <c r="A71" s="86" t="s">
        <v>645</v>
      </c>
      <c r="B71" s="242" t="n">
        <f aca="false">'Annual Summary'!B47</f>
        <v>-3785.53285714291</v>
      </c>
      <c r="C71" s="238" t="n">
        <f aca="false">'Annual Summary'!C47</f>
        <v>-1691598.2065</v>
      </c>
      <c r="D71" s="238" t="n">
        <f aca="false">'Annual Summary'!E47</f>
        <v>-4739702.9636952</v>
      </c>
      <c r="E71" s="238" t="n">
        <f aca="false">'Annual Summary'!G47</f>
        <v>-6657586.76301923</v>
      </c>
      <c r="F71" s="238" t="n">
        <f aca="false">'Annual Summary'!I47</f>
        <v>-6986476.29016947</v>
      </c>
      <c r="G71" s="3"/>
      <c r="H71" s="3"/>
      <c r="I71" s="3"/>
    </row>
    <row r="72" customFormat="false" ht="15" hidden="false" customHeight="true" outlineLevel="0" collapsed="false">
      <c r="A72" s="246" t="s">
        <v>646</v>
      </c>
      <c r="B72" s="252" t="n">
        <f aca="false">'Annual Summary'!B49</f>
        <v>1298514.34738203</v>
      </c>
      <c r="C72" s="253" t="n">
        <f aca="false">'Annual Summary'!C49</f>
        <v>1992101.04673248</v>
      </c>
      <c r="D72" s="253" t="n">
        <f aca="false">'Annual Summary'!E49</f>
        <v>1517637.70023604</v>
      </c>
      <c r="E72" s="253" t="n">
        <f aca="false">'Annual Summary'!G49</f>
        <v>-11300620.7760575</v>
      </c>
      <c r="F72" s="253" t="n">
        <f aca="false">'Annual Summary'!I49</f>
        <v>-25408580.9736936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23" t="s">
        <v>337</v>
      </c>
      <c r="B76" s="23" t="s">
        <v>648</v>
      </c>
      <c r="C76" s="23" t="s">
        <v>649</v>
      </c>
      <c r="D76" s="23" t="s">
        <v>650</v>
      </c>
      <c r="E76" s="23" t="s">
        <v>651</v>
      </c>
      <c r="F76" s="23" t="s">
        <v>652</v>
      </c>
      <c r="G76" s="3"/>
      <c r="H76" s="3"/>
      <c r="I76" s="3"/>
    </row>
    <row r="77" customFormat="false" ht="15" hidden="false" customHeight="true" outlineLevel="0" collapsed="false">
      <c r="A77" s="86" t="s">
        <v>16</v>
      </c>
      <c r="B77" s="230" t="n">
        <v>95771</v>
      </c>
      <c r="C77" s="230" t="n">
        <v>60000</v>
      </c>
      <c r="D77" s="230" t="n">
        <v>0</v>
      </c>
      <c r="E77" s="228" t="n">
        <v>155771</v>
      </c>
      <c r="F77" s="73" t="s">
        <v>653</v>
      </c>
      <c r="G77" s="3"/>
      <c r="H77" s="3"/>
      <c r="I77" s="3"/>
    </row>
    <row r="78" customFormat="false" ht="15" hidden="false" customHeight="true" outlineLevel="0" collapsed="false">
      <c r="A78" s="86" t="s">
        <v>17</v>
      </c>
      <c r="B78" s="230" t="n">
        <v>75452</v>
      </c>
      <c r="C78" s="230" t="n">
        <v>60000</v>
      </c>
      <c r="D78" s="230" t="n">
        <v>0</v>
      </c>
      <c r="E78" s="228" t="n">
        <v>135452</v>
      </c>
      <c r="F78" s="73" t="s">
        <v>653</v>
      </c>
      <c r="G78" s="3"/>
      <c r="H78" s="3"/>
      <c r="I78" s="3"/>
    </row>
    <row r="79" customFormat="false" ht="15" hidden="false" customHeight="true" outlineLevel="0" collapsed="false">
      <c r="A79" s="86" t="s">
        <v>12</v>
      </c>
      <c r="B79" s="230" t="n">
        <v>579684</v>
      </c>
      <c r="C79" s="230" t="n">
        <v>150000</v>
      </c>
      <c r="D79" s="230" t="n">
        <v>0</v>
      </c>
      <c r="E79" s="228" t="n">
        <v>729684</v>
      </c>
      <c r="F79" s="73" t="s">
        <v>654</v>
      </c>
      <c r="G79" s="3"/>
      <c r="H79" s="3"/>
      <c r="I79" s="3"/>
    </row>
    <row r="80" customFormat="false" ht="15" hidden="false" customHeight="true" outlineLevel="0" collapsed="false">
      <c r="A80" s="86" t="s">
        <v>18</v>
      </c>
      <c r="B80" s="230" t="n">
        <v>602668</v>
      </c>
      <c r="C80" s="230" t="n">
        <v>150000</v>
      </c>
      <c r="D80" s="230" t="n">
        <v>1450000</v>
      </c>
      <c r="E80" s="228" t="n">
        <v>752668</v>
      </c>
      <c r="F80" s="73" t="s">
        <v>654</v>
      </c>
      <c r="G80" s="3"/>
      <c r="H80" s="3"/>
      <c r="I80" s="3"/>
    </row>
    <row r="81" customFormat="false" ht="15" hidden="false" customHeight="true" outlineLevel="0" collapsed="false">
      <c r="A81" s="86" t="s">
        <v>19</v>
      </c>
      <c r="B81" s="230" t="n">
        <v>563546</v>
      </c>
      <c r="C81" s="230" t="n">
        <v>150000</v>
      </c>
      <c r="D81" s="230" t="n">
        <v>0</v>
      </c>
      <c r="E81" s="228" t="n">
        <v>713546</v>
      </c>
      <c r="F81" s="73" t="s">
        <v>655</v>
      </c>
      <c r="G81" s="3"/>
      <c r="H81" s="3"/>
      <c r="I81" s="3"/>
    </row>
    <row r="82" customFormat="false" ht="15" hidden="false" customHeight="true" outlineLevel="0" collapsed="false">
      <c r="A82" s="226" t="s">
        <v>323</v>
      </c>
      <c r="B82" s="227" t="n">
        <v>1917121</v>
      </c>
      <c r="C82" s="227" t="n">
        <v>570000</v>
      </c>
      <c r="D82" s="227" t="n">
        <v>1450000</v>
      </c>
      <c r="E82" s="227" t="n">
        <v>2487121</v>
      </c>
      <c r="F82" s="226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86" t="s">
        <v>657</v>
      </c>
      <c r="B86" s="242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86" t="s">
        <v>658</v>
      </c>
      <c r="B87" s="254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86" t="s">
        <v>659</v>
      </c>
      <c r="B88" s="235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23"/>
      <c r="B89" s="23" t="s">
        <v>199</v>
      </c>
      <c r="C89" s="23" t="s">
        <v>200</v>
      </c>
      <c r="D89" s="23" t="s">
        <v>201</v>
      </c>
      <c r="E89" s="23" t="s">
        <v>202</v>
      </c>
      <c r="F89" s="23" t="s">
        <v>441</v>
      </c>
      <c r="G89" s="3"/>
      <c r="H89" s="3"/>
      <c r="I89" s="3"/>
    </row>
    <row r="90" customFormat="false" ht="15" hidden="false" customHeight="true" outlineLevel="0" collapsed="false">
      <c r="A90" s="229" t="s">
        <v>660</v>
      </c>
      <c r="B90" s="230" t="n">
        <v>0</v>
      </c>
      <c r="C90" s="230" t="n">
        <v>-956261</v>
      </c>
      <c r="D90" s="230" t="n">
        <v>-1465718</v>
      </c>
      <c r="E90" s="230" t="n">
        <v>-967911</v>
      </c>
      <c r="F90" s="230" t="n">
        <v>-3389890</v>
      </c>
      <c r="G90" s="3"/>
      <c r="H90" s="3"/>
      <c r="I90" s="3"/>
    </row>
    <row r="91" customFormat="false" ht="15" hidden="false" customHeight="true" outlineLevel="0" collapsed="false">
      <c r="A91" s="243" t="s">
        <v>661</v>
      </c>
      <c r="B91" s="225" t="n">
        <v>0</v>
      </c>
      <c r="C91" s="225" t="n">
        <v>-441351</v>
      </c>
      <c r="D91" s="225" t="n">
        <v>-676485</v>
      </c>
      <c r="E91" s="225" t="n">
        <v>-446728</v>
      </c>
      <c r="F91" s="225" t="n">
        <v>-1564564</v>
      </c>
      <c r="G91" s="3"/>
      <c r="H91" s="3"/>
      <c r="I91" s="3"/>
    </row>
    <row r="92" customFormat="false" ht="15" hidden="false" customHeight="true" outlineLevel="0" collapsed="false">
      <c r="A92" s="226" t="s">
        <v>662</v>
      </c>
      <c r="B92" s="227" t="n">
        <v>0</v>
      </c>
      <c r="C92" s="227" t="n">
        <v>514910</v>
      </c>
      <c r="D92" s="227" t="n">
        <v>789233</v>
      </c>
      <c r="E92" s="227" t="n">
        <v>521183</v>
      </c>
      <c r="F92" s="227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3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23"/>
      <c r="B97" s="23" t="s">
        <v>199</v>
      </c>
      <c r="C97" s="23" t="s">
        <v>200</v>
      </c>
      <c r="D97" s="23" t="s">
        <v>201</v>
      </c>
      <c r="E97" s="23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86" t="s">
        <v>665</v>
      </c>
      <c r="B98" s="238" t="n">
        <f aca="false">'Annual Summary'!B44</f>
        <v>86032873.6923599</v>
      </c>
      <c r="C98" s="238" t="n">
        <f aca="false">'Annual Summary'!C44</f>
        <v>52993542.7870939</v>
      </c>
      <c r="D98" s="238" t="n">
        <f aca="false">'Annual Summary'!D44</f>
        <v>45500358.0697596</v>
      </c>
      <c r="E98" s="238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29" t="s">
        <v>666</v>
      </c>
      <c r="B99" s="230" t="n">
        <f aca="false">B98*0.025</f>
        <v>2150821.842309</v>
      </c>
      <c r="C99" s="230" t="n">
        <f aca="false">C98*0.025</f>
        <v>1324838.56967735</v>
      </c>
      <c r="D99" s="230" t="n">
        <f aca="false">D98*0.025</f>
        <v>1137508.95174399</v>
      </c>
      <c r="E99" s="230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86" t="s">
        <v>667</v>
      </c>
      <c r="B100" s="238" t="n">
        <f aca="false">'Annual Summary'!B49</f>
        <v>1298514.34738203</v>
      </c>
      <c r="C100" s="238" t="n">
        <f aca="false">'Annual Summary'!C49</f>
        <v>1992101.04673248</v>
      </c>
      <c r="D100" s="238" t="n">
        <f aca="false">'Annual Summary'!D49</f>
        <v>3340843.15312053</v>
      </c>
      <c r="E100" s="238" t="n">
        <f aca="false">'Annual Summary'!E49</f>
        <v>1517637.70023604</v>
      </c>
      <c r="F100" s="3"/>
      <c r="G100" s="3"/>
      <c r="H100" s="3"/>
      <c r="I100" s="3"/>
    </row>
    <row r="101" customFormat="false" ht="15" hidden="false" customHeight="true" outlineLevel="0" collapsed="false">
      <c r="A101" s="86" t="s">
        <v>668</v>
      </c>
      <c r="B101" s="238" t="n">
        <f aca="false">'Annual Summary'!B20*0.05</f>
        <v>74967.2147857627</v>
      </c>
      <c r="C101" s="238" t="n">
        <f aca="false">'Annual Summary'!C20*0.05</f>
        <v>139100.085478309</v>
      </c>
      <c r="D101" s="238" t="n">
        <f aca="false">'Annual Summary'!D20*0.05</f>
        <v>154802.259526753</v>
      </c>
      <c r="E101" s="238" t="n">
        <f aca="false">'Annual Summary'!E20*0.05</f>
        <v>-112037.548259514</v>
      </c>
      <c r="F101" s="3"/>
      <c r="G101" s="3"/>
      <c r="H101" s="3"/>
      <c r="I101" s="3"/>
    </row>
    <row r="102" customFormat="false" ht="15" hidden="false" customHeight="true" outlineLevel="0" collapsed="false">
      <c r="A102" s="86" t="s">
        <v>669</v>
      </c>
      <c r="B102" s="238" t="n">
        <f aca="false">B100+B101</f>
        <v>1373481.56216779</v>
      </c>
      <c r="C102" s="238" t="n">
        <f aca="false">C100+C101</f>
        <v>2131201.13221079</v>
      </c>
      <c r="D102" s="238" t="n">
        <f aca="false">D100+D101</f>
        <v>3495645.41264728</v>
      </c>
      <c r="E102" s="238" t="n">
        <f aca="false">E100+E101</f>
        <v>1405600.15197653</v>
      </c>
      <c r="F102" s="3"/>
      <c r="G102" s="3"/>
      <c r="H102" s="3"/>
      <c r="I102" s="3"/>
    </row>
    <row r="103" customFormat="false" ht="15" hidden="false" customHeight="true" outlineLevel="0" collapsed="false">
      <c r="A103" s="226" t="s">
        <v>670</v>
      </c>
      <c r="B103" s="227" t="n">
        <f aca="false">B102-B99</f>
        <v>-777340.280141203</v>
      </c>
      <c r="C103" s="227" t="n">
        <f aca="false">C102-C99</f>
        <v>806362.562533445</v>
      </c>
      <c r="D103" s="227" t="n">
        <f aca="false">D102-D99</f>
        <v>2358136.46090329</v>
      </c>
      <c r="E103" s="227" t="n">
        <f aca="false">E102-E99</f>
        <v>1074135.53943593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86" t="s">
        <v>672</v>
      </c>
      <c r="B107" s="242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86" t="s">
        <v>673</v>
      </c>
      <c r="B108" s="254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86" t="s">
        <v>674</v>
      </c>
      <c r="B109" s="228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86" t="s">
        <v>675</v>
      </c>
      <c r="B110" s="255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26" t="s">
        <v>676</v>
      </c>
      <c r="B111" s="227" t="n">
        <v>45539868</v>
      </c>
      <c r="C111" s="226"/>
      <c r="D111" s="226"/>
      <c r="E111" s="226"/>
      <c r="F111" s="226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2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23"/>
      <c r="B114" s="23" t="s">
        <v>200</v>
      </c>
      <c r="C114" s="23" t="s">
        <v>201</v>
      </c>
      <c r="D114" s="23" t="s">
        <v>202</v>
      </c>
      <c r="E114" s="23" t="s">
        <v>203</v>
      </c>
      <c r="F114" s="23" t="s">
        <v>441</v>
      </c>
      <c r="G114" s="3"/>
      <c r="H114" s="3"/>
      <c r="I114" s="3"/>
    </row>
    <row r="115" customFormat="false" ht="15" hidden="false" customHeight="true" outlineLevel="0" collapsed="false">
      <c r="A115" s="86" t="s">
        <v>678</v>
      </c>
      <c r="B115" s="238" t="n">
        <v>0</v>
      </c>
      <c r="C115" s="238" t="n">
        <v>1896887</v>
      </c>
      <c r="D115" s="238" t="n">
        <v>1379554</v>
      </c>
      <c r="E115" s="238" t="n">
        <v>172444</v>
      </c>
      <c r="F115" s="228" t="n">
        <v>3448885</v>
      </c>
      <c r="G115" s="3"/>
      <c r="H115" s="3"/>
      <c r="I115" s="3"/>
    </row>
    <row r="116" customFormat="false" ht="15" hidden="false" customHeight="true" outlineLevel="0" collapsed="false">
      <c r="A116" s="86" t="s">
        <v>679</v>
      </c>
      <c r="B116" s="238" t="n">
        <v>0</v>
      </c>
      <c r="C116" s="238" t="n">
        <v>603555</v>
      </c>
      <c r="D116" s="238" t="n">
        <v>948444</v>
      </c>
      <c r="E116" s="238" t="n">
        <v>172444</v>
      </c>
      <c r="F116" s="228" t="n">
        <v>1724443</v>
      </c>
      <c r="G116" s="3"/>
      <c r="H116" s="3"/>
      <c r="I116" s="3"/>
    </row>
    <row r="117" customFormat="false" ht="15" hidden="false" customHeight="true" outlineLevel="0" collapsed="false">
      <c r="A117" s="226" t="s">
        <v>680</v>
      </c>
      <c r="B117" s="227" t="n">
        <v>0</v>
      </c>
      <c r="C117" s="227" t="n">
        <v>2500442</v>
      </c>
      <c r="D117" s="227" t="n">
        <v>2327998</v>
      </c>
      <c r="E117" s="227" t="n">
        <v>344888</v>
      </c>
      <c r="F117" s="227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3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3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23"/>
      <c r="B124" s="23" t="s">
        <v>684</v>
      </c>
      <c r="C124" s="23" t="s">
        <v>685</v>
      </c>
      <c r="D124" s="23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86" t="s">
        <v>686</v>
      </c>
      <c r="B125" s="242" t="n">
        <v>1450000</v>
      </c>
      <c r="C125" s="256" t="s">
        <v>687</v>
      </c>
      <c r="D125" s="73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86" t="s">
        <v>689</v>
      </c>
      <c r="B126" s="230" t="n">
        <v>-1450000</v>
      </c>
      <c r="C126" s="256" t="s">
        <v>690</v>
      </c>
      <c r="D126" s="73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86" t="s">
        <v>692</v>
      </c>
      <c r="B127" s="3"/>
      <c r="C127" s="256" t="s">
        <v>693</v>
      </c>
      <c r="D127" s="73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26" t="s">
        <v>695</v>
      </c>
      <c r="B128" s="227" t="n">
        <v>0</v>
      </c>
      <c r="C128" s="226" t="s">
        <v>696</v>
      </c>
      <c r="D128" s="226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86" t="s">
        <v>698</v>
      </c>
      <c r="B130" s="257" t="n">
        <v>362885</v>
      </c>
      <c r="C130" s="256" t="s">
        <v>699</v>
      </c>
      <c r="D130" s="73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26" t="s">
        <v>701</v>
      </c>
      <c r="B131" s="227" t="n">
        <v>1812885</v>
      </c>
      <c r="C131" s="226" t="s">
        <v>702</v>
      </c>
      <c r="D131" s="226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2" t="s">
        <v>704</v>
      </c>
      <c r="C1" s="52" t="s">
        <v>705</v>
      </c>
      <c r="D1" s="52" t="s">
        <v>706</v>
      </c>
      <c r="E1" s="52" t="s">
        <v>707</v>
      </c>
      <c r="F1" s="52" t="s">
        <v>708</v>
      </c>
      <c r="G1" s="52" t="s">
        <v>709</v>
      </c>
      <c r="H1" s="52" t="s">
        <v>710</v>
      </c>
      <c r="I1" s="52" t="s">
        <v>711</v>
      </c>
      <c r="J1" s="52" t="s">
        <v>712</v>
      </c>
      <c r="K1" s="52" t="s">
        <v>713</v>
      </c>
      <c r="L1" s="52" t="s">
        <v>498</v>
      </c>
      <c r="M1" s="52" t="s">
        <v>714</v>
      </c>
      <c r="N1" s="52" t="s">
        <v>715</v>
      </c>
      <c r="O1" s="52" t="s">
        <v>500</v>
      </c>
      <c r="P1" s="52" t="s">
        <v>716</v>
      </c>
      <c r="Q1" s="52" t="s">
        <v>717</v>
      </c>
      <c r="R1" s="52" t="s">
        <v>718</v>
      </c>
      <c r="S1" s="52" t="s">
        <v>719</v>
      </c>
      <c r="T1" s="52" t="s">
        <v>502</v>
      </c>
      <c r="U1" s="52" t="s">
        <v>720</v>
      </c>
      <c r="V1" s="52" t="s">
        <v>721</v>
      </c>
      <c r="W1" s="52" t="s">
        <v>722</v>
      </c>
      <c r="X1" s="52" t="s">
        <v>723</v>
      </c>
      <c r="Y1" s="52" t="s">
        <v>724</v>
      </c>
      <c r="Z1" s="52" t="s">
        <v>725</v>
      </c>
      <c r="AA1" s="52" t="s">
        <v>726</v>
      </c>
      <c r="AB1" s="52" t="s">
        <v>504</v>
      </c>
      <c r="AC1" s="52" t="s">
        <v>727</v>
      </c>
      <c r="AD1" s="52" t="s">
        <v>728</v>
      </c>
      <c r="AE1" s="52" t="s">
        <v>729</v>
      </c>
      <c r="AF1" s="52" t="s">
        <v>730</v>
      </c>
      <c r="AG1" s="52" t="s">
        <v>731</v>
      </c>
      <c r="AH1" s="52" t="s">
        <v>732</v>
      </c>
      <c r="AI1" s="52" t="s">
        <v>733</v>
      </c>
      <c r="AJ1" s="52" t="s">
        <v>734</v>
      </c>
      <c r="AK1" s="52" t="s">
        <v>735</v>
      </c>
      <c r="AL1" s="52" t="s">
        <v>736</v>
      </c>
      <c r="AM1" s="52" t="s">
        <v>737</v>
      </c>
      <c r="AN1" s="52" t="s">
        <v>738</v>
      </c>
      <c r="AO1" s="52" t="s">
        <v>739</v>
      </c>
    </row>
    <row r="2" customFormat="false" ht="15" hidden="false" customHeight="true" outlineLevel="0" collapsed="false">
      <c r="A2" s="162" t="s">
        <v>740</v>
      </c>
      <c r="B2" s="258" t="n">
        <v>0.016101</v>
      </c>
      <c r="C2" s="258" t="n">
        <v>0.018518</v>
      </c>
      <c r="D2" s="258" t="n">
        <v>0.021087</v>
      </c>
      <c r="E2" s="258" t="n">
        <v>0.023773</v>
      </c>
      <c r="F2" s="258" t="n">
        <v>0.026535</v>
      </c>
      <c r="G2" s="258" t="n">
        <v>0.029323</v>
      </c>
      <c r="H2" s="258" t="n">
        <v>0.032082</v>
      </c>
      <c r="I2" s="258" t="n">
        <v>0.034752</v>
      </c>
      <c r="J2" s="258" t="n">
        <v>0.037269</v>
      </c>
      <c r="K2" s="258" t="n">
        <v>0.039572</v>
      </c>
      <c r="L2" s="258" t="n">
        <v>0.041599</v>
      </c>
      <c r="M2" s="258" t="n">
        <v>0.043295</v>
      </c>
      <c r="N2" s="258" t="n">
        <v>0.044613</v>
      </c>
      <c r="O2" s="258" t="n">
        <v>0.045513</v>
      </c>
      <c r="P2" s="258" t="n">
        <v>0.04597</v>
      </c>
      <c r="Q2" s="258" t="n">
        <v>0.04597</v>
      </c>
      <c r="R2" s="258" t="n">
        <v>0.045513</v>
      </c>
      <c r="S2" s="258" t="n">
        <v>0.044613</v>
      </c>
      <c r="T2" s="258" t="n">
        <v>0.043295</v>
      </c>
      <c r="U2" s="258" t="n">
        <v>0.041599</v>
      </c>
      <c r="V2" s="258" t="n">
        <v>0.039572</v>
      </c>
      <c r="W2" s="258" t="n">
        <v>0.037269</v>
      </c>
      <c r="X2" s="258" t="n">
        <v>0.034752</v>
      </c>
      <c r="Y2" s="258" t="n">
        <v>0.032082</v>
      </c>
      <c r="Z2" s="258" t="n">
        <v>0.029323</v>
      </c>
      <c r="AA2" s="258" t="n">
        <v>0.026535</v>
      </c>
      <c r="AB2" s="258" t="n">
        <v>0.023773</v>
      </c>
      <c r="AC2" s="258" t="n">
        <v>0.021087</v>
      </c>
      <c r="AD2" s="258" t="n">
        <v>0.018518</v>
      </c>
      <c r="AE2" s="258" t="n">
        <v>0.016101</v>
      </c>
    </row>
    <row r="3" customFormat="false" ht="15" hidden="false" customHeight="true" outlineLevel="0" collapsed="false">
      <c r="A3" s="162" t="s">
        <v>741</v>
      </c>
      <c r="B3" s="258" t="n">
        <v>0.020497</v>
      </c>
      <c r="C3" s="258" t="n">
        <v>0.024336</v>
      </c>
      <c r="D3" s="258" t="n">
        <v>0.028445</v>
      </c>
      <c r="E3" s="258" t="n">
        <v>0.032735</v>
      </c>
      <c r="F3" s="258" t="n">
        <v>0.037087</v>
      </c>
      <c r="G3" s="258" t="n">
        <v>0.041368</v>
      </c>
      <c r="H3" s="258" t="n">
        <v>0.045428</v>
      </c>
      <c r="I3" s="258" t="n">
        <v>0.049114</v>
      </c>
      <c r="J3" s="258" t="n">
        <v>0.052278</v>
      </c>
      <c r="K3" s="258" t="n">
        <v>0.054783</v>
      </c>
      <c r="L3" s="258" t="n">
        <v>0.05652</v>
      </c>
      <c r="M3" s="258" t="n">
        <v>0.057409</v>
      </c>
      <c r="N3" s="258" t="n">
        <v>0.057409</v>
      </c>
      <c r="O3" s="258" t="n">
        <v>0.05652</v>
      </c>
      <c r="P3" s="258" t="n">
        <v>0.054783</v>
      </c>
      <c r="Q3" s="258" t="n">
        <v>0.052278</v>
      </c>
      <c r="R3" s="258" t="n">
        <v>0.049114</v>
      </c>
      <c r="S3" s="258" t="n">
        <v>0.045428</v>
      </c>
      <c r="T3" s="258" t="n">
        <v>0.041368</v>
      </c>
      <c r="U3" s="258" t="n">
        <v>0.037087</v>
      </c>
      <c r="V3" s="258" t="n">
        <v>0.032735</v>
      </c>
      <c r="W3" s="258" t="n">
        <v>0.028445</v>
      </c>
      <c r="X3" s="258" t="n">
        <v>0.024336</v>
      </c>
      <c r="Y3" s="258" t="n">
        <v>0.020497</v>
      </c>
    </row>
    <row r="4" customFormat="false" ht="15" hidden="false" customHeight="true" outlineLevel="0" collapsed="false">
      <c r="A4" s="162" t="s">
        <v>742</v>
      </c>
      <c r="B4" s="258" t="n">
        <v>0.026517</v>
      </c>
      <c r="C4" s="258" t="n">
        <v>0.032761</v>
      </c>
      <c r="D4" s="258" t="n">
        <v>0.039482</v>
      </c>
      <c r="E4" s="258" t="n">
        <v>0.046412</v>
      </c>
      <c r="F4" s="258" t="n">
        <v>0.053218</v>
      </c>
      <c r="G4" s="258" t="n">
        <v>0.059522</v>
      </c>
      <c r="H4" s="258" t="n">
        <v>0.064937</v>
      </c>
      <c r="I4" s="258" t="n">
        <v>0.069104</v>
      </c>
      <c r="J4" s="258" t="n">
        <v>0.071732</v>
      </c>
      <c r="K4" s="258" t="n">
        <v>0.07263</v>
      </c>
      <c r="L4" s="258" t="n">
        <v>0.071732</v>
      </c>
      <c r="M4" s="258" t="n">
        <v>0.069104</v>
      </c>
      <c r="N4" s="258" t="n">
        <v>0.064937</v>
      </c>
      <c r="O4" s="258" t="n">
        <v>0.059522</v>
      </c>
      <c r="P4" s="258" t="n">
        <v>0.053218</v>
      </c>
      <c r="Q4" s="258" t="n">
        <v>0.046412</v>
      </c>
      <c r="R4" s="258" t="n">
        <v>0.039482</v>
      </c>
      <c r="S4" s="258" t="n">
        <v>0.032761</v>
      </c>
      <c r="T4" s="258" t="n">
        <v>0.026517</v>
      </c>
    </row>
    <row r="5" customFormat="false" ht="15" hidden="false" customHeight="true" outlineLevel="0" collapsed="false">
      <c r="A5" s="259" t="s">
        <v>743</v>
      </c>
    </row>
    <row r="6" customFormat="false" ht="15" hidden="false" customHeight="true" outlineLevel="0" collapsed="false">
      <c r="A6" s="162" t="s">
        <v>7</v>
      </c>
      <c r="B6" s="258" t="n">
        <v>0.176029532991649</v>
      </c>
      <c r="C6" s="258" t="n">
        <v>0.162818536970001</v>
      </c>
      <c r="D6" s="258" t="n">
        <v>0.148267087201176</v>
      </c>
      <c r="E6" s="258" t="n">
        <v>0.1329235511272</v>
      </c>
      <c r="F6" s="258" t="n">
        <v>0.117325543887316</v>
      </c>
      <c r="G6" s="258" t="n">
        <v>0.101949750904986</v>
      </c>
      <c r="H6" s="258" t="n">
        <v>0.0872226801906742</v>
      </c>
      <c r="I6" s="258" t="n">
        <v>0.073463316726999</v>
      </c>
    </row>
    <row r="7" customFormat="false" ht="15" hidden="false" customHeight="true" outlineLevel="0" collapsed="false">
      <c r="A7" s="162" t="s">
        <v>8</v>
      </c>
      <c r="B7" s="258" t="n">
        <v>0.0725086339616361</v>
      </c>
      <c r="C7" s="258" t="n">
        <v>0.0759830233429035</v>
      </c>
      <c r="D7" s="258" t="n">
        <v>0.0783922107102734</v>
      </c>
      <c r="E7" s="258" t="n">
        <v>0.0796252375206314</v>
      </c>
      <c r="F7" s="258" t="n">
        <v>0.0796252375206314</v>
      </c>
      <c r="G7" s="258" t="n">
        <v>0.0783922107102734</v>
      </c>
      <c r="H7" s="258" t="n">
        <v>0.0759830233429035</v>
      </c>
      <c r="I7" s="258" t="n">
        <v>0.0725086339616361</v>
      </c>
      <c r="J7" s="258" t="n">
        <v>0.0681202235814644</v>
      </c>
      <c r="K7" s="258" t="n">
        <v>0.0630078087074717</v>
      </c>
      <c r="L7" s="258" t="n">
        <v>0.0573766626444195</v>
      </c>
      <c r="M7" s="258" t="n">
        <v>0.051438993606014</v>
      </c>
      <c r="N7" s="258" t="n">
        <v>0.0454028488605945</v>
      </c>
      <c r="O7" s="258" t="n">
        <v>0.0394526969860886</v>
      </c>
      <c r="P7" s="258" t="n">
        <v>0.0337535888153789</v>
      </c>
      <c r="Q7" s="258" t="n">
        <v>0.02842896572768</v>
      </c>
    </row>
    <row r="8" customFormat="false" ht="15" hidden="false" customHeight="true" outlineLevel="0" collapsed="false">
      <c r="A8" s="162" t="s">
        <v>9</v>
      </c>
      <c r="B8" s="258" t="n">
        <v>0.0622557988273664</v>
      </c>
      <c r="C8" s="258" t="n">
        <v>0.0696303817844058</v>
      </c>
      <c r="D8" s="258" t="n">
        <v>0.0759649894481697</v>
      </c>
      <c r="E8" s="258" t="n">
        <v>0.0808396542930274</v>
      </c>
      <c r="F8" s="258" t="n">
        <v>0.0839139569597627</v>
      </c>
      <c r="G8" s="258" t="n">
        <v>0.0849644606868282</v>
      </c>
      <c r="H8" s="258" t="n">
        <v>0.0839139569597627</v>
      </c>
      <c r="I8" s="258" t="n">
        <v>0.0808396542930274</v>
      </c>
      <c r="J8" s="258" t="n">
        <v>0.0759649894481697</v>
      </c>
      <c r="K8" s="258" t="n">
        <v>0.0696303817844058</v>
      </c>
      <c r="L8" s="258" t="n">
        <v>0.0622557988273664</v>
      </c>
      <c r="M8" s="258" t="n">
        <v>0.0542939632300299</v>
      </c>
      <c r="N8" s="258" t="n">
        <v>0.0461870692115841</v>
      </c>
      <c r="O8" s="258" t="n">
        <v>0.038324668822266</v>
      </c>
      <c r="P8" s="258" t="n">
        <v>0.031020275423828</v>
      </c>
    </row>
    <row r="9" customFormat="false" ht="15" hidden="false" customHeight="true" outlineLevel="0" collapsed="false">
      <c r="A9" s="162" t="s">
        <v>10</v>
      </c>
      <c r="B9" s="258" t="n">
        <v>0.0622557988273664</v>
      </c>
      <c r="C9" s="258" t="n">
        <v>0.0696303817844058</v>
      </c>
      <c r="D9" s="258" t="n">
        <v>0.0759649894481697</v>
      </c>
      <c r="E9" s="258" t="n">
        <v>0.0808396542930274</v>
      </c>
      <c r="F9" s="258" t="n">
        <v>0.0839139569597627</v>
      </c>
      <c r="G9" s="258" t="n">
        <v>0.0849644606868282</v>
      </c>
      <c r="H9" s="258" t="n">
        <v>0.0839139569597627</v>
      </c>
      <c r="I9" s="258" t="n">
        <v>0.0808396542930274</v>
      </c>
      <c r="J9" s="258" t="n">
        <v>0.0759649894481697</v>
      </c>
      <c r="K9" s="258" t="n">
        <v>0.0696303817844058</v>
      </c>
      <c r="L9" s="258" t="n">
        <v>0.0622557988273664</v>
      </c>
      <c r="M9" s="258" t="n">
        <v>0.0542939632300299</v>
      </c>
      <c r="N9" s="258" t="n">
        <v>0.0461870692115841</v>
      </c>
      <c r="O9" s="258" t="n">
        <v>0.038324668822266</v>
      </c>
      <c r="P9" s="25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60" t="s">
        <v>744</v>
      </c>
      <c r="B1" s="260"/>
      <c r="C1" s="260"/>
      <c r="D1" s="260"/>
    </row>
    <row r="3" customFormat="false" ht="15" hidden="false" customHeight="true" outlineLevel="0" collapsed="false">
      <c r="A3" s="23" t="s">
        <v>745</v>
      </c>
      <c r="B3" s="23"/>
      <c r="C3" s="23"/>
      <c r="D3" s="23"/>
    </row>
    <row r="4" customFormat="false" ht="15" hidden="false" customHeight="true" outlineLevel="0" collapsed="false">
      <c r="A4" s="162" t="s">
        <v>746</v>
      </c>
      <c r="B4" s="258" t="n">
        <v>0.06</v>
      </c>
    </row>
    <row r="5" customFormat="false" ht="15" hidden="false" customHeight="true" outlineLevel="0" collapsed="false">
      <c r="A5" s="162" t="s">
        <v>591</v>
      </c>
      <c r="B5" s="258" t="n">
        <v>0.06</v>
      </c>
    </row>
    <row r="6" customFormat="false" ht="15" hidden="false" customHeight="true" outlineLevel="0" collapsed="false">
      <c r="A6" s="162" t="s">
        <v>747</v>
      </c>
      <c r="B6" s="258" t="n">
        <v>0.02</v>
      </c>
    </row>
    <row r="7" customFormat="false" ht="15" hidden="false" customHeight="true" outlineLevel="0" collapsed="false">
      <c r="A7" s="162" t="s">
        <v>748</v>
      </c>
      <c r="B7" s="165" t="n">
        <f aca="false">B4+B5+B6</f>
        <v>0.14</v>
      </c>
    </row>
    <row r="8" customFormat="false" ht="15" hidden="false" customHeight="true" outlineLevel="0" collapsed="false">
      <c r="A8" s="162"/>
      <c r="B8" s="258"/>
    </row>
    <row r="9" customFormat="false" ht="15" hidden="false" customHeight="true" outlineLevel="0" collapsed="false">
      <c r="A9" s="162" t="s">
        <v>749</v>
      </c>
      <c r="B9" s="165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62" t="s">
        <v>751</v>
      </c>
      <c r="B10" s="165" t="n">
        <v>0.051596</v>
      </c>
    </row>
    <row r="11" customFormat="false" ht="15" hidden="false" customHeight="true" outlineLevel="0" collapsed="false">
      <c r="A11" s="162" t="s">
        <v>752</v>
      </c>
      <c r="B11" s="165" t="n">
        <v>0.051596</v>
      </c>
    </row>
    <row r="12" customFormat="false" ht="15" hidden="false" customHeight="true" outlineLevel="0" collapsed="false">
      <c r="A12" s="162" t="s">
        <v>753</v>
      </c>
      <c r="B12" s="165" t="n">
        <v>0.017199</v>
      </c>
    </row>
    <row r="14" customFormat="false" ht="15" hidden="false" customHeight="true" outlineLevel="0" collapsed="false">
      <c r="A14" s="23" t="s">
        <v>754</v>
      </c>
      <c r="B14" s="23"/>
      <c r="C14" s="23"/>
      <c r="D14" s="23"/>
    </row>
    <row r="15" customFormat="false" ht="15" hidden="false" customHeight="true" outlineLevel="0" collapsed="false">
      <c r="A15" s="162" t="s">
        <v>596</v>
      </c>
      <c r="B15" s="258" t="n">
        <v>0.015</v>
      </c>
    </row>
    <row r="16" customFormat="false" ht="15" hidden="false" customHeight="true" outlineLevel="0" collapsed="false">
      <c r="A16" s="162" t="s">
        <v>598</v>
      </c>
      <c r="B16" s="258" t="n">
        <v>0.0074</v>
      </c>
    </row>
    <row r="17" customFormat="false" ht="15" hidden="false" customHeight="true" outlineLevel="0" collapsed="false">
      <c r="A17" s="162" t="s">
        <v>600</v>
      </c>
      <c r="B17" s="258" t="n">
        <v>0.0325</v>
      </c>
    </row>
    <row r="18" customFormat="false" ht="15" hidden="false" customHeight="false" outlineLevel="0" collapsed="false">
      <c r="A18" s="0" t="s">
        <v>755</v>
      </c>
      <c r="B18" s="261" t="n">
        <f aca="false">103966/14337010.8</f>
        <v>0.00725158134079107</v>
      </c>
      <c r="C18" s="0" t="s">
        <v>756</v>
      </c>
      <c r="D18" s="262" t="n">
        <v>697090.78</v>
      </c>
    </row>
    <row r="19" customFormat="false" ht="15" hidden="false" customHeight="true" outlineLevel="0" collapsed="false">
      <c r="A19" s="23" t="s">
        <v>757</v>
      </c>
      <c r="B19" s="23"/>
      <c r="C19" s="23"/>
      <c r="D19" s="23"/>
    </row>
    <row r="20" customFormat="false" ht="15" hidden="false" customHeight="true" outlineLevel="0" collapsed="false">
      <c r="A20" s="162" t="s">
        <v>758</v>
      </c>
      <c r="B20" s="258" t="n">
        <v>0.07</v>
      </c>
    </row>
    <row r="21" customFormat="false" ht="15" hidden="false" customHeight="true" outlineLevel="0" collapsed="false">
      <c r="A21" s="162" t="s">
        <v>759</v>
      </c>
      <c r="B21" s="258" t="n">
        <v>0.005</v>
      </c>
    </row>
    <row r="22" customFormat="false" ht="15" hidden="false" customHeight="true" outlineLevel="0" collapsed="false">
      <c r="A22" s="162" t="s">
        <v>760</v>
      </c>
      <c r="B22" s="258" t="n">
        <v>0.05</v>
      </c>
    </row>
    <row r="23" customFormat="false" ht="15" hidden="false" customHeight="true" outlineLevel="0" collapsed="false">
      <c r="A23" s="162" t="s">
        <v>761</v>
      </c>
      <c r="B23" s="258" t="n">
        <v>0.02</v>
      </c>
    </row>
    <row r="25" customFormat="false" ht="15" hidden="false" customHeight="true" outlineLevel="0" collapsed="false">
      <c r="A25" s="23" t="s">
        <v>762</v>
      </c>
      <c r="B25" s="23"/>
      <c r="C25" s="23"/>
      <c r="D25" s="23"/>
    </row>
    <row r="26" customFormat="false" ht="15" hidden="false" customHeight="true" outlineLevel="0" collapsed="false">
      <c r="A26" s="162" t="s">
        <v>763</v>
      </c>
      <c r="B26" s="235" t="n">
        <v>0.02</v>
      </c>
    </row>
    <row r="28" customFormat="false" ht="15" hidden="false" customHeight="true" outlineLevel="0" collapsed="false">
      <c r="A28" s="23" t="s">
        <v>764</v>
      </c>
      <c r="B28" s="23"/>
      <c r="C28" s="23"/>
      <c r="D28" s="23"/>
    </row>
    <row r="29" customFormat="false" ht="15" hidden="false" customHeight="true" outlineLevel="0" collapsed="false">
      <c r="A29" s="162" t="s">
        <v>765</v>
      </c>
      <c r="B29" s="237" t="n">
        <v>306139</v>
      </c>
    </row>
    <row r="30" customFormat="false" ht="15" hidden="false" customHeight="true" outlineLevel="0" collapsed="false">
      <c r="A30" s="162" t="s">
        <v>766</v>
      </c>
      <c r="B30" s="237" t="n">
        <f aca="false">665368-500000</f>
        <v>165368</v>
      </c>
    </row>
    <row r="32" customFormat="false" ht="15" hidden="false" customHeight="true" outlineLevel="0" collapsed="false">
      <c r="A32" s="23" t="s">
        <v>767</v>
      </c>
      <c r="B32" s="23"/>
      <c r="C32" s="23"/>
      <c r="D32" s="23"/>
    </row>
    <row r="33" customFormat="false" ht="15" hidden="false" customHeight="true" outlineLevel="0" collapsed="false">
      <c r="A33" s="162" t="s">
        <v>768</v>
      </c>
      <c r="B33" s="237" t="n">
        <v>1615485</v>
      </c>
    </row>
    <row r="34" customFormat="false" ht="15" hidden="false" customHeight="true" outlineLevel="0" collapsed="false">
      <c r="A34" s="162" t="s">
        <v>769</v>
      </c>
      <c r="B34" s="258" t="n">
        <v>0.15</v>
      </c>
    </row>
    <row r="35" customFormat="false" ht="15" hidden="false" customHeight="true" outlineLevel="0" collapsed="false">
      <c r="A35" s="162" t="s">
        <v>770</v>
      </c>
      <c r="B35" s="165" t="n">
        <f aca="false">B34/4</f>
        <v>0.0375</v>
      </c>
    </row>
    <row r="36" customFormat="false" ht="15" hidden="false" customHeight="true" outlineLevel="0" collapsed="false">
      <c r="A36" s="162" t="s">
        <v>771</v>
      </c>
      <c r="B36" s="237" t="n">
        <v>112000</v>
      </c>
    </row>
    <row r="37" customFormat="false" ht="15" hidden="false" customHeight="true" outlineLevel="0" collapsed="false">
      <c r="A37" s="162" t="s">
        <v>772</v>
      </c>
      <c r="B37" s="263" t="n">
        <v>10</v>
      </c>
    </row>
    <row r="38" customFormat="false" ht="15" hidden="false" customHeight="true" outlineLevel="0" collapsed="false">
      <c r="A38" s="264" t="s">
        <v>773</v>
      </c>
    </row>
    <row r="40" customFormat="false" ht="15" hidden="false" customHeight="true" outlineLevel="0" collapsed="false">
      <c r="A40" s="23" t="s">
        <v>774</v>
      </c>
      <c r="B40" s="23"/>
      <c r="C40" s="23"/>
      <c r="D40" s="23"/>
    </row>
    <row r="41" customFormat="false" ht="15" hidden="false" customHeight="true" outlineLevel="0" collapsed="false">
      <c r="A41" s="162" t="s">
        <v>775</v>
      </c>
      <c r="B41" s="237" t="n">
        <v>1000000</v>
      </c>
    </row>
    <row r="42" customFormat="false" ht="15" hidden="false" customHeight="true" outlineLevel="0" collapsed="false">
      <c r="A42" s="162" t="s">
        <v>776</v>
      </c>
      <c r="B42" s="265" t="n">
        <f aca="false">B41*0.25</f>
        <v>250000</v>
      </c>
    </row>
    <row r="43" customFormat="false" ht="15" hidden="false" customHeight="true" outlineLevel="0" collapsed="false">
      <c r="A43" s="162" t="s">
        <v>777</v>
      </c>
      <c r="B43" s="237" t="n">
        <v>1000000</v>
      </c>
    </row>
    <row r="44" customFormat="false" ht="15" hidden="false" customHeight="true" outlineLevel="0" collapsed="false">
      <c r="A44" s="264" t="s">
        <v>778</v>
      </c>
    </row>
    <row r="46" customFormat="false" ht="15" hidden="false" customHeight="true" outlineLevel="0" collapsed="false">
      <c r="A46" s="23" t="s">
        <v>779</v>
      </c>
      <c r="B46" s="23"/>
      <c r="C46" s="23"/>
      <c r="D46" s="23"/>
    </row>
    <row r="47" customFormat="false" ht="15" hidden="false" customHeight="true" outlineLevel="0" collapsed="false">
      <c r="A47" s="162" t="s">
        <v>780</v>
      </c>
      <c r="B47" s="258" t="n">
        <v>0.01</v>
      </c>
    </row>
    <row r="48" customFormat="false" ht="15" hidden="false" customHeight="true" outlineLevel="0" collapsed="false">
      <c r="A48" s="162" t="s">
        <v>781</v>
      </c>
      <c r="B48" s="258" t="n">
        <v>0.03</v>
      </c>
    </row>
    <row r="50" customFormat="false" ht="15" hidden="false" customHeight="true" outlineLevel="0" collapsed="false">
      <c r="A50" s="23" t="s">
        <v>782</v>
      </c>
      <c r="B50" s="23"/>
      <c r="C50" s="266"/>
      <c r="D50" s="23"/>
    </row>
    <row r="51" customFormat="false" ht="15" hidden="false" customHeight="true" outlineLevel="0" collapsed="false">
      <c r="A51" s="162" t="s">
        <v>16</v>
      </c>
      <c r="B51" s="237" t="n">
        <v>2000000</v>
      </c>
    </row>
    <row r="52" customFormat="false" ht="15" hidden="false" customHeight="true" outlineLevel="0" collapsed="false">
      <c r="A52" s="162" t="s">
        <v>17</v>
      </c>
      <c r="B52" s="237" t="n">
        <v>2000000</v>
      </c>
    </row>
    <row r="53" customFormat="false" ht="15" hidden="false" customHeight="true" outlineLevel="0" collapsed="false">
      <c r="A53" s="162" t="s">
        <v>12</v>
      </c>
      <c r="B53" s="237" t="n">
        <v>5000000</v>
      </c>
      <c r="C53" s="127"/>
    </row>
    <row r="54" customFormat="false" ht="15" hidden="false" customHeight="true" outlineLevel="0" collapsed="false">
      <c r="A54" s="162" t="s">
        <v>18</v>
      </c>
      <c r="B54" s="237" t="n">
        <v>5000000</v>
      </c>
      <c r="C54" s="127"/>
    </row>
    <row r="55" customFormat="false" ht="15" hidden="false" customHeight="true" outlineLevel="0" collapsed="false">
      <c r="A55" s="162" t="s">
        <v>19</v>
      </c>
      <c r="B55" s="237" t="n">
        <v>5000000</v>
      </c>
      <c r="C55" s="127"/>
    </row>
    <row r="57" customFormat="false" ht="15" hidden="false" customHeight="true" outlineLevel="0" collapsed="false">
      <c r="A57" s="23" t="s">
        <v>783</v>
      </c>
      <c r="B57" s="23"/>
      <c r="C57" s="23"/>
      <c r="D57" s="23"/>
    </row>
    <row r="58" customFormat="false" ht="15" hidden="false" customHeight="true" outlineLevel="0" collapsed="false">
      <c r="A58" s="162" t="s">
        <v>784</v>
      </c>
      <c r="B58" s="258" t="n">
        <v>0.15</v>
      </c>
    </row>
    <row r="59" customFormat="false" ht="15" hidden="false" customHeight="true" outlineLevel="0" collapsed="false">
      <c r="A59" s="162" t="s">
        <v>785</v>
      </c>
      <c r="B59" s="165" t="n">
        <f aca="false">B58/4</f>
        <v>0.0375</v>
      </c>
    </row>
    <row r="60" customFormat="false" ht="15" hidden="false" customHeight="true" outlineLevel="0" collapsed="false">
      <c r="A60" s="162" t="s">
        <v>786</v>
      </c>
      <c r="B60" s="237" t="n">
        <v>0</v>
      </c>
    </row>
    <row r="61" customFormat="false" ht="15" hidden="false" customHeight="true" outlineLevel="0" collapsed="false">
      <c r="A61" s="162" t="s">
        <v>787</v>
      </c>
      <c r="B61" s="237" t="n">
        <v>0</v>
      </c>
    </row>
    <row r="62" customFormat="false" ht="15" hidden="false" customHeight="true" outlineLevel="0" collapsed="false">
      <c r="A62" s="162" t="s">
        <v>788</v>
      </c>
      <c r="B62" s="237" t="n">
        <v>1784000</v>
      </c>
    </row>
    <row r="63" customFormat="false" ht="15" hidden="false" customHeight="true" outlineLevel="0" collapsed="false">
      <c r="A63" s="162" t="s">
        <v>789</v>
      </c>
      <c r="B63" s="237" t="n">
        <v>1766181</v>
      </c>
    </row>
    <row r="64" customFormat="false" ht="15" hidden="false" customHeight="true" outlineLevel="0" collapsed="false">
      <c r="A64" s="264" t="s">
        <v>790</v>
      </c>
    </row>
    <row r="66" customFormat="false" ht="15" hidden="false" customHeight="true" outlineLevel="0" collapsed="false">
      <c r="A66" s="105" t="s">
        <v>97</v>
      </c>
    </row>
    <row r="67" customFormat="false" ht="15" hidden="false" customHeight="true" outlineLevel="0" collapsed="false">
      <c r="A67" s="127" t="s">
        <v>791</v>
      </c>
      <c r="B67" s="267" t="n">
        <v>833.33</v>
      </c>
    </row>
    <row r="68" customFormat="false" ht="15" hidden="false" customHeight="true" outlineLevel="0" collapsed="false">
      <c r="A68" s="127" t="s">
        <v>792</v>
      </c>
      <c r="B68" s="127" t="n">
        <v>5</v>
      </c>
    </row>
    <row r="70" customFormat="false" ht="15" hidden="false" customHeight="true" outlineLevel="0" collapsed="false">
      <c r="A70" s="268" t="s">
        <v>793</v>
      </c>
      <c r="B70" s="268"/>
    </row>
    <row r="71" customFormat="false" ht="15" hidden="false" customHeight="true" outlineLevel="0" collapsed="false">
      <c r="A71" s="269" t="s">
        <v>794</v>
      </c>
      <c r="B71" s="270" t="n">
        <v>1134000</v>
      </c>
    </row>
    <row r="72" customFormat="false" ht="15" hidden="false" customHeight="true" outlineLevel="0" collapsed="false">
      <c r="A72" s="271" t="s">
        <v>795</v>
      </c>
      <c r="B72" s="272" t="n">
        <v>50000</v>
      </c>
    </row>
    <row r="73" customFormat="false" ht="15" hidden="false" customHeight="true" outlineLevel="0" collapsed="false">
      <c r="A73" s="269" t="s">
        <v>796</v>
      </c>
      <c r="B73" s="273" t="n">
        <v>14</v>
      </c>
    </row>
    <row r="74" customFormat="false" ht="15" hidden="false" customHeight="true" outlineLevel="0" collapsed="false">
      <c r="A74" s="271" t="s">
        <v>165</v>
      </c>
      <c r="B74" s="272" t="n">
        <v>-1450000</v>
      </c>
    </row>
    <row r="75" customFormat="false" ht="15" hidden="false" customHeight="true" outlineLevel="0" collapsed="false">
      <c r="A75" s="269" t="s">
        <v>797</v>
      </c>
      <c r="B75" s="270" t="n">
        <v>264927.15</v>
      </c>
    </row>
    <row r="76" customFormat="false" ht="15" hidden="false" customHeight="true" outlineLevel="0" collapsed="false">
      <c r="A76" s="271" t="s">
        <v>798</v>
      </c>
      <c r="B76" s="272" t="n">
        <v>883090.5</v>
      </c>
    </row>
    <row r="77" customFormat="false" ht="15" hidden="false" customHeight="true" outlineLevel="0" collapsed="false">
      <c r="A77" s="269" t="s">
        <v>160</v>
      </c>
      <c r="B77" s="270" t="n">
        <v>-1800000</v>
      </c>
    </row>
    <row r="79" customFormat="false" ht="19.5" hidden="false" customHeight="true" outlineLevel="0" collapsed="false">
      <c r="A79" s="274" t="s">
        <v>799</v>
      </c>
    </row>
    <row r="80" customFormat="false" ht="15" hidden="false" customHeight="true" outlineLevel="0" collapsed="false">
      <c r="A80" s="275" t="s">
        <v>800</v>
      </c>
      <c r="B80" s="276" t="n">
        <v>1</v>
      </c>
    </row>
    <row r="82" customFormat="false" ht="27.75" hidden="false" customHeight="true" outlineLevel="0" collapsed="false">
      <c r="A82" s="132" t="s">
        <v>801</v>
      </c>
      <c r="B82" s="132" t="s">
        <v>802</v>
      </c>
      <c r="C82" s="132" t="s">
        <v>803</v>
      </c>
    </row>
    <row r="83" customFormat="false" ht="15" hidden="false" customHeight="true" outlineLevel="0" collapsed="false">
      <c r="A83" s="277" t="s">
        <v>804</v>
      </c>
      <c r="B83" s="278" t="n">
        <v>0</v>
      </c>
      <c r="C83" s="279" t="n">
        <v>0.25</v>
      </c>
    </row>
    <row r="84" customFormat="false" ht="15" hidden="false" customHeight="true" outlineLevel="0" collapsed="false">
      <c r="A84" s="277" t="s">
        <v>805</v>
      </c>
      <c r="B84" s="278" t="n">
        <v>20000000</v>
      </c>
      <c r="C84" s="279" t="n">
        <v>0.5</v>
      </c>
    </row>
    <row r="85" customFormat="false" ht="15" hidden="false" customHeight="true" outlineLevel="0" collapsed="false">
      <c r="A85" s="277" t="s">
        <v>806</v>
      </c>
      <c r="B85" s="278" t="n">
        <v>40000000</v>
      </c>
      <c r="C85" s="279" t="n">
        <v>0.75</v>
      </c>
    </row>
    <row r="86" customFormat="false" ht="15" hidden="false" customHeight="true" outlineLevel="0" collapsed="false">
      <c r="A86" s="277" t="s">
        <v>807</v>
      </c>
      <c r="B86" s="278" t="n">
        <v>60000000</v>
      </c>
      <c r="C86" s="279" t="n">
        <v>1</v>
      </c>
    </row>
    <row r="88" customFormat="false" ht="15" hidden="false" customHeight="true" outlineLevel="0" collapsed="false">
      <c r="A88" s="102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75" t="n">
        <v>1</v>
      </c>
      <c r="B2" s="280" t="n">
        <f aca="false">(1+Assumptions!$B$26)^INT((A2-1)/12)</f>
        <v>1</v>
      </c>
    </row>
    <row r="3" customFormat="false" ht="15" hidden="false" customHeight="true" outlineLevel="0" collapsed="false">
      <c r="A3" s="275" t="n">
        <v>2</v>
      </c>
      <c r="B3" s="280" t="n">
        <f aca="false">(1+Assumptions!$B$26)^INT((A3-1)/12)</f>
        <v>1</v>
      </c>
    </row>
    <row r="4" customFormat="false" ht="15" hidden="false" customHeight="true" outlineLevel="0" collapsed="false">
      <c r="A4" s="275" t="n">
        <v>3</v>
      </c>
      <c r="B4" s="280" t="n">
        <f aca="false">(1+Assumptions!$B$26)^INT((A4-1)/12)</f>
        <v>1</v>
      </c>
    </row>
    <row r="5" customFormat="false" ht="15" hidden="false" customHeight="true" outlineLevel="0" collapsed="false">
      <c r="A5" s="275" t="n">
        <v>4</v>
      </c>
      <c r="B5" s="280" t="n">
        <f aca="false">(1+Assumptions!$B$26)^INT((A5-1)/12)</f>
        <v>1</v>
      </c>
    </row>
    <row r="6" customFormat="false" ht="15" hidden="false" customHeight="true" outlineLevel="0" collapsed="false">
      <c r="A6" s="275" t="n">
        <v>5</v>
      </c>
      <c r="B6" s="280" t="n">
        <f aca="false">(1+Assumptions!$B$26)^INT((A6-1)/12)</f>
        <v>1</v>
      </c>
    </row>
    <row r="7" customFormat="false" ht="15" hidden="false" customHeight="true" outlineLevel="0" collapsed="false">
      <c r="A7" s="275" t="n">
        <v>6</v>
      </c>
      <c r="B7" s="280" t="n">
        <f aca="false">(1+Assumptions!$B$26)^INT((A7-1)/12)</f>
        <v>1</v>
      </c>
    </row>
    <row r="8" customFormat="false" ht="15" hidden="false" customHeight="true" outlineLevel="0" collapsed="false">
      <c r="A8" s="275" t="n">
        <v>7</v>
      </c>
      <c r="B8" s="280" t="n">
        <f aca="false">(1+Assumptions!$B$26)^INT((A8-1)/12)</f>
        <v>1</v>
      </c>
    </row>
    <row r="9" customFormat="false" ht="15" hidden="false" customHeight="true" outlineLevel="0" collapsed="false">
      <c r="A9" s="275" t="n">
        <v>8</v>
      </c>
      <c r="B9" s="280" t="n">
        <f aca="false">(1+Assumptions!$B$26)^INT((A9-1)/12)</f>
        <v>1</v>
      </c>
    </row>
    <row r="10" customFormat="false" ht="15" hidden="false" customHeight="true" outlineLevel="0" collapsed="false">
      <c r="A10" s="275" t="n">
        <v>9</v>
      </c>
      <c r="B10" s="280" t="n">
        <f aca="false">(1+Assumptions!$B$26)^INT((A10-1)/12)</f>
        <v>1</v>
      </c>
    </row>
    <row r="11" customFormat="false" ht="15" hidden="false" customHeight="true" outlineLevel="0" collapsed="false">
      <c r="A11" s="275" t="n">
        <v>10</v>
      </c>
      <c r="B11" s="280" t="n">
        <f aca="false">(1+Assumptions!$B$26)^INT((A11-1)/12)</f>
        <v>1</v>
      </c>
    </row>
    <row r="12" customFormat="false" ht="15" hidden="false" customHeight="true" outlineLevel="0" collapsed="false">
      <c r="A12" s="275" t="n">
        <v>11</v>
      </c>
      <c r="B12" s="280" t="n">
        <f aca="false">(1+Assumptions!$B$26)^INT((A12-1)/12)</f>
        <v>1</v>
      </c>
    </row>
    <row r="13" customFormat="false" ht="15" hidden="false" customHeight="true" outlineLevel="0" collapsed="false">
      <c r="A13" s="275" t="n">
        <v>12</v>
      </c>
      <c r="B13" s="280" t="n">
        <f aca="false">(1+Assumptions!$B$26)^INT((A13-1)/12)</f>
        <v>1</v>
      </c>
    </row>
    <row r="14" customFormat="false" ht="15" hidden="false" customHeight="true" outlineLevel="0" collapsed="false">
      <c r="A14" s="275" t="n">
        <v>13</v>
      </c>
      <c r="B14" s="280" t="n">
        <f aca="false">(1+Assumptions!$B$26)^INT((A14-1)/12)</f>
        <v>1.02</v>
      </c>
    </row>
    <row r="15" customFormat="false" ht="15" hidden="false" customHeight="true" outlineLevel="0" collapsed="false">
      <c r="A15" s="275" t="n">
        <v>14</v>
      </c>
      <c r="B15" s="280" t="n">
        <f aca="false">(1+Assumptions!$B$26)^INT((A15-1)/12)</f>
        <v>1.02</v>
      </c>
    </row>
    <row r="16" customFormat="false" ht="15" hidden="false" customHeight="true" outlineLevel="0" collapsed="false">
      <c r="A16" s="275" t="n">
        <v>15</v>
      </c>
      <c r="B16" s="280" t="n">
        <f aca="false">(1+Assumptions!$B$26)^INT((A16-1)/12)</f>
        <v>1.02</v>
      </c>
    </row>
    <row r="17" customFormat="false" ht="15" hidden="false" customHeight="true" outlineLevel="0" collapsed="false">
      <c r="A17" s="275" t="n">
        <v>16</v>
      </c>
      <c r="B17" s="280" t="n">
        <f aca="false">(1+Assumptions!$B$26)^INT((A17-1)/12)</f>
        <v>1.02</v>
      </c>
    </row>
    <row r="18" customFormat="false" ht="15" hidden="false" customHeight="true" outlineLevel="0" collapsed="false">
      <c r="A18" s="275" t="n">
        <v>17</v>
      </c>
      <c r="B18" s="280" t="n">
        <f aca="false">(1+Assumptions!$B$26)^INT((A18-1)/12)</f>
        <v>1.02</v>
      </c>
    </row>
    <row r="19" customFormat="false" ht="15" hidden="false" customHeight="true" outlineLevel="0" collapsed="false">
      <c r="A19" s="275" t="n">
        <v>18</v>
      </c>
      <c r="B19" s="280" t="n">
        <f aca="false">(1+Assumptions!$B$26)^INT((A19-1)/12)</f>
        <v>1.02</v>
      </c>
    </row>
    <row r="20" customFormat="false" ht="15" hidden="false" customHeight="true" outlineLevel="0" collapsed="false">
      <c r="A20" s="275" t="n">
        <v>19</v>
      </c>
      <c r="B20" s="280" t="n">
        <f aca="false">(1+Assumptions!$B$26)^INT((A20-1)/12)</f>
        <v>1.02</v>
      </c>
    </row>
    <row r="21" customFormat="false" ht="15" hidden="false" customHeight="true" outlineLevel="0" collapsed="false">
      <c r="A21" s="275" t="n">
        <v>20</v>
      </c>
      <c r="B21" s="280" t="n">
        <f aca="false">(1+Assumptions!$B$26)^INT((A21-1)/12)</f>
        <v>1.02</v>
      </c>
    </row>
    <row r="22" customFormat="false" ht="15" hidden="false" customHeight="true" outlineLevel="0" collapsed="false">
      <c r="A22" s="275" t="n">
        <v>21</v>
      </c>
      <c r="B22" s="280" t="n">
        <f aca="false">(1+Assumptions!$B$26)^INT((A22-1)/12)</f>
        <v>1.02</v>
      </c>
    </row>
    <row r="23" customFormat="false" ht="15" hidden="false" customHeight="true" outlineLevel="0" collapsed="false">
      <c r="A23" s="275" t="n">
        <v>22</v>
      </c>
      <c r="B23" s="280" t="n">
        <f aca="false">(1+Assumptions!$B$26)^INT((A23-1)/12)</f>
        <v>1.02</v>
      </c>
    </row>
    <row r="24" customFormat="false" ht="15" hidden="false" customHeight="true" outlineLevel="0" collapsed="false">
      <c r="A24" s="275" t="n">
        <v>23</v>
      </c>
      <c r="B24" s="280" t="n">
        <f aca="false">(1+Assumptions!$B$26)^INT((A24-1)/12)</f>
        <v>1.02</v>
      </c>
    </row>
    <row r="25" customFormat="false" ht="15" hidden="false" customHeight="true" outlineLevel="0" collapsed="false">
      <c r="A25" s="275" t="n">
        <v>24</v>
      </c>
      <c r="B25" s="280" t="n">
        <f aca="false">(1+Assumptions!$B$26)^INT((A25-1)/12)</f>
        <v>1.02</v>
      </c>
    </row>
    <row r="26" customFormat="false" ht="15" hidden="false" customHeight="true" outlineLevel="0" collapsed="false">
      <c r="A26" s="275" t="n">
        <v>25</v>
      </c>
      <c r="B26" s="280" t="n">
        <f aca="false">(1+Assumptions!$B$26)^INT((A26-1)/12)</f>
        <v>1.0404</v>
      </c>
    </row>
    <row r="27" customFormat="false" ht="15" hidden="false" customHeight="true" outlineLevel="0" collapsed="false">
      <c r="A27" s="275" t="n">
        <v>26</v>
      </c>
      <c r="B27" s="280" t="n">
        <f aca="false">(1+Assumptions!$B$26)^INT((A27-1)/12)</f>
        <v>1.0404</v>
      </c>
    </row>
    <row r="28" customFormat="false" ht="15" hidden="false" customHeight="true" outlineLevel="0" collapsed="false">
      <c r="A28" s="275" t="n">
        <v>27</v>
      </c>
      <c r="B28" s="280" t="n">
        <f aca="false">(1+Assumptions!$B$26)^INT((A28-1)/12)</f>
        <v>1.0404</v>
      </c>
    </row>
    <row r="29" customFormat="false" ht="15" hidden="false" customHeight="true" outlineLevel="0" collapsed="false">
      <c r="A29" s="275" t="n">
        <v>28</v>
      </c>
      <c r="B29" s="280" t="n">
        <f aca="false">(1+Assumptions!$B$26)^INT((A29-1)/12)</f>
        <v>1.0404</v>
      </c>
    </row>
    <row r="30" customFormat="false" ht="15" hidden="false" customHeight="true" outlineLevel="0" collapsed="false">
      <c r="A30" s="275" t="n">
        <v>29</v>
      </c>
      <c r="B30" s="280" t="n">
        <f aca="false">(1+Assumptions!$B$26)^INT((A30-1)/12)</f>
        <v>1.0404</v>
      </c>
    </row>
    <row r="31" customFormat="false" ht="15" hidden="false" customHeight="true" outlineLevel="0" collapsed="false">
      <c r="A31" s="275" t="n">
        <v>30</v>
      </c>
      <c r="B31" s="280" t="n">
        <f aca="false">(1+Assumptions!$B$26)^INT((A31-1)/12)</f>
        <v>1.0404</v>
      </c>
    </row>
    <row r="32" customFormat="false" ht="15" hidden="false" customHeight="true" outlineLevel="0" collapsed="false">
      <c r="A32" s="275" t="n">
        <v>31</v>
      </c>
      <c r="B32" s="280" t="n">
        <f aca="false">(1+Assumptions!$B$26)^INT((A32-1)/12)</f>
        <v>1.0404</v>
      </c>
    </row>
    <row r="33" customFormat="false" ht="15" hidden="false" customHeight="true" outlineLevel="0" collapsed="false">
      <c r="A33" s="275" t="n">
        <v>32</v>
      </c>
      <c r="B33" s="280" t="n">
        <f aca="false">(1+Assumptions!$B$26)^INT((A33-1)/12)</f>
        <v>1.0404</v>
      </c>
    </row>
    <row r="34" customFormat="false" ht="15" hidden="false" customHeight="true" outlineLevel="0" collapsed="false">
      <c r="A34" s="275" t="n">
        <v>33</v>
      </c>
      <c r="B34" s="280" t="n">
        <f aca="false">(1+Assumptions!$B$26)^INT((A34-1)/12)</f>
        <v>1.0404</v>
      </c>
    </row>
    <row r="35" customFormat="false" ht="15" hidden="false" customHeight="true" outlineLevel="0" collapsed="false">
      <c r="A35" s="275" t="n">
        <v>34</v>
      </c>
      <c r="B35" s="280" t="n">
        <f aca="false">(1+Assumptions!$B$26)^INT((A35-1)/12)</f>
        <v>1.0404</v>
      </c>
    </row>
    <row r="36" customFormat="false" ht="15" hidden="false" customHeight="true" outlineLevel="0" collapsed="false">
      <c r="A36" s="275" t="n">
        <v>35</v>
      </c>
      <c r="B36" s="280" t="n">
        <f aca="false">(1+Assumptions!$B$26)^INT((A36-1)/12)</f>
        <v>1.0404</v>
      </c>
    </row>
    <row r="37" customFormat="false" ht="15" hidden="false" customHeight="true" outlineLevel="0" collapsed="false">
      <c r="A37" s="275" t="n">
        <v>36</v>
      </c>
      <c r="B37" s="280" t="n">
        <f aca="false">(1+Assumptions!$B$26)^INT((A37-1)/12)</f>
        <v>1.0404</v>
      </c>
    </row>
    <row r="38" customFormat="false" ht="15" hidden="false" customHeight="true" outlineLevel="0" collapsed="false">
      <c r="A38" s="275" t="n">
        <v>37</v>
      </c>
      <c r="B38" s="280" t="n">
        <f aca="false">(1+Assumptions!$B$26)^INT((A38-1)/12)</f>
        <v>1.061208</v>
      </c>
    </row>
    <row r="39" customFormat="false" ht="15" hidden="false" customHeight="true" outlineLevel="0" collapsed="false">
      <c r="A39" s="275" t="n">
        <v>38</v>
      </c>
      <c r="B39" s="280" t="n">
        <f aca="false">(1+Assumptions!$B$26)^INT((A39-1)/12)</f>
        <v>1.061208</v>
      </c>
    </row>
    <row r="40" customFormat="false" ht="15" hidden="false" customHeight="true" outlineLevel="0" collapsed="false">
      <c r="A40" s="275" t="n">
        <v>39</v>
      </c>
      <c r="B40" s="280" t="n">
        <f aca="false">(1+Assumptions!$B$26)^INT((A40-1)/12)</f>
        <v>1.061208</v>
      </c>
    </row>
    <row r="41" customFormat="false" ht="15" hidden="false" customHeight="true" outlineLevel="0" collapsed="false">
      <c r="A41" s="275" t="n">
        <v>40</v>
      </c>
      <c r="B41" s="280" t="n">
        <f aca="false">(1+Assumptions!$B$26)^INT((A41-1)/12)</f>
        <v>1.061208</v>
      </c>
    </row>
    <row r="42" customFormat="false" ht="15" hidden="false" customHeight="true" outlineLevel="0" collapsed="false">
      <c r="A42" s="275" t="n">
        <v>41</v>
      </c>
      <c r="B42" s="280" t="n">
        <f aca="false">(1+Assumptions!$B$26)^INT((A42-1)/12)</f>
        <v>1.061208</v>
      </c>
    </row>
    <row r="43" customFormat="false" ht="15" hidden="false" customHeight="true" outlineLevel="0" collapsed="false">
      <c r="A43" s="275" t="n">
        <v>42</v>
      </c>
      <c r="B43" s="280" t="n">
        <f aca="false">(1+Assumptions!$B$26)^INT((A43-1)/12)</f>
        <v>1.061208</v>
      </c>
    </row>
    <row r="44" customFormat="false" ht="15" hidden="false" customHeight="true" outlineLevel="0" collapsed="false">
      <c r="A44" s="275" t="n">
        <v>43</v>
      </c>
      <c r="B44" s="280" t="n">
        <f aca="false">(1+Assumptions!$B$26)^INT((A44-1)/12)</f>
        <v>1.061208</v>
      </c>
    </row>
    <row r="45" customFormat="false" ht="15" hidden="false" customHeight="true" outlineLevel="0" collapsed="false">
      <c r="A45" s="275" t="n">
        <v>44</v>
      </c>
      <c r="B45" s="280" t="n">
        <f aca="false">(1+Assumptions!$B$26)^INT((A45-1)/12)</f>
        <v>1.061208</v>
      </c>
    </row>
    <row r="46" customFormat="false" ht="15" hidden="false" customHeight="true" outlineLevel="0" collapsed="false">
      <c r="A46" s="275" t="n">
        <v>45</v>
      </c>
      <c r="B46" s="280" t="n">
        <f aca="false">(1+Assumptions!$B$26)^INT((A46-1)/12)</f>
        <v>1.061208</v>
      </c>
    </row>
    <row r="47" customFormat="false" ht="15" hidden="false" customHeight="true" outlineLevel="0" collapsed="false">
      <c r="A47" s="275" t="n">
        <v>46</v>
      </c>
      <c r="B47" s="280" t="n">
        <f aca="false">(1+Assumptions!$B$26)^INT((A47-1)/12)</f>
        <v>1.061208</v>
      </c>
    </row>
    <row r="48" customFormat="false" ht="15" hidden="false" customHeight="true" outlineLevel="0" collapsed="false">
      <c r="A48" s="275" t="n">
        <v>47</v>
      </c>
      <c r="B48" s="280" t="n">
        <f aca="false">(1+Assumptions!$B$26)^INT((A48-1)/12)</f>
        <v>1.061208</v>
      </c>
    </row>
    <row r="49" customFormat="false" ht="15" hidden="false" customHeight="true" outlineLevel="0" collapsed="false">
      <c r="A49" s="275" t="n">
        <v>48</v>
      </c>
      <c r="B49" s="280" t="n">
        <f aca="false">(1+Assumptions!$B$26)^INT((A49-1)/12)</f>
        <v>1.061208</v>
      </c>
    </row>
    <row r="50" customFormat="false" ht="15" hidden="false" customHeight="true" outlineLevel="0" collapsed="false">
      <c r="A50" s="275" t="n">
        <v>49</v>
      </c>
      <c r="B50" s="280" t="n">
        <f aca="false">(1+Assumptions!$B$26)^INT((A50-1)/12)</f>
        <v>1.08243216</v>
      </c>
    </row>
    <row r="51" customFormat="false" ht="15" hidden="false" customHeight="true" outlineLevel="0" collapsed="false">
      <c r="A51" s="275" t="n">
        <v>50</v>
      </c>
      <c r="B51" s="280" t="n">
        <f aca="false">(1+Assumptions!$B$26)^INT((A51-1)/12)</f>
        <v>1.08243216</v>
      </c>
    </row>
    <row r="52" customFormat="false" ht="15" hidden="false" customHeight="true" outlineLevel="0" collapsed="false">
      <c r="A52" s="275" t="n">
        <v>51</v>
      </c>
      <c r="B52" s="280" t="n">
        <f aca="false">(1+Assumptions!$B$26)^INT((A52-1)/12)</f>
        <v>1.08243216</v>
      </c>
    </row>
    <row r="53" customFormat="false" ht="15" hidden="false" customHeight="true" outlineLevel="0" collapsed="false">
      <c r="A53" s="275" t="n">
        <v>52</v>
      </c>
      <c r="B53" s="280" t="n">
        <f aca="false">(1+Assumptions!$B$26)^INT((A53-1)/12)</f>
        <v>1.08243216</v>
      </c>
    </row>
    <row r="54" customFormat="false" ht="15" hidden="false" customHeight="true" outlineLevel="0" collapsed="false">
      <c r="A54" s="275" t="n">
        <v>53</v>
      </c>
      <c r="B54" s="280" t="n">
        <f aca="false">(1+Assumptions!$B$26)^INT((A54-1)/12)</f>
        <v>1.08243216</v>
      </c>
    </row>
    <row r="55" customFormat="false" ht="15" hidden="false" customHeight="true" outlineLevel="0" collapsed="false">
      <c r="A55" s="275" t="n">
        <v>54</v>
      </c>
      <c r="B55" s="280" t="n">
        <f aca="false">(1+Assumptions!$B$26)^INT((A55-1)/12)</f>
        <v>1.08243216</v>
      </c>
    </row>
    <row r="56" customFormat="false" ht="15" hidden="false" customHeight="true" outlineLevel="0" collapsed="false">
      <c r="A56" s="275" t="n">
        <v>55</v>
      </c>
      <c r="B56" s="280" t="n">
        <f aca="false">(1+Assumptions!$B$26)^INT((A56-1)/12)</f>
        <v>1.08243216</v>
      </c>
    </row>
    <row r="57" customFormat="false" ht="15" hidden="false" customHeight="true" outlineLevel="0" collapsed="false">
      <c r="A57" s="275" t="n">
        <v>56</v>
      </c>
      <c r="B57" s="280" t="n">
        <f aca="false">(1+Assumptions!$B$26)^INT((A57-1)/12)</f>
        <v>1.08243216</v>
      </c>
    </row>
    <row r="58" customFormat="false" ht="15" hidden="false" customHeight="true" outlineLevel="0" collapsed="false">
      <c r="A58" s="275" t="n">
        <v>57</v>
      </c>
      <c r="B58" s="280" t="n">
        <f aca="false">(1+Assumptions!$B$26)^INT((A58-1)/12)</f>
        <v>1.08243216</v>
      </c>
    </row>
    <row r="59" customFormat="false" ht="15" hidden="false" customHeight="true" outlineLevel="0" collapsed="false">
      <c r="A59" s="275" t="n">
        <v>58</v>
      </c>
      <c r="B59" s="280" t="n">
        <f aca="false">(1+Assumptions!$B$26)^INT((A59-1)/12)</f>
        <v>1.08243216</v>
      </c>
    </row>
    <row r="60" customFormat="false" ht="15" hidden="false" customHeight="true" outlineLevel="0" collapsed="false">
      <c r="A60" s="275" t="n">
        <v>59</v>
      </c>
      <c r="B60" s="280" t="n">
        <f aca="false">(1+Assumptions!$B$26)^INT((A60-1)/12)</f>
        <v>1.08243216</v>
      </c>
    </row>
    <row r="61" customFormat="false" ht="15" hidden="false" customHeight="true" outlineLevel="0" collapsed="false">
      <c r="A61" s="275" t="n">
        <v>60</v>
      </c>
      <c r="B61" s="280" t="n">
        <f aca="false">(1+Assumptions!$B$26)^INT((A61-1)/12)</f>
        <v>1.08243216</v>
      </c>
    </row>
    <row r="62" customFormat="false" ht="15" hidden="false" customHeight="true" outlineLevel="0" collapsed="false">
      <c r="A62" s="275" t="n">
        <v>61</v>
      </c>
      <c r="B62" s="280" t="n">
        <f aca="false">(1+Assumptions!$B$26)^INT((A62-1)/12)</f>
        <v>1.1040808032</v>
      </c>
    </row>
    <row r="63" customFormat="false" ht="15" hidden="false" customHeight="true" outlineLevel="0" collapsed="false">
      <c r="A63" s="275" t="n">
        <v>62</v>
      </c>
      <c r="B63" s="280" t="n">
        <f aca="false">(1+Assumptions!$B$26)^INT((A63-1)/12)</f>
        <v>1.1040808032</v>
      </c>
    </row>
    <row r="64" customFormat="false" ht="15" hidden="false" customHeight="true" outlineLevel="0" collapsed="false">
      <c r="A64" s="275" t="n">
        <v>63</v>
      </c>
      <c r="B64" s="280" t="n">
        <f aca="false">(1+Assumptions!$B$26)^INT((A64-1)/12)</f>
        <v>1.1040808032</v>
      </c>
    </row>
    <row r="65" customFormat="false" ht="15" hidden="false" customHeight="true" outlineLevel="0" collapsed="false">
      <c r="A65" s="275" t="n">
        <v>64</v>
      </c>
      <c r="B65" s="280" t="n">
        <f aca="false">(1+Assumptions!$B$26)^INT((A65-1)/12)</f>
        <v>1.1040808032</v>
      </c>
    </row>
    <row r="66" customFormat="false" ht="15" hidden="false" customHeight="true" outlineLevel="0" collapsed="false">
      <c r="A66" s="275" t="n">
        <v>65</v>
      </c>
      <c r="B66" s="280" t="n">
        <f aca="false">(1+Assumptions!$B$26)^INT((A66-1)/12)</f>
        <v>1.1040808032</v>
      </c>
    </row>
    <row r="67" customFormat="false" ht="15" hidden="false" customHeight="true" outlineLevel="0" collapsed="false">
      <c r="A67" s="275" t="n">
        <v>66</v>
      </c>
      <c r="B67" s="280" t="n">
        <f aca="false">(1+Assumptions!$B$26)^INT((A67-1)/12)</f>
        <v>1.1040808032</v>
      </c>
    </row>
    <row r="68" customFormat="false" ht="15" hidden="false" customHeight="true" outlineLevel="0" collapsed="false">
      <c r="A68" s="275" t="n">
        <v>67</v>
      </c>
      <c r="B68" s="280" t="n">
        <f aca="false">(1+Assumptions!$B$26)^INT((A68-1)/12)</f>
        <v>1.1040808032</v>
      </c>
    </row>
    <row r="69" customFormat="false" ht="15" hidden="false" customHeight="true" outlineLevel="0" collapsed="false">
      <c r="A69" s="275" t="n">
        <v>68</v>
      </c>
      <c r="B69" s="280" t="n">
        <f aca="false">(1+Assumptions!$B$26)^INT((A69-1)/12)</f>
        <v>1.1040808032</v>
      </c>
    </row>
    <row r="70" customFormat="false" ht="15" hidden="false" customHeight="true" outlineLevel="0" collapsed="false">
      <c r="A70" s="275" t="n">
        <v>69</v>
      </c>
      <c r="B70" s="280" t="n">
        <f aca="false">(1+Assumptions!$B$26)^INT((A70-1)/12)</f>
        <v>1.1040808032</v>
      </c>
    </row>
    <row r="71" customFormat="false" ht="15" hidden="false" customHeight="true" outlineLevel="0" collapsed="false">
      <c r="A71" s="275" t="n">
        <v>70</v>
      </c>
      <c r="B71" s="280" t="n">
        <f aca="false">(1+Assumptions!$B$26)^INT((A71-1)/12)</f>
        <v>1.1040808032</v>
      </c>
    </row>
    <row r="72" customFormat="false" ht="15" hidden="false" customHeight="true" outlineLevel="0" collapsed="false">
      <c r="A72" s="275" t="n">
        <v>71</v>
      </c>
      <c r="B72" s="280" t="n">
        <f aca="false">(1+Assumptions!$B$26)^INT((A72-1)/12)</f>
        <v>1.1040808032</v>
      </c>
    </row>
    <row r="73" customFormat="false" ht="15" hidden="false" customHeight="true" outlineLevel="0" collapsed="false">
      <c r="A73" s="275" t="n">
        <v>72</v>
      </c>
      <c r="B73" s="280" t="n">
        <f aca="false">(1+Assumptions!$B$26)^INT((A73-1)/12)</f>
        <v>1.1040808032</v>
      </c>
    </row>
    <row r="74" customFormat="false" ht="15" hidden="false" customHeight="true" outlineLevel="0" collapsed="false">
      <c r="A74" s="275" t="n">
        <v>73</v>
      </c>
      <c r="B74" s="280" t="n">
        <f aca="false">(1+Assumptions!$B$26)^INT((A74-1)/12)</f>
        <v>1.126162419264</v>
      </c>
    </row>
    <row r="75" customFormat="false" ht="15" hidden="false" customHeight="true" outlineLevel="0" collapsed="false">
      <c r="A75" s="275" t="n">
        <v>74</v>
      </c>
      <c r="B75" s="280" t="n">
        <f aca="false">(1+Assumptions!$B$26)^INT((A75-1)/12)</f>
        <v>1.126162419264</v>
      </c>
    </row>
    <row r="76" customFormat="false" ht="15" hidden="false" customHeight="true" outlineLevel="0" collapsed="false">
      <c r="A76" s="275" t="n">
        <v>75</v>
      </c>
      <c r="B76" s="280" t="n">
        <f aca="false">(1+Assumptions!$B$26)^INT((A76-1)/12)</f>
        <v>1.126162419264</v>
      </c>
    </row>
    <row r="77" customFormat="false" ht="15" hidden="false" customHeight="true" outlineLevel="0" collapsed="false">
      <c r="A77" s="275" t="n">
        <v>76</v>
      </c>
      <c r="B77" s="280" t="n">
        <f aca="false">(1+Assumptions!$B$26)^INT((A77-1)/12)</f>
        <v>1.126162419264</v>
      </c>
    </row>
    <row r="78" customFormat="false" ht="15" hidden="false" customHeight="true" outlineLevel="0" collapsed="false">
      <c r="A78" s="275" t="n">
        <v>77</v>
      </c>
      <c r="B78" s="280" t="n">
        <f aca="false">(1+Assumptions!$B$26)^INT((A78-1)/12)</f>
        <v>1.126162419264</v>
      </c>
    </row>
    <row r="79" customFormat="false" ht="15" hidden="false" customHeight="true" outlineLevel="0" collapsed="false">
      <c r="A79" s="275" t="n">
        <v>78</v>
      </c>
      <c r="B79" s="280" t="n">
        <f aca="false">(1+Assumptions!$B$26)^INT((A79-1)/12)</f>
        <v>1.126162419264</v>
      </c>
    </row>
    <row r="80" customFormat="false" ht="15" hidden="false" customHeight="true" outlineLevel="0" collapsed="false">
      <c r="A80" s="275" t="n">
        <v>79</v>
      </c>
      <c r="B80" s="280" t="n">
        <f aca="false">(1+Assumptions!$B$26)^INT((A80-1)/12)</f>
        <v>1.126162419264</v>
      </c>
    </row>
    <row r="81" customFormat="false" ht="15" hidden="false" customHeight="true" outlineLevel="0" collapsed="false">
      <c r="A81" s="275" t="n">
        <v>80</v>
      </c>
      <c r="B81" s="280" t="n">
        <f aca="false">(1+Assumptions!$B$26)^INT((A81-1)/12)</f>
        <v>1.126162419264</v>
      </c>
    </row>
    <row r="82" customFormat="false" ht="15" hidden="false" customHeight="true" outlineLevel="0" collapsed="false">
      <c r="A82" s="275" t="n">
        <v>81</v>
      </c>
      <c r="B82" s="280" t="n">
        <f aca="false">(1+Assumptions!$B$26)^INT((A82-1)/12)</f>
        <v>1.126162419264</v>
      </c>
    </row>
    <row r="83" customFormat="false" ht="15" hidden="false" customHeight="true" outlineLevel="0" collapsed="false">
      <c r="A83" s="275" t="n">
        <v>82</v>
      </c>
      <c r="B83" s="280" t="n">
        <f aca="false">(1+Assumptions!$B$26)^INT((A83-1)/12)</f>
        <v>1.126162419264</v>
      </c>
    </row>
    <row r="84" customFormat="false" ht="15" hidden="false" customHeight="true" outlineLevel="0" collapsed="false">
      <c r="A84" s="275" t="n">
        <v>83</v>
      </c>
      <c r="B84" s="280" t="n">
        <f aca="false">(1+Assumptions!$B$26)^INT((A84-1)/12)</f>
        <v>1.126162419264</v>
      </c>
    </row>
    <row r="85" customFormat="false" ht="15" hidden="false" customHeight="true" outlineLevel="0" collapsed="false">
      <c r="A85" s="275" t="n">
        <v>84</v>
      </c>
      <c r="B85" s="280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60" t="s">
        <v>811</v>
      </c>
      <c r="B1" s="260"/>
      <c r="C1" s="260"/>
      <c r="D1" s="260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62" t="s">
        <v>1</v>
      </c>
      <c r="C3" s="275" t="n">
        <v>1</v>
      </c>
      <c r="D3" s="275" t="n">
        <v>2</v>
      </c>
      <c r="E3" s="275" t="n">
        <v>3</v>
      </c>
      <c r="F3" s="275" t="n">
        <v>4</v>
      </c>
      <c r="G3" s="275" t="n">
        <v>5</v>
      </c>
      <c r="H3" s="275" t="n">
        <v>6</v>
      </c>
      <c r="I3" s="275" t="n">
        <v>7</v>
      </c>
      <c r="J3" s="275" t="n">
        <v>8</v>
      </c>
      <c r="K3" s="275" t="n">
        <v>9</v>
      </c>
      <c r="L3" s="275" t="n">
        <v>10</v>
      </c>
      <c r="M3" s="275" t="n">
        <v>11</v>
      </c>
      <c r="N3" s="275" t="n">
        <v>12</v>
      </c>
      <c r="O3" s="275" t="n">
        <v>13</v>
      </c>
      <c r="P3" s="275" t="n">
        <v>14</v>
      </c>
      <c r="Q3" s="275" t="n">
        <v>15</v>
      </c>
      <c r="R3" s="275" t="n">
        <v>16</v>
      </c>
      <c r="S3" s="275" t="n">
        <v>17</v>
      </c>
      <c r="T3" s="275" t="n">
        <v>18</v>
      </c>
      <c r="U3" s="275" t="n">
        <v>19</v>
      </c>
      <c r="V3" s="275" t="n">
        <v>20</v>
      </c>
      <c r="W3" s="275" t="n">
        <v>21</v>
      </c>
      <c r="X3" s="275" t="n">
        <v>22</v>
      </c>
      <c r="Y3" s="275" t="n">
        <v>23</v>
      </c>
      <c r="Z3" s="275" t="n">
        <v>24</v>
      </c>
      <c r="AA3" s="275" t="n">
        <v>25</v>
      </c>
      <c r="AB3" s="275" t="n">
        <v>26</v>
      </c>
      <c r="AC3" s="275" t="n">
        <v>27</v>
      </c>
      <c r="AD3" s="275" t="n">
        <v>28</v>
      </c>
      <c r="AE3" s="275" t="n">
        <v>29</v>
      </c>
      <c r="AF3" s="275" t="n">
        <v>30</v>
      </c>
      <c r="AG3" s="275" t="n">
        <v>31</v>
      </c>
      <c r="AH3" s="275" t="n">
        <v>32</v>
      </c>
      <c r="AI3" s="275" t="n">
        <v>33</v>
      </c>
      <c r="AJ3" s="275" t="n">
        <v>34</v>
      </c>
      <c r="AK3" s="275" t="n">
        <v>35</v>
      </c>
      <c r="AL3" s="275" t="n">
        <v>36</v>
      </c>
      <c r="AM3" s="275" t="n">
        <v>37</v>
      </c>
      <c r="AN3" s="275" t="n">
        <v>38</v>
      </c>
      <c r="AO3" s="275" t="n">
        <v>39</v>
      </c>
      <c r="AP3" s="275" t="n">
        <v>40</v>
      </c>
      <c r="AQ3" s="275" t="n">
        <v>41</v>
      </c>
      <c r="AR3" s="275" t="n">
        <v>42</v>
      </c>
      <c r="AS3" s="275" t="n">
        <v>43</v>
      </c>
      <c r="AT3" s="275" t="n">
        <v>44</v>
      </c>
      <c r="AU3" s="275" t="n">
        <v>45</v>
      </c>
      <c r="AV3" s="275" t="n">
        <v>46</v>
      </c>
      <c r="AW3" s="275" t="n">
        <v>47</v>
      </c>
      <c r="AX3" s="275" t="n">
        <v>48</v>
      </c>
      <c r="AY3" s="275" t="n">
        <v>49</v>
      </c>
      <c r="AZ3" s="275" t="n">
        <v>50</v>
      </c>
      <c r="BA3" s="275" t="n">
        <v>51</v>
      </c>
      <c r="BB3" s="275" t="n">
        <v>52</v>
      </c>
      <c r="BC3" s="275" t="n">
        <v>53</v>
      </c>
      <c r="BD3" s="275" t="n">
        <v>54</v>
      </c>
      <c r="BE3" s="275" t="n">
        <v>55</v>
      </c>
      <c r="BF3" s="275" t="n">
        <v>56</v>
      </c>
      <c r="BG3" s="275" t="n">
        <v>57</v>
      </c>
      <c r="BH3" s="275" t="n">
        <v>58</v>
      </c>
      <c r="BI3" s="275" t="n">
        <v>59</v>
      </c>
      <c r="BJ3" s="275" t="n">
        <v>60</v>
      </c>
      <c r="BK3" s="275" t="n">
        <v>61</v>
      </c>
      <c r="BL3" s="275" t="n">
        <v>62</v>
      </c>
      <c r="BM3" s="275" t="n">
        <v>63</v>
      </c>
      <c r="BN3" s="275" t="n">
        <v>64</v>
      </c>
      <c r="BO3" s="275" t="n">
        <v>65</v>
      </c>
      <c r="BP3" s="275" t="n">
        <v>66</v>
      </c>
      <c r="BQ3" s="275" t="n">
        <v>67</v>
      </c>
      <c r="BR3" s="275" t="n">
        <v>68</v>
      </c>
      <c r="BS3" s="275" t="n">
        <v>69</v>
      </c>
      <c r="BT3" s="275" t="n">
        <v>70</v>
      </c>
      <c r="BU3" s="275" t="n">
        <v>71</v>
      </c>
      <c r="BV3" s="275" t="n">
        <v>72</v>
      </c>
      <c r="BW3" s="275" t="n">
        <v>73</v>
      </c>
      <c r="BX3" s="275" t="n">
        <v>74</v>
      </c>
      <c r="BY3" s="275" t="n">
        <v>75</v>
      </c>
      <c r="BZ3" s="275" t="n">
        <v>76</v>
      </c>
      <c r="CA3" s="275" t="n">
        <v>77</v>
      </c>
      <c r="CB3" s="275" t="n">
        <v>78</v>
      </c>
      <c r="CC3" s="275" t="n">
        <v>79</v>
      </c>
      <c r="CD3" s="275" t="n">
        <v>80</v>
      </c>
      <c r="CE3" s="275" t="n">
        <v>81</v>
      </c>
      <c r="CF3" s="275" t="n">
        <v>82</v>
      </c>
      <c r="CG3" s="275" t="n">
        <v>83</v>
      </c>
      <c r="CH3" s="275" t="n">
        <v>84</v>
      </c>
      <c r="CI3" s="275" t="n">
        <v>84</v>
      </c>
      <c r="CJ3" s="275" t="n">
        <v>84</v>
      </c>
      <c r="CK3" s="275" t="n">
        <v>84</v>
      </c>
      <c r="CL3" s="275" t="n">
        <v>84</v>
      </c>
      <c r="CM3" s="275" t="n">
        <v>84</v>
      </c>
      <c r="CN3" s="275" t="n">
        <v>84</v>
      </c>
      <c r="CO3" s="275" t="n">
        <v>84</v>
      </c>
      <c r="CP3" s="275" t="n">
        <v>84</v>
      </c>
      <c r="CQ3" s="275" t="n">
        <v>84</v>
      </c>
    </row>
    <row r="4" customFormat="false" ht="15" hidden="false" customHeight="true" outlineLevel="0" collapsed="false">
      <c r="A4" s="162" t="s">
        <v>812</v>
      </c>
      <c r="C4" s="26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6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6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6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6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6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6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6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6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6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6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6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6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6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6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6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6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6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6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6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6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6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6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6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6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6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6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6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6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6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6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6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6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6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6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6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6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6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6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6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6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6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6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6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6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6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6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6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6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6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6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6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6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6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6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6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6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6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6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6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6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6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6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6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6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6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6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6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6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6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6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6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6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6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6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6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6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6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6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6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6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6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6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6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6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6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6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6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6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6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6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6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6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62" t="s">
        <v>813</v>
      </c>
      <c r="C5" s="26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6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6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6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6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6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6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6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6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6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6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6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6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6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6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6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6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6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6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6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6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6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6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6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6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6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6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6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6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6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6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6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6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6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6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6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6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6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6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6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6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6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6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6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6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6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6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6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6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6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6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6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6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6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6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6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6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6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6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6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6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6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6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6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6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6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6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6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6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6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6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6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6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6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6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6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6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6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6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6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6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6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6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6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6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6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6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6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6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6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6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6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6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59" t="s">
        <v>814</v>
      </c>
    </row>
    <row r="8" customFormat="false" ht="15" hidden="false" customHeight="true" outlineLevel="0" collapsed="false">
      <c r="A8" s="162" t="s">
        <v>9</v>
      </c>
      <c r="C8" s="26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6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6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6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6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6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6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6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6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6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6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6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6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6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6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6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6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6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6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6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6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6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6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6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6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6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6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6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6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6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6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6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6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6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6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6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6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6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6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6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6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6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6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6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6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6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6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6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6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6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6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6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6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6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6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6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6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6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6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6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6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6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6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6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6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6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6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6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6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6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6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6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6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6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6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6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6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6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6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6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6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6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6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6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6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6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6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6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6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6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6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6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6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62" t="s">
        <v>10</v>
      </c>
      <c r="C9" s="26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6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6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6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6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6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6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6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6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6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6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6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6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6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6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6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6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6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6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6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6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6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6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6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6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6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6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6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6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6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6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6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6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6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6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6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6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6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6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6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6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6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6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6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6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6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6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6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6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6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6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6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6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6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6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6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6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6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6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6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6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6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6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6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6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6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6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6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6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6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6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6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6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6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6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6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6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6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6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6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6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6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6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6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6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6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6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6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6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6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6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6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6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62" t="s">
        <v>12</v>
      </c>
      <c r="C10" s="26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6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6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6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6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6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6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6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6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6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6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6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6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6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6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6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6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6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6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6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6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6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6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6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6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6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6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6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6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6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6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6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6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6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6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6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6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6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6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6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6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6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6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6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6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6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6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6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6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6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6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6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6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6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6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6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6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6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6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6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6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6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6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6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6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6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6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6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6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6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6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6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6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6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6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6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6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6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6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6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6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6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6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6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6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6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6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6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6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6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6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6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6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62" t="s">
        <v>13</v>
      </c>
      <c r="C11" s="26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6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6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6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65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65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65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65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65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65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65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65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65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65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65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65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65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65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65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65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65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65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65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6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6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6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6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6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6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6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6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6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6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6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6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6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6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6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6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6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6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6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6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6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6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6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6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6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6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6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6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6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6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6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6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6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6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6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6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6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6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6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6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6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6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6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6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6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6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6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6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6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6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6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6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6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6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6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6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6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6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6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6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6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6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6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6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6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6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6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6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6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6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62" t="s">
        <v>14</v>
      </c>
      <c r="C12" s="26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6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6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6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6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6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6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6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6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6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6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6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6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6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6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6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6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6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6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6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6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6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6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6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6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6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6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6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6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6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6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6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6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6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6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6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6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6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6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6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6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6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6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6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6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6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6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6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6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6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6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6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6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6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6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6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6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6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6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6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6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6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6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6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6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6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6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6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6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6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6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6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6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6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6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6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6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6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6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6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6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6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6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6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6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6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6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6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6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6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6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6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6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62" t="s">
        <v>15</v>
      </c>
      <c r="C13" s="26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6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6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6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6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6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6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6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6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6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6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6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6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6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6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6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6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6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6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6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6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6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6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6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6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6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6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6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6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6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6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6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6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6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6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6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6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6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6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6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6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6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6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6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6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6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6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6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6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6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6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6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6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6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6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6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6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6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6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6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6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6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6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6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6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6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6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6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6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6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6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6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6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6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6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6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6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6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6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6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6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6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6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6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6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6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6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6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6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6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6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6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6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62" t="s">
        <v>18</v>
      </c>
      <c r="C14" s="26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6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6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6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6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6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6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6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6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6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6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6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6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6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6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6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6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6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6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6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6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6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6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6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6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6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6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6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6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6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6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6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6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6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6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6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6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6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6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6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6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6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6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6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6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6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6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6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6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6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6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6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6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6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6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6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6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6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6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6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6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6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6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6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6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6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6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6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6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6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6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6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6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6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6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6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6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6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6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6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6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6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6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6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6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6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6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6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6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6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6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6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6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62" t="s">
        <v>19</v>
      </c>
      <c r="C15" s="26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6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6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6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6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6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6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6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6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6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6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6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6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6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6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6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6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6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6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6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6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6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6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6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6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6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6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6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6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6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6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6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6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6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6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6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6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6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6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6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6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6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6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6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6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6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6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6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6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6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6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6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6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6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6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6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6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6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6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6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6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6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6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6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6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6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6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6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6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6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6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6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6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6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6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6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6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6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6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6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6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6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6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6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6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6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6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6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6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6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6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6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6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08" t="s">
        <v>169</v>
      </c>
      <c r="C16" s="281" t="n">
        <f aca="false">SUM(C8:C15)</f>
        <v>24716840.3468768</v>
      </c>
      <c r="D16" s="281" t="n">
        <f aca="false">SUM(D8:D15)</f>
        <v>22881539.1765735</v>
      </c>
      <c r="E16" s="281" t="n">
        <f aca="false">SUM(E8:E15)</f>
        <v>20879271.9124362</v>
      </c>
      <c r="F16" s="281" t="n">
        <f aca="false">SUM(F8:F15)</f>
        <v>18748519.382739</v>
      </c>
      <c r="G16" s="281" t="n">
        <f aca="false">SUM(G8:G15)</f>
        <v>85209726.4902737</v>
      </c>
      <c r="H16" s="281" t="n">
        <f aca="false">SUM(H8:H15)</f>
        <v>101937181.31251</v>
      </c>
      <c r="I16" s="281" t="n">
        <f aca="false">SUM(I8:I15)</f>
        <v>96996144.7242823</v>
      </c>
      <c r="J16" s="281" t="n">
        <f aca="false">SUM(J8:J15)</f>
        <v>91681082.9143191</v>
      </c>
      <c r="K16" s="281" t="n">
        <f aca="false">SUM(K8:K15)</f>
        <v>86032873.6923599</v>
      </c>
      <c r="L16" s="281" t="n">
        <f aca="false">SUM(L8:L15)</f>
        <v>80101823.0905101</v>
      </c>
      <c r="M16" s="281" t="n">
        <f aca="false">SUM(M8:M15)</f>
        <v>73947441.6447125</v>
      </c>
      <c r="N16" s="281" t="n">
        <f aca="false">SUM(N8:N15)</f>
        <v>67637608.6570949</v>
      </c>
      <c r="O16" s="281" t="n">
        <f aca="false">SUM(O8:O15)</f>
        <v>105785143.86028</v>
      </c>
      <c r="P16" s="281" t="n">
        <f aca="false">SUM(P8:P15)</f>
        <v>98555966.9128809</v>
      </c>
      <c r="Q16" s="281" t="n">
        <f aca="false">SUM(Q8:Q15)</f>
        <v>91292205.3562169</v>
      </c>
      <c r="R16" s="281" t="n">
        <f aca="false">SUM(R8:R15)</f>
        <v>84715364.4189166</v>
      </c>
      <c r="S16" s="281" t="n">
        <f aca="false">SUM(S8:S15)</f>
        <v>78104625.7757824</v>
      </c>
      <c r="T16" s="281" t="n">
        <f aca="false">SUM(T8:T15)</f>
        <v>71551790.5201989</v>
      </c>
      <c r="U16" s="281" t="n">
        <f aca="false">SUM(U8:U15)</f>
        <v>65138900.841349</v>
      </c>
      <c r="V16" s="281" t="n">
        <f aca="false">SUM(V8:V15)</f>
        <v>58934829.9178404</v>
      </c>
      <c r="W16" s="281" t="n">
        <f aca="false">SUM(W8:W15)</f>
        <v>52993542.7870939</v>
      </c>
      <c r="X16" s="281" t="n">
        <f aca="false">SUM(X8:X15)</f>
        <v>47353337.6640295</v>
      </c>
      <c r="Y16" s="281" t="n">
        <f aca="false">SUM(Y8:Y15)</f>
        <v>42038064.2069706</v>
      </c>
      <c r="Z16" s="281" t="n">
        <f aca="false">SUM(Z8:Z15)</f>
        <v>37330862.9276114</v>
      </c>
      <c r="AA16" s="281" t="n">
        <f aca="false">SUM(AA8:AA15)</f>
        <v>33343145.6939488</v>
      </c>
      <c r="AB16" s="281" t="n">
        <f aca="false">SUM(AB8:AB15)</f>
        <v>29531296.0450086</v>
      </c>
      <c r="AC16" s="281" t="n">
        <f aca="false">SUM(AC8:AC15)</f>
        <v>66599470.497915</v>
      </c>
      <c r="AD16" s="281" t="n">
        <f aca="false">SUM(AD8:AD15)</f>
        <v>62415627.7269484</v>
      </c>
      <c r="AE16" s="281" t="n">
        <f aca="false">SUM(AE8:AE15)</f>
        <v>59062951.931266</v>
      </c>
      <c r="AF16" s="281" t="n">
        <f aca="false">SUM(AF8:AF15)</f>
        <v>55679909.273142</v>
      </c>
      <c r="AG16" s="281" t="n">
        <f aca="false">SUM(AG8:AG15)</f>
        <v>52281905.5481236</v>
      </c>
      <c r="AH16" s="281" t="n">
        <f aca="false">SUM(AH8:AH15)</f>
        <v>48883886.762018</v>
      </c>
      <c r="AI16" s="281" t="n">
        <f aca="false">SUM(AI8:AI15)</f>
        <v>45500358.0697596</v>
      </c>
      <c r="AJ16" s="281" t="n">
        <f aca="false">SUM(AJ8:AJ15)</f>
        <v>42145314.4364748</v>
      </c>
      <c r="AK16" s="281" t="n">
        <f aca="false">SUM(AK8:AK15)</f>
        <v>39031015.21347</v>
      </c>
      <c r="AL16" s="281" t="n">
        <f aca="false">SUM(AL8:AL15)</f>
        <v>35942281.200826</v>
      </c>
      <c r="AM16" s="281" t="n">
        <f aca="false">SUM(AM8:AM15)</f>
        <v>32894612.367548</v>
      </c>
      <c r="AN16" s="281" t="n">
        <f aca="false">SUM(AN8:AN15)</f>
        <v>29903009.833158</v>
      </c>
      <c r="AO16" s="281" t="n">
        <f aca="false">SUM(AO8:AO15)</f>
        <v>26981928.712532</v>
      </c>
      <c r="AP16" s="281" t="n">
        <f aca="false">SUM(AP8:AP15)</f>
        <v>24145214.967326</v>
      </c>
      <c r="AQ16" s="281" t="n">
        <f aca="false">SUM(AQ8:AQ15)</f>
        <v>21405892.487426</v>
      </c>
      <c r="AR16" s="281" t="n">
        <f aca="false">SUM(AR8:AR15)</f>
        <v>18775979.790616</v>
      </c>
      <c r="AS16" s="281" t="n">
        <f aca="false">SUM(AS8:AS15)</f>
        <v>16893987.49148</v>
      </c>
      <c r="AT16" s="281" t="n">
        <f aca="false">SUM(AT8:AT15)</f>
        <v>15049033.294064</v>
      </c>
      <c r="AU16" s="281" t="n">
        <f aca="false">SUM(AU8:AU15)</f>
        <v>13258584.501624</v>
      </c>
      <c r="AV16" s="281" t="n">
        <f aca="false">SUM(AV8:AV15)</f>
        <v>11538273.165056</v>
      </c>
      <c r="AW16" s="281" t="n">
        <f aca="false">SUM(AW8:AW15)</f>
        <v>9901787.667552</v>
      </c>
      <c r="AX16" s="281" t="n">
        <f aca="false">SUM(AX8:AX15)</f>
        <v>8360541.887544</v>
      </c>
      <c r="AY16" s="281" t="n">
        <f aca="false">SUM(AY8:AY15)</f>
        <v>6923385.71628</v>
      </c>
      <c r="AZ16" s="281" t="n">
        <f aca="false">SUM(AZ8:AZ15)</f>
        <v>5596646.412456</v>
      </c>
      <c r="BA16" s="281" t="n">
        <f aca="false">SUM(BA8:BA15)</f>
        <v>4384004.53832</v>
      </c>
      <c r="BB16" s="281" t="n">
        <f aca="false">SUM(BB8:BB15)</f>
        <v>3286659.3782</v>
      </c>
      <c r="BC16" s="281" t="n">
        <f aca="false">SUM(BC8:BC15)</f>
        <v>2303535.711664</v>
      </c>
      <c r="BD16" s="281" t="n">
        <f aca="false">SUM(BD8:BD15)</f>
        <v>1431490.58668</v>
      </c>
      <c r="BE16" s="281" t="n">
        <f aca="false">SUM(BE8:BE15)</f>
        <v>665685.511304001</v>
      </c>
      <c r="BF16" s="281" t="n">
        <f aca="false">SUM(BF8:BF15)</f>
        <v>-165.418527995574</v>
      </c>
      <c r="BG16" s="281" t="n">
        <f aca="false">SUM(BG8:BG15)</f>
        <v>0</v>
      </c>
      <c r="BH16" s="281" t="n">
        <f aca="false">SUM(BH8:BH15)</f>
        <v>0</v>
      </c>
      <c r="BI16" s="281" t="n">
        <f aca="false">SUM(BI8:BI15)</f>
        <v>0</v>
      </c>
      <c r="BJ16" s="281" t="n">
        <f aca="false">SUM(BJ8:BJ15)</f>
        <v>0</v>
      </c>
      <c r="BK16" s="281" t="n">
        <f aca="false">SUM(BK8:BK15)</f>
        <v>0</v>
      </c>
      <c r="BL16" s="281" t="n">
        <f aca="false">SUM(BL8:BL15)</f>
        <v>0</v>
      </c>
      <c r="BM16" s="281" t="n">
        <f aca="false">SUM(BM8:BM15)</f>
        <v>0</v>
      </c>
      <c r="BN16" s="281" t="n">
        <f aca="false">SUM(BN8:BN15)</f>
        <v>0</v>
      </c>
      <c r="BO16" s="281" t="n">
        <f aca="false">SUM(BO8:BO15)</f>
        <v>0</v>
      </c>
      <c r="BP16" s="281" t="n">
        <f aca="false">SUM(BP8:BP15)</f>
        <v>0</v>
      </c>
      <c r="BQ16" s="281" t="n">
        <f aca="false">SUM(BQ8:BQ15)</f>
        <v>0</v>
      </c>
      <c r="BR16" s="281" t="n">
        <f aca="false">SUM(BR8:BR15)</f>
        <v>0</v>
      </c>
      <c r="BS16" s="281" t="n">
        <f aca="false">SUM(BS8:BS15)</f>
        <v>0</v>
      </c>
      <c r="BT16" s="281" t="n">
        <f aca="false">SUM(BT8:BT15)</f>
        <v>0</v>
      </c>
      <c r="BU16" s="281" t="n">
        <f aca="false">SUM(BU8:BU15)</f>
        <v>0</v>
      </c>
      <c r="BV16" s="281" t="n">
        <f aca="false">SUM(BV8:BV15)</f>
        <v>0</v>
      </c>
      <c r="BW16" s="281" t="n">
        <f aca="false">SUM(BW8:BW15)</f>
        <v>0</v>
      </c>
      <c r="BX16" s="281" t="n">
        <f aca="false">SUM(BX8:BX15)</f>
        <v>0</v>
      </c>
      <c r="BY16" s="281" t="n">
        <f aca="false">SUM(BY8:BY15)</f>
        <v>0</v>
      </c>
      <c r="BZ16" s="281" t="n">
        <f aca="false">SUM(BZ8:BZ15)</f>
        <v>0</v>
      </c>
      <c r="CA16" s="281" t="n">
        <f aca="false">SUM(CA8:CA15)</f>
        <v>0</v>
      </c>
      <c r="CB16" s="281" t="n">
        <f aca="false">SUM(CB8:CB15)</f>
        <v>0</v>
      </c>
      <c r="CC16" s="281" t="n">
        <f aca="false">SUM(CC8:CC15)</f>
        <v>0</v>
      </c>
      <c r="CD16" s="281" t="n">
        <f aca="false">SUM(CD8:CD15)</f>
        <v>0</v>
      </c>
      <c r="CE16" s="281" t="n">
        <f aca="false">SUM(CE8:CE15)</f>
        <v>0</v>
      </c>
      <c r="CF16" s="281" t="n">
        <f aca="false">SUM(CF8:CF15)</f>
        <v>0</v>
      </c>
      <c r="CG16" s="281" t="n">
        <f aca="false">SUM(CG8:CG15)</f>
        <v>0</v>
      </c>
      <c r="CH16" s="281" t="n">
        <f aca="false">SUM(CH8:CH15)</f>
        <v>0</v>
      </c>
      <c r="CI16" s="281" t="n">
        <f aca="false">SUM(CI8:CI15)</f>
        <v>0</v>
      </c>
      <c r="CJ16" s="281" t="n">
        <f aca="false">SUM(CJ8:CJ15)</f>
        <v>0</v>
      </c>
      <c r="CK16" s="281" t="n">
        <f aca="false">SUM(CK8:CK15)</f>
        <v>0</v>
      </c>
      <c r="CL16" s="281" t="n">
        <f aca="false">SUM(CL8:CL15)</f>
        <v>0</v>
      </c>
      <c r="CM16" s="281" t="n">
        <f aca="false">SUM(CM8:CM15)</f>
        <v>0</v>
      </c>
      <c r="CN16" s="281" t="n">
        <f aca="false">SUM(CN8:CN15)</f>
        <v>0</v>
      </c>
      <c r="CO16" s="281" t="n">
        <f aca="false">SUM(CO8:CO15)</f>
        <v>0</v>
      </c>
      <c r="CP16" s="281" t="n">
        <f aca="false">SUM(CP8:CP15)</f>
        <v>0</v>
      </c>
      <c r="CQ16" s="281" t="n">
        <f aca="false">SUM(CQ8:CQ15)</f>
        <v>0</v>
      </c>
    </row>
    <row r="18" customFormat="false" ht="15" hidden="false" customHeight="true" outlineLevel="0" collapsed="false">
      <c r="A18" s="23" t="s">
        <v>815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customFormat="false" ht="15" hidden="false" customHeight="true" outlineLevel="0" collapsed="false">
      <c r="A19" s="162" t="s">
        <v>816</v>
      </c>
      <c r="C19" s="265" t="n">
        <f aca="false">IF(Projects!$G$7="Yes",Projects!$B$7*Assumptions!$B$47+Assumptions!$B$53*Assumptions!$B$48,0)</f>
        <v>577947.65</v>
      </c>
      <c r="D19" s="265" t="n">
        <f aca="false">C21</f>
        <v>577947.65</v>
      </c>
      <c r="E19" s="265" t="n">
        <f aca="false">D21</f>
        <v>577947.65</v>
      </c>
      <c r="F19" s="265" t="n">
        <f aca="false">E21</f>
        <v>577947.65</v>
      </c>
      <c r="G19" s="265" t="n">
        <f aca="false">F21</f>
        <v>577947.65</v>
      </c>
      <c r="H19" s="265" t="n">
        <f aca="false">G21</f>
        <v>577947.65</v>
      </c>
      <c r="I19" s="265" t="n">
        <f aca="false">H21</f>
        <v>577947.65</v>
      </c>
      <c r="J19" s="265" t="n">
        <f aca="false">I21</f>
        <v>577947.65</v>
      </c>
      <c r="K19" s="265" t="n">
        <f aca="false">J21</f>
        <v>577947.65</v>
      </c>
      <c r="L19" s="265" t="n">
        <f aca="false">K21</f>
        <v>577947.65</v>
      </c>
      <c r="M19" s="265" t="n">
        <f aca="false">L21</f>
        <v>577947.65</v>
      </c>
      <c r="N19" s="265" t="n">
        <f aca="false">M21</f>
        <v>577947.65</v>
      </c>
      <c r="O19" s="265" t="n">
        <f aca="false">N21</f>
        <v>577947.65</v>
      </c>
      <c r="P19" s="265" t="n">
        <f aca="false">O21</f>
        <v>577947.65</v>
      </c>
      <c r="Q19" s="265" t="n">
        <f aca="false">P21</f>
        <v>577947.65</v>
      </c>
      <c r="R19" s="265" t="n">
        <f aca="false">Q21</f>
        <v>577947.65</v>
      </c>
      <c r="S19" s="265" t="n">
        <f aca="false">R21</f>
        <v>577947.65</v>
      </c>
      <c r="T19" s="265" t="n">
        <f aca="false">S21</f>
        <v>577947.65</v>
      </c>
      <c r="U19" s="265" t="n">
        <f aca="false">T21</f>
        <v>577947.65</v>
      </c>
      <c r="V19" s="265" t="n">
        <f aca="false">U21</f>
        <v>577947.65</v>
      </c>
      <c r="W19" s="265" t="n">
        <f aca="false">V21</f>
        <v>577947.65</v>
      </c>
      <c r="X19" s="265" t="n">
        <f aca="false">W21</f>
        <v>577947.65</v>
      </c>
      <c r="Y19" s="265" t="n">
        <f aca="false">X21</f>
        <v>577947.65</v>
      </c>
      <c r="Z19" s="265" t="n">
        <f aca="false">Y21</f>
        <v>577947.65</v>
      </c>
      <c r="AA19" s="265" t="n">
        <f aca="false">Z21</f>
        <v>577947.65</v>
      </c>
      <c r="AB19" s="265" t="n">
        <f aca="false">AA21</f>
        <v>577947.65</v>
      </c>
      <c r="AC19" s="265" t="n">
        <f aca="false">AB21</f>
        <v>577947.65</v>
      </c>
      <c r="AD19" s="265" t="n">
        <f aca="false">AC21</f>
        <v>577947.65</v>
      </c>
      <c r="AE19" s="265" t="n">
        <f aca="false">AD21</f>
        <v>577947.65</v>
      </c>
      <c r="AF19" s="265" t="n">
        <f aca="false">AE21</f>
        <v>577947.65</v>
      </c>
      <c r="AG19" s="265" t="n">
        <f aca="false">AF21</f>
        <v>577947.65</v>
      </c>
      <c r="AH19" s="265" t="n">
        <f aca="false">AG21</f>
        <v>577947.65</v>
      </c>
      <c r="AI19" s="265" t="n">
        <f aca="false">AH21</f>
        <v>577947.65</v>
      </c>
      <c r="AJ19" s="265" t="n">
        <f aca="false">AI21</f>
        <v>577947.65</v>
      </c>
      <c r="AK19" s="265" t="n">
        <f aca="false">AJ21</f>
        <v>577947.65</v>
      </c>
      <c r="AL19" s="265" t="n">
        <f aca="false">AK21</f>
        <v>577947.65</v>
      </c>
      <c r="AM19" s="265" t="n">
        <f aca="false">AL21</f>
        <v>577947.65</v>
      </c>
      <c r="AN19" s="265" t="n">
        <f aca="false">AM21</f>
        <v>577947.65</v>
      </c>
      <c r="AO19" s="265" t="n">
        <f aca="false">AN21</f>
        <v>577947.65</v>
      </c>
      <c r="AP19" s="265" t="n">
        <f aca="false">AO21</f>
        <v>577947.65</v>
      </c>
      <c r="AQ19" s="265" t="n">
        <f aca="false">AP21</f>
        <v>577947.65</v>
      </c>
      <c r="AR19" s="265" t="n">
        <f aca="false">AQ21</f>
        <v>577947.65</v>
      </c>
      <c r="AS19" s="265" t="n">
        <f aca="false">AR21</f>
        <v>496264.65</v>
      </c>
      <c r="AT19" s="265" t="n">
        <f aca="false">AS21</f>
        <v>496264.65</v>
      </c>
      <c r="AU19" s="265" t="n">
        <f aca="false">AT21</f>
        <v>496264.65</v>
      </c>
      <c r="AV19" s="265" t="n">
        <f aca="false">AU21</f>
        <v>414582.65</v>
      </c>
      <c r="AW19" s="265" t="n">
        <f aca="false">AV21</f>
        <v>414582.65</v>
      </c>
      <c r="AX19" s="265" t="n">
        <f aca="false">AW21</f>
        <v>414582.65</v>
      </c>
      <c r="AY19" s="265" t="n">
        <f aca="false">AX21</f>
        <v>332900.65</v>
      </c>
      <c r="AZ19" s="265" t="n">
        <f aca="false">AY21</f>
        <v>332900.65</v>
      </c>
      <c r="BA19" s="265" t="n">
        <f aca="false">AZ21</f>
        <v>332900.65</v>
      </c>
      <c r="BB19" s="265" t="n">
        <f aca="false">BA21</f>
        <v>251218.65</v>
      </c>
      <c r="BC19" s="265" t="n">
        <f aca="false">BB21</f>
        <v>251218.65</v>
      </c>
      <c r="BD19" s="265" t="n">
        <f aca="false">BC21</f>
        <v>251218.65</v>
      </c>
      <c r="BE19" s="265" t="n">
        <f aca="false">BD21</f>
        <v>192040.65</v>
      </c>
      <c r="BF19" s="265" t="n">
        <f aca="false">BE21</f>
        <v>192040.65</v>
      </c>
      <c r="BG19" s="265" t="n">
        <f aca="false">BF21</f>
        <v>192040.65</v>
      </c>
      <c r="BH19" s="265" t="n">
        <f aca="false">BG21</f>
        <v>132864.65</v>
      </c>
      <c r="BI19" s="265" t="n">
        <f aca="false">BH21</f>
        <v>132864.65</v>
      </c>
      <c r="BJ19" s="265" t="n">
        <f aca="false">BI21</f>
        <v>132864.65</v>
      </c>
      <c r="BK19" s="265" t="n">
        <f aca="false">BJ21</f>
        <v>73688.65</v>
      </c>
      <c r="BL19" s="265" t="n">
        <f aca="false">BK21</f>
        <v>73688.65</v>
      </c>
      <c r="BM19" s="265" t="n">
        <f aca="false">BL21</f>
        <v>73688.65</v>
      </c>
      <c r="BN19" s="265" t="n">
        <f aca="false">BM21</f>
        <v>14512.65</v>
      </c>
      <c r="BO19" s="265" t="n">
        <f aca="false">BN21</f>
        <v>14512.65</v>
      </c>
      <c r="BP19" s="265" t="n">
        <f aca="false">BO21</f>
        <v>14512.65</v>
      </c>
      <c r="BQ19" s="265" t="n">
        <f aca="false">BP21</f>
        <v>0</v>
      </c>
      <c r="BR19" s="265" t="n">
        <f aca="false">BQ21</f>
        <v>0</v>
      </c>
      <c r="BS19" s="265" t="n">
        <f aca="false">BR21</f>
        <v>0</v>
      </c>
      <c r="BT19" s="265" t="n">
        <f aca="false">BS21</f>
        <v>0</v>
      </c>
      <c r="BU19" s="265" t="n">
        <f aca="false">BT21</f>
        <v>0</v>
      </c>
      <c r="BV19" s="265" t="n">
        <f aca="false">BU21</f>
        <v>0</v>
      </c>
      <c r="BW19" s="265" t="n">
        <f aca="false">BV21</f>
        <v>0</v>
      </c>
      <c r="BX19" s="265" t="n">
        <f aca="false">BW21</f>
        <v>0</v>
      </c>
      <c r="BY19" s="265" t="n">
        <f aca="false">BX21</f>
        <v>0</v>
      </c>
      <c r="BZ19" s="265" t="n">
        <f aca="false">BY21</f>
        <v>0</v>
      </c>
      <c r="CA19" s="265" t="n">
        <f aca="false">BZ21</f>
        <v>0</v>
      </c>
      <c r="CB19" s="265" t="n">
        <f aca="false">CA21</f>
        <v>0</v>
      </c>
      <c r="CC19" s="265" t="n">
        <f aca="false">CB21</f>
        <v>0</v>
      </c>
      <c r="CD19" s="265" t="n">
        <f aca="false">CC21</f>
        <v>0</v>
      </c>
      <c r="CE19" s="265" t="n">
        <f aca="false">CD21</f>
        <v>0</v>
      </c>
      <c r="CF19" s="265" t="n">
        <f aca="false">CE21</f>
        <v>0</v>
      </c>
      <c r="CG19" s="265" t="n">
        <f aca="false">CF21</f>
        <v>0</v>
      </c>
      <c r="CH19" s="265" t="n">
        <f aca="false">CG21</f>
        <v>0</v>
      </c>
      <c r="CI19" s="265" t="n">
        <f aca="false">CH21</f>
        <v>0</v>
      </c>
      <c r="CJ19" s="265" t="n">
        <f aca="false">CI21</f>
        <v>0</v>
      </c>
      <c r="CK19" s="265" t="n">
        <f aca="false">CJ21</f>
        <v>0</v>
      </c>
      <c r="CL19" s="265" t="n">
        <f aca="false">CK21</f>
        <v>0</v>
      </c>
      <c r="CM19" s="265" t="n">
        <f aca="false">CL21</f>
        <v>0</v>
      </c>
      <c r="CN19" s="265" t="n">
        <f aca="false">CM21</f>
        <v>0</v>
      </c>
      <c r="CO19" s="265" t="n">
        <f aca="false">CN21</f>
        <v>0</v>
      </c>
      <c r="CP19" s="265" t="n">
        <f aca="false">CO21</f>
        <v>0</v>
      </c>
      <c r="CQ19" s="265" t="n">
        <f aca="false">CP21</f>
        <v>0</v>
      </c>
    </row>
    <row r="20" customFormat="false" ht="15" hidden="false" customHeight="true" outlineLevel="0" collapsed="false">
      <c r="A20" s="282" t="s">
        <v>817</v>
      </c>
      <c r="C20" s="283" t="n">
        <f aca="false">MIN(C19,Model!E162)</f>
        <v>0</v>
      </c>
      <c r="D20" s="283" t="n">
        <f aca="false">MIN(D19,Model!F162)</f>
        <v>0</v>
      </c>
      <c r="E20" s="283" t="n">
        <f aca="false">MIN(E19,Model!G162)</f>
        <v>0</v>
      </c>
      <c r="F20" s="283" t="n">
        <f aca="false">MIN(F19,Model!H162)</f>
        <v>0</v>
      </c>
      <c r="G20" s="283" t="n">
        <f aca="false">MIN(G19,Model!I162)</f>
        <v>0</v>
      </c>
      <c r="H20" s="283" t="n">
        <f aca="false">MIN(H19,Model!J162)</f>
        <v>0</v>
      </c>
      <c r="I20" s="283" t="n">
        <f aca="false">MIN(I19,Model!K162)</f>
        <v>0</v>
      </c>
      <c r="J20" s="283" t="n">
        <f aca="false">MIN(J19,Model!L162)</f>
        <v>0</v>
      </c>
      <c r="K20" s="283" t="n">
        <f aca="false">MIN(K19,Model!M162)</f>
        <v>0</v>
      </c>
      <c r="L20" s="283" t="n">
        <f aca="false">MIN(L19,Model!N162)</f>
        <v>0</v>
      </c>
      <c r="M20" s="283" t="n">
        <f aca="false">MIN(M19,Model!O162)</f>
        <v>0</v>
      </c>
      <c r="N20" s="283" t="n">
        <f aca="false">MIN(N19,Model!P162)</f>
        <v>0</v>
      </c>
      <c r="O20" s="283" t="n">
        <f aca="false">MIN(O19,Model!Q162)</f>
        <v>0</v>
      </c>
      <c r="P20" s="283" t="n">
        <f aca="false">MIN(P19,Model!R162)</f>
        <v>0</v>
      </c>
      <c r="Q20" s="283" t="n">
        <f aca="false">MIN(Q19,Model!S162)</f>
        <v>0</v>
      </c>
      <c r="R20" s="283" t="n">
        <f aca="false">MIN(R19,Model!T162)</f>
        <v>0</v>
      </c>
      <c r="S20" s="283" t="n">
        <f aca="false">MIN(S19,Model!U162)</f>
        <v>0</v>
      </c>
      <c r="T20" s="283" t="n">
        <f aca="false">MIN(T19,Model!V162)</f>
        <v>0</v>
      </c>
      <c r="U20" s="283" t="n">
        <f aca="false">MIN(U19,Model!W162)</f>
        <v>0</v>
      </c>
      <c r="V20" s="283" t="n">
        <f aca="false">MIN(V19,Model!X162)</f>
        <v>0</v>
      </c>
      <c r="W20" s="283" t="n">
        <f aca="false">MIN(W19,Model!Y162)</f>
        <v>0</v>
      </c>
      <c r="X20" s="283" t="n">
        <f aca="false">MIN(X19,Model!Z162)</f>
        <v>0</v>
      </c>
      <c r="Y20" s="283" t="n">
        <f aca="false">MIN(Y19,Model!AA162)</f>
        <v>0</v>
      </c>
      <c r="Z20" s="283" t="n">
        <f aca="false">MIN(Z19,Model!AB162)</f>
        <v>0</v>
      </c>
      <c r="AA20" s="283" t="n">
        <f aca="false">MIN(AA19,Model!AC162)</f>
        <v>0</v>
      </c>
      <c r="AB20" s="283" t="n">
        <f aca="false">MIN(AB19,Model!AD162)</f>
        <v>0</v>
      </c>
      <c r="AC20" s="283" t="n">
        <f aca="false">MIN(AC19,Model!AE162)</f>
        <v>0</v>
      </c>
      <c r="AD20" s="283" t="n">
        <f aca="false">MIN(AD19,Model!AF162)</f>
        <v>0</v>
      </c>
      <c r="AE20" s="283" t="n">
        <f aca="false">MIN(AE19,Model!AG162)</f>
        <v>0</v>
      </c>
      <c r="AF20" s="283" t="n">
        <f aca="false">MIN(AF19,Model!AH162)</f>
        <v>0</v>
      </c>
      <c r="AG20" s="283" t="n">
        <f aca="false">MIN(AG19,Model!AI162)</f>
        <v>0</v>
      </c>
      <c r="AH20" s="283" t="n">
        <f aca="false">MIN(AH19,Model!AJ162)</f>
        <v>0</v>
      </c>
      <c r="AI20" s="283" t="n">
        <f aca="false">MIN(AI19,Model!AK162)</f>
        <v>0</v>
      </c>
      <c r="AJ20" s="283" t="n">
        <f aca="false">MIN(AJ19,Model!AL162)</f>
        <v>0</v>
      </c>
      <c r="AK20" s="283" t="n">
        <f aca="false">MIN(AK19,Model!AM162)</f>
        <v>0</v>
      </c>
      <c r="AL20" s="283" t="n">
        <f aca="false">MIN(AL19,Model!AN162)</f>
        <v>0</v>
      </c>
      <c r="AM20" s="283" t="n">
        <f aca="false">MIN(AM19,Model!AO162)</f>
        <v>0</v>
      </c>
      <c r="AN20" s="283" t="n">
        <f aca="false">MIN(AN19,Model!AP162)</f>
        <v>0</v>
      </c>
      <c r="AO20" s="283" t="n">
        <f aca="false">MIN(AO19,Model!AQ162)</f>
        <v>0</v>
      </c>
      <c r="AP20" s="283" t="n">
        <f aca="false">MIN(AP19,Model!AR162)</f>
        <v>0</v>
      </c>
      <c r="AQ20" s="283" t="n">
        <f aca="false">MIN(AQ19,Model!AS162)</f>
        <v>0</v>
      </c>
      <c r="AR20" s="283" t="n">
        <f aca="false">MIN(AR19,Model!AT162)</f>
        <v>81683</v>
      </c>
      <c r="AS20" s="283" t="n">
        <f aca="false">MIN(AS19,Model!AU162)</f>
        <v>0</v>
      </c>
      <c r="AT20" s="283" t="n">
        <f aca="false">MIN(AT19,Model!AV162)</f>
        <v>0</v>
      </c>
      <c r="AU20" s="283" t="n">
        <f aca="false">MIN(AU19,Model!AW162)</f>
        <v>81682</v>
      </c>
      <c r="AV20" s="283" t="n">
        <f aca="false">MIN(AV19,Model!AX162)</f>
        <v>0</v>
      </c>
      <c r="AW20" s="283" t="n">
        <f aca="false">MIN(AW19,Model!AY162)</f>
        <v>0</v>
      </c>
      <c r="AX20" s="283" t="n">
        <f aca="false">MIN(AX19,Model!AZ162)</f>
        <v>81682</v>
      </c>
      <c r="AY20" s="283" t="n">
        <f aca="false">MIN(AY19,Model!BA162)</f>
        <v>0</v>
      </c>
      <c r="AZ20" s="283" t="n">
        <f aca="false">MIN(AZ19,Model!BB162)</f>
        <v>0</v>
      </c>
      <c r="BA20" s="283" t="n">
        <f aca="false">MIN(BA19,Model!BC162)</f>
        <v>81682</v>
      </c>
      <c r="BB20" s="283" t="n">
        <f aca="false">MIN(BB19,Model!BD162)</f>
        <v>0</v>
      </c>
      <c r="BC20" s="283" t="n">
        <f aca="false">MIN(BC19,Model!BE162)</f>
        <v>0</v>
      </c>
      <c r="BD20" s="283" t="n">
        <f aca="false">MIN(BD19,Model!BF162)</f>
        <v>59178</v>
      </c>
      <c r="BE20" s="283" t="n">
        <f aca="false">MIN(BE19,Model!BG162)</f>
        <v>0</v>
      </c>
      <c r="BF20" s="283" t="n">
        <f aca="false">MIN(BF19,Model!BH162)</f>
        <v>0</v>
      </c>
      <c r="BG20" s="283" t="n">
        <f aca="false">MIN(BG19,Model!BI162)</f>
        <v>59176</v>
      </c>
      <c r="BH20" s="283" t="n">
        <f aca="false">MIN(BH19,Model!BJ162)</f>
        <v>0</v>
      </c>
      <c r="BI20" s="283" t="n">
        <f aca="false">MIN(BI19,Model!BK162)</f>
        <v>0</v>
      </c>
      <c r="BJ20" s="283" t="n">
        <f aca="false">MIN(BJ19,Model!BL162)</f>
        <v>59176</v>
      </c>
      <c r="BK20" s="283" t="n">
        <f aca="false">MIN(BK19,Model!BM162)</f>
        <v>0</v>
      </c>
      <c r="BL20" s="283" t="n">
        <f aca="false">MIN(BL19,Model!BN162)</f>
        <v>0</v>
      </c>
      <c r="BM20" s="283" t="n">
        <f aca="false">MIN(BM19,Model!BO162)</f>
        <v>59176</v>
      </c>
      <c r="BN20" s="283" t="n">
        <f aca="false">MIN(BN19,Model!BP162)</f>
        <v>0</v>
      </c>
      <c r="BO20" s="283" t="n">
        <f aca="false">MIN(BO19,Model!BQ162)</f>
        <v>0</v>
      </c>
      <c r="BP20" s="283" t="n">
        <f aca="false">MIN(BP19,Model!BR162)</f>
        <v>14512.65</v>
      </c>
      <c r="BQ20" s="283" t="n">
        <f aca="false">MIN(BQ19,Model!BS162)</f>
        <v>0</v>
      </c>
      <c r="BR20" s="283" t="n">
        <f aca="false">MIN(BR19,Model!BT162)</f>
        <v>0</v>
      </c>
      <c r="BS20" s="283" t="n">
        <f aca="false">MIN(BS19,Model!BU162)</f>
        <v>0</v>
      </c>
      <c r="BT20" s="283" t="n">
        <f aca="false">MIN(BT19,Model!BV162)</f>
        <v>0</v>
      </c>
      <c r="BU20" s="283" t="n">
        <f aca="false">MIN(BU19,Model!BW162)</f>
        <v>0</v>
      </c>
      <c r="BV20" s="283" t="n">
        <f aca="false">MIN(BV19,Model!BX162)</f>
        <v>0</v>
      </c>
      <c r="BW20" s="283" t="n">
        <f aca="false">MIN(BW19,Model!BY162)</f>
        <v>0</v>
      </c>
      <c r="BX20" s="283" t="n">
        <f aca="false">MIN(BX19,Model!BZ162)</f>
        <v>0</v>
      </c>
      <c r="BY20" s="283" t="n">
        <f aca="false">MIN(BY19,Model!CA162)</f>
        <v>0</v>
      </c>
      <c r="BZ20" s="283" t="n">
        <f aca="false">MIN(BZ19,Model!CB162)</f>
        <v>0</v>
      </c>
      <c r="CA20" s="283" t="n">
        <f aca="false">MIN(CA19,Model!CC162)</f>
        <v>0</v>
      </c>
      <c r="CB20" s="283" t="n">
        <f aca="false">MIN(CB19,Model!CD162)</f>
        <v>0</v>
      </c>
      <c r="CC20" s="283" t="n">
        <f aca="false">MIN(CC19,Model!CE162)</f>
        <v>0</v>
      </c>
      <c r="CD20" s="283" t="n">
        <f aca="false">MIN(CD19,Model!CF162)</f>
        <v>0</v>
      </c>
      <c r="CE20" s="283" t="n">
        <f aca="false">MIN(CE19,Model!CG162)</f>
        <v>0</v>
      </c>
      <c r="CF20" s="283" t="n">
        <f aca="false">MIN(CF19,Model!CH162)</f>
        <v>0</v>
      </c>
      <c r="CG20" s="283" t="n">
        <f aca="false">MIN(CG19,Model!CI162)</f>
        <v>0</v>
      </c>
      <c r="CH20" s="283" t="n">
        <f aca="false">MIN(CH19,Model!CJ162)</f>
        <v>0</v>
      </c>
      <c r="CI20" s="283" t="n">
        <f aca="false">MIN(CI19,Model!CK162)</f>
        <v>0</v>
      </c>
      <c r="CJ20" s="283" t="n">
        <f aca="false">MIN(CJ19,Model!CL162)</f>
        <v>0</v>
      </c>
      <c r="CK20" s="283" t="n">
        <f aca="false">MIN(CK19,Model!CM162)</f>
        <v>0</v>
      </c>
      <c r="CL20" s="283" t="n">
        <f aca="false">MIN(CL19,Model!CN162)</f>
        <v>0</v>
      </c>
      <c r="CM20" s="283" t="n">
        <f aca="false">MIN(CM19,Model!CO162)</f>
        <v>0</v>
      </c>
      <c r="CN20" s="283" t="n">
        <f aca="false">MIN(CN19,Model!CP162)</f>
        <v>0</v>
      </c>
      <c r="CO20" s="283" t="n">
        <f aca="false">MIN(CO19,Model!CQ162)</f>
        <v>0</v>
      </c>
      <c r="CP20" s="283" t="n">
        <f aca="false">MIN(CP19,Model!CR162)</f>
        <v>0</v>
      </c>
      <c r="CQ20" s="283" t="n">
        <f aca="false">MIN(CQ19,Model!CS162)</f>
        <v>0</v>
      </c>
    </row>
    <row r="21" customFormat="false" ht="15" hidden="false" customHeight="true" outlineLevel="0" collapsed="false">
      <c r="A21" s="108" t="s">
        <v>818</v>
      </c>
      <c r="C21" s="281" t="n">
        <f aca="false">MAX(0,C19-C20)</f>
        <v>577947.65</v>
      </c>
      <c r="D21" s="281" t="n">
        <f aca="false">MAX(0,D19-D20)</f>
        <v>577947.65</v>
      </c>
      <c r="E21" s="281" t="n">
        <f aca="false">MAX(0,E19-E20)</f>
        <v>577947.65</v>
      </c>
      <c r="F21" s="281" t="n">
        <f aca="false">MAX(0,F19-F20)</f>
        <v>577947.65</v>
      </c>
      <c r="G21" s="281" t="n">
        <f aca="false">MAX(0,G19-G20)</f>
        <v>577947.65</v>
      </c>
      <c r="H21" s="281" t="n">
        <f aca="false">MAX(0,H19-H20)</f>
        <v>577947.65</v>
      </c>
      <c r="I21" s="281" t="n">
        <f aca="false">MAX(0,I19-I20)</f>
        <v>577947.65</v>
      </c>
      <c r="J21" s="281" t="n">
        <f aca="false">MAX(0,J19-J20)</f>
        <v>577947.65</v>
      </c>
      <c r="K21" s="281" t="n">
        <f aca="false">MAX(0,K19-K20)</f>
        <v>577947.65</v>
      </c>
      <c r="L21" s="281" t="n">
        <f aca="false">MAX(0,L19-L20)</f>
        <v>577947.65</v>
      </c>
      <c r="M21" s="281" t="n">
        <f aca="false">MAX(0,M19-M20)</f>
        <v>577947.65</v>
      </c>
      <c r="N21" s="281" t="n">
        <f aca="false">MAX(0,N19-N20)</f>
        <v>577947.65</v>
      </c>
      <c r="O21" s="281" t="n">
        <f aca="false">MAX(0,O19-O20)</f>
        <v>577947.65</v>
      </c>
      <c r="P21" s="281" t="n">
        <f aca="false">MAX(0,P19-P20)</f>
        <v>577947.65</v>
      </c>
      <c r="Q21" s="281" t="n">
        <f aca="false">MAX(0,Q19-Q20)</f>
        <v>577947.65</v>
      </c>
      <c r="R21" s="281" t="n">
        <f aca="false">MAX(0,R19-R20)</f>
        <v>577947.65</v>
      </c>
      <c r="S21" s="281" t="n">
        <f aca="false">MAX(0,S19-S20)</f>
        <v>577947.65</v>
      </c>
      <c r="T21" s="281" t="n">
        <f aca="false">MAX(0,T19-T20)</f>
        <v>577947.65</v>
      </c>
      <c r="U21" s="281" t="n">
        <f aca="false">MAX(0,U19-U20)</f>
        <v>577947.65</v>
      </c>
      <c r="V21" s="281" t="n">
        <f aca="false">MAX(0,V19-V20)</f>
        <v>577947.65</v>
      </c>
      <c r="W21" s="281" t="n">
        <f aca="false">MAX(0,W19-W20)</f>
        <v>577947.65</v>
      </c>
      <c r="X21" s="281" t="n">
        <f aca="false">MAX(0,X19-X20)</f>
        <v>577947.65</v>
      </c>
      <c r="Y21" s="281" t="n">
        <f aca="false">MAX(0,Y19-Y20)</f>
        <v>577947.65</v>
      </c>
      <c r="Z21" s="281" t="n">
        <f aca="false">MAX(0,Z19-Z20)</f>
        <v>577947.65</v>
      </c>
      <c r="AA21" s="281" t="n">
        <f aca="false">MAX(0,AA19-AA20)</f>
        <v>577947.65</v>
      </c>
      <c r="AB21" s="281" t="n">
        <f aca="false">MAX(0,AB19-AB20)</f>
        <v>577947.65</v>
      </c>
      <c r="AC21" s="281" t="n">
        <f aca="false">MAX(0,AC19-AC20)</f>
        <v>577947.65</v>
      </c>
      <c r="AD21" s="281" t="n">
        <f aca="false">MAX(0,AD19-AD20)</f>
        <v>577947.65</v>
      </c>
      <c r="AE21" s="281" t="n">
        <f aca="false">MAX(0,AE19-AE20)</f>
        <v>577947.65</v>
      </c>
      <c r="AF21" s="281" t="n">
        <f aca="false">MAX(0,AF19-AF20)</f>
        <v>577947.65</v>
      </c>
      <c r="AG21" s="281" t="n">
        <f aca="false">MAX(0,AG19-AG20)</f>
        <v>577947.65</v>
      </c>
      <c r="AH21" s="281" t="n">
        <f aca="false">MAX(0,AH19-AH20)</f>
        <v>577947.65</v>
      </c>
      <c r="AI21" s="281" t="n">
        <f aca="false">MAX(0,AI19-AI20)</f>
        <v>577947.65</v>
      </c>
      <c r="AJ21" s="281" t="n">
        <f aca="false">MAX(0,AJ19-AJ20)</f>
        <v>577947.65</v>
      </c>
      <c r="AK21" s="281" t="n">
        <f aca="false">MAX(0,AK19-AK20)</f>
        <v>577947.65</v>
      </c>
      <c r="AL21" s="281" t="n">
        <f aca="false">MAX(0,AL19-AL20)</f>
        <v>577947.65</v>
      </c>
      <c r="AM21" s="281" t="n">
        <f aca="false">MAX(0,AM19-AM20)</f>
        <v>577947.65</v>
      </c>
      <c r="AN21" s="281" t="n">
        <f aca="false">MAX(0,AN19-AN20)</f>
        <v>577947.65</v>
      </c>
      <c r="AO21" s="281" t="n">
        <f aca="false">MAX(0,AO19-AO20)</f>
        <v>577947.65</v>
      </c>
      <c r="AP21" s="281" t="n">
        <f aca="false">MAX(0,AP19-AP20)</f>
        <v>577947.65</v>
      </c>
      <c r="AQ21" s="281" t="n">
        <f aca="false">MAX(0,AQ19-AQ20)</f>
        <v>577947.65</v>
      </c>
      <c r="AR21" s="281" t="n">
        <f aca="false">MAX(0,AR19-AR20)</f>
        <v>496264.65</v>
      </c>
      <c r="AS21" s="281" t="n">
        <f aca="false">MAX(0,AS19-AS20)</f>
        <v>496264.65</v>
      </c>
      <c r="AT21" s="281" t="n">
        <f aca="false">MAX(0,AT19-AT20)</f>
        <v>496264.65</v>
      </c>
      <c r="AU21" s="281" t="n">
        <f aca="false">MAX(0,AU19-AU20)</f>
        <v>414582.65</v>
      </c>
      <c r="AV21" s="281" t="n">
        <f aca="false">MAX(0,AV19-AV20)</f>
        <v>414582.65</v>
      </c>
      <c r="AW21" s="281" t="n">
        <f aca="false">MAX(0,AW19-AW20)</f>
        <v>414582.65</v>
      </c>
      <c r="AX21" s="281" t="n">
        <f aca="false">MAX(0,AX19-AX20)</f>
        <v>332900.65</v>
      </c>
      <c r="AY21" s="281" t="n">
        <f aca="false">MAX(0,AY19-AY20)</f>
        <v>332900.65</v>
      </c>
      <c r="AZ21" s="281" t="n">
        <f aca="false">MAX(0,AZ19-AZ20)</f>
        <v>332900.65</v>
      </c>
      <c r="BA21" s="281" t="n">
        <f aca="false">MAX(0,BA19-BA20)</f>
        <v>251218.65</v>
      </c>
      <c r="BB21" s="281" t="n">
        <f aca="false">MAX(0,BB19-BB20)</f>
        <v>251218.65</v>
      </c>
      <c r="BC21" s="281" t="n">
        <f aca="false">MAX(0,BC19-BC20)</f>
        <v>251218.65</v>
      </c>
      <c r="BD21" s="281" t="n">
        <f aca="false">MAX(0,BD19-BD20)</f>
        <v>192040.65</v>
      </c>
      <c r="BE21" s="281" t="n">
        <f aca="false">MAX(0,BE19-BE20)</f>
        <v>192040.65</v>
      </c>
      <c r="BF21" s="281" t="n">
        <f aca="false">MAX(0,BF19-BF20)</f>
        <v>192040.65</v>
      </c>
      <c r="BG21" s="281" t="n">
        <f aca="false">MAX(0,BG19-BG20)</f>
        <v>132864.65</v>
      </c>
      <c r="BH21" s="281" t="n">
        <f aca="false">MAX(0,BH19-BH20)</f>
        <v>132864.65</v>
      </c>
      <c r="BI21" s="281" t="n">
        <f aca="false">MAX(0,BI19-BI20)</f>
        <v>132864.65</v>
      </c>
      <c r="BJ21" s="281" t="n">
        <f aca="false">MAX(0,BJ19-BJ20)</f>
        <v>73688.65</v>
      </c>
      <c r="BK21" s="281" t="n">
        <f aca="false">MAX(0,BK19-BK20)</f>
        <v>73688.65</v>
      </c>
      <c r="BL21" s="281" t="n">
        <f aca="false">MAX(0,BL19-BL20)</f>
        <v>73688.65</v>
      </c>
      <c r="BM21" s="281" t="n">
        <f aca="false">MAX(0,BM19-BM20)</f>
        <v>14512.65</v>
      </c>
      <c r="BN21" s="281" t="n">
        <f aca="false">MAX(0,BN19-BN20)</f>
        <v>14512.65</v>
      </c>
      <c r="BO21" s="281" t="n">
        <f aca="false">MAX(0,BO19-BO20)</f>
        <v>14512.65</v>
      </c>
      <c r="BP21" s="281" t="n">
        <f aca="false">MAX(0,BP19-BP20)</f>
        <v>0</v>
      </c>
      <c r="BQ21" s="281" t="n">
        <f aca="false">MAX(0,BQ19-BQ20)</f>
        <v>0</v>
      </c>
      <c r="BR21" s="281" t="n">
        <f aca="false">MAX(0,BR19-BR20)</f>
        <v>0</v>
      </c>
      <c r="BS21" s="281" t="n">
        <f aca="false">MAX(0,BS19-BS20)</f>
        <v>0</v>
      </c>
      <c r="BT21" s="281" t="n">
        <f aca="false">MAX(0,BT19-BT20)</f>
        <v>0</v>
      </c>
      <c r="BU21" s="281" t="n">
        <f aca="false">MAX(0,BU19-BU20)</f>
        <v>0</v>
      </c>
      <c r="BV21" s="281" t="n">
        <f aca="false">MAX(0,BV19-BV20)</f>
        <v>0</v>
      </c>
      <c r="BW21" s="281" t="n">
        <f aca="false">MAX(0,BW19-BW20)</f>
        <v>0</v>
      </c>
      <c r="BX21" s="281" t="n">
        <f aca="false">MAX(0,BX19-BX20)</f>
        <v>0</v>
      </c>
      <c r="BY21" s="281" t="n">
        <f aca="false">MAX(0,BY19-BY20)</f>
        <v>0</v>
      </c>
      <c r="BZ21" s="281" t="n">
        <f aca="false">MAX(0,BZ19-BZ20)</f>
        <v>0</v>
      </c>
      <c r="CA21" s="281" t="n">
        <f aca="false">MAX(0,CA19-CA20)</f>
        <v>0</v>
      </c>
      <c r="CB21" s="281" t="n">
        <f aca="false">MAX(0,CB19-CB20)</f>
        <v>0</v>
      </c>
      <c r="CC21" s="281" t="n">
        <f aca="false">MAX(0,CC19-CC20)</f>
        <v>0</v>
      </c>
      <c r="CD21" s="281" t="n">
        <f aca="false">MAX(0,CD19-CD20)</f>
        <v>0</v>
      </c>
      <c r="CE21" s="281" t="n">
        <f aca="false">MAX(0,CE19-CE20)</f>
        <v>0</v>
      </c>
      <c r="CF21" s="281" t="n">
        <f aca="false">MAX(0,CF19-CF20)</f>
        <v>0</v>
      </c>
      <c r="CG21" s="281" t="n">
        <f aca="false">MAX(0,CG19-CG20)</f>
        <v>0</v>
      </c>
      <c r="CH21" s="281" t="n">
        <f aca="false">MAX(0,CH19-CH20)</f>
        <v>0</v>
      </c>
      <c r="CI21" s="281" t="n">
        <f aca="false">MAX(0,CI19-CI20)</f>
        <v>0</v>
      </c>
      <c r="CJ21" s="281" t="n">
        <f aca="false">MAX(0,CJ19-CJ20)</f>
        <v>0</v>
      </c>
      <c r="CK21" s="281" t="n">
        <f aca="false">MAX(0,CK19-CK20)</f>
        <v>0</v>
      </c>
      <c r="CL21" s="281" t="n">
        <f aca="false">MAX(0,CL19-CL20)</f>
        <v>0</v>
      </c>
      <c r="CM21" s="281" t="n">
        <f aca="false">MAX(0,CM19-CM20)</f>
        <v>0</v>
      </c>
      <c r="CN21" s="281" t="n">
        <f aca="false">MAX(0,CN19-CN20)</f>
        <v>0</v>
      </c>
      <c r="CO21" s="281" t="n">
        <f aca="false">MAX(0,CO19-CO20)</f>
        <v>0</v>
      </c>
      <c r="CP21" s="281" t="n">
        <f aca="false">MAX(0,CP19-CP20)</f>
        <v>0</v>
      </c>
      <c r="CQ21" s="281" t="n">
        <f aca="false">MAX(0,CQ19-CQ20)</f>
        <v>0</v>
      </c>
    </row>
    <row r="22" customFormat="false" ht="15" hidden="false" customHeight="true" outlineLevel="0" collapsed="false">
      <c r="A22" s="162" t="s">
        <v>819</v>
      </c>
      <c r="C22" s="265" t="n">
        <f aca="false">IF(Projects!$G$13="Yes",Projects!$B$13*Assumptions!$B$47+Assumptions!$B$54*Assumptions!$B$48,0)</f>
        <v>602667.7</v>
      </c>
      <c r="D22" s="265" t="n">
        <f aca="false">C24</f>
        <v>602667.7</v>
      </c>
      <c r="E22" s="265" t="n">
        <f aca="false">D24</f>
        <v>602667.7</v>
      </c>
      <c r="F22" s="265" t="n">
        <f aca="false">E24</f>
        <v>602667.7</v>
      </c>
      <c r="G22" s="265" t="n">
        <f aca="false">F24</f>
        <v>602667.7</v>
      </c>
      <c r="H22" s="265" t="n">
        <f aca="false">G24</f>
        <v>602667.7</v>
      </c>
      <c r="I22" s="265" t="n">
        <f aca="false">H24</f>
        <v>602667.7</v>
      </c>
      <c r="J22" s="265" t="n">
        <f aca="false">I24</f>
        <v>602667.7</v>
      </c>
      <c r="K22" s="265" t="n">
        <f aca="false">J24</f>
        <v>602667.7</v>
      </c>
      <c r="L22" s="265" t="n">
        <f aca="false">K24</f>
        <v>602667.7</v>
      </c>
      <c r="M22" s="265" t="n">
        <f aca="false">L24</f>
        <v>602667.7</v>
      </c>
      <c r="N22" s="265" t="n">
        <f aca="false">M24</f>
        <v>602667.7</v>
      </c>
      <c r="O22" s="265" t="n">
        <f aca="false">N24</f>
        <v>602667.7</v>
      </c>
      <c r="P22" s="265" t="n">
        <f aca="false">O24</f>
        <v>602667.7</v>
      </c>
      <c r="Q22" s="265" t="n">
        <f aca="false">P24</f>
        <v>602667.7</v>
      </c>
      <c r="R22" s="265" t="n">
        <f aca="false">Q24</f>
        <v>602667.7</v>
      </c>
      <c r="S22" s="265" t="n">
        <f aca="false">R24</f>
        <v>602667.7</v>
      </c>
      <c r="T22" s="265" t="n">
        <f aca="false">S24</f>
        <v>602667.7</v>
      </c>
      <c r="U22" s="265" t="n">
        <f aca="false">T24</f>
        <v>602667.7</v>
      </c>
      <c r="V22" s="265" t="n">
        <f aca="false">U24</f>
        <v>602667.7</v>
      </c>
      <c r="W22" s="265" t="n">
        <f aca="false">V24</f>
        <v>602667.7</v>
      </c>
      <c r="X22" s="265" t="n">
        <f aca="false">W24</f>
        <v>602667.7</v>
      </c>
      <c r="Y22" s="265" t="n">
        <f aca="false">X24</f>
        <v>602667.7</v>
      </c>
      <c r="Z22" s="265" t="n">
        <f aca="false">Y24</f>
        <v>602667.7</v>
      </c>
      <c r="AA22" s="265" t="n">
        <f aca="false">Z24</f>
        <v>602667.7</v>
      </c>
      <c r="AB22" s="265" t="n">
        <f aca="false">AA24</f>
        <v>602667.7</v>
      </c>
      <c r="AC22" s="265" t="n">
        <f aca="false">AB24</f>
        <v>602667.7</v>
      </c>
      <c r="AD22" s="265" t="n">
        <f aca="false">AC24</f>
        <v>602667.7</v>
      </c>
      <c r="AE22" s="265" t="n">
        <f aca="false">AD24</f>
        <v>602667.7</v>
      </c>
      <c r="AF22" s="265" t="n">
        <f aca="false">AE24</f>
        <v>602667.7</v>
      </c>
      <c r="AG22" s="265" t="n">
        <f aca="false">AF24</f>
        <v>602667.7</v>
      </c>
      <c r="AH22" s="265" t="n">
        <f aca="false">AG24</f>
        <v>602667.7</v>
      </c>
      <c r="AI22" s="265" t="n">
        <f aca="false">AH24</f>
        <v>602667.7</v>
      </c>
      <c r="AJ22" s="265" t="n">
        <f aca="false">AI24</f>
        <v>602667.7</v>
      </c>
      <c r="AK22" s="265" t="n">
        <f aca="false">AJ24</f>
        <v>602667.7</v>
      </c>
      <c r="AL22" s="265" t="n">
        <f aca="false">AK24</f>
        <v>602667.7</v>
      </c>
      <c r="AM22" s="265" t="n">
        <f aca="false">AL24</f>
        <v>602667.7</v>
      </c>
      <c r="AN22" s="265" t="n">
        <f aca="false">AM24</f>
        <v>602667.7</v>
      </c>
      <c r="AO22" s="265" t="n">
        <f aca="false">AN24</f>
        <v>602667.7</v>
      </c>
      <c r="AP22" s="265" t="n">
        <f aca="false">AO24</f>
        <v>602667.7</v>
      </c>
      <c r="AQ22" s="265" t="n">
        <f aca="false">AP24</f>
        <v>602667.7</v>
      </c>
      <c r="AR22" s="265" t="n">
        <f aca="false">AQ24</f>
        <v>602667.7</v>
      </c>
      <c r="AS22" s="265" t="n">
        <f aca="false">AR24</f>
        <v>602667.7</v>
      </c>
      <c r="AT22" s="265" t="n">
        <f aca="false">AS24</f>
        <v>602667.7</v>
      </c>
      <c r="AU22" s="265" t="n">
        <f aca="false">AT24</f>
        <v>602667.7</v>
      </c>
      <c r="AV22" s="265" t="n">
        <f aca="false">AU24</f>
        <v>602667.7</v>
      </c>
      <c r="AW22" s="265" t="n">
        <f aca="false">AV24</f>
        <v>602667.7</v>
      </c>
      <c r="AX22" s="265" t="n">
        <f aca="false">AW24</f>
        <v>602667.7</v>
      </c>
      <c r="AY22" s="265" t="n">
        <f aca="false">AX24</f>
        <v>602667.7</v>
      </c>
      <c r="AZ22" s="265" t="n">
        <f aca="false">AY24</f>
        <v>602667.7</v>
      </c>
      <c r="BA22" s="265" t="n">
        <f aca="false">AZ24</f>
        <v>602667.7</v>
      </c>
      <c r="BB22" s="265" t="n">
        <f aca="false">BA24</f>
        <v>0</v>
      </c>
      <c r="BC22" s="265" t="n">
        <f aca="false">BB24</f>
        <v>0</v>
      </c>
      <c r="BD22" s="265" t="n">
        <f aca="false">BC24</f>
        <v>0</v>
      </c>
      <c r="BE22" s="265" t="n">
        <f aca="false">BD24</f>
        <v>0</v>
      </c>
      <c r="BF22" s="265" t="n">
        <f aca="false">BE24</f>
        <v>0</v>
      </c>
      <c r="BG22" s="265" t="n">
        <f aca="false">BF24</f>
        <v>0</v>
      </c>
      <c r="BH22" s="265" t="n">
        <f aca="false">BG24</f>
        <v>0</v>
      </c>
      <c r="BI22" s="265" t="n">
        <f aca="false">BH24</f>
        <v>0</v>
      </c>
      <c r="BJ22" s="265" t="n">
        <f aca="false">BI24</f>
        <v>0</v>
      </c>
      <c r="BK22" s="265" t="n">
        <f aca="false">BJ24</f>
        <v>0</v>
      </c>
      <c r="BL22" s="265" t="n">
        <f aca="false">BK24</f>
        <v>0</v>
      </c>
      <c r="BM22" s="265" t="n">
        <f aca="false">BL24</f>
        <v>0</v>
      </c>
      <c r="BN22" s="265" t="n">
        <f aca="false">BM24</f>
        <v>0</v>
      </c>
      <c r="BO22" s="265" t="n">
        <f aca="false">BN24</f>
        <v>0</v>
      </c>
      <c r="BP22" s="265" t="n">
        <f aca="false">BO24</f>
        <v>0</v>
      </c>
      <c r="BQ22" s="265" t="n">
        <f aca="false">BP24</f>
        <v>0</v>
      </c>
      <c r="BR22" s="265" t="n">
        <f aca="false">BQ24</f>
        <v>0</v>
      </c>
      <c r="BS22" s="265" t="n">
        <f aca="false">BR24</f>
        <v>0</v>
      </c>
      <c r="BT22" s="265" t="n">
        <f aca="false">BS24</f>
        <v>0</v>
      </c>
      <c r="BU22" s="265" t="n">
        <f aca="false">BT24</f>
        <v>0</v>
      </c>
      <c r="BV22" s="265" t="n">
        <f aca="false">BU24</f>
        <v>0</v>
      </c>
      <c r="BW22" s="265" t="n">
        <f aca="false">BV24</f>
        <v>0</v>
      </c>
      <c r="BX22" s="265" t="n">
        <f aca="false">BW24</f>
        <v>0</v>
      </c>
      <c r="BY22" s="265" t="n">
        <f aca="false">BX24</f>
        <v>0</v>
      </c>
      <c r="BZ22" s="265" t="n">
        <f aca="false">BY24</f>
        <v>0</v>
      </c>
      <c r="CA22" s="265" t="n">
        <f aca="false">BZ24</f>
        <v>0</v>
      </c>
      <c r="CB22" s="265" t="n">
        <f aca="false">CA24</f>
        <v>0</v>
      </c>
      <c r="CC22" s="265" t="n">
        <f aca="false">CB24</f>
        <v>0</v>
      </c>
      <c r="CD22" s="265" t="n">
        <f aca="false">CC24</f>
        <v>0</v>
      </c>
      <c r="CE22" s="265" t="n">
        <f aca="false">CD24</f>
        <v>0</v>
      </c>
      <c r="CF22" s="265" t="n">
        <f aca="false">CE24</f>
        <v>0</v>
      </c>
      <c r="CG22" s="265" t="n">
        <f aca="false">CF24</f>
        <v>0</v>
      </c>
      <c r="CH22" s="265" t="n">
        <f aca="false">CG24</f>
        <v>0</v>
      </c>
      <c r="CI22" s="265" t="n">
        <f aca="false">CH24</f>
        <v>0</v>
      </c>
      <c r="CJ22" s="265" t="n">
        <f aca="false">CI24</f>
        <v>0</v>
      </c>
      <c r="CK22" s="265" t="n">
        <f aca="false">CJ24</f>
        <v>0</v>
      </c>
      <c r="CL22" s="265" t="n">
        <f aca="false">CK24</f>
        <v>0</v>
      </c>
      <c r="CM22" s="265" t="n">
        <f aca="false">CL24</f>
        <v>0</v>
      </c>
      <c r="CN22" s="265" t="n">
        <f aca="false">CM24</f>
        <v>0</v>
      </c>
      <c r="CO22" s="265" t="n">
        <f aca="false">CN24</f>
        <v>0</v>
      </c>
      <c r="CP22" s="265" t="n">
        <f aca="false">CO24</f>
        <v>0</v>
      </c>
      <c r="CQ22" s="265" t="n">
        <f aca="false">CP24</f>
        <v>0</v>
      </c>
    </row>
    <row r="23" customFormat="false" ht="15" hidden="false" customHeight="true" outlineLevel="0" collapsed="false">
      <c r="A23" s="282" t="s">
        <v>820</v>
      </c>
      <c r="C23" s="283" t="n">
        <f aca="false">MIN(C22,Model!E163)</f>
        <v>0</v>
      </c>
      <c r="D23" s="283" t="n">
        <f aca="false">MIN(D22,Model!F163)</f>
        <v>0</v>
      </c>
      <c r="E23" s="283" t="n">
        <f aca="false">MIN(E22,Model!G163)</f>
        <v>0</v>
      </c>
      <c r="F23" s="283" t="n">
        <f aca="false">MIN(F22,Model!H163)</f>
        <v>0</v>
      </c>
      <c r="G23" s="283" t="n">
        <f aca="false">MIN(G22,Model!I163)</f>
        <v>0</v>
      </c>
      <c r="H23" s="283" t="n">
        <f aca="false">MIN(H22,Model!J163)</f>
        <v>0</v>
      </c>
      <c r="I23" s="283" t="n">
        <f aca="false">MIN(I22,Model!K163)</f>
        <v>0</v>
      </c>
      <c r="J23" s="283" t="n">
        <f aca="false">MIN(J22,Model!L163)</f>
        <v>0</v>
      </c>
      <c r="K23" s="283" t="n">
        <f aca="false">MIN(K22,Model!M163)</f>
        <v>0</v>
      </c>
      <c r="L23" s="283" t="n">
        <f aca="false">MIN(L22,Model!N163)</f>
        <v>0</v>
      </c>
      <c r="M23" s="283" t="n">
        <f aca="false">MIN(M22,Model!O163)</f>
        <v>0</v>
      </c>
      <c r="N23" s="283" t="n">
        <f aca="false">MIN(N22,Model!P163)</f>
        <v>0</v>
      </c>
      <c r="O23" s="283" t="n">
        <f aca="false">MIN(O22,Model!Q163)</f>
        <v>0</v>
      </c>
      <c r="P23" s="283" t="n">
        <f aca="false">MIN(P22,Model!R163)</f>
        <v>0</v>
      </c>
      <c r="Q23" s="283" t="n">
        <f aca="false">MIN(Q22,Model!S163)</f>
        <v>0</v>
      </c>
      <c r="R23" s="283" t="n">
        <f aca="false">MIN(R22,Model!T163)</f>
        <v>0</v>
      </c>
      <c r="S23" s="283" t="n">
        <f aca="false">MIN(S22,Model!U163)</f>
        <v>0</v>
      </c>
      <c r="T23" s="283" t="n">
        <f aca="false">MIN(T22,Model!V163)</f>
        <v>0</v>
      </c>
      <c r="U23" s="283" t="n">
        <f aca="false">MIN(U22,Model!W163)</f>
        <v>0</v>
      </c>
      <c r="V23" s="283" t="n">
        <f aca="false">MIN(V22,Model!X163)</f>
        <v>0</v>
      </c>
      <c r="W23" s="283" t="n">
        <f aca="false">MIN(W22,Model!Y163)</f>
        <v>0</v>
      </c>
      <c r="X23" s="283" t="n">
        <f aca="false">MIN(X22,Model!Z163)</f>
        <v>0</v>
      </c>
      <c r="Y23" s="283" t="n">
        <f aca="false">MIN(Y22,Model!AA163)</f>
        <v>0</v>
      </c>
      <c r="Z23" s="283" t="n">
        <f aca="false">MIN(Z22,Model!AB163)</f>
        <v>0</v>
      </c>
      <c r="AA23" s="283" t="n">
        <f aca="false">MIN(AA22,Model!AC163)</f>
        <v>0</v>
      </c>
      <c r="AB23" s="283" t="n">
        <f aca="false">MIN(AB22,Model!AD163)</f>
        <v>0</v>
      </c>
      <c r="AC23" s="283" t="n">
        <f aca="false">MIN(AC22,Model!AE163)</f>
        <v>0</v>
      </c>
      <c r="AD23" s="283" t="n">
        <f aca="false">MIN(AD22,Model!AF163)</f>
        <v>0</v>
      </c>
      <c r="AE23" s="283" t="n">
        <f aca="false">MIN(AE22,Model!AG163)</f>
        <v>0</v>
      </c>
      <c r="AF23" s="283" t="n">
        <f aca="false">MIN(AF22,Model!AH163)</f>
        <v>0</v>
      </c>
      <c r="AG23" s="283" t="n">
        <f aca="false">MIN(AG22,Model!AI163)</f>
        <v>0</v>
      </c>
      <c r="AH23" s="283" t="n">
        <f aca="false">MIN(AH22,Model!AJ163)</f>
        <v>0</v>
      </c>
      <c r="AI23" s="283" t="n">
        <f aca="false">MIN(AI22,Model!AK163)</f>
        <v>0</v>
      </c>
      <c r="AJ23" s="283" t="n">
        <f aca="false">MIN(AJ22,Model!AL163)</f>
        <v>0</v>
      </c>
      <c r="AK23" s="283" t="n">
        <f aca="false">MIN(AK22,Model!AM163)</f>
        <v>0</v>
      </c>
      <c r="AL23" s="283" t="n">
        <f aca="false">MIN(AL22,Model!AN163)</f>
        <v>0</v>
      </c>
      <c r="AM23" s="283" t="n">
        <f aca="false">MIN(AM22,Model!AO163)</f>
        <v>0</v>
      </c>
      <c r="AN23" s="283" t="n">
        <f aca="false">MIN(AN22,Model!AP163)</f>
        <v>0</v>
      </c>
      <c r="AO23" s="283" t="n">
        <f aca="false">MIN(AO22,Model!AQ163)</f>
        <v>0</v>
      </c>
      <c r="AP23" s="283" t="n">
        <f aca="false">MIN(AP22,Model!AR163)</f>
        <v>0</v>
      </c>
      <c r="AQ23" s="283" t="n">
        <f aca="false">MIN(AQ22,Model!AS163)</f>
        <v>0</v>
      </c>
      <c r="AR23" s="283" t="n">
        <f aca="false">MIN(AR22,Model!AT163)</f>
        <v>0</v>
      </c>
      <c r="AS23" s="283" t="n">
        <f aca="false">MIN(AS22,Model!AU163)</f>
        <v>0</v>
      </c>
      <c r="AT23" s="283" t="n">
        <f aca="false">MIN(AT22,Model!AV163)</f>
        <v>0</v>
      </c>
      <c r="AU23" s="283" t="n">
        <f aca="false">MIN(AU22,Model!AW163)</f>
        <v>0</v>
      </c>
      <c r="AV23" s="283" t="n">
        <f aca="false">MIN(AV22,Model!AX163)</f>
        <v>0</v>
      </c>
      <c r="AW23" s="283" t="n">
        <f aca="false">MIN(AW22,Model!AY163)</f>
        <v>0</v>
      </c>
      <c r="AX23" s="283" t="n">
        <f aca="false">MIN(AX22,Model!AZ163)</f>
        <v>0</v>
      </c>
      <c r="AY23" s="283" t="n">
        <f aca="false">MIN(AY22,Model!BA163)</f>
        <v>0</v>
      </c>
      <c r="AZ23" s="283" t="n">
        <f aca="false">MIN(AZ22,Model!BB163)</f>
        <v>0</v>
      </c>
      <c r="BA23" s="283" t="n">
        <f aca="false">MIN(BA22,Model!BC163)</f>
        <v>602667.7</v>
      </c>
      <c r="BB23" s="283" t="n">
        <f aca="false">MIN(BB22,Model!BD163)</f>
        <v>0</v>
      </c>
      <c r="BC23" s="283" t="n">
        <f aca="false">MIN(BC22,Model!BE163)</f>
        <v>0</v>
      </c>
      <c r="BD23" s="283" t="n">
        <f aca="false">MIN(BD22,Model!BF163)</f>
        <v>0</v>
      </c>
      <c r="BE23" s="283" t="n">
        <f aca="false">MIN(BE22,Model!BG163)</f>
        <v>0</v>
      </c>
      <c r="BF23" s="283" t="n">
        <f aca="false">MIN(BF22,Model!BH163)</f>
        <v>0</v>
      </c>
      <c r="BG23" s="283" t="n">
        <f aca="false">MIN(BG22,Model!BI163)</f>
        <v>0</v>
      </c>
      <c r="BH23" s="283" t="n">
        <f aca="false">MIN(BH22,Model!BJ163)</f>
        <v>0</v>
      </c>
      <c r="BI23" s="283" t="n">
        <f aca="false">MIN(BI22,Model!BK163)</f>
        <v>0</v>
      </c>
      <c r="BJ23" s="283" t="n">
        <f aca="false">MIN(BJ22,Model!BL163)</f>
        <v>0</v>
      </c>
      <c r="BK23" s="283" t="n">
        <f aca="false">MIN(BK22,Model!BM163)</f>
        <v>0</v>
      </c>
      <c r="BL23" s="283" t="n">
        <f aca="false">MIN(BL22,Model!BN163)</f>
        <v>0</v>
      </c>
      <c r="BM23" s="283" t="n">
        <f aca="false">MIN(BM22,Model!BO163)</f>
        <v>0</v>
      </c>
      <c r="BN23" s="283" t="n">
        <f aca="false">MIN(BN22,Model!BP163)</f>
        <v>0</v>
      </c>
      <c r="BO23" s="283" t="n">
        <f aca="false">MIN(BO22,Model!BQ163)</f>
        <v>0</v>
      </c>
      <c r="BP23" s="283" t="n">
        <f aca="false">MIN(BP22,Model!BR163)</f>
        <v>0</v>
      </c>
      <c r="BQ23" s="283" t="n">
        <f aca="false">MIN(BQ22,Model!BS163)</f>
        <v>0</v>
      </c>
      <c r="BR23" s="283" t="n">
        <f aca="false">MIN(BR22,Model!BT163)</f>
        <v>0</v>
      </c>
      <c r="BS23" s="283" t="n">
        <f aca="false">MIN(BS22,Model!BU163)</f>
        <v>0</v>
      </c>
      <c r="BT23" s="283" t="n">
        <f aca="false">MIN(BT22,Model!BV163)</f>
        <v>0</v>
      </c>
      <c r="BU23" s="283" t="n">
        <f aca="false">MIN(BU22,Model!BW163)</f>
        <v>0</v>
      </c>
      <c r="BV23" s="283" t="n">
        <f aca="false">MIN(BV22,Model!BX163)</f>
        <v>0</v>
      </c>
      <c r="BW23" s="283" t="n">
        <f aca="false">MIN(BW22,Model!BY163)</f>
        <v>0</v>
      </c>
      <c r="BX23" s="283" t="n">
        <f aca="false">MIN(BX22,Model!BZ163)</f>
        <v>0</v>
      </c>
      <c r="BY23" s="283" t="n">
        <f aca="false">MIN(BY22,Model!CA163)</f>
        <v>0</v>
      </c>
      <c r="BZ23" s="283" t="n">
        <f aca="false">MIN(BZ22,Model!CB163)</f>
        <v>0</v>
      </c>
      <c r="CA23" s="283" t="n">
        <f aca="false">MIN(CA22,Model!CC163)</f>
        <v>0</v>
      </c>
      <c r="CB23" s="283" t="n">
        <f aca="false">MIN(CB22,Model!CD163)</f>
        <v>0</v>
      </c>
      <c r="CC23" s="283" t="n">
        <f aca="false">MIN(CC22,Model!CE163)</f>
        <v>0</v>
      </c>
      <c r="CD23" s="283" t="n">
        <f aca="false">MIN(CD22,Model!CF163)</f>
        <v>0</v>
      </c>
      <c r="CE23" s="283" t="n">
        <f aca="false">MIN(CE22,Model!CG163)</f>
        <v>0</v>
      </c>
      <c r="CF23" s="283" t="n">
        <f aca="false">MIN(CF22,Model!CH163)</f>
        <v>0</v>
      </c>
      <c r="CG23" s="283" t="n">
        <f aca="false">MIN(CG22,Model!CI163)</f>
        <v>0</v>
      </c>
      <c r="CH23" s="283" t="n">
        <f aca="false">MIN(CH22,Model!CJ163)</f>
        <v>0</v>
      </c>
      <c r="CI23" s="283" t="n">
        <f aca="false">MIN(CI22,Model!CK163)</f>
        <v>0</v>
      </c>
      <c r="CJ23" s="283" t="n">
        <f aca="false">MIN(CJ22,Model!CL163)</f>
        <v>0</v>
      </c>
      <c r="CK23" s="283" t="n">
        <f aca="false">MIN(CK22,Model!CM163)</f>
        <v>0</v>
      </c>
      <c r="CL23" s="283" t="n">
        <f aca="false">MIN(CL22,Model!CN163)</f>
        <v>0</v>
      </c>
      <c r="CM23" s="283" t="n">
        <f aca="false">MIN(CM22,Model!CO163)</f>
        <v>0</v>
      </c>
      <c r="CN23" s="283" t="n">
        <f aca="false">MIN(CN22,Model!CP163)</f>
        <v>0</v>
      </c>
      <c r="CO23" s="283" t="n">
        <f aca="false">MIN(CO22,Model!CQ163)</f>
        <v>0</v>
      </c>
      <c r="CP23" s="283" t="n">
        <f aca="false">MIN(CP22,Model!CR163)</f>
        <v>0</v>
      </c>
      <c r="CQ23" s="283" t="n">
        <f aca="false">MIN(CQ22,Model!CS163)</f>
        <v>0</v>
      </c>
    </row>
    <row r="24" customFormat="false" ht="15" hidden="false" customHeight="true" outlineLevel="0" collapsed="false">
      <c r="A24" s="108" t="s">
        <v>821</v>
      </c>
      <c r="C24" s="281" t="n">
        <f aca="false">MAX(0,C22-C23)</f>
        <v>602667.7</v>
      </c>
      <c r="D24" s="281" t="n">
        <f aca="false">MAX(0,D22-D23)</f>
        <v>602667.7</v>
      </c>
      <c r="E24" s="281" t="n">
        <f aca="false">MAX(0,E22-E23)</f>
        <v>602667.7</v>
      </c>
      <c r="F24" s="281" t="n">
        <f aca="false">MAX(0,F22-F23)</f>
        <v>602667.7</v>
      </c>
      <c r="G24" s="281" t="n">
        <f aca="false">MAX(0,G22-G23)</f>
        <v>602667.7</v>
      </c>
      <c r="H24" s="281" t="n">
        <f aca="false">MAX(0,H22-H23)</f>
        <v>602667.7</v>
      </c>
      <c r="I24" s="281" t="n">
        <f aca="false">MAX(0,I22-I23)</f>
        <v>602667.7</v>
      </c>
      <c r="J24" s="281" t="n">
        <f aca="false">MAX(0,J22-J23)</f>
        <v>602667.7</v>
      </c>
      <c r="K24" s="281" t="n">
        <f aca="false">MAX(0,K22-K23)</f>
        <v>602667.7</v>
      </c>
      <c r="L24" s="281" t="n">
        <f aca="false">MAX(0,L22-L23)</f>
        <v>602667.7</v>
      </c>
      <c r="M24" s="281" t="n">
        <f aca="false">MAX(0,M22-M23)</f>
        <v>602667.7</v>
      </c>
      <c r="N24" s="281" t="n">
        <f aca="false">MAX(0,N22-N23)</f>
        <v>602667.7</v>
      </c>
      <c r="O24" s="281" t="n">
        <f aca="false">MAX(0,O22-O23)</f>
        <v>602667.7</v>
      </c>
      <c r="P24" s="281" t="n">
        <f aca="false">MAX(0,P22-P23)</f>
        <v>602667.7</v>
      </c>
      <c r="Q24" s="281" t="n">
        <f aca="false">MAX(0,Q22-Q23)</f>
        <v>602667.7</v>
      </c>
      <c r="R24" s="281" t="n">
        <f aca="false">MAX(0,R22-R23)</f>
        <v>602667.7</v>
      </c>
      <c r="S24" s="281" t="n">
        <f aca="false">MAX(0,S22-S23)</f>
        <v>602667.7</v>
      </c>
      <c r="T24" s="281" t="n">
        <f aca="false">MAX(0,T22-T23)</f>
        <v>602667.7</v>
      </c>
      <c r="U24" s="281" t="n">
        <f aca="false">MAX(0,U22-U23)</f>
        <v>602667.7</v>
      </c>
      <c r="V24" s="281" t="n">
        <f aca="false">MAX(0,V22-V23)</f>
        <v>602667.7</v>
      </c>
      <c r="W24" s="281" t="n">
        <f aca="false">MAX(0,W22-W23)</f>
        <v>602667.7</v>
      </c>
      <c r="X24" s="281" t="n">
        <f aca="false">MAX(0,X22-X23)</f>
        <v>602667.7</v>
      </c>
      <c r="Y24" s="281" t="n">
        <f aca="false">MAX(0,Y22-Y23)</f>
        <v>602667.7</v>
      </c>
      <c r="Z24" s="281" t="n">
        <f aca="false">MAX(0,Z22-Z23)</f>
        <v>602667.7</v>
      </c>
      <c r="AA24" s="281" t="n">
        <f aca="false">MAX(0,AA22-AA23)</f>
        <v>602667.7</v>
      </c>
      <c r="AB24" s="281" t="n">
        <f aca="false">MAX(0,AB22-AB23)</f>
        <v>602667.7</v>
      </c>
      <c r="AC24" s="281" t="n">
        <f aca="false">MAX(0,AC22-AC23)</f>
        <v>602667.7</v>
      </c>
      <c r="AD24" s="281" t="n">
        <f aca="false">MAX(0,AD22-AD23)</f>
        <v>602667.7</v>
      </c>
      <c r="AE24" s="281" t="n">
        <f aca="false">MAX(0,AE22-AE23)</f>
        <v>602667.7</v>
      </c>
      <c r="AF24" s="281" t="n">
        <f aca="false">MAX(0,AF22-AF23)</f>
        <v>602667.7</v>
      </c>
      <c r="AG24" s="281" t="n">
        <f aca="false">MAX(0,AG22-AG23)</f>
        <v>602667.7</v>
      </c>
      <c r="AH24" s="281" t="n">
        <f aca="false">MAX(0,AH22-AH23)</f>
        <v>602667.7</v>
      </c>
      <c r="AI24" s="281" t="n">
        <f aca="false">MAX(0,AI22-AI23)</f>
        <v>602667.7</v>
      </c>
      <c r="AJ24" s="281" t="n">
        <f aca="false">MAX(0,AJ22-AJ23)</f>
        <v>602667.7</v>
      </c>
      <c r="AK24" s="281" t="n">
        <f aca="false">MAX(0,AK22-AK23)</f>
        <v>602667.7</v>
      </c>
      <c r="AL24" s="281" t="n">
        <f aca="false">MAX(0,AL22-AL23)</f>
        <v>602667.7</v>
      </c>
      <c r="AM24" s="281" t="n">
        <f aca="false">MAX(0,AM22-AM23)</f>
        <v>602667.7</v>
      </c>
      <c r="AN24" s="281" t="n">
        <f aca="false">MAX(0,AN22-AN23)</f>
        <v>602667.7</v>
      </c>
      <c r="AO24" s="281" t="n">
        <f aca="false">MAX(0,AO22-AO23)</f>
        <v>602667.7</v>
      </c>
      <c r="AP24" s="281" t="n">
        <f aca="false">MAX(0,AP22-AP23)</f>
        <v>602667.7</v>
      </c>
      <c r="AQ24" s="281" t="n">
        <f aca="false">MAX(0,AQ22-AQ23)</f>
        <v>602667.7</v>
      </c>
      <c r="AR24" s="281" t="n">
        <f aca="false">MAX(0,AR22-AR23)</f>
        <v>602667.7</v>
      </c>
      <c r="AS24" s="281" t="n">
        <f aca="false">MAX(0,AS22-AS23)</f>
        <v>602667.7</v>
      </c>
      <c r="AT24" s="281" t="n">
        <f aca="false">MAX(0,AT22-AT23)</f>
        <v>602667.7</v>
      </c>
      <c r="AU24" s="281" t="n">
        <f aca="false">MAX(0,AU22-AU23)</f>
        <v>602667.7</v>
      </c>
      <c r="AV24" s="281" t="n">
        <f aca="false">MAX(0,AV22-AV23)</f>
        <v>602667.7</v>
      </c>
      <c r="AW24" s="281" t="n">
        <f aca="false">MAX(0,AW22-AW23)</f>
        <v>602667.7</v>
      </c>
      <c r="AX24" s="281" t="n">
        <f aca="false">MAX(0,AX22-AX23)</f>
        <v>602667.7</v>
      </c>
      <c r="AY24" s="281" t="n">
        <f aca="false">MAX(0,AY22-AY23)</f>
        <v>602667.7</v>
      </c>
      <c r="AZ24" s="281" t="n">
        <f aca="false">MAX(0,AZ22-AZ23)</f>
        <v>602667.7</v>
      </c>
      <c r="BA24" s="281" t="n">
        <f aca="false">MAX(0,BA22-BA23)</f>
        <v>0</v>
      </c>
      <c r="BB24" s="281" t="n">
        <f aca="false">MAX(0,BB22-BB23)</f>
        <v>0</v>
      </c>
      <c r="BC24" s="281" t="n">
        <f aca="false">MAX(0,BC22-BC23)</f>
        <v>0</v>
      </c>
      <c r="BD24" s="281" t="n">
        <f aca="false">MAX(0,BD22-BD23)</f>
        <v>0</v>
      </c>
      <c r="BE24" s="281" t="n">
        <f aca="false">MAX(0,BE22-BE23)</f>
        <v>0</v>
      </c>
      <c r="BF24" s="281" t="n">
        <f aca="false">MAX(0,BF22-BF23)</f>
        <v>0</v>
      </c>
      <c r="BG24" s="281" t="n">
        <f aca="false">MAX(0,BG22-BG23)</f>
        <v>0</v>
      </c>
      <c r="BH24" s="281" t="n">
        <f aca="false">MAX(0,BH22-BH23)</f>
        <v>0</v>
      </c>
      <c r="BI24" s="281" t="n">
        <f aca="false">MAX(0,BI22-BI23)</f>
        <v>0</v>
      </c>
      <c r="BJ24" s="281" t="n">
        <f aca="false">MAX(0,BJ22-BJ23)</f>
        <v>0</v>
      </c>
      <c r="BK24" s="281" t="n">
        <f aca="false">MAX(0,BK22-BK23)</f>
        <v>0</v>
      </c>
      <c r="BL24" s="281" t="n">
        <f aca="false">MAX(0,BL22-BL23)</f>
        <v>0</v>
      </c>
      <c r="BM24" s="281" t="n">
        <f aca="false">MAX(0,BM22-BM23)</f>
        <v>0</v>
      </c>
      <c r="BN24" s="281" t="n">
        <f aca="false">MAX(0,BN22-BN23)</f>
        <v>0</v>
      </c>
      <c r="BO24" s="281" t="n">
        <f aca="false">MAX(0,BO22-BO23)</f>
        <v>0</v>
      </c>
      <c r="BP24" s="281" t="n">
        <f aca="false">MAX(0,BP22-BP23)</f>
        <v>0</v>
      </c>
      <c r="BQ24" s="281" t="n">
        <f aca="false">MAX(0,BQ22-BQ23)</f>
        <v>0</v>
      </c>
      <c r="BR24" s="281" t="n">
        <f aca="false">MAX(0,BR22-BR23)</f>
        <v>0</v>
      </c>
      <c r="BS24" s="281" t="n">
        <f aca="false">MAX(0,BS22-BS23)</f>
        <v>0</v>
      </c>
      <c r="BT24" s="281" t="n">
        <f aca="false">MAX(0,BT22-BT23)</f>
        <v>0</v>
      </c>
      <c r="BU24" s="281" t="n">
        <f aca="false">MAX(0,BU22-BU23)</f>
        <v>0</v>
      </c>
      <c r="BV24" s="281" t="n">
        <f aca="false">MAX(0,BV22-BV23)</f>
        <v>0</v>
      </c>
      <c r="BW24" s="281" t="n">
        <f aca="false">MAX(0,BW22-BW23)</f>
        <v>0</v>
      </c>
      <c r="BX24" s="281" t="n">
        <f aca="false">MAX(0,BX22-BX23)</f>
        <v>0</v>
      </c>
      <c r="BY24" s="281" t="n">
        <f aca="false">MAX(0,BY22-BY23)</f>
        <v>0</v>
      </c>
      <c r="BZ24" s="281" t="n">
        <f aca="false">MAX(0,BZ22-BZ23)</f>
        <v>0</v>
      </c>
      <c r="CA24" s="281" t="n">
        <f aca="false">MAX(0,CA22-CA23)</f>
        <v>0</v>
      </c>
      <c r="CB24" s="281" t="n">
        <f aca="false">MAX(0,CB22-CB23)</f>
        <v>0</v>
      </c>
      <c r="CC24" s="281" t="n">
        <f aca="false">MAX(0,CC22-CC23)</f>
        <v>0</v>
      </c>
      <c r="CD24" s="281" t="n">
        <f aca="false">MAX(0,CD22-CD23)</f>
        <v>0</v>
      </c>
      <c r="CE24" s="281" t="n">
        <f aca="false">MAX(0,CE22-CE23)</f>
        <v>0</v>
      </c>
      <c r="CF24" s="281" t="n">
        <f aca="false">MAX(0,CF22-CF23)</f>
        <v>0</v>
      </c>
      <c r="CG24" s="281" t="n">
        <f aca="false">MAX(0,CG22-CG23)</f>
        <v>0</v>
      </c>
      <c r="CH24" s="281" t="n">
        <f aca="false">MAX(0,CH22-CH23)</f>
        <v>0</v>
      </c>
      <c r="CI24" s="281" t="n">
        <f aca="false">MAX(0,CI22-CI23)</f>
        <v>0</v>
      </c>
      <c r="CJ24" s="281" t="n">
        <f aca="false">MAX(0,CJ22-CJ23)</f>
        <v>0</v>
      </c>
      <c r="CK24" s="281" t="n">
        <f aca="false">MAX(0,CK22-CK23)</f>
        <v>0</v>
      </c>
      <c r="CL24" s="281" t="n">
        <f aca="false">MAX(0,CL22-CL23)</f>
        <v>0</v>
      </c>
      <c r="CM24" s="281" t="n">
        <f aca="false">MAX(0,CM22-CM23)</f>
        <v>0</v>
      </c>
      <c r="CN24" s="281" t="n">
        <f aca="false">MAX(0,CN22-CN23)</f>
        <v>0</v>
      </c>
      <c r="CO24" s="281" t="n">
        <f aca="false">MAX(0,CO22-CO23)</f>
        <v>0</v>
      </c>
      <c r="CP24" s="281" t="n">
        <f aca="false">MAX(0,CP22-CP23)</f>
        <v>0</v>
      </c>
      <c r="CQ24" s="281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84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84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68" t="s">
        <v>826</v>
      </c>
      <c r="B30" s="268"/>
      <c r="C30" s="268"/>
      <c r="D30" s="268"/>
      <c r="E30" s="268"/>
      <c r="F30" s="268"/>
      <c r="G30" s="268"/>
      <c r="H30" s="268"/>
      <c r="I30" s="268"/>
    </row>
    <row r="31" customFormat="false" ht="15" hidden="false" customHeight="true" outlineLevel="0" collapsed="false">
      <c r="A31" s="285" t="s">
        <v>827</v>
      </c>
    </row>
    <row r="32" customFormat="false" ht="15" hidden="false" customHeight="true" outlineLevel="0" collapsed="false">
      <c r="A32" s="286" t="s">
        <v>12</v>
      </c>
      <c r="B32" s="194" t="n">
        <f aca="false">LOOKUP(2,1/(Model!E162:CG162&gt;0),Model!E162:CG162)</f>
        <v>76499</v>
      </c>
    </row>
    <row r="33" customFormat="false" ht="15" hidden="false" customHeight="true" outlineLevel="0" collapsed="false">
      <c r="A33" s="286" t="s">
        <v>19</v>
      </c>
      <c r="B33" s="194" t="n">
        <f aca="false">LOOKUP(2,1/(Model!E164:CG164&gt;0),Model!E164:CG164)</f>
        <v>73155</v>
      </c>
    </row>
    <row r="34" customFormat="false" ht="15" hidden="false" customHeight="true" outlineLevel="0" collapsed="false">
      <c r="A34" s="286" t="s">
        <v>18</v>
      </c>
      <c r="B34" s="194" t="n">
        <f aca="false">LOOKUP(2,1/(Model!E163:CG163&gt;0),Model!E163:CG163)</f>
        <v>81362</v>
      </c>
    </row>
    <row r="36" customFormat="false" ht="15" hidden="false" customHeight="true" outlineLevel="0" collapsed="false">
      <c r="A36" s="285" t="s">
        <v>828</v>
      </c>
    </row>
    <row r="37" customFormat="false" ht="15" hidden="false" customHeight="true" outlineLevel="0" collapsed="false">
      <c r="A37" s="286" t="s">
        <v>12</v>
      </c>
      <c r="B37" s="127" t="n">
        <f aca="false">SUMPRODUCT((Model!E162:CG162&gt;0)*1)</f>
        <v>14</v>
      </c>
    </row>
    <row r="38" customFormat="false" ht="15" hidden="false" customHeight="true" outlineLevel="0" collapsed="false">
      <c r="A38" s="286" t="s">
        <v>19</v>
      </c>
      <c r="B38" s="127" t="n">
        <f aca="false">SUMPRODUCT((Model!E164:CG164&gt;0)*1)</f>
        <v>3</v>
      </c>
    </row>
    <row r="39" customFormat="false" ht="15" hidden="false" customHeight="true" outlineLevel="0" collapsed="false">
      <c r="A39" s="286" t="s">
        <v>18</v>
      </c>
      <c r="B39" s="127" t="n">
        <f aca="false">SUMPRODUCT((Model!E163:CG163&gt;0)*1)</f>
        <v>11</v>
      </c>
    </row>
    <row r="41" customFormat="false" ht="15" hidden="false" customHeight="true" outlineLevel="0" collapsed="false">
      <c r="A41" s="285" t="s">
        <v>829</v>
      </c>
    </row>
    <row r="42" customFormat="false" ht="15" hidden="false" customHeight="true" outlineLevel="0" collapsed="false">
      <c r="A42" s="286" t="s">
        <v>12</v>
      </c>
      <c r="B42" s="127" t="n">
        <f aca="false">40-B37</f>
        <v>26</v>
      </c>
    </row>
    <row r="43" customFormat="false" ht="15" hidden="false" customHeight="true" outlineLevel="0" collapsed="false">
      <c r="A43" s="286" t="s">
        <v>19</v>
      </c>
      <c r="B43" s="127" t="n">
        <f aca="false">40-B38</f>
        <v>37</v>
      </c>
    </row>
    <row r="44" customFormat="false" ht="15" hidden="false" customHeight="true" outlineLevel="0" collapsed="false">
      <c r="A44" s="286" t="s">
        <v>18</v>
      </c>
      <c r="B44" s="127" t="n">
        <f aca="false">40-B39</f>
        <v>29</v>
      </c>
    </row>
    <row r="46" customFormat="false" ht="15" hidden="false" customHeight="true" outlineLevel="0" collapsed="false">
      <c r="A46" s="285" t="s">
        <v>830</v>
      </c>
    </row>
    <row r="47" customFormat="false" ht="15" hidden="false" customHeight="true" outlineLevel="0" collapsed="false">
      <c r="A47" s="286" t="s">
        <v>12</v>
      </c>
      <c r="B47" s="194" t="n">
        <f aca="false">B32*B42</f>
        <v>1988974</v>
      </c>
    </row>
    <row r="48" customFormat="false" ht="15" hidden="false" customHeight="true" outlineLevel="0" collapsed="false">
      <c r="A48" s="286" t="s">
        <v>19</v>
      </c>
      <c r="B48" s="194" t="n">
        <f aca="false">B33*B43</f>
        <v>2706735</v>
      </c>
    </row>
    <row r="49" customFormat="false" ht="15" hidden="false" customHeight="true" outlineLevel="0" collapsed="false">
      <c r="A49" s="286" t="s">
        <v>18</v>
      </c>
      <c r="B49" s="194" t="n">
        <f aca="false">B34*B44</f>
        <v>2359498</v>
      </c>
    </row>
    <row r="51" customFormat="false" ht="15" hidden="false" customHeight="true" outlineLevel="0" collapsed="false">
      <c r="A51" s="268" t="s">
        <v>831</v>
      </c>
      <c r="B51" s="268"/>
      <c r="C51" s="268"/>
      <c r="D51" s="268"/>
      <c r="E51" s="268"/>
      <c r="F51" s="268"/>
      <c r="G51" s="268"/>
    </row>
    <row r="52" customFormat="false" ht="15" hidden="false" customHeight="true" outlineLevel="0" collapsed="false">
      <c r="A52" s="285" t="s">
        <v>832</v>
      </c>
      <c r="B52" s="285" t="s">
        <v>833</v>
      </c>
      <c r="C52" s="285" t="s">
        <v>834</v>
      </c>
      <c r="D52" s="285" t="s">
        <v>835</v>
      </c>
      <c r="E52" s="285" t="s">
        <v>836</v>
      </c>
      <c r="F52" s="285" t="s">
        <v>837</v>
      </c>
      <c r="G52" s="285" t="s">
        <v>838</v>
      </c>
    </row>
    <row r="53" customFormat="false" ht="15" hidden="false" customHeight="true" outlineLevel="0" collapsed="false">
      <c r="A53" s="127" t="n">
        <v>1</v>
      </c>
      <c r="B53" s="194" t="n">
        <f aca="false">$B$33</f>
        <v>73155</v>
      </c>
      <c r="C53" s="194" t="n">
        <f aca="false">CH27</f>
        <v>270925.32</v>
      </c>
      <c r="D53" s="194" t="n">
        <f aca="false">MIN(C53,B53)</f>
        <v>73155</v>
      </c>
      <c r="E53" s="194" t="n">
        <f aca="false">Model!CJ241</f>
        <v>570021.547005172</v>
      </c>
      <c r="F53" s="194" t="n">
        <f aca="false">E53*Assumptions!$B$59</f>
        <v>21375.8080126939</v>
      </c>
      <c r="G53" s="194" t="n">
        <f aca="false">MIN(E53+F53,MAX(0,B53-D53))</f>
        <v>0</v>
      </c>
    </row>
    <row r="54" customFormat="false" ht="15" hidden="false" customHeight="true" outlineLevel="0" collapsed="false">
      <c r="A54" s="127" t="n">
        <v>2</v>
      </c>
      <c r="B54" s="194" t="n">
        <f aca="false">$B$33</f>
        <v>73155</v>
      </c>
      <c r="C54" s="194" t="n">
        <f aca="false">MAX(0,C53-D53)</f>
        <v>197770.32</v>
      </c>
      <c r="D54" s="194" t="n">
        <f aca="false">MIN(C54,B54)</f>
        <v>73155</v>
      </c>
      <c r="E54" s="194" t="n">
        <f aca="false">MAX(0,E53+F53-G53)</f>
        <v>591397.355017866</v>
      </c>
      <c r="F54" s="194" t="n">
        <f aca="false">E54*Assumptions!$B$59</f>
        <v>22177.40081317</v>
      </c>
      <c r="G54" s="194" t="n">
        <f aca="false">MIN(E54+F54,MAX(0,B54-D54))</f>
        <v>0</v>
      </c>
    </row>
    <row r="55" customFormat="false" ht="15" hidden="false" customHeight="true" outlineLevel="0" collapsed="false">
      <c r="A55" s="127" t="n">
        <v>3</v>
      </c>
      <c r="B55" s="194" t="n">
        <f aca="false">$B$33</f>
        <v>73155</v>
      </c>
      <c r="C55" s="194" t="n">
        <f aca="false">MAX(0,C54-D54)</f>
        <v>124615.32</v>
      </c>
      <c r="D55" s="194" t="n">
        <f aca="false">MIN(C55,B55)</f>
        <v>73155</v>
      </c>
      <c r="E55" s="194" t="n">
        <f aca="false">MAX(0,E54+F54-G54)</f>
        <v>613574.755831036</v>
      </c>
      <c r="F55" s="194" t="n">
        <f aca="false">E55*Assumptions!$B$59</f>
        <v>23009.0533436638</v>
      </c>
      <c r="G55" s="194" t="n">
        <f aca="false">MIN(E55+F55,MAX(0,B55-D55))</f>
        <v>0</v>
      </c>
    </row>
    <row r="56" customFormat="false" ht="15" hidden="false" customHeight="true" outlineLevel="0" collapsed="false">
      <c r="A56" s="127" t="n">
        <v>4</v>
      </c>
      <c r="B56" s="194" t="n">
        <f aca="false">$B$33</f>
        <v>73155</v>
      </c>
      <c r="C56" s="194" t="n">
        <f aca="false">MAX(0,C55-D55)</f>
        <v>51460.3200000001</v>
      </c>
      <c r="D56" s="194" t="n">
        <f aca="false">MIN(C56,B56)</f>
        <v>51460.3200000001</v>
      </c>
      <c r="E56" s="194" t="n">
        <f aca="false">MAX(0,E55+F55-G55)</f>
        <v>636583.8091747</v>
      </c>
      <c r="F56" s="194" t="n">
        <f aca="false">E56*Assumptions!$B$59</f>
        <v>23871.8928440512</v>
      </c>
      <c r="G56" s="194" t="n">
        <f aca="false">MIN(E56+F56,MAX(0,B56-D56))</f>
        <v>21694.6799999999</v>
      </c>
    </row>
    <row r="57" customFormat="false" ht="15" hidden="false" customHeight="true" outlineLevel="0" collapsed="false">
      <c r="A57" s="127" t="n">
        <v>5</v>
      </c>
      <c r="B57" s="194" t="n">
        <f aca="false">$B$33</f>
        <v>73155</v>
      </c>
      <c r="C57" s="194" t="n">
        <f aca="false">MAX(0,C56-D56)</f>
        <v>0</v>
      </c>
      <c r="D57" s="194" t="n">
        <f aca="false">MIN(C57,B57)</f>
        <v>0</v>
      </c>
      <c r="E57" s="194" t="n">
        <f aca="false">MAX(0,E56+F56-G56)</f>
        <v>638761.022018751</v>
      </c>
      <c r="F57" s="194" t="n">
        <f aca="false">E57*Assumptions!$B$59</f>
        <v>23953.5383257032</v>
      </c>
      <c r="G57" s="194" t="n">
        <f aca="false">MIN(E57+F57,MAX(0,B57-D57))</f>
        <v>73155</v>
      </c>
    </row>
    <row r="58" customFormat="false" ht="15" hidden="false" customHeight="true" outlineLevel="0" collapsed="false">
      <c r="A58" s="127" t="n">
        <v>6</v>
      </c>
      <c r="B58" s="194" t="n">
        <f aca="false">$B$33</f>
        <v>73155</v>
      </c>
      <c r="C58" s="194" t="n">
        <f aca="false">MAX(0,C57-D57)</f>
        <v>0</v>
      </c>
      <c r="D58" s="194" t="n">
        <f aca="false">MIN(C58,B58)</f>
        <v>0</v>
      </c>
      <c r="E58" s="194" t="n">
        <f aca="false">MAX(0,E57+F57-G57)</f>
        <v>589559.560344454</v>
      </c>
      <c r="F58" s="194" t="n">
        <f aca="false">E58*Assumptions!$B$59</f>
        <v>22108.483512917</v>
      </c>
      <c r="G58" s="194" t="n">
        <f aca="false">MIN(E58+F58,MAX(0,B58-D58))</f>
        <v>73155</v>
      </c>
    </row>
    <row r="59" customFormat="false" ht="15" hidden="false" customHeight="true" outlineLevel="0" collapsed="false">
      <c r="A59" s="127" t="n">
        <v>7</v>
      </c>
      <c r="B59" s="194" t="n">
        <f aca="false">$B$33</f>
        <v>73155</v>
      </c>
      <c r="C59" s="194" t="n">
        <f aca="false">MAX(0,C58-D58)</f>
        <v>0</v>
      </c>
      <c r="D59" s="194" t="n">
        <f aca="false">MIN(C59,B59)</f>
        <v>0</v>
      </c>
      <c r="E59" s="194" t="n">
        <f aca="false">MAX(0,E58+F58-G58)</f>
        <v>538513.043857371</v>
      </c>
      <c r="F59" s="194" t="n">
        <f aca="false">E59*Assumptions!$B$59</f>
        <v>20194.2391446514</v>
      </c>
      <c r="G59" s="194" t="n">
        <f aca="false">MIN(E59+F59,MAX(0,B59-D59))</f>
        <v>73155</v>
      </c>
    </row>
    <row r="60" customFormat="false" ht="15" hidden="false" customHeight="true" outlineLevel="0" collapsed="false">
      <c r="A60" s="127" t="n">
        <v>8</v>
      </c>
      <c r="B60" s="194" t="n">
        <f aca="false">$B$33</f>
        <v>73155</v>
      </c>
      <c r="C60" s="194" t="n">
        <f aca="false">MAX(0,C59-D59)</f>
        <v>0</v>
      </c>
      <c r="D60" s="194" t="n">
        <f aca="false">MIN(C60,B60)</f>
        <v>0</v>
      </c>
      <c r="E60" s="194" t="n">
        <f aca="false">MAX(0,E59+F59-G59)</f>
        <v>485552.283002023</v>
      </c>
      <c r="F60" s="194" t="n">
        <f aca="false">E60*Assumptions!$B$59</f>
        <v>18208.2106125758</v>
      </c>
      <c r="G60" s="194" t="n">
        <f aca="false">MIN(E60+F60,MAX(0,B60-D60))</f>
        <v>73155</v>
      </c>
    </row>
    <row r="61" customFormat="false" ht="15" hidden="false" customHeight="true" outlineLevel="0" collapsed="false">
      <c r="A61" s="127" t="n">
        <v>9</v>
      </c>
      <c r="B61" s="194" t="n">
        <f aca="false">$B$33</f>
        <v>73155</v>
      </c>
      <c r="C61" s="194" t="n">
        <f aca="false">MAX(0,C60-D60)</f>
        <v>0</v>
      </c>
      <c r="D61" s="194" t="n">
        <f aca="false">MIN(C61,B61)</f>
        <v>0</v>
      </c>
      <c r="E61" s="194" t="n">
        <f aca="false">MAX(0,E60+F60-G60)</f>
        <v>430605.493614598</v>
      </c>
      <c r="F61" s="194" t="n">
        <f aca="false">E61*Assumptions!$B$59</f>
        <v>16147.7060105474</v>
      </c>
      <c r="G61" s="194" t="n">
        <f aca="false">MIN(E61+F61,MAX(0,B61-D61))</f>
        <v>73155</v>
      </c>
    </row>
    <row r="62" customFormat="false" ht="15" hidden="false" customHeight="true" outlineLevel="0" collapsed="false">
      <c r="A62" s="127" t="n">
        <v>10</v>
      </c>
      <c r="B62" s="194" t="n">
        <f aca="false">$B$33</f>
        <v>73155</v>
      </c>
      <c r="C62" s="194" t="n">
        <f aca="false">MAX(0,C61-D61)</f>
        <v>0</v>
      </c>
      <c r="D62" s="194" t="n">
        <f aca="false">MIN(C62,B62)</f>
        <v>0</v>
      </c>
      <c r="E62" s="194" t="n">
        <f aca="false">MAX(0,E61+F61-G61)</f>
        <v>373598.199625146</v>
      </c>
      <c r="F62" s="194" t="n">
        <f aca="false">E62*Assumptions!$B$59</f>
        <v>14009.932485943</v>
      </c>
      <c r="G62" s="194" t="n">
        <f aca="false">MIN(E62+F62,MAX(0,B62-D62))</f>
        <v>73155</v>
      </c>
    </row>
    <row r="63" customFormat="false" ht="15" hidden="false" customHeight="true" outlineLevel="0" collapsed="false">
      <c r="A63" s="127" t="n">
        <v>11</v>
      </c>
      <c r="B63" s="194" t="n">
        <f aca="false">$B$33</f>
        <v>73155</v>
      </c>
      <c r="C63" s="194" t="n">
        <f aca="false">MAX(0,C62-D62)</f>
        <v>0</v>
      </c>
      <c r="D63" s="194" t="n">
        <f aca="false">MIN(C63,B63)</f>
        <v>0</v>
      </c>
      <c r="E63" s="194" t="n">
        <f aca="false">MAX(0,E62+F62-G62)</f>
        <v>314453.132111089</v>
      </c>
      <c r="F63" s="194" t="n">
        <f aca="false">E63*Assumptions!$B$59</f>
        <v>11791.9924541658</v>
      </c>
      <c r="G63" s="194" t="n">
        <f aca="false">MIN(E63+F63,MAX(0,B63-D63))</f>
        <v>73155</v>
      </c>
    </row>
    <row r="64" customFormat="false" ht="15" hidden="false" customHeight="true" outlineLevel="0" collapsed="false">
      <c r="A64" s="127" t="n">
        <v>12</v>
      </c>
      <c r="B64" s="194" t="n">
        <f aca="false">$B$33</f>
        <v>73155</v>
      </c>
      <c r="C64" s="194" t="n">
        <f aca="false">MAX(0,C63-D63)</f>
        <v>0</v>
      </c>
      <c r="D64" s="194" t="n">
        <f aca="false">MIN(C64,B64)</f>
        <v>0</v>
      </c>
      <c r="E64" s="194" t="n">
        <f aca="false">MAX(0,E63+F63-G63)</f>
        <v>253090.124565255</v>
      </c>
      <c r="F64" s="194" t="n">
        <f aca="false">E64*Assumptions!$B$59</f>
        <v>9490.87967119705</v>
      </c>
      <c r="G64" s="194" t="n">
        <f aca="false">MIN(E64+F64,MAX(0,B64-D64))</f>
        <v>73155</v>
      </c>
    </row>
    <row r="65" customFormat="false" ht="15" hidden="false" customHeight="true" outlineLevel="0" collapsed="false">
      <c r="A65" s="127" t="n">
        <v>13</v>
      </c>
      <c r="B65" s="194" t="n">
        <f aca="false">$B$33</f>
        <v>73155</v>
      </c>
      <c r="C65" s="194" t="n">
        <f aca="false">MAX(0,C64-D64)</f>
        <v>0</v>
      </c>
      <c r="D65" s="194" t="n">
        <f aca="false">MIN(C65,B65)</f>
        <v>0</v>
      </c>
      <c r="E65" s="194" t="n">
        <f aca="false">MAX(0,E64+F64-G64)</f>
        <v>189426.004236452</v>
      </c>
      <c r="F65" s="194" t="n">
        <f aca="false">E65*Assumptions!$B$59</f>
        <v>7103.47515886694</v>
      </c>
      <c r="G65" s="194" t="n">
        <f aca="false">MIN(E65+F65,MAX(0,B65-D65))</f>
        <v>73155</v>
      </c>
    </row>
    <row r="66" customFormat="false" ht="15" hidden="false" customHeight="true" outlineLevel="0" collapsed="false">
      <c r="A66" s="127" t="n">
        <v>14</v>
      </c>
      <c r="B66" s="194" t="n">
        <f aca="false">$B$33</f>
        <v>73155</v>
      </c>
      <c r="C66" s="194" t="n">
        <f aca="false">MAX(0,C65-D65)</f>
        <v>0</v>
      </c>
      <c r="D66" s="194" t="n">
        <f aca="false">MIN(C66,B66)</f>
        <v>0</v>
      </c>
      <c r="E66" s="194" t="n">
        <f aca="false">MAX(0,E65+F65-G65)</f>
        <v>123374.479395319</v>
      </c>
      <c r="F66" s="194" t="n">
        <f aca="false">E66*Assumptions!$B$59</f>
        <v>4626.54297732445</v>
      </c>
      <c r="G66" s="194" t="n">
        <f aca="false">MIN(E66+F66,MAX(0,B66-D66))</f>
        <v>73155</v>
      </c>
    </row>
    <row r="67" customFormat="false" ht="15" hidden="false" customHeight="true" outlineLevel="0" collapsed="false">
      <c r="A67" s="127" t="n">
        <v>15</v>
      </c>
      <c r="B67" s="194" t="n">
        <f aca="false">$B$33</f>
        <v>73155</v>
      </c>
      <c r="C67" s="194" t="n">
        <f aca="false">MAX(0,C66-D66)</f>
        <v>0</v>
      </c>
      <c r="D67" s="194" t="n">
        <f aca="false">MIN(C67,B67)</f>
        <v>0</v>
      </c>
      <c r="E67" s="194" t="n">
        <f aca="false">MAX(0,E66+F66-G66)</f>
        <v>54846.0223726431</v>
      </c>
      <c r="F67" s="194" t="n">
        <f aca="false">E67*Assumptions!$B$59</f>
        <v>2056.72583897412</v>
      </c>
      <c r="G67" s="194" t="n">
        <f aca="false">MIN(E67+F67,MAX(0,B67-D67))</f>
        <v>56902.7482116172</v>
      </c>
    </row>
    <row r="68" customFormat="false" ht="15" hidden="false" customHeight="true" outlineLevel="0" collapsed="false">
      <c r="A68" s="127" t="n">
        <v>16</v>
      </c>
      <c r="B68" s="194" t="n">
        <f aca="false">$B$33</f>
        <v>73155</v>
      </c>
      <c r="C68" s="194" t="n">
        <f aca="false">MAX(0,C67-D67)</f>
        <v>0</v>
      </c>
      <c r="D68" s="194" t="n">
        <f aca="false">MIN(C68,B68)</f>
        <v>0</v>
      </c>
      <c r="E68" s="194" t="n">
        <f aca="false">MAX(0,E67+F67-G67)</f>
        <v>0</v>
      </c>
      <c r="F68" s="194" t="n">
        <f aca="false">E68*Assumptions!$B$59</f>
        <v>0</v>
      </c>
      <c r="G68" s="194" t="n">
        <f aca="false">MIN(E68+F68,MAX(0,B68-D68))</f>
        <v>0</v>
      </c>
    </row>
    <row r="69" customFormat="false" ht="15" hidden="false" customHeight="true" outlineLevel="0" collapsed="false">
      <c r="A69" s="127" t="n">
        <v>17</v>
      </c>
      <c r="B69" s="194" t="n">
        <f aca="false">$B$33</f>
        <v>73155</v>
      </c>
      <c r="C69" s="194" t="n">
        <f aca="false">MAX(0,C68-D68)</f>
        <v>0</v>
      </c>
      <c r="D69" s="194" t="n">
        <f aca="false">MIN(C69,B69)</f>
        <v>0</v>
      </c>
      <c r="E69" s="194" t="n">
        <f aca="false">MAX(0,E68+F68-G68)</f>
        <v>0</v>
      </c>
      <c r="F69" s="194" t="n">
        <f aca="false">E69*Assumptions!$B$59</f>
        <v>0</v>
      </c>
      <c r="G69" s="194" t="n">
        <f aca="false">MIN(E69+F69,MAX(0,B69-D69))</f>
        <v>0</v>
      </c>
    </row>
    <row r="70" customFormat="false" ht="15" hidden="false" customHeight="true" outlineLevel="0" collapsed="false">
      <c r="A70" s="127" t="n">
        <v>18</v>
      </c>
      <c r="B70" s="194" t="n">
        <f aca="false">$B$33</f>
        <v>73155</v>
      </c>
      <c r="C70" s="194" t="n">
        <f aca="false">MAX(0,C69-D69)</f>
        <v>0</v>
      </c>
      <c r="D70" s="194" t="n">
        <f aca="false">MIN(C70,B70)</f>
        <v>0</v>
      </c>
      <c r="E70" s="194" t="n">
        <f aca="false">MAX(0,E69+F69-G69)</f>
        <v>0</v>
      </c>
      <c r="F70" s="194" t="n">
        <f aca="false">E70*Assumptions!$B$59</f>
        <v>0</v>
      </c>
      <c r="G70" s="194" t="n">
        <f aca="false">MIN(E70+F70,MAX(0,B70-D70))</f>
        <v>0</v>
      </c>
    </row>
    <row r="71" customFormat="false" ht="15" hidden="false" customHeight="true" outlineLevel="0" collapsed="false">
      <c r="A71" s="127" t="n">
        <v>19</v>
      </c>
      <c r="B71" s="194" t="n">
        <f aca="false">$B$33</f>
        <v>73155</v>
      </c>
      <c r="C71" s="194" t="n">
        <f aca="false">MAX(0,C70-D70)</f>
        <v>0</v>
      </c>
      <c r="D71" s="194" t="n">
        <f aca="false">MIN(C71,B71)</f>
        <v>0</v>
      </c>
      <c r="E71" s="194" t="n">
        <f aca="false">MAX(0,E70+F70-G70)</f>
        <v>0</v>
      </c>
      <c r="F71" s="194" t="n">
        <f aca="false">E71*Assumptions!$B$59</f>
        <v>0</v>
      </c>
      <c r="G71" s="194" t="n">
        <f aca="false">MIN(E71+F71,MAX(0,B71-D71))</f>
        <v>0</v>
      </c>
    </row>
    <row r="72" customFormat="false" ht="15" hidden="false" customHeight="true" outlineLevel="0" collapsed="false">
      <c r="A72" s="127" t="n">
        <v>20</v>
      </c>
      <c r="B72" s="194" t="n">
        <f aca="false">$B$33</f>
        <v>73155</v>
      </c>
      <c r="C72" s="194" t="n">
        <f aca="false">MAX(0,C71-D71)</f>
        <v>0</v>
      </c>
      <c r="D72" s="194" t="n">
        <f aca="false">MIN(C72,B72)</f>
        <v>0</v>
      </c>
      <c r="E72" s="194" t="n">
        <f aca="false">MAX(0,E71+F71-G71)</f>
        <v>0</v>
      </c>
      <c r="F72" s="194" t="n">
        <f aca="false">E72*Assumptions!$B$59</f>
        <v>0</v>
      </c>
      <c r="G72" s="194" t="n">
        <f aca="false">MIN(E72+F72,MAX(0,B72-D72))</f>
        <v>0</v>
      </c>
    </row>
    <row r="73" customFormat="false" ht="15" hidden="false" customHeight="true" outlineLevel="0" collapsed="false">
      <c r="A73" s="127" t="n">
        <v>21</v>
      </c>
      <c r="B73" s="194" t="n">
        <f aca="false">$B$33</f>
        <v>73155</v>
      </c>
      <c r="C73" s="194" t="n">
        <f aca="false">MAX(0,C72-D72)</f>
        <v>0</v>
      </c>
      <c r="D73" s="194" t="n">
        <f aca="false">MIN(C73,B73)</f>
        <v>0</v>
      </c>
      <c r="E73" s="194" t="n">
        <f aca="false">MAX(0,E72+F72-G72)</f>
        <v>0</v>
      </c>
      <c r="F73" s="194" t="n">
        <f aca="false">E73*Assumptions!$B$59</f>
        <v>0</v>
      </c>
      <c r="G73" s="194" t="n">
        <f aca="false">MIN(E73+F73,MAX(0,B73-D73))</f>
        <v>0</v>
      </c>
    </row>
    <row r="74" customFormat="false" ht="15" hidden="false" customHeight="true" outlineLevel="0" collapsed="false">
      <c r="A74" s="127" t="n">
        <v>22</v>
      </c>
      <c r="B74" s="194" t="n">
        <f aca="false">$B$33</f>
        <v>73155</v>
      </c>
      <c r="C74" s="194" t="n">
        <f aca="false">MAX(0,C73-D73)</f>
        <v>0</v>
      </c>
      <c r="D74" s="194" t="n">
        <f aca="false">MIN(C74,B74)</f>
        <v>0</v>
      </c>
      <c r="E74" s="194" t="n">
        <f aca="false">MAX(0,E73+F73-G73)</f>
        <v>0</v>
      </c>
      <c r="F74" s="194" t="n">
        <f aca="false">E74*Assumptions!$B$59</f>
        <v>0</v>
      </c>
      <c r="G74" s="194" t="n">
        <f aca="false">MIN(E74+F74,MAX(0,B74-D74))</f>
        <v>0</v>
      </c>
    </row>
    <row r="75" customFormat="false" ht="15" hidden="false" customHeight="true" outlineLevel="0" collapsed="false">
      <c r="A75" s="127" t="n">
        <v>23</v>
      </c>
      <c r="B75" s="194" t="n">
        <f aca="false">$B$33</f>
        <v>73155</v>
      </c>
      <c r="C75" s="194" t="n">
        <f aca="false">MAX(0,C74-D74)</f>
        <v>0</v>
      </c>
      <c r="D75" s="194" t="n">
        <f aca="false">MIN(C75,B75)</f>
        <v>0</v>
      </c>
      <c r="E75" s="194" t="n">
        <f aca="false">MAX(0,E74+F74-G74)</f>
        <v>0</v>
      </c>
      <c r="F75" s="194" t="n">
        <f aca="false">E75*Assumptions!$B$59</f>
        <v>0</v>
      </c>
      <c r="G75" s="194" t="n">
        <f aca="false">MIN(E75+F75,MAX(0,B75-D75))</f>
        <v>0</v>
      </c>
    </row>
    <row r="76" customFormat="false" ht="15" hidden="false" customHeight="true" outlineLevel="0" collapsed="false">
      <c r="A76" s="127" t="n">
        <v>24</v>
      </c>
      <c r="B76" s="194" t="n">
        <f aca="false">$B$33</f>
        <v>73155</v>
      </c>
      <c r="C76" s="194" t="n">
        <f aca="false">MAX(0,C75-D75)</f>
        <v>0</v>
      </c>
      <c r="D76" s="194" t="n">
        <f aca="false">MIN(C76,B76)</f>
        <v>0</v>
      </c>
      <c r="E76" s="194" t="n">
        <f aca="false">MAX(0,E75+F75-G75)</f>
        <v>0</v>
      </c>
      <c r="F76" s="194" t="n">
        <f aca="false">E76*Assumptions!$B$59</f>
        <v>0</v>
      </c>
      <c r="G76" s="194" t="n">
        <f aca="false">MIN(E76+F76,MAX(0,B76-D76))</f>
        <v>0</v>
      </c>
    </row>
    <row r="77" customFormat="false" ht="15" hidden="false" customHeight="true" outlineLevel="0" collapsed="false">
      <c r="A77" s="127" t="n">
        <v>25</v>
      </c>
      <c r="B77" s="194" t="n">
        <f aca="false">$B$33</f>
        <v>73155</v>
      </c>
      <c r="C77" s="194" t="n">
        <f aca="false">MAX(0,C76-D76)</f>
        <v>0</v>
      </c>
      <c r="D77" s="194" t="n">
        <f aca="false">MIN(C77,B77)</f>
        <v>0</v>
      </c>
      <c r="E77" s="194" t="n">
        <f aca="false">MAX(0,E76+F76-G76)</f>
        <v>0</v>
      </c>
      <c r="F77" s="194" t="n">
        <f aca="false">E77*Assumptions!$B$59</f>
        <v>0</v>
      </c>
      <c r="G77" s="194" t="n">
        <f aca="false">MIN(E77+F77,MAX(0,B77-D77))</f>
        <v>0</v>
      </c>
    </row>
    <row r="78" customFormat="false" ht="15" hidden="false" customHeight="true" outlineLevel="0" collapsed="false">
      <c r="A78" s="127" t="n">
        <v>26</v>
      </c>
      <c r="B78" s="194" t="n">
        <f aca="false">$B$33</f>
        <v>73155</v>
      </c>
      <c r="C78" s="194" t="n">
        <f aca="false">MAX(0,C77-D77)</f>
        <v>0</v>
      </c>
      <c r="D78" s="194" t="n">
        <f aca="false">MIN(C78,B78)</f>
        <v>0</v>
      </c>
      <c r="E78" s="194" t="n">
        <f aca="false">MAX(0,E77+F77-G77)</f>
        <v>0</v>
      </c>
      <c r="F78" s="194" t="n">
        <f aca="false">E78*Assumptions!$B$59</f>
        <v>0</v>
      </c>
      <c r="G78" s="194" t="n">
        <f aca="false">MIN(E78+F78,MAX(0,B78-D78))</f>
        <v>0</v>
      </c>
    </row>
    <row r="79" customFormat="false" ht="15" hidden="false" customHeight="true" outlineLevel="0" collapsed="false">
      <c r="A79" s="127" t="n">
        <v>27</v>
      </c>
      <c r="B79" s="194" t="n">
        <f aca="false">$B$33</f>
        <v>73155</v>
      </c>
      <c r="C79" s="194" t="n">
        <f aca="false">MAX(0,C78-D78)</f>
        <v>0</v>
      </c>
      <c r="D79" s="194" t="n">
        <f aca="false">MIN(C79,B79)</f>
        <v>0</v>
      </c>
      <c r="E79" s="194" t="n">
        <f aca="false">MAX(0,E78+F78-G78)</f>
        <v>0</v>
      </c>
      <c r="F79" s="194" t="n">
        <f aca="false">E79*Assumptions!$B$59</f>
        <v>0</v>
      </c>
      <c r="G79" s="194" t="n">
        <f aca="false">MIN(E79+F79,MAX(0,B79-D79))</f>
        <v>0</v>
      </c>
    </row>
    <row r="80" customFormat="false" ht="15" hidden="false" customHeight="true" outlineLevel="0" collapsed="false">
      <c r="A80" s="127" t="n">
        <v>28</v>
      </c>
      <c r="B80" s="194" t="n">
        <f aca="false">$B$33</f>
        <v>73155</v>
      </c>
      <c r="C80" s="194" t="n">
        <f aca="false">MAX(0,C79-D79)</f>
        <v>0</v>
      </c>
      <c r="D80" s="194" t="n">
        <f aca="false">MIN(C80,B80)</f>
        <v>0</v>
      </c>
      <c r="E80" s="194" t="n">
        <f aca="false">MAX(0,E79+F79-G79)</f>
        <v>0</v>
      </c>
      <c r="F80" s="194" t="n">
        <f aca="false">E80*Assumptions!$B$59</f>
        <v>0</v>
      </c>
      <c r="G80" s="194" t="n">
        <f aca="false">MIN(E80+F80,MAX(0,B80-D80))</f>
        <v>0</v>
      </c>
    </row>
    <row r="81" customFormat="false" ht="15" hidden="false" customHeight="true" outlineLevel="0" collapsed="false">
      <c r="A81" s="127" t="n">
        <v>29</v>
      </c>
      <c r="B81" s="194" t="n">
        <f aca="false">$B$33</f>
        <v>73155</v>
      </c>
      <c r="C81" s="194" t="n">
        <f aca="false">MAX(0,C80-D80)</f>
        <v>0</v>
      </c>
      <c r="D81" s="194" t="n">
        <f aca="false">MIN(C81,B81)</f>
        <v>0</v>
      </c>
      <c r="E81" s="194" t="n">
        <f aca="false">MAX(0,E80+F80-G80)</f>
        <v>0</v>
      </c>
      <c r="F81" s="194" t="n">
        <f aca="false">E81*Assumptions!$B$59</f>
        <v>0</v>
      </c>
      <c r="G81" s="194" t="n">
        <f aca="false">MIN(E81+F81,MAX(0,B81-D81))</f>
        <v>0</v>
      </c>
    </row>
    <row r="82" customFormat="false" ht="15" hidden="false" customHeight="true" outlineLevel="0" collapsed="false">
      <c r="A82" s="127" t="n">
        <v>30</v>
      </c>
      <c r="B82" s="194" t="n">
        <f aca="false">$B$33</f>
        <v>73155</v>
      </c>
      <c r="C82" s="194" t="n">
        <f aca="false">MAX(0,C81-D81)</f>
        <v>0</v>
      </c>
      <c r="D82" s="194" t="n">
        <f aca="false">MIN(C82,B82)</f>
        <v>0</v>
      </c>
      <c r="E82" s="194" t="n">
        <f aca="false">MAX(0,E81+F81-G81)</f>
        <v>0</v>
      </c>
      <c r="F82" s="194" t="n">
        <f aca="false">E82*Assumptions!$B$59</f>
        <v>0</v>
      </c>
      <c r="G82" s="194" t="n">
        <f aca="false">MIN(E82+F82,MAX(0,B82-D82))</f>
        <v>0</v>
      </c>
    </row>
    <row r="83" customFormat="false" ht="15" hidden="false" customHeight="true" outlineLevel="0" collapsed="false">
      <c r="A83" s="127" t="n">
        <v>31</v>
      </c>
      <c r="B83" s="194" t="n">
        <f aca="false">$B$33</f>
        <v>73155</v>
      </c>
      <c r="C83" s="194" t="n">
        <f aca="false">MAX(0,C82-D82)</f>
        <v>0</v>
      </c>
      <c r="D83" s="194" t="n">
        <f aca="false">MIN(C83,B83)</f>
        <v>0</v>
      </c>
      <c r="E83" s="194" t="n">
        <f aca="false">MAX(0,E82+F82-G82)</f>
        <v>0</v>
      </c>
      <c r="F83" s="194" t="n">
        <f aca="false">E83*Assumptions!$B$59</f>
        <v>0</v>
      </c>
      <c r="G83" s="194" t="n">
        <f aca="false">MIN(E83+F83,MAX(0,B83-D83))</f>
        <v>0</v>
      </c>
    </row>
    <row r="84" customFormat="false" ht="15" hidden="false" customHeight="true" outlineLevel="0" collapsed="false">
      <c r="A84" s="127" t="n">
        <v>32</v>
      </c>
      <c r="B84" s="194" t="n">
        <f aca="false">$B$33</f>
        <v>73155</v>
      </c>
      <c r="C84" s="194" t="n">
        <f aca="false">MAX(0,C83-D83)</f>
        <v>0</v>
      </c>
      <c r="D84" s="194" t="n">
        <f aca="false">MIN(C84,B84)</f>
        <v>0</v>
      </c>
      <c r="E84" s="194" t="n">
        <f aca="false">MAX(0,E83+F83-G83)</f>
        <v>0</v>
      </c>
      <c r="F84" s="194" t="n">
        <f aca="false">E84*Assumptions!$B$59</f>
        <v>0</v>
      </c>
      <c r="G84" s="194" t="n">
        <f aca="false">MIN(E84+F84,MAX(0,B84-D84))</f>
        <v>0</v>
      </c>
    </row>
    <row r="85" customFormat="false" ht="15" hidden="false" customHeight="true" outlineLevel="0" collapsed="false">
      <c r="A85" s="127" t="n">
        <v>33</v>
      </c>
      <c r="B85" s="194" t="n">
        <f aca="false">$B$33</f>
        <v>73155</v>
      </c>
      <c r="C85" s="194" t="n">
        <f aca="false">MAX(0,C84-D84)</f>
        <v>0</v>
      </c>
      <c r="D85" s="194" t="n">
        <f aca="false">MIN(C85,B85)</f>
        <v>0</v>
      </c>
      <c r="E85" s="194" t="n">
        <f aca="false">MAX(0,E84+F84-G84)</f>
        <v>0</v>
      </c>
      <c r="F85" s="194" t="n">
        <f aca="false">E85*Assumptions!$B$59</f>
        <v>0</v>
      </c>
      <c r="G85" s="194" t="n">
        <f aca="false">MIN(E85+F85,MAX(0,B85-D85))</f>
        <v>0</v>
      </c>
    </row>
    <row r="86" customFormat="false" ht="15" hidden="false" customHeight="true" outlineLevel="0" collapsed="false">
      <c r="A86" s="127" t="n">
        <v>34</v>
      </c>
      <c r="B86" s="194" t="n">
        <f aca="false">$B$33</f>
        <v>73155</v>
      </c>
      <c r="C86" s="194" t="n">
        <f aca="false">MAX(0,C85-D85)</f>
        <v>0</v>
      </c>
      <c r="D86" s="194" t="n">
        <f aca="false">MIN(C86,B86)</f>
        <v>0</v>
      </c>
      <c r="E86" s="194" t="n">
        <f aca="false">MAX(0,E85+F85-G85)</f>
        <v>0</v>
      </c>
      <c r="F86" s="194" t="n">
        <f aca="false">E86*Assumptions!$B$59</f>
        <v>0</v>
      </c>
      <c r="G86" s="194" t="n">
        <f aca="false">MIN(E86+F86,MAX(0,B86-D86))</f>
        <v>0</v>
      </c>
    </row>
    <row r="87" customFormat="false" ht="15" hidden="false" customHeight="true" outlineLevel="0" collapsed="false">
      <c r="A87" s="127" t="n">
        <v>35</v>
      </c>
      <c r="B87" s="194" t="n">
        <f aca="false">$B$33</f>
        <v>73155</v>
      </c>
      <c r="C87" s="194" t="n">
        <f aca="false">MAX(0,C86-D86)</f>
        <v>0</v>
      </c>
      <c r="D87" s="194" t="n">
        <f aca="false">MIN(C87,B87)</f>
        <v>0</v>
      </c>
      <c r="E87" s="194" t="n">
        <f aca="false">MAX(0,E86+F86-G86)</f>
        <v>0</v>
      </c>
      <c r="F87" s="194" t="n">
        <f aca="false">E87*Assumptions!$B$59</f>
        <v>0</v>
      </c>
      <c r="G87" s="194" t="n">
        <f aca="false">MIN(E87+F87,MAX(0,B87-D87))</f>
        <v>0</v>
      </c>
    </row>
    <row r="88" customFormat="false" ht="15" hidden="false" customHeight="true" outlineLevel="0" collapsed="false">
      <c r="A88" s="127" t="n">
        <v>36</v>
      </c>
      <c r="B88" s="194" t="n">
        <f aca="false">$B$33</f>
        <v>73155</v>
      </c>
      <c r="C88" s="194" t="n">
        <f aca="false">MAX(0,C87-D87)</f>
        <v>0</v>
      </c>
      <c r="D88" s="194" t="n">
        <f aca="false">MIN(C88,B88)</f>
        <v>0</v>
      </c>
      <c r="E88" s="194" t="n">
        <f aca="false">MAX(0,E87+F87-G87)</f>
        <v>0</v>
      </c>
      <c r="F88" s="194" t="n">
        <f aca="false">E88*Assumptions!$B$59</f>
        <v>0</v>
      </c>
      <c r="G88" s="194" t="n">
        <f aca="false">MIN(E88+F88,MAX(0,B88-D88))</f>
        <v>0</v>
      </c>
    </row>
    <row r="89" customFormat="false" ht="15" hidden="false" customHeight="true" outlineLevel="0" collapsed="false">
      <c r="A89" s="127" t="n">
        <v>37</v>
      </c>
      <c r="B89" s="194" t="n">
        <f aca="false">$B$33</f>
        <v>73155</v>
      </c>
      <c r="C89" s="194" t="n">
        <f aca="false">MAX(0,C88-D88)</f>
        <v>0</v>
      </c>
      <c r="D89" s="194" t="n">
        <f aca="false">MIN(C89,B89)</f>
        <v>0</v>
      </c>
      <c r="E89" s="194" t="n">
        <f aca="false">MAX(0,E88+F88-G88)</f>
        <v>0</v>
      </c>
      <c r="F89" s="194" t="n">
        <f aca="false">E89*Assumptions!$B$59</f>
        <v>0</v>
      </c>
      <c r="G89" s="194" t="n">
        <f aca="false">MIN(E89+F89,MAX(0,B89-D89))</f>
        <v>0</v>
      </c>
    </row>
    <row r="90" customFormat="false" ht="15" hidden="false" customHeight="true" outlineLevel="0" collapsed="false">
      <c r="A90" s="127" t="n">
        <v>38</v>
      </c>
      <c r="B90" s="194" t="n">
        <f aca="false">$B$33</f>
        <v>73155</v>
      </c>
      <c r="C90" s="194" t="n">
        <f aca="false">MAX(0,C89-D89)</f>
        <v>0</v>
      </c>
      <c r="D90" s="194" t="n">
        <f aca="false">MIN(C90,B90)</f>
        <v>0</v>
      </c>
      <c r="E90" s="194" t="n">
        <f aca="false">MAX(0,E89+F89-G89)</f>
        <v>0</v>
      </c>
      <c r="F90" s="194" t="n">
        <f aca="false">E90*Assumptions!$B$59</f>
        <v>0</v>
      </c>
      <c r="G90" s="194" t="n">
        <f aca="false">MIN(E90+F90,MAX(0,B90-D90))</f>
        <v>0</v>
      </c>
    </row>
    <row r="91" customFormat="false" ht="15" hidden="false" customHeight="true" outlineLevel="0" collapsed="false">
      <c r="A91" s="127" t="n">
        <v>39</v>
      </c>
      <c r="B91" s="194" t="n">
        <f aca="false">$B$33</f>
        <v>73155</v>
      </c>
      <c r="C91" s="194" t="n">
        <f aca="false">MAX(0,C90-D90)</f>
        <v>0</v>
      </c>
      <c r="D91" s="194" t="n">
        <f aca="false">MIN(C91,B91)</f>
        <v>0</v>
      </c>
      <c r="E91" s="194" t="n">
        <f aca="false">MAX(0,E90+F90-G90)</f>
        <v>0</v>
      </c>
      <c r="F91" s="194" t="n">
        <f aca="false">E91*Assumptions!$B$59</f>
        <v>0</v>
      </c>
      <c r="G91" s="194" t="n">
        <f aca="false">MIN(E91+F91,MAX(0,B91-D91))</f>
        <v>0</v>
      </c>
    </row>
    <row r="92" customFormat="false" ht="15" hidden="false" customHeight="true" outlineLevel="0" collapsed="false">
      <c r="A92" s="127" t="n">
        <v>40</v>
      </c>
      <c r="B92" s="194" t="n">
        <f aca="false">$B$33</f>
        <v>73155</v>
      </c>
      <c r="C92" s="194" t="n">
        <f aca="false">MAX(0,C91-D91)</f>
        <v>0</v>
      </c>
      <c r="D92" s="194" t="n">
        <f aca="false">MIN(C92,B92)</f>
        <v>0</v>
      </c>
      <c r="E92" s="194" t="n">
        <f aca="false">MAX(0,E91+F91-G91)</f>
        <v>0</v>
      </c>
      <c r="F92" s="194" t="n">
        <f aca="false">E92*Assumptions!$B$59</f>
        <v>0</v>
      </c>
      <c r="G92" s="194" t="n">
        <f aca="false">MIN(E92+F92,MAX(0,B92-D92))</f>
        <v>0</v>
      </c>
    </row>
    <row r="93" customFormat="false" ht="15" hidden="false" customHeight="true" outlineLevel="0" collapsed="false">
      <c r="A93" s="285" t="s">
        <v>839</v>
      </c>
      <c r="D93" s="287" t="n">
        <f aca="false">SUM(D53:D92)</f>
        <v>270925.32</v>
      </c>
      <c r="F93" s="287" t="n">
        <f aca="false">SUM(F53:F92)</f>
        <v>240125.881206445</v>
      </c>
      <c r="G93" s="287" t="n">
        <f aca="false">SUM(G53:G92)</f>
        <v>810147.428211617</v>
      </c>
    </row>
    <row r="95" customFormat="false" ht="15" hidden="false" customHeight="true" outlineLevel="0" collapsed="false">
      <c r="A95" s="2" t="s">
        <v>840</v>
      </c>
    </row>
    <row r="96" customFormat="false" ht="15" hidden="false" customHeight="true" outlineLevel="0" collapsed="false">
      <c r="A96" s="77" t="s">
        <v>841</v>
      </c>
      <c r="B96" s="288" t="n">
        <f aca="false">SUM(Actuals!C112:N112)</f>
        <v>-1293870.53</v>
      </c>
      <c r="C96" s="78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8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8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8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8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8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8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8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8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8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8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8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8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78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78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78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406134.769755</v>
      </c>
      <c r="S96" s="78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801871.06546</v>
      </c>
      <c r="T96" s="78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1464522.659788</v>
      </c>
      <c r="U96" s="78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1761883.437959</v>
      </c>
      <c r="V96" s="78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2068507.564548</v>
      </c>
      <c r="W96" s="78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2369894.234588</v>
      </c>
      <c r="X96" s="78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2649696.736667</v>
      </c>
      <c r="Y96" s="78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2891065.426723</v>
      </c>
      <c r="Z96" s="78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3078343.051573</v>
      </c>
      <c r="AA96" s="78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3198689.939246</v>
      </c>
      <c r="AB96" s="78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3243566.766438</v>
      </c>
      <c r="AC96" s="78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3209714.87385</v>
      </c>
      <c r="AD96" s="78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3099589.345003</v>
      </c>
      <c r="AE96" s="78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2921025.983551</v>
      </c>
      <c r="AF96" s="78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2686339.166793</v>
      </c>
      <c r="AG96" s="78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2410885.979528</v>
      </c>
      <c r="AH96" s="78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2111456.657492</v>
      </c>
      <c r="AI96" s="78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1804566.756813</v>
      </c>
      <c r="AJ96" s="78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1505061.025398</v>
      </c>
      <c r="AK96" s="78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904306.653254</v>
      </c>
      <c r="AL96" s="78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489046.905573</v>
      </c>
      <c r="AM96" s="78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78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78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78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78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78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8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8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8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8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8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8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8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8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8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8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8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8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8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8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8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8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8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8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8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8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8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8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8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8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8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8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8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8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8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8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8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8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8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8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8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8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8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8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8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8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8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8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8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8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8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8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8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8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8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8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8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8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8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8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8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8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8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8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8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8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8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8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8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8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8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8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7" t="s">
        <v>842</v>
      </c>
      <c r="C97" s="78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8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8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8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8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8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8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8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8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8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8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8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8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78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78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78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498330.28784825</v>
      </c>
      <c r="S97" s="78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962192.14843</v>
      </c>
      <c r="T97" s="78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1735860.91289195</v>
      </c>
      <c r="U97" s="78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2033221.69106295</v>
      </c>
      <c r="V97" s="78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2339845.81765195</v>
      </c>
      <c r="W97" s="78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2641232.48769195</v>
      </c>
      <c r="X97" s="78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2921034.98977095</v>
      </c>
      <c r="Y97" s="78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3162403.67982695</v>
      </c>
      <c r="Z97" s="78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3349681.30467695</v>
      </c>
      <c r="AA97" s="78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3470028.19234995</v>
      </c>
      <c r="AB97" s="78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3514905.01954195</v>
      </c>
      <c r="AC97" s="78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3481053.12695395</v>
      </c>
      <c r="AD97" s="78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3370927.59810695</v>
      </c>
      <c r="AE97" s="78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3192364.23665495</v>
      </c>
      <c r="AF97" s="78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2957677.41989695</v>
      </c>
      <c r="AG97" s="78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2682224.23263195</v>
      </c>
      <c r="AH97" s="78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2382794.91059595</v>
      </c>
      <c r="AI97" s="78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2075905.00991695</v>
      </c>
      <c r="AJ97" s="78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1868594.7965952</v>
      </c>
      <c r="AK97" s="78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1151574.95314145</v>
      </c>
      <c r="AL97" s="78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711081.2458409</v>
      </c>
      <c r="AM97" s="78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78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78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78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78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78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78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78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78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78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78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8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8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8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8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8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8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8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8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8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8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8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8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8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8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8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8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8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8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8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8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8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8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8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8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8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8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8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8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8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8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8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8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8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8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8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8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8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8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8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8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8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8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8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8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8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8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8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8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8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8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8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8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8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8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8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8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8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8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8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8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8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7" t="s">
        <v>843</v>
      </c>
      <c r="C98" s="79" t="n">
        <f aca="false">IFERROR((C97-C96)/(Model!B107-IF(AND(Projects!$G$14="Yes",Model!B$3&gt;=Projects!$C$14),Model!B105+Model!B106,0)),0)</f>
        <v>0</v>
      </c>
      <c r="D98" s="79" t="n">
        <f aca="false">IFERROR((D97-D96)/(Model!C107-IF(AND(Projects!$G$14="Yes",Model!C$3&gt;=Projects!$C$14),Model!C105+Model!C106,0)),0)</f>
        <v>-0</v>
      </c>
      <c r="E98" s="79" t="n">
        <f aca="false">IFERROR((E97-E96)/(Model!D107-IF(AND(Projects!$G$14="Yes",Model!D$3&gt;=Projects!$C$14),Model!D105+Model!D106,0)),0)</f>
        <v>0</v>
      </c>
      <c r="F98" s="79" t="n">
        <f aca="false">IFERROR((F97-F96)/(Model!E107-IF(AND(Projects!$G$14="Yes",Model!E$3&gt;=Projects!$C$14),Model!E105+Model!E106,0)),0)</f>
        <v>0</v>
      </c>
      <c r="G98" s="79" t="n">
        <f aca="false">IFERROR((G97-G96)/(Model!F107-IF(AND(Projects!$G$14="Yes",Model!F$3&gt;=Projects!$C$14),Model!F105+Model!F106,0)),0)</f>
        <v>0</v>
      </c>
      <c r="H98" s="79" t="n">
        <f aca="false">IFERROR((H97-H96)/(Model!G107-IF(AND(Projects!$G$14="Yes",Model!G$3&gt;=Projects!$C$14),Model!G105+Model!G106,0)),0)</f>
        <v>0</v>
      </c>
      <c r="I98" s="79" t="n">
        <f aca="false">IFERROR((I97-I96)/(Model!H107-IF(AND(Projects!$G$14="Yes",Model!H$3&gt;=Projects!$C$14),Model!H105+Model!H106,0)),0)</f>
        <v>0</v>
      </c>
      <c r="J98" s="79" t="n">
        <f aca="false">IFERROR((J97-J96)/(Model!I107-IF(AND(Projects!$G$14="Yes",Model!I$3&gt;=Projects!$C$14),Model!I105+Model!I106,0)),0)</f>
        <v>0</v>
      </c>
      <c r="K98" s="79" t="n">
        <f aca="false">IFERROR((K97-K96)/(Model!J107-IF(AND(Projects!$G$14="Yes",Model!J$3&gt;=Projects!$C$14),Model!J105+Model!J106,0)),0)</f>
        <v>0</v>
      </c>
      <c r="L98" s="79" t="n">
        <f aca="false">IFERROR((L97-L96)/(Model!K107-IF(AND(Projects!$G$14="Yes",Model!K$3&gt;=Projects!$C$14),Model!K105+Model!K106,0)),0)</f>
        <v>0</v>
      </c>
      <c r="M98" s="79" t="n">
        <f aca="false">IFERROR((M97-M96)/(Model!L107-IF(AND(Projects!$G$14="Yes",Model!L$3&gt;=Projects!$C$14),Model!L105+Model!L106,0)),0)</f>
        <v>0</v>
      </c>
      <c r="N98" s="79" t="n">
        <f aca="false">IFERROR((N97-N96)/(Model!M107-IF(AND(Projects!$G$14="Yes",Model!M$3&gt;=Projects!$C$14),Model!M105+Model!M106,0)),0)</f>
        <v>0</v>
      </c>
      <c r="O98" s="79" t="n">
        <f aca="false">IFERROR((O97-O96)/(Model!N107-IF(AND(Projects!$G$14="Yes",Model!N$3&gt;=Projects!$C$14),Model!N105+Model!N106,0)),0)</f>
        <v>0</v>
      </c>
      <c r="P98" s="79" t="n">
        <f aca="false">IFERROR((P97-P96)/(Model!O107-IF(AND(Projects!$G$14="Yes",Model!O$3&gt;=Projects!$C$14),Model!O105+Model!O106,0)),0)</f>
        <v>0</v>
      </c>
      <c r="Q98" s="79" t="n">
        <f aca="false">IFERROR((Q97-Q96)/(Model!P107-IF(AND(Projects!$G$14="Yes",Model!P$3&gt;=Projects!$C$14),Model!P105+Model!P106,0)),0)</f>
        <v>0</v>
      </c>
      <c r="R98" s="79" t="n">
        <f aca="false">IFERROR((R97-R96)/(Model!Q107-IF(AND(Projects!$G$14="Yes",Model!Q$3&gt;=Projects!$C$14),Model!Q105+Model!Q106,0)),0)</f>
        <v>1.31438271641601</v>
      </c>
      <c r="S98" s="79" t="n">
        <f aca="false">IFERROR((S97-S96)/(Model!R107-IF(AND(Projects!$G$14="Yes",Model!R$3&gt;=Projects!$C$14),Model!R105+Model!R106,0)),0)</f>
        <v>0.17779295024594</v>
      </c>
      <c r="T98" s="79" t="n">
        <f aca="false">IFERROR((T97-T96)/(Model!S107-IF(AND(Projects!$G$14="Yes",Model!S$3&gt;=Projects!$C$14),Model!S105+Model!S106,0)),0)</f>
        <v>0.275383930508656</v>
      </c>
      <c r="U98" s="79" t="n">
        <f aca="false">IFERROR((U97-U96)/(Model!T107-IF(AND(Projects!$G$14="Yes",Model!T$3&gt;=Projects!$C$14),Model!T105+Model!T106,0)),0)</f>
        <v>0.298116961671269</v>
      </c>
      <c r="V98" s="79" t="n">
        <f aca="false">IFERROR((V97-V96)/(Model!U107-IF(AND(Projects!$G$14="Yes",Model!U$3&gt;=Projects!$C$14),Model!U105+Model!U106,0)),0)</f>
        <v>0.316386840752951</v>
      </c>
      <c r="W98" s="79" t="n">
        <f aca="false">IFERROR((W97-W96)/(Model!V107-IF(AND(Projects!$G$14="Yes",Model!V$3&gt;=Projects!$C$14),Model!V105+Model!V106,0)),0)</f>
        <v>0.317416835591534</v>
      </c>
      <c r="X98" s="79" t="n">
        <f aca="false">IFERROR((X97-X96)/(Model!W107-IF(AND(Projects!$G$14="Yes",Model!W$3&gt;=Projects!$C$14),Model!W105+Model!W106,0)),0)</f>
        <v>0.318379757533795</v>
      </c>
      <c r="Y98" s="79" t="n">
        <f aca="false">IFERROR((Y97-Y96)/(Model!X107-IF(AND(Projects!$G$14="Yes",Model!X$3&gt;=Projects!$C$14),Model!X105+Model!X106,0)),0)</f>
        <v>0.322535030028363</v>
      </c>
      <c r="Z98" s="79" t="n">
        <f aca="false">IFERROR((Z97-Z96)/(Model!Y107-IF(AND(Projects!$G$14="Yes",Model!Y$3&gt;=Projects!$C$14),Model!Y105+Model!Y106,0)),0)</f>
        <v>0.322535030028362</v>
      </c>
      <c r="AA98" s="79" t="n">
        <f aca="false">IFERROR((AA97-AA96)/(Model!Z107-IF(AND(Projects!$G$14="Yes",Model!Z$3&gt;=Projects!$C$14),Model!Z105+Model!Z106,0)),0)</f>
        <v>0.322535030028362</v>
      </c>
      <c r="AB98" s="79" t="n">
        <f aca="false">IFERROR((AB97-AB96)/(Model!AA107-IF(AND(Projects!$G$14="Yes",Model!AA$3&gt;=Projects!$C$14),Model!AA105+Model!AA106,0)),0)</f>
        <v>0.295098321608414</v>
      </c>
      <c r="AC98" s="79" t="n">
        <f aca="false">IFERROR((AC97-AC96)/(Model!AB107-IF(AND(Projects!$G$14="Yes",Model!AB$3&gt;=Projects!$C$14),Model!AB105+Model!AB106,0)),0)</f>
        <v>0.355596549267867</v>
      </c>
      <c r="AD98" s="79" t="n">
        <f aca="false">IFERROR((AD97-AD96)/(Model!AC107-IF(AND(Projects!$G$14="Yes",Model!AC$3&gt;=Projects!$C$14),Model!AC105+Model!AC106,0)),0)</f>
        <v>0.355596549267867</v>
      </c>
      <c r="AE98" s="79" t="n">
        <f aca="false">IFERROR((AE97-AE96)/(Model!AD107-IF(AND(Projects!$G$14="Yes",Model!AD$3&gt;=Projects!$C$14),Model!AD105+Model!AD106,0)),0)</f>
        <v>0.355596549267867</v>
      </c>
      <c r="AF98" s="79" t="n">
        <f aca="false">IFERROR((AF97-AF96)/(Model!AE107-IF(AND(Projects!$G$14="Yes",Model!AE$3&gt;=Projects!$C$14),Model!AE105+Model!AE106,0)),0)</f>
        <v>0.294705287427074</v>
      </c>
      <c r="AG98" s="79" t="n">
        <f aca="false">IFERROR((AG97-AG96)/(Model!AF107-IF(AND(Projects!$G$14="Yes",Model!AF$3&gt;=Projects!$C$14),Model!AF105+Model!AF106,0)),0)</f>
        <v>0.294705287427074</v>
      </c>
      <c r="AH98" s="79" t="n">
        <f aca="false">IFERROR((AH97-AH96)/(Model!AG107-IF(AND(Projects!$G$14="Yes",Model!AG$3&gt;=Projects!$C$14),Model!AG105+Model!AG106,0)),0)</f>
        <v>0.258736089730205</v>
      </c>
      <c r="AI98" s="79" t="n">
        <f aca="false">IFERROR((AI97-AI96)/(Model!AH107-IF(AND(Projects!$G$14="Yes",Model!AH$3&gt;=Projects!$C$14),Model!AH105+Model!AH106,0)),0)</f>
        <v>0.331150596858479</v>
      </c>
      <c r="AJ98" s="79" t="n">
        <f aca="false">IFERROR((AJ97-AJ96)/(Model!AI107-IF(AND(Projects!$G$14="Yes",Model!AI$3&gt;=Projects!$C$14),Model!AI105+Model!AI106,0)),0)</f>
        <v>0.398797105881025</v>
      </c>
      <c r="AK98" s="79" t="n">
        <f aca="false">IFERROR((AK97-AK96)/(Model!AJ107-IF(AND(Projects!$G$14="Yes",Model!AJ$3&gt;=Projects!$C$14),Model!AJ105+Model!AJ106,0)),0)</f>
        <v>0.310907964192538</v>
      </c>
      <c r="AL98" s="79" t="n">
        <f aca="false">IFERROR((AL97-AL96)/(Model!AK107-IF(AND(Projects!$G$14="Yes",Model!AK$3&gt;=Projects!$C$14),Model!AK105+Model!AK106,0)),0)</f>
        <v>0.288327707979252</v>
      </c>
      <c r="AM98" s="79" t="n">
        <f aca="false">IFERROR((AM97-AM96)/(Model!AL107-IF(AND(Projects!$G$14="Yes",Model!AL$3&gt;=Projects!$C$14),Model!AL105+Model!AL106,0)),0)</f>
        <v>0</v>
      </c>
      <c r="AN98" s="79" t="n">
        <f aca="false">IFERROR((AN97-AN96)/(Model!AM107-IF(AND(Projects!$G$14="Yes",Model!AM$3&gt;=Projects!$C$14),Model!AM105+Model!AM106,0)),0)</f>
        <v>0</v>
      </c>
      <c r="AO98" s="79" t="n">
        <f aca="false">IFERROR((AO97-AO96)/(Model!AN107-IF(AND(Projects!$G$14="Yes",Model!AN$3&gt;=Projects!$C$14),Model!AN105+Model!AN106,0)),0)</f>
        <v>0</v>
      </c>
      <c r="AP98" s="79" t="n">
        <f aca="false">IFERROR((AP97-AP96)/(Model!AO107-IF(AND(Projects!$G$14="Yes",Model!AO$3&gt;=Projects!$C$14),Model!AO105+Model!AO106,0)),0)</f>
        <v>0</v>
      </c>
      <c r="AQ98" s="79" t="n">
        <f aca="false">IFERROR((AQ97-AQ96)/(Model!AP107-IF(AND(Projects!$G$14="Yes",Model!AP$3&gt;=Projects!$C$14),Model!AP105+Model!AP106,0)),0)</f>
        <v>0</v>
      </c>
      <c r="AR98" s="79" t="n">
        <f aca="false">IFERROR((AR97-AR96)/(Model!AQ107-IF(AND(Projects!$G$14="Yes",Model!AQ$3&gt;=Projects!$C$14),Model!AQ105+Model!AQ106,0)),0)</f>
        <v>0</v>
      </c>
      <c r="AS98" s="79" t="n">
        <f aca="false">IFERROR((AS97-AS96)/(Model!AR107-IF(AND(Projects!$G$14="Yes",Model!AR$3&gt;=Projects!$C$14),Model!AR105+Model!AR106,0)),0)</f>
        <v>0</v>
      </c>
      <c r="AT98" s="79" t="n">
        <f aca="false">IFERROR((AT97-AT96)/(Model!AS107-IF(AND(Projects!$G$14="Yes",Model!AS$3&gt;=Projects!$C$14),Model!AS105+Model!AS106,0)),0)</f>
        <v>0</v>
      </c>
      <c r="AU98" s="79" t="n">
        <f aca="false">IFERROR((AU97-AU96)/(Model!AT107-IF(AND(Projects!$G$14="Yes",Model!AT$3&gt;=Projects!$C$14),Model!AT105+Model!AT106,0)),0)</f>
        <v>0</v>
      </c>
      <c r="AV98" s="79" t="n">
        <f aca="false">IFERROR((AV97-AV96)/(Model!AU107-IF(AND(Projects!$G$14="Yes",Model!AU$3&gt;=Projects!$C$14),Model!AU105+Model!AU106,0)),0)</f>
        <v>0</v>
      </c>
      <c r="AW98" s="79" t="n">
        <f aca="false">IFERROR((AW97-AW96)/(Model!AV107-IF(AND(Projects!$G$14="Yes",Model!AV$3&gt;=Projects!$C$14),Model!AV105+Model!AV106,0)),0)</f>
        <v>0</v>
      </c>
      <c r="AX98" s="79" t="n">
        <f aca="false">IFERROR((AX97-AX96)/(Model!AW107-IF(AND(Projects!$G$14="Yes",Model!AW$3&gt;=Projects!$C$14),Model!AW105+Model!AW106,0)),0)</f>
        <v>0</v>
      </c>
      <c r="AY98" s="79" t="n">
        <f aca="false">IFERROR((AY97-AY96)/(Model!AX107-IF(AND(Projects!$G$14="Yes",Model!AX$3&gt;=Projects!$C$14),Model!AX105+Model!AX106,0)),0)</f>
        <v>0</v>
      </c>
      <c r="AZ98" s="79" t="n">
        <f aca="false">IFERROR((AZ97-AZ96)/(Model!AY107-IF(AND(Projects!$G$14="Yes",Model!AY$3&gt;=Projects!$C$14),Model!AY105+Model!AY106,0)),0)</f>
        <v>0</v>
      </c>
      <c r="BA98" s="79" t="n">
        <f aca="false">IFERROR((BA97-BA96)/(Model!AZ107-IF(AND(Projects!$G$14="Yes",Model!AZ$3&gt;=Projects!$C$14),Model!AZ105+Model!AZ106,0)),0)</f>
        <v>0</v>
      </c>
      <c r="BB98" s="79" t="n">
        <f aca="false">IFERROR((BB97-BB96)/(Model!BA107-IF(AND(Projects!$G$14="Yes",Model!BA$3&gt;=Projects!$C$14),Model!BA105+Model!BA106,0)),0)</f>
        <v>0</v>
      </c>
      <c r="BC98" s="79" t="n">
        <f aca="false">IFERROR((BC97-BC96)/(Model!BB107-IF(AND(Projects!$G$14="Yes",Model!BB$3&gt;=Projects!$C$14),Model!BB105+Model!BB106,0)),0)</f>
        <v>0</v>
      </c>
      <c r="BD98" s="79" t="n">
        <f aca="false">IFERROR((BD97-BD96)/(Model!BC107-IF(AND(Projects!$G$14="Yes",Model!BC$3&gt;=Projects!$C$14),Model!BC105+Model!BC106,0)),0)</f>
        <v>0</v>
      </c>
      <c r="BE98" s="79" t="n">
        <f aca="false">IFERROR((BE97-BE96)/(Model!BD107-IF(AND(Projects!$G$14="Yes",Model!BD$3&gt;=Projects!$C$14),Model!BD105+Model!BD106,0)),0)</f>
        <v>0</v>
      </c>
      <c r="BF98" s="79" t="n">
        <f aca="false">IFERROR((BF97-BF96)/(Model!BE107-IF(AND(Projects!$G$14="Yes",Model!BE$3&gt;=Projects!$C$14),Model!BE105+Model!BE106,0)),0)</f>
        <v>0</v>
      </c>
      <c r="BG98" s="79" t="n">
        <f aca="false">IFERROR((BG97-BG96)/(Model!BF107-IF(AND(Projects!$G$14="Yes",Model!BF$3&gt;=Projects!$C$14),Model!BF105+Model!BF106,0)),0)</f>
        <v>0</v>
      </c>
      <c r="BH98" s="79" t="n">
        <f aca="false">IFERROR((BH97-BH96)/(Model!BG107-IF(AND(Projects!$G$14="Yes",Model!BG$3&gt;=Projects!$C$14),Model!BG105+Model!BG106,0)),0)</f>
        <v>0</v>
      </c>
      <c r="BI98" s="79" t="n">
        <f aca="false">IFERROR((BI97-BI96)/(Model!BH107-IF(AND(Projects!$G$14="Yes",Model!BH$3&gt;=Projects!$C$14),Model!BH105+Model!BH106,0)),0)</f>
        <v>0</v>
      </c>
      <c r="BJ98" s="79" t="n">
        <f aca="false">IFERROR((BJ97-BJ96)/(Model!BI107-IF(AND(Projects!$G$14="Yes",Model!BI$3&gt;=Projects!$C$14),Model!BI105+Model!BI106,0)),0)</f>
        <v>0</v>
      </c>
      <c r="BK98" s="79" t="n">
        <f aca="false">IFERROR((BK97-BK96)/(Model!BJ107-IF(AND(Projects!$G$14="Yes",Model!BJ$3&gt;=Projects!$C$14),Model!BJ105+Model!BJ106,0)),0)</f>
        <v>0</v>
      </c>
      <c r="BL98" s="79" t="n">
        <f aca="false">IFERROR((BL97-BL96)/(Model!BK107-IF(AND(Projects!$G$14="Yes",Model!BK$3&gt;=Projects!$C$14),Model!BK105+Model!BK106,0)),0)</f>
        <v>0</v>
      </c>
      <c r="BM98" s="79" t="n">
        <f aca="false">IFERROR((BM97-BM96)/(Model!BL107-IF(AND(Projects!$G$14="Yes",Model!BL$3&gt;=Projects!$C$14),Model!BL105+Model!BL106,0)),0)</f>
        <v>0</v>
      </c>
      <c r="BN98" s="79" t="n">
        <f aca="false">IFERROR((BN97-BN96)/(Model!BM107-IF(AND(Projects!$G$14="Yes",Model!BM$3&gt;=Projects!$C$14),Model!BM105+Model!BM106,0)),0)</f>
        <v>0</v>
      </c>
      <c r="BO98" s="79" t="n">
        <f aca="false">IFERROR((BO97-BO96)/(Model!BN107-IF(AND(Projects!$G$14="Yes",Model!BN$3&gt;=Projects!$C$14),Model!BN105+Model!BN106,0)),0)</f>
        <v>0</v>
      </c>
      <c r="BP98" s="79" t="n">
        <f aca="false">IFERROR((BP97-BP96)/(Model!BO107-IF(AND(Projects!$G$14="Yes",Model!BO$3&gt;=Projects!$C$14),Model!BO105+Model!BO106,0)),0)</f>
        <v>0</v>
      </c>
      <c r="BQ98" s="79" t="n">
        <f aca="false">IFERROR((BQ97-BQ96)/(Model!BP107-IF(AND(Projects!$G$14="Yes",Model!BP$3&gt;=Projects!$C$14),Model!BP105+Model!BP106,0)),0)</f>
        <v>0</v>
      </c>
      <c r="BR98" s="79" t="n">
        <f aca="false">IFERROR((BR97-BR96)/(Model!BQ107-IF(AND(Projects!$G$14="Yes",Model!BQ$3&gt;=Projects!$C$14),Model!BQ105+Model!BQ106,0)),0)</f>
        <v>0</v>
      </c>
      <c r="BS98" s="79" t="n">
        <f aca="false">IFERROR((BS97-BS96)/(Model!BR107-IF(AND(Projects!$G$14="Yes",Model!BR$3&gt;=Projects!$C$14),Model!BR105+Model!BR106,0)),0)</f>
        <v>0</v>
      </c>
      <c r="BT98" s="79" t="n">
        <f aca="false">IFERROR((BT97-BT96)/(Model!BS107-IF(AND(Projects!$G$14="Yes",Model!BS$3&gt;=Projects!$C$14),Model!BS105+Model!BS106,0)),0)</f>
        <v>0</v>
      </c>
      <c r="BU98" s="79" t="n">
        <f aca="false">IFERROR((BU97-BU96)/(Model!BT107-IF(AND(Projects!$G$14="Yes",Model!BT$3&gt;=Projects!$C$14),Model!BT105+Model!BT106,0)),0)</f>
        <v>0</v>
      </c>
      <c r="BV98" s="79" t="n">
        <f aca="false">IFERROR((BV97-BV96)/(Model!BU107-IF(AND(Projects!$G$14="Yes",Model!BU$3&gt;=Projects!$C$14),Model!BU105+Model!BU106,0)),0)</f>
        <v>0</v>
      </c>
      <c r="BW98" s="79" t="n">
        <f aca="false">IFERROR((BW97-BW96)/(Model!BV107-IF(AND(Projects!$G$14="Yes",Model!BV$3&gt;=Projects!$C$14),Model!BV105+Model!BV106,0)),0)</f>
        <v>0</v>
      </c>
      <c r="BX98" s="79" t="n">
        <f aca="false">IFERROR((BX97-BX96)/(Model!BW107-IF(AND(Projects!$G$14="Yes",Model!BW$3&gt;=Projects!$C$14),Model!BW105+Model!BW106,0)),0)</f>
        <v>0</v>
      </c>
      <c r="BY98" s="79" t="n">
        <f aca="false">IFERROR((BY97-BY96)/(Model!BX107-IF(AND(Projects!$G$14="Yes",Model!BX$3&gt;=Projects!$C$14),Model!BX105+Model!BX106,0)),0)</f>
        <v>0</v>
      </c>
      <c r="BZ98" s="79" t="n">
        <f aca="false">IFERROR((BZ97-BZ96)/(Model!BY107-IF(AND(Projects!$G$14="Yes",Model!BY$3&gt;=Projects!$C$14),Model!BY105+Model!BY106,0)),0)</f>
        <v>0</v>
      </c>
      <c r="CA98" s="79" t="n">
        <f aca="false">IFERROR((CA97-CA96)/(Model!BZ107-IF(AND(Projects!$G$14="Yes",Model!BZ$3&gt;=Projects!$C$14),Model!BZ105+Model!BZ106,0)),0)</f>
        <v>0</v>
      </c>
      <c r="CB98" s="79" t="n">
        <f aca="false">IFERROR((CB97-CB96)/(Model!CA107-IF(AND(Projects!$G$14="Yes",Model!CA$3&gt;=Projects!$C$14),Model!CA105+Model!CA106,0)),0)</f>
        <v>0</v>
      </c>
      <c r="CC98" s="79" t="n">
        <f aca="false">IFERROR((CC97-CC96)/(Model!CB107-IF(AND(Projects!$G$14="Yes",Model!CB$3&gt;=Projects!$C$14),Model!CB105+Model!CB106,0)),0)</f>
        <v>0</v>
      </c>
      <c r="CD98" s="79" t="n">
        <f aca="false">IFERROR((CD97-CD96)/(Model!CC107-IF(AND(Projects!$G$14="Yes",Model!CC$3&gt;=Projects!$C$14),Model!CC105+Model!CC106,0)),0)</f>
        <v>0</v>
      </c>
      <c r="CE98" s="79" t="n">
        <f aca="false">IFERROR((CE97-CE96)/(Model!CD107-IF(AND(Projects!$G$14="Yes",Model!CD$3&gt;=Projects!$C$14),Model!CD105+Model!CD106,0)),0)</f>
        <v>0</v>
      </c>
      <c r="CF98" s="79" t="n">
        <f aca="false">IFERROR((CF97-CF96)/(Model!CE107-IF(AND(Projects!$G$14="Yes",Model!CE$3&gt;=Projects!$C$14),Model!CE105+Model!CE106,0)),0)</f>
        <v>0</v>
      </c>
      <c r="CG98" s="79" t="n">
        <f aca="false">IFERROR((CG97-CG96)/(Model!CF107-IF(AND(Projects!$G$14="Yes",Model!CF$3&gt;=Projects!$C$14),Model!CF105+Model!CF106,0)),0)</f>
        <v>0</v>
      </c>
      <c r="CH98" s="79" t="n">
        <f aca="false">IFERROR((CH97-CH96)/(Model!CG107-IF(AND(Projects!$G$14="Yes",Model!CG$3&gt;=Projects!$C$14),Model!CG105+Model!CG106,0)),0)</f>
        <v>0</v>
      </c>
      <c r="CI98" s="79" t="n">
        <f aca="false">IFERROR((CI97-CI96)/(Model!CH107-IF(AND(Projects!$G$14="Yes",Model!CH$3&gt;=Projects!$C$14),Model!CH105+Model!CH106,0)),0)</f>
        <v>0</v>
      </c>
      <c r="CJ98" s="79" t="n">
        <f aca="false">IFERROR((CJ97-CJ96)/(Model!CI107-IF(AND(Projects!$G$14="Yes",Model!CI$3&gt;=Projects!$C$14),Model!CI105+Model!CI106,0)),0)</f>
        <v>0</v>
      </c>
      <c r="CK98" s="79" t="n">
        <f aca="false">IFERROR((CK97-CK96)/(Model!CJ107-IF(AND(Projects!$G$14="Yes",Model!CJ$3&gt;=Projects!$C$14),Model!CJ105+Model!CJ106,0)),0)</f>
        <v>0</v>
      </c>
      <c r="CL98" s="79" t="n">
        <f aca="false">IFERROR((CL97-CL96)/(Model!CK107-IF(AND(Projects!$G$14="Yes",Model!CK$3&gt;=Projects!$C$14),Model!CK105+Model!CK106,0)),0)</f>
        <v>0</v>
      </c>
      <c r="CM98" s="79" t="n">
        <f aca="false">IFERROR((CM97-CM96)/(Model!CL107-IF(AND(Projects!$G$14="Yes",Model!CL$3&gt;=Projects!$C$14),Model!CL105+Model!CL106,0)),0)</f>
        <v>0</v>
      </c>
      <c r="CN98" s="79" t="n">
        <f aca="false">IFERROR((CN97-CN96)/(Model!CM107-IF(AND(Projects!$G$14="Yes",Model!CM$3&gt;=Projects!$C$14),Model!CM105+Model!CM106,0)),0)</f>
        <v>0</v>
      </c>
      <c r="CO98" s="79" t="n">
        <f aca="false">IFERROR((CO97-CO96)/(Model!CN107-IF(AND(Projects!$G$14="Yes",Model!CN$3&gt;=Projects!$C$14),Model!CN105+Model!CN106,0)),0)</f>
        <v>0</v>
      </c>
      <c r="CP98" s="79" t="n">
        <f aca="false">IFERROR((CP97-CP96)/(Model!CO107-IF(AND(Projects!$G$14="Yes",Model!CO$3&gt;=Projects!$C$14),Model!CO105+Model!CO106,0)),0)</f>
        <v>0</v>
      </c>
      <c r="CQ98" s="79" t="n">
        <f aca="false">IFERROR((CQ97-CQ96)/(Model!CP107-IF(AND(Projects!$G$14="Yes",Model!CP$3&gt;=Projects!$C$14),Model!CP105+Model!CP106,0)),0)</f>
        <v>0</v>
      </c>
      <c r="CR98" s="79" t="n">
        <f aca="false">IFERROR((CR97-CR96)/(Model!CQ107-IF(AND(Projects!$G$14="Yes",Model!CQ$3&gt;=Projects!$C$14),Model!CQ105+Model!CQ106,0)),0)</f>
        <v>0</v>
      </c>
      <c r="CS98" s="79" t="n">
        <f aca="false">IFERROR((CS97-CS96)/(Model!CR107-IF(AND(Projects!$G$14="Yes",Model!CR$3&gt;=Projects!$C$14),Model!CR105+Model!CR106,0)),0)</f>
        <v>0</v>
      </c>
      <c r="CT98" s="79" t="n">
        <f aca="false">IFERROR((CT97-CT96)/(Model!CS107-IF(AND(Projects!$G$14="Yes",Model!CS$3&gt;=Projects!$C$14),Model!CS105+Model!CS106,0)),0)</f>
        <v>0</v>
      </c>
      <c r="CU98" s="79" t="n">
        <f aca="false">IFERROR((CU97-CU96)/(Model!CT107-IF(AND(Projects!$G$14="Yes",Model!CT$3&gt;=Projects!$C$14),Model!CT105+Model!CT106,0)),0)</f>
        <v>0</v>
      </c>
      <c r="CV98" s="79" t="n">
        <f aca="false">IFERROR((CV97-CV96)/(Model!CU107-IF(AND(Projects!$G$14="Yes",Model!CU$3&gt;=Projects!$C$14),Model!CU105+Model!CU106,0)),0)</f>
        <v>0</v>
      </c>
      <c r="CW98" s="79" t="n">
        <f aca="false">IFERROR((CW97-CW96)/(Model!CV107-IF(AND(Projects!$G$14="Yes",Model!CV$3&gt;=Projects!$C$14),Model!CV105+Model!CV106,0)),0)</f>
        <v>0</v>
      </c>
      <c r="CX98" s="79" t="n">
        <f aca="false">IFERROR((CX97-CX96)/(Model!CW107-IF(AND(Projects!$G$14="Yes",Model!CW$3&gt;=Projects!$C$14),Model!CW105+Model!CW106,0)),0)</f>
        <v>0</v>
      </c>
      <c r="CY98" s="79" t="n">
        <f aca="false">IFERROR((CY97-CY96)/(Model!CX107-IF(AND(Projects!$G$14="Yes",Model!CX$3&gt;=Projects!$C$14),Model!CX105+Model!CX106,0)),0)</f>
        <v>0</v>
      </c>
      <c r="CZ98" s="79" t="n">
        <f aca="false">IFERROR((CZ97-CZ96)/(Model!CY107-IF(AND(Projects!$G$14="Yes",Model!CY$3&gt;=Projects!$C$14),Model!CY105+Model!CY106,0)),0)</f>
        <v>0</v>
      </c>
      <c r="DA98" s="79" t="n">
        <f aca="false">IFERROR((DA97-DA96)/(Model!CZ107-IF(AND(Projects!$G$14="Yes",Model!CZ$3&gt;=Projects!$C$14),Model!CZ105+Model!CZ106,0)),0)</f>
        <v>0</v>
      </c>
      <c r="DB98" s="79" t="n">
        <f aca="false">IFERROR((DB97-DB96)/(Model!DA107-IF(AND(Projects!$G$14="Yes",Model!DA$3&gt;=Projects!$C$14),Model!DA105+Model!DA106,0)),0)</f>
        <v>0</v>
      </c>
      <c r="DC98" s="79" t="n">
        <f aca="false">IFERROR((DC97-DC96)/(Model!DB107-IF(AND(Projects!$G$14="Yes",Model!DB$3&gt;=Projects!$C$14),Model!DB105+Model!DB106,0)),0)</f>
        <v>0</v>
      </c>
      <c r="DD98" s="79" t="n">
        <f aca="false">IFERROR((DD97-DD96)/(Model!DC107-IF(AND(Projects!$G$14="Yes",Model!DC$3&gt;=Projects!$C$14),Model!DC105+Model!DC106,0)),0)</f>
        <v>0</v>
      </c>
      <c r="DE98" s="79" t="n">
        <f aca="false">IFERROR((DE97-DE96)/(Model!DD107-IF(AND(Projects!$G$14="Yes",Model!DD$3&gt;=Projects!$C$14),Model!DD105+Model!DD106,0)),0)</f>
        <v>0</v>
      </c>
      <c r="DF98" s="79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77" t="s">
        <v>844</v>
      </c>
      <c r="B99" s="288" t="n">
        <f aca="false">SUM(Actuals!C17:N17)</f>
        <v>2316186.69</v>
      </c>
      <c r="C99" s="78" t="n">
        <f aca="false">Model!B107+SUM(Model!B111:B141)+Model!B143-IF(AND(Projects!$G$14="Yes",Model!B$3&gt;=Projects!$C$14),Model!B105+Model!B106,0)</f>
        <v>-41844.6399999999</v>
      </c>
      <c r="D99" s="78" t="n">
        <f aca="false">Model!C107+SUM(Model!C111:C141)+Model!C143-IF(AND(Projects!$G$14="Yes",Model!C$3&gt;=Projects!$C$14),Model!C105+Model!C106,0)</f>
        <v>-311309.31</v>
      </c>
      <c r="E99" s="78" t="n">
        <f aca="false">Model!D107+SUM(Model!D111:D141)+Model!D143-IF(AND(Projects!$G$14="Yes",Model!D$3&gt;=Projects!$C$14),Model!D105+Model!D106,0)</f>
        <v>242246.78</v>
      </c>
      <c r="F99" s="78" t="n">
        <f aca="false">Model!E107+SUM(Model!E111:E141)+Model!E143-IF(AND(Projects!$G$14="Yes",Model!E$3&gt;=Projects!$C$14),Model!E105+Model!E106,0)</f>
        <v>373926.69</v>
      </c>
      <c r="G99" s="78" t="n">
        <f aca="false">Model!F107+SUM(Model!F111:F141)+Model!F143-IF(AND(Projects!$G$14="Yes",Model!F$3&gt;=Projects!$C$14),Model!F105+Model!F106,0)</f>
        <v>35871.8500000002</v>
      </c>
      <c r="H99" s="78" t="n">
        <f aca="false">Model!G107+SUM(Model!G111:G141)+Model!G143-IF(AND(Projects!$G$14="Yes",Model!G$3&gt;=Projects!$C$14),Model!G105+Model!G106,0)</f>
        <v>224970.586666667</v>
      </c>
      <c r="I99" s="78" t="n">
        <f aca="false">Model!H107+SUM(Model!H111:H141)+Model!H143-IF(AND(Projects!$G$14="Yes",Model!H$3&gt;=Projects!$C$14),Model!H105+Model!H106,0)</f>
        <v>-68878.935416696</v>
      </c>
      <c r="J99" s="78" t="n">
        <f aca="false">Model!I107+SUM(Model!I111:I141)+Model!I143-IF(AND(Projects!$G$14="Yes",Model!I$3&gt;=Projects!$C$14),Model!I105+Model!I106,0)</f>
        <v>303550.883165302</v>
      </c>
      <c r="K99" s="78" t="n">
        <f aca="false">Model!J107+SUM(Model!J111:J141)+Model!J143-IF(AND(Projects!$G$14="Yes",Model!J$3&gt;=Projects!$C$14),Model!J105+Model!J106,0)</f>
        <v>-56166.9819474524</v>
      </c>
      <c r="L99" s="78" t="n">
        <f aca="false">Model!K107+SUM(Model!K111:K141)+Model!K143-IF(AND(Projects!$G$14="Yes",Model!K$3&gt;=Projects!$C$14),Model!K105+Model!K106,0)</f>
        <v>321601.251326644</v>
      </c>
      <c r="M99" s="78" t="n">
        <f aca="false">Model!L107+SUM(Model!L111:L141)+Model!L143-IF(AND(Projects!$G$14="Yes",Model!L$3&gt;=Projects!$C$14),Model!L105+Model!L106,0)</f>
        <v>297694.897526589</v>
      </c>
      <c r="N99" s="78" t="n">
        <f aca="false">Model!M107+SUM(Model!M111:M141)+Model!M143-IF(AND(Projects!$G$14="Yes",Model!M$3&gt;=Projects!$C$14),Model!M105+Model!M106,0)</f>
        <v>177681.224394201</v>
      </c>
      <c r="O99" s="78" t="n">
        <f aca="false">Model!N107+SUM(Model!N111:N141)+Model!N143-IF(AND(Projects!$G$14="Yes",Model!N$3&gt;=Projects!$C$14),Model!N105+Model!N106,0)</f>
        <v>175231.158619115</v>
      </c>
      <c r="P99" s="78" t="n">
        <f aca="false">Model!O107+SUM(Model!O111:O141)+Model!O143-IF(AND(Projects!$G$14="Yes",Model!O$3&gt;=Projects!$C$14),Model!O105+Model!O106,0)</f>
        <v>149634.484101372</v>
      </c>
      <c r="Q99" s="78" t="n">
        <f aca="false">Model!P107+SUM(Model!P111:P141)+Model!P143-IF(AND(Projects!$G$14="Yes",Model!P$3&gt;=Projects!$C$14),Model!P105+Model!P106,0)</f>
        <v>121707.859459166</v>
      </c>
      <c r="R99" s="78" t="n">
        <f aca="false">Model!Q107+SUM(Model!Q111:Q141)+Model!Q143-IF(AND(Projects!$G$14="Yes",Model!Q$3&gt;=Projects!$C$14),Model!Q105+Model!Q106,0)</f>
        <v>-482207.261082098</v>
      </c>
      <c r="S99" s="78" t="n">
        <f aca="false">Model!R107+SUM(Model!R111:R141)+Model!R143-IF(AND(Projects!$G$14="Yes",Model!R$3&gt;=Projects!$C$14),Model!R105+Model!R106,0)</f>
        <v>373378.285679716</v>
      </c>
      <c r="T99" s="78" t="n">
        <f aca="false">Model!S107+SUM(Model!S111:S141)+Model!S143-IF(AND(Projects!$G$14="Yes",Model!S$3&gt;=Projects!$C$14),Model!S105+Model!S106,0)</f>
        <v>456958.108294812</v>
      </c>
      <c r="U99" s="78" t="n">
        <f aca="false">Model!T107+SUM(Model!T111:T141)+Model!T143-IF(AND(Projects!$G$14="Yes",Model!T$3&gt;=Projects!$C$14),Model!T105+Model!T106,0)</f>
        <v>381822.969794503</v>
      </c>
      <c r="V99" s="78" t="n">
        <f aca="false">Model!U107+SUM(Model!U111:U141)+Model!U143-IF(AND(Projects!$G$14="Yes",Model!U$3&gt;=Projects!$C$14),Model!U105+Model!U106,0)</f>
        <v>329264.634713942</v>
      </c>
      <c r="W99" s="78" t="n">
        <f aca="false">Model!V107+SUM(Model!V111:V141)+Model!V143-IF(AND(Projects!$G$14="Yes",Model!V$3&gt;=Projects!$C$14),Model!V105+Model!V106,0)</f>
        <v>326481.734056306</v>
      </c>
      <c r="X99" s="78" t="n">
        <f aca="false">Model!W107+SUM(Model!W111:W141)+Model!W143-IF(AND(Projects!$G$14="Yes",Model!W$3&gt;=Projects!$C$14),Model!W105+Model!W106,0)</f>
        <v>323896.340259802</v>
      </c>
      <c r="Y99" s="78" t="n">
        <f aca="false">Model!X107+SUM(Model!X111:X141)+Model!X143-IF(AND(Projects!$G$14="Yes",Model!X$3&gt;=Projects!$C$14),Model!X105+Model!X106,0)</f>
        <v>312916.697834776</v>
      </c>
      <c r="Z99" s="78" t="n">
        <f aca="false">Model!Y107+SUM(Model!Y111:Y141)+Model!Y143-IF(AND(Projects!$G$14="Yes",Model!Y$3&gt;=Projects!$C$14),Model!Y105+Model!Y106,0)</f>
        <v>312916.697834777</v>
      </c>
      <c r="AA99" s="78" t="n">
        <f aca="false">Model!Z107+SUM(Model!Z111:Z141)+Model!Z143-IF(AND(Projects!$G$14="Yes",Model!Z$3&gt;=Projects!$C$14),Model!Z105+Model!Z106,0)</f>
        <v>312916.697834777</v>
      </c>
      <c r="AB99" s="78" t="n">
        <f aca="false">Model!AA107+SUM(Model!AA111:AA141)+Model!AA143-IF(AND(Projects!$G$14="Yes",Model!AA$3&gt;=Projects!$C$14),Model!AA105+Model!AA106,0)</f>
        <v>391133.382456554</v>
      </c>
      <c r="AC99" s="78" t="n">
        <f aca="false">Model!AB107+SUM(Model!AB111:AB141)+Model!AB143-IF(AND(Projects!$G$14="Yes",Model!AB$3&gt;=Projects!$C$14),Model!AB105+Model!AB106,0)</f>
        <v>234700.013213</v>
      </c>
      <c r="AD99" s="78" t="n">
        <f aca="false">Model!AC107+SUM(Model!AC111:AC141)+Model!AC143-IF(AND(Projects!$G$14="Yes",Model!AC$3&gt;=Projects!$C$14),Model!AC105+Model!AC106,0)</f>
        <v>226209.662923</v>
      </c>
      <c r="AE99" s="78" t="n">
        <f aca="false">Model!AD107+SUM(Model!AD111:AD141)+Model!AD143-IF(AND(Projects!$G$14="Yes",Model!AD$3&gt;=Projects!$C$14),Model!AD105+Model!AD106,0)</f>
        <v>226209.662922999</v>
      </c>
      <c r="AF99" s="78" t="n">
        <f aca="false">Model!AE107+SUM(Model!AE111:AE141)+Model!AE143-IF(AND(Projects!$G$14="Yes",Model!AE$3&gt;=Projects!$C$14),Model!AE105+Model!AE106,0)</f>
        <v>383869.303791546</v>
      </c>
      <c r="AG99" s="78" t="n">
        <f aca="false">Model!AF107+SUM(Model!AF111:AF141)+Model!AF143-IF(AND(Projects!$G$14="Yes",Model!AF$3&gt;=Projects!$C$14),Model!AF105+Model!AF106,0)</f>
        <v>383869.303791546</v>
      </c>
      <c r="AH99" s="78" t="n">
        <f aca="false">Model!AG107+SUM(Model!AG111:AG141)+Model!AG143-IF(AND(Projects!$G$14="Yes",Model!AG$3&gt;=Projects!$C$14),Model!AG105+Model!AG106,0)</f>
        <v>511865.433359296</v>
      </c>
      <c r="AI99" s="78" t="n">
        <f aca="false">Model!AH107+SUM(Model!AH111:AH141)+Model!AH143-IF(AND(Projects!$G$14="Yes",Model!AH$3&gt;=Projects!$C$14),Model!AH105+Model!AH106,0)</f>
        <v>282539.03455041</v>
      </c>
      <c r="AJ99" s="78" t="n">
        <f aca="false">Model!AI107+SUM(Model!AI111:AI141)+Model!AI143-IF(AND(Projects!$G$14="Yes",Model!AI$3&gt;=Projects!$C$14),Model!AI105+Model!AI106,0)</f>
        <v>374734.55264366</v>
      </c>
      <c r="AK99" s="78" t="n">
        <f aca="false">Model!AJ107+SUM(Model!AJ111:AJ141)+Model!AJ143-IF(AND(Projects!$G$14="Yes",Model!AJ$3&gt;=Projects!$C$14),Model!AJ105+Model!AJ106,0)</f>
        <v>258469.081333911</v>
      </c>
      <c r="AL99" s="78" t="n">
        <f aca="false">Model!AK107+SUM(Model!AK111:AK141)+Model!AK143-IF(AND(Projects!$G$14="Yes",Model!AK$3&gt;=Projects!$C$14),Model!AK105+Model!AK106,0)</f>
        <v>233235.121714361</v>
      </c>
      <c r="AM99" s="78" t="n">
        <f aca="false">Model!AL107+SUM(Model!AL111:AL141)+Model!AL143-IF(AND(Projects!$G$14="Yes",Model!AL$3&gt;=Projects!$C$14),Model!AL105+Model!AL106,0)</f>
        <v>355108.362463351</v>
      </c>
      <c r="AN99" s="78" t="n">
        <f aca="false">Model!AM107+SUM(Model!AM111:AM141)+Model!AM143-IF(AND(Projects!$G$14="Yes",Model!AM$3&gt;=Projects!$C$14),Model!AM105+Model!AM106,0)</f>
        <v>-206607.35319757</v>
      </c>
      <c r="AO99" s="78" t="n">
        <f aca="false">Model!AN107+SUM(Model!AN111:AN141)+Model!AN143-IF(AND(Projects!$G$14="Yes",Model!AN$3&gt;=Projects!$C$14),Model!AN105+Model!AN106,0)</f>
        <v>-206607.35319757</v>
      </c>
      <c r="AP99" s="78" t="n">
        <f aca="false">Model!AO107+SUM(Model!AO111:AO141)+Model!AO143-IF(AND(Projects!$G$14="Yes",Model!AO$3&gt;=Projects!$C$14),Model!AO105+Model!AO106,0)</f>
        <v>-215267.51049337</v>
      </c>
      <c r="AQ99" s="78" t="n">
        <f aca="false">Model!AP107+SUM(Model!AP111:AP141)+Model!AP143-IF(AND(Projects!$G$14="Yes",Model!AP$3&gt;=Projects!$C$14),Model!AP105+Model!AP106,0)</f>
        <v>-215267.51049337</v>
      </c>
      <c r="AR99" s="78" t="n">
        <f aca="false">Model!AQ107+SUM(Model!AQ111:AQ141)+Model!AQ143-IF(AND(Projects!$G$14="Yes",Model!AQ$3&gt;=Projects!$C$14),Model!AQ105+Model!AQ106,0)</f>
        <v>-215267.51049337</v>
      </c>
      <c r="AS99" s="78" t="n">
        <f aca="false">Model!AR107+SUM(Model!AR111:AR141)+Model!AR143-IF(AND(Projects!$G$14="Yes",Model!AR$3&gt;=Projects!$C$14),Model!AR105+Model!AR106,0)</f>
        <v>-215267.51049337</v>
      </c>
      <c r="AT99" s="78" t="n">
        <f aca="false">Model!AS107+SUM(Model!AS111:AS141)+Model!AS143-IF(AND(Projects!$G$14="Yes",Model!AS$3&gt;=Projects!$C$14),Model!AS105+Model!AS106,0)</f>
        <v>-215267.51049337</v>
      </c>
      <c r="AU99" s="78" t="n">
        <f aca="false">Model!AT107+SUM(Model!AT111:AT141)+Model!AT143-IF(AND(Projects!$G$14="Yes",Model!AT$3&gt;=Projects!$C$14),Model!AT105+Model!AT106,0)</f>
        <v>57218.0748601297</v>
      </c>
      <c r="AV99" s="78" t="n">
        <f aca="false">Model!AU107+SUM(Model!AU111:AU141)+Model!AU143-IF(AND(Projects!$G$14="Yes",Model!AU$3&gt;=Projects!$C$14),Model!AU105+Model!AU106,0)</f>
        <v>-387841.714550587</v>
      </c>
      <c r="AW99" s="78" t="n">
        <f aca="false">Model!AV107+SUM(Model!AV111:AV141)+Model!AV143-IF(AND(Projects!$G$14="Yes",Model!AV$3&gt;=Projects!$C$14),Model!AV105+Model!AV106,0)</f>
        <v>-387841.714550587</v>
      </c>
      <c r="AX99" s="78" t="n">
        <f aca="false">Model!AW107+SUM(Model!AW111:AW141)+Model!AW143-IF(AND(Projects!$G$14="Yes",Model!AW$3&gt;=Projects!$C$14),Model!AW105+Model!AW106,0)</f>
        <v>-387841.714550587</v>
      </c>
      <c r="AY99" s="78" t="n">
        <f aca="false">Model!AX107+SUM(Model!AX111:AX141)+Model!AX143-IF(AND(Projects!$G$14="Yes",Model!AX$3&gt;=Projects!$C$14),Model!AX105+Model!AX106,0)</f>
        <v>-387841.714550587</v>
      </c>
      <c r="AZ99" s="78" t="n">
        <f aca="false">Model!AY107+SUM(Model!AY111:AY141)+Model!AY143-IF(AND(Projects!$G$14="Yes",Model!AY$3&gt;=Projects!$C$14),Model!AY105+Model!AY106,0)</f>
        <v>-387841.714550587</v>
      </c>
      <c r="BA99" s="78" t="n">
        <f aca="false">Model!AZ107+SUM(Model!AZ111:AZ141)+Model!AZ143-IF(AND(Projects!$G$14="Yes",Model!AZ$3&gt;=Projects!$C$14),Model!AZ105+Model!AZ106,0)</f>
        <v>-387841.714550587</v>
      </c>
      <c r="BB99" s="78" t="n">
        <f aca="false">Model!BA107+SUM(Model!BA111:BA141)+Model!BA143-IF(AND(Projects!$G$14="Yes",Model!BA$3&gt;=Projects!$C$14),Model!BA105+Model!BA106,0)</f>
        <v>-396675.074992303</v>
      </c>
      <c r="BC99" s="78" t="n">
        <f aca="false">Model!BB107+SUM(Model!BB111:BB141)+Model!BB143-IF(AND(Projects!$G$14="Yes",Model!BB$3&gt;=Projects!$C$14),Model!BB105+Model!BB106,0)</f>
        <v>-396675.074992303</v>
      </c>
      <c r="BD99" s="78" t="n">
        <f aca="false">Model!BC107+SUM(Model!BC111:BC141)+Model!BC143-IF(AND(Projects!$G$14="Yes",Model!BC$3&gt;=Projects!$C$14),Model!BC105+Model!BC106,0)</f>
        <v>-396675.074992303</v>
      </c>
      <c r="BE99" s="78" t="n">
        <f aca="false">Model!BD107+SUM(Model!BD111:BD141)+Model!BD143-IF(AND(Projects!$G$14="Yes",Model!BD$3&gt;=Projects!$C$14),Model!BD105+Model!BD106,0)</f>
        <v>-396675.074992303</v>
      </c>
      <c r="BF99" s="78" t="n">
        <f aca="false">Model!BE107+SUM(Model!BE111:BE141)+Model!BE143-IF(AND(Projects!$G$14="Yes",Model!BE$3&gt;=Projects!$C$14),Model!BE105+Model!BE106,0)</f>
        <v>-396675.074992303</v>
      </c>
      <c r="BG99" s="78" t="n">
        <f aca="false">Model!BF107+SUM(Model!BF111:BF141)+Model!BF143-IF(AND(Projects!$G$14="Yes",Model!BF$3&gt;=Projects!$C$14),Model!BF105+Model!BF106,0)</f>
        <v>-396675.074992303</v>
      </c>
      <c r="BH99" s="78" t="n">
        <f aca="false">Model!BG107+SUM(Model!BG111:BG141)+Model!BG143-IF(AND(Projects!$G$14="Yes",Model!BG$3&gt;=Projects!$C$14),Model!BG105+Model!BG106,0)</f>
        <v>-396675.074992303</v>
      </c>
      <c r="BI99" s="78" t="n">
        <f aca="false">Model!BH107+SUM(Model!BH111:BH141)+Model!BH143-IF(AND(Projects!$G$14="Yes",Model!BH$3&gt;=Projects!$C$14),Model!BH105+Model!BH106,0)</f>
        <v>-147738.799936703</v>
      </c>
      <c r="BJ99" s="78" t="n">
        <f aca="false">Model!BI107+SUM(Model!BI111:BI141)+Model!BI143-IF(AND(Projects!$G$14="Yes",Model!BI$3&gt;=Projects!$C$14),Model!BI105+Model!BI106,0)</f>
        <v>-554334.715860849</v>
      </c>
      <c r="BK99" s="78" t="n">
        <f aca="false">Model!BJ107+SUM(Model!BJ111:BJ141)+Model!BJ143-IF(AND(Projects!$G$14="Yes",Model!BJ$3&gt;=Projects!$C$14),Model!BJ105+Model!BJ106,0)</f>
        <v>-554334.715860849</v>
      </c>
      <c r="BL99" s="78" t="n">
        <f aca="false">Model!BK107+SUM(Model!BK111:BK141)+Model!BK143-IF(AND(Projects!$G$14="Yes",Model!BK$3&gt;=Projects!$C$14),Model!BK105+Model!BK106,0)</f>
        <v>-554334.715860849</v>
      </c>
      <c r="BM99" s="78" t="n">
        <f aca="false">Model!BL107+SUM(Model!BL111:BL141)+Model!BL143-IF(AND(Projects!$G$14="Yes",Model!BL$3&gt;=Projects!$C$14),Model!BL105+Model!BL106,0)</f>
        <v>-554334.715860849</v>
      </c>
      <c r="BN99" s="78" t="n">
        <f aca="false">Model!BM107+SUM(Model!BM111:BM141)+Model!BM143-IF(AND(Projects!$G$14="Yes",Model!BM$3&gt;=Projects!$C$14),Model!BM105+Model!BM106,0)</f>
        <v>-563344.7435114</v>
      </c>
      <c r="BO99" s="78" t="n">
        <f aca="false">Model!BN107+SUM(Model!BN111:BN141)+Model!BN143-IF(AND(Projects!$G$14="Yes",Model!BN$3&gt;=Projects!$C$14),Model!BN105+Model!BN106,0)</f>
        <v>-563344.7435114</v>
      </c>
      <c r="BP99" s="78" t="n">
        <f aca="false">Model!BO107+SUM(Model!BO111:BO141)+Model!BO143-IF(AND(Projects!$G$14="Yes",Model!BO$3&gt;=Projects!$C$14),Model!BO105+Model!BO106,0)</f>
        <v>-563344.7435114</v>
      </c>
      <c r="BQ99" s="78" t="n">
        <f aca="false">Model!BP107+SUM(Model!BP111:BP141)+Model!BP143-IF(AND(Projects!$G$14="Yes",Model!BP$3&gt;=Projects!$C$14),Model!BP105+Model!BP106,0)</f>
        <v>-563344.7435114</v>
      </c>
      <c r="BR99" s="78" t="n">
        <f aca="false">Model!BQ107+SUM(Model!BQ111:BQ141)+Model!BQ143-IF(AND(Projects!$G$14="Yes",Model!BQ$3&gt;=Projects!$C$14),Model!BQ105+Model!BQ106,0)</f>
        <v>-563344.7435114</v>
      </c>
      <c r="BS99" s="78" t="n">
        <f aca="false">Model!BR107+SUM(Model!BR111:BR141)+Model!BR143-IF(AND(Projects!$G$14="Yes",Model!BR$3&gt;=Projects!$C$14),Model!BR105+Model!BR106,0)</f>
        <v>-563344.7435114</v>
      </c>
      <c r="BT99" s="78" t="n">
        <f aca="false">Model!BS107+SUM(Model!BS111:BS141)+Model!BS143-IF(AND(Projects!$G$14="Yes",Model!BS$3&gt;=Projects!$C$14),Model!BS105+Model!BS106,0)</f>
        <v>-563344.7435114</v>
      </c>
      <c r="BU99" s="78" t="n">
        <f aca="false">Model!BT107+SUM(Model!BT111:BT141)+Model!BT143-IF(AND(Projects!$G$14="Yes",Model!BT$3&gt;=Projects!$C$14),Model!BT105+Model!BT106,0)</f>
        <v>-563344.7435114</v>
      </c>
      <c r="BV99" s="78" t="n">
        <f aca="false">Model!BU107+SUM(Model!BU111:BU141)+Model!BU143-IF(AND(Projects!$G$14="Yes",Model!BU$3&gt;=Projects!$C$14),Model!BU105+Model!BU106,0)</f>
        <v>-563344.7435114</v>
      </c>
      <c r="BW99" s="78" t="n">
        <f aca="false">Model!BV107+SUM(Model!BV111:BV141)+Model!BV143-IF(AND(Projects!$G$14="Yes",Model!BV$3&gt;=Projects!$C$14),Model!BV105+Model!BV106,0)</f>
        <v>-563344.7435114</v>
      </c>
      <c r="BX99" s="78" t="n">
        <f aca="false">Model!BW107+SUM(Model!BW111:BW141)+Model!BW143-IF(AND(Projects!$G$14="Yes",Model!BW$3&gt;=Projects!$C$14),Model!BW105+Model!BW106,0)</f>
        <v>-563344.7435114</v>
      </c>
      <c r="BY99" s="78" t="n">
        <f aca="false">Model!BX107+SUM(Model!BX111:BX141)+Model!BX143-IF(AND(Projects!$G$14="Yes",Model!BX$3&gt;=Projects!$C$14),Model!BX105+Model!BX106,0)</f>
        <v>-563344.7435114</v>
      </c>
      <c r="BZ99" s="78" t="n">
        <f aca="false">Model!BY107+SUM(Model!BY111:BY141)+Model!BY143-IF(AND(Projects!$G$14="Yes",Model!BY$3&gt;=Projects!$C$14),Model!BY105+Model!BY106,0)</f>
        <v>-572534.971714961</v>
      </c>
      <c r="CA99" s="78" t="n">
        <f aca="false">Model!BZ107+SUM(Model!BZ111:BZ141)+Model!BZ143-IF(AND(Projects!$G$14="Yes",Model!BZ$3&gt;=Projects!$C$14),Model!BZ105+Model!BZ106,0)</f>
        <v>-572534.971714961</v>
      </c>
      <c r="CB99" s="78" t="n">
        <f aca="false">Model!CA107+SUM(Model!CA111:CA141)+Model!CA143-IF(AND(Projects!$G$14="Yes",Model!CA$3&gt;=Projects!$C$14),Model!CA105+Model!CA106,0)</f>
        <v>-572534.971714961</v>
      </c>
      <c r="CC99" s="78" t="n">
        <f aca="false">Model!CB107+SUM(Model!CB111:CB141)+Model!CB143-IF(AND(Projects!$G$14="Yes",Model!CB$3&gt;=Projects!$C$14),Model!CB105+Model!CB106,0)</f>
        <v>-572534.971714961</v>
      </c>
      <c r="CD99" s="78" t="n">
        <f aca="false">Model!CC107+SUM(Model!CC111:CC141)+Model!CC143-IF(AND(Projects!$G$14="Yes",Model!CC$3&gt;=Projects!$C$14),Model!CC105+Model!CC106,0)</f>
        <v>-572534.971714961</v>
      </c>
      <c r="CE99" s="78" t="n">
        <f aca="false">Model!CD107+SUM(Model!CD111:CD141)+Model!CD143-IF(AND(Projects!$G$14="Yes",Model!CD$3&gt;=Projects!$C$14),Model!CD105+Model!CD106,0)</f>
        <v>-572534.971714961</v>
      </c>
      <c r="CF99" s="78" t="n">
        <f aca="false">Model!CE107+SUM(Model!CE111:CE141)+Model!CE143-IF(AND(Projects!$G$14="Yes",Model!CE$3&gt;=Projects!$C$14),Model!CE105+Model!CE106,0)</f>
        <v>-572534.971714961</v>
      </c>
      <c r="CG99" s="78" t="n">
        <f aca="false">Model!CF107+SUM(Model!CF111:CF141)+Model!CF143-IF(AND(Projects!$G$14="Yes",Model!CF$3&gt;=Projects!$C$14),Model!CF105+Model!CF106,0)</f>
        <v>-572534.971714961</v>
      </c>
      <c r="CH99" s="78" t="n">
        <f aca="false">Model!CG107+SUM(Model!CG111:CG141)+Model!CG143-IF(AND(Projects!$G$14="Yes",Model!CG$3&gt;=Projects!$C$14),Model!CG105+Model!CG106,0)</f>
        <v>-572534.971714961</v>
      </c>
      <c r="CI99" s="78" t="n">
        <f aca="false">Model!CH107+SUM(Model!CH111:CH141)+Model!CH143-IF(AND(Projects!$G$14="Yes",Model!CH$3&gt;=Projects!$C$14),Model!CH105+Model!CH106,0)</f>
        <v>-572534.971714961</v>
      </c>
      <c r="CJ99" s="78" t="n">
        <f aca="false">Model!CI107+SUM(Model!CI111:CI141)+Model!CI143-IF(AND(Projects!$G$14="Yes",Model!CI$3&gt;=Projects!$C$14),Model!CI105+Model!CI106,0)</f>
        <v>-572534.971714961</v>
      </c>
      <c r="CK99" s="78" t="n">
        <f aca="false">Model!CJ107+SUM(Model!CJ111:CJ141)+Model!CJ143-IF(AND(Projects!$G$14="Yes",Model!CJ$3&gt;=Projects!$C$14),Model!CJ105+Model!CJ106,0)</f>
        <v>-572534.971714961</v>
      </c>
      <c r="CL99" s="78" t="n">
        <f aca="false">Model!CK107+SUM(Model!CK111:CK141)+Model!CK143-IF(AND(Projects!$G$14="Yes",Model!CK$3&gt;=Projects!$C$14),Model!CK105+Model!CK106,0)</f>
        <v>-581909.004482593</v>
      </c>
      <c r="CM99" s="78" t="n">
        <f aca="false">Model!CL107+SUM(Model!CL111:CL141)+Model!CL143-IF(AND(Projects!$G$14="Yes",Model!CL$3&gt;=Projects!$C$14),Model!CL105+Model!CL106,0)</f>
        <v>-581909.004482593</v>
      </c>
      <c r="CN99" s="78" t="n">
        <f aca="false">Model!CM107+SUM(Model!CM111:CM141)+Model!CM143-IF(AND(Projects!$G$14="Yes",Model!CM$3&gt;=Projects!$C$14),Model!CM105+Model!CM106,0)</f>
        <v>-581909.004482593</v>
      </c>
      <c r="CO99" s="78" t="n">
        <f aca="false">Model!CN107+SUM(Model!CN111:CN141)+Model!CN143-IF(AND(Projects!$G$14="Yes",Model!CN$3&gt;=Projects!$C$14),Model!CN105+Model!CN106,0)</f>
        <v>-581909.004482593</v>
      </c>
      <c r="CP99" s="78" t="n">
        <f aca="false">Model!CO107+SUM(Model!CO111:CO141)+Model!CO143-IF(AND(Projects!$G$14="Yes",Model!CO$3&gt;=Projects!$C$14),Model!CO105+Model!CO106,0)</f>
        <v>-581909.004482593</v>
      </c>
      <c r="CQ99" s="78" t="n">
        <f aca="false">Model!CP107+SUM(Model!CP111:CP141)+Model!CP143-IF(AND(Projects!$G$14="Yes",Model!CP$3&gt;=Projects!$C$14),Model!CP105+Model!CP106,0)</f>
        <v>-581909.004482593</v>
      </c>
      <c r="CR99" s="78" t="n">
        <f aca="false">Model!CQ107+SUM(Model!CQ111:CQ141)+Model!CQ143-IF(AND(Projects!$G$14="Yes",Model!CQ$3&gt;=Projects!$C$14),Model!CQ105+Model!CQ106,0)</f>
        <v>-581909.004482593</v>
      </c>
      <c r="CS99" s="78" t="n">
        <f aca="false">Model!CR107+SUM(Model!CR111:CR141)+Model!CR143-IF(AND(Projects!$G$14="Yes",Model!CR$3&gt;=Projects!$C$14),Model!CR105+Model!CR106,0)</f>
        <v>-581909.004482593</v>
      </c>
      <c r="CT99" s="78" t="n">
        <f aca="false">Model!CS107+SUM(Model!CS111:CS141)+Model!CS143-IF(AND(Projects!$G$14="Yes",Model!CS$3&gt;=Projects!$C$14),Model!CS105+Model!CS106,0)</f>
        <v>-581909.004482593</v>
      </c>
      <c r="CU99" s="78" t="n">
        <f aca="false">Model!CT107+SUM(Model!CT111:CT141)+Model!CT143-IF(AND(Projects!$G$14="Yes",Model!CT$3&gt;=Projects!$C$14),Model!CT105+Model!CT106,0)</f>
        <v>-526770.895887858</v>
      </c>
      <c r="CV99" s="78" t="n">
        <f aca="false">Model!CU107+SUM(Model!CU111:CU141)+Model!CU143-IF(AND(Projects!$G$14="Yes",Model!CU$3&gt;=Projects!$C$14),Model!CU105+Model!CU106,0)</f>
        <v>-526770.895887858</v>
      </c>
      <c r="CW99" s="78" t="n">
        <f aca="false">Model!CV107+SUM(Model!CV111:CV141)+Model!CV143-IF(AND(Projects!$G$14="Yes",Model!CV$3&gt;=Projects!$C$14),Model!CV105+Model!CV106,0)</f>
        <v>-526770.895887858</v>
      </c>
      <c r="CX99" s="78" t="n">
        <f aca="false">Model!CW107+SUM(Model!CW111:CW141)+Model!CW143-IF(AND(Projects!$G$14="Yes",Model!CW$3&gt;=Projects!$C$14),Model!CW105+Model!CW106,0)</f>
        <v>-535229.647138948</v>
      </c>
      <c r="CY99" s="78" t="n">
        <f aca="false">Model!CX107+SUM(Model!CX111:CX141)+Model!CX143-IF(AND(Projects!$G$14="Yes",Model!CX$3&gt;=Projects!$C$14),Model!CX105+Model!CX106,0)</f>
        <v>-535229.647138948</v>
      </c>
      <c r="CZ99" s="78" t="n">
        <f aca="false">Model!CY107+SUM(Model!CY111:CY141)+Model!CY143-IF(AND(Projects!$G$14="Yes",Model!CY$3&gt;=Projects!$C$14),Model!CY105+Model!CY106,0)</f>
        <v>-535229.647138948</v>
      </c>
      <c r="DA99" s="78" t="n">
        <f aca="false">Model!CZ107+SUM(Model!CZ111:CZ141)+Model!CZ143-IF(AND(Projects!$G$14="Yes",Model!CZ$3&gt;=Projects!$C$14),Model!CZ105+Model!CZ106,0)</f>
        <v>-535229.647138948</v>
      </c>
      <c r="DB99" s="78" t="n">
        <f aca="false">Model!DA107+SUM(Model!DA111:DA141)+Model!DA143-IF(AND(Projects!$G$14="Yes",Model!DA$3&gt;=Projects!$C$14),Model!DA105+Model!DA106,0)</f>
        <v>-535229.647138948</v>
      </c>
      <c r="DC99" s="78" t="n">
        <f aca="false">Model!DB107+SUM(Model!DB111:DB141)+Model!DB143-IF(AND(Projects!$G$14="Yes",Model!DB$3&gt;=Projects!$C$14),Model!DB105+Model!DB106,0)</f>
        <v>-535229.647138948</v>
      </c>
      <c r="DD99" s="78" t="n">
        <f aca="false">Model!DC107+SUM(Model!DC111:DC141)+Model!DC143-IF(AND(Projects!$G$14="Yes",Model!DC$3&gt;=Projects!$C$14),Model!DC105+Model!DC106,0)</f>
        <v>-535229.647138948</v>
      </c>
      <c r="DE99" s="78" t="n">
        <f aca="false">Model!DD107+SUM(Model!DD111:DD141)+Model!DD143-IF(AND(Projects!$G$14="Yes",Model!DD$3&gt;=Projects!$C$14),Model!DD105+Model!DD106,0)</f>
        <v>-535229.647138948</v>
      </c>
      <c r="DF99" s="78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77" t="s">
        <v>845</v>
      </c>
      <c r="B100" s="288" t="n">
        <f aca="false">SUM(Actuals!C55:N55)</f>
        <v>-1707648.08</v>
      </c>
      <c r="C100" s="80" t="n">
        <f aca="false">C98*C99</f>
        <v>-0</v>
      </c>
      <c r="D100" s="80" t="n">
        <f aca="false">D98*D99</f>
        <v>0</v>
      </c>
      <c r="E100" s="80" t="n">
        <f aca="false">E98*E99</f>
        <v>0</v>
      </c>
      <c r="F100" s="80" t="n">
        <f aca="false">F98*F99</f>
        <v>0</v>
      </c>
      <c r="G100" s="80" t="n">
        <f aca="false">G98*G99</f>
        <v>0</v>
      </c>
      <c r="H100" s="80" t="n">
        <f aca="false">H98*H99</f>
        <v>0</v>
      </c>
      <c r="I100" s="80" t="n">
        <f aca="false">I98*I99</f>
        <v>-0</v>
      </c>
      <c r="J100" s="80" t="n">
        <f aca="false">J98*J99</f>
        <v>0</v>
      </c>
      <c r="K100" s="80" t="n">
        <f aca="false">K98*K99</f>
        <v>-0</v>
      </c>
      <c r="L100" s="80" t="n">
        <f aca="false">L98*L99</f>
        <v>0</v>
      </c>
      <c r="M100" s="80" t="n">
        <f aca="false">M98*M99</f>
        <v>0</v>
      </c>
      <c r="N100" s="80" t="n">
        <f aca="false">N98*N99</f>
        <v>0</v>
      </c>
      <c r="O100" s="80" t="n">
        <f aca="false">O98*O99</f>
        <v>0</v>
      </c>
      <c r="P100" s="80" t="n">
        <f aca="false">P98*P99</f>
        <v>0</v>
      </c>
      <c r="Q100" s="80" t="n">
        <f aca="false">Q98*Q99</f>
        <v>0</v>
      </c>
      <c r="R100" s="80" t="n">
        <f aca="false">R98*R99</f>
        <v>-633804.889696611</v>
      </c>
      <c r="S100" s="80" t="n">
        <f aca="false">S98*S99</f>
        <v>66384.026968768</v>
      </c>
      <c r="T100" s="80" t="n">
        <f aca="false">T98*T99</f>
        <v>125838.919940026</v>
      </c>
      <c r="U100" s="80" t="n">
        <f aca="false">U98*U99</f>
        <v>113827.903651438</v>
      </c>
      <c r="V100" s="80" t="n">
        <f aca="false">V98*V99</f>
        <v>104174.997548819</v>
      </c>
      <c r="W100" s="80" t="n">
        <f aca="false">W98*W99</f>
        <v>103630.79890259</v>
      </c>
      <c r="X100" s="80" t="n">
        <f aca="false">X98*X99</f>
        <v>103122.038277999</v>
      </c>
      <c r="Y100" s="80" t="n">
        <f aca="false">Y98*Y99</f>
        <v>100926.596532516</v>
      </c>
      <c r="Z100" s="80" t="n">
        <f aca="false">Z98*Z99</f>
        <v>100926.596532516</v>
      </c>
      <c r="AA100" s="80" t="n">
        <f aca="false">AA98*AA99</f>
        <v>100926.596532516</v>
      </c>
      <c r="AB100" s="80" t="n">
        <f aca="false">AB98*AB99</f>
        <v>115422.804687951</v>
      </c>
      <c r="AC100" s="80" t="n">
        <f aca="false">AC98*AC99</f>
        <v>83458.5148116654</v>
      </c>
      <c r="AD100" s="80" t="n">
        <f aca="false">AD98*AD99</f>
        <v>80439.375546466</v>
      </c>
      <c r="AE100" s="80" t="n">
        <f aca="false">AE98*AE99</f>
        <v>80439.3755464657</v>
      </c>
      <c r="AF100" s="80" t="n">
        <f aca="false">AF98*AF99</f>
        <v>113128.313508319</v>
      </c>
      <c r="AG100" s="80" t="n">
        <f aca="false">AG98*AG99</f>
        <v>113128.313508319</v>
      </c>
      <c r="AH100" s="80" t="n">
        <f aca="false">AH98*AH99</f>
        <v>132438.060695441</v>
      </c>
      <c r="AI100" s="80" t="n">
        <f aca="false">AI98*AI99</f>
        <v>93562.9699271869</v>
      </c>
      <c r="AJ100" s="80" t="n">
        <f aca="false">AJ98*AJ99</f>
        <v>149443.055067912</v>
      </c>
      <c r="AK100" s="80" t="n">
        <f aca="false">AK98*AK99</f>
        <v>80360.0958842417</v>
      </c>
      <c r="AL100" s="80" t="n">
        <f aca="false">AL98*AL99</f>
        <v>67248.1480641636</v>
      </c>
      <c r="AM100" s="80" t="n">
        <f aca="false">AM98*AM99</f>
        <v>0</v>
      </c>
      <c r="AN100" s="80" t="n">
        <f aca="false">AN98*AN99</f>
        <v>-0</v>
      </c>
      <c r="AO100" s="80" t="n">
        <f aca="false">AO98*AO99</f>
        <v>-0</v>
      </c>
      <c r="AP100" s="80" t="n">
        <f aca="false">AP98*AP99</f>
        <v>-0</v>
      </c>
      <c r="AQ100" s="80" t="n">
        <f aca="false">AQ98*AQ99</f>
        <v>-0</v>
      </c>
      <c r="AR100" s="80" t="n">
        <f aca="false">AR98*AR99</f>
        <v>-0</v>
      </c>
      <c r="AS100" s="80" t="n">
        <f aca="false">AS98*AS99</f>
        <v>-0</v>
      </c>
      <c r="AT100" s="80" t="n">
        <f aca="false">AT98*AT99</f>
        <v>-0</v>
      </c>
      <c r="AU100" s="80" t="n">
        <f aca="false">AU98*AU99</f>
        <v>0</v>
      </c>
      <c r="AV100" s="80" t="n">
        <f aca="false">AV98*AV99</f>
        <v>-0</v>
      </c>
      <c r="AW100" s="80" t="n">
        <f aca="false">AW98*AW99</f>
        <v>-0</v>
      </c>
      <c r="AX100" s="80" t="n">
        <f aca="false">AX98*AX99</f>
        <v>-0</v>
      </c>
      <c r="AY100" s="80" t="n">
        <f aca="false">AY98*AY99</f>
        <v>-0</v>
      </c>
      <c r="AZ100" s="80" t="n">
        <f aca="false">AZ98*AZ99</f>
        <v>-0</v>
      </c>
      <c r="BA100" s="80" t="n">
        <f aca="false">BA98*BA99</f>
        <v>-0</v>
      </c>
      <c r="BB100" s="80" t="n">
        <f aca="false">BB98*BB99</f>
        <v>-0</v>
      </c>
      <c r="BC100" s="80" t="n">
        <f aca="false">BC98*BC99</f>
        <v>-0</v>
      </c>
      <c r="BD100" s="80" t="n">
        <f aca="false">BD98*BD99</f>
        <v>-0</v>
      </c>
      <c r="BE100" s="80" t="n">
        <f aca="false">BE98*BE99</f>
        <v>-0</v>
      </c>
      <c r="BF100" s="80" t="n">
        <f aca="false">BF98*BF99</f>
        <v>-0</v>
      </c>
      <c r="BG100" s="80" t="n">
        <f aca="false">BG98*BG99</f>
        <v>-0</v>
      </c>
      <c r="BH100" s="80" t="n">
        <f aca="false">BH98*BH99</f>
        <v>-0</v>
      </c>
      <c r="BI100" s="80" t="n">
        <f aca="false">BI98*BI99</f>
        <v>-0</v>
      </c>
      <c r="BJ100" s="80" t="n">
        <f aca="false">BJ98*BJ99</f>
        <v>-0</v>
      </c>
      <c r="BK100" s="80" t="n">
        <f aca="false">BK98*BK99</f>
        <v>-0</v>
      </c>
      <c r="BL100" s="80" t="n">
        <f aca="false">BL98*BL99</f>
        <v>-0</v>
      </c>
      <c r="BM100" s="80" t="n">
        <f aca="false">BM98*BM99</f>
        <v>-0</v>
      </c>
      <c r="BN100" s="80" t="n">
        <f aca="false">BN98*BN99</f>
        <v>-0</v>
      </c>
      <c r="BO100" s="80" t="n">
        <f aca="false">BO98*BO99</f>
        <v>-0</v>
      </c>
      <c r="BP100" s="80" t="n">
        <f aca="false">BP98*BP99</f>
        <v>-0</v>
      </c>
      <c r="BQ100" s="80" t="n">
        <f aca="false">BQ98*BQ99</f>
        <v>-0</v>
      </c>
      <c r="BR100" s="80" t="n">
        <f aca="false">BR98*BR99</f>
        <v>-0</v>
      </c>
      <c r="BS100" s="80" t="n">
        <f aca="false">BS98*BS99</f>
        <v>-0</v>
      </c>
      <c r="BT100" s="80" t="n">
        <f aca="false">BT98*BT99</f>
        <v>-0</v>
      </c>
      <c r="BU100" s="80" t="n">
        <f aca="false">BU98*BU99</f>
        <v>-0</v>
      </c>
      <c r="BV100" s="80" t="n">
        <f aca="false">BV98*BV99</f>
        <v>-0</v>
      </c>
      <c r="BW100" s="80" t="n">
        <f aca="false">BW98*BW99</f>
        <v>-0</v>
      </c>
      <c r="BX100" s="80" t="n">
        <f aca="false">BX98*BX99</f>
        <v>-0</v>
      </c>
      <c r="BY100" s="80" t="n">
        <f aca="false">BY98*BY99</f>
        <v>-0</v>
      </c>
      <c r="BZ100" s="80" t="n">
        <f aca="false">BZ98*BZ99</f>
        <v>-0</v>
      </c>
      <c r="CA100" s="80" t="n">
        <f aca="false">CA98*CA99</f>
        <v>-0</v>
      </c>
      <c r="CB100" s="80" t="n">
        <f aca="false">CB98*CB99</f>
        <v>-0</v>
      </c>
      <c r="CC100" s="80" t="n">
        <f aca="false">CC98*CC99</f>
        <v>-0</v>
      </c>
      <c r="CD100" s="80" t="n">
        <f aca="false">CD98*CD99</f>
        <v>-0</v>
      </c>
      <c r="CE100" s="80" t="n">
        <f aca="false">CE98*CE99</f>
        <v>-0</v>
      </c>
      <c r="CF100" s="80" t="n">
        <f aca="false">CF98*CF99</f>
        <v>-0</v>
      </c>
      <c r="CG100" s="80" t="n">
        <f aca="false">CG98*CG99</f>
        <v>-0</v>
      </c>
      <c r="CH100" s="80" t="n">
        <f aca="false">CH98*CH99</f>
        <v>-0</v>
      </c>
      <c r="CI100" s="80" t="n">
        <f aca="false">CI98*CI99</f>
        <v>-0</v>
      </c>
      <c r="CJ100" s="80" t="n">
        <f aca="false">CJ98*CJ99</f>
        <v>-0</v>
      </c>
      <c r="CK100" s="80" t="n">
        <f aca="false">CK98*CK99</f>
        <v>-0</v>
      </c>
      <c r="CL100" s="80" t="n">
        <f aca="false">CL98*CL99</f>
        <v>-0</v>
      </c>
      <c r="CM100" s="80" t="n">
        <f aca="false">CM98*CM99</f>
        <v>-0</v>
      </c>
      <c r="CN100" s="80" t="n">
        <f aca="false">CN98*CN99</f>
        <v>-0</v>
      </c>
      <c r="CO100" s="80" t="n">
        <f aca="false">CO98*CO99</f>
        <v>-0</v>
      </c>
      <c r="CP100" s="80" t="n">
        <f aca="false">CP98*CP99</f>
        <v>-0</v>
      </c>
      <c r="CQ100" s="80" t="n">
        <f aca="false">CQ98*CQ99</f>
        <v>-0</v>
      </c>
      <c r="CR100" s="80" t="n">
        <f aca="false">CR98*CR99</f>
        <v>-0</v>
      </c>
      <c r="CS100" s="80" t="n">
        <f aca="false">CS98*CS99</f>
        <v>-0</v>
      </c>
      <c r="CT100" s="80" t="n">
        <f aca="false">CT98*CT99</f>
        <v>-0</v>
      </c>
      <c r="CU100" s="80" t="n">
        <f aca="false">CU98*CU99</f>
        <v>-0</v>
      </c>
      <c r="CV100" s="80" t="n">
        <f aca="false">CV98*CV99</f>
        <v>-0</v>
      </c>
      <c r="CW100" s="80" t="n">
        <f aca="false">CW98*CW99</f>
        <v>-0</v>
      </c>
      <c r="CX100" s="80" t="n">
        <f aca="false">CX98*CX99</f>
        <v>-0</v>
      </c>
      <c r="CY100" s="80" t="n">
        <f aca="false">CY98*CY99</f>
        <v>-0</v>
      </c>
      <c r="CZ100" s="80" t="n">
        <f aca="false">CZ98*CZ99</f>
        <v>-0</v>
      </c>
      <c r="DA100" s="80" t="n">
        <f aca="false">DA98*DA99</f>
        <v>-0</v>
      </c>
      <c r="DB100" s="80" t="n">
        <f aca="false">DB98*DB99</f>
        <v>-0</v>
      </c>
      <c r="DC100" s="80" t="n">
        <f aca="false">DC98*DC99</f>
        <v>-0</v>
      </c>
      <c r="DD100" s="80" t="n">
        <f aca="false">DD98*DD99</f>
        <v>-0</v>
      </c>
      <c r="DE100" s="80" t="n">
        <f aca="false">DE98*DE99</f>
        <v>-0</v>
      </c>
      <c r="DF100" s="80" t="n">
        <f aca="false">DF98*DF99</f>
        <v>-0</v>
      </c>
    </row>
    <row r="101" customFormat="false" ht="15" hidden="false" customHeight="true" outlineLevel="0" collapsed="false">
      <c r="A101" s="77" t="s">
        <v>846</v>
      </c>
      <c r="C101" s="82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2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2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2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2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2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2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2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2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2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2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2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2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2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2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2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406134.769755</v>
      </c>
      <c r="S101" s="82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801871.06546</v>
      </c>
      <c r="T101" s="82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1464522.659788</v>
      </c>
      <c r="U101" s="82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1761883.437959</v>
      </c>
      <c r="V101" s="82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2068507.564548</v>
      </c>
      <c r="W101" s="82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2369894.234588</v>
      </c>
      <c r="X101" s="82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2649696.736667</v>
      </c>
      <c r="Y101" s="82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2891065.426723</v>
      </c>
      <c r="Z101" s="82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3078343.051573</v>
      </c>
      <c r="AA101" s="82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3198689.939246</v>
      </c>
      <c r="AB101" s="82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3243566.766438</v>
      </c>
      <c r="AC101" s="82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3209714.87385</v>
      </c>
      <c r="AD101" s="82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3099589.345003</v>
      </c>
      <c r="AE101" s="82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2921025.983551</v>
      </c>
      <c r="AF101" s="82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2686339.166793</v>
      </c>
      <c r="AG101" s="82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2410885.979528</v>
      </c>
      <c r="AH101" s="82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2111456.657492</v>
      </c>
      <c r="AI101" s="82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1804566.756813</v>
      </c>
      <c r="AJ101" s="82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1505061.025398</v>
      </c>
      <c r="AK101" s="82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904306.653254</v>
      </c>
      <c r="AL101" s="82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489046.905573</v>
      </c>
      <c r="AM101" s="82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2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2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2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2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2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2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2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2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2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2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2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2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2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2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2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2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2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2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2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2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2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2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2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2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2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2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2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2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2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2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2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2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2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2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2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2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2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2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2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2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2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2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2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2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2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2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2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2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2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2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2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2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2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2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2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2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2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2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2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2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2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2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2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2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2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2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2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2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2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2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2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289" t="s">
        <v>847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</row>
    <row r="2" customFormat="false" ht="15" hidden="false" customHeight="true" outlineLevel="0" collapsed="false">
      <c r="A2" s="127"/>
      <c r="B2" s="127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0"/>
      <c r="BE2" s="290"/>
      <c r="BF2" s="290"/>
      <c r="BG2" s="290"/>
      <c r="BH2" s="290"/>
      <c r="BI2" s="290"/>
      <c r="BJ2" s="290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290"/>
      <c r="CE2" s="290"/>
      <c r="CF2" s="290"/>
      <c r="CG2" s="290"/>
      <c r="CH2" s="290"/>
    </row>
    <row r="3" customFormat="false" ht="15" hidden="false" customHeight="true" outlineLevel="0" collapsed="false">
      <c r="A3" s="291"/>
      <c r="B3" s="292" t="s">
        <v>848</v>
      </c>
      <c r="C3" s="292" t="s">
        <v>849</v>
      </c>
      <c r="D3" s="292" t="s">
        <v>850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</row>
    <row r="4" customFormat="false" ht="15" hidden="false" customHeight="true" outlineLevel="0" collapsed="false">
      <c r="A4" s="127"/>
      <c r="B4" s="194"/>
      <c r="C4" s="194"/>
      <c r="D4" s="194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127"/>
      <c r="BZ4" s="127"/>
      <c r="CA4" s="127"/>
      <c r="CB4" s="127"/>
      <c r="CC4" s="127"/>
      <c r="CD4" s="127"/>
      <c r="CE4" s="127"/>
      <c r="CF4" s="127"/>
      <c r="CG4" s="127"/>
      <c r="CH4" s="127"/>
    </row>
    <row r="5" customFormat="false" ht="15" hidden="false" customHeight="true" outlineLevel="0" collapsed="false">
      <c r="A5" s="293" t="s">
        <v>12</v>
      </c>
      <c r="B5" s="294"/>
      <c r="C5" s="294"/>
      <c r="D5" s="2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</row>
    <row r="6" customFormat="false" ht="15" hidden="false" customHeight="true" outlineLevel="0" collapsed="false">
      <c r="A6" s="295" t="s">
        <v>851</v>
      </c>
      <c r="B6" s="296" t="n">
        <f aca="false">SUM(Model!E162:CG162)</f>
        <v>987482</v>
      </c>
      <c r="C6" s="296" t="n">
        <f aca="false">Helpers!B47</f>
        <v>1988974</v>
      </c>
      <c r="D6" s="296" t="n">
        <f aca="false">B6+C6</f>
        <v>2976456</v>
      </c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</row>
    <row r="7" customFormat="false" ht="15" hidden="false" customHeight="true" outlineLevel="0" collapsed="false">
      <c r="A7" s="127" t="s">
        <v>852</v>
      </c>
      <c r="B7" s="194" t="n">
        <f aca="false">-Projects!$B$7*Assumptions!$B$47</f>
        <v>-427947.65</v>
      </c>
      <c r="C7" s="194" t="n">
        <v>0</v>
      </c>
      <c r="D7" s="194" t="n">
        <f aca="false">B7+C7</f>
        <v>-427947.65</v>
      </c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</row>
    <row r="8" customFormat="false" ht="15" hidden="false" customHeight="true" outlineLevel="0" collapsed="false">
      <c r="A8" s="295" t="s">
        <v>853</v>
      </c>
      <c r="B8" s="296" t="n">
        <f aca="false">-Assumptions!$B$53*Assumptions!$B$48</f>
        <v>-150000</v>
      </c>
      <c r="C8" s="296" t="n">
        <v>0</v>
      </c>
      <c r="D8" s="296" t="n">
        <f aca="false">B8+C8</f>
        <v>-150000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</row>
    <row r="9" customFormat="false" ht="15" hidden="false" customHeight="true" outlineLevel="0" collapsed="false">
      <c r="A9" s="127" t="s">
        <v>837</v>
      </c>
      <c r="B9" s="194" t="n">
        <v>0</v>
      </c>
      <c r="C9" s="194" t="n">
        <v>0</v>
      </c>
      <c r="D9" s="194" t="n">
        <f aca="false">B9+C9</f>
        <v>0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</row>
    <row r="10" customFormat="false" ht="15" hidden="false" customHeight="true" outlineLevel="0" collapsed="false">
      <c r="A10" s="203" t="s">
        <v>854</v>
      </c>
      <c r="B10" s="206" t="n">
        <f aca="false">SUM(B6:B9)</f>
        <v>409534.35</v>
      </c>
      <c r="C10" s="206" t="n">
        <f aca="false">SUM(C6:C9)</f>
        <v>1988974</v>
      </c>
      <c r="D10" s="206" t="n">
        <f aca="false">SUM(D6:D9)</f>
        <v>2398508.35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4"/>
      <c r="BY10" s="194"/>
      <c r="BZ10" s="194"/>
      <c r="CA10" s="194"/>
      <c r="CB10" s="194"/>
      <c r="CC10" s="194"/>
      <c r="CD10" s="194"/>
      <c r="CE10" s="194"/>
      <c r="CF10" s="194"/>
      <c r="CG10" s="194"/>
      <c r="CH10" s="194"/>
    </row>
    <row r="11" customFormat="false" ht="15" hidden="false" customHeight="true" outlineLevel="0" collapsed="false">
      <c r="A11" s="297"/>
      <c r="B11" s="298"/>
      <c r="C11" s="298"/>
      <c r="D11" s="298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94"/>
    </row>
    <row r="12" customFormat="false" ht="15" hidden="false" customHeight="true" outlineLevel="0" collapsed="false">
      <c r="A12" s="268" t="s">
        <v>855</v>
      </c>
      <c r="B12" s="268"/>
      <c r="C12" s="299"/>
      <c r="D12" s="299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4"/>
      <c r="BU12" s="194"/>
      <c r="BV12" s="194"/>
      <c r="BW12" s="194"/>
      <c r="BX12" s="194"/>
      <c r="BY12" s="194"/>
      <c r="BZ12" s="194"/>
      <c r="CA12" s="194"/>
      <c r="CB12" s="194"/>
      <c r="CC12" s="194"/>
      <c r="CD12" s="194"/>
      <c r="CE12" s="194"/>
      <c r="CF12" s="194"/>
      <c r="CG12" s="194"/>
      <c r="CH12" s="194"/>
    </row>
    <row r="13" customFormat="false" ht="15" hidden="false" customHeight="true" outlineLevel="0" collapsed="false">
      <c r="A13" s="295" t="s">
        <v>851</v>
      </c>
      <c r="B13" s="296" t="n">
        <f aca="false">SUM(Model!E164:CG164)</f>
        <v>219466</v>
      </c>
      <c r="C13" s="296" t="n">
        <f aca="false">Helpers!B48</f>
        <v>2706735</v>
      </c>
      <c r="D13" s="296" t="n">
        <f aca="false">B13+C13</f>
        <v>2926201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</row>
    <row r="14" customFormat="false" ht="15" hidden="false" customHeight="true" outlineLevel="0" collapsed="false">
      <c r="A14" s="300" t="s">
        <v>852</v>
      </c>
      <c r="B14" s="301" t="n">
        <f aca="false">-Projects!$B$14*Assumptions!$B$47</f>
        <v>-413546.32</v>
      </c>
      <c r="C14" s="301" t="n">
        <v>0</v>
      </c>
      <c r="D14" s="301" t="n">
        <f aca="false">B14+C14</f>
        <v>-413546.32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</row>
    <row r="15" customFormat="false" ht="15" hidden="false" customHeight="true" outlineLevel="0" collapsed="false">
      <c r="A15" s="295" t="s">
        <v>853</v>
      </c>
      <c r="B15" s="296" t="n">
        <f aca="false">-Assumptions!$B$55*Assumptions!$B$48</f>
        <v>-150000</v>
      </c>
      <c r="C15" s="296" t="n">
        <v>0</v>
      </c>
      <c r="D15" s="296" t="n">
        <f aca="false">B15+C15</f>
        <v>-150000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27"/>
    </row>
    <row r="16" customFormat="false" ht="15" hidden="false" customHeight="true" outlineLevel="0" collapsed="false">
      <c r="A16" s="300" t="s">
        <v>837</v>
      </c>
      <c r="B16" s="301" t="n">
        <f aca="false">-SUM(Model!E238:CG238)</f>
        <v>-583237.358559202</v>
      </c>
      <c r="C16" s="301" t="n">
        <f aca="false">-Helpers!F93</f>
        <v>-240125.881206445</v>
      </c>
      <c r="D16" s="301" t="n">
        <f aca="false">B16+C16</f>
        <v>-823363.239765647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  <c r="CF16" s="127"/>
      <c r="CG16" s="127"/>
      <c r="CH16" s="127"/>
    </row>
    <row r="17" customFormat="false" ht="15" hidden="false" customHeight="true" outlineLevel="0" collapsed="false">
      <c r="A17" s="105" t="s">
        <v>854</v>
      </c>
      <c r="B17" s="195" t="n">
        <f aca="false">SUM(B13:B16)</f>
        <v>-927317.678559202</v>
      </c>
      <c r="C17" s="195" t="n">
        <f aca="false">SUM(C13:C16)</f>
        <v>2466609.11879355</v>
      </c>
      <c r="D17" s="195" t="n">
        <f aca="false">SUM(D13:D16)</f>
        <v>1539291.44023435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</row>
    <row r="18" customFormat="false" ht="15" hidden="false" customHeight="true" outlineLevel="0" collapsed="false">
      <c r="A18" s="302"/>
      <c r="B18" s="303"/>
      <c r="C18" s="303"/>
      <c r="D18" s="303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</row>
    <row r="19" customFormat="false" ht="15" hidden="false" customHeight="true" outlineLevel="0" collapsed="false">
      <c r="A19" s="304" t="s">
        <v>18</v>
      </c>
      <c r="B19" s="305"/>
      <c r="C19" s="305"/>
      <c r="D19" s="305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4"/>
      <c r="CG19" s="194"/>
      <c r="CH19" s="194"/>
    </row>
    <row r="20" customFormat="false" ht="15" hidden="false" customHeight="true" outlineLevel="0" collapsed="false">
      <c r="A20" s="306" t="s">
        <v>851</v>
      </c>
      <c r="B20" s="307" t="n">
        <f aca="false">SUM(Model!E163:CG163)</f>
        <v>1599927</v>
      </c>
      <c r="C20" s="307" t="n">
        <f aca="false">Helpers!B49</f>
        <v>2359498</v>
      </c>
      <c r="D20" s="307" t="n">
        <f aca="false">B20+C20</f>
        <v>3959425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  <c r="CF20" s="127"/>
      <c r="CG20" s="127"/>
      <c r="CH20" s="127"/>
    </row>
    <row r="21" customFormat="false" ht="15" hidden="false" customHeight="true" outlineLevel="0" collapsed="false">
      <c r="A21" s="308" t="s">
        <v>852</v>
      </c>
      <c r="B21" s="309" t="n">
        <f aca="false">-Projects!$B$13*Assumptions!$B$47</f>
        <v>-452667.7</v>
      </c>
      <c r="C21" s="309" t="n">
        <v>0</v>
      </c>
      <c r="D21" s="309" t="n">
        <f aca="false">B21+C21</f>
        <v>-452667.7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  <c r="CF21" s="127"/>
      <c r="CG21" s="127"/>
      <c r="CH21" s="127"/>
    </row>
    <row r="22" customFormat="false" ht="15" hidden="false" customHeight="true" outlineLevel="0" collapsed="false">
      <c r="A22" s="306" t="s">
        <v>853</v>
      </c>
      <c r="B22" s="307" t="n">
        <f aca="false">-Assumptions!$B$54*Assumptions!$B$48</f>
        <v>-150000</v>
      </c>
      <c r="C22" s="307" t="n">
        <v>0</v>
      </c>
      <c r="D22" s="307" t="n">
        <f aca="false">B22+C22</f>
        <v>-150000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</row>
    <row r="23" customFormat="false" ht="15" hidden="false" customHeight="true" outlineLevel="0" collapsed="false">
      <c r="A23" s="127" t="s">
        <v>837</v>
      </c>
      <c r="B23" s="194" t="n">
        <f aca="false">-SUM(Model!E243:CG243)</f>
        <v>-735311.322547972</v>
      </c>
      <c r="C23" s="194" t="n">
        <v>0</v>
      </c>
      <c r="D23" s="194" t="n">
        <f aca="false">B23+C23</f>
        <v>-735311.322547972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</row>
    <row r="24" customFormat="false" ht="15" hidden="false" customHeight="true" outlineLevel="0" collapsed="false">
      <c r="A24" s="208" t="s">
        <v>854</v>
      </c>
      <c r="B24" s="210" t="n">
        <f aca="false">SUM(B20:B23)</f>
        <v>261947.977452028</v>
      </c>
      <c r="C24" s="210" t="n">
        <f aca="false">SUM(C20:C23)</f>
        <v>2359498</v>
      </c>
      <c r="D24" s="210" t="n">
        <f aca="false">SUM(D20:D23)</f>
        <v>2621445.97745203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</row>
    <row r="25" customFormat="false" ht="15" hidden="false" customHeight="true" outlineLevel="0" collapsed="false">
      <c r="A25" s="286"/>
      <c r="B25" s="310"/>
      <c r="C25" s="310"/>
      <c r="D25" s="310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</row>
    <row r="26" customFormat="false" ht="15" hidden="false" customHeight="true" outlineLevel="0" collapsed="false">
      <c r="A26" s="311" t="s">
        <v>856</v>
      </c>
      <c r="B26" s="312"/>
      <c r="C26" s="312"/>
      <c r="D26" s="312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</row>
    <row r="27" customFormat="false" ht="15" hidden="false" customHeight="true" outlineLevel="0" collapsed="false">
      <c r="A27" s="313" t="s">
        <v>857</v>
      </c>
      <c r="B27" s="314" t="n">
        <f aca="false">B6+B13+B20</f>
        <v>2806875</v>
      </c>
      <c r="C27" s="314" t="n">
        <f aca="false">C6+C13+C20</f>
        <v>7055207</v>
      </c>
      <c r="D27" s="314" t="n">
        <f aca="false">D6+D13+D20</f>
        <v>9862082</v>
      </c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</row>
    <row r="28" customFormat="false" ht="15" hidden="false" customHeight="true" outlineLevel="0" collapsed="false">
      <c r="A28" s="127" t="s">
        <v>858</v>
      </c>
      <c r="B28" s="194" t="n">
        <f aca="false">B7+B14+B21</f>
        <v>-1294161.67</v>
      </c>
      <c r="C28" s="194" t="n">
        <f aca="false">C7+C14+C21</f>
        <v>0</v>
      </c>
      <c r="D28" s="194" t="n">
        <f aca="false">D7+D14+D21</f>
        <v>-1294161.67</v>
      </c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  <c r="CF28" s="127"/>
      <c r="CG28" s="127"/>
      <c r="CH28" s="127"/>
    </row>
    <row r="29" customFormat="false" ht="15" hidden="false" customHeight="true" outlineLevel="0" collapsed="false">
      <c r="A29" s="315" t="s">
        <v>859</v>
      </c>
      <c r="B29" s="316" t="n">
        <f aca="false">B8+B15+B22</f>
        <v>-450000</v>
      </c>
      <c r="C29" s="316" t="n">
        <f aca="false">C8+C15+C22</f>
        <v>0</v>
      </c>
      <c r="D29" s="316" t="n">
        <f aca="false">D8+D15+D22</f>
        <v>-450000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</row>
    <row r="30" customFormat="false" ht="15" hidden="false" customHeight="true" outlineLevel="0" collapsed="false">
      <c r="A30" s="317" t="s">
        <v>860</v>
      </c>
      <c r="B30" s="318" t="n">
        <f aca="false">B9+B16+B23</f>
        <v>-1318548.68110717</v>
      </c>
      <c r="C30" s="318" t="n">
        <f aca="false">C9+C16+C23</f>
        <v>-240125.881206445</v>
      </c>
      <c r="D30" s="318" t="n">
        <f aca="false">D9+D16+D23</f>
        <v>-1558674.56231362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</row>
    <row r="31" customFormat="false" ht="15" hidden="false" customHeight="true" outlineLevel="0" collapsed="false">
      <c r="A31" s="105" t="s">
        <v>861</v>
      </c>
      <c r="B31" s="195" t="n">
        <f aca="false">B10+B17+B24</f>
        <v>-255835.351107174</v>
      </c>
      <c r="C31" s="195" t="n">
        <f aca="false">C10+C17+C24</f>
        <v>6815081.11879356</v>
      </c>
      <c r="D31" s="195" t="n">
        <f aca="false">D10+D17+D24</f>
        <v>6559245.76768638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</row>
    <row r="32" customFormat="false" ht="15" hidden="false" customHeight="true" outlineLevel="0" collapsed="false">
      <c r="A32" s="319"/>
      <c r="B32" s="320"/>
      <c r="C32" s="320"/>
      <c r="D32" s="320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</row>
    <row r="33" customFormat="false" ht="15" hidden="false" customHeight="true" outlineLevel="0" collapsed="false">
      <c r="A33" s="286"/>
      <c r="B33" s="310"/>
      <c r="C33" s="310"/>
      <c r="D33" s="310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</row>
    <row r="34" customFormat="false" ht="15" hidden="false" customHeight="true" outlineLevel="0" collapsed="false">
      <c r="A34" s="319"/>
      <c r="B34" s="320"/>
      <c r="C34" s="320"/>
      <c r="D34" s="320"/>
    </row>
    <row r="35" customFormat="false" ht="15" hidden="false" customHeight="true" outlineLevel="0" collapsed="false">
      <c r="A35" s="297"/>
      <c r="B35" s="298"/>
      <c r="C35" s="298"/>
      <c r="D35" s="298"/>
    </row>
    <row r="37" customFormat="false" ht="15" hidden="false" customHeight="true" outlineLevel="0" collapsed="false">
      <c r="A37" s="321"/>
    </row>
    <row r="38" customFormat="false" ht="15" hidden="false" customHeight="true" outlineLevel="0" collapsed="false">
      <c r="A38" s="322"/>
    </row>
    <row r="39" customFormat="false" ht="15" hidden="false" customHeight="true" outlineLevel="0" collapsed="false">
      <c r="A39" s="322"/>
    </row>
    <row r="40" customFormat="false" ht="15" hidden="false" customHeight="true" outlineLevel="0" collapsed="false">
      <c r="A40" s="322" t="s">
        <v>862</v>
      </c>
    </row>
    <row r="41" customFormat="false" ht="15" hidden="false" customHeight="true" outlineLevel="0" collapsed="false">
      <c r="A41" s="322" t="s">
        <v>863</v>
      </c>
    </row>
    <row r="42" customFormat="false" ht="15" hidden="false" customHeight="true" outlineLevel="0" collapsed="false">
      <c r="A42" s="322" t="s">
        <v>864</v>
      </c>
    </row>
    <row r="43" customFormat="false" ht="15" hidden="false" customHeight="true" outlineLevel="0" collapsed="false">
      <c r="A43" s="322" t="s">
        <v>865</v>
      </c>
    </row>
    <row r="44" customFormat="false" ht="15" hidden="false" customHeight="true" outlineLevel="0" collapsed="false">
      <c r="A44" s="322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08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27" t="s">
        <v>868</v>
      </c>
      <c r="B2" s="323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27" t="s">
        <v>869</v>
      </c>
      <c r="B3" s="324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25" t="s">
        <v>870</v>
      </c>
      <c r="B5" s="325" t="s">
        <v>871</v>
      </c>
      <c r="C5" s="325" t="s">
        <v>872</v>
      </c>
      <c r="D5" s="326" t="s">
        <v>873</v>
      </c>
      <c r="E5" s="326" t="s">
        <v>874</v>
      </c>
      <c r="F5" s="326" t="s">
        <v>875</v>
      </c>
      <c r="G5" s="327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28" t="n">
        <v>2026</v>
      </c>
      <c r="B6" s="328" t="n">
        <v>-2</v>
      </c>
      <c r="C6" s="328" t="n">
        <v>9</v>
      </c>
      <c r="D6" s="112" t="n">
        <f aca="false">SUM(Helpers!C96:N96)</f>
        <v>0</v>
      </c>
      <c r="E6" s="112" t="n">
        <f aca="false">SUM(Helpers!C101:N101)</f>
        <v>0</v>
      </c>
      <c r="F6" s="112" t="n">
        <f aca="false">D6-E6</f>
        <v>0</v>
      </c>
      <c r="G6" s="329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28" t="n">
        <v>2027</v>
      </c>
      <c r="B7" s="328" t="n">
        <v>10</v>
      </c>
      <c r="C7" s="328" t="n">
        <v>21</v>
      </c>
      <c r="D7" s="112" t="n">
        <f aca="false">SUM(Helpers!O96:Z96)</f>
        <v>17491918.947061</v>
      </c>
      <c r="E7" s="112" t="n">
        <f aca="false">SUM(Helpers!O101:Z101)</f>
        <v>17491918.947061</v>
      </c>
      <c r="F7" s="112" t="n">
        <f aca="false">D7-E7</f>
        <v>0</v>
      </c>
      <c r="G7" s="329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28" t="n">
        <v>2028</v>
      </c>
      <c r="B8" s="328" t="n">
        <v>22</v>
      </c>
      <c r="C8" s="328" t="n">
        <v>33</v>
      </c>
      <c r="D8" s="112" t="n">
        <f aca="false">SUM(Helpers!AA96:AL96)</f>
        <v>27584250.052939</v>
      </c>
      <c r="E8" s="112" t="n">
        <f aca="false">SUM(Helpers!AA101:AL101)</f>
        <v>27584250.052939</v>
      </c>
      <c r="F8" s="112" t="n">
        <f aca="false">D8-E8</f>
        <v>0</v>
      </c>
      <c r="G8" s="329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28" t="n">
        <v>2029</v>
      </c>
      <c r="B9" s="328" t="n">
        <v>34</v>
      </c>
      <c r="C9" s="328" t="n">
        <v>45</v>
      </c>
      <c r="D9" s="112" t="n">
        <f aca="false">SUM(Helpers!AM96:AX96)</f>
        <v>0</v>
      </c>
      <c r="E9" s="112" t="n">
        <f aca="false">SUM(Helpers!AM101:AX101)</f>
        <v>0</v>
      </c>
      <c r="F9" s="112" t="n">
        <f aca="false">D9-E9</f>
        <v>0</v>
      </c>
      <c r="G9" s="329" t="n">
        <f aca="false">IF(F9&gt;=Assumptions!$B$86,Assumptions!$C$86,IF(F9&gt;=Assumptions!$B$85,Assumptions!$C$85,IF(F9&gt;=Assumptions!$B$84,Assumptions!$C$84,Assumptions!$C$83)))</f>
        <v>0.25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28" t="n">
        <v>2030</v>
      </c>
      <c r="B10" s="328" t="n">
        <v>46</v>
      </c>
      <c r="C10" s="328" t="n">
        <v>57</v>
      </c>
      <c r="D10" s="112" t="n">
        <f aca="false">SUM(Helpers!AY96:BJ96)</f>
        <v>0</v>
      </c>
      <c r="E10" s="112" t="n">
        <f aca="false">SUM(Helpers!AY101:BJ101)</f>
        <v>0</v>
      </c>
      <c r="F10" s="112" t="n">
        <f aca="false">D10-E10</f>
        <v>0</v>
      </c>
      <c r="G10" s="329" t="n">
        <f aca="false">IF(F10&gt;=Assumptions!$B$86,Assumptions!$C$86,IF(F10&gt;=Assumptions!$B$85,Assumptions!$C$85,IF(F10&gt;=Assumptions!$B$84,Assumptions!$C$84,Assumptions!$C$83)))</f>
        <v>0.25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28" t="n">
        <v>2031</v>
      </c>
      <c r="B11" s="328" t="n">
        <v>58</v>
      </c>
      <c r="C11" s="328" t="n">
        <v>69</v>
      </c>
      <c r="D11" s="112" t="n">
        <f aca="false">SUM(Helpers!BK96:BV96)</f>
        <v>0</v>
      </c>
      <c r="E11" s="112" t="n">
        <f aca="false">SUM(Helpers!BK101:BV101)</f>
        <v>0</v>
      </c>
      <c r="F11" s="112" t="n">
        <f aca="false">D11-E11</f>
        <v>0</v>
      </c>
      <c r="G11" s="329" t="n">
        <f aca="false">IF(F11&gt;=Assumptions!$B$86,Assumptions!$C$86,IF(F11&gt;=Assumptions!$B$85,Assumptions!$C$85,IF(F11&gt;=Assumptions!$B$84,Assumptions!$C$84,Assumptions!$C$83)))</f>
        <v>0.25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28" t="n">
        <v>2032</v>
      </c>
      <c r="B12" s="328" t="n">
        <v>70</v>
      </c>
      <c r="C12" s="328" t="n">
        <v>81</v>
      </c>
      <c r="D12" s="112" t="n">
        <f aca="false">SUM(Helpers!BW96:CH96)</f>
        <v>0</v>
      </c>
      <c r="E12" s="112" t="n">
        <f aca="false">SUM(Helpers!BW101:CH101)</f>
        <v>0</v>
      </c>
      <c r="F12" s="112" t="n">
        <f aca="false">D12-E12</f>
        <v>0</v>
      </c>
      <c r="G12" s="329" t="n">
        <f aca="false">IF(F12&gt;=Assumptions!$B$86,Assumptions!$C$86,IF(F12&gt;=Assumptions!$B$85,Assumptions!$C$85,IF(F12&gt;=Assumptions!$B$84,Assumptions!$C$84,Assumptions!$C$83)))</f>
        <v>0.25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28" t="n">
        <v>2033</v>
      </c>
      <c r="B13" s="328" t="n">
        <v>82</v>
      </c>
      <c r="C13" s="328" t="n">
        <v>93</v>
      </c>
      <c r="D13" s="112" t="n">
        <f aca="false">SUM(Helpers!CI96:CT96)</f>
        <v>0</v>
      </c>
      <c r="E13" s="112" t="n">
        <f aca="false">SUM(Helpers!CI101:CT101)</f>
        <v>0</v>
      </c>
      <c r="F13" s="112" t="n">
        <f aca="false">D13-E13</f>
        <v>0</v>
      </c>
      <c r="G13" s="329" t="n">
        <f aca="false">IF(F13&gt;=Assumptions!$B$86,Assumptions!$C$86,IF(F13&gt;=Assumptions!$B$85,Assumptions!$C$85,IF(F13&gt;=Assumptions!$B$84,Assumptions!$C$84,Assumptions!$C$83)))</f>
        <v>0.25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28" t="n">
        <v>2034</v>
      </c>
      <c r="B14" s="328" t="n">
        <v>94</v>
      </c>
      <c r="C14" s="328" t="n">
        <v>105</v>
      </c>
      <c r="D14" s="112" t="n">
        <f aca="false">SUM(Helpers!CU96:DF96)</f>
        <v>0</v>
      </c>
      <c r="E14" s="112" t="n">
        <f aca="false">SUM(Helpers!CU101:DF101)</f>
        <v>0</v>
      </c>
      <c r="F14" s="112" t="n">
        <f aca="false">D14-E14</f>
        <v>0</v>
      </c>
      <c r="G14" s="329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04" t="s">
        <v>1</v>
      </c>
      <c r="B15" s="2"/>
      <c r="C15" s="328" t="n">
        <f aca="false">Model!B3</f>
        <v>-2</v>
      </c>
      <c r="D15" s="328" t="n">
        <f aca="false">Model!C3</f>
        <v>-1</v>
      </c>
      <c r="E15" s="328" t="n">
        <f aca="false">Model!D3</f>
        <v>0</v>
      </c>
      <c r="F15" s="328" t="n">
        <f aca="false">Model!E3</f>
        <v>1</v>
      </c>
      <c r="G15" s="328" t="n">
        <f aca="false">Model!F3</f>
        <v>2</v>
      </c>
      <c r="H15" s="328" t="n">
        <f aca="false">Model!G3</f>
        <v>3</v>
      </c>
      <c r="I15" s="328" t="n">
        <f aca="false">Model!H3</f>
        <v>4</v>
      </c>
      <c r="J15" s="328" t="n">
        <f aca="false">Model!I3</f>
        <v>5</v>
      </c>
      <c r="K15" s="328" t="n">
        <f aca="false">Model!J3</f>
        <v>6</v>
      </c>
      <c r="L15" s="328" t="n">
        <f aca="false">Model!K3</f>
        <v>7</v>
      </c>
      <c r="M15" s="328" t="n">
        <f aca="false">Model!L3</f>
        <v>8</v>
      </c>
      <c r="N15" s="328" t="n">
        <f aca="false">Model!M3</f>
        <v>9</v>
      </c>
      <c r="O15" s="328" t="n">
        <f aca="false">Model!N3</f>
        <v>10</v>
      </c>
      <c r="P15" s="328" t="n">
        <f aca="false">Model!O3</f>
        <v>11</v>
      </c>
      <c r="Q15" s="328" t="n">
        <f aca="false">Model!P3</f>
        <v>12</v>
      </c>
      <c r="R15" s="328" t="n">
        <f aca="false">Model!Q3</f>
        <v>13</v>
      </c>
      <c r="S15" s="328" t="n">
        <f aca="false">Model!R3</f>
        <v>14</v>
      </c>
      <c r="T15" s="328" t="n">
        <f aca="false">Model!S3</f>
        <v>15</v>
      </c>
      <c r="U15" s="328" t="n">
        <f aca="false">Model!T3</f>
        <v>16</v>
      </c>
      <c r="V15" s="328" t="n">
        <f aca="false">Model!U3</f>
        <v>17</v>
      </c>
      <c r="W15" s="328" t="n">
        <f aca="false">Model!V3</f>
        <v>18</v>
      </c>
      <c r="X15" s="328" t="n">
        <f aca="false">Model!W3</f>
        <v>19</v>
      </c>
      <c r="Y15" s="328" t="n">
        <f aca="false">Model!X3</f>
        <v>20</v>
      </c>
      <c r="Z15" s="328" t="n">
        <f aca="false">Model!Y3</f>
        <v>21</v>
      </c>
      <c r="AA15" s="328" t="n">
        <f aca="false">Model!Z3</f>
        <v>22</v>
      </c>
      <c r="AB15" s="328" t="n">
        <f aca="false">Model!AA3</f>
        <v>23</v>
      </c>
      <c r="AC15" s="328" t="n">
        <f aca="false">Model!AB3</f>
        <v>24</v>
      </c>
      <c r="AD15" s="328" t="n">
        <f aca="false">Model!AC3</f>
        <v>25</v>
      </c>
      <c r="AE15" s="328" t="n">
        <f aca="false">Model!AD3</f>
        <v>26</v>
      </c>
      <c r="AF15" s="328" t="n">
        <f aca="false">Model!AE3</f>
        <v>27</v>
      </c>
      <c r="AG15" s="328" t="n">
        <f aca="false">Model!AF3</f>
        <v>28</v>
      </c>
      <c r="AH15" s="328" t="n">
        <f aca="false">Model!AG3</f>
        <v>29</v>
      </c>
      <c r="AI15" s="328" t="n">
        <f aca="false">Model!AH3</f>
        <v>30</v>
      </c>
      <c r="AJ15" s="328" t="n">
        <f aca="false">Model!AI3</f>
        <v>31</v>
      </c>
      <c r="AK15" s="328" t="n">
        <f aca="false">Model!AJ3</f>
        <v>32</v>
      </c>
      <c r="AL15" s="328" t="n">
        <f aca="false">Model!AK3</f>
        <v>33</v>
      </c>
      <c r="AM15" s="328" t="n">
        <f aca="false">Model!AL3</f>
        <v>34</v>
      </c>
      <c r="AN15" s="328" t="n">
        <f aca="false">Model!AM3</f>
        <v>35</v>
      </c>
      <c r="AO15" s="328" t="n">
        <f aca="false">Model!AN3</f>
        <v>36</v>
      </c>
      <c r="AP15" s="328" t="n">
        <f aca="false">Model!AO3</f>
        <v>37</v>
      </c>
      <c r="AQ15" s="328" t="n">
        <f aca="false">Model!AP3</f>
        <v>38</v>
      </c>
      <c r="AR15" s="328" t="n">
        <f aca="false">Model!AQ3</f>
        <v>39</v>
      </c>
      <c r="AS15" s="328" t="n">
        <f aca="false">Model!AR3</f>
        <v>40</v>
      </c>
      <c r="AT15" s="328" t="n">
        <f aca="false">Model!AS3</f>
        <v>41</v>
      </c>
      <c r="AU15" s="328" t="n">
        <f aca="false">Model!AT3</f>
        <v>42</v>
      </c>
      <c r="AV15" s="328" t="n">
        <f aca="false">Model!AU3</f>
        <v>43</v>
      </c>
      <c r="AW15" s="328" t="n">
        <f aca="false">Model!AV3</f>
        <v>44</v>
      </c>
      <c r="AX15" s="328" t="n">
        <f aca="false">Model!AW3</f>
        <v>45</v>
      </c>
      <c r="AY15" s="328" t="n">
        <f aca="false">Model!AX3</f>
        <v>46</v>
      </c>
      <c r="AZ15" s="328" t="n">
        <f aca="false">Model!AY3</f>
        <v>47</v>
      </c>
      <c r="BA15" s="328" t="n">
        <f aca="false">Model!AZ3</f>
        <v>48</v>
      </c>
      <c r="BB15" s="328" t="n">
        <f aca="false">Model!BA3</f>
        <v>49</v>
      </c>
      <c r="BC15" s="328" t="n">
        <f aca="false">Model!BB3</f>
        <v>50</v>
      </c>
      <c r="BD15" s="328" t="n">
        <f aca="false">Model!BC3</f>
        <v>51</v>
      </c>
      <c r="BE15" s="328" t="n">
        <f aca="false">Model!BD3</f>
        <v>52</v>
      </c>
      <c r="BF15" s="328" t="n">
        <f aca="false">Model!BE3</f>
        <v>53</v>
      </c>
      <c r="BG15" s="328" t="n">
        <f aca="false">Model!BF3</f>
        <v>54</v>
      </c>
      <c r="BH15" s="328" t="n">
        <f aca="false">Model!BG3</f>
        <v>55</v>
      </c>
      <c r="BI15" s="328" t="n">
        <f aca="false">Model!BH3</f>
        <v>56</v>
      </c>
      <c r="BJ15" s="328" t="n">
        <f aca="false">Model!BI3</f>
        <v>57</v>
      </c>
      <c r="BK15" s="328" t="n">
        <f aca="false">Model!BJ3</f>
        <v>58</v>
      </c>
      <c r="BL15" s="328" t="n">
        <f aca="false">Model!BK3</f>
        <v>59</v>
      </c>
      <c r="BM15" s="328" t="n">
        <f aca="false">Model!BL3</f>
        <v>60</v>
      </c>
      <c r="BN15" s="328" t="n">
        <f aca="false">Model!BM3</f>
        <v>61</v>
      </c>
      <c r="BO15" s="328" t="n">
        <f aca="false">Model!BN3</f>
        <v>62</v>
      </c>
      <c r="BP15" s="328" t="n">
        <f aca="false">Model!BO3</f>
        <v>63</v>
      </c>
      <c r="BQ15" s="328" t="n">
        <f aca="false">Model!BP3</f>
        <v>64</v>
      </c>
      <c r="BR15" s="328" t="n">
        <f aca="false">Model!BQ3</f>
        <v>65</v>
      </c>
      <c r="BS15" s="328" t="n">
        <f aca="false">Model!BR3</f>
        <v>66</v>
      </c>
      <c r="BT15" s="328" t="n">
        <f aca="false">Model!BS3</f>
        <v>67</v>
      </c>
      <c r="BU15" s="328" t="n">
        <f aca="false">Model!BT3</f>
        <v>68</v>
      </c>
      <c r="BV15" s="328" t="n">
        <f aca="false">Model!BU3</f>
        <v>69</v>
      </c>
      <c r="BW15" s="328" t="n">
        <f aca="false">Model!BV3</f>
        <v>70</v>
      </c>
      <c r="BX15" s="328" t="n">
        <f aca="false">Model!BW3</f>
        <v>71</v>
      </c>
      <c r="BY15" s="328" t="n">
        <f aca="false">Model!BX3</f>
        <v>72</v>
      </c>
      <c r="BZ15" s="328" t="n">
        <f aca="false">Model!BY3</f>
        <v>73</v>
      </c>
      <c r="CA15" s="328" t="n">
        <f aca="false">Model!BZ3</f>
        <v>74</v>
      </c>
      <c r="CB15" s="328" t="n">
        <f aca="false">Model!CA3</f>
        <v>75</v>
      </c>
      <c r="CC15" s="328" t="n">
        <f aca="false">Model!CB3</f>
        <v>76</v>
      </c>
      <c r="CD15" s="328" t="n">
        <f aca="false">Model!CC3</f>
        <v>77</v>
      </c>
      <c r="CE15" s="328" t="n">
        <f aca="false">Model!CD3</f>
        <v>78</v>
      </c>
      <c r="CF15" s="328" t="n">
        <f aca="false">Model!CE3</f>
        <v>79</v>
      </c>
      <c r="CG15" s="328" t="n">
        <f aca="false">Model!CF3</f>
        <v>80</v>
      </c>
      <c r="CH15" s="328" t="n">
        <f aca="false">Model!CG3</f>
        <v>81</v>
      </c>
      <c r="CI15" s="328" t="n">
        <f aca="false">Model!CH3</f>
        <v>82</v>
      </c>
      <c r="CJ15" s="328" t="n">
        <f aca="false">Model!CI3</f>
        <v>83</v>
      </c>
      <c r="CK15" s="328" t="n">
        <f aca="false">Model!CJ3</f>
        <v>84</v>
      </c>
      <c r="CL15" s="328" t="n">
        <f aca="false">Model!CK3</f>
        <v>85</v>
      </c>
      <c r="CM15" s="328" t="n">
        <f aca="false">Model!CL3</f>
        <v>86</v>
      </c>
      <c r="CN15" s="328" t="n">
        <f aca="false">Model!CM3</f>
        <v>87</v>
      </c>
      <c r="CO15" s="328" t="n">
        <f aca="false">Model!CN3</f>
        <v>88</v>
      </c>
      <c r="CP15" s="328" t="n">
        <f aca="false">Model!CO3</f>
        <v>89</v>
      </c>
      <c r="CQ15" s="328" t="n">
        <f aca="false">Model!CP3</f>
        <v>90</v>
      </c>
      <c r="CR15" s="328" t="n">
        <f aca="false">Model!CQ3</f>
        <v>91</v>
      </c>
      <c r="CS15" s="328" t="n">
        <f aca="false">Model!CR3</f>
        <v>92</v>
      </c>
      <c r="CT15" s="328" t="n">
        <f aca="false">Model!CS3</f>
        <v>93</v>
      </c>
      <c r="CU15" s="328" t="n">
        <f aca="false">Model!CT3</f>
        <v>94</v>
      </c>
      <c r="CV15" s="328" t="n">
        <f aca="false">Model!CU3</f>
        <v>95</v>
      </c>
      <c r="CW15" s="328" t="n">
        <f aca="false">Model!CV3</f>
        <v>96</v>
      </c>
      <c r="CX15" s="328" t="n">
        <f aca="false">Model!CW3</f>
        <v>97</v>
      </c>
      <c r="CY15" s="328" t="n">
        <f aca="false">Model!CX3</f>
        <v>98</v>
      </c>
      <c r="CZ15" s="328" t="n">
        <f aca="false">Model!CY3</f>
        <v>99</v>
      </c>
      <c r="DA15" s="328" t="n">
        <f aca="false">Model!CZ3</f>
        <v>100</v>
      </c>
      <c r="DB15" s="328" t="n">
        <f aca="false">Model!DA3</f>
        <v>101</v>
      </c>
      <c r="DC15" s="328" t="n">
        <f aca="false">Model!DB3</f>
        <v>102</v>
      </c>
      <c r="DD15" s="328" t="n">
        <f aca="false">Model!DC3</f>
        <v>103</v>
      </c>
      <c r="DE15" s="328" t="n">
        <f aca="false">Model!DD3</f>
        <v>104</v>
      </c>
      <c r="DF15" s="328" t="n">
        <f aca="false">Model!DE3</f>
        <v>105</v>
      </c>
    </row>
    <row r="16" customFormat="false" ht="15" hidden="false" customHeight="true" outlineLevel="0" collapsed="false">
      <c r="A16" s="204" t="s">
        <v>876</v>
      </c>
      <c r="B16" s="2"/>
      <c r="C16" s="112" t="n">
        <f aca="false">-SUM(Model!B111:B143)</f>
        <v>260601.5</v>
      </c>
      <c r="D16" s="112" t="n">
        <f aca="false">-SUM(Model!C111:C143)</f>
        <v>260308.54</v>
      </c>
      <c r="E16" s="112" t="n">
        <f aca="false">-SUM(Model!D111:D143)</f>
        <v>351937.74</v>
      </c>
      <c r="F16" s="112" t="n">
        <f aca="false">-SUM(Model!E111:E143)</f>
        <v>73431.56</v>
      </c>
      <c r="G16" s="112" t="n">
        <f aca="false">-SUM(Model!F111:F143)</f>
        <v>437914.85</v>
      </c>
      <c r="H16" s="112" t="n">
        <f aca="false">-SUM(Model!G111:G143)</f>
        <v>426674.543333333</v>
      </c>
      <c r="I16" s="112" t="n">
        <f aca="false">-SUM(Model!H111:H143)</f>
        <v>522089.475</v>
      </c>
      <c r="J16" s="112" t="n">
        <f aca="false">-SUM(Model!I111:I143)</f>
        <v>477089.475</v>
      </c>
      <c r="K16" s="112" t="n">
        <f aca="false">-SUM(Model!J111:J143)</f>
        <v>516356.141666667</v>
      </c>
      <c r="L16" s="112" t="n">
        <f aca="false">-SUM(Model!K111:K143)</f>
        <v>492356.141666667</v>
      </c>
      <c r="M16" s="112" t="n">
        <f aca="false">-SUM(Model!L111:L143)</f>
        <v>492356.141666667</v>
      </c>
      <c r="N16" s="112" t="n">
        <f aca="false">-SUM(Model!M111:M143)</f>
        <v>524260.308333333</v>
      </c>
      <c r="O16" s="112" t="n">
        <f aca="false">-SUM(Model!N111:N143)</f>
        <v>504760.308333333</v>
      </c>
      <c r="P16" s="112" t="n">
        <f aca="false">-SUM(Model!O111:O143)</f>
        <v>504760.308333333</v>
      </c>
      <c r="Q16" s="112" t="n">
        <f aca="false">-SUM(Model!P111:P143)</f>
        <v>504760.308333333</v>
      </c>
      <c r="R16" s="112" t="n">
        <f aca="false">-SUM(Model!Q111:Q143)</f>
        <v>552350.847833333</v>
      </c>
      <c r="S16" s="112" t="n">
        <f aca="false">-SUM(Model!R111:R143)</f>
        <v>528350.847833333</v>
      </c>
      <c r="T16" s="112" t="n">
        <f aca="false">-SUM(Model!S111:S143)</f>
        <v>528350.847833333</v>
      </c>
      <c r="U16" s="112" t="n">
        <f aca="false">-SUM(Model!T111:T143)</f>
        <v>528350.847833333</v>
      </c>
      <c r="V16" s="112" t="n">
        <f aca="false">-SUM(Model!U111:U143)</f>
        <v>528350.847833333</v>
      </c>
      <c r="W16" s="112" t="n">
        <f aca="false">-SUM(Model!V111:V143)</f>
        <v>528350.847833333</v>
      </c>
      <c r="X16" s="112" t="n">
        <f aca="false">-SUM(Model!W111:W143)</f>
        <v>528350.847833333</v>
      </c>
      <c r="Y16" s="112" t="n">
        <f aca="false">-SUM(Model!X111:X143)</f>
        <v>528350.847833333</v>
      </c>
      <c r="Z16" s="112" t="n">
        <f aca="false">-SUM(Model!Y111:Y143)</f>
        <v>528350.847833333</v>
      </c>
      <c r="AA16" s="112" t="n">
        <f aca="false">-SUM(Model!Z111:Z143)</f>
        <v>528350.847833333</v>
      </c>
      <c r="AB16" s="112" t="n">
        <f aca="false">-SUM(Model!AA111:AA143)</f>
        <v>528350.847833333</v>
      </c>
      <c r="AC16" s="112" t="n">
        <f aca="false">-SUM(Model!AB111:AB143)</f>
        <v>528350.847833333</v>
      </c>
      <c r="AD16" s="112" t="n">
        <f aca="false">-SUM(Model!AC111:AC143)</f>
        <v>536841.198123333</v>
      </c>
      <c r="AE16" s="112" t="n">
        <f aca="false">-SUM(Model!AD111:AD143)</f>
        <v>536841.198123333</v>
      </c>
      <c r="AF16" s="112" t="n">
        <f aca="false">-SUM(Model!AE111:AE143)</f>
        <v>536841.198123333</v>
      </c>
      <c r="AG16" s="112" t="n">
        <f aca="false">-SUM(Model!AF111:AF143)</f>
        <v>536841.198123333</v>
      </c>
      <c r="AH16" s="112" t="n">
        <f aca="false">-SUM(Model!AG111:AG143)</f>
        <v>536841.198123333</v>
      </c>
      <c r="AI16" s="112" t="n">
        <f aca="false">-SUM(Model!AH111:AH143)</f>
        <v>536841.198123333</v>
      </c>
      <c r="AJ16" s="112" t="n">
        <f aca="false">-SUM(Model!AI111:AI143)</f>
        <v>536841.198123333</v>
      </c>
      <c r="AK16" s="112" t="n">
        <f aca="false">-SUM(Model!AJ111:AJ143)</f>
        <v>536841.198123333</v>
      </c>
      <c r="AL16" s="112" t="n">
        <f aca="false">-SUM(Model!AK111:AK143)</f>
        <v>536841.198123333</v>
      </c>
      <c r="AM16" s="112" t="n">
        <f aca="false">-SUM(Model!AL111:AL143)</f>
        <v>536841.198123333</v>
      </c>
      <c r="AN16" s="112" t="n">
        <f aca="false">-SUM(Model!AM111:AM143)</f>
        <v>536841.198123333</v>
      </c>
      <c r="AO16" s="112" t="n">
        <f aca="false">-SUM(Model!AN111:AN143)</f>
        <v>536841.198123333</v>
      </c>
      <c r="AP16" s="112" t="n">
        <f aca="false">-SUM(Model!AO111:AO143)</f>
        <v>545501.355419133</v>
      </c>
      <c r="AQ16" s="112" t="n">
        <f aca="false">-SUM(Model!AP111:AP143)</f>
        <v>545501.355419133</v>
      </c>
      <c r="AR16" s="112" t="n">
        <f aca="false">-SUM(Model!AQ111:AQ143)</f>
        <v>545501.355419133</v>
      </c>
      <c r="AS16" s="112" t="n">
        <f aca="false">-SUM(Model!AR111:AR143)</f>
        <v>545501.355419133</v>
      </c>
      <c r="AT16" s="112" t="n">
        <f aca="false">-SUM(Model!AS111:AS143)</f>
        <v>545501.355419133</v>
      </c>
      <c r="AU16" s="112" t="n">
        <f aca="false">-SUM(Model!AT111:AT143)</f>
        <v>545501.355419133</v>
      </c>
      <c r="AV16" s="112" t="n">
        <f aca="false">-SUM(Model!AU111:AU143)</f>
        <v>545501.355419133</v>
      </c>
      <c r="AW16" s="112" t="n">
        <f aca="false">-SUM(Model!AV111:AV143)</f>
        <v>545501.355419133</v>
      </c>
      <c r="AX16" s="112" t="n">
        <f aca="false">-SUM(Model!AW111:AW143)</f>
        <v>545501.355419133</v>
      </c>
      <c r="AY16" s="112" t="n">
        <f aca="false">-SUM(Model!AX111:AX143)</f>
        <v>545501.355419133</v>
      </c>
      <c r="AZ16" s="112" t="n">
        <f aca="false">-SUM(Model!AY111:AY143)</f>
        <v>545501.355419133</v>
      </c>
      <c r="BA16" s="112" t="n">
        <f aca="false">-SUM(Model!AZ111:AZ143)</f>
        <v>545501.355419133</v>
      </c>
      <c r="BB16" s="112" t="n">
        <f aca="false">-SUM(Model!BA111:BA143)</f>
        <v>554334.715860849</v>
      </c>
      <c r="BC16" s="112" t="n">
        <f aca="false">-SUM(Model!BB111:BB143)</f>
        <v>554334.715860849</v>
      </c>
      <c r="BD16" s="112" t="n">
        <f aca="false">-SUM(Model!BC111:BC143)</f>
        <v>554334.715860849</v>
      </c>
      <c r="BE16" s="112" t="n">
        <f aca="false">-SUM(Model!BD111:BD143)</f>
        <v>554334.715860849</v>
      </c>
      <c r="BF16" s="112" t="n">
        <f aca="false">-SUM(Model!BE111:BE143)</f>
        <v>554334.715860849</v>
      </c>
      <c r="BG16" s="112" t="n">
        <f aca="false">-SUM(Model!BF111:BF143)</f>
        <v>554334.715860849</v>
      </c>
      <c r="BH16" s="112" t="n">
        <f aca="false">-SUM(Model!BG111:BG143)</f>
        <v>554334.715860849</v>
      </c>
      <c r="BI16" s="112" t="n">
        <f aca="false">-SUM(Model!BH111:BH143)</f>
        <v>554334.715860849</v>
      </c>
      <c r="BJ16" s="112" t="n">
        <f aca="false">-SUM(Model!BI111:BI143)</f>
        <v>554334.715860849</v>
      </c>
      <c r="BK16" s="112" t="n">
        <f aca="false">-SUM(Model!BJ111:BJ143)</f>
        <v>554334.715860849</v>
      </c>
      <c r="BL16" s="112" t="n">
        <f aca="false">-SUM(Model!BK111:BK143)</f>
        <v>554334.715860849</v>
      </c>
      <c r="BM16" s="112" t="n">
        <f aca="false">-SUM(Model!BL111:BL143)</f>
        <v>554334.715860849</v>
      </c>
      <c r="BN16" s="112" t="n">
        <f aca="false">-SUM(Model!BM111:BM143)</f>
        <v>563344.7435114</v>
      </c>
      <c r="BO16" s="112" t="n">
        <f aca="false">-SUM(Model!BN111:BN143)</f>
        <v>563344.7435114</v>
      </c>
      <c r="BP16" s="112" t="n">
        <f aca="false">-SUM(Model!BO111:BO143)</f>
        <v>563344.7435114</v>
      </c>
      <c r="BQ16" s="112" t="n">
        <f aca="false">-SUM(Model!BP111:BP143)</f>
        <v>563344.7435114</v>
      </c>
      <c r="BR16" s="112" t="n">
        <f aca="false">-SUM(Model!BQ111:BQ143)</f>
        <v>563344.7435114</v>
      </c>
      <c r="BS16" s="112" t="n">
        <f aca="false">-SUM(Model!BR111:BR143)</f>
        <v>563344.7435114</v>
      </c>
      <c r="BT16" s="112" t="n">
        <f aca="false">-SUM(Model!BS111:BS143)</f>
        <v>563344.7435114</v>
      </c>
      <c r="BU16" s="112" t="n">
        <f aca="false">-SUM(Model!BT111:BT143)</f>
        <v>563344.7435114</v>
      </c>
      <c r="BV16" s="112" t="n">
        <f aca="false">-SUM(Model!BU111:BU143)</f>
        <v>563344.7435114</v>
      </c>
      <c r="BW16" s="112" t="n">
        <f aca="false">-SUM(Model!BV111:BV143)</f>
        <v>563344.7435114</v>
      </c>
      <c r="BX16" s="112" t="n">
        <f aca="false">-SUM(Model!BW111:BW143)</f>
        <v>563344.7435114</v>
      </c>
      <c r="BY16" s="112" t="n">
        <f aca="false">-SUM(Model!BX111:BX143)</f>
        <v>563344.7435114</v>
      </c>
      <c r="BZ16" s="112" t="n">
        <f aca="false">-SUM(Model!BY111:BY143)</f>
        <v>572534.971714961</v>
      </c>
      <c r="CA16" s="112" t="n">
        <f aca="false">-SUM(Model!BZ111:BZ143)</f>
        <v>572534.971714961</v>
      </c>
      <c r="CB16" s="112" t="n">
        <f aca="false">-SUM(Model!CA111:CA143)</f>
        <v>572534.971714961</v>
      </c>
      <c r="CC16" s="112" t="n">
        <f aca="false">-SUM(Model!CB111:CB143)</f>
        <v>572534.971714961</v>
      </c>
      <c r="CD16" s="112" t="n">
        <f aca="false">-SUM(Model!CC111:CC143)</f>
        <v>572534.971714961</v>
      </c>
      <c r="CE16" s="112" t="n">
        <f aca="false">-SUM(Model!CD111:CD143)</f>
        <v>572534.971714961</v>
      </c>
      <c r="CF16" s="112" t="n">
        <f aca="false">-SUM(Model!CE111:CE143)</f>
        <v>572534.971714961</v>
      </c>
      <c r="CG16" s="112" t="n">
        <f aca="false">-SUM(Model!CF111:CF143)</f>
        <v>572534.971714961</v>
      </c>
      <c r="CH16" s="112" t="n">
        <f aca="false">-SUM(Model!CG111:CG143)</f>
        <v>572534.971714961</v>
      </c>
      <c r="CI16" s="112" t="n">
        <f aca="false">-SUM(Model!CH111:CH143)</f>
        <v>572534.971714961</v>
      </c>
      <c r="CJ16" s="112" t="n">
        <f aca="false">-SUM(Model!CI111:CI143)</f>
        <v>572534.971714961</v>
      </c>
      <c r="CK16" s="112" t="n">
        <f aca="false">-SUM(Model!CJ111:CJ143)</f>
        <v>572534.971714961</v>
      </c>
      <c r="CL16" s="112" t="n">
        <f aca="false">-SUM(Model!CK111:CK143)</f>
        <v>581909.004482593</v>
      </c>
      <c r="CM16" s="112" t="n">
        <f aca="false">-SUM(Model!CL111:CL143)</f>
        <v>581909.004482593</v>
      </c>
      <c r="CN16" s="112" t="n">
        <f aca="false">-SUM(Model!CM111:CM143)</f>
        <v>581909.004482593</v>
      </c>
      <c r="CO16" s="112" t="n">
        <f aca="false">-SUM(Model!CN111:CN143)</f>
        <v>581909.004482593</v>
      </c>
      <c r="CP16" s="112" t="n">
        <f aca="false">-SUM(Model!CO111:CO143)</f>
        <v>581909.004482593</v>
      </c>
      <c r="CQ16" s="112" t="n">
        <f aca="false">-SUM(Model!CP111:CP143)</f>
        <v>581909.004482593</v>
      </c>
      <c r="CR16" s="112" t="n">
        <f aca="false">-SUM(Model!CQ111:CQ143)</f>
        <v>581909.004482593</v>
      </c>
      <c r="CS16" s="112" t="n">
        <f aca="false">-SUM(Model!CR111:CR143)</f>
        <v>581909.004482593</v>
      </c>
      <c r="CT16" s="112" t="n">
        <f aca="false">-SUM(Model!CS111:CS143)</f>
        <v>581909.004482593</v>
      </c>
      <c r="CU16" s="112" t="n">
        <f aca="false">-SUM(Model!CT111:CT143)</f>
        <v>526770.895887858</v>
      </c>
      <c r="CV16" s="112" t="n">
        <f aca="false">-SUM(Model!CU111:CU143)</f>
        <v>526770.895887858</v>
      </c>
      <c r="CW16" s="112" t="n">
        <f aca="false">-SUM(Model!CV111:CV143)</f>
        <v>526770.895887858</v>
      </c>
      <c r="CX16" s="112" t="n">
        <f aca="false">-SUM(Model!CW111:CW143)</f>
        <v>535229.647138948</v>
      </c>
      <c r="CY16" s="112" t="n">
        <f aca="false">-SUM(Model!CX111:CX143)</f>
        <v>535229.647138948</v>
      </c>
      <c r="CZ16" s="112" t="n">
        <f aca="false">-SUM(Model!CY111:CY143)</f>
        <v>535229.647138948</v>
      </c>
      <c r="DA16" s="112" t="n">
        <f aca="false">-SUM(Model!CZ111:CZ143)</f>
        <v>535229.647138948</v>
      </c>
      <c r="DB16" s="112" t="n">
        <f aca="false">-SUM(Model!DA111:DA143)</f>
        <v>535229.647138948</v>
      </c>
      <c r="DC16" s="112" t="n">
        <f aca="false">-SUM(Model!DB111:DB143)</f>
        <v>535229.647138948</v>
      </c>
      <c r="DD16" s="112" t="n">
        <f aca="false">-SUM(Model!DC111:DC143)</f>
        <v>535229.647138948</v>
      </c>
      <c r="DE16" s="112" t="n">
        <f aca="false">-SUM(Model!DD111:DD143)</f>
        <v>535229.647138948</v>
      </c>
      <c r="DF16" s="112" t="n">
        <f aca="false">-SUM(Model!DE111:DE143)</f>
        <v>535229.647138948</v>
      </c>
    </row>
    <row r="17" customFormat="false" ht="15" hidden="false" customHeight="true" outlineLevel="0" collapsed="false">
      <c r="A17" s="204" t="s">
        <v>877</v>
      </c>
      <c r="B17" s="2"/>
      <c r="C17" s="328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28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28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28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28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28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28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28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28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28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9</v>
      </c>
      <c r="M17" s="328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28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28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28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28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28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10</v>
      </c>
      <c r="S17" s="328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11</v>
      </c>
      <c r="T17" s="328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12</v>
      </c>
      <c r="U17" s="328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328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9</v>
      </c>
      <c r="W17" s="328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9</v>
      </c>
      <c r="X17" s="328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9</v>
      </c>
      <c r="Y17" s="328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8</v>
      </c>
      <c r="Z17" s="328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8</v>
      </c>
      <c r="AA17" s="328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8</v>
      </c>
      <c r="AB17" s="328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8</v>
      </c>
      <c r="AC17" s="328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7</v>
      </c>
      <c r="AD17" s="328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7</v>
      </c>
      <c r="AE17" s="328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7</v>
      </c>
      <c r="AF17" s="328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8</v>
      </c>
      <c r="AG17" s="328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8</v>
      </c>
      <c r="AH17" s="328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328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7</v>
      </c>
      <c r="AJ17" s="328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7</v>
      </c>
      <c r="AK17" s="328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6</v>
      </c>
      <c r="AL17" s="328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5</v>
      </c>
      <c r="AM17" s="328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28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2</v>
      </c>
      <c r="AO17" s="328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2</v>
      </c>
      <c r="AP17" s="328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28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28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28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28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28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28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28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28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28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28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28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28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28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28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28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28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28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28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28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28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28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28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28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28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28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28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28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28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28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28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28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28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28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28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28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28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28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28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28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28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28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28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28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28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28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28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28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28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28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28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28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28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28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28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28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28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28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28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28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28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28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28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28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28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28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28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28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28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04" t="s">
        <v>878</v>
      </c>
      <c r="B18" s="2"/>
      <c r="C18" s="112" t="n">
        <f aca="false">IFERROR(C16/C17,0)</f>
        <v>0</v>
      </c>
      <c r="D18" s="112" t="n">
        <f aca="false">IFERROR(D16/D17,0)</f>
        <v>0</v>
      </c>
      <c r="E18" s="112" t="n">
        <f aca="false">IFERROR(E16/E17,0)</f>
        <v>0</v>
      </c>
      <c r="F18" s="112" t="n">
        <f aca="false">IFERROR(F16/F17,0)</f>
        <v>14686.312</v>
      </c>
      <c r="G18" s="112" t="n">
        <f aca="false">IFERROR(G16/G17,0)</f>
        <v>87582.97</v>
      </c>
      <c r="H18" s="112" t="n">
        <f aca="false">IFERROR(H16/H17,0)</f>
        <v>85334.9086666667</v>
      </c>
      <c r="I18" s="112" t="n">
        <f aca="false">IFERROR(I16/I17,0)</f>
        <v>104417.895</v>
      </c>
      <c r="J18" s="112" t="n">
        <f aca="false">IFERROR(J16/J17,0)</f>
        <v>59636.184375</v>
      </c>
      <c r="K18" s="112" t="n">
        <f aca="false">IFERROR(K16/K17,0)</f>
        <v>57372.9046296296</v>
      </c>
      <c r="L18" s="112" t="n">
        <f aca="false">IFERROR(L16/L17,0)</f>
        <v>54706.237962963</v>
      </c>
      <c r="M18" s="112" t="n">
        <f aca="false">IFERROR(M16/M17,0)</f>
        <v>54706.237962963</v>
      </c>
      <c r="N18" s="112" t="n">
        <f aca="false">IFERROR(N16/N17,0)</f>
        <v>65532.5385416667</v>
      </c>
      <c r="O18" s="112" t="n">
        <f aca="false">IFERROR(O16/O17,0)</f>
        <v>63095.0385416667</v>
      </c>
      <c r="P18" s="112" t="n">
        <f aca="false">IFERROR(P16/P17,0)</f>
        <v>63095.0385416667</v>
      </c>
      <c r="Q18" s="112" t="n">
        <f aca="false">IFERROR(Q16/Q17,0)</f>
        <v>63095.0385416667</v>
      </c>
      <c r="R18" s="112" t="n">
        <f aca="false">IFERROR(R16/R17,0)</f>
        <v>55235.0847833333</v>
      </c>
      <c r="S18" s="112" t="n">
        <f aca="false">IFERROR(S16/S17,0)</f>
        <v>48031.8952575758</v>
      </c>
      <c r="T18" s="112" t="n">
        <f aca="false">IFERROR(T16/T17,0)</f>
        <v>44029.2373194444</v>
      </c>
      <c r="U18" s="112" t="n">
        <f aca="false">IFERROR(U16/U17,0)</f>
        <v>52835.0847833333</v>
      </c>
      <c r="V18" s="112" t="n">
        <f aca="false">IFERROR(V16/V17,0)</f>
        <v>58705.6497592593</v>
      </c>
      <c r="W18" s="112" t="n">
        <f aca="false">IFERROR(W16/W17,0)</f>
        <v>58705.6497592593</v>
      </c>
      <c r="X18" s="112" t="n">
        <f aca="false">IFERROR(X16/X17,0)</f>
        <v>58705.6497592593</v>
      </c>
      <c r="Y18" s="112" t="n">
        <f aca="false">IFERROR(Y16/Y17,0)</f>
        <v>66043.8559791667</v>
      </c>
      <c r="Z18" s="112" t="n">
        <f aca="false">IFERROR(Z16/Z17,0)</f>
        <v>66043.8559791667</v>
      </c>
      <c r="AA18" s="112" t="n">
        <f aca="false">IFERROR(AA16/AA17,0)</f>
        <v>66043.8559791667</v>
      </c>
      <c r="AB18" s="112" t="n">
        <f aca="false">IFERROR(AB16/AB17,0)</f>
        <v>66043.8559791667</v>
      </c>
      <c r="AC18" s="112" t="n">
        <f aca="false">IFERROR(AC16/AC17,0)</f>
        <v>75478.692547619</v>
      </c>
      <c r="AD18" s="112" t="n">
        <f aca="false">IFERROR(AD16/AD17,0)</f>
        <v>76691.5997319048</v>
      </c>
      <c r="AE18" s="112" t="n">
        <f aca="false">IFERROR(AE16/AE17,0)</f>
        <v>76691.5997319048</v>
      </c>
      <c r="AF18" s="112" t="n">
        <f aca="false">IFERROR(AF16/AF17,0)</f>
        <v>67105.1497654167</v>
      </c>
      <c r="AG18" s="112" t="n">
        <f aca="false">IFERROR(AG16/AG17,0)</f>
        <v>67105.1497654167</v>
      </c>
      <c r="AH18" s="112" t="n">
        <f aca="false">IFERROR(AH16/AH17,0)</f>
        <v>67105.1497654167</v>
      </c>
      <c r="AI18" s="112" t="n">
        <f aca="false">IFERROR(AI16/AI17,0)</f>
        <v>76691.5997319048</v>
      </c>
      <c r="AJ18" s="112" t="n">
        <f aca="false">IFERROR(AJ16/AJ17,0)</f>
        <v>76691.5997319048</v>
      </c>
      <c r="AK18" s="112" t="n">
        <f aca="false">IFERROR(AK16/AK17,0)</f>
        <v>89473.5330205556</v>
      </c>
      <c r="AL18" s="112" t="n">
        <f aca="false">IFERROR(AL16/AL17,0)</f>
        <v>107368.239624667</v>
      </c>
      <c r="AM18" s="112" t="n">
        <f aca="false">IFERROR(AM16/AM17,0)</f>
        <v>134210.299530833</v>
      </c>
      <c r="AN18" s="112" t="n">
        <f aca="false">IFERROR(AN16/AN17,0)</f>
        <v>268420.599061667</v>
      </c>
      <c r="AO18" s="112" t="n">
        <f aca="false">IFERROR(AO16/AO17,0)</f>
        <v>268420.599061667</v>
      </c>
      <c r="AP18" s="112" t="n">
        <f aca="false">IFERROR(AP16/AP17,0)</f>
        <v>272750.677709567</v>
      </c>
      <c r="AQ18" s="112" t="n">
        <f aca="false">IFERROR(AQ16/AQ17,0)</f>
        <v>272750.677709567</v>
      </c>
      <c r="AR18" s="112" t="n">
        <f aca="false">IFERROR(AR16/AR17,0)</f>
        <v>272750.677709567</v>
      </c>
      <c r="AS18" s="112" t="n">
        <f aca="false">IFERROR(AS16/AS17,0)</f>
        <v>272750.677709567</v>
      </c>
      <c r="AT18" s="112" t="n">
        <f aca="false">IFERROR(AT16/AT17,0)</f>
        <v>272750.677709567</v>
      </c>
      <c r="AU18" s="112" t="n">
        <f aca="false">IFERROR(AU16/AU17,0)</f>
        <v>272750.677709567</v>
      </c>
      <c r="AV18" s="112" t="n">
        <f aca="false">IFERROR(AV16/AV17,0)</f>
        <v>545501.355419133</v>
      </c>
      <c r="AW18" s="112" t="n">
        <f aca="false">IFERROR(AW16/AW17,0)</f>
        <v>545501.355419133</v>
      </c>
      <c r="AX18" s="112" t="n">
        <f aca="false">IFERROR(AX16/AX17,0)</f>
        <v>545501.355419133</v>
      </c>
      <c r="AY18" s="112" t="n">
        <f aca="false">IFERROR(AY16/AY17,0)</f>
        <v>545501.355419133</v>
      </c>
      <c r="AZ18" s="112" t="n">
        <f aca="false">IFERROR(AZ16/AZ17,0)</f>
        <v>545501.355419133</v>
      </c>
      <c r="BA18" s="112" t="n">
        <f aca="false">IFERROR(BA16/BA17,0)</f>
        <v>545501.355419133</v>
      </c>
      <c r="BB18" s="112" t="n">
        <f aca="false">IFERROR(BB16/BB17,0)</f>
        <v>554334.715860849</v>
      </c>
      <c r="BC18" s="112" t="n">
        <f aca="false">IFERROR(BC16/BC17,0)</f>
        <v>554334.715860849</v>
      </c>
      <c r="BD18" s="112" t="n">
        <f aca="false">IFERROR(BD16/BD17,0)</f>
        <v>554334.715860849</v>
      </c>
      <c r="BE18" s="112" t="n">
        <f aca="false">IFERROR(BE16/BE17,0)</f>
        <v>554334.715860849</v>
      </c>
      <c r="BF18" s="112" t="n">
        <f aca="false">IFERROR(BF16/BF17,0)</f>
        <v>554334.715860849</v>
      </c>
      <c r="BG18" s="112" t="n">
        <f aca="false">IFERROR(BG16/BG17,0)</f>
        <v>554334.715860849</v>
      </c>
      <c r="BH18" s="112" t="n">
        <f aca="false">IFERROR(BH16/BH17,0)</f>
        <v>554334.715860849</v>
      </c>
      <c r="BI18" s="112" t="n">
        <f aca="false">IFERROR(BI16/BI17,0)</f>
        <v>554334.715860849</v>
      </c>
      <c r="BJ18" s="112" t="n">
        <f aca="false">IFERROR(BJ16/BJ17,0)</f>
        <v>0</v>
      </c>
      <c r="BK18" s="112" t="n">
        <f aca="false">IFERROR(BK16/BK17,0)</f>
        <v>0</v>
      </c>
      <c r="BL18" s="112" t="n">
        <f aca="false">IFERROR(BL16/BL17,0)</f>
        <v>0</v>
      </c>
      <c r="BM18" s="112" t="n">
        <f aca="false">IFERROR(BM16/BM17,0)</f>
        <v>0</v>
      </c>
      <c r="BN18" s="112" t="n">
        <f aca="false">IFERROR(BN16/BN17,0)</f>
        <v>0</v>
      </c>
      <c r="BO18" s="112" t="n">
        <f aca="false">IFERROR(BO16/BO17,0)</f>
        <v>0</v>
      </c>
      <c r="BP18" s="112" t="n">
        <f aca="false">IFERROR(BP16/BP17,0)</f>
        <v>0</v>
      </c>
      <c r="BQ18" s="112" t="n">
        <f aca="false">IFERROR(BQ16/BQ17,0)</f>
        <v>0</v>
      </c>
      <c r="BR18" s="112" t="n">
        <f aca="false">IFERROR(BR16/BR17,0)</f>
        <v>0</v>
      </c>
      <c r="BS18" s="112" t="n">
        <f aca="false">IFERROR(BS16/BS17,0)</f>
        <v>0</v>
      </c>
      <c r="BT18" s="112" t="n">
        <f aca="false">IFERROR(BT16/BT17,0)</f>
        <v>0</v>
      </c>
      <c r="BU18" s="112" t="n">
        <f aca="false">IFERROR(BU16/BU17,0)</f>
        <v>0</v>
      </c>
      <c r="BV18" s="112" t="n">
        <f aca="false">IFERROR(BV16/BV17,0)</f>
        <v>0</v>
      </c>
      <c r="BW18" s="112" t="n">
        <f aca="false">IFERROR(BW16/BW17,0)</f>
        <v>0</v>
      </c>
      <c r="BX18" s="112" t="n">
        <f aca="false">IFERROR(BX16/BX17,0)</f>
        <v>0</v>
      </c>
      <c r="BY18" s="112" t="n">
        <f aca="false">IFERROR(BY16/BY17,0)</f>
        <v>0</v>
      </c>
      <c r="BZ18" s="112" t="n">
        <f aca="false">IFERROR(BZ16/BZ17,0)</f>
        <v>0</v>
      </c>
      <c r="CA18" s="112" t="n">
        <f aca="false">IFERROR(CA16/CA17,0)</f>
        <v>0</v>
      </c>
      <c r="CB18" s="112" t="n">
        <f aca="false">IFERROR(CB16/CB17,0)</f>
        <v>0</v>
      </c>
      <c r="CC18" s="112" t="n">
        <f aca="false">IFERROR(CC16/CC17,0)</f>
        <v>0</v>
      </c>
      <c r="CD18" s="112" t="n">
        <f aca="false">IFERROR(CD16/CD17,0)</f>
        <v>0</v>
      </c>
      <c r="CE18" s="112" t="n">
        <f aca="false">IFERROR(CE16/CE17,0)</f>
        <v>0</v>
      </c>
      <c r="CF18" s="112" t="n">
        <f aca="false">IFERROR(CF16/CF17,0)</f>
        <v>0</v>
      </c>
      <c r="CG18" s="112" t="n">
        <f aca="false">IFERROR(CG16/CG17,0)</f>
        <v>0</v>
      </c>
      <c r="CH18" s="112" t="n">
        <f aca="false">IFERROR(CH16/CH17,0)</f>
        <v>0</v>
      </c>
      <c r="CI18" s="112" t="n">
        <f aca="false">IFERROR(CI16/CI17,0)</f>
        <v>0</v>
      </c>
      <c r="CJ18" s="112" t="n">
        <f aca="false">IFERROR(CJ16/CJ17,0)</f>
        <v>0</v>
      </c>
      <c r="CK18" s="112" t="n">
        <f aca="false">IFERROR(CK16/CK17,0)</f>
        <v>0</v>
      </c>
      <c r="CL18" s="112" t="n">
        <f aca="false">IFERROR(CL16/CL17,0)</f>
        <v>0</v>
      </c>
      <c r="CM18" s="112" t="n">
        <f aca="false">IFERROR(CM16/CM17,0)</f>
        <v>0</v>
      </c>
      <c r="CN18" s="112" t="n">
        <f aca="false">IFERROR(CN16/CN17,0)</f>
        <v>0</v>
      </c>
      <c r="CO18" s="112" t="n">
        <f aca="false">IFERROR(CO16/CO17,0)</f>
        <v>0</v>
      </c>
      <c r="CP18" s="112" t="n">
        <f aca="false">IFERROR(CP16/CP17,0)</f>
        <v>0</v>
      </c>
      <c r="CQ18" s="112" t="n">
        <f aca="false">IFERROR(CQ16/CQ17,0)</f>
        <v>0</v>
      </c>
      <c r="CR18" s="112" t="n">
        <f aca="false">IFERROR(CR16/CR17,0)</f>
        <v>0</v>
      </c>
      <c r="CS18" s="112" t="n">
        <f aca="false">IFERROR(CS16/CS17,0)</f>
        <v>0</v>
      </c>
      <c r="CT18" s="112" t="n">
        <f aca="false">IFERROR(CT16/CT17,0)</f>
        <v>0</v>
      </c>
      <c r="CU18" s="112" t="n">
        <f aca="false">IFERROR(CU16/CU17,0)</f>
        <v>0</v>
      </c>
      <c r="CV18" s="112" t="n">
        <f aca="false">IFERROR(CV16/CV17,0)</f>
        <v>0</v>
      </c>
      <c r="CW18" s="112" t="n">
        <f aca="false">IFERROR(CW16/CW17,0)</f>
        <v>0</v>
      </c>
      <c r="CX18" s="112" t="n">
        <f aca="false">IFERROR(CX16/CX17,0)</f>
        <v>0</v>
      </c>
      <c r="CY18" s="112" t="n">
        <f aca="false">IFERROR(CY16/CY17,0)</f>
        <v>0</v>
      </c>
      <c r="CZ18" s="112" t="n">
        <f aca="false">IFERROR(CZ16/CZ17,0)</f>
        <v>0</v>
      </c>
      <c r="DA18" s="112" t="n">
        <f aca="false">IFERROR(DA16/DA17,0)</f>
        <v>0</v>
      </c>
      <c r="DB18" s="112" t="n">
        <f aca="false">IFERROR(DB16/DB17,0)</f>
        <v>0</v>
      </c>
      <c r="DC18" s="112" t="n">
        <f aca="false">IFERROR(DC16/DC17,0)</f>
        <v>0</v>
      </c>
      <c r="DD18" s="112" t="n">
        <f aca="false">IFERROR(DD16/DD17,0)</f>
        <v>0</v>
      </c>
      <c r="DE18" s="112" t="n">
        <f aca="false">IFERROR(DE16/DE17,0)</f>
        <v>0</v>
      </c>
      <c r="DF18" s="11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30" t="s">
        <v>879</v>
      </c>
      <c r="B20" s="330" t="s">
        <v>619</v>
      </c>
      <c r="C20" s="330" t="s">
        <v>493</v>
      </c>
      <c r="D20" s="330" t="s">
        <v>880</v>
      </c>
      <c r="E20" s="330" t="s">
        <v>343</v>
      </c>
      <c r="F20" s="330" t="s">
        <v>881</v>
      </c>
      <c r="G20" s="330" t="s">
        <v>882</v>
      </c>
      <c r="H20" s="330" t="s">
        <v>883</v>
      </c>
      <c r="I20" s="330" t="s">
        <v>884</v>
      </c>
      <c r="J20" s="330" t="s">
        <v>885</v>
      </c>
      <c r="K20" s="330" t="s">
        <v>886</v>
      </c>
      <c r="L20" s="330" t="s">
        <v>887</v>
      </c>
      <c r="M20" s="330" t="s">
        <v>888</v>
      </c>
      <c r="N20" s="330" t="s">
        <v>889</v>
      </c>
      <c r="O20" s="330" t="s">
        <v>890</v>
      </c>
      <c r="P20" s="330" t="s">
        <v>441</v>
      </c>
      <c r="Q20" s="330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Dickens</v>
      </c>
      <c r="B21" s="112" t="n">
        <f aca="false">Projects!B17</f>
        <v>15316015</v>
      </c>
      <c r="C21" s="328" t="n">
        <f aca="false">Projects!C17</f>
        <v>13</v>
      </c>
      <c r="D21" s="328" t="n">
        <f aca="false">Projects!D17</f>
        <v>19</v>
      </c>
      <c r="E21" s="2" t="str">
        <f aca="false">Projects!G17</f>
        <v>Yes</v>
      </c>
      <c r="F21" s="2" t="str">
        <f aca="false">Projects!M17</f>
        <v>Yes</v>
      </c>
      <c r="G21" s="328" t="n">
        <f aca="false">C21+D21-1</f>
        <v>31</v>
      </c>
      <c r="H21" s="328" t="n">
        <f aca="false">C21+1</f>
        <v>14</v>
      </c>
      <c r="I21" s="324" t="n">
        <f aca="false">IF($F21="Yes",INDEX($G$6:$G$14,MATCH(MIN($G21,105),$B$6:$B$14,1)),1)</f>
        <v>0.25</v>
      </c>
      <c r="J21" s="112" t="n">
        <f aca="false">IF($E21="Yes",$B21*Assumptions!$B$9*0.95/$D21*SUMPRODUCT(($C$15:$DF$15&gt;=$C21)*($C$15:$DF$15&lt;$C21+$D21))+$B21*Assumptions!$B$9*0.05*SUMPRODUCT(--($C$15:$DF$15=$G21)),0)</f>
        <v>1843910.361865</v>
      </c>
      <c r="K21" s="112" t="n">
        <f aca="false">IF($E21="Yes",SUMPRODUCT(($C$15:$DF$15&gt;=$C21)*($C$15:$DF$15&lt;$C21+$D21)*$C$18:$DF$18),0)</f>
        <v>1223984.21610962</v>
      </c>
      <c r="L21" s="112" t="n">
        <f aca="false">J21-K21</f>
        <v>619926.145755381</v>
      </c>
      <c r="M21" s="324" t="n">
        <f aca="false">$B$3*I21</f>
        <v>0.025</v>
      </c>
      <c r="N21" s="112" t="n">
        <f aca="false">IF($E21="Yes",$B$2*$B21,0)</f>
        <v>38290.0375</v>
      </c>
      <c r="O21" s="112" t="n">
        <f aca="false">M21*MAX(0,L21)</f>
        <v>15498.1536438845</v>
      </c>
      <c r="P21" s="112" t="n">
        <f aca="false">N21+Q21</f>
        <v>15498.1536438845</v>
      </c>
      <c r="Q21" s="112" t="n">
        <f aca="false">IF(AND($F21="Yes",$I21&lt;1),O21-N21,MAX(0,O21-N21))</f>
        <v>-22791.8838561155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Riverton</v>
      </c>
      <c r="B22" s="112" t="n">
        <f aca="false">Projects!B18</f>
        <v>11317385</v>
      </c>
      <c r="C22" s="328" t="n">
        <f aca="false">Projects!C18</f>
        <v>14</v>
      </c>
      <c r="D22" s="328" t="n">
        <f aca="false">Projects!D18</f>
        <v>19</v>
      </c>
      <c r="E22" s="2" t="str">
        <f aca="false">Projects!G18</f>
        <v>Yes</v>
      </c>
      <c r="F22" s="2" t="str">
        <f aca="false">Projects!M18</f>
        <v>Yes</v>
      </c>
      <c r="G22" s="328" t="n">
        <f aca="false">C22+D22-1</f>
        <v>32</v>
      </c>
      <c r="H22" s="328" t="n">
        <f aca="false">C22+1</f>
        <v>15</v>
      </c>
      <c r="I22" s="324" t="n">
        <f aca="false">IF($F22="Yes",INDEX($G$6:$G$14,MATCH(MIN($G22,105),$B$6:$B$14,1)),1)</f>
        <v>0.25</v>
      </c>
      <c r="J22" s="112" t="n">
        <f aca="false">IF($E22="Yes",$B22*Assumptions!$B$9*0.95/$D22*SUMPRODUCT(($C$15:$DF$15&gt;=$C22)*($C$15:$DF$15&lt;$C22+$D22))+$B22*Assumptions!$B$9*0.05*SUMPRODUCT(--($C$15:$DF$15=$G22)),0)</f>
        <v>1362511.297535</v>
      </c>
      <c r="K22" s="112" t="n">
        <f aca="false">IF($E22="Yes",SUMPRODUCT(($C$15:$DF$15&gt;=$C22)*($C$15:$DF$15&lt;$C22+$D22)*$C$18:$DF$18),0)</f>
        <v>1258222.66434684</v>
      </c>
      <c r="L22" s="112" t="n">
        <f aca="false">J22-K22</f>
        <v>104288.633188158</v>
      </c>
      <c r="M22" s="324" t="n">
        <f aca="false">$B$3*I22</f>
        <v>0.025</v>
      </c>
      <c r="N22" s="112" t="n">
        <f aca="false">IF($E22="Yes",$B$2*$B22,0)</f>
        <v>28293.4625</v>
      </c>
      <c r="O22" s="112" t="n">
        <f aca="false">M22*MAX(0,L22)</f>
        <v>2607.21582970396</v>
      </c>
      <c r="P22" s="112" t="n">
        <f aca="false">N22+Q22</f>
        <v>2607.21582970396</v>
      </c>
      <c r="Q22" s="112" t="n">
        <f aca="false">IF(AND($F22="Yes",$I22&lt;1),O22-N22,MAX(0,O22-N22))</f>
        <v>-25686.246670296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Moorpark</v>
      </c>
      <c r="B23" s="112" t="n">
        <f aca="false">Projects!B19</f>
        <v>18442769</v>
      </c>
      <c r="C23" s="328" t="n">
        <f aca="false">Projects!C19</f>
        <v>15</v>
      </c>
      <c r="D23" s="328" t="n">
        <f aca="false">Projects!D19</f>
        <v>19</v>
      </c>
      <c r="E23" s="2" t="str">
        <f aca="false">Projects!G19</f>
        <v>Yes</v>
      </c>
      <c r="F23" s="2" t="str">
        <f aca="false">Projects!M19</f>
        <v>Yes</v>
      </c>
      <c r="G23" s="328" t="n">
        <f aca="false">C23+D23-1</f>
        <v>33</v>
      </c>
      <c r="H23" s="328" t="n">
        <f aca="false">C23+1</f>
        <v>16</v>
      </c>
      <c r="I23" s="324" t="n">
        <f aca="false">IF($F23="Yes",INDEX($G$6:$G$14,MATCH(MIN($G23,105),$B$6:$B$14,1)),1)</f>
        <v>0.25</v>
      </c>
      <c r="J23" s="112" t="n">
        <f aca="false">IF($E23="Yes",$B23*Assumptions!$B$9*0.95/$D23*SUMPRODUCT(($C$15:$DF$15&gt;=$C23)*($C$15:$DF$15&lt;$C23+$D23))+$B23*Assumptions!$B$9*0.05*SUMPRODUCT(--($C$15:$DF$15=$G23)),0)</f>
        <v>2220343.402679</v>
      </c>
      <c r="K23" s="112" t="n">
        <f aca="false">IF($E23="Yes",SUMPRODUCT(($C$15:$DF$15&gt;=$C23)*($C$15:$DF$15&lt;$C23+$D23)*$C$18:$DF$18),0)</f>
        <v>1317559.00871393</v>
      </c>
      <c r="L23" s="112" t="n">
        <f aca="false">J23-K23</f>
        <v>902784.393965068</v>
      </c>
      <c r="M23" s="324" t="n">
        <f aca="false">$B$3*I23</f>
        <v>0.025</v>
      </c>
      <c r="N23" s="112" t="n">
        <f aca="false">IF($E23="Yes",$B$2*$B23,0)</f>
        <v>46106.9225</v>
      </c>
      <c r="O23" s="112" t="n">
        <f aca="false">M23*MAX(0,L23)</f>
        <v>22569.6098491267</v>
      </c>
      <c r="P23" s="112" t="n">
        <f aca="false">N23+Q23</f>
        <v>22569.6098491267</v>
      </c>
      <c r="Q23" s="112" t="n">
        <f aca="false">IF(AND($F23="Yes",$I23&lt;1),O23-N23,MAX(0,O23-N23))</f>
        <v>-23537.3126508733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112" t="n">
        <f aca="false">Projects!B20</f>
        <v>15000000</v>
      </c>
      <c r="C24" s="328" t="n">
        <f aca="false">Projects!C20</f>
        <v>24</v>
      </c>
      <c r="D24" s="328" t="n">
        <f aca="false">Projects!D20</f>
        <v>19</v>
      </c>
      <c r="E24" s="2" t="str">
        <f aca="false">Projects!G20</f>
        <v>No</v>
      </c>
      <c r="F24" s="2" t="str">
        <f aca="false">Projects!M20</f>
        <v>Yes</v>
      </c>
      <c r="G24" s="328" t="n">
        <f aca="false">C24+D24-1</f>
        <v>42</v>
      </c>
      <c r="H24" s="328" t="n">
        <f aca="false">C24+1</f>
        <v>25</v>
      </c>
      <c r="I24" s="324" t="n">
        <f aca="false">IF($F24="Yes",INDEX($G$6:$G$14,MATCH(MIN($G24,105),$B$6:$B$14,1)),1)</f>
        <v>0.25</v>
      </c>
      <c r="J24" s="112" t="n">
        <f aca="false">IF($E24="Yes",$B24*Assumptions!$B$9*0.95/$D24*SUMPRODUCT(($C$15:$DF$15&gt;=$C24)*($C$15:$DF$15&lt;$C24+$D24))+$B24*Assumptions!$B$9*0.05*SUMPRODUCT(--($C$15:$DF$15=$G24)),0)</f>
        <v>0</v>
      </c>
      <c r="K24" s="112" t="n">
        <f aca="false">IF($E24="Yes",SUMPRODUCT(($C$15:$DF$15&gt;=$C24)*($C$15:$DF$15&lt;$C24+$D24)*$C$18:$DF$18),0)</f>
        <v>0</v>
      </c>
      <c r="L24" s="112" t="n">
        <f aca="false">J24-K24</f>
        <v>0</v>
      </c>
      <c r="M24" s="324" t="n">
        <f aca="false">$B$3*I24</f>
        <v>0.025</v>
      </c>
      <c r="N24" s="112" t="n">
        <f aca="false">IF($E24="Yes",$B$2*$B24,0)</f>
        <v>0</v>
      </c>
      <c r="O24" s="112" t="n">
        <f aca="false">M24*MAX(0,L24)</f>
        <v>0</v>
      </c>
      <c r="P24" s="112" t="n">
        <f aca="false">N24+Q24</f>
        <v>0</v>
      </c>
      <c r="Q24" s="112" t="n">
        <f aca="false">IF(AND($F24="Yes",$I24&lt;1),O24-N24,MAX(0,O24-N24))</f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112" t="n">
        <f aca="false">Projects!B21</f>
        <v>15000000</v>
      </c>
      <c r="C25" s="328" t="n">
        <f aca="false">Projects!C21</f>
        <v>27</v>
      </c>
      <c r="D25" s="328" t="n">
        <f aca="false">Projects!D21</f>
        <v>19</v>
      </c>
      <c r="E25" s="2" t="str">
        <f aca="false">Projects!G21</f>
        <v>No</v>
      </c>
      <c r="F25" s="2" t="str">
        <f aca="false">Projects!M21</f>
        <v>No</v>
      </c>
      <c r="G25" s="328" t="n">
        <f aca="false">C25+D25-1</f>
        <v>45</v>
      </c>
      <c r="H25" s="328" t="n">
        <f aca="false">C25+1</f>
        <v>28</v>
      </c>
      <c r="I25" s="324" t="n">
        <f aca="false">IF($F25="Yes",INDEX($G$6:$G$14,MATCH(MIN($G25,105),$B$6:$B$14,1)),1)</f>
        <v>1</v>
      </c>
      <c r="J25" s="112" t="n">
        <f aca="false">IF($E25="Yes",$B25*Assumptions!$B$9*0.95/$D25*SUMPRODUCT(($C$15:$DF$15&gt;=$C25)*($C$15:$DF$15&lt;$C25+$D25))+$B25*Assumptions!$B$9*0.05*SUMPRODUCT(--($C$15:$DF$15=$G25)),0)</f>
        <v>0</v>
      </c>
      <c r="K25" s="112" t="n">
        <f aca="false">IF($E25="Yes",SUMPRODUCT(($C$15:$DF$15&gt;=$C25)*($C$15:$DF$15&lt;$C25+$D25)*$C$18:$DF$18),0)</f>
        <v>0</v>
      </c>
      <c r="L25" s="112" t="n">
        <f aca="false">J25-K25</f>
        <v>0</v>
      </c>
      <c r="M25" s="324" t="n">
        <f aca="false">$B$3*I25</f>
        <v>0.1</v>
      </c>
      <c r="N25" s="112" t="n">
        <f aca="false">IF($E25="Yes",$B$2*$B25,0)</f>
        <v>0</v>
      </c>
      <c r="O25" s="112" t="n">
        <f aca="false">M25*MAX(0,L25)</f>
        <v>0</v>
      </c>
      <c r="P25" s="112" t="n">
        <f aca="false">N25+Q25</f>
        <v>0</v>
      </c>
      <c r="Q25" s="11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112" t="n">
        <f aca="false">Projects!B22</f>
        <v>15000000</v>
      </c>
      <c r="C26" s="328" t="n">
        <f aca="false">Projects!C22</f>
        <v>31</v>
      </c>
      <c r="D26" s="328" t="n">
        <f aca="false">Projects!D22</f>
        <v>19</v>
      </c>
      <c r="E26" s="2" t="str">
        <f aca="false">Projects!G22</f>
        <v>No</v>
      </c>
      <c r="F26" s="2" t="str">
        <f aca="false">Projects!M22</f>
        <v>No</v>
      </c>
      <c r="G26" s="328" t="n">
        <f aca="false">C26+D26-1</f>
        <v>49</v>
      </c>
      <c r="H26" s="328" t="n">
        <f aca="false">C26+1</f>
        <v>32</v>
      </c>
      <c r="I26" s="324" t="n">
        <f aca="false">IF($F26="Yes",INDEX($G$6:$G$14,MATCH(MIN($G26,105),$B$6:$B$14,1)),1)</f>
        <v>1</v>
      </c>
      <c r="J26" s="112" t="n">
        <f aca="false">IF($E26="Yes",$B26*Assumptions!$B$9*0.95/$D26*SUMPRODUCT(($C$15:$DF$15&gt;=$C26)*($C$15:$DF$15&lt;$C26+$D26))+$B26*Assumptions!$B$9*0.05*SUMPRODUCT(--($C$15:$DF$15=$G26)),0)</f>
        <v>0</v>
      </c>
      <c r="K26" s="112" t="n">
        <f aca="false">IF($E26="Yes",SUMPRODUCT(($C$15:$DF$15&gt;=$C26)*($C$15:$DF$15&lt;$C26+$D26)*$C$18:$DF$18),0)</f>
        <v>0</v>
      </c>
      <c r="L26" s="112" t="n">
        <f aca="false">J26-K26</f>
        <v>0</v>
      </c>
      <c r="M26" s="324" t="n">
        <f aca="false">$B$3*I26</f>
        <v>0.1</v>
      </c>
      <c r="N26" s="112" t="n">
        <f aca="false">IF($E26="Yes",$B$2*$B26,0)</f>
        <v>0</v>
      </c>
      <c r="O26" s="112" t="n">
        <f aca="false">M26*MAX(0,L26)</f>
        <v>0</v>
      </c>
      <c r="P26" s="112" t="n">
        <f aca="false">N26+Q26</f>
        <v>0</v>
      </c>
      <c r="Q26" s="112" t="n">
        <f aca="false">IF(AND($F26="Yes",$I26&lt;1),O26-N26,MAX(0,O26-N26))</f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112" t="n">
        <f aca="false">Projects!B23</f>
        <v>15000000</v>
      </c>
      <c r="C27" s="328" t="n">
        <f aca="false">Projects!C23</f>
        <v>34</v>
      </c>
      <c r="D27" s="328" t="n">
        <f aca="false">Projects!D23</f>
        <v>19</v>
      </c>
      <c r="E27" s="2" t="str">
        <f aca="false">Projects!G23</f>
        <v>No</v>
      </c>
      <c r="F27" s="2" t="str">
        <f aca="false">Projects!M23</f>
        <v>Yes</v>
      </c>
      <c r="G27" s="328" t="n">
        <f aca="false">C27+D27-1</f>
        <v>52</v>
      </c>
      <c r="H27" s="328" t="n">
        <f aca="false">C27+1</f>
        <v>35</v>
      </c>
      <c r="I27" s="324" t="n">
        <f aca="false">IF($F27="Yes",INDEX($G$6:$G$14,MATCH(MIN($G27,105),$B$6:$B$14,1)),1)</f>
        <v>0.25</v>
      </c>
      <c r="J27" s="112" t="n">
        <f aca="false">IF($E27="Yes",$B27*Assumptions!$B$9*0.95/$D27*SUMPRODUCT(($C$15:$DF$15&gt;=$C27)*($C$15:$DF$15&lt;$C27+$D27))+$B27*Assumptions!$B$9*0.05*SUMPRODUCT(--($C$15:$DF$15=$G27)),0)</f>
        <v>0</v>
      </c>
      <c r="K27" s="112" t="n">
        <f aca="false">IF($E27="Yes",SUMPRODUCT(($C$15:$DF$15&gt;=$C27)*($C$15:$DF$15&lt;$C27+$D27)*$C$18:$DF$18),0)</f>
        <v>0</v>
      </c>
      <c r="L27" s="112" t="n">
        <f aca="false">J27-K27</f>
        <v>0</v>
      </c>
      <c r="M27" s="324" t="n">
        <f aca="false">$B$3*I27</f>
        <v>0.025</v>
      </c>
      <c r="N27" s="112" t="n">
        <f aca="false">IF($E27="Yes",$B$2*$B27,0)</f>
        <v>0</v>
      </c>
      <c r="O27" s="112" t="n">
        <f aca="false">M27*MAX(0,L27)</f>
        <v>0</v>
      </c>
      <c r="P27" s="112" t="n">
        <f aca="false">N27+Q27</f>
        <v>0</v>
      </c>
      <c r="Q27" s="112" t="n">
        <f aca="false">IF(AND($F27="Yes",$I27&lt;1),O27-N27,MAX(0,O27-N27))</f>
        <v>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112" t="n">
        <f aca="false">Projects!B24</f>
        <v>18000000</v>
      </c>
      <c r="C28" s="328" t="n">
        <f aca="false">Projects!C24</f>
        <v>37</v>
      </c>
      <c r="D28" s="328" t="n">
        <f aca="false">Projects!D24</f>
        <v>19</v>
      </c>
      <c r="E28" s="2" t="str">
        <f aca="false">Projects!G24</f>
        <v>No</v>
      </c>
      <c r="F28" s="2" t="str">
        <f aca="false">Projects!M24</f>
        <v>No</v>
      </c>
      <c r="G28" s="328" t="n">
        <f aca="false">C28+D28-1</f>
        <v>55</v>
      </c>
      <c r="H28" s="328" t="n">
        <f aca="false">C28+1</f>
        <v>38</v>
      </c>
      <c r="I28" s="324" t="n">
        <f aca="false">IF($F28="Yes",INDEX($G$6:$G$14,MATCH(MIN($G28,105),$B$6:$B$14,1)),1)</f>
        <v>1</v>
      </c>
      <c r="J28" s="112" t="n">
        <f aca="false">IF($E28="Yes",$B28*Assumptions!$B$9*0.95/$D28*SUMPRODUCT(($C$15:$DF$15&gt;=$C28)*($C$15:$DF$15&lt;$C28+$D28))+$B28*Assumptions!$B$9*0.05*SUMPRODUCT(--($C$15:$DF$15=$G28)),0)</f>
        <v>0</v>
      </c>
      <c r="K28" s="112" t="n">
        <f aca="false">IF($E28="Yes",SUMPRODUCT(($C$15:$DF$15&gt;=$C28)*($C$15:$DF$15&lt;$C28+$D28)*$C$18:$DF$18),0)</f>
        <v>0</v>
      </c>
      <c r="L28" s="112" t="n">
        <f aca="false">J28-K28</f>
        <v>0</v>
      </c>
      <c r="M28" s="324" t="n">
        <f aca="false">$B$3*I28</f>
        <v>0.1</v>
      </c>
      <c r="N28" s="112" t="n">
        <f aca="false">IF($E28="Yes",$B$2*$B28,0)</f>
        <v>0</v>
      </c>
      <c r="O28" s="112" t="n">
        <f aca="false">M28*MAX(0,L28)</f>
        <v>0</v>
      </c>
      <c r="P28" s="112" t="n">
        <f aca="false">N28+Q28</f>
        <v>0</v>
      </c>
      <c r="Q28" s="112" t="n">
        <f aca="false">IF(AND($F28="Yes",$I28&lt;1),O28-N28,MAX(0,O28-N28))</f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112" t="n">
        <f aca="false">Projects!B25</f>
        <v>18000000</v>
      </c>
      <c r="C29" s="328" t="n">
        <f aca="false">Projects!C25</f>
        <v>40</v>
      </c>
      <c r="D29" s="328" t="n">
        <f aca="false">Projects!D25</f>
        <v>19</v>
      </c>
      <c r="E29" s="2" t="str">
        <f aca="false">Projects!G25</f>
        <v>No</v>
      </c>
      <c r="F29" s="2" t="str">
        <f aca="false">Projects!M25</f>
        <v>No</v>
      </c>
      <c r="G29" s="328" t="n">
        <f aca="false">C29+D29-1</f>
        <v>58</v>
      </c>
      <c r="H29" s="328" t="n">
        <f aca="false">C29+1</f>
        <v>41</v>
      </c>
      <c r="I29" s="324" t="n">
        <f aca="false">IF($F29="Yes",INDEX($G$6:$G$14,MATCH(MIN($G29,105),$B$6:$B$14,1)),1)</f>
        <v>1</v>
      </c>
      <c r="J29" s="112" t="n">
        <f aca="false">IF($E29="Yes",$B29*Assumptions!$B$9*0.95/$D29*SUMPRODUCT(($C$15:$DF$15&gt;=$C29)*($C$15:$DF$15&lt;$C29+$D29))+$B29*Assumptions!$B$9*0.05*SUMPRODUCT(--($C$15:$DF$15=$G29)),0)</f>
        <v>0</v>
      </c>
      <c r="K29" s="112" t="n">
        <f aca="false">IF($E29="Yes",SUMPRODUCT(($C$15:$DF$15&gt;=$C29)*($C$15:$DF$15&lt;$C29+$D29)*$C$18:$DF$18),0)</f>
        <v>0</v>
      </c>
      <c r="L29" s="112" t="n">
        <f aca="false">J29-K29</f>
        <v>0</v>
      </c>
      <c r="M29" s="324" t="n">
        <f aca="false">$B$3*I29</f>
        <v>0.1</v>
      </c>
      <c r="N29" s="112" t="n">
        <f aca="false">IF($E29="Yes",$B$2*$B29,0)</f>
        <v>0</v>
      </c>
      <c r="O29" s="112" t="n">
        <f aca="false">M29*MAX(0,L29)</f>
        <v>0</v>
      </c>
      <c r="P29" s="112" t="n">
        <f aca="false">N29+Q29</f>
        <v>0</v>
      </c>
      <c r="Q29" s="112" t="n">
        <f aca="false">IF(AND($F29="Yes",$I29&lt;1),O29-N29,MAX(0,O29-N29))</f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112" t="n">
        <f aca="false">Projects!B26</f>
        <v>18000000</v>
      </c>
      <c r="C30" s="328" t="n">
        <f aca="false">Projects!C26</f>
        <v>42</v>
      </c>
      <c r="D30" s="328" t="n">
        <f aca="false">Projects!D26</f>
        <v>19</v>
      </c>
      <c r="E30" s="2" t="str">
        <f aca="false">Projects!G26</f>
        <v>No</v>
      </c>
      <c r="F30" s="2" t="str">
        <f aca="false">Projects!M26</f>
        <v>No</v>
      </c>
      <c r="G30" s="328" t="n">
        <f aca="false">C30+D30-1</f>
        <v>60</v>
      </c>
      <c r="H30" s="328" t="n">
        <f aca="false">C30+1</f>
        <v>43</v>
      </c>
      <c r="I30" s="324" t="n">
        <f aca="false">IF($F30="Yes",INDEX($G$6:$G$14,MATCH(MIN($G30,105),$B$6:$B$14,1)),1)</f>
        <v>1</v>
      </c>
      <c r="J30" s="112" t="n">
        <f aca="false">IF($E30="Yes",$B30*Assumptions!$B$9*0.95/$D30*SUMPRODUCT(($C$15:$DF$15&gt;=$C30)*($C$15:$DF$15&lt;$C30+$D30))+$B30*Assumptions!$B$9*0.05*SUMPRODUCT(--($C$15:$DF$15=$G30)),0)</f>
        <v>0</v>
      </c>
      <c r="K30" s="112" t="n">
        <f aca="false">IF($E30="Yes",SUMPRODUCT(($C$15:$DF$15&gt;=$C30)*($C$15:$DF$15&lt;$C30+$D30)*$C$18:$DF$18),0)</f>
        <v>0</v>
      </c>
      <c r="L30" s="112" t="n">
        <f aca="false">J30-K30</f>
        <v>0</v>
      </c>
      <c r="M30" s="324" t="n">
        <f aca="false">$B$3*I30</f>
        <v>0.1</v>
      </c>
      <c r="N30" s="112" t="n">
        <f aca="false">IF($E30="Yes",$B$2*$B30,0)</f>
        <v>0</v>
      </c>
      <c r="O30" s="112" t="n">
        <f aca="false">M30*MAX(0,L30)</f>
        <v>0</v>
      </c>
      <c r="P30" s="112" t="n">
        <f aca="false">N30+Q30</f>
        <v>0</v>
      </c>
      <c r="Q30" s="112" t="n">
        <f aca="false">IF(AND($F30="Yes",$I30&lt;1),O30-N30,MAX(0,O30-N30))</f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112" t="n">
        <f aca="false">Projects!B27</f>
        <v>15000000</v>
      </c>
      <c r="C31" s="328" t="n">
        <f aca="false">Projects!C27</f>
        <v>44</v>
      </c>
      <c r="D31" s="328" t="n">
        <f aca="false">Projects!D27</f>
        <v>19</v>
      </c>
      <c r="E31" s="2" t="str">
        <f aca="false">Projects!G27</f>
        <v>No</v>
      </c>
      <c r="F31" s="2" t="str">
        <f aca="false">Projects!M27</f>
        <v>No</v>
      </c>
      <c r="G31" s="328" t="n">
        <f aca="false">C31+D31-1</f>
        <v>62</v>
      </c>
      <c r="H31" s="328" t="n">
        <f aca="false">C31+1</f>
        <v>45</v>
      </c>
      <c r="I31" s="324" t="n">
        <f aca="false">IF($F31="Yes",INDEX($G$6:$G$14,MATCH(MIN($G31,105),$B$6:$B$14,1)),1)</f>
        <v>1</v>
      </c>
      <c r="J31" s="112" t="n">
        <f aca="false">IF($E31="Yes",$B31*Assumptions!$B$9*0.95/$D31*SUMPRODUCT(($C$15:$DF$15&gt;=$C31)*($C$15:$DF$15&lt;$C31+$D31))+$B31*Assumptions!$B$9*0.05*SUMPRODUCT(--($C$15:$DF$15=$G31)),0)</f>
        <v>0</v>
      </c>
      <c r="K31" s="112" t="n">
        <f aca="false">IF($E31="Yes",SUMPRODUCT(($C$15:$DF$15&gt;=$C31)*($C$15:$DF$15&lt;$C31+$D31)*$C$18:$DF$18),0)</f>
        <v>0</v>
      </c>
      <c r="L31" s="112" t="n">
        <f aca="false">J31-K31</f>
        <v>0</v>
      </c>
      <c r="M31" s="324" t="n">
        <f aca="false">$B$3*I31</f>
        <v>0.1</v>
      </c>
      <c r="N31" s="112" t="n">
        <f aca="false">IF($E31="Yes",$B$2*$B31,0)</f>
        <v>0</v>
      </c>
      <c r="O31" s="112" t="n">
        <f aca="false">M31*MAX(0,L31)</f>
        <v>0</v>
      </c>
      <c r="P31" s="112" t="n">
        <f aca="false">N31+Q31</f>
        <v>0</v>
      </c>
      <c r="Q31" s="112" t="n">
        <f aca="false">IF(AND($F31="Yes",$I31&lt;1),O31-N31,MAX(0,O31-N31))</f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112" t="n">
        <f aca="false">Projects!B28</f>
        <v>15000000</v>
      </c>
      <c r="C32" s="328" t="n">
        <f aca="false">Projects!C28</f>
        <v>46</v>
      </c>
      <c r="D32" s="328" t="n">
        <f aca="false">Projects!D28</f>
        <v>19</v>
      </c>
      <c r="E32" s="2" t="str">
        <f aca="false">Projects!G28</f>
        <v>No</v>
      </c>
      <c r="F32" s="2" t="str">
        <f aca="false">Projects!M28</f>
        <v>Yes</v>
      </c>
      <c r="G32" s="328" t="n">
        <f aca="false">C32+D32-1</f>
        <v>64</v>
      </c>
      <c r="H32" s="328" t="n">
        <f aca="false">C32+1</f>
        <v>47</v>
      </c>
      <c r="I32" s="324" t="n">
        <f aca="false">IF($F32="Yes",INDEX($G$6:$G$14,MATCH(MIN($G32,105),$B$6:$B$14,1)),1)</f>
        <v>0.25</v>
      </c>
      <c r="J32" s="112" t="n">
        <f aca="false">IF($E32="Yes",$B32*Assumptions!$B$9*0.95/$D32*SUMPRODUCT(($C$15:$DF$15&gt;=$C32)*($C$15:$DF$15&lt;$C32+$D32))+$B32*Assumptions!$B$9*0.05*SUMPRODUCT(--($C$15:$DF$15=$G32)),0)</f>
        <v>0</v>
      </c>
      <c r="K32" s="112" t="n">
        <f aca="false">IF($E32="Yes",SUMPRODUCT(($C$15:$DF$15&gt;=$C32)*($C$15:$DF$15&lt;$C32+$D32)*$C$18:$DF$18),0)</f>
        <v>0</v>
      </c>
      <c r="L32" s="112" t="n">
        <f aca="false">J32-K32</f>
        <v>0</v>
      </c>
      <c r="M32" s="324" t="n">
        <f aca="false">$B$3*I32</f>
        <v>0.025</v>
      </c>
      <c r="N32" s="112" t="n">
        <f aca="false">IF($E32="Yes",$B$2*$B32,0)</f>
        <v>0</v>
      </c>
      <c r="O32" s="112" t="n">
        <f aca="false">M32*MAX(0,L32)</f>
        <v>0</v>
      </c>
      <c r="P32" s="112" t="n">
        <f aca="false">N32+Q32</f>
        <v>0</v>
      </c>
      <c r="Q32" s="112" t="n">
        <f aca="false">IF(AND($F32="Yes",$I32&lt;1),O32-N32,MAX(0,O32-N32))</f>
        <v>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112" t="n">
        <f aca="false">Projects!B29</f>
        <v>15000000</v>
      </c>
      <c r="C33" s="328" t="n">
        <f aca="false">Projects!C29</f>
        <v>48</v>
      </c>
      <c r="D33" s="328" t="n">
        <f aca="false">Projects!D29</f>
        <v>19</v>
      </c>
      <c r="E33" s="2" t="str">
        <f aca="false">Projects!G29</f>
        <v>No</v>
      </c>
      <c r="F33" s="2" t="str">
        <f aca="false">Projects!M29</f>
        <v>No</v>
      </c>
      <c r="G33" s="328" t="n">
        <f aca="false">C33+D33-1</f>
        <v>66</v>
      </c>
      <c r="H33" s="328" t="n">
        <f aca="false">C33+1</f>
        <v>49</v>
      </c>
      <c r="I33" s="324" t="n">
        <f aca="false">IF($F33="Yes",INDEX($G$6:$G$14,MATCH(MIN($G33,105),$B$6:$B$14,1)),1)</f>
        <v>1</v>
      </c>
      <c r="J33" s="112" t="n">
        <f aca="false">IF($E33="Yes",$B33*Assumptions!$B$9*0.95/$D33*SUMPRODUCT(($C$15:$DF$15&gt;=$C33)*($C$15:$DF$15&lt;$C33+$D33))+$B33*Assumptions!$B$9*0.05*SUMPRODUCT(--($C$15:$DF$15=$G33)),0)</f>
        <v>0</v>
      </c>
      <c r="K33" s="112" t="n">
        <f aca="false">IF($E33="Yes",SUMPRODUCT(($C$15:$DF$15&gt;=$C33)*($C$15:$DF$15&lt;$C33+$D33)*$C$18:$DF$18),0)</f>
        <v>0</v>
      </c>
      <c r="L33" s="112" t="n">
        <f aca="false">J33-K33</f>
        <v>0</v>
      </c>
      <c r="M33" s="324" t="n">
        <f aca="false">$B$3*I33</f>
        <v>0.1</v>
      </c>
      <c r="N33" s="112" t="n">
        <f aca="false">IF($E33="Yes",$B$2*$B33,0)</f>
        <v>0</v>
      </c>
      <c r="O33" s="112" t="n">
        <f aca="false">M33*MAX(0,L33)</f>
        <v>0</v>
      </c>
      <c r="P33" s="112" t="n">
        <f aca="false">N33+Q33</f>
        <v>0</v>
      </c>
      <c r="Q33" s="112" t="n">
        <f aca="false">IF(AND($F33="Yes",$I33&lt;1),O33-N33,MAX(0,O33-N33))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112" t="n">
        <f aca="false">Projects!B30</f>
        <v>15000000</v>
      </c>
      <c r="C34" s="328" t="n">
        <f aca="false">Projects!C30</f>
        <v>50</v>
      </c>
      <c r="D34" s="328" t="n">
        <f aca="false">Projects!D30</f>
        <v>19</v>
      </c>
      <c r="E34" s="2" t="str">
        <f aca="false">Projects!G30</f>
        <v>No</v>
      </c>
      <c r="F34" s="2" t="str">
        <f aca="false">Projects!M30</f>
        <v>No</v>
      </c>
      <c r="G34" s="328" t="n">
        <f aca="false">C34+D34-1</f>
        <v>68</v>
      </c>
      <c r="H34" s="328" t="n">
        <f aca="false">C34+1</f>
        <v>51</v>
      </c>
      <c r="I34" s="324" t="n">
        <f aca="false">IF($F34="Yes",INDEX($G$6:$G$14,MATCH(MIN($G34,105),$B$6:$B$14,1)),1)</f>
        <v>1</v>
      </c>
      <c r="J34" s="112" t="n">
        <f aca="false">IF($E34="Yes",$B34*Assumptions!$B$9*0.95/$D34*SUMPRODUCT(($C$15:$DF$15&gt;=$C34)*($C$15:$DF$15&lt;$C34+$D34))+$B34*Assumptions!$B$9*0.05*SUMPRODUCT(--($C$15:$DF$15=$G34)),0)</f>
        <v>0</v>
      </c>
      <c r="K34" s="112" t="n">
        <f aca="false">IF($E34="Yes",SUMPRODUCT(($C$15:$DF$15&gt;=$C34)*($C$15:$DF$15&lt;$C34+$D34)*$C$18:$DF$18),0)</f>
        <v>0</v>
      </c>
      <c r="L34" s="112" t="n">
        <f aca="false">J34-K34</f>
        <v>0</v>
      </c>
      <c r="M34" s="324" t="n">
        <f aca="false">$B$3*I34</f>
        <v>0.1</v>
      </c>
      <c r="N34" s="112" t="n">
        <f aca="false">IF($E34="Yes",$B$2*$B34,0)</f>
        <v>0</v>
      </c>
      <c r="O34" s="112" t="n">
        <f aca="false">M34*MAX(0,L34)</f>
        <v>0</v>
      </c>
      <c r="P34" s="112" t="n">
        <f aca="false">N34+Q34</f>
        <v>0</v>
      </c>
      <c r="Q34" s="112" t="n">
        <f aca="false">IF(AND($F34="Yes",$I34&lt;1),O34-N34,MAX(0,O34-N34))</f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112" t="n">
        <f aca="false">Projects!B31</f>
        <v>18000000</v>
      </c>
      <c r="C35" s="328" t="n">
        <f aca="false">Projects!C31</f>
        <v>52</v>
      </c>
      <c r="D35" s="328" t="n">
        <f aca="false">Projects!D31</f>
        <v>19</v>
      </c>
      <c r="E35" s="2" t="str">
        <f aca="false">Projects!G31</f>
        <v>No</v>
      </c>
      <c r="F35" s="2" t="str">
        <f aca="false">Projects!M31</f>
        <v>No</v>
      </c>
      <c r="G35" s="328" t="n">
        <f aca="false">C35+D35-1</f>
        <v>70</v>
      </c>
      <c r="H35" s="328" t="n">
        <f aca="false">C35+1</f>
        <v>53</v>
      </c>
      <c r="I35" s="324" t="n">
        <f aca="false">IF($F35="Yes",INDEX($G$6:$G$14,MATCH(MIN($G35,105),$B$6:$B$14,1)),1)</f>
        <v>1</v>
      </c>
      <c r="J35" s="112" t="n">
        <f aca="false">IF($E35="Yes",$B35*Assumptions!$B$9*0.95/$D35*SUMPRODUCT(($C$15:$DF$15&gt;=$C35)*($C$15:$DF$15&lt;$C35+$D35))+$B35*Assumptions!$B$9*0.05*SUMPRODUCT(--($C$15:$DF$15=$G35)),0)</f>
        <v>0</v>
      </c>
      <c r="K35" s="112" t="n">
        <f aca="false">IF($E35="Yes",SUMPRODUCT(($C$15:$DF$15&gt;=$C35)*($C$15:$DF$15&lt;$C35+$D35)*$C$18:$DF$18),0)</f>
        <v>0</v>
      </c>
      <c r="L35" s="112" t="n">
        <f aca="false">J35-K35</f>
        <v>0</v>
      </c>
      <c r="M35" s="324" t="n">
        <f aca="false">$B$3*I35</f>
        <v>0.1</v>
      </c>
      <c r="N35" s="112" t="n">
        <f aca="false">IF($E35="Yes",$B$2*$B35,0)</f>
        <v>0</v>
      </c>
      <c r="O35" s="112" t="n">
        <f aca="false">M35*MAX(0,L35)</f>
        <v>0</v>
      </c>
      <c r="P35" s="112" t="n">
        <f aca="false">N35+Q35</f>
        <v>0</v>
      </c>
      <c r="Q35" s="112" t="n">
        <f aca="false">IF(AND($F35="Yes",$I35&lt;1),O35-N35,MAX(0,O35-N35))</f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112" t="n">
        <f aca="false">Projects!B32</f>
        <v>15000000</v>
      </c>
      <c r="C36" s="328" t="n">
        <f aca="false">Projects!C32</f>
        <v>54</v>
      </c>
      <c r="D36" s="328" t="n">
        <f aca="false">Projects!D32</f>
        <v>19</v>
      </c>
      <c r="E36" s="2" t="str">
        <f aca="false">Projects!G32</f>
        <v>No</v>
      </c>
      <c r="F36" s="2" t="str">
        <f aca="false">Projects!M32</f>
        <v>No</v>
      </c>
      <c r="G36" s="328" t="n">
        <f aca="false">C36+D36-1</f>
        <v>72</v>
      </c>
      <c r="H36" s="328" t="n">
        <f aca="false">C36+1</f>
        <v>55</v>
      </c>
      <c r="I36" s="324" t="n">
        <f aca="false">IF($F36="Yes",INDEX($G$6:$G$14,MATCH(MIN($G36,105),$B$6:$B$14,1)),1)</f>
        <v>1</v>
      </c>
      <c r="J36" s="112" t="n">
        <f aca="false">IF($E36="Yes",$B36*Assumptions!$B$9*0.95/$D36*SUMPRODUCT(($C$15:$DF$15&gt;=$C36)*($C$15:$DF$15&lt;$C36+$D36))+$B36*Assumptions!$B$9*0.05*SUMPRODUCT(--($C$15:$DF$15=$G36)),0)</f>
        <v>0</v>
      </c>
      <c r="K36" s="112" t="n">
        <f aca="false">IF($E36="Yes",SUMPRODUCT(($C$15:$DF$15&gt;=$C36)*($C$15:$DF$15&lt;$C36+$D36)*$C$18:$DF$18),0)</f>
        <v>0</v>
      </c>
      <c r="L36" s="112" t="n">
        <f aca="false">J36-K36</f>
        <v>0</v>
      </c>
      <c r="M36" s="324" t="n">
        <f aca="false">$B$3*I36</f>
        <v>0.1</v>
      </c>
      <c r="N36" s="112" t="n">
        <f aca="false">IF($E36="Yes",$B$2*$B36,0)</f>
        <v>0</v>
      </c>
      <c r="O36" s="112" t="n">
        <f aca="false">M36*MAX(0,L36)</f>
        <v>0</v>
      </c>
      <c r="P36" s="112" t="n">
        <f aca="false">N36+Q36</f>
        <v>0</v>
      </c>
      <c r="Q36" s="112" t="n">
        <f aca="false">IF(AND($F36="Yes",$I36&lt;1),O36-N36,MAX(0,O36-N36))</f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112" t="n">
        <f aca="false">Projects!B33</f>
        <v>15000000</v>
      </c>
      <c r="C37" s="328" t="n">
        <f aca="false">Projects!C33</f>
        <v>56</v>
      </c>
      <c r="D37" s="328" t="n">
        <f aca="false">Projects!D33</f>
        <v>19</v>
      </c>
      <c r="E37" s="2" t="str">
        <f aca="false">Projects!G33</f>
        <v>No</v>
      </c>
      <c r="F37" s="2" t="str">
        <f aca="false">Projects!M33</f>
        <v>No</v>
      </c>
      <c r="G37" s="328" t="n">
        <f aca="false">C37+D37-1</f>
        <v>74</v>
      </c>
      <c r="H37" s="328" t="n">
        <f aca="false">C37+1</f>
        <v>57</v>
      </c>
      <c r="I37" s="324" t="n">
        <f aca="false">IF($F37="Yes",INDEX($G$6:$G$14,MATCH(MIN($G37,105),$B$6:$B$14,1)),1)</f>
        <v>1</v>
      </c>
      <c r="J37" s="112" t="n">
        <f aca="false">IF($E37="Yes",$B37*Assumptions!$B$9*0.95/$D37*SUMPRODUCT(($C$15:$DF$15&gt;=$C37)*($C$15:$DF$15&lt;$C37+$D37))+$B37*Assumptions!$B$9*0.05*SUMPRODUCT(--($C$15:$DF$15=$G37)),0)</f>
        <v>0</v>
      </c>
      <c r="K37" s="112" t="n">
        <f aca="false">IF($E37="Yes",SUMPRODUCT(($C$15:$DF$15&gt;=$C37)*($C$15:$DF$15&lt;$C37+$D37)*$C$18:$DF$18),0)</f>
        <v>0</v>
      </c>
      <c r="L37" s="112" t="n">
        <f aca="false">J37-K37</f>
        <v>0</v>
      </c>
      <c r="M37" s="324" t="n">
        <f aca="false">$B$3*I37</f>
        <v>0.1</v>
      </c>
      <c r="N37" s="112" t="n">
        <f aca="false">IF($E37="Yes",$B$2*$B37,0)</f>
        <v>0</v>
      </c>
      <c r="O37" s="112" t="n">
        <f aca="false">M37*MAX(0,L37)</f>
        <v>0</v>
      </c>
      <c r="P37" s="112" t="n">
        <f aca="false">N37+Q37</f>
        <v>0</v>
      </c>
      <c r="Q37" s="112" t="n">
        <f aca="false">IF(AND($F37="Yes",$I37&lt;1),O37-N37,MAX(0,O37-N37))</f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112" t="n">
        <f aca="false">Projects!B34</f>
        <v>18000000</v>
      </c>
      <c r="C38" s="328" t="n">
        <f aca="false">Projects!C34</f>
        <v>58</v>
      </c>
      <c r="D38" s="328" t="n">
        <f aca="false">Projects!D34</f>
        <v>19</v>
      </c>
      <c r="E38" s="2" t="str">
        <f aca="false">Projects!G34</f>
        <v>No</v>
      </c>
      <c r="F38" s="2" t="str">
        <f aca="false">Projects!M34</f>
        <v>Yes</v>
      </c>
      <c r="G38" s="328" t="n">
        <f aca="false">C38+D38-1</f>
        <v>76</v>
      </c>
      <c r="H38" s="328" t="n">
        <f aca="false">C38+1</f>
        <v>59</v>
      </c>
      <c r="I38" s="324" t="n">
        <f aca="false">IF($F38="Yes",INDEX($G$6:$G$14,MATCH(MIN($G38,105),$B$6:$B$14,1)),1)</f>
        <v>0.25</v>
      </c>
      <c r="J38" s="112" t="n">
        <f aca="false">IF($E38="Yes",$B38*Assumptions!$B$9*0.95/$D38*SUMPRODUCT(($C$15:$DF$15&gt;=$C38)*($C$15:$DF$15&lt;$C38+$D38))+$B38*Assumptions!$B$9*0.05*SUMPRODUCT(--($C$15:$DF$15=$G38)),0)</f>
        <v>0</v>
      </c>
      <c r="K38" s="112" t="n">
        <f aca="false">IF($E38="Yes",SUMPRODUCT(($C$15:$DF$15&gt;=$C38)*($C$15:$DF$15&lt;$C38+$D38)*$C$18:$DF$18),0)</f>
        <v>0</v>
      </c>
      <c r="L38" s="112" t="n">
        <f aca="false">J38-K38</f>
        <v>0</v>
      </c>
      <c r="M38" s="324" t="n">
        <f aca="false">$B$3*I38</f>
        <v>0.025</v>
      </c>
      <c r="N38" s="112" t="n">
        <f aca="false">IF($E38="Yes",$B$2*$B38,0)</f>
        <v>0</v>
      </c>
      <c r="O38" s="112" t="n">
        <f aca="false">M38*MAX(0,L38)</f>
        <v>0</v>
      </c>
      <c r="P38" s="112" t="n">
        <f aca="false">N38+Q38</f>
        <v>0</v>
      </c>
      <c r="Q38" s="112" t="n">
        <f aca="false">IF(AND($F38="Yes",$I38&lt;1),O38-N38,MAX(0,O38-N38))</f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112" t="n">
        <f aca="false">Projects!B35</f>
        <v>15000000</v>
      </c>
      <c r="C39" s="328" t="n">
        <f aca="false">Projects!C35</f>
        <v>60</v>
      </c>
      <c r="D39" s="328" t="n">
        <f aca="false">Projects!D35</f>
        <v>19</v>
      </c>
      <c r="E39" s="2" t="str">
        <f aca="false">Projects!G35</f>
        <v>No</v>
      </c>
      <c r="F39" s="2" t="str">
        <f aca="false">Projects!M35</f>
        <v>No</v>
      </c>
      <c r="G39" s="328" t="n">
        <f aca="false">C39+D39-1</f>
        <v>78</v>
      </c>
      <c r="H39" s="328" t="n">
        <f aca="false">C39+1</f>
        <v>61</v>
      </c>
      <c r="I39" s="324" t="n">
        <f aca="false">IF($F39="Yes",INDEX($G$6:$G$14,MATCH(MIN($G39,105),$B$6:$B$14,1)),1)</f>
        <v>1</v>
      </c>
      <c r="J39" s="112" t="n">
        <f aca="false">IF($E39="Yes",$B39*Assumptions!$B$9*0.95/$D39*SUMPRODUCT(($C$15:$DF$15&gt;=$C39)*($C$15:$DF$15&lt;$C39+$D39))+$B39*Assumptions!$B$9*0.05*SUMPRODUCT(--($C$15:$DF$15=$G39)),0)</f>
        <v>0</v>
      </c>
      <c r="K39" s="112" t="n">
        <f aca="false">IF($E39="Yes",SUMPRODUCT(($C$15:$DF$15&gt;=$C39)*($C$15:$DF$15&lt;$C39+$D39)*$C$18:$DF$18),0)</f>
        <v>0</v>
      </c>
      <c r="L39" s="112" t="n">
        <f aca="false">J39-K39</f>
        <v>0</v>
      </c>
      <c r="M39" s="324" t="n">
        <f aca="false">$B$3*I39</f>
        <v>0.1</v>
      </c>
      <c r="N39" s="112" t="n">
        <f aca="false">IF($E39="Yes",$B$2*$B39,0)</f>
        <v>0</v>
      </c>
      <c r="O39" s="112" t="n">
        <f aca="false">M39*MAX(0,L39)</f>
        <v>0</v>
      </c>
      <c r="P39" s="112" t="n">
        <f aca="false">N39+Q39</f>
        <v>0</v>
      </c>
      <c r="Q39" s="112" t="n">
        <f aca="false">IF(AND($F39="Yes",$I39&lt;1),O39-N39,MAX(0,O39-N39))</f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112" t="n">
        <f aca="false">Projects!B36</f>
        <v>18000000</v>
      </c>
      <c r="C40" s="328" t="n">
        <f aca="false">Projects!C36</f>
        <v>62</v>
      </c>
      <c r="D40" s="328" t="n">
        <f aca="false">Projects!D36</f>
        <v>19</v>
      </c>
      <c r="E40" s="2" t="str">
        <f aca="false">Projects!G36</f>
        <v>No</v>
      </c>
      <c r="F40" s="2" t="str">
        <f aca="false">Projects!M36</f>
        <v>No</v>
      </c>
      <c r="G40" s="328" t="n">
        <f aca="false">C40+D40-1</f>
        <v>80</v>
      </c>
      <c r="H40" s="328" t="n">
        <f aca="false">C40+1</f>
        <v>63</v>
      </c>
      <c r="I40" s="324" t="n">
        <f aca="false">IF($F40="Yes",INDEX($G$6:$G$14,MATCH(MIN($G40,105),$B$6:$B$14,1)),1)</f>
        <v>1</v>
      </c>
      <c r="J40" s="112" t="n">
        <f aca="false">IF($E40="Yes",$B40*Assumptions!$B$9*0.95/$D40*SUMPRODUCT(($C$15:$DF$15&gt;=$C40)*($C$15:$DF$15&lt;$C40+$D40))+$B40*Assumptions!$B$9*0.05*SUMPRODUCT(--($C$15:$DF$15=$G40)),0)</f>
        <v>0</v>
      </c>
      <c r="K40" s="112" t="n">
        <f aca="false">IF($E40="Yes",SUMPRODUCT(($C$15:$DF$15&gt;=$C40)*($C$15:$DF$15&lt;$C40+$D40)*$C$18:$DF$18),0)</f>
        <v>0</v>
      </c>
      <c r="L40" s="112" t="n">
        <f aca="false">J40-K40</f>
        <v>0</v>
      </c>
      <c r="M40" s="324" t="n">
        <f aca="false">$B$3*I40</f>
        <v>0.1</v>
      </c>
      <c r="N40" s="112" t="n">
        <f aca="false">IF($E40="Yes",$B$2*$B40,0)</f>
        <v>0</v>
      </c>
      <c r="O40" s="112" t="n">
        <f aca="false">M40*MAX(0,L40)</f>
        <v>0</v>
      </c>
      <c r="P40" s="112" t="n">
        <f aca="false">N40+Q40</f>
        <v>0</v>
      </c>
      <c r="Q40" s="112" t="n">
        <f aca="false">IF(AND($F40="Yes",$I40&lt;1),O40-N40,MAX(0,O40-N40))</f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112" t="n">
        <f aca="false">Projects!B37</f>
        <v>15000000</v>
      </c>
      <c r="C41" s="328" t="n">
        <f aca="false">Projects!C37</f>
        <v>64</v>
      </c>
      <c r="D41" s="328" t="n">
        <f aca="false">Projects!D37</f>
        <v>19</v>
      </c>
      <c r="E41" s="2" t="str">
        <f aca="false">Projects!G37</f>
        <v>No</v>
      </c>
      <c r="F41" s="2" t="str">
        <f aca="false">Projects!M37</f>
        <v>No</v>
      </c>
      <c r="G41" s="328" t="n">
        <f aca="false">C41+D41-1</f>
        <v>82</v>
      </c>
      <c r="H41" s="328" t="n">
        <f aca="false">C41+1</f>
        <v>65</v>
      </c>
      <c r="I41" s="324" t="n">
        <f aca="false">IF($F41="Yes",INDEX($G$6:$G$14,MATCH(MIN($G41,105),$B$6:$B$14,1)),1)</f>
        <v>1</v>
      </c>
      <c r="J41" s="112" t="n">
        <f aca="false">IF($E41="Yes",$B41*Assumptions!$B$9*0.95/$D41*SUMPRODUCT(($C$15:$DF$15&gt;=$C41)*($C$15:$DF$15&lt;$C41+$D41))+$B41*Assumptions!$B$9*0.05*SUMPRODUCT(--($C$15:$DF$15=$G41)),0)</f>
        <v>0</v>
      </c>
      <c r="K41" s="112" t="n">
        <f aca="false">IF($E41="Yes",SUMPRODUCT(($C$15:$DF$15&gt;=$C41)*($C$15:$DF$15&lt;$C41+$D41)*$C$18:$DF$18),0)</f>
        <v>0</v>
      </c>
      <c r="L41" s="112" t="n">
        <f aca="false">J41-K41</f>
        <v>0</v>
      </c>
      <c r="M41" s="324" t="n">
        <f aca="false">$B$3*I41</f>
        <v>0.1</v>
      </c>
      <c r="N41" s="112" t="n">
        <f aca="false">IF($E41="Yes",$B$2*$B41,0)</f>
        <v>0</v>
      </c>
      <c r="O41" s="112" t="n">
        <f aca="false">M41*MAX(0,L41)</f>
        <v>0</v>
      </c>
      <c r="P41" s="112" t="n">
        <f aca="false">N41+Q41</f>
        <v>0</v>
      </c>
      <c r="Q41" s="112" t="n">
        <f aca="false">IF(AND($F41="Yes",$I41&lt;1),O41-N41,MAX(0,O41-N41))</f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112" t="n">
        <f aca="false">Projects!B38</f>
        <v>15000000</v>
      </c>
      <c r="C42" s="328" t="n">
        <f aca="false">Projects!C38</f>
        <v>66</v>
      </c>
      <c r="D42" s="328" t="n">
        <f aca="false">Projects!D38</f>
        <v>19</v>
      </c>
      <c r="E42" s="2" t="str">
        <f aca="false">Projects!G38</f>
        <v>No</v>
      </c>
      <c r="F42" s="2" t="str">
        <f aca="false">Projects!M38</f>
        <v>No</v>
      </c>
      <c r="G42" s="328" t="n">
        <f aca="false">C42+D42-1</f>
        <v>84</v>
      </c>
      <c r="H42" s="328" t="n">
        <f aca="false">C42+1</f>
        <v>67</v>
      </c>
      <c r="I42" s="324" t="n">
        <f aca="false">IF($F42="Yes",INDEX($G$6:$G$14,MATCH(MIN($G42,105),$B$6:$B$14,1)),1)</f>
        <v>1</v>
      </c>
      <c r="J42" s="112" t="n">
        <f aca="false">IF($E42="Yes",$B42*Assumptions!$B$9*0.95/$D42*SUMPRODUCT(($C$15:$DF$15&gt;=$C42)*($C$15:$DF$15&lt;$C42+$D42))+$B42*Assumptions!$B$9*0.05*SUMPRODUCT(--($C$15:$DF$15=$G42)),0)</f>
        <v>0</v>
      </c>
      <c r="K42" s="112" t="n">
        <f aca="false">IF($E42="Yes",SUMPRODUCT(($C$15:$DF$15&gt;=$C42)*($C$15:$DF$15&lt;$C42+$D42)*$C$18:$DF$18),0)</f>
        <v>0</v>
      </c>
      <c r="L42" s="112" t="n">
        <f aca="false">J42-K42</f>
        <v>0</v>
      </c>
      <c r="M42" s="324" t="n">
        <f aca="false">$B$3*I42</f>
        <v>0.1</v>
      </c>
      <c r="N42" s="112" t="n">
        <f aca="false">IF($E42="Yes",$B$2*$B42,0)</f>
        <v>0</v>
      </c>
      <c r="O42" s="112" t="n">
        <f aca="false">M42*MAX(0,L42)</f>
        <v>0</v>
      </c>
      <c r="P42" s="112" t="n">
        <f aca="false">N42+Q42</f>
        <v>0</v>
      </c>
      <c r="Q42" s="112" t="n">
        <f aca="false">IF(AND($F42="Yes",$I42&lt;1),O42-N42,MAX(0,O42-N42))</f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112" t="n">
        <f aca="false">Projects!B39</f>
        <v>18000000</v>
      </c>
      <c r="C43" s="328" t="n">
        <f aca="false">Projects!C39</f>
        <v>68</v>
      </c>
      <c r="D43" s="328" t="n">
        <f aca="false">Projects!D39</f>
        <v>19</v>
      </c>
      <c r="E43" s="2" t="str">
        <f aca="false">Projects!G39</f>
        <v>No</v>
      </c>
      <c r="F43" s="2" t="str">
        <f aca="false">Projects!M39</f>
        <v>No</v>
      </c>
      <c r="G43" s="328" t="n">
        <f aca="false">C43+D43-1</f>
        <v>86</v>
      </c>
      <c r="H43" s="328" t="n">
        <f aca="false">C43+1</f>
        <v>69</v>
      </c>
      <c r="I43" s="324" t="n">
        <f aca="false">IF($F43="Yes",INDEX($G$6:$G$14,MATCH(MIN($G43,105),$B$6:$B$14,1)),1)</f>
        <v>1</v>
      </c>
      <c r="J43" s="112" t="n">
        <f aca="false">IF($E43="Yes",$B43*Assumptions!$B$9*0.95/$D43*SUMPRODUCT(($C$15:$DF$15&gt;=$C43)*($C$15:$DF$15&lt;$C43+$D43))+$B43*Assumptions!$B$9*0.05*SUMPRODUCT(--($C$15:$DF$15=$G43)),0)</f>
        <v>0</v>
      </c>
      <c r="K43" s="112" t="n">
        <f aca="false">IF($E43="Yes",SUMPRODUCT(($C$15:$DF$15&gt;=$C43)*($C$15:$DF$15&lt;$C43+$D43)*$C$18:$DF$18),0)</f>
        <v>0</v>
      </c>
      <c r="L43" s="112" t="n">
        <f aca="false">J43-K43</f>
        <v>0</v>
      </c>
      <c r="M43" s="324" t="n">
        <f aca="false">$B$3*I43</f>
        <v>0.1</v>
      </c>
      <c r="N43" s="112" t="n">
        <f aca="false">IF($E43="Yes",$B$2*$B43,0)</f>
        <v>0</v>
      </c>
      <c r="O43" s="112" t="n">
        <f aca="false">M43*MAX(0,L43)</f>
        <v>0</v>
      </c>
      <c r="P43" s="112" t="n">
        <f aca="false">N43+Q43</f>
        <v>0</v>
      </c>
      <c r="Q43" s="112" t="n">
        <f aca="false">IF(AND($F43="Yes",$I43&lt;1),O43-N43,MAX(0,O43-N43))</f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112" t="n">
        <f aca="false">Projects!B40</f>
        <v>15000000</v>
      </c>
      <c r="C44" s="328" t="n">
        <f aca="false">Projects!C40</f>
        <v>70</v>
      </c>
      <c r="D44" s="328" t="n">
        <f aca="false">Projects!D40</f>
        <v>19</v>
      </c>
      <c r="E44" s="2" t="str">
        <f aca="false">Projects!G40</f>
        <v>No</v>
      </c>
      <c r="F44" s="2" t="str">
        <f aca="false">Projects!M40</f>
        <v>Yes</v>
      </c>
      <c r="G44" s="328" t="n">
        <f aca="false">C44+D44-1</f>
        <v>88</v>
      </c>
      <c r="H44" s="328" t="n">
        <f aca="false">C44+1</f>
        <v>71</v>
      </c>
      <c r="I44" s="324" t="n">
        <f aca="false">IF($F44="Yes",INDEX($G$6:$G$14,MATCH(MIN($G44,105),$B$6:$B$14,1)),1)</f>
        <v>0.25</v>
      </c>
      <c r="J44" s="112" t="n">
        <f aca="false">IF($E44="Yes",$B44*Assumptions!$B$9*0.95/$D44*SUMPRODUCT(($C$15:$DF$15&gt;=$C44)*($C$15:$DF$15&lt;$C44+$D44))+$B44*Assumptions!$B$9*0.05*SUMPRODUCT(--($C$15:$DF$15=$G44)),0)</f>
        <v>0</v>
      </c>
      <c r="K44" s="112" t="n">
        <f aca="false">IF($E44="Yes",SUMPRODUCT(($C$15:$DF$15&gt;=$C44)*($C$15:$DF$15&lt;$C44+$D44)*$C$18:$DF$18),0)</f>
        <v>0</v>
      </c>
      <c r="L44" s="112" t="n">
        <f aca="false">J44-K44</f>
        <v>0</v>
      </c>
      <c r="M44" s="324" t="n">
        <f aca="false">$B$3*I44</f>
        <v>0.025</v>
      </c>
      <c r="N44" s="112" t="n">
        <f aca="false">IF($E44="Yes",$B$2*$B44,0)</f>
        <v>0</v>
      </c>
      <c r="O44" s="112" t="n">
        <f aca="false">M44*MAX(0,L44)</f>
        <v>0</v>
      </c>
      <c r="P44" s="112" t="n">
        <f aca="false">N44+Q44</f>
        <v>0</v>
      </c>
      <c r="Q44" s="112" t="n">
        <f aca="false">IF(AND($F44="Yes",$I44&lt;1),O44-N44,MAX(0,O44-N44))</f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112" t="n">
        <f aca="false">Projects!B41</f>
        <v>15000000</v>
      </c>
      <c r="C45" s="328" t="n">
        <f aca="false">Projects!C41</f>
        <v>72</v>
      </c>
      <c r="D45" s="328" t="n">
        <f aca="false">Projects!D41</f>
        <v>19</v>
      </c>
      <c r="E45" s="2" t="str">
        <f aca="false">Projects!G41</f>
        <v>No</v>
      </c>
      <c r="F45" s="2" t="str">
        <f aca="false">Projects!M41</f>
        <v>No</v>
      </c>
      <c r="G45" s="328" t="n">
        <f aca="false">C45+D45-1</f>
        <v>90</v>
      </c>
      <c r="H45" s="328" t="n">
        <f aca="false">C45+1</f>
        <v>73</v>
      </c>
      <c r="I45" s="324" t="n">
        <f aca="false">IF($F45="Yes",INDEX($G$6:$G$14,MATCH(MIN($G45,105),$B$6:$B$14,1)),1)</f>
        <v>1</v>
      </c>
      <c r="J45" s="112" t="n">
        <f aca="false">IF($E45="Yes",$B45*Assumptions!$B$9*0.95/$D45*SUMPRODUCT(($C$15:$DF$15&gt;=$C45)*($C$15:$DF$15&lt;$C45+$D45))+$B45*Assumptions!$B$9*0.05*SUMPRODUCT(--($C$15:$DF$15=$G45)),0)</f>
        <v>0</v>
      </c>
      <c r="K45" s="112" t="n">
        <f aca="false">IF($E45="Yes",SUMPRODUCT(($C$15:$DF$15&gt;=$C45)*($C$15:$DF$15&lt;$C45+$D45)*$C$18:$DF$18),0)</f>
        <v>0</v>
      </c>
      <c r="L45" s="112" t="n">
        <f aca="false">J45-K45</f>
        <v>0</v>
      </c>
      <c r="M45" s="324" t="n">
        <f aca="false">$B$3*I45</f>
        <v>0.1</v>
      </c>
      <c r="N45" s="112" t="n">
        <f aca="false">IF($E45="Yes",$B$2*$B45,0)</f>
        <v>0</v>
      </c>
      <c r="O45" s="112" t="n">
        <f aca="false">M45*MAX(0,L45)</f>
        <v>0</v>
      </c>
      <c r="P45" s="112" t="n">
        <f aca="false">N45+Q45</f>
        <v>0</v>
      </c>
      <c r="Q45" s="112" t="n">
        <f aca="false">IF(AND($F45="Yes",$I45&lt;1),O45-N45,MAX(0,O45-N45))</f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112" t="n">
        <f aca="false">Projects!B42</f>
        <v>18000000</v>
      </c>
      <c r="C46" s="328" t="n">
        <f aca="false">Projects!C42</f>
        <v>74</v>
      </c>
      <c r="D46" s="328" t="n">
        <f aca="false">Projects!D42</f>
        <v>19</v>
      </c>
      <c r="E46" s="2" t="str">
        <f aca="false">Projects!G42</f>
        <v>No</v>
      </c>
      <c r="F46" s="2" t="str">
        <f aca="false">Projects!M42</f>
        <v>No</v>
      </c>
      <c r="G46" s="328" t="n">
        <f aca="false">C46+D46-1</f>
        <v>92</v>
      </c>
      <c r="H46" s="328" t="n">
        <f aca="false">C46+1</f>
        <v>75</v>
      </c>
      <c r="I46" s="324" t="n">
        <f aca="false">IF($F46="Yes",INDEX($G$6:$G$14,MATCH(MIN($G46,105),$B$6:$B$14,1)),1)</f>
        <v>1</v>
      </c>
      <c r="J46" s="112" t="n">
        <f aca="false">IF($E46="Yes",$B46*Assumptions!$B$9*0.95/$D46*SUMPRODUCT(($C$15:$DF$15&gt;=$C46)*($C$15:$DF$15&lt;$C46+$D46))+$B46*Assumptions!$B$9*0.05*SUMPRODUCT(--($C$15:$DF$15=$G46)),0)</f>
        <v>0</v>
      </c>
      <c r="K46" s="112" t="n">
        <f aca="false">IF($E46="Yes",SUMPRODUCT(($C$15:$DF$15&gt;=$C46)*($C$15:$DF$15&lt;$C46+$D46)*$C$18:$DF$18),0)</f>
        <v>0</v>
      </c>
      <c r="L46" s="112" t="n">
        <f aca="false">J46-K46</f>
        <v>0</v>
      </c>
      <c r="M46" s="324" t="n">
        <f aca="false">$B$3*I46</f>
        <v>0.1</v>
      </c>
      <c r="N46" s="112" t="n">
        <f aca="false">IF($E46="Yes",$B$2*$B46,0)</f>
        <v>0</v>
      </c>
      <c r="O46" s="112" t="n">
        <f aca="false">M46*MAX(0,L46)</f>
        <v>0</v>
      </c>
      <c r="P46" s="112" t="n">
        <f aca="false">N46+Q46</f>
        <v>0</v>
      </c>
      <c r="Q46" s="112" t="n">
        <f aca="false">IF(AND($F46="Yes",$I46&lt;1),O46-N46,MAX(0,O46-N46))</f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112" t="n">
        <f aca="false">Projects!B43</f>
        <v>15000000</v>
      </c>
      <c r="C47" s="328" t="n">
        <f aca="false">Projects!C43</f>
        <v>76</v>
      </c>
      <c r="D47" s="328" t="n">
        <f aca="false">Projects!D43</f>
        <v>19</v>
      </c>
      <c r="E47" s="2" t="str">
        <f aca="false">Projects!G43</f>
        <v>No</v>
      </c>
      <c r="F47" s="2" t="str">
        <f aca="false">Projects!M43</f>
        <v>No</v>
      </c>
      <c r="G47" s="328" t="n">
        <f aca="false">C47+D47-1</f>
        <v>94</v>
      </c>
      <c r="H47" s="328" t="n">
        <f aca="false">C47+1</f>
        <v>77</v>
      </c>
      <c r="I47" s="324" t="n">
        <f aca="false">IF($F47="Yes",INDEX($G$6:$G$14,MATCH(MIN($G47,105),$B$6:$B$14,1)),1)</f>
        <v>1</v>
      </c>
      <c r="J47" s="112" t="n">
        <f aca="false">IF($E47="Yes",$B47*Assumptions!$B$9*0.95/$D47*SUMPRODUCT(($C$15:$DF$15&gt;=$C47)*($C$15:$DF$15&lt;$C47+$D47))+$B47*Assumptions!$B$9*0.05*SUMPRODUCT(--($C$15:$DF$15=$G47)),0)</f>
        <v>0</v>
      </c>
      <c r="K47" s="112" t="n">
        <f aca="false">IF($E47="Yes",SUMPRODUCT(($C$15:$DF$15&gt;=$C47)*($C$15:$DF$15&lt;$C47+$D47)*$C$18:$DF$18),0)</f>
        <v>0</v>
      </c>
      <c r="L47" s="112" t="n">
        <f aca="false">J47-K47</f>
        <v>0</v>
      </c>
      <c r="M47" s="324" t="n">
        <f aca="false">$B$3*I47</f>
        <v>0.1</v>
      </c>
      <c r="N47" s="112" t="n">
        <f aca="false">IF($E47="Yes",$B$2*$B47,0)</f>
        <v>0</v>
      </c>
      <c r="O47" s="112" t="n">
        <f aca="false">M47*MAX(0,L47)</f>
        <v>0</v>
      </c>
      <c r="P47" s="112" t="n">
        <f aca="false">N47+Q47</f>
        <v>0</v>
      </c>
      <c r="Q47" s="11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112" t="n">
        <f aca="false">Projects!B44</f>
        <v>15000000</v>
      </c>
      <c r="C48" s="328" t="n">
        <f aca="false">Projects!C44</f>
        <v>78</v>
      </c>
      <c r="D48" s="328" t="n">
        <f aca="false">Projects!D44</f>
        <v>19</v>
      </c>
      <c r="E48" s="2" t="str">
        <f aca="false">Projects!G44</f>
        <v>No</v>
      </c>
      <c r="F48" s="2" t="str">
        <f aca="false">Projects!M44</f>
        <v>No</v>
      </c>
      <c r="G48" s="328" t="n">
        <f aca="false">C48+D48-1</f>
        <v>96</v>
      </c>
      <c r="H48" s="328" t="n">
        <f aca="false">C48+1</f>
        <v>79</v>
      </c>
      <c r="I48" s="324" t="n">
        <f aca="false">IF($F48="Yes",INDEX($G$6:$G$14,MATCH(MIN($G48,105),$B$6:$B$14,1)),1)</f>
        <v>1</v>
      </c>
      <c r="J48" s="112" t="n">
        <f aca="false">IF($E48="Yes",$B48*Assumptions!$B$9*0.95/$D48*SUMPRODUCT(($C$15:$DF$15&gt;=$C48)*($C$15:$DF$15&lt;$C48+$D48))+$B48*Assumptions!$B$9*0.05*SUMPRODUCT(--($C$15:$DF$15=$G48)),0)</f>
        <v>0</v>
      </c>
      <c r="K48" s="112" t="n">
        <f aca="false">IF($E48="Yes",SUMPRODUCT(($C$15:$DF$15&gt;=$C48)*($C$15:$DF$15&lt;$C48+$D48)*$C$18:$DF$18),0)</f>
        <v>0</v>
      </c>
      <c r="L48" s="112" t="n">
        <f aca="false">J48-K48</f>
        <v>0</v>
      </c>
      <c r="M48" s="324" t="n">
        <f aca="false">$B$3*I48</f>
        <v>0.1</v>
      </c>
      <c r="N48" s="112" t="n">
        <f aca="false">IF($E48="Yes",$B$2*$B48,0)</f>
        <v>0</v>
      </c>
      <c r="O48" s="112" t="n">
        <f aca="false">M48*MAX(0,L48)</f>
        <v>0</v>
      </c>
      <c r="P48" s="112" t="n">
        <f aca="false">N48+Q48</f>
        <v>0</v>
      </c>
      <c r="Q48" s="11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112" t="n">
        <f aca="false">Projects!B45</f>
        <v>18000000</v>
      </c>
      <c r="C49" s="328" t="n">
        <f aca="false">Projects!C45</f>
        <v>80</v>
      </c>
      <c r="D49" s="328" t="n">
        <f aca="false">Projects!D45</f>
        <v>19</v>
      </c>
      <c r="E49" s="2" t="str">
        <f aca="false">Projects!G45</f>
        <v>No</v>
      </c>
      <c r="F49" s="2" t="str">
        <f aca="false">Projects!M45</f>
        <v>No</v>
      </c>
      <c r="G49" s="328" t="n">
        <f aca="false">C49+D49-1</f>
        <v>98</v>
      </c>
      <c r="H49" s="328" t="n">
        <f aca="false">C49+1</f>
        <v>81</v>
      </c>
      <c r="I49" s="324" t="n">
        <f aca="false">IF($F49="Yes",INDEX($G$6:$G$14,MATCH(MIN($G49,105),$B$6:$B$14,1)),1)</f>
        <v>1</v>
      </c>
      <c r="J49" s="112" t="n">
        <f aca="false">IF($E49="Yes",$B49*Assumptions!$B$9*0.95/$D49*SUMPRODUCT(($C$15:$DF$15&gt;=$C49)*($C$15:$DF$15&lt;$C49+$D49))+$B49*Assumptions!$B$9*0.05*SUMPRODUCT(--($C$15:$DF$15=$G49)),0)</f>
        <v>0</v>
      </c>
      <c r="K49" s="112" t="n">
        <f aca="false">IF($E49="Yes",SUMPRODUCT(($C$15:$DF$15&gt;=$C49)*($C$15:$DF$15&lt;$C49+$D49)*$C$18:$DF$18),0)</f>
        <v>0</v>
      </c>
      <c r="L49" s="112" t="n">
        <f aca="false">J49-K49</f>
        <v>0</v>
      </c>
      <c r="M49" s="324" t="n">
        <f aca="false">$B$3*I49</f>
        <v>0.1</v>
      </c>
      <c r="N49" s="112" t="n">
        <f aca="false">IF($E49="Yes",$B$2*$B49,0)</f>
        <v>0</v>
      </c>
      <c r="O49" s="112" t="n">
        <f aca="false">M49*MAX(0,L49)</f>
        <v>0</v>
      </c>
      <c r="P49" s="112" t="n">
        <f aca="false">N49+Q49</f>
        <v>0</v>
      </c>
      <c r="Q49" s="11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112" t="n">
        <f aca="false">Projects!B46</f>
        <v>15000000</v>
      </c>
      <c r="C50" s="328" t="n">
        <f aca="false">Projects!C46</f>
        <v>82</v>
      </c>
      <c r="D50" s="328" t="n">
        <f aca="false">Projects!D46</f>
        <v>19</v>
      </c>
      <c r="E50" s="2" t="str">
        <f aca="false">Projects!G46</f>
        <v>No</v>
      </c>
      <c r="F50" s="2" t="str">
        <f aca="false">Projects!M46</f>
        <v>Yes</v>
      </c>
      <c r="G50" s="328" t="n">
        <f aca="false">C50+D50-1</f>
        <v>100</v>
      </c>
      <c r="H50" s="328" t="n">
        <f aca="false">C50+1</f>
        <v>83</v>
      </c>
      <c r="I50" s="324" t="n">
        <f aca="false">IF($F50="Yes",INDEX($G$6:$G$14,MATCH(MIN($G50,105),$B$6:$B$14,1)),1)</f>
        <v>0.25</v>
      </c>
      <c r="J50" s="112" t="n">
        <f aca="false">IF($E50="Yes",$B50*Assumptions!$B$9*0.95/$D50*SUMPRODUCT(($C$15:$DF$15&gt;=$C50)*($C$15:$DF$15&lt;$C50+$D50))+$B50*Assumptions!$B$9*0.05*SUMPRODUCT(--($C$15:$DF$15=$G50)),0)</f>
        <v>0</v>
      </c>
      <c r="K50" s="112" t="n">
        <f aca="false">IF($E50="Yes",SUMPRODUCT(($C$15:$DF$15&gt;=$C50)*($C$15:$DF$15&lt;$C50+$D50)*$C$18:$DF$18),0)</f>
        <v>0</v>
      </c>
      <c r="L50" s="112" t="n">
        <f aca="false">J50-K50</f>
        <v>0</v>
      </c>
      <c r="M50" s="324" t="n">
        <f aca="false">$B$3*I50</f>
        <v>0.025</v>
      </c>
      <c r="N50" s="112" t="n">
        <f aca="false">IF($E50="Yes",$B$2*$B50,0)</f>
        <v>0</v>
      </c>
      <c r="O50" s="112" t="n">
        <f aca="false">M50*MAX(0,L50)</f>
        <v>0</v>
      </c>
      <c r="P50" s="112" t="n">
        <f aca="false">N50+Q50</f>
        <v>0</v>
      </c>
      <c r="Q50" s="112" t="n">
        <f aca="false">IF(AND($F50="Yes",$I50&lt;1),O50-N50,MAX(0,O50-N50))</f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76" t="s">
        <v>892</v>
      </c>
      <c r="B53" s="2"/>
      <c r="C53" s="112" t="n">
        <f aca="false">SUMPRODUCT(($H$21:$H$50=C$15)*$N$21:$N$50)+SUMPRODUCT(($G$21:$G$50=C$15)*$Q$21:$Q$50)</f>
        <v>0</v>
      </c>
      <c r="D53" s="112" t="n">
        <f aca="false">SUMPRODUCT(($H$21:$H$50=D$15)*$N$21:$N$50)+SUMPRODUCT(($G$21:$G$50=D$15)*$Q$21:$Q$50)</f>
        <v>0</v>
      </c>
      <c r="E53" s="112" t="n">
        <f aca="false">SUMPRODUCT(($H$21:$H$50=E$15)*$N$21:$N$50)+SUMPRODUCT(($G$21:$G$50=E$15)*$Q$21:$Q$50)</f>
        <v>0</v>
      </c>
      <c r="F53" s="112" t="n">
        <f aca="false">SUMPRODUCT(($H$21:$H$50=F$15)*$N$21:$N$50)+SUMPRODUCT(($G$21:$G$50=F$15)*$Q$21:$Q$50)</f>
        <v>0</v>
      </c>
      <c r="G53" s="112" t="n">
        <f aca="false">SUMPRODUCT(($H$21:$H$50=G$15)*$N$21:$N$50)+SUMPRODUCT(($G$21:$G$50=G$15)*$Q$21:$Q$50)</f>
        <v>0</v>
      </c>
      <c r="H53" s="112" t="n">
        <f aca="false">SUMPRODUCT(($H$21:$H$50=H$15)*$N$21:$N$50)+SUMPRODUCT(($G$21:$G$50=H$15)*$Q$21:$Q$50)</f>
        <v>0</v>
      </c>
      <c r="I53" s="112" t="n">
        <f aca="false">SUMPRODUCT(($H$21:$H$50=I$15)*$N$21:$N$50)+SUMPRODUCT(($G$21:$G$50=I$15)*$Q$21:$Q$50)</f>
        <v>0</v>
      </c>
      <c r="J53" s="112" t="n">
        <f aca="false">SUMPRODUCT(($H$21:$H$50=J$15)*$N$21:$N$50)+SUMPRODUCT(($G$21:$G$50=J$15)*$Q$21:$Q$50)</f>
        <v>0</v>
      </c>
      <c r="K53" s="112" t="n">
        <f aca="false">SUMPRODUCT(($H$21:$H$50=K$15)*$N$21:$N$50)+SUMPRODUCT(($G$21:$G$50=K$15)*$Q$21:$Q$50)</f>
        <v>0</v>
      </c>
      <c r="L53" s="112" t="n">
        <f aca="false">SUMPRODUCT(($H$21:$H$50=L$15)*$N$21:$N$50)+SUMPRODUCT(($G$21:$G$50=L$15)*$Q$21:$Q$50)</f>
        <v>0</v>
      </c>
      <c r="M53" s="112" t="n">
        <f aca="false">SUMPRODUCT(($H$21:$H$50=M$15)*$N$21:$N$50)+SUMPRODUCT(($G$21:$G$50=M$15)*$Q$21:$Q$50)</f>
        <v>0</v>
      </c>
      <c r="N53" s="112" t="n">
        <f aca="false">SUMPRODUCT(($H$21:$H$50=N$15)*$N$21:$N$50)+SUMPRODUCT(($G$21:$G$50=N$15)*$Q$21:$Q$50)</f>
        <v>0</v>
      </c>
      <c r="O53" s="112" t="n">
        <f aca="false">SUMPRODUCT(($H$21:$H$50=O$15)*$N$21:$N$50)+SUMPRODUCT(($G$21:$G$50=O$15)*$Q$21:$Q$50)</f>
        <v>0</v>
      </c>
      <c r="P53" s="112" t="n">
        <f aca="false">SUMPRODUCT(($H$21:$H$50=P$15)*$N$21:$N$50)+SUMPRODUCT(($G$21:$G$50=P$15)*$Q$21:$Q$50)</f>
        <v>0</v>
      </c>
      <c r="Q53" s="112" t="n">
        <f aca="false">SUMPRODUCT(($H$21:$H$50=Q$15)*$N$21:$N$50)+SUMPRODUCT(($G$21:$G$50=Q$15)*$Q$21:$Q$50)</f>
        <v>0</v>
      </c>
      <c r="R53" s="112" t="n">
        <f aca="false">SUMPRODUCT(($H$21:$H$50=R$15)*$N$21:$N$50)+SUMPRODUCT(($G$21:$G$50=R$15)*$Q$21:$Q$50)</f>
        <v>0</v>
      </c>
      <c r="S53" s="112" t="n">
        <f aca="false">SUMPRODUCT(($H$21:$H$50=S$15)*$N$21:$N$50)+SUMPRODUCT(($G$21:$G$50=S$15)*$Q$21:$Q$50)</f>
        <v>38290.0375</v>
      </c>
      <c r="T53" s="112" t="n">
        <f aca="false">SUMPRODUCT(($H$21:$H$50=T$15)*$N$21:$N$50)+SUMPRODUCT(($G$21:$G$50=T$15)*$Q$21:$Q$50)</f>
        <v>28293.4625</v>
      </c>
      <c r="U53" s="112" t="n">
        <f aca="false">SUMPRODUCT(($H$21:$H$50=U$15)*$N$21:$N$50)+SUMPRODUCT(($G$21:$G$50=U$15)*$Q$21:$Q$50)</f>
        <v>46106.9225</v>
      </c>
      <c r="V53" s="112" t="n">
        <f aca="false">SUMPRODUCT(($H$21:$H$50=V$15)*$N$21:$N$50)+SUMPRODUCT(($G$21:$G$50=V$15)*$Q$21:$Q$50)</f>
        <v>0</v>
      </c>
      <c r="W53" s="112" t="n">
        <f aca="false">SUMPRODUCT(($H$21:$H$50=W$15)*$N$21:$N$50)+SUMPRODUCT(($G$21:$G$50=W$15)*$Q$21:$Q$50)</f>
        <v>0</v>
      </c>
      <c r="X53" s="112" t="n">
        <f aca="false">SUMPRODUCT(($H$21:$H$50=X$15)*$N$21:$N$50)+SUMPRODUCT(($G$21:$G$50=X$15)*$Q$21:$Q$50)</f>
        <v>0</v>
      </c>
      <c r="Y53" s="112" t="n">
        <f aca="false">SUMPRODUCT(($H$21:$H$50=Y$15)*$N$21:$N$50)+SUMPRODUCT(($G$21:$G$50=Y$15)*$Q$21:$Q$50)</f>
        <v>0</v>
      </c>
      <c r="Z53" s="112" t="n">
        <f aca="false">SUMPRODUCT(($H$21:$H$50=Z$15)*$N$21:$N$50)+SUMPRODUCT(($G$21:$G$50=Z$15)*$Q$21:$Q$50)</f>
        <v>0</v>
      </c>
      <c r="AA53" s="112" t="n">
        <f aca="false">SUMPRODUCT(($H$21:$H$50=AA$15)*$N$21:$N$50)+SUMPRODUCT(($G$21:$G$50=AA$15)*$Q$21:$Q$50)</f>
        <v>0</v>
      </c>
      <c r="AB53" s="112" t="n">
        <f aca="false">SUMPRODUCT(($H$21:$H$50=AB$15)*$N$21:$N$50)+SUMPRODUCT(($G$21:$G$50=AB$15)*$Q$21:$Q$50)</f>
        <v>0</v>
      </c>
      <c r="AC53" s="112" t="n">
        <f aca="false">SUMPRODUCT(($H$21:$H$50=AC$15)*$N$21:$N$50)+SUMPRODUCT(($G$21:$G$50=AC$15)*$Q$21:$Q$50)</f>
        <v>0</v>
      </c>
      <c r="AD53" s="112" t="n">
        <f aca="false">SUMPRODUCT(($H$21:$H$50=AD$15)*$N$21:$N$50)+SUMPRODUCT(($G$21:$G$50=AD$15)*$Q$21:$Q$50)</f>
        <v>0</v>
      </c>
      <c r="AE53" s="112" t="n">
        <f aca="false">SUMPRODUCT(($H$21:$H$50=AE$15)*$N$21:$N$50)+SUMPRODUCT(($G$21:$G$50=AE$15)*$Q$21:$Q$50)</f>
        <v>0</v>
      </c>
      <c r="AF53" s="112" t="n">
        <f aca="false">SUMPRODUCT(($H$21:$H$50=AF$15)*$N$21:$N$50)+SUMPRODUCT(($G$21:$G$50=AF$15)*$Q$21:$Q$50)</f>
        <v>0</v>
      </c>
      <c r="AG53" s="112" t="n">
        <f aca="false">SUMPRODUCT(($H$21:$H$50=AG$15)*$N$21:$N$50)+SUMPRODUCT(($G$21:$G$50=AG$15)*$Q$21:$Q$50)</f>
        <v>0</v>
      </c>
      <c r="AH53" s="112" t="n">
        <f aca="false">SUMPRODUCT(($H$21:$H$50=AH$15)*$N$21:$N$50)+SUMPRODUCT(($G$21:$G$50=AH$15)*$Q$21:$Q$50)</f>
        <v>0</v>
      </c>
      <c r="AI53" s="112" t="n">
        <f aca="false">SUMPRODUCT(($H$21:$H$50=AI$15)*$N$21:$N$50)+SUMPRODUCT(($G$21:$G$50=AI$15)*$Q$21:$Q$50)</f>
        <v>0</v>
      </c>
      <c r="AJ53" s="112" t="n">
        <f aca="false">SUMPRODUCT(($H$21:$H$50=AJ$15)*$N$21:$N$50)+SUMPRODUCT(($G$21:$G$50=AJ$15)*$Q$21:$Q$50)</f>
        <v>-22791.8838561155</v>
      </c>
      <c r="AK53" s="112" t="n">
        <f aca="false">SUMPRODUCT(($H$21:$H$50=AK$15)*$N$21:$N$50)+SUMPRODUCT(($G$21:$G$50=AK$15)*$Q$21:$Q$50)</f>
        <v>-25686.246670296</v>
      </c>
      <c r="AL53" s="112" t="n">
        <f aca="false">SUMPRODUCT(($H$21:$H$50=AL$15)*$N$21:$N$50)+SUMPRODUCT(($G$21:$G$50=AL$15)*$Q$21:$Q$50)</f>
        <v>-23537.3126508733</v>
      </c>
      <c r="AM53" s="112" t="n">
        <f aca="false">SUMPRODUCT(($H$21:$H$50=AM$15)*$N$21:$N$50)+SUMPRODUCT(($G$21:$G$50=AM$15)*$Q$21:$Q$50)</f>
        <v>0</v>
      </c>
      <c r="AN53" s="112" t="n">
        <f aca="false">SUMPRODUCT(($H$21:$H$50=AN$15)*$N$21:$N$50)+SUMPRODUCT(($G$21:$G$50=AN$15)*$Q$21:$Q$50)</f>
        <v>0</v>
      </c>
      <c r="AO53" s="112" t="n">
        <f aca="false">SUMPRODUCT(($H$21:$H$50=AO$15)*$N$21:$N$50)+SUMPRODUCT(($G$21:$G$50=AO$15)*$Q$21:$Q$50)</f>
        <v>0</v>
      </c>
      <c r="AP53" s="112" t="n">
        <f aca="false">SUMPRODUCT(($H$21:$H$50=AP$15)*$N$21:$N$50)+SUMPRODUCT(($G$21:$G$50=AP$15)*$Q$21:$Q$50)</f>
        <v>0</v>
      </c>
      <c r="AQ53" s="112" t="n">
        <f aca="false">SUMPRODUCT(($H$21:$H$50=AQ$15)*$N$21:$N$50)+SUMPRODUCT(($G$21:$G$50=AQ$15)*$Q$21:$Q$50)</f>
        <v>0</v>
      </c>
      <c r="AR53" s="112" t="n">
        <f aca="false">SUMPRODUCT(($H$21:$H$50=AR$15)*$N$21:$N$50)+SUMPRODUCT(($G$21:$G$50=AR$15)*$Q$21:$Q$50)</f>
        <v>0</v>
      </c>
      <c r="AS53" s="112" t="n">
        <f aca="false">SUMPRODUCT(($H$21:$H$50=AS$15)*$N$21:$N$50)+SUMPRODUCT(($G$21:$G$50=AS$15)*$Q$21:$Q$50)</f>
        <v>0</v>
      </c>
      <c r="AT53" s="112" t="n">
        <f aca="false">SUMPRODUCT(($H$21:$H$50=AT$15)*$N$21:$N$50)+SUMPRODUCT(($G$21:$G$50=AT$15)*$Q$21:$Q$50)</f>
        <v>0</v>
      </c>
      <c r="AU53" s="112" t="n">
        <f aca="false">SUMPRODUCT(($H$21:$H$50=AU$15)*$N$21:$N$50)+SUMPRODUCT(($G$21:$G$50=AU$15)*$Q$21:$Q$50)</f>
        <v>0</v>
      </c>
      <c r="AV53" s="112" t="n">
        <f aca="false">SUMPRODUCT(($H$21:$H$50=AV$15)*$N$21:$N$50)+SUMPRODUCT(($G$21:$G$50=AV$15)*$Q$21:$Q$50)</f>
        <v>0</v>
      </c>
      <c r="AW53" s="112" t="n">
        <f aca="false">SUMPRODUCT(($H$21:$H$50=AW$15)*$N$21:$N$50)+SUMPRODUCT(($G$21:$G$50=AW$15)*$Q$21:$Q$50)</f>
        <v>0</v>
      </c>
      <c r="AX53" s="112" t="n">
        <f aca="false">SUMPRODUCT(($H$21:$H$50=AX$15)*$N$21:$N$50)+SUMPRODUCT(($G$21:$G$50=AX$15)*$Q$21:$Q$50)</f>
        <v>0</v>
      </c>
      <c r="AY53" s="112" t="n">
        <f aca="false">SUMPRODUCT(($H$21:$H$50=AY$15)*$N$21:$N$50)+SUMPRODUCT(($G$21:$G$50=AY$15)*$Q$21:$Q$50)</f>
        <v>0</v>
      </c>
      <c r="AZ53" s="112" t="n">
        <f aca="false">SUMPRODUCT(($H$21:$H$50=AZ$15)*$N$21:$N$50)+SUMPRODUCT(($G$21:$G$50=AZ$15)*$Q$21:$Q$50)</f>
        <v>0</v>
      </c>
      <c r="BA53" s="112" t="n">
        <f aca="false">SUMPRODUCT(($H$21:$H$50=BA$15)*$N$21:$N$50)+SUMPRODUCT(($G$21:$G$50=BA$15)*$Q$21:$Q$50)</f>
        <v>0</v>
      </c>
      <c r="BB53" s="112" t="n">
        <f aca="false">SUMPRODUCT(($H$21:$H$50=BB$15)*$N$21:$N$50)+SUMPRODUCT(($G$21:$G$50=BB$15)*$Q$21:$Q$50)</f>
        <v>0</v>
      </c>
      <c r="BC53" s="112" t="n">
        <f aca="false">SUMPRODUCT(($H$21:$H$50=BC$15)*$N$21:$N$50)+SUMPRODUCT(($G$21:$G$50=BC$15)*$Q$21:$Q$50)</f>
        <v>0</v>
      </c>
      <c r="BD53" s="112" t="n">
        <f aca="false">SUMPRODUCT(($H$21:$H$50=BD$15)*$N$21:$N$50)+SUMPRODUCT(($G$21:$G$50=BD$15)*$Q$21:$Q$50)</f>
        <v>0</v>
      </c>
      <c r="BE53" s="112" t="n">
        <f aca="false">SUMPRODUCT(($H$21:$H$50=BE$15)*$N$21:$N$50)+SUMPRODUCT(($G$21:$G$50=BE$15)*$Q$21:$Q$50)</f>
        <v>0</v>
      </c>
      <c r="BF53" s="112" t="n">
        <f aca="false">SUMPRODUCT(($H$21:$H$50=BF$15)*$N$21:$N$50)+SUMPRODUCT(($G$21:$G$50=BF$15)*$Q$21:$Q$50)</f>
        <v>0</v>
      </c>
      <c r="BG53" s="112" t="n">
        <f aca="false">SUMPRODUCT(($H$21:$H$50=BG$15)*$N$21:$N$50)+SUMPRODUCT(($G$21:$G$50=BG$15)*$Q$21:$Q$50)</f>
        <v>0</v>
      </c>
      <c r="BH53" s="112" t="n">
        <f aca="false">SUMPRODUCT(($H$21:$H$50=BH$15)*$N$21:$N$50)+SUMPRODUCT(($G$21:$G$50=BH$15)*$Q$21:$Q$50)</f>
        <v>0</v>
      </c>
      <c r="BI53" s="112" t="n">
        <f aca="false">SUMPRODUCT(($H$21:$H$50=BI$15)*$N$21:$N$50)+SUMPRODUCT(($G$21:$G$50=BI$15)*$Q$21:$Q$50)</f>
        <v>0</v>
      </c>
      <c r="BJ53" s="112" t="n">
        <f aca="false">SUMPRODUCT(($H$21:$H$50=BJ$15)*$N$21:$N$50)+SUMPRODUCT(($G$21:$G$50=BJ$15)*$Q$21:$Q$50)</f>
        <v>0</v>
      </c>
      <c r="BK53" s="112" t="n">
        <f aca="false">SUMPRODUCT(($H$21:$H$50=BK$15)*$N$21:$N$50)+SUMPRODUCT(($G$21:$G$50=BK$15)*$Q$21:$Q$50)</f>
        <v>0</v>
      </c>
      <c r="BL53" s="112" t="n">
        <f aca="false">SUMPRODUCT(($H$21:$H$50=BL$15)*$N$21:$N$50)+SUMPRODUCT(($G$21:$G$50=BL$15)*$Q$21:$Q$50)</f>
        <v>0</v>
      </c>
      <c r="BM53" s="112" t="n">
        <f aca="false">SUMPRODUCT(($H$21:$H$50=BM$15)*$N$21:$N$50)+SUMPRODUCT(($G$21:$G$50=BM$15)*$Q$21:$Q$50)</f>
        <v>0</v>
      </c>
      <c r="BN53" s="112" t="n">
        <f aca="false">SUMPRODUCT(($H$21:$H$50=BN$15)*$N$21:$N$50)+SUMPRODUCT(($G$21:$G$50=BN$15)*$Q$21:$Q$50)</f>
        <v>0</v>
      </c>
      <c r="BO53" s="112" t="n">
        <f aca="false">SUMPRODUCT(($H$21:$H$50=BO$15)*$N$21:$N$50)+SUMPRODUCT(($G$21:$G$50=BO$15)*$Q$21:$Q$50)</f>
        <v>0</v>
      </c>
      <c r="BP53" s="112" t="n">
        <f aca="false">SUMPRODUCT(($H$21:$H$50=BP$15)*$N$21:$N$50)+SUMPRODUCT(($G$21:$G$50=BP$15)*$Q$21:$Q$50)</f>
        <v>0</v>
      </c>
      <c r="BQ53" s="112" t="n">
        <f aca="false">SUMPRODUCT(($H$21:$H$50=BQ$15)*$N$21:$N$50)+SUMPRODUCT(($G$21:$G$50=BQ$15)*$Q$21:$Q$50)</f>
        <v>0</v>
      </c>
      <c r="BR53" s="112" t="n">
        <f aca="false">SUMPRODUCT(($H$21:$H$50=BR$15)*$N$21:$N$50)+SUMPRODUCT(($G$21:$G$50=BR$15)*$Q$21:$Q$50)</f>
        <v>0</v>
      </c>
      <c r="BS53" s="112" t="n">
        <f aca="false">SUMPRODUCT(($H$21:$H$50=BS$15)*$N$21:$N$50)+SUMPRODUCT(($G$21:$G$50=BS$15)*$Q$21:$Q$50)</f>
        <v>0</v>
      </c>
      <c r="BT53" s="112" t="n">
        <f aca="false">SUMPRODUCT(($H$21:$H$50=BT$15)*$N$21:$N$50)+SUMPRODUCT(($G$21:$G$50=BT$15)*$Q$21:$Q$50)</f>
        <v>0</v>
      </c>
      <c r="BU53" s="112" t="n">
        <f aca="false">SUMPRODUCT(($H$21:$H$50=BU$15)*$N$21:$N$50)+SUMPRODUCT(($G$21:$G$50=BU$15)*$Q$21:$Q$50)</f>
        <v>0</v>
      </c>
      <c r="BV53" s="112" t="n">
        <f aca="false">SUMPRODUCT(($H$21:$H$50=BV$15)*$N$21:$N$50)+SUMPRODUCT(($G$21:$G$50=BV$15)*$Q$21:$Q$50)</f>
        <v>0</v>
      </c>
      <c r="BW53" s="112" t="n">
        <f aca="false">SUMPRODUCT(($H$21:$H$50=BW$15)*$N$21:$N$50)+SUMPRODUCT(($G$21:$G$50=BW$15)*$Q$21:$Q$50)</f>
        <v>0</v>
      </c>
      <c r="BX53" s="112" t="n">
        <f aca="false">SUMPRODUCT(($H$21:$H$50=BX$15)*$N$21:$N$50)+SUMPRODUCT(($G$21:$G$50=BX$15)*$Q$21:$Q$50)</f>
        <v>0</v>
      </c>
      <c r="BY53" s="112" t="n">
        <f aca="false">SUMPRODUCT(($H$21:$H$50=BY$15)*$N$21:$N$50)+SUMPRODUCT(($G$21:$G$50=BY$15)*$Q$21:$Q$50)</f>
        <v>0</v>
      </c>
      <c r="BZ53" s="112" t="n">
        <f aca="false">SUMPRODUCT(($H$21:$H$50=BZ$15)*$N$21:$N$50)+SUMPRODUCT(($G$21:$G$50=BZ$15)*$Q$21:$Q$50)</f>
        <v>0</v>
      </c>
      <c r="CA53" s="112" t="n">
        <f aca="false">SUMPRODUCT(($H$21:$H$50=CA$15)*$N$21:$N$50)+SUMPRODUCT(($G$21:$G$50=CA$15)*$Q$21:$Q$50)</f>
        <v>0</v>
      </c>
      <c r="CB53" s="112" t="n">
        <f aca="false">SUMPRODUCT(($H$21:$H$50=CB$15)*$N$21:$N$50)+SUMPRODUCT(($G$21:$G$50=CB$15)*$Q$21:$Q$50)</f>
        <v>0</v>
      </c>
      <c r="CC53" s="112" t="n">
        <f aca="false">SUMPRODUCT(($H$21:$H$50=CC$15)*$N$21:$N$50)+SUMPRODUCT(($G$21:$G$50=CC$15)*$Q$21:$Q$50)</f>
        <v>0</v>
      </c>
      <c r="CD53" s="112" t="n">
        <f aca="false">SUMPRODUCT(($H$21:$H$50=CD$15)*$N$21:$N$50)+SUMPRODUCT(($G$21:$G$50=CD$15)*$Q$21:$Q$50)</f>
        <v>0</v>
      </c>
      <c r="CE53" s="112" t="n">
        <f aca="false">SUMPRODUCT(($H$21:$H$50=CE$15)*$N$21:$N$50)+SUMPRODUCT(($G$21:$G$50=CE$15)*$Q$21:$Q$50)</f>
        <v>0</v>
      </c>
      <c r="CF53" s="112" t="n">
        <f aca="false">SUMPRODUCT(($H$21:$H$50=CF$15)*$N$21:$N$50)+SUMPRODUCT(($G$21:$G$50=CF$15)*$Q$21:$Q$50)</f>
        <v>0</v>
      </c>
      <c r="CG53" s="112" t="n">
        <f aca="false">SUMPRODUCT(($H$21:$H$50=CG$15)*$N$21:$N$50)+SUMPRODUCT(($G$21:$G$50=CG$15)*$Q$21:$Q$50)</f>
        <v>0</v>
      </c>
      <c r="CH53" s="112" t="n">
        <f aca="false">SUMPRODUCT(($H$21:$H$50=CH$15)*$N$21:$N$50)+SUMPRODUCT(($G$21:$G$50=CH$15)*$Q$21:$Q$50)</f>
        <v>0</v>
      </c>
      <c r="CI53" s="112" t="n">
        <f aca="false">SUMPRODUCT(($H$21:$H$50=CI$15)*$N$21:$N$50)+SUMPRODUCT(($G$21:$G$50=CI$15)*$Q$21:$Q$50)</f>
        <v>0</v>
      </c>
      <c r="CJ53" s="112" t="n">
        <f aca="false">SUMPRODUCT(($H$21:$H$50=CJ$15)*$N$21:$N$50)+SUMPRODUCT(($G$21:$G$50=CJ$15)*$Q$21:$Q$50)</f>
        <v>0</v>
      </c>
      <c r="CK53" s="112" t="n">
        <f aca="false">SUMPRODUCT(($H$21:$H$50=CK$15)*$N$21:$N$50)+SUMPRODUCT(($G$21:$G$50=CK$15)*$Q$21:$Q$50)</f>
        <v>0</v>
      </c>
      <c r="CL53" s="112" t="n">
        <f aca="false">SUMPRODUCT(($H$21:$H$50=CL$15)*$N$21:$N$50)+SUMPRODUCT(($G$21:$G$50=CL$15)*$Q$21:$Q$50)</f>
        <v>0</v>
      </c>
      <c r="CM53" s="112" t="n">
        <f aca="false">SUMPRODUCT(($H$21:$H$50=CM$15)*$N$21:$N$50)+SUMPRODUCT(($G$21:$G$50=CM$15)*$Q$21:$Q$50)</f>
        <v>0</v>
      </c>
      <c r="CN53" s="112" t="n">
        <f aca="false">SUMPRODUCT(($H$21:$H$50=CN$15)*$N$21:$N$50)+SUMPRODUCT(($G$21:$G$50=CN$15)*$Q$21:$Q$50)</f>
        <v>0</v>
      </c>
      <c r="CO53" s="112" t="n">
        <f aca="false">SUMPRODUCT(($H$21:$H$50=CO$15)*$N$21:$N$50)+SUMPRODUCT(($G$21:$G$50=CO$15)*$Q$21:$Q$50)</f>
        <v>0</v>
      </c>
      <c r="CP53" s="112" t="n">
        <f aca="false">SUMPRODUCT(($H$21:$H$50=CP$15)*$N$21:$N$50)+SUMPRODUCT(($G$21:$G$50=CP$15)*$Q$21:$Q$50)</f>
        <v>0</v>
      </c>
      <c r="CQ53" s="112" t="n">
        <f aca="false">SUMPRODUCT(($H$21:$H$50=CQ$15)*$N$21:$N$50)+SUMPRODUCT(($G$21:$G$50=CQ$15)*$Q$21:$Q$50)</f>
        <v>0</v>
      </c>
      <c r="CR53" s="112" t="n">
        <f aca="false">SUMPRODUCT(($H$21:$H$50=CR$15)*$N$21:$N$50)+SUMPRODUCT(($G$21:$G$50=CR$15)*$Q$21:$Q$50)</f>
        <v>0</v>
      </c>
      <c r="CS53" s="112" t="n">
        <f aca="false">SUMPRODUCT(($H$21:$H$50=CS$15)*$N$21:$N$50)+SUMPRODUCT(($G$21:$G$50=CS$15)*$Q$21:$Q$50)</f>
        <v>0</v>
      </c>
      <c r="CT53" s="112" t="n">
        <f aca="false">SUMPRODUCT(($H$21:$H$50=CT$15)*$N$21:$N$50)+SUMPRODUCT(($G$21:$G$50=CT$15)*$Q$21:$Q$50)</f>
        <v>0</v>
      </c>
      <c r="CU53" s="112" t="n">
        <f aca="false">SUMPRODUCT(($H$21:$H$50=CU$15)*$N$21:$N$50)+SUMPRODUCT(($G$21:$G$50=CU$15)*$Q$21:$Q$50)</f>
        <v>0</v>
      </c>
      <c r="CV53" s="112" t="n">
        <f aca="false">SUMPRODUCT(($H$21:$H$50=CV$15)*$N$21:$N$50)+SUMPRODUCT(($G$21:$G$50=CV$15)*$Q$21:$Q$50)</f>
        <v>0</v>
      </c>
      <c r="CW53" s="112" t="n">
        <f aca="false">SUMPRODUCT(($H$21:$H$50=CW$15)*$N$21:$N$50)+SUMPRODUCT(($G$21:$G$50=CW$15)*$Q$21:$Q$50)</f>
        <v>0</v>
      </c>
      <c r="CX53" s="112" t="n">
        <f aca="false">SUMPRODUCT(($H$21:$H$50=CX$15)*$N$21:$N$50)+SUMPRODUCT(($G$21:$G$50=CX$15)*$Q$21:$Q$50)</f>
        <v>0</v>
      </c>
      <c r="CY53" s="112" t="n">
        <f aca="false">SUMPRODUCT(($H$21:$H$50=CY$15)*$N$21:$N$50)+SUMPRODUCT(($G$21:$G$50=CY$15)*$Q$21:$Q$50)</f>
        <v>0</v>
      </c>
      <c r="CZ53" s="112" t="n">
        <f aca="false">SUMPRODUCT(($H$21:$H$50=CZ$15)*$N$21:$N$50)+SUMPRODUCT(($G$21:$G$50=CZ$15)*$Q$21:$Q$50)</f>
        <v>0</v>
      </c>
      <c r="DA53" s="112" t="n">
        <f aca="false">SUMPRODUCT(($H$21:$H$50=DA$15)*$N$21:$N$50)+SUMPRODUCT(($G$21:$G$50=DA$15)*$Q$21:$Q$50)</f>
        <v>0</v>
      </c>
      <c r="DB53" s="112" t="n">
        <f aca="false">SUMPRODUCT(($H$21:$H$50=DB$15)*$N$21:$N$50)+SUMPRODUCT(($G$21:$G$50=DB$15)*$Q$21:$Q$50)</f>
        <v>0</v>
      </c>
      <c r="DC53" s="112" t="n">
        <f aca="false">SUMPRODUCT(($H$21:$H$50=DC$15)*$N$21:$N$50)+SUMPRODUCT(($G$21:$G$50=DC$15)*$Q$21:$Q$50)</f>
        <v>0</v>
      </c>
      <c r="DD53" s="112" t="n">
        <f aca="false">SUMPRODUCT(($H$21:$H$50=DD$15)*$N$21:$N$50)+SUMPRODUCT(($G$21:$G$50=DD$15)*$Q$21:$Q$50)</f>
        <v>0</v>
      </c>
      <c r="DE53" s="112" t="n">
        <f aca="false">SUMPRODUCT(($H$21:$H$50=DE$15)*$N$21:$N$50)+SUMPRODUCT(($G$21:$G$50=DE$15)*$Q$21:$Q$50)</f>
        <v>0</v>
      </c>
      <c r="DF53" s="11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32" customFormat="true" ht="15" hidden="false" customHeight="true" outlineLevel="0" collapsed="false">
      <c r="A1" s="331" t="s">
        <v>337</v>
      </c>
      <c r="B1" s="331" t="s">
        <v>893</v>
      </c>
      <c r="C1" s="331" t="s">
        <v>894</v>
      </c>
      <c r="D1" s="331" t="s">
        <v>895</v>
      </c>
      <c r="E1" s="331" t="s">
        <v>896</v>
      </c>
      <c r="F1" s="331" t="s">
        <v>897</v>
      </c>
      <c r="G1" s="331" t="s">
        <v>898</v>
      </c>
    </row>
    <row r="2" customFormat="false" ht="15" hidden="false" customHeight="true" outlineLevel="0" collapsed="false">
      <c r="A2" s="333" t="s">
        <v>7</v>
      </c>
      <c r="B2" s="334" t="n">
        <v>52965.93</v>
      </c>
      <c r="C2" s="334" t="n">
        <v>484492.55</v>
      </c>
      <c r="D2" s="335" t="n">
        <f aca="false">C2*0.05</f>
        <v>24224.6275</v>
      </c>
      <c r="E2" s="335" t="n">
        <f aca="false">B2+D2</f>
        <v>77190.5575</v>
      </c>
      <c r="F2" s="336" t="n">
        <f aca="false">Projects!$C$2+Projects!$D$2-1</f>
        <v>8</v>
      </c>
      <c r="G2" s="337" t="n">
        <f aca="false">EDATE(DATE(2026,4,1),F2-1)</f>
        <v>46327</v>
      </c>
    </row>
    <row r="3" customFormat="false" ht="15" hidden="false" customHeight="true" outlineLevel="0" collapsed="false">
      <c r="A3" s="333" t="s">
        <v>8</v>
      </c>
      <c r="B3" s="334" t="n">
        <v>56550.1</v>
      </c>
      <c r="C3" s="334" t="n">
        <v>1618053.66</v>
      </c>
      <c r="D3" s="335" t="n">
        <f aca="false">C3*0.05</f>
        <v>80902.683</v>
      </c>
      <c r="E3" s="335" t="n">
        <f aca="false">B3+D3</f>
        <v>137452.783</v>
      </c>
      <c r="F3" s="336" t="n">
        <f aca="false">Projects!$C$3+Projects!$D$3-1</f>
        <v>16</v>
      </c>
      <c r="G3" s="337" t="n">
        <f aca="false">EDATE(DATE(2026,4,1),F3-1)</f>
        <v>46569</v>
      </c>
    </row>
    <row r="4" customFormat="false" ht="15" hidden="false" customHeight="true" outlineLevel="0" collapsed="false">
      <c r="A4" s="333" t="s">
        <v>9</v>
      </c>
      <c r="B4" s="334" t="n">
        <v>28618.65</v>
      </c>
      <c r="C4" s="334" t="n">
        <v>1427191.97</v>
      </c>
      <c r="D4" s="335" t="n">
        <f aca="false">C4*0.05</f>
        <v>71359.5985</v>
      </c>
      <c r="E4" s="335" t="n">
        <f aca="false">B4+D4</f>
        <v>99978.2485</v>
      </c>
      <c r="F4" s="336" t="n">
        <f aca="false">Projects!$C$4+Projects!$D$4-1</f>
        <v>15</v>
      </c>
      <c r="G4" s="337" t="n">
        <f aca="false">EDATE(DATE(2026,4,1),F4-1)</f>
        <v>46539</v>
      </c>
    </row>
    <row r="5" customFormat="false" ht="15" hidden="false" customHeight="true" outlineLevel="0" collapsed="false">
      <c r="A5" s="333" t="s">
        <v>10</v>
      </c>
      <c r="B5" s="334" t="n">
        <v>28203</v>
      </c>
      <c r="C5" s="334" t="n">
        <v>1760934.2</v>
      </c>
      <c r="D5" s="335" t="n">
        <f aca="false">C5*0.05</f>
        <v>88046.71</v>
      </c>
      <c r="E5" s="335" t="n">
        <f aca="false">B5+D5</f>
        <v>116249.71</v>
      </c>
      <c r="F5" s="336" t="n">
        <f aca="false">Projects!$C$5+Projects!$D$5-1</f>
        <v>15</v>
      </c>
      <c r="G5" s="337" t="n">
        <f aca="false">EDATE(DATE(2026,4,1),F5-1)</f>
        <v>46539</v>
      </c>
    </row>
    <row r="6" customFormat="false" ht="15" hidden="false" customHeight="true" outlineLevel="0" collapsed="false">
      <c r="A6" s="333" t="s">
        <v>11</v>
      </c>
      <c r="B6" s="334" t="n">
        <v>10538.39</v>
      </c>
      <c r="C6" s="334" t="n">
        <v>391271.27</v>
      </c>
      <c r="D6" s="335" t="n">
        <f aca="false">C6*0.05</f>
        <v>19563.5635</v>
      </c>
      <c r="E6" s="335" t="n">
        <f aca="false">B6+D6</f>
        <v>30101.9535</v>
      </c>
      <c r="F6" s="336" t="n">
        <f aca="false">Projects!$C$6+Projects!$D$6-1</f>
        <v>19</v>
      </c>
      <c r="G6" s="337" t="n">
        <f aca="false">EDATE(DATE(2026,4,1),F6-1)</f>
        <v>46661</v>
      </c>
    </row>
    <row r="7" customFormat="false" ht="15" hidden="false" customHeight="true" outlineLevel="0" collapsed="false">
      <c r="A7" s="333" t="s">
        <v>12</v>
      </c>
      <c r="B7" s="334" t="n">
        <v>0</v>
      </c>
      <c r="C7" s="335" t="n">
        <f aca="false">IF(Projects!$G$7="Yes",Projects!$B$7*(Assumptions!$B$10+Assumptions!$B$11+Assumptions!$B$12),0)</f>
        <v>5152104.553115</v>
      </c>
      <c r="D7" s="335" t="n">
        <f aca="false">C7*0.05</f>
        <v>257605.22765575</v>
      </c>
      <c r="E7" s="335" t="n">
        <f aca="false">B7+D7</f>
        <v>257605.22765575</v>
      </c>
      <c r="F7" s="336" t="n">
        <f aca="false">Projects!$C$7+Projects!$D$7-1</f>
        <v>34</v>
      </c>
      <c r="G7" s="337" t="n">
        <f aca="false">EDATE(DATE(2026,4,1),F7-1)</f>
        <v>47119</v>
      </c>
    </row>
    <row r="8" customFormat="false" ht="15" hidden="false" customHeight="true" outlineLevel="0" collapsed="false">
      <c r="A8" s="333" t="s">
        <v>13</v>
      </c>
      <c r="B8" s="334" t="n">
        <v>0</v>
      </c>
      <c r="C8" s="335" t="n">
        <f aca="false">IF(Projects!$G$8="Yes",Projects!$B$8*(Assumptions!$B$10+Assumptions!$B$11+Assumptions!$B$12),0)</f>
        <v>1564333.69243555</v>
      </c>
      <c r="D8" s="335" t="n">
        <f aca="false">C8*0.05</f>
        <v>78216.6846217775</v>
      </c>
      <c r="E8" s="335" t="n">
        <f aca="false">B8+D8</f>
        <v>78216.6846217775</v>
      </c>
      <c r="F8" s="336" t="n">
        <f aca="false">Projects!$C$8+Projects!$D$8-1</f>
        <v>23</v>
      </c>
      <c r="G8" s="337" t="n">
        <f aca="false">EDATE(DATE(2026,4,1),F8-1)</f>
        <v>46784</v>
      </c>
    </row>
    <row r="9" customFormat="false" ht="15" hidden="false" customHeight="true" outlineLevel="0" collapsed="false">
      <c r="A9" s="333" t="s">
        <v>14</v>
      </c>
      <c r="B9" s="334" t="n">
        <v>0</v>
      </c>
      <c r="C9" s="335" t="n">
        <f aca="false">IF(Projects!$G$9="Yes",Projects!$B$9*(Assumptions!$B$10+Assumptions!$B$11+Assumptions!$B$12),0)</f>
        <v>1726047.0672228</v>
      </c>
      <c r="D9" s="335" t="n">
        <f aca="false">C9*0.05</f>
        <v>86302.35336114</v>
      </c>
      <c r="E9" s="335" t="n">
        <f aca="false">B9+D9</f>
        <v>86302.35336114</v>
      </c>
      <c r="F9" s="336" t="n">
        <f aca="false">Projects!$C$9+Projects!$D$9-1</f>
        <v>34</v>
      </c>
      <c r="G9" s="337" t="n">
        <f aca="false">EDATE(DATE(2026,4,1),F9-1)</f>
        <v>47119</v>
      </c>
    </row>
    <row r="10" customFormat="false" ht="15" hidden="false" customHeight="true" outlineLevel="0" collapsed="false">
      <c r="A10" s="333" t="s">
        <v>15</v>
      </c>
      <c r="B10" s="334" t="n">
        <v>0</v>
      </c>
      <c r="C10" s="335" t="n">
        <f aca="false">IF(Projects!$G$10="Yes",Projects!$B$10*(Assumptions!$B$10+Assumptions!$B$11+Assumptions!$B$12),0)</f>
        <v>2559922.591355</v>
      </c>
      <c r="D10" s="335" t="n">
        <f aca="false">C10*0.05</f>
        <v>127996.12956775</v>
      </c>
      <c r="E10" s="335" t="n">
        <f aca="false">B10+D10</f>
        <v>127996.12956775</v>
      </c>
      <c r="F10" s="336" t="n">
        <f aca="false">Projects!$C$10+Projects!$D$10-1</f>
        <v>29</v>
      </c>
      <c r="G10" s="337" t="n">
        <f aca="false">EDATE(DATE(2026,4,1),F10-1)</f>
        <v>46966</v>
      </c>
    </row>
    <row r="11" customFormat="false" ht="15" hidden="false" customHeight="true" outlineLevel="0" collapsed="false">
      <c r="A11" s="333" t="s">
        <v>16</v>
      </c>
      <c r="B11" s="334" t="n">
        <v>0</v>
      </c>
      <c r="C11" s="335" t="n">
        <f aca="false">IF(Projects!$G$11="Yes",Projects!$B$11*(Assumptions!$B$10+Assumptions!$B$11+Assumptions!$B$12),0)</f>
        <v>0</v>
      </c>
      <c r="D11" s="335" t="n">
        <f aca="false">C11*0.05</f>
        <v>0</v>
      </c>
      <c r="E11" s="335" t="n">
        <f aca="false">B11+D11</f>
        <v>0</v>
      </c>
      <c r="F11" s="336" t="n">
        <f aca="false">Projects!$C$11+Projects!$D$11-1</f>
        <v>23</v>
      </c>
      <c r="G11" s="337" t="n">
        <f aca="false">EDATE(DATE(2026,4,1),F11-1)</f>
        <v>46784</v>
      </c>
    </row>
    <row r="12" customFormat="false" ht="15" hidden="false" customHeight="true" outlineLevel="0" collapsed="false">
      <c r="A12" s="333" t="s">
        <v>17</v>
      </c>
      <c r="B12" s="334" t="n">
        <v>0</v>
      </c>
      <c r="C12" s="335" t="n">
        <f aca="false">IF(Projects!$G$12="Yes",Projects!$B$12*(Assumptions!$B$10+Assumptions!$B$11+Assumptions!$B$12),0)</f>
        <v>0</v>
      </c>
      <c r="D12" s="335" t="n">
        <f aca="false">C12*0.05</f>
        <v>0</v>
      </c>
      <c r="E12" s="335" t="n">
        <f aca="false">B12+D12</f>
        <v>0</v>
      </c>
      <c r="F12" s="336" t="n">
        <f aca="false">Projects!$C$12+Projects!$D$12-1</f>
        <v>24</v>
      </c>
      <c r="G12" s="337" t="n">
        <f aca="false">EDATE(DATE(2026,4,1),F12-1)</f>
        <v>46813</v>
      </c>
    </row>
    <row r="13" customFormat="false" ht="15" hidden="false" customHeight="true" outlineLevel="0" collapsed="false">
      <c r="A13" s="333" t="s">
        <v>18</v>
      </c>
      <c r="B13" s="334" t="n">
        <v>0</v>
      </c>
      <c r="C13" s="335" t="n">
        <f aca="false">IF(Projects!$G$13="Yes",Projects!$B$13*(Assumptions!$B$10+Assumptions!$B$11+Assumptions!$B$12),0)</f>
        <v>5449711.70707</v>
      </c>
      <c r="D13" s="335" t="n">
        <f aca="false">C13*0.05</f>
        <v>272485.5853535</v>
      </c>
      <c r="E13" s="335" t="n">
        <f aca="false">B13+D13</f>
        <v>272485.5853535</v>
      </c>
      <c r="F13" s="336" t="n">
        <f aca="false">Projects!$C$13+Projects!$D$13-1</f>
        <v>42</v>
      </c>
      <c r="G13" s="337" t="n">
        <f aca="false">EDATE(DATE(2026,4,1),F13-1)</f>
        <v>47362</v>
      </c>
    </row>
    <row r="14" customFormat="false" ht="15" hidden="false" customHeight="true" outlineLevel="0" collapsed="false">
      <c r="A14" s="333" t="s">
        <v>19</v>
      </c>
      <c r="B14" s="334" t="n">
        <v>0</v>
      </c>
      <c r="C14" s="335" t="n">
        <f aca="false">IF(Projects!$G$14="Yes",Projects!$B$14*(Assumptions!$B$10+Assumptions!$B$11+Assumptions!$B$12),0)</f>
        <v>4978725.501112</v>
      </c>
      <c r="D14" s="335" t="n">
        <f aca="false">C14*0.05</f>
        <v>248936.2750556</v>
      </c>
      <c r="E14" s="335" t="n">
        <f aca="false">B14+D14</f>
        <v>248936.2750556</v>
      </c>
      <c r="F14" s="336" t="n">
        <f aca="false">Projects!$C$14+Projects!$D$14-1</f>
        <v>56</v>
      </c>
      <c r="G14" s="337" t="n">
        <f aca="false">EDATE(DATE(2026,4,1),F14-1)</f>
        <v>47788</v>
      </c>
    </row>
    <row r="15" customFormat="false" ht="15" hidden="false" customHeight="true" outlineLevel="0" collapsed="false">
      <c r="A15" s="333" t="s">
        <v>899</v>
      </c>
      <c r="B15" s="334" t="n">
        <v>0</v>
      </c>
      <c r="C15" s="335" t="n">
        <f aca="false">IF(Projects!$G$17="Yes",Projects!$B$17*(Assumptions!$B$10+Assumptions!$B$11+Assumptions!$B$12),0)</f>
        <v>1843910.361865</v>
      </c>
      <c r="D15" s="335" t="n">
        <f aca="false">C15*0.05</f>
        <v>92195.51809325</v>
      </c>
      <c r="E15" s="335" t="n">
        <f aca="false">B15+D15</f>
        <v>92195.51809325</v>
      </c>
      <c r="F15" s="336" t="n">
        <f aca="false">Projects!$C$17+Projects!$D$17-1</f>
        <v>31</v>
      </c>
      <c r="G15" s="337" t="n">
        <f aca="false">EDATE(DATE(2026,4,1),F15-1)</f>
        <v>47027</v>
      </c>
    </row>
    <row r="16" customFormat="false" ht="15" hidden="false" customHeight="true" outlineLevel="0" collapsed="false">
      <c r="A16" s="333" t="s">
        <v>900</v>
      </c>
      <c r="B16" s="334" t="n">
        <v>0</v>
      </c>
      <c r="C16" s="335" t="n">
        <f aca="false">IF(Projects!$G$18="Yes",Projects!$B$18*(Assumptions!$B$10+Assumptions!$B$11+Assumptions!$B$12),0)</f>
        <v>1362511.297535</v>
      </c>
      <c r="D16" s="335" t="n">
        <f aca="false">C16*0.05</f>
        <v>68125.56487675</v>
      </c>
      <c r="E16" s="335" t="n">
        <f aca="false">B16+D16</f>
        <v>68125.56487675</v>
      </c>
      <c r="F16" s="336" t="n">
        <f aca="false">Projects!$C$18+Projects!$D$18-1</f>
        <v>32</v>
      </c>
      <c r="G16" s="337" t="n">
        <f aca="false">EDATE(DATE(2026,4,1),F16-1)</f>
        <v>47058</v>
      </c>
    </row>
    <row r="17" customFormat="false" ht="15" hidden="false" customHeight="true" outlineLevel="0" collapsed="false">
      <c r="A17" s="333" t="s">
        <v>901</v>
      </c>
      <c r="B17" s="334" t="n">
        <v>0</v>
      </c>
      <c r="C17" s="335" t="n">
        <f aca="false">IF(Projects!$G$19="Yes",Projects!$B$19*(Assumptions!$B$10+Assumptions!$B$11+Assumptions!$B$12),0)</f>
        <v>2220343.402679</v>
      </c>
      <c r="D17" s="335" t="n">
        <f aca="false">C17*0.05</f>
        <v>111017.17013395</v>
      </c>
      <c r="E17" s="335" t="n">
        <f aca="false">B17+D17</f>
        <v>111017.17013395</v>
      </c>
      <c r="F17" s="336" t="n">
        <f aca="false">Projects!$C$19+Projects!$D$19-1</f>
        <v>33</v>
      </c>
      <c r="G17" s="337" t="n">
        <f aca="false">EDATE(DATE(2026,4,1),F17-1)</f>
        <v>47088</v>
      </c>
    </row>
    <row r="18" customFormat="false" ht="15" hidden="false" customHeight="true" outlineLevel="0" collapsed="false">
      <c r="A18" s="333" t="s">
        <v>23</v>
      </c>
      <c r="B18" s="334" t="n">
        <v>0</v>
      </c>
      <c r="C18" s="335" t="n">
        <f aca="false">IF(Projects!$G$20="Yes",Projects!$B$20*(Assumptions!$B$10+Assumptions!$B$11+Assumptions!$B$12),0)</f>
        <v>0</v>
      </c>
      <c r="D18" s="335" t="n">
        <f aca="false">C18*0.05</f>
        <v>0</v>
      </c>
      <c r="E18" s="335" t="n">
        <f aca="false">B18+D18</f>
        <v>0</v>
      </c>
      <c r="F18" s="336" t="n">
        <f aca="false">Projects!$C$20+Projects!$D$20-1</f>
        <v>42</v>
      </c>
      <c r="G18" s="337" t="n">
        <f aca="false">EDATE(DATE(2026,4,1),F18-1)</f>
        <v>47362</v>
      </c>
    </row>
    <row r="19" customFormat="false" ht="15" hidden="false" customHeight="true" outlineLevel="0" collapsed="false">
      <c r="A19" s="333" t="s">
        <v>24</v>
      </c>
      <c r="B19" s="334" t="n">
        <v>0</v>
      </c>
      <c r="C19" s="335" t="n">
        <f aca="false">IF(Projects!$G$21="Yes",Projects!$B$21*(Assumptions!$B$10+Assumptions!$B$11+Assumptions!$B$12),0)</f>
        <v>0</v>
      </c>
      <c r="D19" s="335" t="n">
        <f aca="false">C19*0.05</f>
        <v>0</v>
      </c>
      <c r="E19" s="335" t="n">
        <f aca="false">B19+D19</f>
        <v>0</v>
      </c>
      <c r="F19" s="336" t="n">
        <f aca="false">Projects!$C$21+Projects!$D$21-1</f>
        <v>45</v>
      </c>
      <c r="G19" s="337" t="n">
        <f aca="false">EDATE(DATE(2026,4,1),F19-1)</f>
        <v>47453</v>
      </c>
    </row>
    <row r="20" customFormat="false" ht="15" hidden="false" customHeight="true" outlineLevel="0" collapsed="false">
      <c r="A20" s="333" t="s">
        <v>25</v>
      </c>
      <c r="B20" s="334" t="n">
        <v>0</v>
      </c>
      <c r="C20" s="335" t="n">
        <f aca="false">IF(Projects!$G$22="Yes",Projects!$B$22*(Assumptions!$B$10+Assumptions!$B$11+Assumptions!$B$12),0)</f>
        <v>0</v>
      </c>
      <c r="D20" s="335" t="n">
        <f aca="false">C20*0.05</f>
        <v>0</v>
      </c>
      <c r="E20" s="335" t="n">
        <f aca="false">B20+D20</f>
        <v>0</v>
      </c>
      <c r="F20" s="336" t="n">
        <f aca="false">Projects!$C$22+Projects!$D$22-1</f>
        <v>49</v>
      </c>
      <c r="G20" s="337" t="n">
        <f aca="false">EDATE(DATE(2026,4,1),F20-1)</f>
        <v>47574</v>
      </c>
    </row>
    <row r="21" customFormat="false" ht="15" hidden="false" customHeight="true" outlineLevel="0" collapsed="false">
      <c r="A21" s="333" t="s">
        <v>26</v>
      </c>
      <c r="B21" s="334" t="n">
        <v>0</v>
      </c>
      <c r="C21" s="335" t="n">
        <f aca="false">IF(Projects!$G$23="Yes",Projects!$B$23*(Assumptions!$B$10+Assumptions!$B$11+Assumptions!$B$12),0)</f>
        <v>0</v>
      </c>
      <c r="D21" s="335" t="n">
        <f aca="false">C21*0.05</f>
        <v>0</v>
      </c>
      <c r="E21" s="335" t="n">
        <f aca="false">B21+D21</f>
        <v>0</v>
      </c>
      <c r="F21" s="336" t="n">
        <f aca="false">Projects!$C$23+Projects!$D$23-1</f>
        <v>52</v>
      </c>
      <c r="G21" s="337" t="n">
        <f aca="false">EDATE(DATE(2026,4,1),F21-1)</f>
        <v>47665</v>
      </c>
    </row>
    <row r="22" customFormat="false" ht="15" hidden="false" customHeight="true" outlineLevel="0" collapsed="false">
      <c r="A22" s="333" t="s">
        <v>27</v>
      </c>
      <c r="B22" s="334" t="n">
        <v>0</v>
      </c>
      <c r="C22" s="335" t="n">
        <f aca="false">IF(Projects!$G$24="Yes",Projects!$B$24*(Assumptions!$B$10+Assumptions!$B$11+Assumptions!$B$12),0)</f>
        <v>0</v>
      </c>
      <c r="D22" s="335" t="n">
        <f aca="false">C22*0.05</f>
        <v>0</v>
      </c>
      <c r="E22" s="335" t="n">
        <f aca="false">B22+D22</f>
        <v>0</v>
      </c>
      <c r="F22" s="336" t="n">
        <f aca="false">Projects!$C$24+Projects!$D$24-1</f>
        <v>55</v>
      </c>
      <c r="G22" s="337" t="n">
        <f aca="false">EDATE(DATE(2026,4,1),F22-1)</f>
        <v>47757</v>
      </c>
    </row>
    <row r="23" customFormat="false" ht="15" hidden="false" customHeight="true" outlineLevel="0" collapsed="false">
      <c r="A23" s="333" t="s">
        <v>28</v>
      </c>
      <c r="B23" s="334" t="n">
        <v>0</v>
      </c>
      <c r="C23" s="335" t="n">
        <f aca="false">IF(Projects!$G$25="Yes",Projects!$B$25*(Assumptions!$B$10+Assumptions!$B$11+Assumptions!$B$12),0)</f>
        <v>0</v>
      </c>
      <c r="D23" s="335" t="n">
        <f aca="false">C23*0.05</f>
        <v>0</v>
      </c>
      <c r="E23" s="335" t="n">
        <f aca="false">B23+D23</f>
        <v>0</v>
      </c>
      <c r="F23" s="336" t="n">
        <f aca="false">Projects!$C$25+Projects!$D$25-1</f>
        <v>58</v>
      </c>
      <c r="G23" s="337" t="n">
        <f aca="false">EDATE(DATE(2026,4,1),F23-1)</f>
        <v>47849</v>
      </c>
    </row>
    <row r="24" customFormat="false" ht="15" hidden="false" customHeight="true" outlineLevel="0" collapsed="false">
      <c r="A24" s="333" t="s">
        <v>29</v>
      </c>
      <c r="B24" s="334" t="n">
        <v>0</v>
      </c>
      <c r="C24" s="335" t="n">
        <f aca="false">IF(Projects!$G$26="Yes",Projects!$B$26*(Assumptions!$B$10+Assumptions!$B$11+Assumptions!$B$12),0)</f>
        <v>0</v>
      </c>
      <c r="D24" s="335" t="n">
        <f aca="false">C24*0.05</f>
        <v>0</v>
      </c>
      <c r="E24" s="335" t="n">
        <f aca="false">B24+D24</f>
        <v>0</v>
      </c>
      <c r="F24" s="336" t="n">
        <f aca="false">Projects!$C$26+Projects!$D$26-1</f>
        <v>60</v>
      </c>
      <c r="G24" s="337" t="n">
        <f aca="false">EDATE(DATE(2026,4,1),F24-1)</f>
        <v>47908</v>
      </c>
    </row>
    <row r="25" customFormat="false" ht="15" hidden="false" customHeight="true" outlineLevel="0" collapsed="false">
      <c r="A25" s="333" t="s">
        <v>30</v>
      </c>
      <c r="B25" s="334" t="n">
        <v>0</v>
      </c>
      <c r="C25" s="335" t="n">
        <f aca="false">IF(Projects!$G$27="Yes",Projects!$B$27*(Assumptions!$B$10+Assumptions!$B$11+Assumptions!$B$12),0)</f>
        <v>0</v>
      </c>
      <c r="D25" s="335" t="n">
        <f aca="false">C25*0.05</f>
        <v>0</v>
      </c>
      <c r="E25" s="335" t="n">
        <f aca="false">B25+D25</f>
        <v>0</v>
      </c>
      <c r="F25" s="336" t="n">
        <f aca="false">Projects!$C$27+Projects!$D$27-1</f>
        <v>62</v>
      </c>
      <c r="G25" s="337" t="n">
        <f aca="false">EDATE(DATE(2026,4,1),F25-1)</f>
        <v>47969</v>
      </c>
    </row>
    <row r="26" customFormat="false" ht="15" hidden="false" customHeight="true" outlineLevel="0" collapsed="false">
      <c r="A26" s="333" t="s">
        <v>31</v>
      </c>
      <c r="B26" s="334" t="n">
        <v>0</v>
      </c>
      <c r="C26" s="335" t="n">
        <f aca="false">IF(Projects!$G$28="Yes",Projects!$B$28*(Assumptions!$B$10+Assumptions!$B$11+Assumptions!$B$12),0)</f>
        <v>0</v>
      </c>
      <c r="D26" s="335" t="n">
        <f aca="false">C26*0.05</f>
        <v>0</v>
      </c>
      <c r="E26" s="335" t="n">
        <f aca="false">B26+D26</f>
        <v>0</v>
      </c>
      <c r="F26" s="336" t="n">
        <f aca="false">Projects!$C$28+Projects!$D$28-1</f>
        <v>64</v>
      </c>
      <c r="G26" s="337" t="n">
        <f aca="false">EDATE(DATE(2026,4,1),F26-1)</f>
        <v>48030</v>
      </c>
    </row>
    <row r="27" customFormat="false" ht="15" hidden="false" customHeight="true" outlineLevel="0" collapsed="false">
      <c r="A27" s="333" t="s">
        <v>32</v>
      </c>
      <c r="B27" s="334" t="n">
        <v>0</v>
      </c>
      <c r="C27" s="335" t="n">
        <f aca="false">IF(Projects!$G$29="Yes",Projects!$B$29*(Assumptions!$B$10+Assumptions!$B$11+Assumptions!$B$12),0)</f>
        <v>0</v>
      </c>
      <c r="D27" s="335" t="n">
        <f aca="false">C27*0.05</f>
        <v>0</v>
      </c>
      <c r="E27" s="335" t="n">
        <f aca="false">B27+D27</f>
        <v>0</v>
      </c>
      <c r="F27" s="336" t="n">
        <f aca="false">Projects!$C$29+Projects!$D$29-1</f>
        <v>66</v>
      </c>
      <c r="G27" s="337" t="n">
        <f aca="false">EDATE(DATE(2026,4,1),F27-1)</f>
        <v>48092</v>
      </c>
    </row>
    <row r="28" customFormat="false" ht="15" hidden="false" customHeight="true" outlineLevel="0" collapsed="false">
      <c r="A28" s="333" t="s">
        <v>33</v>
      </c>
      <c r="B28" s="334" t="n">
        <v>0</v>
      </c>
      <c r="C28" s="335" t="n">
        <f aca="false">IF(Projects!$G$30="Yes",Projects!$B$30*(Assumptions!$B$10+Assumptions!$B$11+Assumptions!$B$12),0)</f>
        <v>0</v>
      </c>
      <c r="D28" s="335" t="n">
        <f aca="false">C28*0.05</f>
        <v>0</v>
      </c>
      <c r="E28" s="335" t="n">
        <f aca="false">B28+D28</f>
        <v>0</v>
      </c>
      <c r="F28" s="336" t="n">
        <f aca="false">Projects!$C$30+Projects!$D$30-1</f>
        <v>68</v>
      </c>
      <c r="G28" s="337" t="n">
        <f aca="false">EDATE(DATE(2026,4,1),F28-1)</f>
        <v>48153</v>
      </c>
    </row>
    <row r="29" customFormat="false" ht="15" hidden="false" customHeight="true" outlineLevel="0" collapsed="false">
      <c r="A29" s="333" t="s">
        <v>34</v>
      </c>
      <c r="B29" s="334" t="n">
        <v>0</v>
      </c>
      <c r="C29" s="335" t="n">
        <f aca="false">IF(Projects!$G$31="Yes",Projects!$B$31*(Assumptions!$B$10+Assumptions!$B$11+Assumptions!$B$12),0)</f>
        <v>0</v>
      </c>
      <c r="D29" s="335" t="n">
        <f aca="false">C29*0.05</f>
        <v>0</v>
      </c>
      <c r="E29" s="335" t="n">
        <f aca="false">B29+D29</f>
        <v>0</v>
      </c>
      <c r="F29" s="336" t="n">
        <f aca="false">Projects!$C$31+Projects!$D$31-1</f>
        <v>70</v>
      </c>
      <c r="G29" s="337" t="n">
        <f aca="false">EDATE(DATE(2026,4,1),F29-1)</f>
        <v>48214</v>
      </c>
    </row>
    <row r="30" customFormat="false" ht="15" hidden="false" customHeight="true" outlineLevel="0" collapsed="false">
      <c r="A30" s="333" t="s">
        <v>35</v>
      </c>
      <c r="B30" s="334" t="n">
        <v>0</v>
      </c>
      <c r="C30" s="335" t="n">
        <f aca="false">IF(Projects!$G$32="Yes",Projects!$B$32*(Assumptions!$B$10+Assumptions!$B$11+Assumptions!$B$12),0)</f>
        <v>0</v>
      </c>
      <c r="D30" s="335" t="n">
        <f aca="false">C30*0.05</f>
        <v>0</v>
      </c>
      <c r="E30" s="335" t="n">
        <f aca="false">B30+D30</f>
        <v>0</v>
      </c>
      <c r="F30" s="336" t="n">
        <f aca="false">Projects!$C$32+Projects!$D$32-1</f>
        <v>72</v>
      </c>
      <c r="G30" s="337" t="n">
        <f aca="false">EDATE(DATE(2026,4,1),F30-1)</f>
        <v>48274</v>
      </c>
    </row>
    <row r="31" customFormat="false" ht="15" hidden="false" customHeight="true" outlineLevel="0" collapsed="false">
      <c r="A31" s="333" t="s">
        <v>36</v>
      </c>
      <c r="B31" s="334" t="n">
        <v>0</v>
      </c>
      <c r="C31" s="335" t="n">
        <f aca="false">IF(Projects!$G$33="Yes",Projects!$B$33*(Assumptions!$B$10+Assumptions!$B$11+Assumptions!$B$12),0)</f>
        <v>0</v>
      </c>
      <c r="D31" s="335" t="n">
        <f aca="false">C31*0.05</f>
        <v>0</v>
      </c>
      <c r="E31" s="335" t="n">
        <f aca="false">B31+D31</f>
        <v>0</v>
      </c>
      <c r="F31" s="336" t="n">
        <f aca="false">Projects!$C$33+Projects!$D$33-1</f>
        <v>74</v>
      </c>
      <c r="G31" s="337" t="n">
        <f aca="false">EDATE(DATE(2026,4,1),F31-1)</f>
        <v>48335</v>
      </c>
    </row>
    <row r="32" customFormat="false" ht="15" hidden="false" customHeight="true" outlineLevel="0" collapsed="false">
      <c r="A32" s="333" t="s">
        <v>37</v>
      </c>
      <c r="B32" s="334" t="n">
        <v>0</v>
      </c>
      <c r="C32" s="335" t="n">
        <f aca="false">IF(Projects!$G$34="Yes",Projects!$B$34*(Assumptions!$B$10+Assumptions!$B$11+Assumptions!$B$12),0)</f>
        <v>0</v>
      </c>
      <c r="D32" s="335" t="n">
        <f aca="false">C32*0.05</f>
        <v>0</v>
      </c>
      <c r="E32" s="335" t="n">
        <f aca="false">B32+D32</f>
        <v>0</v>
      </c>
      <c r="F32" s="336" t="n">
        <f aca="false">Projects!$C$34+Projects!$D$34-1</f>
        <v>76</v>
      </c>
      <c r="G32" s="337" t="n">
        <f aca="false">EDATE(DATE(2026,4,1),F32-1)</f>
        <v>48396</v>
      </c>
    </row>
    <row r="33" customFormat="false" ht="15" hidden="false" customHeight="true" outlineLevel="0" collapsed="false">
      <c r="A33" s="333" t="s">
        <v>38</v>
      </c>
      <c r="B33" s="334" t="n">
        <v>0</v>
      </c>
      <c r="C33" s="335" t="n">
        <f aca="false">IF(Projects!$G$35="Yes",Projects!$B$35*(Assumptions!$B$10+Assumptions!$B$11+Assumptions!$B$12),0)</f>
        <v>0</v>
      </c>
      <c r="D33" s="335" t="n">
        <f aca="false">C33*0.05</f>
        <v>0</v>
      </c>
      <c r="E33" s="335" t="n">
        <f aca="false">B33+D33</f>
        <v>0</v>
      </c>
      <c r="F33" s="336" t="n">
        <f aca="false">Projects!$C$35+Projects!$D$35-1</f>
        <v>78</v>
      </c>
      <c r="G33" s="337" t="n">
        <f aca="false">EDATE(DATE(2026,4,1),F33-1)</f>
        <v>48458</v>
      </c>
    </row>
    <row r="34" customFormat="false" ht="15" hidden="false" customHeight="true" outlineLevel="0" collapsed="false">
      <c r="A34" s="333" t="s">
        <v>39</v>
      </c>
      <c r="B34" s="334" t="n">
        <v>0</v>
      </c>
      <c r="C34" s="335" t="n">
        <f aca="false">IF(Projects!$G$36="Yes",Projects!$B$36*(Assumptions!$B$10+Assumptions!$B$11+Assumptions!$B$12),0)</f>
        <v>0</v>
      </c>
      <c r="D34" s="335" t="n">
        <f aca="false">C34*0.05</f>
        <v>0</v>
      </c>
      <c r="E34" s="335" t="n">
        <f aca="false">B34+D34</f>
        <v>0</v>
      </c>
      <c r="F34" s="336" t="n">
        <f aca="false">Projects!$C$36+Projects!$D$36-1</f>
        <v>80</v>
      </c>
      <c r="G34" s="337" t="n">
        <f aca="false">EDATE(DATE(2026,4,1),F34-1)</f>
        <v>48519</v>
      </c>
    </row>
    <row r="35" customFormat="false" ht="15" hidden="false" customHeight="true" outlineLevel="0" collapsed="false">
      <c r="A35" s="333" t="s">
        <v>40</v>
      </c>
      <c r="B35" s="334" t="n">
        <v>0</v>
      </c>
      <c r="C35" s="335" t="n">
        <f aca="false">IF(Projects!$G$37="Yes",Projects!$B$37*(Assumptions!$B$10+Assumptions!$B$11+Assumptions!$B$12),0)</f>
        <v>0</v>
      </c>
      <c r="D35" s="335" t="n">
        <f aca="false">C35*0.05</f>
        <v>0</v>
      </c>
      <c r="E35" s="335" t="n">
        <f aca="false">B35+D35</f>
        <v>0</v>
      </c>
      <c r="F35" s="336" t="n">
        <f aca="false">Projects!$C$37+Projects!$D$37-1</f>
        <v>82</v>
      </c>
      <c r="G35" s="337" t="n">
        <f aca="false">EDATE(DATE(2026,4,1),F35-1)</f>
        <v>48580</v>
      </c>
    </row>
    <row r="36" customFormat="false" ht="15" hidden="false" customHeight="true" outlineLevel="0" collapsed="false">
      <c r="A36" s="333" t="s">
        <v>41</v>
      </c>
      <c r="B36" s="334" t="n">
        <v>0</v>
      </c>
      <c r="C36" s="335" t="n">
        <f aca="false">IF(Projects!$G$38="Yes",Projects!$B$38*(Assumptions!$B$10+Assumptions!$B$11+Assumptions!$B$12),0)</f>
        <v>0</v>
      </c>
      <c r="D36" s="335" t="n">
        <f aca="false">C36*0.05</f>
        <v>0</v>
      </c>
      <c r="E36" s="335" t="n">
        <f aca="false">B36+D36</f>
        <v>0</v>
      </c>
      <c r="F36" s="336" t="n">
        <f aca="false">Projects!$C$38+Projects!$D$38-1</f>
        <v>84</v>
      </c>
      <c r="G36" s="337" t="n">
        <f aca="false">EDATE(DATE(2026,4,1),F36-1)</f>
        <v>48639</v>
      </c>
    </row>
    <row r="37" customFormat="false" ht="15" hidden="false" customHeight="true" outlineLevel="0" collapsed="false">
      <c r="A37" s="333" t="s">
        <v>42</v>
      </c>
      <c r="B37" s="334" t="n">
        <v>0</v>
      </c>
      <c r="C37" s="335" t="n">
        <f aca="false">IF(Projects!$G$39="Yes",Projects!$B$39*(Assumptions!$B$10+Assumptions!$B$11+Assumptions!$B$12),0)</f>
        <v>0</v>
      </c>
      <c r="D37" s="335" t="n">
        <f aca="false">C37*0.05</f>
        <v>0</v>
      </c>
      <c r="E37" s="335" t="n">
        <f aca="false">B37+D37</f>
        <v>0</v>
      </c>
      <c r="F37" s="336" t="n">
        <f aca="false">Projects!$C$39+Projects!$D$39-1</f>
        <v>86</v>
      </c>
      <c r="G37" s="337" t="n">
        <f aca="false">EDATE(DATE(2026,4,1),F37-1)</f>
        <v>48700</v>
      </c>
    </row>
    <row r="38" customFormat="false" ht="15" hidden="false" customHeight="true" outlineLevel="0" collapsed="false">
      <c r="A38" s="333" t="s">
        <v>43</v>
      </c>
      <c r="B38" s="334" t="n">
        <v>0</v>
      </c>
      <c r="C38" s="335" t="n">
        <f aca="false">IF(Projects!$G$40="Yes",Projects!$B$40*(Assumptions!$B$10+Assumptions!$B$11+Assumptions!$B$12),0)</f>
        <v>0</v>
      </c>
      <c r="D38" s="335" t="n">
        <f aca="false">C38*0.05</f>
        <v>0</v>
      </c>
      <c r="E38" s="335" t="n">
        <f aca="false">B38+D38</f>
        <v>0</v>
      </c>
      <c r="F38" s="336" t="n">
        <f aca="false">Projects!$C$40+Projects!$D$40-1</f>
        <v>88</v>
      </c>
      <c r="G38" s="337" t="n">
        <f aca="false">EDATE(DATE(2026,4,1),F38-1)</f>
        <v>48761</v>
      </c>
    </row>
    <row r="39" customFormat="false" ht="15" hidden="false" customHeight="true" outlineLevel="0" collapsed="false">
      <c r="A39" s="333" t="s">
        <v>44</v>
      </c>
      <c r="B39" s="334" t="n">
        <v>0</v>
      </c>
      <c r="C39" s="335" t="n">
        <f aca="false">IF(Projects!$G$41="Yes",Projects!$B$41*(Assumptions!$B$10+Assumptions!$B$11+Assumptions!$B$12),0)</f>
        <v>0</v>
      </c>
      <c r="D39" s="335" t="n">
        <f aca="false">C39*0.05</f>
        <v>0</v>
      </c>
      <c r="E39" s="335" t="n">
        <f aca="false">B39+D39</f>
        <v>0</v>
      </c>
      <c r="F39" s="336" t="n">
        <f aca="false">Projects!$C$41+Projects!$D$41-1</f>
        <v>90</v>
      </c>
      <c r="G39" s="337" t="n">
        <f aca="false">EDATE(DATE(2026,4,1),F39-1)</f>
        <v>48823</v>
      </c>
    </row>
    <row r="40" customFormat="false" ht="15" hidden="false" customHeight="true" outlineLevel="0" collapsed="false">
      <c r="A40" s="333" t="s">
        <v>45</v>
      </c>
      <c r="B40" s="334" t="n">
        <v>0</v>
      </c>
      <c r="C40" s="335" t="n">
        <f aca="false">IF(Projects!$G$42="Yes",Projects!$B$42*(Assumptions!$B$10+Assumptions!$B$11+Assumptions!$B$12),0)</f>
        <v>0</v>
      </c>
      <c r="D40" s="335" t="n">
        <f aca="false">C40*0.05</f>
        <v>0</v>
      </c>
      <c r="E40" s="335" t="n">
        <f aca="false">B40+D40</f>
        <v>0</v>
      </c>
      <c r="F40" s="336" t="n">
        <f aca="false">Projects!$C$42+Projects!$D$42-1</f>
        <v>92</v>
      </c>
      <c r="G40" s="337" t="n">
        <f aca="false">EDATE(DATE(2026,4,1),F40-1)</f>
        <v>48884</v>
      </c>
    </row>
    <row r="41" customFormat="false" ht="15" hidden="false" customHeight="true" outlineLevel="0" collapsed="false">
      <c r="A41" s="333" t="s">
        <v>46</v>
      </c>
      <c r="B41" s="334" t="n">
        <v>0</v>
      </c>
      <c r="C41" s="335" t="n">
        <f aca="false">IF(Projects!$G$43="Yes",Projects!$B$43*(Assumptions!$B$10+Assumptions!$B$11+Assumptions!$B$12),0)</f>
        <v>0</v>
      </c>
      <c r="D41" s="335" t="n">
        <f aca="false">C41*0.05</f>
        <v>0</v>
      </c>
      <c r="E41" s="335" t="n">
        <f aca="false">B41+D41</f>
        <v>0</v>
      </c>
      <c r="F41" s="336" t="n">
        <f aca="false">Projects!$C$43+Projects!$D$43-1</f>
        <v>94</v>
      </c>
      <c r="G41" s="337" t="n">
        <f aca="false">EDATE(DATE(2026,4,1),F41-1)</f>
        <v>48945</v>
      </c>
    </row>
    <row r="42" customFormat="false" ht="15" hidden="false" customHeight="true" outlineLevel="0" collapsed="false">
      <c r="A42" s="333" t="s">
        <v>47</v>
      </c>
      <c r="B42" s="334" t="n">
        <v>0</v>
      </c>
      <c r="C42" s="335" t="n">
        <f aca="false">IF(Projects!$G$44="Yes",Projects!$B$44*(Assumptions!$B$10+Assumptions!$B$11+Assumptions!$B$12),0)</f>
        <v>0</v>
      </c>
      <c r="D42" s="335" t="n">
        <f aca="false">C42*0.05</f>
        <v>0</v>
      </c>
      <c r="E42" s="335" t="n">
        <f aca="false">B42+D42</f>
        <v>0</v>
      </c>
      <c r="F42" s="336" t="n">
        <f aca="false">Projects!$C$44+Projects!$D$44-1</f>
        <v>96</v>
      </c>
      <c r="G42" s="337" t="n">
        <f aca="false">EDATE(DATE(2026,4,1),F42-1)</f>
        <v>49004</v>
      </c>
    </row>
    <row r="43" customFormat="false" ht="15" hidden="false" customHeight="true" outlineLevel="0" collapsed="false">
      <c r="A43" s="333" t="s">
        <v>48</v>
      </c>
      <c r="B43" s="334" t="n">
        <v>0</v>
      </c>
      <c r="C43" s="335" t="n">
        <f aca="false">IF(Projects!$G$45="Yes",Projects!$B$45*(Assumptions!$B$10+Assumptions!$B$11+Assumptions!$B$12),0)</f>
        <v>0</v>
      </c>
      <c r="D43" s="335" t="n">
        <f aca="false">C43*0.05</f>
        <v>0</v>
      </c>
      <c r="E43" s="335" t="n">
        <f aca="false">B43+D43</f>
        <v>0</v>
      </c>
      <c r="F43" s="336" t="n">
        <f aca="false">Projects!$C$45+Projects!$D$45-1</f>
        <v>98</v>
      </c>
      <c r="G43" s="337" t="n">
        <f aca="false">EDATE(DATE(2026,4,1),F43-1)</f>
        <v>49065</v>
      </c>
    </row>
    <row r="44" customFormat="false" ht="15" hidden="false" customHeight="true" outlineLevel="0" collapsed="false">
      <c r="A44" s="333" t="s">
        <v>49</v>
      </c>
      <c r="B44" s="334" t="n">
        <v>0</v>
      </c>
      <c r="C44" s="335" t="n">
        <f aca="false">IF(Projects!$G$46="Yes",Projects!$B$46*(Assumptions!$B$10+Assumptions!$B$11+Assumptions!$B$12),0)</f>
        <v>0</v>
      </c>
      <c r="D44" s="335" t="n">
        <f aca="false">C44*0.05</f>
        <v>0</v>
      </c>
      <c r="E44" s="335" t="n">
        <f aca="false">B44+D44</f>
        <v>0</v>
      </c>
      <c r="F44" s="336" t="n">
        <f aca="false">Projects!$C$46+Projects!$D$46-1</f>
        <v>100</v>
      </c>
      <c r="G44" s="33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338" t="s">
        <v>902</v>
      </c>
    </row>
    <row r="2" customFormat="false" ht="15" hidden="false" customHeight="true" outlineLevel="0" collapsed="false">
      <c r="A2" s="339" t="s">
        <v>903</v>
      </c>
    </row>
    <row r="4" customFormat="false" ht="15" hidden="false" customHeight="true" outlineLevel="0" collapsed="false">
      <c r="A4" s="340" t="s">
        <v>904</v>
      </c>
      <c r="B4" s="340"/>
      <c r="C4" s="340"/>
    </row>
    <row r="5" customFormat="false" ht="15" hidden="false" customHeight="true" outlineLevel="0" collapsed="false">
      <c r="A5" s="333" t="s">
        <v>905</v>
      </c>
      <c r="B5" s="334" t="n">
        <v>180000</v>
      </c>
      <c r="C5" s="339" t="s">
        <v>906</v>
      </c>
    </row>
    <row r="6" customFormat="false" ht="15" hidden="false" customHeight="true" outlineLevel="0" collapsed="false">
      <c r="A6" s="333" t="s">
        <v>907</v>
      </c>
      <c r="B6" s="341" t="n">
        <v>1</v>
      </c>
      <c r="C6" s="339" t="s">
        <v>284</v>
      </c>
    </row>
    <row r="7" customFormat="false" ht="15" hidden="false" customHeight="true" outlineLevel="0" collapsed="false">
      <c r="A7" s="333" t="s">
        <v>908</v>
      </c>
      <c r="B7" s="341" t="n">
        <v>7</v>
      </c>
      <c r="C7" s="339" t="s">
        <v>909</v>
      </c>
    </row>
    <row r="8" customFormat="false" ht="15" hidden="false" customHeight="true" outlineLevel="0" collapsed="false">
      <c r="A8" s="333" t="s">
        <v>910</v>
      </c>
      <c r="B8" s="335" t="n">
        <f aca="false">B5/B7</f>
        <v>25714.2857142857</v>
      </c>
      <c r="C8" s="339" t="s">
        <v>911</v>
      </c>
    </row>
    <row r="9" customFormat="false" ht="15" hidden="false" customHeight="true" outlineLevel="0" collapsed="false">
      <c r="A9" s="333" t="s">
        <v>912</v>
      </c>
      <c r="B9" s="334" t="n">
        <v>2500</v>
      </c>
      <c r="C9" s="339" t="s">
        <v>913</v>
      </c>
    </row>
    <row r="10" customFormat="false" ht="15" hidden="false" customHeight="true" outlineLevel="0" collapsed="false">
      <c r="A10" s="333" t="s">
        <v>914</v>
      </c>
      <c r="B10" s="341" t="n">
        <v>9</v>
      </c>
      <c r="C10" s="339" t="s">
        <v>915</v>
      </c>
    </row>
    <row r="11" customFormat="false" ht="15" hidden="false" customHeight="true" outlineLevel="0" collapsed="false">
      <c r="A11" s="333" t="s">
        <v>916</v>
      </c>
      <c r="B11" s="341" t="n">
        <v>30</v>
      </c>
      <c r="C11" s="339" t="s">
        <v>917</v>
      </c>
    </row>
    <row r="12" customFormat="false" ht="15" hidden="false" customHeight="true" outlineLevel="0" collapsed="false">
      <c r="A12" s="333" t="s">
        <v>918</v>
      </c>
      <c r="B12" s="334" t="n">
        <v>2694</v>
      </c>
      <c r="C12" s="339" t="s">
        <v>919</v>
      </c>
    </row>
    <row r="13" customFormat="false" ht="15" hidden="false" customHeight="true" outlineLevel="0" collapsed="false">
      <c r="A13" s="333" t="s">
        <v>920</v>
      </c>
      <c r="B13" s="341" t="n">
        <v>2</v>
      </c>
      <c r="C13" s="339" t="s">
        <v>285</v>
      </c>
    </row>
    <row r="14" customFormat="false" ht="15" hidden="false" customHeight="true" outlineLevel="0" collapsed="false">
      <c r="A14" s="333" t="s">
        <v>921</v>
      </c>
      <c r="B14" s="341" t="n">
        <v>15</v>
      </c>
      <c r="C14" s="339" t="s">
        <v>922</v>
      </c>
    </row>
    <row r="15" customFormat="false" ht="15" hidden="false" customHeight="true" outlineLevel="0" collapsed="false">
      <c r="A15" s="333" t="s">
        <v>923</v>
      </c>
      <c r="B15" s="334" t="n">
        <v>2500</v>
      </c>
      <c r="C15" s="339" t="s">
        <v>924</v>
      </c>
    </row>
    <row r="16" customFormat="false" ht="15" hidden="false" customHeight="true" outlineLevel="0" collapsed="false">
      <c r="A16" s="333" t="s">
        <v>925</v>
      </c>
      <c r="B16" s="341" t="n">
        <v>2</v>
      </c>
      <c r="C16" s="339" t="s">
        <v>285</v>
      </c>
    </row>
    <row r="17" customFormat="false" ht="15" hidden="false" customHeight="true" outlineLevel="0" collapsed="false">
      <c r="A17" s="333" t="s">
        <v>926</v>
      </c>
      <c r="B17" s="341" t="n">
        <v>30</v>
      </c>
      <c r="C17" s="339" t="s">
        <v>927</v>
      </c>
    </row>
    <row r="18" customFormat="false" ht="15" hidden="false" customHeight="true" outlineLevel="0" collapsed="false">
      <c r="A18" s="333" t="s">
        <v>928</v>
      </c>
      <c r="B18" s="334" t="n">
        <v>7500</v>
      </c>
      <c r="C18" s="339" t="s">
        <v>929</v>
      </c>
    </row>
    <row r="19" customFormat="false" ht="15" hidden="false" customHeight="true" outlineLevel="0" collapsed="false">
      <c r="A19" s="333" t="s">
        <v>930</v>
      </c>
      <c r="B19" s="341" t="n">
        <v>2</v>
      </c>
      <c r="C19" s="339" t="s">
        <v>285</v>
      </c>
    </row>
    <row r="20" customFormat="false" ht="15" hidden="false" customHeight="true" outlineLevel="0" collapsed="false">
      <c r="A20" s="333" t="s">
        <v>931</v>
      </c>
      <c r="B20" s="334" t="n">
        <v>32000</v>
      </c>
      <c r="C20" s="339" t="s">
        <v>932</v>
      </c>
    </row>
    <row r="21" customFormat="false" ht="15" hidden="false" customHeight="true" outlineLevel="0" collapsed="false">
      <c r="A21" s="333" t="s">
        <v>933</v>
      </c>
      <c r="B21" s="334" t="n">
        <v>600000</v>
      </c>
      <c r="C21" s="339" t="s">
        <v>934</v>
      </c>
    </row>
    <row r="22" customFormat="false" ht="15" hidden="false" customHeight="true" outlineLevel="0" collapsed="false">
      <c r="A22" s="333" t="s">
        <v>935</v>
      </c>
      <c r="B22" s="341" t="n">
        <v>7</v>
      </c>
      <c r="C22" s="339" t="s">
        <v>936</v>
      </c>
    </row>
    <row r="23" customFormat="false" ht="15" hidden="false" customHeight="true" outlineLevel="0" collapsed="false">
      <c r="A23" s="333" t="s">
        <v>937</v>
      </c>
      <c r="B23" s="341" t="n">
        <v>12</v>
      </c>
      <c r="C23" s="339" t="s">
        <v>938</v>
      </c>
    </row>
    <row r="24" customFormat="false" ht="15" hidden="false" customHeight="true" outlineLevel="0" collapsed="false">
      <c r="A24" s="333" t="s">
        <v>939</v>
      </c>
      <c r="B24" s="335" t="n">
        <f aca="false">B21/B23</f>
        <v>50000</v>
      </c>
      <c r="C24" s="339" t="s">
        <v>911</v>
      </c>
    </row>
    <row r="25" customFormat="false" ht="15" hidden="false" customHeight="true" outlineLevel="0" collapsed="false">
      <c r="A25" s="333" t="s">
        <v>940</v>
      </c>
      <c r="B25" s="334" t="n">
        <v>2500</v>
      </c>
      <c r="C25" s="339" t="s">
        <v>934</v>
      </c>
    </row>
    <row r="26" customFormat="false" ht="15" hidden="false" customHeight="true" outlineLevel="0" collapsed="false">
      <c r="A26" s="333" t="s">
        <v>941</v>
      </c>
      <c r="B26" s="341" t="n">
        <v>22</v>
      </c>
      <c r="C26" s="339" t="s">
        <v>942</v>
      </c>
    </row>
    <row r="27" customFormat="false" ht="15" hidden="false" customHeight="true" outlineLevel="0" collapsed="false">
      <c r="A27" s="333" t="s">
        <v>943</v>
      </c>
      <c r="B27" s="341" t="n">
        <v>30</v>
      </c>
      <c r="C27" s="339" t="s">
        <v>944</v>
      </c>
    </row>
    <row r="28" customFormat="false" ht="15" hidden="false" customHeight="true" outlineLevel="0" collapsed="false">
      <c r="A28" s="340" t="s">
        <v>945</v>
      </c>
      <c r="B28" s="340"/>
      <c r="C28" s="340"/>
    </row>
    <row r="29" customFormat="false" ht="15" hidden="false" customHeight="true" outlineLevel="0" collapsed="false">
      <c r="A29" s="333" t="s">
        <v>946</v>
      </c>
      <c r="B29" s="334" t="n">
        <v>12500</v>
      </c>
      <c r="C29" s="339" t="s">
        <v>947</v>
      </c>
    </row>
    <row r="30" customFormat="false" ht="15" hidden="false" customHeight="true" outlineLevel="0" collapsed="false">
      <c r="A30" s="333" t="s">
        <v>948</v>
      </c>
      <c r="B30" s="341" t="n">
        <v>18750</v>
      </c>
      <c r="C30" s="339" t="s">
        <v>949</v>
      </c>
    </row>
    <row r="31" customFormat="false" ht="15" hidden="false" customHeight="true" outlineLevel="0" collapsed="false">
      <c r="A31" s="333" t="s">
        <v>950</v>
      </c>
      <c r="B31" s="336" t="n">
        <f aca="false">B22</f>
        <v>7</v>
      </c>
      <c r="C31" s="339" t="s">
        <v>951</v>
      </c>
    </row>
    <row r="32" customFormat="false" ht="15" hidden="false" customHeight="true" outlineLevel="0" collapsed="false">
      <c r="A32" s="333" t="s">
        <v>952</v>
      </c>
      <c r="B32" s="334" t="n">
        <v>365</v>
      </c>
      <c r="C32" s="339" t="s">
        <v>953</v>
      </c>
    </row>
    <row r="33" customFormat="false" ht="15" hidden="false" customHeight="true" outlineLevel="0" collapsed="false">
      <c r="A33" s="333" t="s">
        <v>954</v>
      </c>
      <c r="B33" s="334" t="n">
        <v>8000</v>
      </c>
      <c r="C33" s="339" t="s">
        <v>955</v>
      </c>
    </row>
    <row r="34" customFormat="false" ht="15" hidden="false" customHeight="true" outlineLevel="0" collapsed="false">
      <c r="A34" s="333" t="s">
        <v>956</v>
      </c>
      <c r="B34" s="341" t="n">
        <v>5000</v>
      </c>
      <c r="C34" s="339" t="s">
        <v>957</v>
      </c>
    </row>
    <row r="35" customFormat="false" ht="15" hidden="false" customHeight="true" outlineLevel="0" collapsed="false">
      <c r="A35" s="333" t="s">
        <v>958</v>
      </c>
      <c r="B35" s="341" t="n">
        <v>2500</v>
      </c>
      <c r="C35" s="339" t="s">
        <v>959</v>
      </c>
    </row>
    <row r="36" customFormat="false" ht="15" hidden="false" customHeight="true" outlineLevel="0" collapsed="false">
      <c r="A36" s="333" t="s">
        <v>960</v>
      </c>
      <c r="B36" s="341" t="n">
        <v>2</v>
      </c>
      <c r="C36" s="339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338" t="s">
        <v>961</v>
      </c>
    </row>
    <row r="3" customFormat="false" ht="15" hidden="false" customHeight="true" outlineLevel="0" collapsed="false">
      <c r="A3" s="342" t="s">
        <v>1</v>
      </c>
      <c r="B3" s="343" t="n">
        <v>1</v>
      </c>
      <c r="C3" s="343" t="n">
        <v>2</v>
      </c>
      <c r="D3" s="343" t="n">
        <v>3</v>
      </c>
      <c r="E3" s="343" t="n">
        <v>4</v>
      </c>
      <c r="F3" s="343" t="n">
        <v>5</v>
      </c>
      <c r="G3" s="343" t="n">
        <v>6</v>
      </c>
      <c r="H3" s="343" t="n">
        <v>7</v>
      </c>
      <c r="I3" s="343" t="n">
        <v>8</v>
      </c>
      <c r="J3" s="343" t="n">
        <v>9</v>
      </c>
      <c r="K3" s="343" t="n">
        <v>10</v>
      </c>
      <c r="L3" s="343" t="n">
        <v>11</v>
      </c>
      <c r="M3" s="343" t="n">
        <v>12</v>
      </c>
      <c r="N3" s="343" t="n">
        <v>13</v>
      </c>
      <c r="O3" s="343" t="n">
        <v>14</v>
      </c>
      <c r="P3" s="343" t="n">
        <v>15</v>
      </c>
      <c r="Q3" s="343" t="n">
        <v>16</v>
      </c>
      <c r="R3" s="343" t="n">
        <v>17</v>
      </c>
      <c r="S3" s="343" t="n">
        <v>18</v>
      </c>
      <c r="T3" s="343" t="n">
        <v>19</v>
      </c>
      <c r="U3" s="343" t="n">
        <v>20</v>
      </c>
      <c r="V3" s="343" t="n">
        <v>21</v>
      </c>
      <c r="W3" s="343" t="n">
        <v>22</v>
      </c>
      <c r="X3" s="343" t="n">
        <v>23</v>
      </c>
      <c r="Y3" s="343" t="n">
        <v>24</v>
      </c>
      <c r="Z3" s="343" t="n">
        <v>25</v>
      </c>
      <c r="AA3" s="343" t="n">
        <v>26</v>
      </c>
      <c r="AB3" s="343" t="n">
        <v>27</v>
      </c>
      <c r="AC3" s="343" t="n">
        <v>28</v>
      </c>
      <c r="AD3" s="343" t="n">
        <v>29</v>
      </c>
      <c r="AE3" s="343" t="n">
        <v>30</v>
      </c>
      <c r="AF3" s="343" t="n">
        <v>31</v>
      </c>
      <c r="AG3" s="343" t="n">
        <v>32</v>
      </c>
      <c r="AH3" s="343" t="n">
        <v>33</v>
      </c>
      <c r="AI3" s="343" t="n">
        <v>34</v>
      </c>
      <c r="AJ3" s="343" t="n">
        <v>35</v>
      </c>
      <c r="AK3" s="343" t="n">
        <v>36</v>
      </c>
      <c r="AL3" s="343" t="n">
        <v>37</v>
      </c>
      <c r="AM3" s="343" t="n">
        <v>38</v>
      </c>
      <c r="AN3" s="343"/>
    </row>
    <row r="4" customFormat="false" ht="15" hidden="false" customHeight="true" outlineLevel="0" collapsed="false">
      <c r="A4" s="344"/>
      <c r="B4" s="344" t="n">
        <v>46204</v>
      </c>
      <c r="C4" s="344" t="n">
        <v>46235</v>
      </c>
      <c r="D4" s="344" t="n">
        <v>46266</v>
      </c>
      <c r="E4" s="344" t="n">
        <v>46296</v>
      </c>
      <c r="F4" s="344" t="n">
        <v>46327</v>
      </c>
      <c r="G4" s="344" t="n">
        <v>46357</v>
      </c>
      <c r="H4" s="344" t="n">
        <v>46388</v>
      </c>
      <c r="I4" s="344" t="n">
        <v>46419</v>
      </c>
      <c r="J4" s="344" t="n">
        <v>46447</v>
      </c>
      <c r="K4" s="344" t="n">
        <v>46478</v>
      </c>
      <c r="L4" s="344" t="n">
        <v>46508</v>
      </c>
      <c r="M4" s="344" t="n">
        <v>46539</v>
      </c>
      <c r="N4" s="344" t="n">
        <v>46569</v>
      </c>
      <c r="O4" s="344" t="n">
        <v>46600</v>
      </c>
      <c r="P4" s="344" t="n">
        <v>46631</v>
      </c>
      <c r="Q4" s="344" t="n">
        <v>46661</v>
      </c>
      <c r="R4" s="344" t="n">
        <v>46692</v>
      </c>
      <c r="S4" s="344" t="n">
        <v>46722</v>
      </c>
      <c r="T4" s="344" t="n">
        <v>46753</v>
      </c>
      <c r="U4" s="344" t="n">
        <v>46784</v>
      </c>
      <c r="V4" s="344" t="n">
        <v>46813</v>
      </c>
      <c r="W4" s="344" t="n">
        <v>46844</v>
      </c>
      <c r="X4" s="344" t="n">
        <v>46874</v>
      </c>
      <c r="Y4" s="344" t="n">
        <v>46905</v>
      </c>
      <c r="Z4" s="344" t="n">
        <v>46935</v>
      </c>
      <c r="AA4" s="344" t="n">
        <v>46966</v>
      </c>
      <c r="AB4" s="344" t="n">
        <v>46997</v>
      </c>
      <c r="AC4" s="344" t="n">
        <v>47027</v>
      </c>
      <c r="AD4" s="344" t="n">
        <v>47058</v>
      </c>
      <c r="AE4" s="344" t="n">
        <v>47088</v>
      </c>
      <c r="AF4" s="344" t="n">
        <v>47119</v>
      </c>
      <c r="AG4" s="344" t="n">
        <v>47150</v>
      </c>
      <c r="AH4" s="344" t="n">
        <v>47178</v>
      </c>
      <c r="AI4" s="344" t="n">
        <v>47209</v>
      </c>
      <c r="AJ4" s="344" t="n">
        <v>47239</v>
      </c>
      <c r="AK4" s="344" t="n">
        <v>47270</v>
      </c>
      <c r="AL4" s="344" t="n">
        <v>47300</v>
      </c>
      <c r="AM4" s="344" t="n">
        <v>47331</v>
      </c>
      <c r="AN4" s="344" t="s">
        <v>441</v>
      </c>
    </row>
    <row r="6" customFormat="false" ht="15" hidden="false" customHeight="true" outlineLevel="0" collapsed="false">
      <c r="A6" s="340" t="s">
        <v>904</v>
      </c>
      <c r="B6" s="340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  <c r="AM6" s="340"/>
      <c r="AN6" s="340"/>
    </row>
    <row r="7" customFormat="false" ht="15" hidden="false" customHeight="true" outlineLevel="0" collapsed="false">
      <c r="A7" s="345" t="s">
        <v>962</v>
      </c>
      <c r="B7" s="335" t="n">
        <f aca="false">IF(AND(B$3&gt;='APA Assumptions'!$B$6,B$3&lt;'APA Assumptions'!$B$6+'APA Assumptions'!$B$7),'APA Assumptions'!$B$8,0)</f>
        <v>25714.2857142857</v>
      </c>
      <c r="C7" s="335" t="n">
        <f aca="false">IF(AND(C$3&gt;='APA Assumptions'!$B$6,C$3&lt;'APA Assumptions'!$B$6+'APA Assumptions'!$B$7),'APA Assumptions'!$B$8,0)</f>
        <v>25714.2857142857</v>
      </c>
      <c r="D7" s="335" t="n">
        <f aca="false">IF(AND(D$3&gt;='APA Assumptions'!$B$6,D$3&lt;'APA Assumptions'!$B$6+'APA Assumptions'!$B$7),'APA Assumptions'!$B$8,0)</f>
        <v>25714.2857142857</v>
      </c>
      <c r="E7" s="335" t="n">
        <f aca="false">IF(AND(E$3&gt;='APA Assumptions'!$B$6,E$3&lt;'APA Assumptions'!$B$6+'APA Assumptions'!$B$7),'APA Assumptions'!$B$8,0)</f>
        <v>25714.2857142857</v>
      </c>
      <c r="F7" s="335" t="n">
        <f aca="false">IF(AND(F$3&gt;='APA Assumptions'!$B$6,F$3&lt;'APA Assumptions'!$B$6+'APA Assumptions'!$B$7),'APA Assumptions'!$B$8,0)</f>
        <v>25714.2857142857</v>
      </c>
      <c r="G7" s="335" t="n">
        <f aca="false">IF(AND(G$3&gt;='APA Assumptions'!$B$6,G$3&lt;'APA Assumptions'!$B$6+'APA Assumptions'!$B$7),'APA Assumptions'!$B$8,0)</f>
        <v>25714.2857142857</v>
      </c>
      <c r="H7" s="335" t="n">
        <f aca="false">IF(AND(H$3&gt;='APA Assumptions'!$B$6,H$3&lt;'APA Assumptions'!$B$6+'APA Assumptions'!$B$7),'APA Assumptions'!$B$8,0)</f>
        <v>25714.2857142857</v>
      </c>
      <c r="I7" s="335" t="n">
        <f aca="false">IF(AND(I$3&gt;='APA Assumptions'!$B$6,I$3&lt;'APA Assumptions'!$B$6+'APA Assumptions'!$B$7),'APA Assumptions'!$B$8,0)</f>
        <v>0</v>
      </c>
      <c r="J7" s="335" t="n">
        <f aca="false">IF(AND(J$3&gt;='APA Assumptions'!$B$6,J$3&lt;'APA Assumptions'!$B$6+'APA Assumptions'!$B$7),'APA Assumptions'!$B$8,0)</f>
        <v>0</v>
      </c>
      <c r="K7" s="335" t="n">
        <f aca="false">IF(AND(K$3&gt;='APA Assumptions'!$B$6,K$3&lt;'APA Assumptions'!$B$6+'APA Assumptions'!$B$7),'APA Assumptions'!$B$8,0)</f>
        <v>0</v>
      </c>
      <c r="L7" s="335" t="n">
        <f aca="false">IF(AND(L$3&gt;='APA Assumptions'!$B$6,L$3&lt;'APA Assumptions'!$B$6+'APA Assumptions'!$B$7),'APA Assumptions'!$B$8,0)</f>
        <v>0</v>
      </c>
      <c r="M7" s="335" t="n">
        <f aca="false">IF(AND(M$3&gt;='APA Assumptions'!$B$6,M$3&lt;'APA Assumptions'!$B$6+'APA Assumptions'!$B$7),'APA Assumptions'!$B$8,0)</f>
        <v>0</v>
      </c>
      <c r="N7" s="335" t="n">
        <f aca="false">IF(AND(N$3&gt;='APA Assumptions'!$B$6,N$3&lt;'APA Assumptions'!$B$6+'APA Assumptions'!$B$7),'APA Assumptions'!$B$8,0)</f>
        <v>0</v>
      </c>
      <c r="O7" s="335" t="n">
        <f aca="false">IF(AND(O$3&gt;='APA Assumptions'!$B$6,O$3&lt;'APA Assumptions'!$B$6+'APA Assumptions'!$B$7),'APA Assumptions'!$B$8,0)</f>
        <v>0</v>
      </c>
      <c r="P7" s="335" t="n">
        <f aca="false">IF(AND(P$3&gt;='APA Assumptions'!$B$6,P$3&lt;'APA Assumptions'!$B$6+'APA Assumptions'!$B$7),'APA Assumptions'!$B$8,0)</f>
        <v>0</v>
      </c>
      <c r="Q7" s="335" t="n">
        <f aca="false">IF(AND(Q$3&gt;='APA Assumptions'!$B$6,Q$3&lt;'APA Assumptions'!$B$6+'APA Assumptions'!$B$7),'APA Assumptions'!$B$8,0)</f>
        <v>0</v>
      </c>
      <c r="R7" s="335" t="n">
        <f aca="false">IF(AND(R$3&gt;='APA Assumptions'!$B$6,R$3&lt;'APA Assumptions'!$B$6+'APA Assumptions'!$B$7),'APA Assumptions'!$B$8,0)</f>
        <v>0</v>
      </c>
      <c r="S7" s="335" t="n">
        <f aca="false">IF(AND(S$3&gt;='APA Assumptions'!$B$6,S$3&lt;'APA Assumptions'!$B$6+'APA Assumptions'!$B$7),'APA Assumptions'!$B$8,0)</f>
        <v>0</v>
      </c>
      <c r="T7" s="335" t="n">
        <f aca="false">IF(AND(T$3&gt;='APA Assumptions'!$B$6,T$3&lt;'APA Assumptions'!$B$6+'APA Assumptions'!$B$7),'APA Assumptions'!$B$8,0)</f>
        <v>0</v>
      </c>
      <c r="U7" s="335" t="n">
        <f aca="false">IF(AND(U$3&gt;='APA Assumptions'!$B$6,U$3&lt;'APA Assumptions'!$B$6+'APA Assumptions'!$B$7),'APA Assumptions'!$B$8,0)</f>
        <v>0</v>
      </c>
      <c r="V7" s="335" t="n">
        <f aca="false">IF(AND(V$3&gt;='APA Assumptions'!$B$6,V$3&lt;'APA Assumptions'!$B$6+'APA Assumptions'!$B$7),'APA Assumptions'!$B$8,0)</f>
        <v>0</v>
      </c>
      <c r="W7" s="335" t="n">
        <f aca="false">IF(AND(W$3&gt;='APA Assumptions'!$B$6,W$3&lt;'APA Assumptions'!$B$6+'APA Assumptions'!$B$7),'APA Assumptions'!$B$8,0)</f>
        <v>0</v>
      </c>
      <c r="X7" s="335" t="n">
        <f aca="false">IF(AND(X$3&gt;='APA Assumptions'!$B$6,X$3&lt;'APA Assumptions'!$B$6+'APA Assumptions'!$B$7),'APA Assumptions'!$B$8,0)</f>
        <v>0</v>
      </c>
      <c r="Y7" s="335" t="n">
        <f aca="false">IF(AND(Y$3&gt;='APA Assumptions'!$B$6,Y$3&lt;'APA Assumptions'!$B$6+'APA Assumptions'!$B$7),'APA Assumptions'!$B$8,0)</f>
        <v>0</v>
      </c>
      <c r="Z7" s="335" t="n">
        <f aca="false">IF(AND(Z$3&gt;='APA Assumptions'!$B$6,Z$3&lt;'APA Assumptions'!$B$6+'APA Assumptions'!$B$7),'APA Assumptions'!$B$8,0)</f>
        <v>0</v>
      </c>
      <c r="AA7" s="335" t="n">
        <f aca="false">IF(AND(AA$3&gt;='APA Assumptions'!$B$6,AA$3&lt;'APA Assumptions'!$B$6+'APA Assumptions'!$B$7),'APA Assumptions'!$B$8,0)</f>
        <v>0</v>
      </c>
      <c r="AB7" s="335" t="n">
        <f aca="false">IF(AND(AB$3&gt;='APA Assumptions'!$B$6,AB$3&lt;'APA Assumptions'!$B$6+'APA Assumptions'!$B$7),'APA Assumptions'!$B$8,0)</f>
        <v>0</v>
      </c>
      <c r="AC7" s="335" t="n">
        <f aca="false">IF(AND(AC$3&gt;='APA Assumptions'!$B$6,AC$3&lt;'APA Assumptions'!$B$6+'APA Assumptions'!$B$7),'APA Assumptions'!$B$8,0)</f>
        <v>0</v>
      </c>
      <c r="AD7" s="335" t="n">
        <f aca="false">IF(AND(AD$3&gt;='APA Assumptions'!$B$6,AD$3&lt;'APA Assumptions'!$B$6+'APA Assumptions'!$B$7),'APA Assumptions'!$B$8,0)</f>
        <v>0</v>
      </c>
      <c r="AE7" s="335" t="n">
        <f aca="false">IF(AND(AE$3&gt;='APA Assumptions'!$B$6,AE$3&lt;'APA Assumptions'!$B$6+'APA Assumptions'!$B$7),'APA Assumptions'!$B$8,0)</f>
        <v>0</v>
      </c>
      <c r="AF7" s="335" t="n">
        <f aca="false">IF(AND(AF$3&gt;='APA Assumptions'!$B$6,AF$3&lt;'APA Assumptions'!$B$6+'APA Assumptions'!$B$7),'APA Assumptions'!$B$8,0)</f>
        <v>0</v>
      </c>
      <c r="AG7" s="335" t="n">
        <f aca="false">IF(AND(AG$3&gt;='APA Assumptions'!$B$6,AG$3&lt;'APA Assumptions'!$B$6+'APA Assumptions'!$B$7),'APA Assumptions'!$B$8,0)</f>
        <v>0</v>
      </c>
      <c r="AH7" s="335" t="n">
        <f aca="false">IF(AND(AH$3&gt;='APA Assumptions'!$B$6,AH$3&lt;'APA Assumptions'!$B$6+'APA Assumptions'!$B$7),'APA Assumptions'!$B$8,0)</f>
        <v>0</v>
      </c>
      <c r="AI7" s="335" t="n">
        <f aca="false">IF(AND(AI$3&gt;='APA Assumptions'!$B$6,AI$3&lt;'APA Assumptions'!$B$6+'APA Assumptions'!$B$7),'APA Assumptions'!$B$8,0)</f>
        <v>0</v>
      </c>
      <c r="AJ7" s="335" t="n">
        <f aca="false">IF(AND(AJ$3&gt;='APA Assumptions'!$B$6,AJ$3&lt;'APA Assumptions'!$B$6+'APA Assumptions'!$B$7),'APA Assumptions'!$B$8,0)</f>
        <v>0</v>
      </c>
      <c r="AK7" s="335" t="n">
        <f aca="false">IF(AND(AK$3&gt;='APA Assumptions'!$B$6,AK$3&lt;'APA Assumptions'!$B$6+'APA Assumptions'!$B$7),'APA Assumptions'!$B$8,0)</f>
        <v>0</v>
      </c>
      <c r="AL7" s="335" t="n">
        <f aca="false">IF(AND(AL$3&gt;='APA Assumptions'!$B$6,AL$3&lt;'APA Assumptions'!$B$6+'APA Assumptions'!$B$7),'APA Assumptions'!$B$8,0)</f>
        <v>0</v>
      </c>
      <c r="AM7" s="335" t="n">
        <f aca="false">IF(AND(AM$3&gt;='APA Assumptions'!$B$6,AM$3&lt;'APA Assumptions'!$B$6+'APA Assumptions'!$B$7),'APA Assumptions'!$B$8,0)</f>
        <v>0</v>
      </c>
      <c r="AN7" s="335" t="n">
        <f aca="false">SUM(B7:AM7)</f>
        <v>180000</v>
      </c>
    </row>
    <row r="8" customFormat="false" ht="15" hidden="false" customHeight="true" outlineLevel="0" collapsed="false">
      <c r="A8" s="345" t="s">
        <v>963</v>
      </c>
      <c r="B8" s="335" t="n">
        <f aca="false">IF(AND(B$3&gt;='APA Assumptions'!$B$10,B$3&lt;'APA Assumptions'!$B$10+'APA Assumptions'!$B$11),'APA Assumptions'!$B$9,0)</f>
        <v>0</v>
      </c>
      <c r="C8" s="335" t="n">
        <f aca="false">IF(AND(C$3&gt;='APA Assumptions'!$B$10,C$3&lt;'APA Assumptions'!$B$10+'APA Assumptions'!$B$11),'APA Assumptions'!$B$9,0)</f>
        <v>0</v>
      </c>
      <c r="D8" s="335" t="n">
        <f aca="false">IF(AND(D$3&gt;='APA Assumptions'!$B$10,D$3&lt;'APA Assumptions'!$B$10+'APA Assumptions'!$B$11),'APA Assumptions'!$B$9,0)</f>
        <v>0</v>
      </c>
      <c r="E8" s="335" t="n">
        <f aca="false">IF(AND(E$3&gt;='APA Assumptions'!$B$10,E$3&lt;'APA Assumptions'!$B$10+'APA Assumptions'!$B$11),'APA Assumptions'!$B$9,0)</f>
        <v>0</v>
      </c>
      <c r="F8" s="335" t="n">
        <f aca="false">IF(AND(F$3&gt;='APA Assumptions'!$B$10,F$3&lt;'APA Assumptions'!$B$10+'APA Assumptions'!$B$11),'APA Assumptions'!$B$9,0)</f>
        <v>0</v>
      </c>
      <c r="G8" s="335" t="n">
        <f aca="false">IF(AND(G$3&gt;='APA Assumptions'!$B$10,G$3&lt;'APA Assumptions'!$B$10+'APA Assumptions'!$B$11),'APA Assumptions'!$B$9,0)</f>
        <v>0</v>
      </c>
      <c r="H8" s="335" t="n">
        <f aca="false">IF(AND(H$3&gt;='APA Assumptions'!$B$10,H$3&lt;'APA Assumptions'!$B$10+'APA Assumptions'!$B$11),'APA Assumptions'!$B$9,0)</f>
        <v>0</v>
      </c>
      <c r="I8" s="335" t="n">
        <f aca="false">IF(AND(I$3&gt;='APA Assumptions'!$B$10,I$3&lt;'APA Assumptions'!$B$10+'APA Assumptions'!$B$11),'APA Assumptions'!$B$9,0)</f>
        <v>0</v>
      </c>
      <c r="J8" s="335" t="n">
        <f aca="false">IF(AND(J$3&gt;='APA Assumptions'!$B$10,J$3&lt;'APA Assumptions'!$B$10+'APA Assumptions'!$B$11),'APA Assumptions'!$B$9,0)</f>
        <v>2500</v>
      </c>
      <c r="K8" s="335" t="n">
        <f aca="false">IF(AND(K$3&gt;='APA Assumptions'!$B$10,K$3&lt;'APA Assumptions'!$B$10+'APA Assumptions'!$B$11),'APA Assumptions'!$B$9,0)</f>
        <v>2500</v>
      </c>
      <c r="L8" s="335" t="n">
        <f aca="false">IF(AND(L$3&gt;='APA Assumptions'!$B$10,L$3&lt;'APA Assumptions'!$B$10+'APA Assumptions'!$B$11),'APA Assumptions'!$B$9,0)</f>
        <v>2500</v>
      </c>
      <c r="M8" s="335" t="n">
        <f aca="false">IF(AND(M$3&gt;='APA Assumptions'!$B$10,M$3&lt;'APA Assumptions'!$B$10+'APA Assumptions'!$B$11),'APA Assumptions'!$B$9,0)</f>
        <v>2500</v>
      </c>
      <c r="N8" s="335" t="n">
        <f aca="false">IF(AND(N$3&gt;='APA Assumptions'!$B$10,N$3&lt;'APA Assumptions'!$B$10+'APA Assumptions'!$B$11),'APA Assumptions'!$B$9,0)</f>
        <v>2500</v>
      </c>
      <c r="O8" s="335" t="n">
        <f aca="false">IF(AND(O$3&gt;='APA Assumptions'!$B$10,O$3&lt;'APA Assumptions'!$B$10+'APA Assumptions'!$B$11),'APA Assumptions'!$B$9,0)</f>
        <v>2500</v>
      </c>
      <c r="P8" s="335" t="n">
        <f aca="false">IF(AND(P$3&gt;='APA Assumptions'!$B$10,P$3&lt;'APA Assumptions'!$B$10+'APA Assumptions'!$B$11),'APA Assumptions'!$B$9,0)</f>
        <v>2500</v>
      </c>
      <c r="Q8" s="335" t="n">
        <f aca="false">IF(AND(Q$3&gt;='APA Assumptions'!$B$10,Q$3&lt;'APA Assumptions'!$B$10+'APA Assumptions'!$B$11),'APA Assumptions'!$B$9,0)</f>
        <v>2500</v>
      </c>
      <c r="R8" s="335" t="n">
        <f aca="false">IF(AND(R$3&gt;='APA Assumptions'!$B$10,R$3&lt;'APA Assumptions'!$B$10+'APA Assumptions'!$B$11),'APA Assumptions'!$B$9,0)</f>
        <v>2500</v>
      </c>
      <c r="S8" s="335" t="n">
        <f aca="false">IF(AND(S$3&gt;='APA Assumptions'!$B$10,S$3&lt;'APA Assumptions'!$B$10+'APA Assumptions'!$B$11),'APA Assumptions'!$B$9,0)</f>
        <v>2500</v>
      </c>
      <c r="T8" s="335" t="n">
        <f aca="false">IF(AND(T$3&gt;='APA Assumptions'!$B$10,T$3&lt;'APA Assumptions'!$B$10+'APA Assumptions'!$B$11),'APA Assumptions'!$B$9,0)</f>
        <v>2500</v>
      </c>
      <c r="U8" s="335" t="n">
        <f aca="false">IF(AND(U$3&gt;='APA Assumptions'!$B$10,U$3&lt;'APA Assumptions'!$B$10+'APA Assumptions'!$B$11),'APA Assumptions'!$B$9,0)</f>
        <v>2500</v>
      </c>
      <c r="V8" s="335" t="n">
        <f aca="false">IF(AND(V$3&gt;='APA Assumptions'!$B$10,V$3&lt;'APA Assumptions'!$B$10+'APA Assumptions'!$B$11),'APA Assumptions'!$B$9,0)</f>
        <v>2500</v>
      </c>
      <c r="W8" s="335" t="n">
        <f aca="false">IF(AND(W$3&gt;='APA Assumptions'!$B$10,W$3&lt;'APA Assumptions'!$B$10+'APA Assumptions'!$B$11),'APA Assumptions'!$B$9,0)</f>
        <v>2500</v>
      </c>
      <c r="X8" s="335" t="n">
        <f aca="false">IF(AND(X$3&gt;='APA Assumptions'!$B$10,X$3&lt;'APA Assumptions'!$B$10+'APA Assumptions'!$B$11),'APA Assumptions'!$B$9,0)</f>
        <v>2500</v>
      </c>
      <c r="Y8" s="335" t="n">
        <f aca="false">IF(AND(Y$3&gt;='APA Assumptions'!$B$10,Y$3&lt;'APA Assumptions'!$B$10+'APA Assumptions'!$B$11),'APA Assumptions'!$B$9,0)</f>
        <v>2500</v>
      </c>
      <c r="Z8" s="335" t="n">
        <f aca="false">IF(AND(Z$3&gt;='APA Assumptions'!$B$10,Z$3&lt;'APA Assumptions'!$B$10+'APA Assumptions'!$B$11),'APA Assumptions'!$B$9,0)</f>
        <v>2500</v>
      </c>
      <c r="AA8" s="335" t="n">
        <f aca="false">IF(AND(AA$3&gt;='APA Assumptions'!$B$10,AA$3&lt;'APA Assumptions'!$B$10+'APA Assumptions'!$B$11),'APA Assumptions'!$B$9,0)</f>
        <v>2500</v>
      </c>
      <c r="AB8" s="335" t="n">
        <f aca="false">IF(AND(AB$3&gt;='APA Assumptions'!$B$10,AB$3&lt;'APA Assumptions'!$B$10+'APA Assumptions'!$B$11),'APA Assumptions'!$B$9,0)</f>
        <v>2500</v>
      </c>
      <c r="AC8" s="335" t="n">
        <f aca="false">IF(AND(AC$3&gt;='APA Assumptions'!$B$10,AC$3&lt;'APA Assumptions'!$B$10+'APA Assumptions'!$B$11),'APA Assumptions'!$B$9,0)</f>
        <v>2500</v>
      </c>
      <c r="AD8" s="335" t="n">
        <f aca="false">IF(AND(AD$3&gt;='APA Assumptions'!$B$10,AD$3&lt;'APA Assumptions'!$B$10+'APA Assumptions'!$B$11),'APA Assumptions'!$B$9,0)</f>
        <v>2500</v>
      </c>
      <c r="AE8" s="335" t="n">
        <f aca="false">IF(AND(AE$3&gt;='APA Assumptions'!$B$10,AE$3&lt;'APA Assumptions'!$B$10+'APA Assumptions'!$B$11),'APA Assumptions'!$B$9,0)</f>
        <v>2500</v>
      </c>
      <c r="AF8" s="335" t="n">
        <f aca="false">IF(AND(AF$3&gt;='APA Assumptions'!$B$10,AF$3&lt;'APA Assumptions'!$B$10+'APA Assumptions'!$B$11),'APA Assumptions'!$B$9,0)</f>
        <v>2500</v>
      </c>
      <c r="AG8" s="335" t="n">
        <f aca="false">IF(AND(AG$3&gt;='APA Assumptions'!$B$10,AG$3&lt;'APA Assumptions'!$B$10+'APA Assumptions'!$B$11),'APA Assumptions'!$B$9,0)</f>
        <v>2500</v>
      </c>
      <c r="AH8" s="335" t="n">
        <f aca="false">IF(AND(AH$3&gt;='APA Assumptions'!$B$10,AH$3&lt;'APA Assumptions'!$B$10+'APA Assumptions'!$B$11),'APA Assumptions'!$B$9,0)</f>
        <v>2500</v>
      </c>
      <c r="AI8" s="335" t="n">
        <f aca="false">IF(AND(AI$3&gt;='APA Assumptions'!$B$10,AI$3&lt;'APA Assumptions'!$B$10+'APA Assumptions'!$B$11),'APA Assumptions'!$B$9,0)</f>
        <v>2500</v>
      </c>
      <c r="AJ8" s="335" t="n">
        <f aca="false">IF(AND(AJ$3&gt;='APA Assumptions'!$B$10,AJ$3&lt;'APA Assumptions'!$B$10+'APA Assumptions'!$B$11),'APA Assumptions'!$B$9,0)</f>
        <v>2500</v>
      </c>
      <c r="AK8" s="335" t="n">
        <f aca="false">IF(AND(AK$3&gt;='APA Assumptions'!$B$10,AK$3&lt;'APA Assumptions'!$B$10+'APA Assumptions'!$B$11),'APA Assumptions'!$B$9,0)</f>
        <v>2500</v>
      </c>
      <c r="AL8" s="335" t="n">
        <f aca="false">IF(AND(AL$3&gt;='APA Assumptions'!$B$10,AL$3&lt;'APA Assumptions'!$B$10+'APA Assumptions'!$B$11),'APA Assumptions'!$B$9,0)</f>
        <v>2500</v>
      </c>
      <c r="AM8" s="335" t="n">
        <f aca="false">IF(AND(AM$3&gt;='APA Assumptions'!$B$10,AM$3&lt;'APA Assumptions'!$B$10+'APA Assumptions'!$B$11),'APA Assumptions'!$B$9,0)</f>
        <v>2500</v>
      </c>
      <c r="AN8" s="335" t="n">
        <f aca="false">SUM(B8:AM8)</f>
        <v>75000</v>
      </c>
    </row>
    <row r="9" customFormat="false" ht="15" hidden="false" customHeight="true" outlineLevel="0" collapsed="false">
      <c r="A9" s="345" t="s">
        <v>964</v>
      </c>
      <c r="B9" s="335" t="n">
        <f aca="false">IF(AND(B$3&gt;='APA Assumptions'!$B$13,B$3&lt;'APA Assumptions'!$B$13+'APA Assumptions'!$B$14),'APA Assumptions'!$B$12,0)</f>
        <v>0</v>
      </c>
      <c r="C9" s="335" t="n">
        <f aca="false">IF(AND(C$3&gt;='APA Assumptions'!$B$13,C$3&lt;'APA Assumptions'!$B$13+'APA Assumptions'!$B$14),'APA Assumptions'!$B$12,0)</f>
        <v>2694</v>
      </c>
      <c r="D9" s="335" t="n">
        <f aca="false">IF(AND(D$3&gt;='APA Assumptions'!$B$13,D$3&lt;'APA Assumptions'!$B$13+'APA Assumptions'!$B$14),'APA Assumptions'!$B$12,0)</f>
        <v>2694</v>
      </c>
      <c r="E9" s="335" t="n">
        <f aca="false">IF(AND(E$3&gt;='APA Assumptions'!$B$13,E$3&lt;'APA Assumptions'!$B$13+'APA Assumptions'!$B$14),'APA Assumptions'!$B$12,0)</f>
        <v>2694</v>
      </c>
      <c r="F9" s="335" t="n">
        <f aca="false">IF(AND(F$3&gt;='APA Assumptions'!$B$13,F$3&lt;'APA Assumptions'!$B$13+'APA Assumptions'!$B$14),'APA Assumptions'!$B$12,0)</f>
        <v>2694</v>
      </c>
      <c r="G9" s="335" t="n">
        <f aca="false">IF(AND(G$3&gt;='APA Assumptions'!$B$13,G$3&lt;'APA Assumptions'!$B$13+'APA Assumptions'!$B$14),'APA Assumptions'!$B$12,0)</f>
        <v>2694</v>
      </c>
      <c r="H9" s="335" t="n">
        <f aca="false">IF(AND(H$3&gt;='APA Assumptions'!$B$13,H$3&lt;'APA Assumptions'!$B$13+'APA Assumptions'!$B$14),'APA Assumptions'!$B$12,0)</f>
        <v>2694</v>
      </c>
      <c r="I9" s="335" t="n">
        <f aca="false">IF(AND(I$3&gt;='APA Assumptions'!$B$13,I$3&lt;'APA Assumptions'!$B$13+'APA Assumptions'!$B$14),'APA Assumptions'!$B$12,0)</f>
        <v>2694</v>
      </c>
      <c r="J9" s="335" t="n">
        <f aca="false">IF(AND(J$3&gt;='APA Assumptions'!$B$13,J$3&lt;'APA Assumptions'!$B$13+'APA Assumptions'!$B$14),'APA Assumptions'!$B$12,0)</f>
        <v>2694</v>
      </c>
      <c r="K9" s="335" t="n">
        <f aca="false">IF(AND(K$3&gt;='APA Assumptions'!$B$13,K$3&lt;'APA Assumptions'!$B$13+'APA Assumptions'!$B$14),'APA Assumptions'!$B$12,0)</f>
        <v>2694</v>
      </c>
      <c r="L9" s="335" t="n">
        <f aca="false">IF(AND(L$3&gt;='APA Assumptions'!$B$13,L$3&lt;'APA Assumptions'!$B$13+'APA Assumptions'!$B$14),'APA Assumptions'!$B$12,0)</f>
        <v>2694</v>
      </c>
      <c r="M9" s="335" t="n">
        <f aca="false">IF(AND(M$3&gt;='APA Assumptions'!$B$13,M$3&lt;'APA Assumptions'!$B$13+'APA Assumptions'!$B$14),'APA Assumptions'!$B$12,0)</f>
        <v>2694</v>
      </c>
      <c r="N9" s="335" t="n">
        <f aca="false">IF(AND(N$3&gt;='APA Assumptions'!$B$13,N$3&lt;'APA Assumptions'!$B$13+'APA Assumptions'!$B$14),'APA Assumptions'!$B$12,0)</f>
        <v>2694</v>
      </c>
      <c r="O9" s="335" t="n">
        <f aca="false">IF(AND(O$3&gt;='APA Assumptions'!$B$13,O$3&lt;'APA Assumptions'!$B$13+'APA Assumptions'!$B$14),'APA Assumptions'!$B$12,0)</f>
        <v>2694</v>
      </c>
      <c r="P9" s="335" t="n">
        <f aca="false">IF(AND(P$3&gt;='APA Assumptions'!$B$13,P$3&lt;'APA Assumptions'!$B$13+'APA Assumptions'!$B$14),'APA Assumptions'!$B$12,0)</f>
        <v>2694</v>
      </c>
      <c r="Q9" s="335" t="n">
        <f aca="false">IF(AND(Q$3&gt;='APA Assumptions'!$B$13,Q$3&lt;'APA Assumptions'!$B$13+'APA Assumptions'!$B$14),'APA Assumptions'!$B$12,0)</f>
        <v>2694</v>
      </c>
      <c r="R9" s="335" t="n">
        <f aca="false">IF(AND(R$3&gt;='APA Assumptions'!$B$13,R$3&lt;'APA Assumptions'!$B$13+'APA Assumptions'!$B$14),'APA Assumptions'!$B$12,0)</f>
        <v>0</v>
      </c>
      <c r="S9" s="335" t="n">
        <f aca="false">IF(AND(S$3&gt;='APA Assumptions'!$B$13,S$3&lt;'APA Assumptions'!$B$13+'APA Assumptions'!$B$14),'APA Assumptions'!$B$12,0)</f>
        <v>0</v>
      </c>
      <c r="T9" s="335" t="n">
        <f aca="false">IF(AND(T$3&gt;='APA Assumptions'!$B$13,T$3&lt;'APA Assumptions'!$B$13+'APA Assumptions'!$B$14),'APA Assumptions'!$B$12,0)</f>
        <v>0</v>
      </c>
      <c r="U9" s="335" t="n">
        <f aca="false">IF(AND(U$3&gt;='APA Assumptions'!$B$13,U$3&lt;'APA Assumptions'!$B$13+'APA Assumptions'!$B$14),'APA Assumptions'!$B$12,0)</f>
        <v>0</v>
      </c>
      <c r="V9" s="335" t="n">
        <f aca="false">IF(AND(V$3&gt;='APA Assumptions'!$B$13,V$3&lt;'APA Assumptions'!$B$13+'APA Assumptions'!$B$14),'APA Assumptions'!$B$12,0)</f>
        <v>0</v>
      </c>
      <c r="W9" s="335" t="n">
        <f aca="false">IF(AND(W$3&gt;='APA Assumptions'!$B$13,W$3&lt;'APA Assumptions'!$B$13+'APA Assumptions'!$B$14),'APA Assumptions'!$B$12,0)</f>
        <v>0</v>
      </c>
      <c r="X9" s="335" t="n">
        <f aca="false">IF(AND(X$3&gt;='APA Assumptions'!$B$13,X$3&lt;'APA Assumptions'!$B$13+'APA Assumptions'!$B$14),'APA Assumptions'!$B$12,0)</f>
        <v>0</v>
      </c>
      <c r="Y9" s="335" t="n">
        <f aca="false">IF(AND(Y$3&gt;='APA Assumptions'!$B$13,Y$3&lt;'APA Assumptions'!$B$13+'APA Assumptions'!$B$14),'APA Assumptions'!$B$12,0)</f>
        <v>0</v>
      </c>
      <c r="Z9" s="335" t="n">
        <f aca="false">IF(AND(Z$3&gt;='APA Assumptions'!$B$13,Z$3&lt;'APA Assumptions'!$B$13+'APA Assumptions'!$B$14),'APA Assumptions'!$B$12,0)</f>
        <v>0</v>
      </c>
      <c r="AA9" s="335" t="n">
        <f aca="false">IF(AND(AA$3&gt;='APA Assumptions'!$B$13,AA$3&lt;'APA Assumptions'!$B$13+'APA Assumptions'!$B$14),'APA Assumptions'!$B$12,0)</f>
        <v>0</v>
      </c>
      <c r="AB9" s="335" t="n">
        <f aca="false">IF(AND(AB$3&gt;='APA Assumptions'!$B$13,AB$3&lt;'APA Assumptions'!$B$13+'APA Assumptions'!$B$14),'APA Assumptions'!$B$12,0)</f>
        <v>0</v>
      </c>
      <c r="AC9" s="335" t="n">
        <f aca="false">IF(AND(AC$3&gt;='APA Assumptions'!$B$13,AC$3&lt;'APA Assumptions'!$B$13+'APA Assumptions'!$B$14),'APA Assumptions'!$B$12,0)</f>
        <v>0</v>
      </c>
      <c r="AD9" s="335" t="n">
        <f aca="false">IF(AND(AD$3&gt;='APA Assumptions'!$B$13,AD$3&lt;'APA Assumptions'!$B$13+'APA Assumptions'!$B$14),'APA Assumptions'!$B$12,0)</f>
        <v>0</v>
      </c>
      <c r="AE9" s="335" t="n">
        <f aca="false">IF(AND(AE$3&gt;='APA Assumptions'!$B$13,AE$3&lt;'APA Assumptions'!$B$13+'APA Assumptions'!$B$14),'APA Assumptions'!$B$12,0)</f>
        <v>0</v>
      </c>
      <c r="AF9" s="335" t="n">
        <f aca="false">IF(AND(AF$3&gt;='APA Assumptions'!$B$13,AF$3&lt;'APA Assumptions'!$B$13+'APA Assumptions'!$B$14),'APA Assumptions'!$B$12,0)</f>
        <v>0</v>
      </c>
      <c r="AG9" s="335" t="n">
        <f aca="false">IF(AND(AG$3&gt;='APA Assumptions'!$B$13,AG$3&lt;'APA Assumptions'!$B$13+'APA Assumptions'!$B$14),'APA Assumptions'!$B$12,0)</f>
        <v>0</v>
      </c>
      <c r="AH9" s="335" t="n">
        <f aca="false">IF(AND(AH$3&gt;='APA Assumptions'!$B$13,AH$3&lt;'APA Assumptions'!$B$13+'APA Assumptions'!$B$14),'APA Assumptions'!$B$12,0)</f>
        <v>0</v>
      </c>
      <c r="AI9" s="335" t="n">
        <f aca="false">IF(AND(AI$3&gt;='APA Assumptions'!$B$13,AI$3&lt;'APA Assumptions'!$B$13+'APA Assumptions'!$B$14),'APA Assumptions'!$B$12,0)</f>
        <v>0</v>
      </c>
      <c r="AJ9" s="335" t="n">
        <f aca="false">IF(AND(AJ$3&gt;='APA Assumptions'!$B$13,AJ$3&lt;'APA Assumptions'!$B$13+'APA Assumptions'!$B$14),'APA Assumptions'!$B$12,0)</f>
        <v>0</v>
      </c>
      <c r="AK9" s="335" t="n">
        <f aca="false">IF(AND(AK$3&gt;='APA Assumptions'!$B$13,AK$3&lt;'APA Assumptions'!$B$13+'APA Assumptions'!$B$14),'APA Assumptions'!$B$12,0)</f>
        <v>0</v>
      </c>
      <c r="AL9" s="335" t="n">
        <f aca="false">IF(AND(AL$3&gt;='APA Assumptions'!$B$13,AL$3&lt;'APA Assumptions'!$B$13+'APA Assumptions'!$B$14),'APA Assumptions'!$B$12,0)</f>
        <v>0</v>
      </c>
      <c r="AM9" s="335" t="n">
        <f aca="false">IF(AND(AM$3&gt;='APA Assumptions'!$B$13,AM$3&lt;'APA Assumptions'!$B$13+'APA Assumptions'!$B$14),'APA Assumptions'!$B$12,0)</f>
        <v>0</v>
      </c>
      <c r="AN9" s="335" t="n">
        <f aca="false">SUM(B9:AM9)</f>
        <v>40410</v>
      </c>
    </row>
    <row r="10" customFormat="false" ht="15" hidden="false" customHeight="true" outlineLevel="0" collapsed="false">
      <c r="A10" s="345" t="s">
        <v>965</v>
      </c>
      <c r="B10" s="335" t="n">
        <f aca="false">IF(AND(B$3&gt;='APA Assumptions'!$B$16,B$3&lt;'APA Assumptions'!$B$16+'APA Assumptions'!$B$17),'APA Assumptions'!$B$15,0)</f>
        <v>0</v>
      </c>
      <c r="C10" s="335" t="n">
        <f aca="false">IF(AND(C$3&gt;='APA Assumptions'!$B$16,C$3&lt;'APA Assumptions'!$B$16+'APA Assumptions'!$B$17),'APA Assumptions'!$B$15,0)</f>
        <v>2500</v>
      </c>
      <c r="D10" s="335" t="n">
        <f aca="false">IF(AND(D$3&gt;='APA Assumptions'!$B$16,D$3&lt;'APA Assumptions'!$B$16+'APA Assumptions'!$B$17),'APA Assumptions'!$B$15,0)</f>
        <v>2500</v>
      </c>
      <c r="E10" s="335" t="n">
        <f aca="false">IF(AND(E$3&gt;='APA Assumptions'!$B$16,E$3&lt;'APA Assumptions'!$B$16+'APA Assumptions'!$B$17),'APA Assumptions'!$B$15,0)</f>
        <v>2500</v>
      </c>
      <c r="F10" s="335" t="n">
        <f aca="false">IF(AND(F$3&gt;='APA Assumptions'!$B$16,F$3&lt;'APA Assumptions'!$B$16+'APA Assumptions'!$B$17),'APA Assumptions'!$B$15,0)</f>
        <v>2500</v>
      </c>
      <c r="G10" s="335" t="n">
        <f aca="false">IF(AND(G$3&gt;='APA Assumptions'!$B$16,G$3&lt;'APA Assumptions'!$B$16+'APA Assumptions'!$B$17),'APA Assumptions'!$B$15,0)</f>
        <v>2500</v>
      </c>
      <c r="H10" s="335" t="n">
        <f aca="false">IF(AND(H$3&gt;='APA Assumptions'!$B$16,H$3&lt;'APA Assumptions'!$B$16+'APA Assumptions'!$B$17),'APA Assumptions'!$B$15,0)</f>
        <v>2500</v>
      </c>
      <c r="I10" s="335" t="n">
        <f aca="false">IF(AND(I$3&gt;='APA Assumptions'!$B$16,I$3&lt;'APA Assumptions'!$B$16+'APA Assumptions'!$B$17),'APA Assumptions'!$B$15,0)</f>
        <v>2500</v>
      </c>
      <c r="J10" s="335" t="n">
        <f aca="false">IF(AND(J$3&gt;='APA Assumptions'!$B$16,J$3&lt;'APA Assumptions'!$B$16+'APA Assumptions'!$B$17),'APA Assumptions'!$B$15,0)</f>
        <v>2500</v>
      </c>
      <c r="K10" s="335" t="n">
        <f aca="false">IF(AND(K$3&gt;='APA Assumptions'!$B$16,K$3&lt;'APA Assumptions'!$B$16+'APA Assumptions'!$B$17),'APA Assumptions'!$B$15,0)</f>
        <v>2500</v>
      </c>
      <c r="L10" s="335" t="n">
        <f aca="false">IF(AND(L$3&gt;='APA Assumptions'!$B$16,L$3&lt;'APA Assumptions'!$B$16+'APA Assumptions'!$B$17),'APA Assumptions'!$B$15,0)</f>
        <v>2500</v>
      </c>
      <c r="M10" s="335" t="n">
        <f aca="false">IF(AND(M$3&gt;='APA Assumptions'!$B$16,M$3&lt;'APA Assumptions'!$B$16+'APA Assumptions'!$B$17),'APA Assumptions'!$B$15,0)</f>
        <v>2500</v>
      </c>
      <c r="N10" s="335" t="n">
        <f aca="false">IF(AND(N$3&gt;='APA Assumptions'!$B$16,N$3&lt;'APA Assumptions'!$B$16+'APA Assumptions'!$B$17),'APA Assumptions'!$B$15,0)</f>
        <v>2500</v>
      </c>
      <c r="O10" s="335" t="n">
        <f aca="false">IF(AND(O$3&gt;='APA Assumptions'!$B$16,O$3&lt;'APA Assumptions'!$B$16+'APA Assumptions'!$B$17),'APA Assumptions'!$B$15,0)</f>
        <v>2500</v>
      </c>
      <c r="P10" s="335" t="n">
        <f aca="false">IF(AND(P$3&gt;='APA Assumptions'!$B$16,P$3&lt;'APA Assumptions'!$B$16+'APA Assumptions'!$B$17),'APA Assumptions'!$B$15,0)</f>
        <v>2500</v>
      </c>
      <c r="Q10" s="335" t="n">
        <f aca="false">IF(AND(Q$3&gt;='APA Assumptions'!$B$16,Q$3&lt;'APA Assumptions'!$B$16+'APA Assumptions'!$B$17),'APA Assumptions'!$B$15,0)</f>
        <v>2500</v>
      </c>
      <c r="R10" s="335" t="n">
        <f aca="false">IF(AND(R$3&gt;='APA Assumptions'!$B$16,R$3&lt;'APA Assumptions'!$B$16+'APA Assumptions'!$B$17),'APA Assumptions'!$B$15,0)</f>
        <v>2500</v>
      </c>
      <c r="S10" s="335" t="n">
        <f aca="false">IF(AND(S$3&gt;='APA Assumptions'!$B$16,S$3&lt;'APA Assumptions'!$B$16+'APA Assumptions'!$B$17),'APA Assumptions'!$B$15,0)</f>
        <v>2500</v>
      </c>
      <c r="T10" s="335" t="n">
        <f aca="false">IF(AND(T$3&gt;='APA Assumptions'!$B$16,T$3&lt;'APA Assumptions'!$B$16+'APA Assumptions'!$B$17),'APA Assumptions'!$B$15,0)</f>
        <v>2500</v>
      </c>
      <c r="U10" s="335" t="n">
        <f aca="false">IF(AND(U$3&gt;='APA Assumptions'!$B$16,U$3&lt;'APA Assumptions'!$B$16+'APA Assumptions'!$B$17),'APA Assumptions'!$B$15,0)</f>
        <v>2500</v>
      </c>
      <c r="V10" s="335" t="n">
        <f aca="false">IF(AND(V$3&gt;='APA Assumptions'!$B$16,V$3&lt;'APA Assumptions'!$B$16+'APA Assumptions'!$B$17),'APA Assumptions'!$B$15,0)</f>
        <v>2500</v>
      </c>
      <c r="W10" s="335" t="n">
        <f aca="false">IF(AND(W$3&gt;='APA Assumptions'!$B$16,W$3&lt;'APA Assumptions'!$B$16+'APA Assumptions'!$B$17),'APA Assumptions'!$B$15,0)</f>
        <v>2500</v>
      </c>
      <c r="X10" s="335" t="n">
        <f aca="false">IF(AND(X$3&gt;='APA Assumptions'!$B$16,X$3&lt;'APA Assumptions'!$B$16+'APA Assumptions'!$B$17),'APA Assumptions'!$B$15,0)</f>
        <v>2500</v>
      </c>
      <c r="Y10" s="335" t="n">
        <f aca="false">IF(AND(Y$3&gt;='APA Assumptions'!$B$16,Y$3&lt;'APA Assumptions'!$B$16+'APA Assumptions'!$B$17),'APA Assumptions'!$B$15,0)</f>
        <v>2500</v>
      </c>
      <c r="Z10" s="335" t="n">
        <f aca="false">IF(AND(Z$3&gt;='APA Assumptions'!$B$16,Z$3&lt;'APA Assumptions'!$B$16+'APA Assumptions'!$B$17),'APA Assumptions'!$B$15,0)</f>
        <v>2500</v>
      </c>
      <c r="AA10" s="335" t="n">
        <f aca="false">IF(AND(AA$3&gt;='APA Assumptions'!$B$16,AA$3&lt;'APA Assumptions'!$B$16+'APA Assumptions'!$B$17),'APA Assumptions'!$B$15,0)</f>
        <v>2500</v>
      </c>
      <c r="AB10" s="335" t="n">
        <f aca="false">IF(AND(AB$3&gt;='APA Assumptions'!$B$16,AB$3&lt;'APA Assumptions'!$B$16+'APA Assumptions'!$B$17),'APA Assumptions'!$B$15,0)</f>
        <v>2500</v>
      </c>
      <c r="AC10" s="335" t="n">
        <f aca="false">IF(AND(AC$3&gt;='APA Assumptions'!$B$16,AC$3&lt;'APA Assumptions'!$B$16+'APA Assumptions'!$B$17),'APA Assumptions'!$B$15,0)</f>
        <v>2500</v>
      </c>
      <c r="AD10" s="335" t="n">
        <f aca="false">IF(AND(AD$3&gt;='APA Assumptions'!$B$16,AD$3&lt;'APA Assumptions'!$B$16+'APA Assumptions'!$B$17),'APA Assumptions'!$B$15,0)</f>
        <v>2500</v>
      </c>
      <c r="AE10" s="335" t="n">
        <f aca="false">IF(AND(AE$3&gt;='APA Assumptions'!$B$16,AE$3&lt;'APA Assumptions'!$B$16+'APA Assumptions'!$B$17),'APA Assumptions'!$B$15,0)</f>
        <v>2500</v>
      </c>
      <c r="AF10" s="335" t="n">
        <f aca="false">IF(AND(AF$3&gt;='APA Assumptions'!$B$16,AF$3&lt;'APA Assumptions'!$B$16+'APA Assumptions'!$B$17),'APA Assumptions'!$B$15,0)</f>
        <v>2500</v>
      </c>
      <c r="AG10" s="335" t="n">
        <f aca="false">IF(AND(AG$3&gt;='APA Assumptions'!$B$16,AG$3&lt;'APA Assumptions'!$B$16+'APA Assumptions'!$B$17),'APA Assumptions'!$B$15,0)</f>
        <v>0</v>
      </c>
      <c r="AH10" s="335" t="n">
        <f aca="false">IF(AND(AH$3&gt;='APA Assumptions'!$B$16,AH$3&lt;'APA Assumptions'!$B$16+'APA Assumptions'!$B$17),'APA Assumptions'!$B$15,0)</f>
        <v>0</v>
      </c>
      <c r="AI10" s="335" t="n">
        <f aca="false">IF(AND(AI$3&gt;='APA Assumptions'!$B$16,AI$3&lt;'APA Assumptions'!$B$16+'APA Assumptions'!$B$17),'APA Assumptions'!$B$15,0)</f>
        <v>0</v>
      </c>
      <c r="AJ10" s="335" t="n">
        <f aca="false">IF(AND(AJ$3&gt;='APA Assumptions'!$B$16,AJ$3&lt;'APA Assumptions'!$B$16+'APA Assumptions'!$B$17),'APA Assumptions'!$B$15,0)</f>
        <v>0</v>
      </c>
      <c r="AK10" s="335" t="n">
        <f aca="false">IF(AND(AK$3&gt;='APA Assumptions'!$B$16,AK$3&lt;'APA Assumptions'!$B$16+'APA Assumptions'!$B$17),'APA Assumptions'!$B$15,0)</f>
        <v>0</v>
      </c>
      <c r="AL10" s="335" t="n">
        <f aca="false">IF(AND(AL$3&gt;='APA Assumptions'!$B$16,AL$3&lt;'APA Assumptions'!$B$16+'APA Assumptions'!$B$17),'APA Assumptions'!$B$15,0)</f>
        <v>0</v>
      </c>
      <c r="AM10" s="335" t="n">
        <f aca="false">IF(AND(AM$3&gt;='APA Assumptions'!$B$16,AM$3&lt;'APA Assumptions'!$B$16+'APA Assumptions'!$B$17),'APA Assumptions'!$B$15,0)</f>
        <v>0</v>
      </c>
      <c r="AN10" s="335" t="n">
        <f aca="false">SUM(B10:AM10)</f>
        <v>75000</v>
      </c>
    </row>
    <row r="11" customFormat="false" ht="15" hidden="false" customHeight="true" outlineLevel="0" collapsed="false">
      <c r="A11" s="345" t="s">
        <v>966</v>
      </c>
      <c r="B11" s="335" t="n">
        <f aca="false">IF(B$3&gt;='APA Assumptions'!$B$19,MAX(0,MIN('APA Assumptions'!$B$18,'APA Assumptions'!$B$20-'APA Assumptions'!$B$18*(B$3-'APA Assumptions'!$B$19))),0)</f>
        <v>0</v>
      </c>
      <c r="C11" s="335" t="n">
        <f aca="false">IF(C$3&gt;='APA Assumptions'!$B$19,MAX(0,MIN('APA Assumptions'!$B$18,'APA Assumptions'!$B$20-'APA Assumptions'!$B$18*(C$3-'APA Assumptions'!$B$19))),0)</f>
        <v>7500</v>
      </c>
      <c r="D11" s="335" t="n">
        <f aca="false">IF(D$3&gt;='APA Assumptions'!$B$19,MAX(0,MIN('APA Assumptions'!$B$18,'APA Assumptions'!$B$20-'APA Assumptions'!$B$18*(D$3-'APA Assumptions'!$B$19))),0)</f>
        <v>7500</v>
      </c>
      <c r="E11" s="335" t="n">
        <f aca="false">IF(E$3&gt;='APA Assumptions'!$B$19,MAX(0,MIN('APA Assumptions'!$B$18,'APA Assumptions'!$B$20-'APA Assumptions'!$B$18*(E$3-'APA Assumptions'!$B$19))),0)</f>
        <v>7500</v>
      </c>
      <c r="F11" s="335" t="n">
        <f aca="false">IF(F$3&gt;='APA Assumptions'!$B$19,MAX(0,MIN('APA Assumptions'!$B$18,'APA Assumptions'!$B$20-'APA Assumptions'!$B$18*(F$3-'APA Assumptions'!$B$19))),0)</f>
        <v>7500</v>
      </c>
      <c r="G11" s="335" t="n">
        <f aca="false">IF(G$3&gt;='APA Assumptions'!$B$19,MAX(0,MIN('APA Assumptions'!$B$18,'APA Assumptions'!$B$20-'APA Assumptions'!$B$18*(G$3-'APA Assumptions'!$B$19))),0)</f>
        <v>2000</v>
      </c>
      <c r="H11" s="335" t="n">
        <f aca="false">IF(H$3&gt;='APA Assumptions'!$B$19,MAX(0,MIN('APA Assumptions'!$B$18,'APA Assumptions'!$B$20-'APA Assumptions'!$B$18*(H$3-'APA Assumptions'!$B$19))),0)</f>
        <v>0</v>
      </c>
      <c r="I11" s="335" t="n">
        <f aca="false">IF(I$3&gt;='APA Assumptions'!$B$19,MAX(0,MIN('APA Assumptions'!$B$18,'APA Assumptions'!$B$20-'APA Assumptions'!$B$18*(I$3-'APA Assumptions'!$B$19))),0)</f>
        <v>0</v>
      </c>
      <c r="J11" s="335" t="n">
        <f aca="false">IF(J$3&gt;='APA Assumptions'!$B$19,MAX(0,MIN('APA Assumptions'!$B$18,'APA Assumptions'!$B$20-'APA Assumptions'!$B$18*(J$3-'APA Assumptions'!$B$19))),0)</f>
        <v>0</v>
      </c>
      <c r="K11" s="335" t="n">
        <f aca="false">IF(K$3&gt;='APA Assumptions'!$B$19,MAX(0,MIN('APA Assumptions'!$B$18,'APA Assumptions'!$B$20-'APA Assumptions'!$B$18*(K$3-'APA Assumptions'!$B$19))),0)</f>
        <v>0</v>
      </c>
      <c r="L11" s="335" t="n">
        <f aca="false">IF(L$3&gt;='APA Assumptions'!$B$19,MAX(0,MIN('APA Assumptions'!$B$18,'APA Assumptions'!$B$20-'APA Assumptions'!$B$18*(L$3-'APA Assumptions'!$B$19))),0)</f>
        <v>0</v>
      </c>
      <c r="M11" s="335" t="n">
        <f aca="false">IF(M$3&gt;='APA Assumptions'!$B$19,MAX(0,MIN('APA Assumptions'!$B$18,'APA Assumptions'!$B$20-'APA Assumptions'!$B$18*(M$3-'APA Assumptions'!$B$19))),0)</f>
        <v>0</v>
      </c>
      <c r="N11" s="335" t="n">
        <f aca="false">IF(N$3&gt;='APA Assumptions'!$B$19,MAX(0,MIN('APA Assumptions'!$B$18,'APA Assumptions'!$B$20-'APA Assumptions'!$B$18*(N$3-'APA Assumptions'!$B$19))),0)</f>
        <v>0</v>
      </c>
      <c r="O11" s="335" t="n">
        <f aca="false">IF(O$3&gt;='APA Assumptions'!$B$19,MAX(0,MIN('APA Assumptions'!$B$18,'APA Assumptions'!$B$20-'APA Assumptions'!$B$18*(O$3-'APA Assumptions'!$B$19))),0)</f>
        <v>0</v>
      </c>
      <c r="P11" s="335" t="n">
        <f aca="false">IF(P$3&gt;='APA Assumptions'!$B$19,MAX(0,MIN('APA Assumptions'!$B$18,'APA Assumptions'!$B$20-'APA Assumptions'!$B$18*(P$3-'APA Assumptions'!$B$19))),0)</f>
        <v>0</v>
      </c>
      <c r="Q11" s="335" t="n">
        <f aca="false">IF(Q$3&gt;='APA Assumptions'!$B$19,MAX(0,MIN('APA Assumptions'!$B$18,'APA Assumptions'!$B$20-'APA Assumptions'!$B$18*(Q$3-'APA Assumptions'!$B$19))),0)</f>
        <v>0</v>
      </c>
      <c r="R11" s="335" t="n">
        <f aca="false">IF(R$3&gt;='APA Assumptions'!$B$19,MAX(0,MIN('APA Assumptions'!$B$18,'APA Assumptions'!$B$20-'APA Assumptions'!$B$18*(R$3-'APA Assumptions'!$B$19))),0)</f>
        <v>0</v>
      </c>
      <c r="S11" s="335" t="n">
        <f aca="false">IF(S$3&gt;='APA Assumptions'!$B$19,MAX(0,MIN('APA Assumptions'!$B$18,'APA Assumptions'!$B$20-'APA Assumptions'!$B$18*(S$3-'APA Assumptions'!$B$19))),0)</f>
        <v>0</v>
      </c>
      <c r="T11" s="335" t="n">
        <f aca="false">IF(T$3&gt;='APA Assumptions'!$B$19,MAX(0,MIN('APA Assumptions'!$B$18,'APA Assumptions'!$B$20-'APA Assumptions'!$B$18*(T$3-'APA Assumptions'!$B$19))),0)</f>
        <v>0</v>
      </c>
      <c r="U11" s="335" t="n">
        <f aca="false">IF(U$3&gt;='APA Assumptions'!$B$19,MAX(0,MIN('APA Assumptions'!$B$18,'APA Assumptions'!$B$20-'APA Assumptions'!$B$18*(U$3-'APA Assumptions'!$B$19))),0)</f>
        <v>0</v>
      </c>
      <c r="V11" s="335" t="n">
        <f aca="false">IF(V$3&gt;='APA Assumptions'!$B$19,MAX(0,MIN('APA Assumptions'!$B$18,'APA Assumptions'!$B$20-'APA Assumptions'!$B$18*(V$3-'APA Assumptions'!$B$19))),0)</f>
        <v>0</v>
      </c>
      <c r="W11" s="335" t="n">
        <f aca="false">IF(W$3&gt;='APA Assumptions'!$B$19,MAX(0,MIN('APA Assumptions'!$B$18,'APA Assumptions'!$B$20-'APA Assumptions'!$B$18*(W$3-'APA Assumptions'!$B$19))),0)</f>
        <v>0</v>
      </c>
      <c r="X11" s="335" t="n">
        <f aca="false">IF(X$3&gt;='APA Assumptions'!$B$19,MAX(0,MIN('APA Assumptions'!$B$18,'APA Assumptions'!$B$20-'APA Assumptions'!$B$18*(X$3-'APA Assumptions'!$B$19))),0)</f>
        <v>0</v>
      </c>
      <c r="Y11" s="335" t="n">
        <f aca="false">IF(Y$3&gt;='APA Assumptions'!$B$19,MAX(0,MIN('APA Assumptions'!$B$18,'APA Assumptions'!$B$20-'APA Assumptions'!$B$18*(Y$3-'APA Assumptions'!$B$19))),0)</f>
        <v>0</v>
      </c>
      <c r="Z11" s="335" t="n">
        <f aca="false">IF(Z$3&gt;='APA Assumptions'!$B$19,MAX(0,MIN('APA Assumptions'!$B$18,'APA Assumptions'!$B$20-'APA Assumptions'!$B$18*(Z$3-'APA Assumptions'!$B$19))),0)</f>
        <v>0</v>
      </c>
      <c r="AA11" s="335" t="n">
        <f aca="false">IF(AA$3&gt;='APA Assumptions'!$B$19,MAX(0,MIN('APA Assumptions'!$B$18,'APA Assumptions'!$B$20-'APA Assumptions'!$B$18*(AA$3-'APA Assumptions'!$B$19))),0)</f>
        <v>0</v>
      </c>
      <c r="AB11" s="335" t="n">
        <f aca="false">IF(AB$3&gt;='APA Assumptions'!$B$19,MAX(0,MIN('APA Assumptions'!$B$18,'APA Assumptions'!$B$20-'APA Assumptions'!$B$18*(AB$3-'APA Assumptions'!$B$19))),0)</f>
        <v>0</v>
      </c>
      <c r="AC11" s="335" t="n">
        <f aca="false">IF(AC$3&gt;='APA Assumptions'!$B$19,MAX(0,MIN('APA Assumptions'!$B$18,'APA Assumptions'!$B$20-'APA Assumptions'!$B$18*(AC$3-'APA Assumptions'!$B$19))),0)</f>
        <v>0</v>
      </c>
      <c r="AD11" s="335" t="n">
        <f aca="false">IF(AD$3&gt;='APA Assumptions'!$B$19,MAX(0,MIN('APA Assumptions'!$B$18,'APA Assumptions'!$B$20-'APA Assumptions'!$B$18*(AD$3-'APA Assumptions'!$B$19))),0)</f>
        <v>0</v>
      </c>
      <c r="AE11" s="335" t="n">
        <f aca="false">IF(AE$3&gt;='APA Assumptions'!$B$19,MAX(0,MIN('APA Assumptions'!$B$18,'APA Assumptions'!$B$20-'APA Assumptions'!$B$18*(AE$3-'APA Assumptions'!$B$19))),0)</f>
        <v>0</v>
      </c>
      <c r="AF11" s="335" t="n">
        <f aca="false">IF(AF$3&gt;='APA Assumptions'!$B$19,MAX(0,MIN('APA Assumptions'!$B$18,'APA Assumptions'!$B$20-'APA Assumptions'!$B$18*(AF$3-'APA Assumptions'!$B$19))),0)</f>
        <v>0</v>
      </c>
      <c r="AG11" s="335" t="n">
        <f aca="false">IF(AG$3&gt;='APA Assumptions'!$B$19,MAX(0,MIN('APA Assumptions'!$B$18,'APA Assumptions'!$B$20-'APA Assumptions'!$B$18*(AG$3-'APA Assumptions'!$B$19))),0)</f>
        <v>0</v>
      </c>
      <c r="AH11" s="335" t="n">
        <f aca="false">IF(AH$3&gt;='APA Assumptions'!$B$19,MAX(0,MIN('APA Assumptions'!$B$18,'APA Assumptions'!$B$20-'APA Assumptions'!$B$18*(AH$3-'APA Assumptions'!$B$19))),0)</f>
        <v>0</v>
      </c>
      <c r="AI11" s="335" t="n">
        <f aca="false">IF(AI$3&gt;='APA Assumptions'!$B$19,MAX(0,MIN('APA Assumptions'!$B$18,'APA Assumptions'!$B$20-'APA Assumptions'!$B$18*(AI$3-'APA Assumptions'!$B$19))),0)</f>
        <v>0</v>
      </c>
      <c r="AJ11" s="335" t="n">
        <f aca="false">IF(AJ$3&gt;='APA Assumptions'!$B$19,MAX(0,MIN('APA Assumptions'!$B$18,'APA Assumptions'!$B$20-'APA Assumptions'!$B$18*(AJ$3-'APA Assumptions'!$B$19))),0)</f>
        <v>0</v>
      </c>
      <c r="AK11" s="335" t="n">
        <f aca="false">IF(AK$3&gt;='APA Assumptions'!$B$19,MAX(0,MIN('APA Assumptions'!$B$18,'APA Assumptions'!$B$20-'APA Assumptions'!$B$18*(AK$3-'APA Assumptions'!$B$19))),0)</f>
        <v>0</v>
      </c>
      <c r="AL11" s="335" t="n">
        <f aca="false">IF(AL$3&gt;='APA Assumptions'!$B$19,MAX(0,MIN('APA Assumptions'!$B$18,'APA Assumptions'!$B$20-'APA Assumptions'!$B$18*(AL$3-'APA Assumptions'!$B$19))),0)</f>
        <v>0</v>
      </c>
      <c r="AM11" s="335" t="n">
        <f aca="false">IF(AM$3&gt;='APA Assumptions'!$B$19,MAX(0,MIN('APA Assumptions'!$B$18,'APA Assumptions'!$B$20-'APA Assumptions'!$B$18*(AM$3-'APA Assumptions'!$B$19))),0)</f>
        <v>0</v>
      </c>
      <c r="AN11" s="335" t="n">
        <f aca="false">SUM(B11:AM11)</f>
        <v>32000</v>
      </c>
    </row>
    <row r="12" customFormat="false" ht="15" hidden="false" customHeight="true" outlineLevel="0" collapsed="false">
      <c r="A12" s="345" t="s">
        <v>967</v>
      </c>
      <c r="B12" s="335" t="n">
        <f aca="false">IF(AND(B$3&gt;='APA Assumptions'!$B$22,B$3&lt;'APA Assumptions'!$B$22+'APA Assumptions'!$B$23),'APA Assumptions'!$B$24,0)</f>
        <v>0</v>
      </c>
      <c r="C12" s="335" t="n">
        <f aca="false">IF(AND(C$3&gt;='APA Assumptions'!$B$22,C$3&lt;'APA Assumptions'!$B$22+'APA Assumptions'!$B$23),'APA Assumptions'!$B$24,0)</f>
        <v>0</v>
      </c>
      <c r="D12" s="335" t="n">
        <f aca="false">IF(AND(D$3&gt;='APA Assumptions'!$B$22,D$3&lt;'APA Assumptions'!$B$22+'APA Assumptions'!$B$23),'APA Assumptions'!$B$24,0)</f>
        <v>0</v>
      </c>
      <c r="E12" s="335" t="n">
        <f aca="false">IF(AND(E$3&gt;='APA Assumptions'!$B$22,E$3&lt;'APA Assumptions'!$B$22+'APA Assumptions'!$B$23),'APA Assumptions'!$B$24,0)</f>
        <v>0</v>
      </c>
      <c r="F12" s="335" t="n">
        <f aca="false">IF(AND(F$3&gt;='APA Assumptions'!$B$22,F$3&lt;'APA Assumptions'!$B$22+'APA Assumptions'!$B$23),'APA Assumptions'!$B$24,0)</f>
        <v>0</v>
      </c>
      <c r="G12" s="335" t="n">
        <f aca="false">IF(AND(G$3&gt;='APA Assumptions'!$B$22,G$3&lt;'APA Assumptions'!$B$22+'APA Assumptions'!$B$23),'APA Assumptions'!$B$24,0)</f>
        <v>0</v>
      </c>
      <c r="H12" s="335" t="n">
        <f aca="false">IF(AND(H$3&gt;='APA Assumptions'!$B$22,H$3&lt;'APA Assumptions'!$B$22+'APA Assumptions'!$B$23),'APA Assumptions'!$B$24,0)</f>
        <v>50000</v>
      </c>
      <c r="I12" s="335" t="n">
        <f aca="false">IF(AND(I$3&gt;='APA Assumptions'!$B$22,I$3&lt;'APA Assumptions'!$B$22+'APA Assumptions'!$B$23),'APA Assumptions'!$B$24,0)</f>
        <v>50000</v>
      </c>
      <c r="J12" s="335" t="n">
        <f aca="false">IF(AND(J$3&gt;='APA Assumptions'!$B$22,J$3&lt;'APA Assumptions'!$B$22+'APA Assumptions'!$B$23),'APA Assumptions'!$B$24,0)</f>
        <v>50000</v>
      </c>
      <c r="K12" s="335" t="n">
        <f aca="false">IF(AND(K$3&gt;='APA Assumptions'!$B$22,K$3&lt;'APA Assumptions'!$B$22+'APA Assumptions'!$B$23),'APA Assumptions'!$B$24,0)</f>
        <v>50000</v>
      </c>
      <c r="L12" s="335" t="n">
        <f aca="false">IF(AND(L$3&gt;='APA Assumptions'!$B$22,L$3&lt;'APA Assumptions'!$B$22+'APA Assumptions'!$B$23),'APA Assumptions'!$B$24,0)</f>
        <v>50000</v>
      </c>
      <c r="M12" s="335" t="n">
        <f aca="false">IF(AND(M$3&gt;='APA Assumptions'!$B$22,M$3&lt;'APA Assumptions'!$B$22+'APA Assumptions'!$B$23),'APA Assumptions'!$B$24,0)</f>
        <v>50000</v>
      </c>
      <c r="N12" s="335" t="n">
        <f aca="false">IF(AND(N$3&gt;='APA Assumptions'!$B$22,N$3&lt;'APA Assumptions'!$B$22+'APA Assumptions'!$B$23),'APA Assumptions'!$B$24,0)</f>
        <v>50000</v>
      </c>
      <c r="O12" s="335" t="n">
        <f aca="false">IF(AND(O$3&gt;='APA Assumptions'!$B$22,O$3&lt;'APA Assumptions'!$B$22+'APA Assumptions'!$B$23),'APA Assumptions'!$B$24,0)</f>
        <v>50000</v>
      </c>
      <c r="P12" s="335" t="n">
        <f aca="false">IF(AND(P$3&gt;='APA Assumptions'!$B$22,P$3&lt;'APA Assumptions'!$B$22+'APA Assumptions'!$B$23),'APA Assumptions'!$B$24,0)</f>
        <v>50000</v>
      </c>
      <c r="Q12" s="335" t="n">
        <f aca="false">IF(AND(Q$3&gt;='APA Assumptions'!$B$22,Q$3&lt;'APA Assumptions'!$B$22+'APA Assumptions'!$B$23),'APA Assumptions'!$B$24,0)</f>
        <v>50000</v>
      </c>
      <c r="R12" s="335" t="n">
        <f aca="false">IF(AND(R$3&gt;='APA Assumptions'!$B$22,R$3&lt;'APA Assumptions'!$B$22+'APA Assumptions'!$B$23),'APA Assumptions'!$B$24,0)</f>
        <v>50000</v>
      </c>
      <c r="S12" s="335" t="n">
        <f aca="false">IF(AND(S$3&gt;='APA Assumptions'!$B$22,S$3&lt;'APA Assumptions'!$B$22+'APA Assumptions'!$B$23),'APA Assumptions'!$B$24,0)</f>
        <v>50000</v>
      </c>
      <c r="T12" s="335" t="n">
        <f aca="false">IF(AND(T$3&gt;='APA Assumptions'!$B$22,T$3&lt;'APA Assumptions'!$B$22+'APA Assumptions'!$B$23),'APA Assumptions'!$B$24,0)</f>
        <v>0</v>
      </c>
      <c r="U12" s="335" t="n">
        <f aca="false">IF(AND(U$3&gt;='APA Assumptions'!$B$22,U$3&lt;'APA Assumptions'!$B$22+'APA Assumptions'!$B$23),'APA Assumptions'!$B$24,0)</f>
        <v>0</v>
      </c>
      <c r="V12" s="335" t="n">
        <f aca="false">IF(AND(V$3&gt;='APA Assumptions'!$B$22,V$3&lt;'APA Assumptions'!$B$22+'APA Assumptions'!$B$23),'APA Assumptions'!$B$24,0)</f>
        <v>0</v>
      </c>
      <c r="W12" s="335" t="n">
        <f aca="false">IF(AND(W$3&gt;='APA Assumptions'!$B$22,W$3&lt;'APA Assumptions'!$B$22+'APA Assumptions'!$B$23),'APA Assumptions'!$B$24,0)</f>
        <v>0</v>
      </c>
      <c r="X12" s="335" t="n">
        <f aca="false">IF(AND(X$3&gt;='APA Assumptions'!$B$22,X$3&lt;'APA Assumptions'!$B$22+'APA Assumptions'!$B$23),'APA Assumptions'!$B$24,0)</f>
        <v>0</v>
      </c>
      <c r="Y12" s="335" t="n">
        <f aca="false">IF(AND(Y$3&gt;='APA Assumptions'!$B$22,Y$3&lt;'APA Assumptions'!$B$22+'APA Assumptions'!$B$23),'APA Assumptions'!$B$24,0)</f>
        <v>0</v>
      </c>
      <c r="Z12" s="335" t="n">
        <f aca="false">IF(AND(Z$3&gt;='APA Assumptions'!$B$22,Z$3&lt;'APA Assumptions'!$B$22+'APA Assumptions'!$B$23),'APA Assumptions'!$B$24,0)</f>
        <v>0</v>
      </c>
      <c r="AA12" s="335" t="n">
        <f aca="false">IF(AND(AA$3&gt;='APA Assumptions'!$B$22,AA$3&lt;'APA Assumptions'!$B$22+'APA Assumptions'!$B$23),'APA Assumptions'!$B$24,0)</f>
        <v>0</v>
      </c>
      <c r="AB12" s="335" t="n">
        <f aca="false">IF(AND(AB$3&gt;='APA Assumptions'!$B$22,AB$3&lt;'APA Assumptions'!$B$22+'APA Assumptions'!$B$23),'APA Assumptions'!$B$24,0)</f>
        <v>0</v>
      </c>
      <c r="AC12" s="335" t="n">
        <f aca="false">IF(AND(AC$3&gt;='APA Assumptions'!$B$22,AC$3&lt;'APA Assumptions'!$B$22+'APA Assumptions'!$B$23),'APA Assumptions'!$B$24,0)</f>
        <v>0</v>
      </c>
      <c r="AD12" s="335" t="n">
        <f aca="false">IF(AND(AD$3&gt;='APA Assumptions'!$B$22,AD$3&lt;'APA Assumptions'!$B$22+'APA Assumptions'!$B$23),'APA Assumptions'!$B$24,0)</f>
        <v>0</v>
      </c>
      <c r="AE12" s="335" t="n">
        <f aca="false">IF(AND(AE$3&gt;='APA Assumptions'!$B$22,AE$3&lt;'APA Assumptions'!$B$22+'APA Assumptions'!$B$23),'APA Assumptions'!$B$24,0)</f>
        <v>0</v>
      </c>
      <c r="AF12" s="335" t="n">
        <f aca="false">IF(AND(AF$3&gt;='APA Assumptions'!$B$22,AF$3&lt;'APA Assumptions'!$B$22+'APA Assumptions'!$B$23),'APA Assumptions'!$B$24,0)</f>
        <v>0</v>
      </c>
      <c r="AG12" s="335" t="n">
        <f aca="false">IF(AND(AG$3&gt;='APA Assumptions'!$B$22,AG$3&lt;'APA Assumptions'!$B$22+'APA Assumptions'!$B$23),'APA Assumptions'!$B$24,0)</f>
        <v>0</v>
      </c>
      <c r="AH12" s="335" t="n">
        <f aca="false">IF(AND(AH$3&gt;='APA Assumptions'!$B$22,AH$3&lt;'APA Assumptions'!$B$22+'APA Assumptions'!$B$23),'APA Assumptions'!$B$24,0)</f>
        <v>0</v>
      </c>
      <c r="AI12" s="335" t="n">
        <f aca="false">IF(AND(AI$3&gt;='APA Assumptions'!$B$22,AI$3&lt;'APA Assumptions'!$B$22+'APA Assumptions'!$B$23),'APA Assumptions'!$B$24,0)</f>
        <v>0</v>
      </c>
      <c r="AJ12" s="335" t="n">
        <f aca="false">IF(AND(AJ$3&gt;='APA Assumptions'!$B$22,AJ$3&lt;'APA Assumptions'!$B$22+'APA Assumptions'!$B$23),'APA Assumptions'!$B$24,0)</f>
        <v>0</v>
      </c>
      <c r="AK12" s="335" t="n">
        <f aca="false">IF(AND(AK$3&gt;='APA Assumptions'!$B$22,AK$3&lt;'APA Assumptions'!$B$22+'APA Assumptions'!$B$23),'APA Assumptions'!$B$24,0)</f>
        <v>0</v>
      </c>
      <c r="AL12" s="335" t="n">
        <f aca="false">IF(AND(AL$3&gt;='APA Assumptions'!$B$22,AL$3&lt;'APA Assumptions'!$B$22+'APA Assumptions'!$B$23),'APA Assumptions'!$B$24,0)</f>
        <v>0</v>
      </c>
      <c r="AM12" s="335" t="n">
        <f aca="false">IF(AND(AM$3&gt;='APA Assumptions'!$B$22,AM$3&lt;'APA Assumptions'!$B$22+'APA Assumptions'!$B$23),'APA Assumptions'!$B$24,0)</f>
        <v>0</v>
      </c>
      <c r="AN12" s="335" t="n">
        <f aca="false">SUM(B12:AM12)</f>
        <v>600000</v>
      </c>
    </row>
    <row r="13" customFormat="false" ht="15" hidden="false" customHeight="true" outlineLevel="0" collapsed="false">
      <c r="A13" s="345" t="s">
        <v>968</v>
      </c>
      <c r="B13" s="335" t="n">
        <f aca="false">IF(AND(B$3&gt;='APA Assumptions'!$B$26,B$3&lt;'APA Assumptions'!$B$26+'APA Assumptions'!$B$27),'APA Assumptions'!$B$25,0)</f>
        <v>0</v>
      </c>
      <c r="C13" s="335" t="n">
        <f aca="false">IF(AND(C$3&gt;='APA Assumptions'!$B$26,C$3&lt;'APA Assumptions'!$B$26+'APA Assumptions'!$B$27),'APA Assumptions'!$B$25,0)</f>
        <v>0</v>
      </c>
      <c r="D13" s="335" t="n">
        <f aca="false">IF(AND(D$3&gt;='APA Assumptions'!$B$26,D$3&lt;'APA Assumptions'!$B$26+'APA Assumptions'!$B$27),'APA Assumptions'!$B$25,0)</f>
        <v>0</v>
      </c>
      <c r="E13" s="335" t="n">
        <f aca="false">IF(AND(E$3&gt;='APA Assumptions'!$B$26,E$3&lt;'APA Assumptions'!$B$26+'APA Assumptions'!$B$27),'APA Assumptions'!$B$25,0)</f>
        <v>0</v>
      </c>
      <c r="F13" s="335" t="n">
        <f aca="false">IF(AND(F$3&gt;='APA Assumptions'!$B$26,F$3&lt;'APA Assumptions'!$B$26+'APA Assumptions'!$B$27),'APA Assumptions'!$B$25,0)</f>
        <v>0</v>
      </c>
      <c r="G13" s="335" t="n">
        <f aca="false">IF(AND(G$3&gt;='APA Assumptions'!$B$26,G$3&lt;'APA Assumptions'!$B$26+'APA Assumptions'!$B$27),'APA Assumptions'!$B$25,0)</f>
        <v>0</v>
      </c>
      <c r="H13" s="335" t="n">
        <f aca="false">IF(AND(H$3&gt;='APA Assumptions'!$B$26,H$3&lt;'APA Assumptions'!$B$26+'APA Assumptions'!$B$27),'APA Assumptions'!$B$25,0)</f>
        <v>0</v>
      </c>
      <c r="I13" s="335" t="n">
        <f aca="false">IF(AND(I$3&gt;='APA Assumptions'!$B$26,I$3&lt;'APA Assumptions'!$B$26+'APA Assumptions'!$B$27),'APA Assumptions'!$B$25,0)</f>
        <v>0</v>
      </c>
      <c r="J13" s="335" t="n">
        <f aca="false">IF(AND(J$3&gt;='APA Assumptions'!$B$26,J$3&lt;'APA Assumptions'!$B$26+'APA Assumptions'!$B$27),'APA Assumptions'!$B$25,0)</f>
        <v>0</v>
      </c>
      <c r="K13" s="335" t="n">
        <f aca="false">IF(AND(K$3&gt;='APA Assumptions'!$B$26,K$3&lt;'APA Assumptions'!$B$26+'APA Assumptions'!$B$27),'APA Assumptions'!$B$25,0)</f>
        <v>0</v>
      </c>
      <c r="L13" s="335" t="n">
        <f aca="false">IF(AND(L$3&gt;='APA Assumptions'!$B$26,L$3&lt;'APA Assumptions'!$B$26+'APA Assumptions'!$B$27),'APA Assumptions'!$B$25,0)</f>
        <v>0</v>
      </c>
      <c r="M13" s="335" t="n">
        <f aca="false">IF(AND(M$3&gt;='APA Assumptions'!$B$26,M$3&lt;'APA Assumptions'!$B$26+'APA Assumptions'!$B$27),'APA Assumptions'!$B$25,0)</f>
        <v>0</v>
      </c>
      <c r="N13" s="335" t="n">
        <f aca="false">IF(AND(N$3&gt;='APA Assumptions'!$B$26,N$3&lt;'APA Assumptions'!$B$26+'APA Assumptions'!$B$27),'APA Assumptions'!$B$25,0)</f>
        <v>0</v>
      </c>
      <c r="O13" s="335" t="n">
        <f aca="false">IF(AND(O$3&gt;='APA Assumptions'!$B$26,O$3&lt;'APA Assumptions'!$B$26+'APA Assumptions'!$B$27),'APA Assumptions'!$B$25,0)</f>
        <v>0</v>
      </c>
      <c r="P13" s="335" t="n">
        <f aca="false">IF(AND(P$3&gt;='APA Assumptions'!$B$26,P$3&lt;'APA Assumptions'!$B$26+'APA Assumptions'!$B$27),'APA Assumptions'!$B$25,0)</f>
        <v>0</v>
      </c>
      <c r="Q13" s="335" t="n">
        <f aca="false">IF(AND(Q$3&gt;='APA Assumptions'!$B$26,Q$3&lt;'APA Assumptions'!$B$26+'APA Assumptions'!$B$27),'APA Assumptions'!$B$25,0)</f>
        <v>0</v>
      </c>
      <c r="R13" s="335" t="n">
        <f aca="false">IF(AND(R$3&gt;='APA Assumptions'!$B$26,R$3&lt;'APA Assumptions'!$B$26+'APA Assumptions'!$B$27),'APA Assumptions'!$B$25,0)</f>
        <v>0</v>
      </c>
      <c r="S13" s="335" t="n">
        <f aca="false">IF(AND(S$3&gt;='APA Assumptions'!$B$26,S$3&lt;'APA Assumptions'!$B$26+'APA Assumptions'!$B$27),'APA Assumptions'!$B$25,0)</f>
        <v>0</v>
      </c>
      <c r="T13" s="335" t="n">
        <f aca="false">IF(AND(T$3&gt;='APA Assumptions'!$B$26,T$3&lt;'APA Assumptions'!$B$26+'APA Assumptions'!$B$27),'APA Assumptions'!$B$25,0)</f>
        <v>0</v>
      </c>
      <c r="U13" s="335" t="n">
        <f aca="false">IF(AND(U$3&gt;='APA Assumptions'!$B$26,U$3&lt;'APA Assumptions'!$B$26+'APA Assumptions'!$B$27),'APA Assumptions'!$B$25,0)</f>
        <v>0</v>
      </c>
      <c r="V13" s="335" t="n">
        <f aca="false">IF(AND(V$3&gt;='APA Assumptions'!$B$26,V$3&lt;'APA Assumptions'!$B$26+'APA Assumptions'!$B$27),'APA Assumptions'!$B$25,0)</f>
        <v>0</v>
      </c>
      <c r="W13" s="335" t="n">
        <f aca="false">IF(AND(W$3&gt;='APA Assumptions'!$B$26,W$3&lt;'APA Assumptions'!$B$26+'APA Assumptions'!$B$27),'APA Assumptions'!$B$25,0)</f>
        <v>2500</v>
      </c>
      <c r="X13" s="335" t="n">
        <f aca="false">IF(AND(X$3&gt;='APA Assumptions'!$B$26,X$3&lt;'APA Assumptions'!$B$26+'APA Assumptions'!$B$27),'APA Assumptions'!$B$25,0)</f>
        <v>2500</v>
      </c>
      <c r="Y13" s="335" t="n">
        <f aca="false">IF(AND(Y$3&gt;='APA Assumptions'!$B$26,Y$3&lt;'APA Assumptions'!$B$26+'APA Assumptions'!$B$27),'APA Assumptions'!$B$25,0)</f>
        <v>2500</v>
      </c>
      <c r="Z13" s="335" t="n">
        <f aca="false">IF(AND(Z$3&gt;='APA Assumptions'!$B$26,Z$3&lt;'APA Assumptions'!$B$26+'APA Assumptions'!$B$27),'APA Assumptions'!$B$25,0)</f>
        <v>2500</v>
      </c>
      <c r="AA13" s="335" t="n">
        <f aca="false">IF(AND(AA$3&gt;='APA Assumptions'!$B$26,AA$3&lt;'APA Assumptions'!$B$26+'APA Assumptions'!$B$27),'APA Assumptions'!$B$25,0)</f>
        <v>2500</v>
      </c>
      <c r="AB13" s="335" t="n">
        <f aca="false">IF(AND(AB$3&gt;='APA Assumptions'!$B$26,AB$3&lt;'APA Assumptions'!$B$26+'APA Assumptions'!$B$27),'APA Assumptions'!$B$25,0)</f>
        <v>2500</v>
      </c>
      <c r="AC13" s="335" t="n">
        <f aca="false">IF(AND(AC$3&gt;='APA Assumptions'!$B$26,AC$3&lt;'APA Assumptions'!$B$26+'APA Assumptions'!$B$27),'APA Assumptions'!$B$25,0)</f>
        <v>2500</v>
      </c>
      <c r="AD13" s="335" t="n">
        <f aca="false">IF(AND(AD$3&gt;='APA Assumptions'!$B$26,AD$3&lt;'APA Assumptions'!$B$26+'APA Assumptions'!$B$27),'APA Assumptions'!$B$25,0)</f>
        <v>2500</v>
      </c>
      <c r="AE13" s="335" t="n">
        <f aca="false">IF(AND(AE$3&gt;='APA Assumptions'!$B$26,AE$3&lt;'APA Assumptions'!$B$26+'APA Assumptions'!$B$27),'APA Assumptions'!$B$25,0)</f>
        <v>2500</v>
      </c>
      <c r="AF13" s="335" t="n">
        <f aca="false">IF(AND(AF$3&gt;='APA Assumptions'!$B$26,AF$3&lt;'APA Assumptions'!$B$26+'APA Assumptions'!$B$27),'APA Assumptions'!$B$25,0)</f>
        <v>2500</v>
      </c>
      <c r="AG13" s="335" t="n">
        <f aca="false">IF(AND(AG$3&gt;='APA Assumptions'!$B$26,AG$3&lt;'APA Assumptions'!$B$26+'APA Assumptions'!$B$27),'APA Assumptions'!$B$25,0)</f>
        <v>2500</v>
      </c>
      <c r="AH13" s="335" t="n">
        <f aca="false">IF(AND(AH$3&gt;='APA Assumptions'!$B$26,AH$3&lt;'APA Assumptions'!$B$26+'APA Assumptions'!$B$27),'APA Assumptions'!$B$25,0)</f>
        <v>2500</v>
      </c>
      <c r="AI13" s="335" t="n">
        <f aca="false">IF(AND(AI$3&gt;='APA Assumptions'!$B$26,AI$3&lt;'APA Assumptions'!$B$26+'APA Assumptions'!$B$27),'APA Assumptions'!$B$25,0)</f>
        <v>2500</v>
      </c>
      <c r="AJ13" s="335" t="n">
        <f aca="false">IF(AND(AJ$3&gt;='APA Assumptions'!$B$26,AJ$3&lt;'APA Assumptions'!$B$26+'APA Assumptions'!$B$27),'APA Assumptions'!$B$25,0)</f>
        <v>2500</v>
      </c>
      <c r="AK13" s="335" t="n">
        <f aca="false">IF(AND(AK$3&gt;='APA Assumptions'!$B$26,AK$3&lt;'APA Assumptions'!$B$26+'APA Assumptions'!$B$27),'APA Assumptions'!$B$25,0)</f>
        <v>2500</v>
      </c>
      <c r="AL13" s="335" t="n">
        <f aca="false">IF(AND(AL$3&gt;='APA Assumptions'!$B$26,AL$3&lt;'APA Assumptions'!$B$26+'APA Assumptions'!$B$27),'APA Assumptions'!$B$25,0)</f>
        <v>2500</v>
      </c>
      <c r="AM13" s="335" t="n">
        <f aca="false">IF(AND(AM$3&gt;='APA Assumptions'!$B$26,AM$3&lt;'APA Assumptions'!$B$26+'APA Assumptions'!$B$27),'APA Assumptions'!$B$25,0)</f>
        <v>2500</v>
      </c>
      <c r="AN13" s="335" t="n">
        <f aca="false">SUM(B13:AM13)</f>
        <v>42500</v>
      </c>
    </row>
    <row r="14" customFormat="false" ht="15" hidden="false" customHeight="true" outlineLevel="0" collapsed="false">
      <c r="A14" s="346" t="s">
        <v>969</v>
      </c>
      <c r="B14" s="347" t="n">
        <f aca="false">SUM(B7:B13)</f>
        <v>25714.2857142857</v>
      </c>
      <c r="C14" s="347" t="n">
        <f aca="false">SUM(C7:C13)</f>
        <v>38408.2857142857</v>
      </c>
      <c r="D14" s="347" t="n">
        <f aca="false">SUM(D7:D13)</f>
        <v>38408.2857142857</v>
      </c>
      <c r="E14" s="347" t="n">
        <f aca="false">SUM(E7:E13)</f>
        <v>38408.2857142857</v>
      </c>
      <c r="F14" s="347" t="n">
        <f aca="false">SUM(F7:F13)</f>
        <v>38408.2857142857</v>
      </c>
      <c r="G14" s="347" t="n">
        <f aca="false">SUM(G7:G13)</f>
        <v>32908.2857142857</v>
      </c>
      <c r="H14" s="347" t="n">
        <f aca="false">SUM(H7:H13)</f>
        <v>80908.2857142857</v>
      </c>
      <c r="I14" s="347" t="n">
        <f aca="false">SUM(I7:I13)</f>
        <v>55194</v>
      </c>
      <c r="J14" s="347" t="n">
        <f aca="false">SUM(J7:J13)</f>
        <v>57694</v>
      </c>
      <c r="K14" s="347" t="n">
        <f aca="false">SUM(K7:K13)</f>
        <v>57694</v>
      </c>
      <c r="L14" s="347" t="n">
        <f aca="false">SUM(L7:L13)</f>
        <v>57694</v>
      </c>
      <c r="M14" s="347" t="n">
        <f aca="false">SUM(M7:M13)</f>
        <v>57694</v>
      </c>
      <c r="N14" s="347" t="n">
        <f aca="false">SUM(N7:N13)</f>
        <v>57694</v>
      </c>
      <c r="O14" s="347" t="n">
        <f aca="false">SUM(O7:O13)</f>
        <v>57694</v>
      </c>
      <c r="P14" s="347" t="n">
        <f aca="false">SUM(P7:P13)</f>
        <v>57694</v>
      </c>
      <c r="Q14" s="347" t="n">
        <f aca="false">SUM(Q7:Q13)</f>
        <v>57694</v>
      </c>
      <c r="R14" s="347" t="n">
        <f aca="false">SUM(R7:R13)</f>
        <v>55000</v>
      </c>
      <c r="S14" s="347" t="n">
        <f aca="false">SUM(S7:S13)</f>
        <v>55000</v>
      </c>
      <c r="T14" s="347" t="n">
        <f aca="false">SUM(T7:T13)</f>
        <v>5000</v>
      </c>
      <c r="U14" s="347" t="n">
        <f aca="false">SUM(U7:U13)</f>
        <v>5000</v>
      </c>
      <c r="V14" s="347" t="n">
        <f aca="false">SUM(V7:V13)</f>
        <v>5000</v>
      </c>
      <c r="W14" s="347" t="n">
        <f aca="false">SUM(W7:W13)</f>
        <v>7500</v>
      </c>
      <c r="X14" s="347" t="n">
        <f aca="false">SUM(X7:X13)</f>
        <v>7500</v>
      </c>
      <c r="Y14" s="347" t="n">
        <f aca="false">SUM(Y7:Y13)</f>
        <v>7500</v>
      </c>
      <c r="Z14" s="347" t="n">
        <f aca="false">SUM(Z7:Z13)</f>
        <v>7500</v>
      </c>
      <c r="AA14" s="347" t="n">
        <f aca="false">SUM(AA7:AA13)</f>
        <v>7500</v>
      </c>
      <c r="AB14" s="347" t="n">
        <f aca="false">SUM(AB7:AB13)</f>
        <v>7500</v>
      </c>
      <c r="AC14" s="347" t="n">
        <f aca="false">SUM(AC7:AC13)</f>
        <v>7500</v>
      </c>
      <c r="AD14" s="347" t="n">
        <f aca="false">SUM(AD7:AD13)</f>
        <v>7500</v>
      </c>
      <c r="AE14" s="347" t="n">
        <f aca="false">SUM(AE7:AE13)</f>
        <v>7500</v>
      </c>
      <c r="AF14" s="347" t="n">
        <f aca="false">SUM(AF7:AF13)</f>
        <v>7500</v>
      </c>
      <c r="AG14" s="347" t="n">
        <f aca="false">SUM(AG7:AG13)</f>
        <v>5000</v>
      </c>
      <c r="AH14" s="347" t="n">
        <f aca="false">SUM(AH7:AH13)</f>
        <v>5000</v>
      </c>
      <c r="AI14" s="347" t="n">
        <f aca="false">SUM(AI7:AI13)</f>
        <v>5000</v>
      </c>
      <c r="AJ14" s="347" t="n">
        <f aca="false">SUM(AJ7:AJ13)</f>
        <v>5000</v>
      </c>
      <c r="AK14" s="347" t="n">
        <f aca="false">SUM(AK7:AK13)</f>
        <v>5000</v>
      </c>
      <c r="AL14" s="347" t="n">
        <f aca="false">SUM(AL7:AL13)</f>
        <v>5000</v>
      </c>
      <c r="AM14" s="347" t="n">
        <f aca="false">SUM(AM7:AM13)</f>
        <v>5000</v>
      </c>
      <c r="AN14" s="347" t="n">
        <f aca="false">SUM(B14:AM14)</f>
        <v>1044910</v>
      </c>
    </row>
    <row r="16" customFormat="false" ht="15" hidden="false" customHeight="true" outlineLevel="0" collapsed="false">
      <c r="A16" s="340" t="s">
        <v>945</v>
      </c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40"/>
    </row>
    <row r="17" customFormat="false" ht="15" hidden="false" customHeight="true" outlineLevel="0" collapsed="false">
      <c r="A17" s="345" t="s">
        <v>970</v>
      </c>
      <c r="B17" s="335" t="n">
        <f aca="false">IF(B$3&gt;='APA Assumptions'!$B$31,'APA Assumptions'!$B$30,'APA Assumptions'!$B$29)</f>
        <v>12500</v>
      </c>
      <c r="C17" s="335" t="n">
        <f aca="false">IF(C$3&gt;='APA Assumptions'!$B$31,'APA Assumptions'!$B$30,'APA Assumptions'!$B$29)</f>
        <v>12500</v>
      </c>
      <c r="D17" s="335" t="n">
        <f aca="false">IF(D$3&gt;='APA Assumptions'!$B$31,'APA Assumptions'!$B$30,'APA Assumptions'!$B$29)</f>
        <v>12500</v>
      </c>
      <c r="E17" s="335" t="n">
        <f aca="false">IF(E$3&gt;='APA Assumptions'!$B$31,'APA Assumptions'!$B$30,'APA Assumptions'!$B$29)</f>
        <v>12500</v>
      </c>
      <c r="F17" s="335" t="n">
        <f aca="false">IF(F$3&gt;='APA Assumptions'!$B$31,'APA Assumptions'!$B$30,'APA Assumptions'!$B$29)</f>
        <v>12500</v>
      </c>
      <c r="G17" s="335" t="n">
        <f aca="false">IF(G$3&gt;='APA Assumptions'!$B$31,'APA Assumptions'!$B$30,'APA Assumptions'!$B$29)</f>
        <v>12500</v>
      </c>
      <c r="H17" s="335" t="n">
        <f aca="false">IF(H$3&gt;='APA Assumptions'!$B$31,'APA Assumptions'!$B$30,'APA Assumptions'!$B$29)</f>
        <v>18750</v>
      </c>
      <c r="I17" s="335" t="n">
        <f aca="false">IF(I$3&gt;='APA Assumptions'!$B$31,'APA Assumptions'!$B$30,'APA Assumptions'!$B$29)</f>
        <v>18750</v>
      </c>
      <c r="J17" s="335" t="n">
        <f aca="false">IF(J$3&gt;='APA Assumptions'!$B$31,'APA Assumptions'!$B$30,'APA Assumptions'!$B$29)</f>
        <v>18750</v>
      </c>
      <c r="K17" s="335" t="n">
        <f aca="false">IF(K$3&gt;='APA Assumptions'!$B$31,'APA Assumptions'!$B$30,'APA Assumptions'!$B$29)</f>
        <v>18750</v>
      </c>
      <c r="L17" s="335" t="n">
        <f aca="false">IF(L$3&gt;='APA Assumptions'!$B$31,'APA Assumptions'!$B$30,'APA Assumptions'!$B$29)</f>
        <v>18750</v>
      </c>
      <c r="M17" s="335" t="n">
        <f aca="false">IF(M$3&gt;='APA Assumptions'!$B$31,'APA Assumptions'!$B$30,'APA Assumptions'!$B$29)</f>
        <v>18750</v>
      </c>
      <c r="N17" s="335" t="n">
        <f aca="false">IF(N$3&gt;='APA Assumptions'!$B$31,'APA Assumptions'!$B$30,'APA Assumptions'!$B$29)</f>
        <v>18750</v>
      </c>
      <c r="O17" s="335" t="n">
        <f aca="false">IF(O$3&gt;='APA Assumptions'!$B$31,'APA Assumptions'!$B$30,'APA Assumptions'!$B$29)</f>
        <v>18750</v>
      </c>
      <c r="P17" s="335" t="n">
        <f aca="false">IF(P$3&gt;='APA Assumptions'!$B$31,'APA Assumptions'!$B$30,'APA Assumptions'!$B$29)</f>
        <v>18750</v>
      </c>
      <c r="Q17" s="335" t="n">
        <f aca="false">IF(Q$3&gt;='APA Assumptions'!$B$31,'APA Assumptions'!$B$30,'APA Assumptions'!$B$29)</f>
        <v>18750</v>
      </c>
      <c r="R17" s="335" t="n">
        <f aca="false">IF(R$3&gt;='APA Assumptions'!$B$31,'APA Assumptions'!$B$30,'APA Assumptions'!$B$29)</f>
        <v>18750</v>
      </c>
      <c r="S17" s="335" t="n">
        <f aca="false">IF(S$3&gt;='APA Assumptions'!$B$31,'APA Assumptions'!$B$30,'APA Assumptions'!$B$29)</f>
        <v>18750</v>
      </c>
      <c r="T17" s="335" t="n">
        <f aca="false">IF(T$3&gt;='APA Assumptions'!$B$31,'APA Assumptions'!$B$30,'APA Assumptions'!$B$29)</f>
        <v>18750</v>
      </c>
      <c r="U17" s="335" t="n">
        <f aca="false">IF(U$3&gt;='APA Assumptions'!$B$31,'APA Assumptions'!$B$30,'APA Assumptions'!$B$29)</f>
        <v>18750</v>
      </c>
      <c r="V17" s="335" t="n">
        <f aca="false">IF(V$3&gt;='APA Assumptions'!$B$31,'APA Assumptions'!$B$30,'APA Assumptions'!$B$29)</f>
        <v>18750</v>
      </c>
      <c r="W17" s="335" t="n">
        <f aca="false">IF(W$3&gt;='APA Assumptions'!$B$31,'APA Assumptions'!$B$30,'APA Assumptions'!$B$29)</f>
        <v>18750</v>
      </c>
      <c r="X17" s="335" t="n">
        <f aca="false">IF(X$3&gt;='APA Assumptions'!$B$31,'APA Assumptions'!$B$30,'APA Assumptions'!$B$29)</f>
        <v>18750</v>
      </c>
      <c r="Y17" s="335" t="n">
        <f aca="false">IF(Y$3&gt;='APA Assumptions'!$B$31,'APA Assumptions'!$B$30,'APA Assumptions'!$B$29)</f>
        <v>18750</v>
      </c>
      <c r="Z17" s="335" t="n">
        <f aca="false">IF(Z$3&gt;='APA Assumptions'!$B$31,'APA Assumptions'!$B$30,'APA Assumptions'!$B$29)</f>
        <v>18750</v>
      </c>
      <c r="AA17" s="335" t="n">
        <f aca="false">IF(AA$3&gt;='APA Assumptions'!$B$31,'APA Assumptions'!$B$30,'APA Assumptions'!$B$29)</f>
        <v>18750</v>
      </c>
      <c r="AB17" s="335" t="n">
        <f aca="false">IF(AB$3&gt;='APA Assumptions'!$B$31,'APA Assumptions'!$B$30,'APA Assumptions'!$B$29)</f>
        <v>18750</v>
      </c>
      <c r="AC17" s="335" t="n">
        <f aca="false">IF(AC$3&gt;='APA Assumptions'!$B$31,'APA Assumptions'!$B$30,'APA Assumptions'!$B$29)</f>
        <v>18750</v>
      </c>
      <c r="AD17" s="335" t="n">
        <f aca="false">IF(AD$3&gt;='APA Assumptions'!$B$31,'APA Assumptions'!$B$30,'APA Assumptions'!$B$29)</f>
        <v>18750</v>
      </c>
      <c r="AE17" s="335" t="n">
        <f aca="false">IF(AE$3&gt;='APA Assumptions'!$B$31,'APA Assumptions'!$B$30,'APA Assumptions'!$B$29)</f>
        <v>18750</v>
      </c>
      <c r="AF17" s="335" t="n">
        <f aca="false">IF(AF$3&gt;='APA Assumptions'!$B$31,'APA Assumptions'!$B$30,'APA Assumptions'!$B$29)</f>
        <v>18750</v>
      </c>
      <c r="AG17" s="335" t="n">
        <f aca="false">IF(AG$3&gt;='APA Assumptions'!$B$31,'APA Assumptions'!$B$30,'APA Assumptions'!$B$29)</f>
        <v>18750</v>
      </c>
      <c r="AH17" s="335" t="n">
        <f aca="false">IF(AH$3&gt;='APA Assumptions'!$B$31,'APA Assumptions'!$B$30,'APA Assumptions'!$B$29)</f>
        <v>18750</v>
      </c>
      <c r="AI17" s="335" t="n">
        <f aca="false">IF(AI$3&gt;='APA Assumptions'!$B$31,'APA Assumptions'!$B$30,'APA Assumptions'!$B$29)</f>
        <v>18750</v>
      </c>
      <c r="AJ17" s="335" t="n">
        <f aca="false">IF(AJ$3&gt;='APA Assumptions'!$B$31,'APA Assumptions'!$B$30,'APA Assumptions'!$B$29)</f>
        <v>18750</v>
      </c>
      <c r="AK17" s="335" t="n">
        <f aca="false">IF(AK$3&gt;='APA Assumptions'!$B$31,'APA Assumptions'!$B$30,'APA Assumptions'!$B$29)</f>
        <v>18750</v>
      </c>
      <c r="AL17" s="335" t="n">
        <f aca="false">IF(AL$3&gt;='APA Assumptions'!$B$31,'APA Assumptions'!$B$30,'APA Assumptions'!$B$29)</f>
        <v>18750</v>
      </c>
      <c r="AM17" s="335" t="n">
        <f aca="false">IF(AM$3&gt;='APA Assumptions'!$B$31,'APA Assumptions'!$B$30,'APA Assumptions'!$B$29)</f>
        <v>18750</v>
      </c>
      <c r="AN17" s="335" t="n">
        <f aca="false">SUM(B17:AM17)</f>
        <v>675000</v>
      </c>
    </row>
    <row r="18" customFormat="false" ht="15" hidden="false" customHeight="true" outlineLevel="0" collapsed="false">
      <c r="A18" s="345" t="s">
        <v>971</v>
      </c>
      <c r="B18" s="335" t="n">
        <f aca="false">'APA Assumptions'!$B$32</f>
        <v>365</v>
      </c>
      <c r="C18" s="335" t="n">
        <f aca="false">'APA Assumptions'!$B$32</f>
        <v>365</v>
      </c>
      <c r="D18" s="335" t="n">
        <f aca="false">'APA Assumptions'!$B$32</f>
        <v>365</v>
      </c>
      <c r="E18" s="335" t="n">
        <f aca="false">'APA Assumptions'!$B$32</f>
        <v>365</v>
      </c>
      <c r="F18" s="335" t="n">
        <f aca="false">'APA Assumptions'!$B$32</f>
        <v>365</v>
      </c>
      <c r="G18" s="335" t="n">
        <f aca="false">'APA Assumptions'!$B$32</f>
        <v>365</v>
      </c>
      <c r="H18" s="335" t="n">
        <f aca="false">'APA Assumptions'!$B$32</f>
        <v>365</v>
      </c>
      <c r="I18" s="335" t="n">
        <f aca="false">'APA Assumptions'!$B$32</f>
        <v>365</v>
      </c>
      <c r="J18" s="335" t="n">
        <f aca="false">'APA Assumptions'!$B$32</f>
        <v>365</v>
      </c>
      <c r="K18" s="335" t="n">
        <f aca="false">'APA Assumptions'!$B$32</f>
        <v>365</v>
      </c>
      <c r="L18" s="335" t="n">
        <f aca="false">'APA Assumptions'!$B$32</f>
        <v>365</v>
      </c>
      <c r="M18" s="335" t="n">
        <f aca="false">'APA Assumptions'!$B$32</f>
        <v>365</v>
      </c>
      <c r="N18" s="335" t="n">
        <f aca="false">'APA Assumptions'!$B$32</f>
        <v>365</v>
      </c>
      <c r="O18" s="335" t="n">
        <f aca="false">'APA Assumptions'!$B$32</f>
        <v>365</v>
      </c>
      <c r="P18" s="335" t="n">
        <f aca="false">'APA Assumptions'!$B$32</f>
        <v>365</v>
      </c>
      <c r="Q18" s="335" t="n">
        <f aca="false">'APA Assumptions'!$B$32</f>
        <v>365</v>
      </c>
      <c r="R18" s="335" t="n">
        <f aca="false">'APA Assumptions'!$B$32</f>
        <v>365</v>
      </c>
      <c r="S18" s="335" t="n">
        <f aca="false">'APA Assumptions'!$B$32</f>
        <v>365</v>
      </c>
      <c r="T18" s="335" t="n">
        <f aca="false">'APA Assumptions'!$B$32</f>
        <v>365</v>
      </c>
      <c r="U18" s="335" t="n">
        <f aca="false">'APA Assumptions'!$B$32</f>
        <v>365</v>
      </c>
      <c r="V18" s="335" t="n">
        <f aca="false">'APA Assumptions'!$B$32</f>
        <v>365</v>
      </c>
      <c r="W18" s="335" t="n">
        <f aca="false">'APA Assumptions'!$B$32</f>
        <v>365</v>
      </c>
      <c r="X18" s="335" t="n">
        <f aca="false">'APA Assumptions'!$B$32</f>
        <v>365</v>
      </c>
      <c r="Y18" s="335" t="n">
        <f aca="false">'APA Assumptions'!$B$32</f>
        <v>365</v>
      </c>
      <c r="Z18" s="335" t="n">
        <f aca="false">'APA Assumptions'!$B$32</f>
        <v>365</v>
      </c>
      <c r="AA18" s="335" t="n">
        <f aca="false">'APA Assumptions'!$B$32</f>
        <v>365</v>
      </c>
      <c r="AB18" s="335" t="n">
        <f aca="false">'APA Assumptions'!$B$32</f>
        <v>365</v>
      </c>
      <c r="AC18" s="335" t="n">
        <f aca="false">'APA Assumptions'!$B$32</f>
        <v>365</v>
      </c>
      <c r="AD18" s="335" t="n">
        <f aca="false">'APA Assumptions'!$B$32</f>
        <v>365</v>
      </c>
      <c r="AE18" s="335" t="n">
        <f aca="false">'APA Assumptions'!$B$32</f>
        <v>365</v>
      </c>
      <c r="AF18" s="335" t="n">
        <f aca="false">'APA Assumptions'!$B$32</f>
        <v>365</v>
      </c>
      <c r="AG18" s="335" t="n">
        <f aca="false">'APA Assumptions'!$B$32</f>
        <v>365</v>
      </c>
      <c r="AH18" s="335" t="n">
        <f aca="false">'APA Assumptions'!$B$32</f>
        <v>365</v>
      </c>
      <c r="AI18" s="335" t="n">
        <f aca="false">'APA Assumptions'!$B$32</f>
        <v>365</v>
      </c>
      <c r="AJ18" s="335" t="n">
        <f aca="false">'APA Assumptions'!$B$32</f>
        <v>365</v>
      </c>
      <c r="AK18" s="335" t="n">
        <f aca="false">'APA Assumptions'!$B$32</f>
        <v>365</v>
      </c>
      <c r="AL18" s="335" t="n">
        <f aca="false">'APA Assumptions'!$B$32</f>
        <v>365</v>
      </c>
      <c r="AM18" s="335" t="n">
        <f aca="false">'APA Assumptions'!$B$32</f>
        <v>365</v>
      </c>
      <c r="AN18" s="335" t="n">
        <f aca="false">SUM(B18:AM18)</f>
        <v>13870</v>
      </c>
    </row>
    <row r="19" customFormat="false" ht="15" hidden="false" customHeight="true" outlineLevel="0" collapsed="false">
      <c r="A19" s="345" t="s">
        <v>972</v>
      </c>
      <c r="B19" s="335" t="n">
        <f aca="false">IF(MOD(B$3-1,12)=0,'APA Assumptions'!$B$33,0)</f>
        <v>8000</v>
      </c>
      <c r="C19" s="335" t="n">
        <f aca="false">IF(MOD(C$3-1,12)=0,'APA Assumptions'!$B$33,0)</f>
        <v>0</v>
      </c>
      <c r="D19" s="335" t="n">
        <f aca="false">IF(MOD(D$3-1,12)=0,'APA Assumptions'!$B$33,0)</f>
        <v>0</v>
      </c>
      <c r="E19" s="335" t="n">
        <f aca="false">IF(MOD(E$3-1,12)=0,'APA Assumptions'!$B$33,0)</f>
        <v>0</v>
      </c>
      <c r="F19" s="335" t="n">
        <f aca="false">IF(MOD(F$3-1,12)=0,'APA Assumptions'!$B$33,0)</f>
        <v>0</v>
      </c>
      <c r="G19" s="335" t="n">
        <f aca="false">IF(MOD(G$3-1,12)=0,'APA Assumptions'!$B$33,0)</f>
        <v>0</v>
      </c>
      <c r="H19" s="335" t="n">
        <f aca="false">IF(MOD(H$3-1,12)=0,'APA Assumptions'!$B$33,0)</f>
        <v>0</v>
      </c>
      <c r="I19" s="335" t="n">
        <f aca="false">IF(MOD(I$3-1,12)=0,'APA Assumptions'!$B$33,0)</f>
        <v>0</v>
      </c>
      <c r="J19" s="335" t="n">
        <f aca="false">IF(MOD(J$3-1,12)=0,'APA Assumptions'!$B$33,0)</f>
        <v>0</v>
      </c>
      <c r="K19" s="335" t="n">
        <f aca="false">IF(MOD(K$3-1,12)=0,'APA Assumptions'!$B$33,0)</f>
        <v>0</v>
      </c>
      <c r="L19" s="335" t="n">
        <f aca="false">IF(MOD(L$3-1,12)=0,'APA Assumptions'!$B$33,0)</f>
        <v>0</v>
      </c>
      <c r="M19" s="335" t="n">
        <f aca="false">IF(MOD(M$3-1,12)=0,'APA Assumptions'!$B$33,0)</f>
        <v>0</v>
      </c>
      <c r="N19" s="335" t="n">
        <f aca="false">IF(MOD(N$3-1,12)=0,'APA Assumptions'!$B$33,0)</f>
        <v>8000</v>
      </c>
      <c r="O19" s="335" t="n">
        <f aca="false">IF(MOD(O$3-1,12)=0,'APA Assumptions'!$B$33,0)</f>
        <v>0</v>
      </c>
      <c r="P19" s="335" t="n">
        <f aca="false">IF(MOD(P$3-1,12)=0,'APA Assumptions'!$B$33,0)</f>
        <v>0</v>
      </c>
      <c r="Q19" s="335" t="n">
        <f aca="false">IF(MOD(Q$3-1,12)=0,'APA Assumptions'!$B$33,0)</f>
        <v>0</v>
      </c>
      <c r="R19" s="335" t="n">
        <f aca="false">IF(MOD(R$3-1,12)=0,'APA Assumptions'!$B$33,0)</f>
        <v>0</v>
      </c>
      <c r="S19" s="335" t="n">
        <f aca="false">IF(MOD(S$3-1,12)=0,'APA Assumptions'!$B$33,0)</f>
        <v>0</v>
      </c>
      <c r="T19" s="335" t="n">
        <f aca="false">IF(MOD(T$3-1,12)=0,'APA Assumptions'!$B$33,0)</f>
        <v>0</v>
      </c>
      <c r="U19" s="335" t="n">
        <f aca="false">IF(MOD(U$3-1,12)=0,'APA Assumptions'!$B$33,0)</f>
        <v>0</v>
      </c>
      <c r="V19" s="335" t="n">
        <f aca="false">IF(MOD(V$3-1,12)=0,'APA Assumptions'!$B$33,0)</f>
        <v>0</v>
      </c>
      <c r="W19" s="335" t="n">
        <f aca="false">IF(MOD(W$3-1,12)=0,'APA Assumptions'!$B$33,0)</f>
        <v>0</v>
      </c>
      <c r="X19" s="335" t="n">
        <f aca="false">IF(MOD(X$3-1,12)=0,'APA Assumptions'!$B$33,0)</f>
        <v>0</v>
      </c>
      <c r="Y19" s="335" t="n">
        <f aca="false">IF(MOD(Y$3-1,12)=0,'APA Assumptions'!$B$33,0)</f>
        <v>0</v>
      </c>
      <c r="Z19" s="335" t="n">
        <f aca="false">IF(MOD(Z$3-1,12)=0,'APA Assumptions'!$B$33,0)</f>
        <v>8000</v>
      </c>
      <c r="AA19" s="335" t="n">
        <f aca="false">IF(MOD(AA$3-1,12)=0,'APA Assumptions'!$B$33,0)</f>
        <v>0</v>
      </c>
      <c r="AB19" s="335" t="n">
        <f aca="false">IF(MOD(AB$3-1,12)=0,'APA Assumptions'!$B$33,0)</f>
        <v>0</v>
      </c>
      <c r="AC19" s="335" t="n">
        <f aca="false">IF(MOD(AC$3-1,12)=0,'APA Assumptions'!$B$33,0)</f>
        <v>0</v>
      </c>
      <c r="AD19" s="335" t="n">
        <f aca="false">IF(MOD(AD$3-1,12)=0,'APA Assumptions'!$B$33,0)</f>
        <v>0</v>
      </c>
      <c r="AE19" s="335" t="n">
        <f aca="false">IF(MOD(AE$3-1,12)=0,'APA Assumptions'!$B$33,0)</f>
        <v>0</v>
      </c>
      <c r="AF19" s="335" t="n">
        <f aca="false">IF(MOD(AF$3-1,12)=0,'APA Assumptions'!$B$33,0)</f>
        <v>0</v>
      </c>
      <c r="AG19" s="335" t="n">
        <f aca="false">IF(MOD(AG$3-1,12)=0,'APA Assumptions'!$B$33,0)</f>
        <v>0</v>
      </c>
      <c r="AH19" s="335" t="n">
        <f aca="false">IF(MOD(AH$3-1,12)=0,'APA Assumptions'!$B$33,0)</f>
        <v>0</v>
      </c>
      <c r="AI19" s="335" t="n">
        <f aca="false">IF(MOD(AI$3-1,12)=0,'APA Assumptions'!$B$33,0)</f>
        <v>0</v>
      </c>
      <c r="AJ19" s="335" t="n">
        <f aca="false">IF(MOD(AJ$3-1,12)=0,'APA Assumptions'!$B$33,0)</f>
        <v>0</v>
      </c>
      <c r="AK19" s="335" t="n">
        <f aca="false">IF(MOD(AK$3-1,12)=0,'APA Assumptions'!$B$33,0)</f>
        <v>0</v>
      </c>
      <c r="AL19" s="335" t="n">
        <f aca="false">IF(MOD(AL$3-1,12)=0,'APA Assumptions'!$B$33,0)</f>
        <v>8000</v>
      </c>
      <c r="AM19" s="335" t="n">
        <f aca="false">IF(MOD(AM$3-1,12)=0,'APA Assumptions'!$B$33,0)</f>
        <v>0</v>
      </c>
      <c r="AN19" s="335" t="n">
        <f aca="false">SUM(B19:AM19)</f>
        <v>32000</v>
      </c>
    </row>
    <row r="20" customFormat="false" ht="15" hidden="false" customHeight="true" outlineLevel="0" collapsed="false">
      <c r="A20" s="345" t="s">
        <v>973</v>
      </c>
      <c r="B20" s="335" t="n">
        <f aca="false">IF(B$3='APA Assumptions'!$B$36,'APA Assumptions'!$B$34+'APA Assumptions'!$B$35,0)</f>
        <v>0</v>
      </c>
      <c r="C20" s="335" t="n">
        <f aca="false">IF(C$3='APA Assumptions'!$B$36,'APA Assumptions'!$B$34+'APA Assumptions'!$B$35,0)</f>
        <v>7500</v>
      </c>
      <c r="D20" s="335" t="n">
        <f aca="false">IF(D$3='APA Assumptions'!$B$36,'APA Assumptions'!$B$34+'APA Assumptions'!$B$35,0)</f>
        <v>0</v>
      </c>
      <c r="E20" s="335" t="n">
        <f aca="false">IF(E$3='APA Assumptions'!$B$36,'APA Assumptions'!$B$34+'APA Assumptions'!$B$35,0)</f>
        <v>0</v>
      </c>
      <c r="F20" s="335" t="n">
        <f aca="false">IF(F$3='APA Assumptions'!$B$36,'APA Assumptions'!$B$34+'APA Assumptions'!$B$35,0)</f>
        <v>0</v>
      </c>
      <c r="G20" s="335" t="n">
        <f aca="false">IF(G$3='APA Assumptions'!$B$36,'APA Assumptions'!$B$34+'APA Assumptions'!$B$35,0)</f>
        <v>0</v>
      </c>
      <c r="H20" s="335" t="n">
        <f aca="false">IF(H$3='APA Assumptions'!$B$36,'APA Assumptions'!$B$34+'APA Assumptions'!$B$35,0)</f>
        <v>0</v>
      </c>
      <c r="I20" s="335" t="n">
        <f aca="false">IF(I$3='APA Assumptions'!$B$36,'APA Assumptions'!$B$34+'APA Assumptions'!$B$35,0)</f>
        <v>0</v>
      </c>
      <c r="J20" s="335" t="n">
        <f aca="false">IF(J$3='APA Assumptions'!$B$36,'APA Assumptions'!$B$34+'APA Assumptions'!$B$35,0)</f>
        <v>0</v>
      </c>
      <c r="K20" s="335" t="n">
        <f aca="false">IF(K$3='APA Assumptions'!$B$36,'APA Assumptions'!$B$34+'APA Assumptions'!$B$35,0)</f>
        <v>0</v>
      </c>
      <c r="L20" s="335" t="n">
        <f aca="false">IF(L$3='APA Assumptions'!$B$36,'APA Assumptions'!$B$34+'APA Assumptions'!$B$35,0)</f>
        <v>0</v>
      </c>
      <c r="M20" s="335" t="n">
        <f aca="false">IF(M$3='APA Assumptions'!$B$36,'APA Assumptions'!$B$34+'APA Assumptions'!$B$35,0)</f>
        <v>0</v>
      </c>
      <c r="N20" s="335" t="n">
        <f aca="false">IF(N$3='APA Assumptions'!$B$36,'APA Assumptions'!$B$34+'APA Assumptions'!$B$35,0)</f>
        <v>0</v>
      </c>
      <c r="O20" s="335" t="n">
        <f aca="false">IF(O$3='APA Assumptions'!$B$36,'APA Assumptions'!$B$34+'APA Assumptions'!$B$35,0)</f>
        <v>0</v>
      </c>
      <c r="P20" s="335" t="n">
        <f aca="false">IF(P$3='APA Assumptions'!$B$36,'APA Assumptions'!$B$34+'APA Assumptions'!$B$35,0)</f>
        <v>0</v>
      </c>
      <c r="Q20" s="335" t="n">
        <f aca="false">IF(Q$3='APA Assumptions'!$B$36,'APA Assumptions'!$B$34+'APA Assumptions'!$B$35,0)</f>
        <v>0</v>
      </c>
      <c r="R20" s="335" t="n">
        <f aca="false">IF(R$3='APA Assumptions'!$B$36,'APA Assumptions'!$B$34+'APA Assumptions'!$B$35,0)</f>
        <v>0</v>
      </c>
      <c r="S20" s="335" t="n">
        <f aca="false">IF(S$3='APA Assumptions'!$B$36,'APA Assumptions'!$B$34+'APA Assumptions'!$B$35,0)</f>
        <v>0</v>
      </c>
      <c r="T20" s="335" t="n">
        <f aca="false">IF(T$3='APA Assumptions'!$B$36,'APA Assumptions'!$B$34+'APA Assumptions'!$B$35,0)</f>
        <v>0</v>
      </c>
      <c r="U20" s="335" t="n">
        <f aca="false">IF(U$3='APA Assumptions'!$B$36,'APA Assumptions'!$B$34+'APA Assumptions'!$B$35,0)</f>
        <v>0</v>
      </c>
      <c r="V20" s="335" t="n">
        <f aca="false">IF(V$3='APA Assumptions'!$B$36,'APA Assumptions'!$B$34+'APA Assumptions'!$B$35,0)</f>
        <v>0</v>
      </c>
      <c r="W20" s="335" t="n">
        <f aca="false">IF(W$3='APA Assumptions'!$B$36,'APA Assumptions'!$B$34+'APA Assumptions'!$B$35,0)</f>
        <v>0</v>
      </c>
      <c r="X20" s="335" t="n">
        <f aca="false">IF(X$3='APA Assumptions'!$B$36,'APA Assumptions'!$B$34+'APA Assumptions'!$B$35,0)</f>
        <v>0</v>
      </c>
      <c r="Y20" s="335" t="n">
        <f aca="false">IF(Y$3='APA Assumptions'!$B$36,'APA Assumptions'!$B$34+'APA Assumptions'!$B$35,0)</f>
        <v>0</v>
      </c>
      <c r="Z20" s="335" t="n">
        <f aca="false">IF(Z$3='APA Assumptions'!$B$36,'APA Assumptions'!$B$34+'APA Assumptions'!$B$35,0)</f>
        <v>0</v>
      </c>
      <c r="AA20" s="335" t="n">
        <f aca="false">IF(AA$3='APA Assumptions'!$B$36,'APA Assumptions'!$B$34+'APA Assumptions'!$B$35,0)</f>
        <v>0</v>
      </c>
      <c r="AB20" s="335" t="n">
        <f aca="false">IF(AB$3='APA Assumptions'!$B$36,'APA Assumptions'!$B$34+'APA Assumptions'!$B$35,0)</f>
        <v>0</v>
      </c>
      <c r="AC20" s="335" t="n">
        <f aca="false">IF(AC$3='APA Assumptions'!$B$36,'APA Assumptions'!$B$34+'APA Assumptions'!$B$35,0)</f>
        <v>0</v>
      </c>
      <c r="AD20" s="335" t="n">
        <f aca="false">IF(AD$3='APA Assumptions'!$B$36,'APA Assumptions'!$B$34+'APA Assumptions'!$B$35,0)</f>
        <v>0</v>
      </c>
      <c r="AE20" s="335" t="n">
        <f aca="false">IF(AE$3='APA Assumptions'!$B$36,'APA Assumptions'!$B$34+'APA Assumptions'!$B$35,0)</f>
        <v>0</v>
      </c>
      <c r="AF20" s="335" t="n">
        <f aca="false">IF(AF$3='APA Assumptions'!$B$36,'APA Assumptions'!$B$34+'APA Assumptions'!$B$35,0)</f>
        <v>0</v>
      </c>
      <c r="AG20" s="335" t="n">
        <f aca="false">IF(AG$3='APA Assumptions'!$B$36,'APA Assumptions'!$B$34+'APA Assumptions'!$B$35,0)</f>
        <v>0</v>
      </c>
      <c r="AH20" s="335" t="n">
        <f aca="false">IF(AH$3='APA Assumptions'!$B$36,'APA Assumptions'!$B$34+'APA Assumptions'!$B$35,0)</f>
        <v>0</v>
      </c>
      <c r="AI20" s="335" t="n">
        <f aca="false">IF(AI$3='APA Assumptions'!$B$36,'APA Assumptions'!$B$34+'APA Assumptions'!$B$35,0)</f>
        <v>0</v>
      </c>
      <c r="AJ20" s="335" t="n">
        <f aca="false">IF(AJ$3='APA Assumptions'!$B$36,'APA Assumptions'!$B$34+'APA Assumptions'!$B$35,0)</f>
        <v>0</v>
      </c>
      <c r="AK20" s="335" t="n">
        <f aca="false">IF(AK$3='APA Assumptions'!$B$36,'APA Assumptions'!$B$34+'APA Assumptions'!$B$35,0)</f>
        <v>0</v>
      </c>
      <c r="AL20" s="335" t="n">
        <f aca="false">IF(AL$3='APA Assumptions'!$B$36,'APA Assumptions'!$B$34+'APA Assumptions'!$B$35,0)</f>
        <v>0</v>
      </c>
      <c r="AM20" s="335" t="n">
        <f aca="false">IF(AM$3='APA Assumptions'!$B$36,'APA Assumptions'!$B$34+'APA Assumptions'!$B$35,0)</f>
        <v>0</v>
      </c>
      <c r="AN20" s="335" t="n">
        <f aca="false">SUM(B20:AM20)</f>
        <v>7500</v>
      </c>
    </row>
    <row r="21" customFormat="false" ht="15" hidden="false" customHeight="true" outlineLevel="0" collapsed="false">
      <c r="A21" s="346" t="s">
        <v>974</v>
      </c>
      <c r="B21" s="347" t="n">
        <f aca="false">SUM(B17:B20)</f>
        <v>20865</v>
      </c>
      <c r="C21" s="347" t="n">
        <f aca="false">SUM(C17:C20)</f>
        <v>20365</v>
      </c>
      <c r="D21" s="347" t="n">
        <f aca="false">SUM(D17:D20)</f>
        <v>12865</v>
      </c>
      <c r="E21" s="347" t="n">
        <f aca="false">SUM(E17:E20)</f>
        <v>12865</v>
      </c>
      <c r="F21" s="347" t="n">
        <f aca="false">SUM(F17:F20)</f>
        <v>12865</v>
      </c>
      <c r="G21" s="347" t="n">
        <f aca="false">SUM(G17:G20)</f>
        <v>12865</v>
      </c>
      <c r="H21" s="347" t="n">
        <f aca="false">SUM(H17:H20)</f>
        <v>19115</v>
      </c>
      <c r="I21" s="347" t="n">
        <f aca="false">SUM(I17:I20)</f>
        <v>19115</v>
      </c>
      <c r="J21" s="347" t="n">
        <f aca="false">SUM(J17:J20)</f>
        <v>19115</v>
      </c>
      <c r="K21" s="347" t="n">
        <f aca="false">SUM(K17:K20)</f>
        <v>19115</v>
      </c>
      <c r="L21" s="347" t="n">
        <f aca="false">SUM(L17:L20)</f>
        <v>19115</v>
      </c>
      <c r="M21" s="347" t="n">
        <f aca="false">SUM(M17:M20)</f>
        <v>19115</v>
      </c>
      <c r="N21" s="347" t="n">
        <f aca="false">SUM(N17:N20)</f>
        <v>27115</v>
      </c>
      <c r="O21" s="347" t="n">
        <f aca="false">SUM(O17:O20)</f>
        <v>19115</v>
      </c>
      <c r="P21" s="347" t="n">
        <f aca="false">SUM(P17:P20)</f>
        <v>19115</v>
      </c>
      <c r="Q21" s="347" t="n">
        <f aca="false">SUM(Q17:Q20)</f>
        <v>19115</v>
      </c>
      <c r="R21" s="347" t="n">
        <f aca="false">SUM(R17:R20)</f>
        <v>19115</v>
      </c>
      <c r="S21" s="347" t="n">
        <f aca="false">SUM(S17:S20)</f>
        <v>19115</v>
      </c>
      <c r="T21" s="347" t="n">
        <f aca="false">SUM(T17:T20)</f>
        <v>19115</v>
      </c>
      <c r="U21" s="347" t="n">
        <f aca="false">SUM(U17:U20)</f>
        <v>19115</v>
      </c>
      <c r="V21" s="347" t="n">
        <f aca="false">SUM(V17:V20)</f>
        <v>19115</v>
      </c>
      <c r="W21" s="347" t="n">
        <f aca="false">SUM(W17:W20)</f>
        <v>19115</v>
      </c>
      <c r="X21" s="347" t="n">
        <f aca="false">SUM(X17:X20)</f>
        <v>19115</v>
      </c>
      <c r="Y21" s="347" t="n">
        <f aca="false">SUM(Y17:Y20)</f>
        <v>19115</v>
      </c>
      <c r="Z21" s="347" t="n">
        <f aca="false">SUM(Z17:Z20)</f>
        <v>27115</v>
      </c>
      <c r="AA21" s="347" t="n">
        <f aca="false">SUM(AA17:AA20)</f>
        <v>19115</v>
      </c>
      <c r="AB21" s="347" t="n">
        <f aca="false">SUM(AB17:AB20)</f>
        <v>19115</v>
      </c>
      <c r="AC21" s="347" t="n">
        <f aca="false">SUM(AC17:AC20)</f>
        <v>19115</v>
      </c>
      <c r="AD21" s="347" t="n">
        <f aca="false">SUM(AD17:AD20)</f>
        <v>19115</v>
      </c>
      <c r="AE21" s="347" t="n">
        <f aca="false">SUM(AE17:AE20)</f>
        <v>19115</v>
      </c>
      <c r="AF21" s="347" t="n">
        <f aca="false">SUM(AF17:AF20)</f>
        <v>19115</v>
      </c>
      <c r="AG21" s="347" t="n">
        <f aca="false">SUM(AG17:AG20)</f>
        <v>19115</v>
      </c>
      <c r="AH21" s="347" t="n">
        <f aca="false">SUM(AH17:AH20)</f>
        <v>19115</v>
      </c>
      <c r="AI21" s="347" t="n">
        <f aca="false">SUM(AI17:AI20)</f>
        <v>19115</v>
      </c>
      <c r="AJ21" s="347" t="n">
        <f aca="false">SUM(AJ17:AJ20)</f>
        <v>19115</v>
      </c>
      <c r="AK21" s="347" t="n">
        <f aca="false">SUM(AK17:AK20)</f>
        <v>19115</v>
      </c>
      <c r="AL21" s="347" t="n">
        <f aca="false">SUM(AL17:AL20)</f>
        <v>27115</v>
      </c>
      <c r="AM21" s="347" t="n">
        <f aca="false">SUM(AM17:AM20)</f>
        <v>19115</v>
      </c>
      <c r="AN21" s="347" t="n">
        <f aca="false">SUM(B21:AM21)</f>
        <v>728370</v>
      </c>
    </row>
    <row r="23" customFormat="false" ht="15" hidden="false" customHeight="true" outlineLevel="0" collapsed="false">
      <c r="A23" s="348" t="s">
        <v>975</v>
      </c>
      <c r="B23" s="349" t="n">
        <f aca="false">B14-B21</f>
        <v>4849.28571428571</v>
      </c>
      <c r="C23" s="349" t="n">
        <f aca="false">C14-C21</f>
        <v>18043.2857142857</v>
      </c>
      <c r="D23" s="349" t="n">
        <f aca="false">D14-D21</f>
        <v>25543.2857142857</v>
      </c>
      <c r="E23" s="349" t="n">
        <f aca="false">E14-E21</f>
        <v>25543.2857142857</v>
      </c>
      <c r="F23" s="349" t="n">
        <f aca="false">F14-F21</f>
        <v>25543.2857142857</v>
      </c>
      <c r="G23" s="349" t="n">
        <f aca="false">G14-G21</f>
        <v>20043.2857142857</v>
      </c>
      <c r="H23" s="349" t="n">
        <f aca="false">H14-H21</f>
        <v>61793.2857142857</v>
      </c>
      <c r="I23" s="349" t="n">
        <f aca="false">I14-I21</f>
        <v>36079</v>
      </c>
      <c r="J23" s="349" t="n">
        <f aca="false">J14-J21</f>
        <v>38579</v>
      </c>
      <c r="K23" s="349" t="n">
        <f aca="false">K14-K21</f>
        <v>38579</v>
      </c>
      <c r="L23" s="349" t="n">
        <f aca="false">L14-L21</f>
        <v>38579</v>
      </c>
      <c r="M23" s="349" t="n">
        <f aca="false">M14-M21</f>
        <v>38579</v>
      </c>
      <c r="N23" s="349" t="n">
        <f aca="false">N14-N21</f>
        <v>30579</v>
      </c>
      <c r="O23" s="349" t="n">
        <f aca="false">O14-O21</f>
        <v>38579</v>
      </c>
      <c r="P23" s="349" t="n">
        <f aca="false">P14-P21</f>
        <v>38579</v>
      </c>
      <c r="Q23" s="349" t="n">
        <f aca="false">Q14-Q21</f>
        <v>38579</v>
      </c>
      <c r="R23" s="349" t="n">
        <f aca="false">R14-R21</f>
        <v>35885</v>
      </c>
      <c r="S23" s="349" t="n">
        <f aca="false">S14-S21</f>
        <v>35885</v>
      </c>
      <c r="T23" s="349" t="n">
        <f aca="false">T14-T21</f>
        <v>-14115</v>
      </c>
      <c r="U23" s="349" t="n">
        <f aca="false">U14-U21</f>
        <v>-14115</v>
      </c>
      <c r="V23" s="349" t="n">
        <f aca="false">V14-V21</f>
        <v>-14115</v>
      </c>
      <c r="W23" s="349" t="n">
        <f aca="false">W14-W21</f>
        <v>-11615</v>
      </c>
      <c r="X23" s="349" t="n">
        <f aca="false">X14-X21</f>
        <v>-11615</v>
      </c>
      <c r="Y23" s="349" t="n">
        <f aca="false">Y14-Y21</f>
        <v>-11615</v>
      </c>
      <c r="Z23" s="349" t="n">
        <f aca="false">Z14-Z21</f>
        <v>-19615</v>
      </c>
      <c r="AA23" s="349" t="n">
        <f aca="false">AA14-AA21</f>
        <v>-11615</v>
      </c>
      <c r="AB23" s="349" t="n">
        <f aca="false">AB14-AB21</f>
        <v>-11615</v>
      </c>
      <c r="AC23" s="349" t="n">
        <f aca="false">AC14-AC21</f>
        <v>-11615</v>
      </c>
      <c r="AD23" s="349" t="n">
        <f aca="false">AD14-AD21</f>
        <v>-11615</v>
      </c>
      <c r="AE23" s="349" t="n">
        <f aca="false">AE14-AE21</f>
        <v>-11615</v>
      </c>
      <c r="AF23" s="349" t="n">
        <f aca="false">AF14-AF21</f>
        <v>-11615</v>
      </c>
      <c r="AG23" s="349" t="n">
        <f aca="false">AG14-AG21</f>
        <v>-14115</v>
      </c>
      <c r="AH23" s="349" t="n">
        <f aca="false">AH14-AH21</f>
        <v>-14115</v>
      </c>
      <c r="AI23" s="349" t="n">
        <f aca="false">AI14-AI21</f>
        <v>-14115</v>
      </c>
      <c r="AJ23" s="349" t="n">
        <f aca="false">AJ14-AJ21</f>
        <v>-14115</v>
      </c>
      <c r="AK23" s="349" t="n">
        <f aca="false">AK14-AK21</f>
        <v>-14115</v>
      </c>
      <c r="AL23" s="349" t="n">
        <f aca="false">AL14-AL21</f>
        <v>-22115</v>
      </c>
      <c r="AM23" s="349" t="n">
        <f aca="false">AM14-AM21</f>
        <v>-14115</v>
      </c>
      <c r="AN23" s="349" t="n">
        <f aca="false">AN14-AN21</f>
        <v>316540</v>
      </c>
    </row>
    <row r="24" customFormat="false" ht="15" hidden="false" customHeight="true" outlineLevel="0" collapsed="false">
      <c r="A24" s="345" t="s">
        <v>976</v>
      </c>
      <c r="B24" s="335" t="n">
        <f aca="false">B23</f>
        <v>4849.28571428571</v>
      </c>
      <c r="C24" s="335" t="n">
        <f aca="false">B24+C23</f>
        <v>22892.5714285714</v>
      </c>
      <c r="D24" s="335" t="n">
        <f aca="false">C24+D23</f>
        <v>48435.8571428571</v>
      </c>
      <c r="E24" s="335" t="n">
        <f aca="false">D24+E23</f>
        <v>73979.1428571428</v>
      </c>
      <c r="F24" s="335" t="n">
        <f aca="false">E24+F23</f>
        <v>99522.4285714286</v>
      </c>
      <c r="G24" s="335" t="n">
        <f aca="false">F24+G23</f>
        <v>119565.714285714</v>
      </c>
      <c r="H24" s="335" t="n">
        <f aca="false">G24+H23</f>
        <v>181359</v>
      </c>
      <c r="I24" s="335" t="n">
        <f aca="false">H24+I23</f>
        <v>217438</v>
      </c>
      <c r="J24" s="335" t="n">
        <f aca="false">I24+J23</f>
        <v>256017</v>
      </c>
      <c r="K24" s="335" t="n">
        <f aca="false">J24+K23</f>
        <v>294596</v>
      </c>
      <c r="L24" s="335" t="n">
        <f aca="false">K24+L23</f>
        <v>333175</v>
      </c>
      <c r="M24" s="335" t="n">
        <f aca="false">L24+M23</f>
        <v>371754</v>
      </c>
      <c r="N24" s="335" t="n">
        <f aca="false">M24+N23</f>
        <v>402333</v>
      </c>
      <c r="O24" s="335" t="n">
        <f aca="false">N24+O23</f>
        <v>440912</v>
      </c>
      <c r="P24" s="335" t="n">
        <f aca="false">O24+P23</f>
        <v>479491</v>
      </c>
      <c r="Q24" s="335" t="n">
        <f aca="false">P24+Q23</f>
        <v>518070</v>
      </c>
      <c r="R24" s="335" t="n">
        <f aca="false">Q24+R23</f>
        <v>553955</v>
      </c>
      <c r="S24" s="335" t="n">
        <f aca="false">R24+S23</f>
        <v>589840</v>
      </c>
      <c r="T24" s="335" t="n">
        <f aca="false">S24+T23</f>
        <v>575725</v>
      </c>
      <c r="U24" s="335" t="n">
        <f aca="false">T24+U23</f>
        <v>561610</v>
      </c>
      <c r="V24" s="335" t="n">
        <f aca="false">U24+V23</f>
        <v>547495</v>
      </c>
      <c r="W24" s="335" t="n">
        <f aca="false">V24+W23</f>
        <v>535880</v>
      </c>
      <c r="X24" s="335" t="n">
        <f aca="false">W24+X23</f>
        <v>524265</v>
      </c>
      <c r="Y24" s="335" t="n">
        <f aca="false">X24+Y23</f>
        <v>512650</v>
      </c>
      <c r="Z24" s="335" t="n">
        <f aca="false">Y24+Z23</f>
        <v>493035</v>
      </c>
      <c r="AA24" s="335" t="n">
        <f aca="false">Z24+AA23</f>
        <v>481420</v>
      </c>
      <c r="AB24" s="335" t="n">
        <f aca="false">AA24+AB23</f>
        <v>469805</v>
      </c>
      <c r="AC24" s="335" t="n">
        <f aca="false">AB24+AC23</f>
        <v>458190</v>
      </c>
      <c r="AD24" s="335" t="n">
        <f aca="false">AC24+AD23</f>
        <v>446575</v>
      </c>
      <c r="AE24" s="335" t="n">
        <f aca="false">AD24+AE23</f>
        <v>434960</v>
      </c>
      <c r="AF24" s="335" t="n">
        <f aca="false">AE24+AF23</f>
        <v>423345</v>
      </c>
      <c r="AG24" s="335" t="n">
        <f aca="false">AF24+AG23</f>
        <v>409230</v>
      </c>
      <c r="AH24" s="335" t="n">
        <f aca="false">AG24+AH23</f>
        <v>395115</v>
      </c>
      <c r="AI24" s="335" t="n">
        <f aca="false">AH24+AI23</f>
        <v>381000</v>
      </c>
      <c r="AJ24" s="335" t="n">
        <f aca="false">AI24+AJ23</f>
        <v>366885</v>
      </c>
      <c r="AK24" s="335" t="n">
        <f aca="false">AJ24+AK23</f>
        <v>352770</v>
      </c>
      <c r="AL24" s="335" t="n">
        <f aca="false">AK24+AL23</f>
        <v>330655</v>
      </c>
      <c r="AM24" s="335" t="n">
        <f aca="false">AL24+AM23</f>
        <v>316540</v>
      </c>
      <c r="AN24" s="335"/>
    </row>
    <row r="27" customFormat="false" ht="15" hidden="false" customHeight="true" outlineLevel="0" collapsed="false">
      <c r="A27" s="340" t="s">
        <v>977</v>
      </c>
      <c r="B27" s="340"/>
      <c r="C27" s="340"/>
    </row>
    <row r="28" customFormat="false" ht="15" hidden="false" customHeight="true" outlineLevel="0" collapsed="false">
      <c r="A28" s="333" t="s">
        <v>969</v>
      </c>
      <c r="B28" s="335" t="n">
        <f aca="false">AN14</f>
        <v>1044910</v>
      </c>
    </row>
    <row r="29" customFormat="false" ht="15" hidden="false" customHeight="true" outlineLevel="0" collapsed="false">
      <c r="A29" s="333" t="s">
        <v>974</v>
      </c>
      <c r="B29" s="335" t="n">
        <f aca="false">AN21</f>
        <v>728370</v>
      </c>
    </row>
    <row r="30" customFormat="false" ht="15" hidden="false" customHeight="true" outlineLevel="0" collapsed="false">
      <c r="A30" s="350" t="s">
        <v>978</v>
      </c>
      <c r="B30" s="351" t="n">
        <f aca="false">B28-B29</f>
        <v>316540</v>
      </c>
    </row>
    <row r="31" customFormat="false" ht="15" hidden="false" customHeight="true" outlineLevel="0" collapsed="false">
      <c r="A31" s="350" t="s">
        <v>979</v>
      </c>
      <c r="B31" s="351" t="n">
        <f aca="false">B30*0.5</f>
        <v>158270</v>
      </c>
    </row>
    <row r="32" customFormat="false" ht="15" hidden="false" customHeight="true" outlineLevel="0" collapsed="false">
      <c r="A32" s="333" t="s">
        <v>980</v>
      </c>
      <c r="B32" s="335" t="n">
        <f aca="false">B30*0.5</f>
        <v>158270</v>
      </c>
    </row>
    <row r="33" customFormat="false" ht="15" hidden="false" customHeight="true" outlineLevel="0" collapsed="false">
      <c r="A33" s="333" t="s">
        <v>981</v>
      </c>
      <c r="B33" s="335" t="n">
        <f aca="false">AN17+B32</f>
        <v>833270</v>
      </c>
    </row>
    <row r="35" customFormat="false" ht="15" hidden="false" customHeight="true" outlineLevel="0" collapsed="false">
      <c r="A35" s="339" t="s">
        <v>982</v>
      </c>
    </row>
    <row r="36" customFormat="false" ht="15" hidden="false" customHeight="true" outlineLevel="0" collapsed="false">
      <c r="A36" s="339" t="s">
        <v>983</v>
      </c>
    </row>
    <row r="37" customFormat="false" ht="15" hidden="false" customHeight="true" outlineLevel="0" collapsed="false">
      <c r="A37" s="339" t="s">
        <v>984</v>
      </c>
    </row>
    <row r="38" customFormat="false" ht="15" hidden="false" customHeight="true" outlineLevel="0" collapsed="false">
      <c r="A38" s="339" t="s">
        <v>985</v>
      </c>
    </row>
    <row r="39" customFormat="false" ht="15" hidden="false" customHeight="true" outlineLevel="0" collapsed="false">
      <c r="A39" s="339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2026-07-22T11:12:20Z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