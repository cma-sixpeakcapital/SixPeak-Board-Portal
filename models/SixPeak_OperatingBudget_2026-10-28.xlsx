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ted" sheetId="1" state="visible" r:id="rId3"/>
    <sheet name="Key Assumptions" sheetId="2" state="visible" r:id="rId4"/>
    <sheet name="LV" sheetId="3" state="visible" r:id="rId5"/>
    <sheet name="Staffing" sheetId="4" state="visible" r:id="rId6"/>
    <sheet name="Six Peak" sheetId="5" state="visible" r:id="rId7"/>
    <sheet name="APA" sheetId="6" state="visible" r:id="rId8"/>
    <sheet name="Mgmt View (Hypothetical)" sheetId="7" state="visible" r:id="rId9"/>
    <sheet name="Source and checks" sheetId="8" state="hidden"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<sst xmlns="http://schemas.openxmlformats.org/spreadsheetml/2006/main" count="605" uniqueCount="424">
  <si>
    <t xml:space="preserve">Six Peak consolidated FY2027 budget</t>
  </si>
  <si>
    <t xml:space="preserve">Recommended for board approval, 2 November 2026 (internal sign-off 26 Oct; revised 28 Oct). LV + Six Peak + APA (Six Peak's 50% share). Key assumptions are on the next tab; line detail on the LV, Six Peak and APA tabs.</t>
  </si>
  <si>
    <t xml:space="preserve">$</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</si>
  <si>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</si>
  <si>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</si>
  <si>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</si>
  <si>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</si>
  <si>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</si>
  <si>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</si>
  <si>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</si>
  <si>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</si>
  <si>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</si>
  <si>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</si>
  <si>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</si>
  <si>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</si>
  <si>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</si>
  <si>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NET REVENUE</t>
  </si>
  <si>
    <t xml:space="preserve">LV fee income (supervision, project admin, GC fee)</t>
  </si>
  <si>
    <t xml:space="preserve">LV trade margin, net (trade billing less trade cost, after true-ups)</t>
  </si>
  <si>
    <t xml:space="preserve">LV bonding program, net (bond line less Krueger fee and CBI premium)</t>
  </si>
  <si>
    <t xml:space="preserve">Six Peak developer fees</t>
  </si>
  <si>
    <t xml:space="preserve">APA (Six Peak share)</t>
  </si>
  <si>
    <t xml:space="preserve">Total net revenue</t>
  </si>
  <si>
    <t xml:space="preserve">EXPENSES</t>
  </si>
  <si>
    <t xml:space="preserve">LV payroll and burden, incl. $200K December bonus pool</t>
  </si>
  <si>
    <t xml:space="preserve">Six Peak payroll and burden</t>
  </si>
  <si>
    <t xml:space="preserve">Partner consulting fees</t>
  </si>
  <si>
    <t xml:space="preserve">Consultants (LV and Six Peak)</t>
  </si>
  <si>
    <t xml:space="preserve">Rent (LV office; Six Peak incl. NYC through April)</t>
  </si>
  <si>
    <t xml:space="preserve">Pay-app automation (Grind Phase 1)</t>
  </si>
  <si>
    <t xml:space="preserve">Recruiting fees and BD commission</t>
  </si>
  <si>
    <t xml:space="preserve">Other overhead (insurance, legal, accounting, IT, office, travel, taxes)</t>
  </si>
  <si>
    <t xml:space="preserve">Total expenses</t>
  </si>
  <si>
    <t xml:space="preserve">NET INCOME</t>
  </si>
  <si>
    <t xml:space="preserve">LV</t>
  </si>
  <si>
    <t xml:space="preserve">Six Peak</t>
  </si>
  <si>
    <t xml:space="preserve">CONSOLIDATED NET INCOME</t>
  </si>
  <si>
    <t xml:space="preserve">CASH: INS AND OUTS</t>
  </si>
  <si>
    <t xml:space="preserve">Opening cash</t>
  </si>
  <si>
    <t xml:space="preserve">Consolidated net income</t>
  </si>
  <si>
    <t xml:space="preserve">LV billing and collection timing (owners pay about a month after billing)</t>
  </si>
  <si>
    <t xml:space="preserve">Retention withheld by owners (5% of fee billing)</t>
  </si>
  <si>
    <t xml:space="preserve">Retention released at job completion</t>
  </si>
  <si>
    <t xml:space="preserve">Krueger bonding fee paid (Francis, Lexington and Acama, January)</t>
  </si>
  <si>
    <t xml:space="preserve">Steyn facility payments ($112K/mo from Aug)</t>
  </si>
  <si>
    <t xml:space="preserve">Tax distribution on FY2026 income</t>
  </si>
  <si>
    <t xml:space="preserve">Net cash flow</t>
  </si>
  <si>
    <t xml:space="preserve">Closing cash</t>
  </si>
  <si>
    <t xml:space="preserve">Opening cash is the model's 31 Dec 2026 balance (from the 30 Sep 2026 ledger). Acama's $561,958 Krueger fee is held to January; developer fees to Six Peak and APA are received as earned.</t>
  </si>
  <si>
    <t xml:space="preserve">MEMO</t>
  </si>
  <si>
    <t xml:space="preserve">LV total billing, including pass-through trade cost</t>
  </si>
  <si>
    <t xml:space="preserve">FY2027 budget: key assumptions</t>
  </si>
  <si>
    <t xml:space="preserve">Recommended for board approval, 2 November 2026 (internal sign-off 26 Oct; revised 28 Oct)</t>
  </si>
  <si>
    <t xml:space="preserve">THE BUDGET</t>
  </si>
  <si>
    <t xml:space="preserve">Net income</t>
  </si>
  <si>
    <t xml:space="preserve">Consolidated</t>
  </si>
  <si>
    <t xml:space="preserve">Cash low point</t>
  </si>
  <si>
    <t xml:space="preserve">July 2027</t>
  </si>
  <si>
    <t xml:space="preserve">Cash, December 2027</t>
  </si>
  <si>
    <t xml:space="preserve">BASIS</t>
  </si>
  <si>
    <t xml:space="preserve">Plan</t>
  </si>
  <si>
    <t xml:space="preserve">September-close Base Case (Beverly included from Oct 2027), with Reseda. The Base Case projection is this budget. Excludes Uplifters and BD placeholder deals.</t>
  </si>
  <si>
    <t xml:space="preserve">Rollup</t>
  </si>
  <si>
    <t xml:space="preserve">LV, Six Peak, and APA at Six Peak's 50% share. No intercompany charges.</t>
  </si>
  <si>
    <t xml:space="preserve">JOBS</t>
  </si>
  <si>
    <t xml:space="preserve">Job</t>
  </si>
  <si>
    <t xml:space="preserve">Status</t>
  </si>
  <si>
    <t xml:space="preserve">Start</t>
  </si>
  <si>
    <t xml:space="preserve">Bonded</t>
  </si>
  <si>
    <t xml:space="preserve">FY2027 trade billing</t>
  </si>
  <si>
    <t xml:space="preserve">Ramsgate</t>
  </si>
  <si>
    <t xml:space="preserve">Building</t>
  </si>
  <si>
    <t xml:space="preserve">In place</t>
  </si>
  <si>
    <t xml:space="preserve">No</t>
  </si>
  <si>
    <t xml:space="preserve">Califa</t>
  </si>
  <si>
    <t xml:space="preserve">Yes</t>
  </si>
  <si>
    <t xml:space="preserve">Whipple</t>
  </si>
  <si>
    <t xml:space="preserve">Nelrose</t>
  </si>
  <si>
    <t xml:space="preserve">Francis</t>
  </si>
  <si>
    <t xml:space="preserve">Lexington</t>
  </si>
  <si>
    <t xml:space="preserve">Riverton</t>
  </si>
  <si>
    <t xml:space="preserve">Acama</t>
  </si>
  <si>
    <t xml:space="preserve">City stop work; restart assumed</t>
  </si>
  <si>
    <t xml:space="preserve">Klump</t>
  </si>
  <si>
    <t xml:space="preserve">Equity committed</t>
  </si>
  <si>
    <t xml:space="preserve">Scott</t>
  </si>
  <si>
    <t xml:space="preserve">Reseda</t>
  </si>
  <si>
    <t xml:space="preserve">Investor and debt being replaced</t>
  </si>
  <si>
    <t xml:space="preserve">Moorpark</t>
  </si>
  <si>
    <t xml:space="preserve">Awarded to HVN; no contract</t>
  </si>
  <si>
    <t xml:space="preserve">Riverton 75</t>
  </si>
  <si>
    <t xml:space="preserve">Lemp</t>
  </si>
  <si>
    <t xml:space="preserve">Award pending (Dec 9)</t>
  </si>
  <si>
    <t xml:space="preserve">Kester</t>
  </si>
  <si>
    <t xml:space="preserve">Troost</t>
  </si>
  <si>
    <t xml:space="preserve">Awarded; contract in final</t>
  </si>
  <si>
    <t xml:space="preserve">Dec-26</t>
  </si>
  <si>
    <t xml:space="preserve">Beverly</t>
  </si>
  <si>
    <t xml:space="preserve">GC RFP; not awarded</t>
  </si>
  <si>
    <t xml:space="preserve">Total trade billing</t>
  </si>
  <si>
    <t xml:space="preserve">Trade billing is cost passed through at cost; LV earns the fee below.</t>
  </si>
  <si>
    <t xml:space="preserve">LV REVENUE</t>
  </si>
  <si>
    <t xml:space="preserve">Fee</t>
  </si>
  <si>
    <t xml:space="preserve">14% of the Cost of the Work (6% supervision, 6% fee, 2% admin). The model calculates it as 12.04% of the contract (GMP), because the GMP already includes the fee and other items. Same dollars.</t>
  </si>
  <si>
    <t xml:space="preserve">Trade cost</t>
  </si>
  <si>
    <t xml:space="preserve">Passed through at cost on LIHTC jobs. On Ramsgate and Nelrose, buyout savings are split 50/50 with the owner.</t>
  </si>
  <si>
    <t xml:space="preserve">Bonding</t>
  </si>
  <si>
    <t xml:space="preserve">Owner pays a 1.5% bond line (Reseda 2.0%). LV pays Krueger 3.25% and CBI about 0.73%. Bonds post at job start. Acama's bond was issued 12 Oct 2026 on its $22.07M GMP: bond line $326,200, CBI premium $155,409, Krueger cash $561,958 (paid January).</t>
  </si>
  <si>
    <t xml:space="preserve">LV payroll</t>
  </si>
  <si>
    <t xml:space="preserve">Staffing engine: crew follows job starts, and current staff move to new jobs as jobs finish. PMs and APMs overlap jobs for a job's last 5 months. A role is hired only when jobs need at least 0.75 of a person. No field engineers. No 2027 raises. $200K year-end bonus pool each December ($75K paid for 2026).</t>
  </si>
  <si>
    <t xml:space="preserve">Six Peak people</t>
  </si>
  <si>
    <t xml:space="preserve">Partner consulting fees $800K; payroll $658K; consultants $337K. No 2027 raises except Robert Carrega, +5% from January.</t>
  </si>
  <si>
    <t xml:space="preserve">Rent</t>
  </si>
  <si>
    <t xml:space="preserve">LV $15K/mo. Six Peak $5K/mo, plus NYC office full rent (~$3.5K/mo) through Jan and half rent Feb-Apr, then none.</t>
  </si>
  <si>
    <t xml:space="preserve">Pay-app automation</t>
  </si>
  <si>
    <t xml:space="preserve">$95K: $47K setup plus $4K/mo license (rises to $5,550/mo in 2028).</t>
  </si>
  <si>
    <t xml:space="preserve">BD commission</t>
  </si>
  <si>
    <t xml:space="preserve">Tom Taggart, $63K on Beverly (Nov).</t>
  </si>
  <si>
    <t xml:space="preserve">APA AND CASH</t>
  </si>
  <si>
    <t xml:space="preserve">APA</t>
  </si>
  <si>
    <t xml:space="preserve">No Services Fee in FY2027; Six Peak receives an $800 dividend.</t>
  </si>
  <si>
    <t xml:space="preserve">January 2027</t>
  </si>
  <si>
    <t xml:space="preserve">Tax distribution $239K and Krueger payout $1.25M (Francis $365,613, Lexington $327,264, Acama $561,958).</t>
  </si>
  <si>
    <t xml:space="preserve">Steyn facility</t>
  </si>
  <si>
    <t xml:space="preserve">$112K/mo from Aug 2027.</t>
  </si>
  <si>
    <t xml:space="preserve">WHAT MOVES IT</t>
  </si>
  <si>
    <t xml:space="preserve">Note</t>
  </si>
  <si>
    <t xml:space="preserve">Acama 6-month slip</t>
  </si>
  <si>
    <t xml:space="preserve">Already in; Jun-27 restart is an estimate</t>
  </si>
  <si>
    <t xml:space="preserve">Without Reseda</t>
  </si>
  <si>
    <t xml:space="preserve">Cash low improves to $179K (no June bond)</t>
  </si>
  <si>
    <t xml:space="preserve">Without Beverly</t>
  </si>
  <si>
    <t xml:space="preserve">Not yet awarded (RFP due Nov 6)</t>
  </si>
  <si>
    <t xml:space="preserve">Also: the HVN 2027 jobs have no LV contract yet.</t>
  </si>
  <si>
    <t xml:space="preserve">LV TEAM</t>
  </si>
  <si>
    <t xml:space="preserve">25 people from January 2027 (Joe LaKamp leaves Dec 2026). Base salaries shown; Grady LaKamp is paid half through payroll and half as a consultant (5000-1007), so payroll carries $3.09M of the $3.29M. The staffing engine adds 13 roles as jobs start, for 38 by Dec 2027. Burden adds about 11%. Hires are roles, not named people; placement fees are 7.5%.</t>
  </si>
  <si>
    <t xml:space="preserve">Current team</t>
  </si>
  <si>
    <t xml:space="preserve">Role</t>
  </si>
  <si>
    <t xml:space="preserve">Base salary</t>
  </si>
  <si>
    <t xml:space="preserve">Grady LaKamp</t>
  </si>
  <si>
    <t xml:space="preserve">President</t>
  </si>
  <si>
    <t xml:space="preserve">Pedro Rosales</t>
  </si>
  <si>
    <t xml:space="preserve">Vice President</t>
  </si>
  <si>
    <t xml:space="preserve">Greg Smith</t>
  </si>
  <si>
    <t xml:space="preserve">Executive Project Manager</t>
  </si>
  <si>
    <t xml:space="preserve">Dorian Puentes</t>
  </si>
  <si>
    <t xml:space="preserve">Project Manager</t>
  </si>
  <si>
    <t xml:space="preserve">Jonah Dobkin</t>
  </si>
  <si>
    <t xml:space="preserve">Assistant Project Manager</t>
  </si>
  <si>
    <t xml:space="preserve">Sammy Lozano</t>
  </si>
  <si>
    <t xml:space="preserve">Roy Torres</t>
  </si>
  <si>
    <t xml:space="preserve">Project Superintendent</t>
  </si>
  <si>
    <t xml:space="preserve">Steven Garcia</t>
  </si>
  <si>
    <t xml:space="preserve">Jesus Castellanos</t>
  </si>
  <si>
    <t xml:space="preserve">Alex Rodriquez</t>
  </si>
  <si>
    <t xml:space="preserve">Project Superintendent (reassigned during Acama delay)</t>
  </si>
  <si>
    <t xml:space="preserve">Mike Savaikie</t>
  </si>
  <si>
    <t xml:space="preserve">Daniel Carillo</t>
  </si>
  <si>
    <t xml:space="preserve">Jonathon (Taylor) Flores</t>
  </si>
  <si>
    <t xml:space="preserve">Nick Donald</t>
  </si>
  <si>
    <t xml:space="preserve">Alfredo Tapia Alvarez</t>
  </si>
  <si>
    <t xml:space="preserve">Assistant Superintendent</t>
  </si>
  <si>
    <t xml:space="preserve">Henry Vera</t>
  </si>
  <si>
    <t xml:space="preserve">Logan Terriquez</t>
  </si>
  <si>
    <t xml:space="preserve">Alina Akopians</t>
  </si>
  <si>
    <t xml:space="preserve">Project Coordinator</t>
  </si>
  <si>
    <t xml:space="preserve">Brisa Sanchez</t>
  </si>
  <si>
    <t xml:space="preserve">Priscilla Hernandez</t>
  </si>
  <si>
    <t xml:space="preserve">Project Coordinator (new hire)</t>
  </si>
  <si>
    <t xml:space="preserve">Kim Moreno</t>
  </si>
  <si>
    <t xml:space="preserve">Office Manager</t>
  </si>
  <si>
    <t xml:space="preserve">Carlos Rocha</t>
  </si>
  <si>
    <t xml:space="preserve">Operations Associate</t>
  </si>
  <si>
    <t xml:space="preserve">Ivan Delgado</t>
  </si>
  <si>
    <t xml:space="preserve">Operations Coordinator</t>
  </si>
  <si>
    <t xml:space="preserve">Devis Tejada</t>
  </si>
  <si>
    <t xml:space="preserve">Albert Wolfe</t>
  </si>
  <si>
    <t xml:space="preserve">Laborer</t>
  </si>
  <si>
    <t xml:space="preserve">Total (25)</t>
  </si>
  <si>
    <t xml:space="preserve">New hires</t>
  </si>
  <si>
    <t xml:space="preserve">Jobs starting</t>
  </si>
  <si>
    <t xml:space="preserve">Hire 1</t>
  </si>
  <si>
    <t xml:space="preserve">Superintendent</t>
  </si>
  <si>
    <t xml:space="preserve">Hire 2</t>
  </si>
  <si>
    <t xml:space="preserve">Hire 3</t>
  </si>
  <si>
    <t xml:space="preserve">Hire 4</t>
  </si>
  <si>
    <t xml:space="preserve">Hire 5</t>
  </si>
  <si>
    <t xml:space="preserve">Hire 6</t>
  </si>
  <si>
    <t xml:space="preserve">Acama, Reseda</t>
  </si>
  <si>
    <t xml:space="preserve">Hire 7</t>
  </si>
  <si>
    <t xml:space="preserve">Hire 8</t>
  </si>
  <si>
    <t xml:space="preserve">Hire 9</t>
  </si>
  <si>
    <t xml:space="preserve">Hire 10</t>
  </si>
  <si>
    <t xml:space="preserve">Kester, Beverly</t>
  </si>
  <si>
    <t xml:space="preserve">Hire 11</t>
  </si>
  <si>
    <t xml:space="preserve">Hire 12</t>
  </si>
  <si>
    <t xml:space="preserve">Hire 13</t>
  </si>
  <si>
    <t xml:space="preserve">Total (13)</t>
  </si>
  <si>
    <t xml:space="preserve">LV Construction: FY2027 budget (recommended for board approval; revised 28 Oct 2026)</t>
  </si>
  <si>
    <t xml:space="preserve">Base Case plan with Reseda and Beverly (September-close models). GL lines match the Actuals/Budget tabs so FY2027 budget vs actual is line for line.</t>
  </si>
  <si>
    <t xml:space="preserve">$ (Jan to Dec 2027)</t>
  </si>
  <si>
    <t xml:space="preserve">REVENUE</t>
  </si>
  <si>
    <t xml:space="preserve">Other GC Income (supervision + project admin)</t>
  </si>
  <si>
    <t xml:space="preserve">GC Fee Income</t>
  </si>
  <si>
    <t xml:space="preserve">Trades and site cost billing, by job</t>
  </si>
  <si>
    <t xml:space="preserve">   Ramsgate</t>
  </si>
  <si>
    <t xml:space="preserve">   Califa</t>
  </si>
  <si>
    <t xml:space="preserve">   Whipple</t>
  </si>
  <si>
    <t xml:space="preserve">   Nelrose</t>
  </si>
  <si>
    <t xml:space="preserve">   Francis</t>
  </si>
  <si>
    <t xml:space="preserve">   Lexington</t>
  </si>
  <si>
    <t xml:space="preserve">   Riverton</t>
  </si>
  <si>
    <t xml:space="preserve">   Acama</t>
  </si>
  <si>
    <t xml:space="preserve">   Klump</t>
  </si>
  <si>
    <t xml:space="preserve">   Scott</t>
  </si>
  <si>
    <t xml:space="preserve">   Reseda</t>
  </si>
  <si>
    <t xml:space="preserve">   Lemp</t>
  </si>
  <si>
    <t xml:space="preserve">   Riverton 75</t>
  </si>
  <si>
    <t xml:space="preserve">   Moorpark</t>
  </si>
  <si>
    <t xml:space="preserve">   Troost</t>
  </si>
  <si>
    <t xml:space="preserve">   Kester</t>
  </si>
  <si>
    <t xml:space="preserve">   Beverly</t>
  </si>
  <si>
    <t xml:space="preserve">Total Trades and Site Cost Billing</t>
  </si>
  <si>
    <t xml:space="preserve">Total Revenues</t>
  </si>
  <si>
    <t xml:space="preserve">COGS: trade and site costs, by job</t>
  </si>
  <si>
    <t xml:space="preserve">Total COGS</t>
  </si>
  <si>
    <t xml:space="preserve">BONDING AND DEAL TERMS</t>
  </si>
  <si>
    <t xml:space="preserve">Bonding program, net (Krueger cash fee; bond line less CBI premium)</t>
  </si>
  <si>
    <t xml:space="preserve">Trade cost true-up (LIHTC pass-through)</t>
  </si>
  <si>
    <t xml:space="preserve">Buyout savings, client share</t>
  </si>
  <si>
    <t xml:space="preserve">Gross Profit</t>
  </si>
  <si>
    <t xml:space="preserve">GC COSTS</t>
  </si>
  <si>
    <t xml:space="preserve">   5000-1000 Payroll</t>
  </si>
  <si>
    <t xml:space="preserve">   5000-1001 Payroll Taxes</t>
  </si>
  <si>
    <t xml:space="preserve">   5000-1002 Employee Benefits</t>
  </si>
  <si>
    <t xml:space="preserve">   5000-1003 Workers Comp</t>
  </si>
  <si>
    <t xml:space="preserve">   5000-1005 Payroll Servicing Fees</t>
  </si>
  <si>
    <t xml:space="preserve">   5000-1007 Payroll - Consultants</t>
  </si>
  <si>
    <t xml:space="preserve">   5100-1000 Rent Expense</t>
  </si>
  <si>
    <t xml:space="preserve">   5200-1000 Office Supplies and Expenses</t>
  </si>
  <si>
    <t xml:space="preserve">   5200-1002 Printing and Reproduction</t>
  </si>
  <si>
    <t xml:space="preserve">   5200-1050 Computer and IT Expenses</t>
  </si>
  <si>
    <t xml:space="preserve">   5200-1053 IT Software and Subscriptions</t>
  </si>
  <si>
    <t xml:space="preserve">   5200-1054 Telephone Expenses</t>
  </si>
  <si>
    <t xml:space="preserve">   5300-1050 Meals and Entertainment</t>
  </si>
  <si>
    <t xml:space="preserve">   5500-1000 Legal and Professional Fees</t>
  </si>
  <si>
    <t xml:space="preserve">   5500-1002 Accounting Consulting and Overhead</t>
  </si>
  <si>
    <t xml:space="preserve">   5500-1004 Consultants and Other Professional Expenses</t>
  </si>
  <si>
    <t xml:space="preserve">   5500-1050 General Insurance</t>
  </si>
  <si>
    <t xml:space="preserve">   5700-1003 Other Utilities</t>
  </si>
  <si>
    <t xml:space="preserve">   5800-1003 Consulting / Recruitment</t>
  </si>
  <si>
    <t xml:space="preserve">   5900-1000 Security Monitoring</t>
  </si>
  <si>
    <t xml:space="preserve">   5900-1003 Janitorial and Cleaning Expenses</t>
  </si>
  <si>
    <t xml:space="preserve">   5900-1005 Supplies and Other Job Site Overhead</t>
  </si>
  <si>
    <t xml:space="preserve">   5900-1006 Auto and Truck Expense</t>
  </si>
  <si>
    <t xml:space="preserve">   5900-1007 Landscaping</t>
  </si>
  <si>
    <t xml:space="preserve">   5900-1040 Warranty and Other Job Adjustments</t>
  </si>
  <si>
    <t xml:space="preserve">   5900-1075 Miscellaneous Expense</t>
  </si>
  <si>
    <t xml:space="preserve">   5900-1080 Bank Service Charges</t>
  </si>
  <si>
    <t xml:space="preserve">   5900-3000 Charitable Contribution</t>
  </si>
  <si>
    <t xml:space="preserve">   8200-2000 State Tax and Fees</t>
  </si>
  <si>
    <t xml:space="preserve">   5800-1010 BD Commission (Tom Taggart, Beverly)</t>
  </si>
  <si>
    <t xml:space="preserve">   5200-1056 Pay-App Automation (Grind Analytics Phase 1)</t>
  </si>
  <si>
    <t xml:space="preserve">   5000-1010 Year-End Bonus Pool (paid Dec 2027)</t>
  </si>
  <si>
    <t xml:space="preserve">Total GC Costs</t>
  </si>
  <si>
    <t xml:space="preserve">LV NET INCOME</t>
  </si>
  <si>
    <t xml:space="preserve">LV staffing: active jobs and people by role, April 2026 to December 2027</t>
  </si>
  <si>
    <t xml:space="preserve">Requested by Chris Andresen (29 Oct 2026) to explain the FY2027 hires, the main expense item. Source: Base Case staffing engine and Personnel tab (models _2026-10-28). April 2026 is the first month of the model roster; payroll staffing schedules before June list only part of the team, so earlier months are not shown. "Needed" is the engine's requirement from the active jobs, including superintendent lead time before a start; a role is hired only when the need exceeds staff by 0.75 of a person, and PMs and APMs overlap a job's last 5 months.</t>
  </si>
  <si>
    <t xml:space="preserve">Month</t>
  </si>
  <si>
    <t xml:space="preserve">Apr 26</t>
  </si>
  <si>
    <t xml:space="preserve">May 26</t>
  </si>
  <si>
    <t xml:space="preserve">Jun 26</t>
  </si>
  <si>
    <t xml:space="preserve">Jul 26</t>
  </si>
  <si>
    <t xml:space="preserve">Aug 26</t>
  </si>
  <si>
    <t xml:space="preserve">Sep 26</t>
  </si>
  <si>
    <t xml:space="preserve">Oct 26</t>
  </si>
  <si>
    <t xml:space="preserve">Nov 26</t>
  </si>
  <si>
    <t xml:space="preserve">Dec 26</t>
  </si>
  <si>
    <t xml:space="preserve">Jan 27</t>
  </si>
  <si>
    <t xml:space="preserve">Feb 27</t>
  </si>
  <si>
    <t xml:space="preserve">Mar 27</t>
  </si>
  <si>
    <t xml:space="preserve">Apr 27</t>
  </si>
  <si>
    <t xml:space="preserve">May 27</t>
  </si>
  <si>
    <t xml:space="preserve">Jun 27</t>
  </si>
  <si>
    <t xml:space="preserve">Jul 27</t>
  </si>
  <si>
    <t xml:space="preserve">Aug 27</t>
  </si>
  <si>
    <t xml:space="preserve">Sep 27</t>
  </si>
  <si>
    <t xml:space="preserve">Oct 27</t>
  </si>
  <si>
    <t xml:space="preserve">Nov 27</t>
  </si>
  <si>
    <t xml:space="preserve">Dec 27</t>
  </si>
  <si>
    <t xml:space="preserve">Active jobs</t>
  </si>
  <si>
    <t xml:space="preserve">People on staff, by role</t>
  </si>
  <si>
    <t xml:space="preserve">   Project managers</t>
  </si>
  <si>
    <t xml:space="preserve">      needed for the active jobs</t>
  </si>
  <si>
    <t xml:space="preserve">   Assistant project managers</t>
  </si>
  <si>
    <t xml:space="preserve">   Superintendents</t>
  </si>
  <si>
    <t xml:space="preserve">   Assistant superintendents</t>
  </si>
  <si>
    <t xml:space="preserve">   Project coordinators</t>
  </si>
  <si>
    <t xml:space="preserve">   Operations and labor</t>
  </si>
  <si>
    <t xml:space="preserve">   Executives and office</t>
  </si>
  <si>
    <t xml:space="preserve">Total people on staff</t>
  </si>
  <si>
    <t xml:space="preserve">   Change in headcount (hires less departures)</t>
  </si>
  <si>
    <t xml:space="preserve">LV payroll, 5000-1000 (incl. December bonus pool)</t>
  </si>
  <si>
    <t xml:space="preserve">Payroll per active job</t>
  </si>
  <si>
    <t xml:space="preserve">Active jobs per project manager</t>
  </si>
  <si>
    <t xml:space="preserve">2026 versus 2027</t>
  </si>
  <si>
    <t xml:space="preserve">Measure</t>
  </si>
  <si>
    <t xml:space="preserve">2026 (Apr to Dec)</t>
  </si>
  <si>
    <t xml:space="preserve">2027</t>
  </si>
  <si>
    <t xml:space="preserve">Change</t>
  </si>
  <si>
    <t xml:space="preserve">Average active jobs</t>
  </si>
  <si>
    <t xml:space="preserve">Active jobs at year end</t>
  </si>
  <si>
    <t xml:space="preserve">Average people on staff</t>
  </si>
  <si>
    <t xml:space="preserve">People on staff at year end</t>
  </si>
  <si>
    <t xml:space="preserve">   Project managers, year end</t>
  </si>
  <si>
    <t xml:space="preserve">   Assistant project managers, year end</t>
  </si>
  <si>
    <t xml:space="preserve">   Superintendents, year end</t>
  </si>
  <si>
    <t xml:space="preserve">   Assistant superintendents, year end</t>
  </si>
  <si>
    <t xml:space="preserve">   Project coordinators, year end</t>
  </si>
  <si>
    <t xml:space="preserve">   Operations and labor, year end</t>
  </si>
  <si>
    <t xml:space="preserve">   Executives and office, year end</t>
  </si>
  <si>
    <t xml:space="preserve">Average active jobs per project manager</t>
  </si>
  <si>
    <t xml:space="preserve">Average active jobs per superintendent</t>
  </si>
  <si>
    <t xml:space="preserve">LV payroll per active job, per month</t>
  </si>
  <si>
    <t xml:space="preserve">Reading it: active jobs roughly double (about 6.6 a month on average from April to December 2026, about 12 in 2027) while people on staff grow by about 40%. Hiring follows job starts; it is not running ahead of them.</t>
  </si>
  <si>
    <t xml:space="preserve">Payroll per active job falls from about $38K a month to about $30K: the team is stretched further in 2027, mostly on project managers (about 2.2 jobs each in 2026, 3.7 in 2027).</t>
  </si>
  <si>
    <t xml:space="preserve">Superintendents stay at about one per job. The thin months are February to June 2027, when starts run ahead of hires; PMs and APMs cover.</t>
  </si>
  <si>
    <t xml:space="preserve">Executives and office drops by one in January 2027: Joe LaKamp retires December 31.</t>
  </si>
  <si>
    <t xml:space="preserve">Hires are roles tied to job starts. If an award slips or is lost, its hires move or drop with it (Projects tab Active switch).</t>
  </si>
  <si>
    <t xml:space="preserve">Six Peak Capital: draft FY2027 budget</t>
  </si>
  <si>
    <t xml:space="preserve">Parent company only. APA is budgeted as a subsidiary on its own tab.</t>
  </si>
  <si>
    <t xml:space="preserve">   Ramsgate Dev Fee - Construction</t>
  </si>
  <si>
    <t xml:space="preserve">   Ramsgate Dev Fee - 20% Occ</t>
  </si>
  <si>
    <t xml:space="preserve">   12th &amp; Fir Developer Fee</t>
  </si>
  <si>
    <t xml:space="preserve">   Klump Developer Fee</t>
  </si>
  <si>
    <t xml:space="preserve">   Scott Developer Fee</t>
  </si>
  <si>
    <t xml:space="preserve">Total Six Peak Revenue</t>
  </si>
  <si>
    <t xml:space="preserve">   5200-1060 Website Design</t>
  </si>
  <si>
    <t xml:space="preserve">   5200-1061 Website Hosting</t>
  </si>
  <si>
    <t xml:space="preserve">   5300-1000 Travel and Lodging</t>
  </si>
  <si>
    <t xml:space="preserve">   5300-1001 Public Transportation</t>
  </si>
  <si>
    <t xml:space="preserve">   5300-1002 Parking</t>
  </si>
  <si>
    <t xml:space="preserve">   5500-1007 Dues and Subscriptions</t>
  </si>
  <si>
    <t xml:space="preserve">   5500-1009 Entity Filing and Formation Fees</t>
  </si>
  <si>
    <t xml:space="preserve">   5500-1010 Investment Management Software</t>
  </si>
  <si>
    <t xml:space="preserve">   5500-1053 E&amp;O/D&amp;O Insurance</t>
  </si>
  <si>
    <t xml:space="preserve">   5800-1003 Consulting Fee</t>
  </si>
  <si>
    <t xml:space="preserve">Total Six Peak Expenses</t>
  </si>
  <si>
    <t xml:space="preserve">SIX PEAK NET INCOME</t>
  </si>
  <si>
    <t xml:space="preserve">Adam Polk Architects Inc. (subsidiary): draft FY2027 budget</t>
  </si>
  <si>
    <t xml:space="preserve">Six Peak's share rolls into the consolidated budget. Source: 2026-10-16 APA Inc. FY2027 budget, base case with Reseda (3rd Street design engagement does not happen). APA Inc. is 50% owned and not consolidated; its company budget is a memo below.</t>
  </si>
  <si>
    <t xml:space="preserve">SIX PEAK'S SHARE (rolls up)</t>
  </si>
  <si>
    <t xml:space="preserve">Services Fee (zero: FY2027 fee pool is negative)</t>
  </si>
  <si>
    <t xml:space="preserve">50% of FY2026 dividend (paid Mar 2027)</t>
  </si>
  <si>
    <t xml:space="preserve">Total APA revenue to Six Peak</t>
  </si>
  <si>
    <t xml:space="preserve">APA expenses at Six Peak (none)</t>
  </si>
  <si>
    <t xml:space="preserve">APA NET INCOME (Six Peak share)</t>
  </si>
  <si>
    <t xml:space="preserve">MEMO: APA Inc. revenue by contract (company, 100%)</t>
  </si>
  <si>
    <t xml:space="preserve">   3rd Street (existing contract only)</t>
  </si>
  <si>
    <t xml:space="preserve">APA Inc. total revenue</t>
  </si>
  <si>
    <t xml:space="preserve">MEMO: APA Inc. FY2027 annual waterfall (company, 100%)</t>
  </si>
  <si>
    <t xml:space="preserve">   Revenue</t>
  </si>
  <si>
    <t xml:space="preserve">   Overhead</t>
  </si>
  <si>
    <t xml:space="preserve">   Polk Base Fee (paid first)</t>
  </si>
  <si>
    <t xml:space="preserve">   Polk Supplemental Fee</t>
  </si>
  <si>
    <t xml:space="preserve">   Six Peak Services Fee</t>
  </si>
  <si>
    <t xml:space="preserve">   California franchise tax</t>
  </si>
  <si>
    <t xml:space="preserve">   Federal income tax</t>
  </si>
  <si>
    <t xml:space="preserve">   Net income after tax</t>
  </si>
  <si>
    <t xml:space="preserve">   Dividend of FY2027 income (declared in FY2028)</t>
  </si>
  <si>
    <t xml:space="preserve">   Six Peak 50% share of that dividend</t>
  </si>
  <si>
    <t xml:space="preserve">   APA PC 50% share of that dividend</t>
  </si>
  <si>
    <t xml:space="preserve">   Shortfall the Company must fund (loss year)</t>
  </si>
  <si>
    <t xml:space="preserve">   Polk Base Fee unpaid, accrued in APA Inc. (no Six Peak cash)</t>
  </si>
  <si>
    <t xml:space="preserve">Management view (hypothetical): Six Peak people cost allocated to LV</t>
  </si>
  <si>
    <t xml:space="preserve">HYPOTHETICAL ONLY. Six Peak does not charge LV for this time, and none of it is in the financials or in this budget. Six Peak's people do spend real time on LV, so from a management perspective this shows roughly what each business costs to run if that time were charged. Consolidated net income does not change.</t>
  </si>
  <si>
    <t xml:space="preserve">Full cost</t>
  </si>
  <si>
    <t xml:space="preserve">Share of time on LV</t>
  </si>
  <si>
    <t xml:space="preserve">Allocated to LV</t>
  </si>
  <si>
    <t xml:space="preserve">Tom Taggart</t>
  </si>
  <si>
    <t xml:space="preserve">Robert Carrega</t>
  </si>
  <si>
    <t xml:space="preserve">Chris Andresen</t>
  </si>
  <si>
    <t xml:space="preserve">Chris Aiello</t>
  </si>
  <si>
    <t xml:space="preserve">Bob Kennedy</t>
  </si>
  <si>
    <t xml:space="preserve">Derek Sanders</t>
  </si>
  <si>
    <t xml:space="preserve">Total</t>
  </si>
  <si>
    <t xml:space="preserve">Full cost is salary and burden (or consulting fee) from the Six Peak tab; partners and Tom carry no benefits. Shares (blue) are inputs.</t>
  </si>
  <si>
    <t xml:space="preserve">FY2027 net income</t>
  </si>
  <si>
    <t xml:space="preserve">As budgeted</t>
  </si>
  <si>
    <t xml:space="preserve">Hypothetical allocation</t>
  </si>
  <si>
    <t xml:space="preserve">After allocation</t>
  </si>
  <si>
    <t xml:space="preserve">Consolidated (unchanged)</t>
  </si>
  <si>
    <t xml:space="preserve">Source and checks</t>
  </si>
  <si>
    <t xml:space="preserve">Source workbooks: SixPeak_BaseCase_2026-10-28.xlsx (Base Case = this budget), Target Business Plan and In-Place Floor of the same date. September 2026 close.</t>
  </si>
  <si>
    <t xml:space="preserve">Six Peak Projections - Base Case.xlsx and Target Business Plan.xlsx, 09.2026 Projections (September close, 16 Oct 2026; Reseda bond 20 Oct)</t>
  </si>
  <si>
    <t xml:space="preserve">Columns</t>
  </si>
  <si>
    <t xml:space="preserve">Model columns N:Y = Jan-Dec 2027; values frozen, totals are formulas</t>
  </si>
  <si>
    <t xml:space="preserve">Check: LV NI. Base Case Model row 237, FY2027 (models _2026-10-28). Should equal Consolidated!N23.</t>
  </si>
  <si>
    <t xml:space="preserve">Check: Six Peak NI. Base Case Model row 293, FY2027. Should equal Consolidated!N24.</t>
  </si>
  <si>
    <t xml:space="preserve">Older check values (LV 4,297,655 and consolidated 2,299,779) were pre-adjustment figures from the 20 Oct build; replaced 28 Oct with checks that tie to this budget.</t>
  </si>
  <si>
    <t xml:space="preserve">Check: APA NI = APA Inc. FY2027 budget file, row 65 (replaces Model row 297)</t>
  </si>
  <si>
    <t xml:space="preserve">Check: Consolidated NI. Base Case Model row 308, FY2027, less the APA difference ($915 on the model APA schedule vs $800 in the APA Inc. budget file). Should equal Consolidated!N26.</t>
  </si>
  <si>
    <t xml:space="preserve">Check: hypothetical allocation nets to zero (Mgmt View)</t>
  </si>
  <si>
    <t xml:space="preserve">Check: consolidated = total net revenue + total expenses</t>
  </si>
  <si>
    <t xml:space="preserve">Expense review applied (October): LV rent $15K/mo, LV benefits 3.5%, LV workers comp 0.3%, recruiter fees 7.5%, LV state tax $1,250/mo base; Six Peak benefits $12,138/mo, legal $3,750, misc $3,333, entity fees $3,333 base.</t>
  </si>
  <si>
    <t xml:space="preserve">Uplifters removed (program dropped); Schuyler Dietz stays a Six Peak consultant at $115K.</t>
  </si>
  <si>
    <t xml:space="preserve">APA replaced: Model row 297 carries 131,310 (old APA schedule with 3rd Street); this budget uses the APA Inc. base case (with Reseda), 800. Model consolidated 2,520,259 less 130,510 = 2,389,749.</t>
  </si>
  <si>
    <t xml:space="preserve">Beverly added 20 Oct 2026, start moved to October 2027 (Projects!C20 = 19): 09.2026 Target Business Plan rerun (LibreOffice full recalc, ties to the saved Excel values at the original start) less Base Case, Model N:Y. Trades billing/COGS rows 29/76 2,113,813 each (net zero); Other GC Income +204,450; GC Fee +153,337; payroll and burden rows 203-208 -122,040; Consulting Fee row 223 (placement) -32,250; BD Commission row 234 -62,566; ending cash row 383 applied to the memo cash month by month. LV NI +140,931. Bonding, Six Peak and APA unchanged.</t>
  </si>
  <si>
    <t xml:space="preserve">Pay-app automation added 20 Oct 2026, license revised 26 Oct 2026: Grind Analytics Phase 1, $47,000 one-time (memo 10/15/26) plus the platform license at $4,000/mo for the first 12 months (Jan-Dec 2027), stepping up to $5,550/mo from Jan 2028 (Chris, 26 Oct). New LV GC cost line: Jan and Feb -27,500 each (one-time 47,000 split evenly plus 4,000), Mar-Dec -4,000. FY2027 95,000 (was 113,600). Not in the projection model, so the model checks above are shown less 95,000. Memo cash reduced cumulatively.</t>
  </si>
  <si>
    <t xml:space="preserve">Reseda bond line at 2.0% (20 Oct 2026): Bonding Program I22 = 0.02 (model default 1.5%), rerun in LibreOffice. Bond line 668,967 -&gt; 887,584; CBI premium (331,073) and Krueger cash (1,140,098) unchanged. LV gross profit +218,617 in Jun 2027 (Model row 196); cash collected Jul 2027 (memo cash +218,617 from Jul). Checks above include it.</t>
  </si>
  <si>
    <t xml:space="preserve">Acama slipped six months, 26 Oct 2026 (Chris): city stop work after start (LV Stop Work Notice 23 Oct); start Projects!C10 9 -&gt; 15 (Dec 2026 -&gt; Jun 2027), 24 months unchanged. Bond month pinned at Dec 2026 (Bonding Program G19 = 9): the Acama bond was issued 13 Oct 2026 (CBI), so the bonding program does not move into FY2027. Target Business Plan (Beverly Oct 2027) rerun in LibreOffice with and without the slip, Model N:Y deltas applied: Acama trades billing/COGS rows 21/68 -6,021,554 each (net zero); Other GC Income -289,516; GC Fee -217,136 (Jan-May 2027; Dec 2026 also lost in FY2026); payroll and burden rows 203-208 +182,634 (staffing engine hires later); Consulting Fee row 223 -21,750. LV NI -345,767 in FY2027 (and -52,683 in Dec 2026, which lowers the Jan 2027 tax distribution by 26,499). Ending cash row 383 applied to the memo cash month by month. Comparison blocks (with/without Reseda, with/without Beverly) rerun with the slip.</t>
  </si>
  <si>
    <t xml:space="preserve">NYC office (Six Peak), agreed 26 Oct 2026 (Bob Kennedy): full rent Nov 2026-Jan 2027, half rent Feb-Apr 2027, nothing after. Full rent taken as the model's $3,500/mo (Six Peak rent of $8,500/mo in Oct-Nov 2026 less the $5,000/mo Six Peak share of the LV office); the model had the NYC office ending 1 Dec 2026. Six Peak rent row 18: Jan -3,500, Feb-Apr -1,750 each, on top of $5,000/mo; FY2027 -8,750. Dec 2026 -3,500 lowers FY2026 NI and the Jan 2027 tax distribution by 1,761. Memo cash -10,489 from April on. Bob and Daniel are looking for someone to take over the space, which would end the rent early (not assumed).</t>
  </si>
  <si>
    <t xml:space="preserve">Check: LV gross profit ties (Consolidated lines vs LV tab)</t>
  </si>
  <si>
    <t xml:space="preserve">Restructured 26 Oct 2026: Summary tab removed (content moved to Key Assumptions), Consolidated rebuilt with an expense breakdown, management allocation moved to its own hypothetical tab.</t>
  </si>
  <si>
    <t xml:space="preserve">Acama Krueger cash, 26 Oct 2026 (Chris): Acama's Krueger cash ($535,544 = 3.25% x $21,263,405 GMP less est. CBI premium $155,516) is paid with Francis and Lexington in January 2027, not in the Dec 2026 bond month. Opening cash 1 Jan 2027 +535,544; January Krueger payout 692,877 -&gt; 1,228,421. Cost stays in FY2026 (bond issued 13 Oct 2026); FY2027 NI and month-end cash unchanged. Moorpark and Riverton 75 stay on the Krueger program.</t>
  </si>
  <si>
    <t xml:space="preserve">Staffing, 26 Oct 2026 (Chris): Priscilla Hernandez already hired as the Project Coordinator at $100,000 (replaces the planned PC add; on payroll from Oct 2026, no 2027 placement fee). PM/APM wind-down overlap 3 -&gt; 5 months (Staffing B106 = 5); hire trigger tolerance 0.25 -&gt; 0.75 (a role is hired only when demand exceeds staff by 0.75 of a person, B18); field engineers removed (gates B22/B23 = 99). Alex Rodriquez reassigned during the Acama delay (the engine already pools named supers). New hires 18 -&gt; 13. LV NI FY2027 +554,395 vs the pre-staffing-change budget; FY2026 -14,356, so opening cash -14,356 and the Jan 2027 tax distribution -7,221. Superintendent coverage is thinner Feb-Jun 2027 (up to 2 more active jobs than superintendents, vs 1 before).</t>
  </si>
  <si>
    <t xml:space="preserve">Raises and bonus, 26 Oct 2026 (Chris): no 2027 raises for LV (the model's 2% April step on LV payroll, burden and consultants is unwound); Six Peak 0% except Robert Carrega +5% from January ($150,000 -&gt; $157,500); the April 2% is unwound on Six Peak payroll, Tom/Schuyler consulting and partner fees. LV year-end bonus pool $200,000 in Dec 2027 (all-in, own LV line). A $75,000 LV bonus is assumed paid in Dec 2026: opening cash -75,000 and the Jan 2027 tax distribution -37,725 (50.3%).</t>
  </si>
  <si>
    <t xml:space="preserve">26 Oct 2026: the model's 2% April expense escalation is removed in both companies (LV non-payroll overhead rows and Six Peak overhead rows, Apr-Dec / 1.02). Placeholder cost codes assigned to the three budget-only LV lines: 5800-1010 BD Commission, 5200-1056 Pay-App Automation, 5000-1010 Year-End Bonus Pool (confirm against the chart of accounts).</t>
  </si>
  <si>
    <t xml:space="preserve">Tie to the Base Case (26 Oct 2026, after the FY2027 assumptions were loaded into the 09.2026 plan workbooks, models _2026-10-26): LV burden on Priscilla Hernandez's $100,000 salary trued up to the model (+$848 FY2027) and opening cash aligned to the model's 31 Dec 2026 balance. Remaining difference: APA $115 (model APA schedule $915 vs the APA Inc. budget file $800). Base Case FY2027 consolidated NI = this budget + $115.</t>
  </si>
  <si>
    <t xml:space="preserve">What-moves-it figures rerun 26 Oct 2026 on the final Base Case (models _2026-10-26): Reseda off -320,878; Beverly off -97,401; Acama at the Dec 2026 start +409,364 (so the slip costs 409,364).</t>
  </si>
  <si>
    <t xml:space="preserve">28 Oct 2026 (Chris): (1) Acama on its $22,072,845 GMP (Projects!B10; was $21,263,405) with actual bond figures: bond issued 12 Oct 2026, bond line $326,200 (invoice LV-2026-ACA-01), CBI premium $155,409 (invoice #024003), Krueger cash $561,958 (615 Holdings schedule 28 Oct); bond month Oct 2026 (was Dec 2026). (2) 12th &amp; Fir developer fee $8,800 a month (was $9,500), Jul 2026 to Sep 2028 (Chris Andresen, 29 Oct). (3) Staffing engine superintendent slots 6-10 priced at $160,000 (were at the assistant superintendent rate, $125,000); affects the Oct 2027 superintendent. FY2026 NI -14,345; FY2027 LV NI +14,638 (GMP fee +27,001 less superintendent -12,364); Krueger January payout 1,228,421 -&gt; 1,254,835; tax distribution 245,851 -&gt; 238,636; opening cash 1 Jan 2027 -364,753 (bond net cost now runs through cash in Oct-Nov 2026 instead of January).</t>
  </si>
  <si>
    <t xml:space="preserve">Check: consolidated NI less the model check (0 = ties)</t>
  </si>
  <si>
    <t xml:space="preserve">Check: LV NI less the model check (0 = ties)</t>
  </si>
  <si>
    <t xml:space="preserve">Check: Dec 2027 closing cash less Base Case Model row 383 Dec-27, less the $115 APA difference (0 = ties)</t>
  </si>
</sst>
</file>

<file path=xl/styles.xml><?xml version="1.0" encoding="utf-8"?>
<styleSheet xmlns="http://schemas.openxmlformats.org/spreadsheetml/2006/main">
  <numFmts count="8">
    <numFmt numFmtId="164" formatCode="General"/>
    <numFmt numFmtId="165" formatCode="#,##0;\(#,##0\);\-"/>
    <numFmt numFmtId="166" formatCode="\$#,##0.00,,\M;&quot;($&quot;#,##0.00,,&quot;M)&quot;"/>
    <numFmt numFmtId="167" formatCode="\$#,##0"/>
    <numFmt numFmtId="168" formatCode="0.0;\(0.0\);\-"/>
    <numFmt numFmtId="169" formatCode="0.0"/>
    <numFmt numFmtId="170" formatCode="0.00"/>
    <numFmt numFmtId="171" formatCode="0%"/>
  </numFmts>
  <fonts count="17">
    <font>
      <sz val="10"/>
      <name val="Aptos"/>
      <family val="0"/>
      <charset val="1"/>
    </font>
    <font>
      <sz val="10"/>
      <name val="Arial"/>
      <family val="0"/>
    </font>
    <font>
      <sz val="10"/>
      <name val="Arial"/>
      <family val="0"/>
    </font>
    <font>
      <sz val="10"/>
      <name val="Arial"/>
      <family val="0"/>
    </font>
    <font>
      <b val="true"/>
      <sz val="14"/>
      <color rgb="FF0B1833"/>
      <name val="Aptos"/>
      <family val="0"/>
      <charset val="1"/>
    </font>
    <font>
      <sz val="10"/>
      <color rgb="FF475569"/>
      <name val="Aptos"/>
      <family val="0"/>
      <charset val="1"/>
    </font>
    <font>
      <b val="true"/>
      <sz val="10"/>
      <color rgb="FFFFFFFF"/>
      <name val="Aptos"/>
      <family val="0"/>
      <charset val="1"/>
    </font>
    <font>
      <b val="true"/>
      <sz val="10"/>
      <color rgb="FFA84A15"/>
      <name val="Aptos"/>
      <family val="0"/>
      <charset val="1"/>
    </font>
    <font>
      <sz val="10"/>
      <color rgb="FF2D2D2D"/>
      <name val="Aptos"/>
      <family val="0"/>
      <charset val="1"/>
    </font>
    <font>
      <b val="true"/>
      <sz val="10"/>
      <color rgb="FF2D2D2D"/>
      <name val="Aptos"/>
      <family val="0"/>
      <charset val="1"/>
    </font>
    <font>
      <b val="true"/>
      <sz val="10"/>
      <color rgb="FF0B1833"/>
      <name val="Aptos"/>
      <family val="0"/>
      <charset val="1"/>
    </font>
    <font>
      <i val="true"/>
      <sz val="10"/>
      <color rgb="FF475569"/>
      <name val="Aptos"/>
      <family val="0"/>
      <charset val="1"/>
    </font>
    <font>
      <sz val="10"/>
      <color theme="1"/>
      <name val="Aptos"/>
      <family val="0"/>
      <charset val="1"/>
    </font>
    <font>
      <sz val="10"/>
      <color rgb="FF6B7280"/>
      <name val="Aptos"/>
      <family val="0"/>
      <charset val="1"/>
    </font>
    <font>
      <b val="true"/>
      <sz val="10"/>
      <name val="Aptos"/>
      <family val="0"/>
      <charset val="1"/>
    </font>
    <font>
      <b val="true"/>
      <sz val="12"/>
      <color rgb="FF0B1833"/>
      <name val="Aptos"/>
      <family val="0"/>
      <charset val="1"/>
    </font>
    <font>
      <sz val="10"/>
      <color rgb="FF1F4E9A"/>
      <name val="Aptos"/>
      <family val="0"/>
      <charset val="1"/>
    </font>
  </fonts>
  <fills count="4">
    <fill>
      <patternFill patternType="none"/>
    </fill>
    <fill>
      <patternFill patternType="gray125"/>
    </fill>
    <fill>
      <patternFill patternType="solid">
        <fgColor rgb="FF0B1833"/>
        <bgColor rgb="FF2D2D2D"/>
      </patternFill>
    </fill>
    <fill>
      <patternFill patternType="solid">
        <fgColor rgb="FFE2E7F0"/>
        <bgColor rgb="FFE0E0E0"/>
      </patternFill>
    </fill>
  </fills>
  <borders count="5">
    <border diagonalUp="false" diagonalDown="false">
      <left/>
      <right/>
      <top/>
      <bottom/>
      <diagonal/>
    </border>
    <border diagonalUp="false" diagonalDown="false">
      <left/>
      <right/>
      <top/>
      <bottom style="thin">
        <color rgb="FFD9DDE3"/>
      </bottom>
      <diagonal/>
    </border>
    <border diagonalUp="false" diagonalDown="false">
      <left/>
      <right/>
      <top style="thin">
        <color rgb="FF0B1833"/>
      </top>
      <bottom style="thin">
        <color rgb="FF0B1833"/>
      </bottom>
      <diagonal/>
    </border>
    <border diagonalUp="false" diagonalDown="false">
      <left/>
      <right/>
      <top/>
      <bottom style="thin">
        <color rgb="FFE0E0E0"/>
      </bottom>
      <diagonal/>
    </border>
    <border diagonalUp="false" diagonalDown="false">
      <left/>
      <right/>
      <top style="thin">
        <color rgb="FF0B183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true" indent="0" shrinkToFit="false"/>
      <protection locked="true" hidden="false"/>
    </xf>
    <xf numFmtId="164" fontId="6" fillId="2" borderId="0" xfId="0" applyFont="true" applyBorder="false" applyAlignment="true" applyProtection="false">
      <alignment horizontal="right" vertical="bottom"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5" fontId="8" fillId="0" borderId="3" xfId="0" applyFont="true" applyBorder="true" applyAlignment="true" applyProtection="false">
      <alignment horizontal="general" vertical="bottom" textRotation="0" wrapText="false" indent="0" shrinkToFit="false"/>
      <protection locked="true" hidden="false"/>
    </xf>
    <xf numFmtId="165" fontId="9" fillId="0" borderId="3" xfId="0" applyFont="true" applyBorder="true" applyAlignment="tru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5" fontId="10" fillId="0" borderId="3"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4" xfId="0" applyFont="true" applyBorder="tru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1" fontId="16"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7F0"/>
      <rgbColor rgb="FF660066"/>
      <rgbColor rgb="FFFF8080"/>
      <rgbColor rgb="FF0066CC"/>
      <rgbColor rgb="FFD9DDE3"/>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B1833"/>
      <rgbColor rgb="FF339966"/>
      <rgbColor rgb="FF003300"/>
      <rgbColor rgb="FF475569"/>
      <rgbColor rgb="FFA84A15"/>
      <rgbColor rgb="FF993366"/>
      <rgbColor rgb="FF1F4E9A"/>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0"/>
    <col collapsed="false" customWidth="true" hidden="false" outlineLevel="0" max="13" min="2" style="1" width="11.51"/>
    <col collapsed="false" customWidth="true" hidden="false" outlineLevel="0" max="14" min="14" style="1" width="13"/>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t="s">
        <v>3</v>
      </c>
      <c r="C4" s="5" t="s">
        <v>4</v>
      </c>
      <c r="D4" s="5" t="s">
        <v>5</v>
      </c>
      <c r="E4" s="5" t="s">
        <v>6</v>
      </c>
      <c r="F4" s="5" t="s">
        <v>7</v>
      </c>
      <c r="G4" s="5" t="s">
        <v>8</v>
      </c>
      <c r="H4" s="5" t="s">
        <v>9</v>
      </c>
      <c r="I4" s="5" t="s">
        <v>10</v>
      </c>
      <c r="J4" s="5" t="s">
        <v>11</v>
      </c>
      <c r="K4" s="5" t="s">
        <v>12</v>
      </c>
      <c r="L4" s="5" t="s">
        <v>13</v>
      </c>
      <c r="M4" s="5" t="s">
        <v>14</v>
      </c>
      <c r="N4" s="5" t="s">
        <v>15</v>
      </c>
    </row>
    <row r="5" customFormat="false" ht="15" hidden="false" customHeight="true" outlineLevel="0" collapsed="false">
      <c r="A5" s="6" t="s">
        <v>16</v>
      </c>
      <c r="B5" s="7"/>
      <c r="C5" s="7"/>
      <c r="D5" s="7"/>
      <c r="E5" s="7"/>
      <c r="F5" s="7"/>
      <c r="G5" s="7"/>
      <c r="H5" s="7"/>
      <c r="I5" s="7"/>
      <c r="J5" s="7"/>
      <c r="K5" s="7"/>
      <c r="L5" s="7"/>
      <c r="M5" s="7"/>
      <c r="N5" s="7"/>
    </row>
    <row r="6" customFormat="false" ht="15" hidden="false" customHeight="true" outlineLevel="0" collapsed="false">
      <c r="A6" s="8" t="s">
        <v>17</v>
      </c>
      <c r="B6" s="9" t="n">
        <f aca="false">LV!B6+LV!B7</f>
        <v>729468.98671865</v>
      </c>
      <c r="C6" s="9" t="n">
        <f aca="false">LV!C6+LV!C7</f>
        <v>748142.8531996</v>
      </c>
      <c r="D6" s="9" t="n">
        <f aca="false">LV!D6+LV!D7</f>
        <v>777487.7531996</v>
      </c>
      <c r="E6" s="9" t="n">
        <f aca="false">LV!E6+LV!E7</f>
        <v>860953.402927281</v>
      </c>
      <c r="F6" s="9" t="n">
        <f aca="false">LV!F6+LV!F7</f>
        <v>905139.332323031</v>
      </c>
      <c r="G6" s="9" t="n">
        <f aca="false">LV!G6+LV!G7</f>
        <v>1191181.62553618</v>
      </c>
      <c r="H6" s="9" t="n">
        <f aca="false">LV!H6+LV!H7</f>
        <v>1284896.61553618</v>
      </c>
      <c r="I6" s="9" t="n">
        <f aca="false">LV!I6+LV!I7</f>
        <v>1175156.16553618</v>
      </c>
      <c r="J6" s="9" t="n">
        <f aca="false">LV!J6+LV!J7</f>
        <v>1312244.98764093</v>
      </c>
      <c r="K6" s="9" t="n">
        <f aca="false">LV!K6+LV!K7</f>
        <v>1316550.28479984</v>
      </c>
      <c r="L6" s="9" t="n">
        <f aca="false">LV!L6+LV!L7</f>
        <v>1464245.96479984</v>
      </c>
      <c r="M6" s="9" t="n">
        <f aca="false">LV!M6+LV!M7</f>
        <v>1280719.04479985</v>
      </c>
      <c r="N6" s="10" t="n">
        <f aca="false">SUM(B6:M6)</f>
        <v>13046187.0170172</v>
      </c>
    </row>
    <row r="7" customFormat="false" ht="15" hidden="false" customHeight="true" outlineLevel="0" collapsed="false">
      <c r="A7" s="8" t="s">
        <v>18</v>
      </c>
      <c r="B7" s="9" t="n">
        <f aca="false">LV!B26+LV!B46+LV!B49+LV!B50</f>
        <v>-72850.0799999996</v>
      </c>
      <c r="C7" s="9" t="n">
        <f aca="false">LV!C26+LV!C46+LV!C49+LV!C50</f>
        <v>-62262.9299999992</v>
      </c>
      <c r="D7" s="9" t="n">
        <f aca="false">LV!D26+LV!D46+LV!D49+LV!D50</f>
        <v>-73133.2100000004</v>
      </c>
      <c r="E7" s="9" t="n">
        <f aca="false">LV!E26+LV!E46+LV!E49+LV!E50</f>
        <v>-62812.5599999996</v>
      </c>
      <c r="F7" s="9" t="n">
        <f aca="false">LV!F26+LV!F46+LV!F49+LV!F50</f>
        <v>-50942.2500000028</v>
      </c>
      <c r="G7" s="9" t="n">
        <f aca="false">LV!G26+LV!G46+LV!G49+LV!G50</f>
        <v>-51188.2999999989</v>
      </c>
      <c r="H7" s="9" t="n">
        <f aca="false">LV!H26+LV!H46+LV!H49+LV!H50</f>
        <v>-61690.6099999994</v>
      </c>
      <c r="I7" s="9" t="n">
        <f aca="false">LV!I26+LV!I46+LV!I49+LV!I50</f>
        <v>-55652.2199999997</v>
      </c>
      <c r="J7" s="9" t="n">
        <f aca="false">LV!J26+LV!J46+LV!J49+LV!J50</f>
        <v>-21274.5100000007</v>
      </c>
      <c r="K7" s="9" t="n">
        <f aca="false">LV!K26+LV!K46+LV!K49+LV!K50</f>
        <v>-2968.28000000026</v>
      </c>
      <c r="L7" s="9" t="n">
        <f aca="false">LV!L26+LV!L46+LV!L49+LV!L50</f>
        <v>3.7241534300847E-009</v>
      </c>
      <c r="M7" s="9" t="n">
        <f aca="false">LV!M26+LV!M46+LV!M49+LV!M50</f>
        <v>0</v>
      </c>
      <c r="N7" s="10" t="n">
        <f aca="false">SUM(B7:M7)</f>
        <v>-514774.949999997</v>
      </c>
    </row>
    <row r="8" customFormat="false" ht="15" hidden="false" customHeight="true" outlineLevel="0" collapsed="false">
      <c r="A8" s="8" t="s">
        <v>19</v>
      </c>
      <c r="B8" s="9" t="n">
        <f aca="false">LV!B48</f>
        <v>0</v>
      </c>
      <c r="C8" s="9" t="n">
        <f aca="false">LV!C48</f>
        <v>0</v>
      </c>
      <c r="D8" s="9" t="n">
        <f aca="false">LV!D48</f>
        <v>0</v>
      </c>
      <c r="E8" s="9" t="n">
        <f aca="false">LV!E48</f>
        <v>-332539.874568966</v>
      </c>
      <c r="F8" s="9" t="n">
        <f aca="false">LV!F48</f>
        <v>-204464.975800493</v>
      </c>
      <c r="G8" s="9" t="n">
        <f aca="false">LV!G48</f>
        <v>-583586.299509804</v>
      </c>
      <c r="H8" s="9" t="n">
        <f aca="false">LV!H48</f>
        <v>0</v>
      </c>
      <c r="I8" s="9" t="n">
        <f aca="false">LV!I48</f>
        <v>0</v>
      </c>
      <c r="J8" s="9" t="n">
        <f aca="false">LV!J48</f>
        <v>-251994.1533867</v>
      </c>
      <c r="K8" s="9" t="n">
        <f aca="false">LV!K48</f>
        <v>-242893.275862069</v>
      </c>
      <c r="L8" s="9" t="n">
        <f aca="false">LV!L48</f>
        <v>0</v>
      </c>
      <c r="M8" s="9" t="n">
        <f aca="false">LV!M48</f>
        <v>0</v>
      </c>
      <c r="N8" s="10" t="n">
        <f aca="false">SUM(B8:M8)</f>
        <v>-1615478.57912803</v>
      </c>
    </row>
    <row r="9" customFormat="false" ht="15" hidden="false" customHeight="true" outlineLevel="0" collapsed="false">
      <c r="A9" s="8" t="s">
        <v>20</v>
      </c>
      <c r="B9" s="9" t="n">
        <f aca="false">'Six Peak'!B11</f>
        <v>35864.1447368421</v>
      </c>
      <c r="C9" s="9" t="n">
        <f aca="false">'Six Peak'!C11</f>
        <v>39022.0394736842</v>
      </c>
      <c r="D9" s="9" t="n">
        <f aca="false">'Six Peak'!D11</f>
        <v>39022.0394736842</v>
      </c>
      <c r="E9" s="9" t="n">
        <f aca="false">'Six Peak'!E11</f>
        <v>39022.0394736842</v>
      </c>
      <c r="F9" s="9" t="n">
        <f aca="false">'Six Peak'!F11</f>
        <v>39022.0394736842</v>
      </c>
      <c r="G9" s="9" t="n">
        <f aca="false">'Six Peak'!G11</f>
        <v>39022.0394736842</v>
      </c>
      <c r="H9" s="9" t="n">
        <f aca="false">'Six Peak'!H11</f>
        <v>15115.7894736842</v>
      </c>
      <c r="I9" s="9" t="n">
        <f aca="false">'Six Peak'!I11</f>
        <v>15115.7894736842</v>
      </c>
      <c r="J9" s="9" t="n">
        <f aca="false">'Six Peak'!J11</f>
        <v>15115.7894736842</v>
      </c>
      <c r="K9" s="9" t="n">
        <f aca="false">'Six Peak'!K11</f>
        <v>15115.7894736842</v>
      </c>
      <c r="L9" s="9" t="n">
        <f aca="false">'Six Peak'!L11</f>
        <v>15115.7894736842</v>
      </c>
      <c r="M9" s="9" t="n">
        <f aca="false">'Six Peak'!M11</f>
        <v>72490.7894736842</v>
      </c>
      <c r="N9" s="10" t="n">
        <f aca="false">SUM(B9:M9)</f>
        <v>379044.078947369</v>
      </c>
    </row>
    <row r="10" customFormat="false" ht="15" hidden="false" customHeight="true" outlineLevel="0" collapsed="false">
      <c r="A10" s="8" t="s">
        <v>21</v>
      </c>
      <c r="B10" s="9" t="n">
        <f aca="false">APA!B8</f>
        <v>0</v>
      </c>
      <c r="C10" s="9" t="n">
        <f aca="false">APA!C8</f>
        <v>0</v>
      </c>
      <c r="D10" s="9" t="n">
        <f aca="false">APA!D8</f>
        <v>800</v>
      </c>
      <c r="E10" s="9" t="n">
        <f aca="false">APA!E8</f>
        <v>0</v>
      </c>
      <c r="F10" s="9" t="n">
        <f aca="false">APA!F8</f>
        <v>0</v>
      </c>
      <c r="G10" s="9" t="n">
        <f aca="false">APA!G8</f>
        <v>0</v>
      </c>
      <c r="H10" s="9" t="n">
        <f aca="false">APA!H8</f>
        <v>0</v>
      </c>
      <c r="I10" s="9" t="n">
        <f aca="false">APA!I8</f>
        <v>0</v>
      </c>
      <c r="J10" s="9" t="n">
        <f aca="false">APA!J8</f>
        <v>0</v>
      </c>
      <c r="K10" s="9" t="n">
        <f aca="false">APA!K8</f>
        <v>0</v>
      </c>
      <c r="L10" s="9" t="n">
        <f aca="false">APA!L8</f>
        <v>0</v>
      </c>
      <c r="M10" s="9" t="n">
        <f aca="false">APA!M8</f>
        <v>0</v>
      </c>
      <c r="N10" s="10" t="n">
        <f aca="false">SUM(B10:M10)</f>
        <v>800</v>
      </c>
    </row>
    <row r="11" customFormat="false" ht="15" hidden="false" customHeight="true" outlineLevel="0" collapsed="false">
      <c r="A11" s="11" t="s">
        <v>22</v>
      </c>
      <c r="B11" s="12" t="n">
        <f aca="false">SUM(B6:B10)</f>
        <v>692483.051455493</v>
      </c>
      <c r="C11" s="12" t="n">
        <f aca="false">SUM(C6:C10)</f>
        <v>724901.962673285</v>
      </c>
      <c r="D11" s="12" t="n">
        <f aca="false">SUM(D6:D10)</f>
        <v>744176.582673284</v>
      </c>
      <c r="E11" s="12" t="n">
        <f aca="false">SUM(E6:E10)</f>
        <v>504623.007832</v>
      </c>
      <c r="F11" s="12" t="n">
        <f aca="false">SUM(F6:F10)</f>
        <v>688754.14599622</v>
      </c>
      <c r="G11" s="12" t="n">
        <f aca="false">SUM(G6:G10)</f>
        <v>595429.065500062</v>
      </c>
      <c r="H11" s="12" t="n">
        <f aca="false">SUM(H6:H10)</f>
        <v>1238321.79500987</v>
      </c>
      <c r="I11" s="12" t="n">
        <f aca="false">SUM(I6:I10)</f>
        <v>1134619.73500987</v>
      </c>
      <c r="J11" s="12" t="n">
        <f aca="false">SUM(J6:J10)</f>
        <v>1054092.11372791</v>
      </c>
      <c r="K11" s="12" t="n">
        <f aca="false">SUM(K6:K10)</f>
        <v>1085804.51841146</v>
      </c>
      <c r="L11" s="12" t="n">
        <f aca="false">SUM(L6:L10)</f>
        <v>1479361.75427353</v>
      </c>
      <c r="M11" s="12" t="n">
        <f aca="false">SUM(M6:M10)</f>
        <v>1353209.83427353</v>
      </c>
      <c r="N11" s="12" t="n">
        <f aca="false">SUM(B11:M11)</f>
        <v>11295777.5668365</v>
      </c>
    </row>
    <row r="12" customFormat="false" ht="15" hidden="false" customHeight="true" outlineLevel="0" collapsed="false">
      <c r="A12" s="6" t="s">
        <v>23</v>
      </c>
      <c r="B12" s="7"/>
      <c r="C12" s="7"/>
      <c r="D12" s="7"/>
      <c r="E12" s="7"/>
      <c r="F12" s="7"/>
      <c r="G12" s="7"/>
      <c r="H12" s="7"/>
      <c r="I12" s="7"/>
      <c r="J12" s="7"/>
      <c r="K12" s="7"/>
      <c r="L12" s="7"/>
      <c r="M12" s="7"/>
      <c r="N12" s="7"/>
    </row>
    <row r="13" customFormat="false" ht="15" hidden="false" customHeight="true" outlineLevel="0" collapsed="false">
      <c r="A13" s="8" t="s">
        <v>24</v>
      </c>
      <c r="B13" s="9" t="n">
        <f aca="false">SUM(LV!B53:B57)+LV!B84</f>
        <v>-307682.011333333</v>
      </c>
      <c r="C13" s="9" t="n">
        <f aca="false">SUM(LV!C53:C57)+LV!C84</f>
        <v>-319275.761333334</v>
      </c>
      <c r="D13" s="9" t="n">
        <f aca="false">SUM(LV!D53:D57)+LV!D84</f>
        <v>-319275.761333334</v>
      </c>
      <c r="E13" s="9" t="n">
        <f aca="false">SUM(LV!E53:E57)+LV!E84</f>
        <v>-334115.761333333</v>
      </c>
      <c r="F13" s="9" t="n">
        <f aca="false">SUM(LV!F53:F57)+LV!F84</f>
        <v>-360549.511333333</v>
      </c>
      <c r="G13" s="9" t="n">
        <f aca="false">SUM(LV!G53:G57)+LV!G84</f>
        <v>-413880.761333334</v>
      </c>
      <c r="H13" s="9" t="n">
        <f aca="false">SUM(LV!H53:H57)+LV!H84</f>
        <v>-413880.761333334</v>
      </c>
      <c r="I13" s="9" t="n">
        <f aca="false">SUM(LV!I53:I57)+LV!I84</f>
        <v>-413880.761333334</v>
      </c>
      <c r="J13" s="9" t="n">
        <f aca="false">SUM(LV!J53:J57)+LV!J84</f>
        <v>-413880.761333334</v>
      </c>
      <c r="K13" s="9" t="n">
        <f aca="false">SUM(LV!K53:K57)+LV!K84</f>
        <v>-469067.011333333</v>
      </c>
      <c r="L13" s="9" t="n">
        <f aca="false">SUM(LV!L53:L57)+LV!L84</f>
        <v>-469067.011333333</v>
      </c>
      <c r="M13" s="9" t="n">
        <f aca="false">SUM(LV!M53:M57)+LV!M84</f>
        <v>-669067.011333333</v>
      </c>
      <c r="N13" s="10" t="n">
        <f aca="false">SUM(B13:M13)</f>
        <v>-4903622.886</v>
      </c>
    </row>
    <row r="14" customFormat="false" ht="15" hidden="false" customHeight="true" outlineLevel="0" collapsed="false">
      <c r="A14" s="8" t="s">
        <v>25</v>
      </c>
      <c r="B14" s="9" t="n">
        <f aca="false">SUM('Six Peak'!B13:B17)</f>
        <v>-72134.875</v>
      </c>
      <c r="C14" s="9" t="n">
        <f aca="false">SUM('Six Peak'!C13:C17)</f>
        <v>-72134.875</v>
      </c>
      <c r="D14" s="9" t="n">
        <f aca="false">SUM('Six Peak'!D13:D17)</f>
        <v>-72134.875</v>
      </c>
      <c r="E14" s="9" t="n">
        <f aca="false">SUM('Six Peak'!E13:E17)</f>
        <v>-72134.875</v>
      </c>
      <c r="F14" s="9" t="n">
        <f aca="false">SUM('Six Peak'!F13:F17)</f>
        <v>-72134.875</v>
      </c>
      <c r="G14" s="9" t="n">
        <f aca="false">SUM('Six Peak'!G13:G17)</f>
        <v>-72134.875</v>
      </c>
      <c r="H14" s="9" t="n">
        <f aca="false">SUM('Six Peak'!H13:H17)</f>
        <v>-72134.875</v>
      </c>
      <c r="I14" s="9" t="n">
        <f aca="false">SUM('Six Peak'!I13:I17)</f>
        <v>-72134.875</v>
      </c>
      <c r="J14" s="9" t="n">
        <f aca="false">SUM('Six Peak'!J13:J17)</f>
        <v>-72134.875</v>
      </c>
      <c r="K14" s="9" t="n">
        <f aca="false">SUM('Six Peak'!K13:K17)</f>
        <v>-72134.875</v>
      </c>
      <c r="L14" s="9" t="n">
        <f aca="false">SUM('Six Peak'!L13:L17)</f>
        <v>-72134.875</v>
      </c>
      <c r="M14" s="9" t="n">
        <f aca="false">SUM('Six Peak'!M13:M17)</f>
        <v>-72134.875</v>
      </c>
      <c r="N14" s="10" t="n">
        <f aca="false">SUM(B14:M14)</f>
        <v>-865618.5</v>
      </c>
    </row>
    <row r="15" customFormat="false" ht="15" hidden="false" customHeight="true" outlineLevel="0" collapsed="false">
      <c r="A15" s="8" t="s">
        <v>26</v>
      </c>
      <c r="B15" s="9" t="n">
        <f aca="false">'Six Peak'!B34</f>
        <v>-66666.6666666667</v>
      </c>
      <c r="C15" s="9" t="n">
        <f aca="false">'Six Peak'!C34</f>
        <v>-66666.6666666667</v>
      </c>
      <c r="D15" s="9" t="n">
        <f aca="false">'Six Peak'!D34</f>
        <v>-66666.6666666667</v>
      </c>
      <c r="E15" s="9" t="n">
        <f aca="false">'Six Peak'!E34</f>
        <v>-66666.6666666667</v>
      </c>
      <c r="F15" s="9" t="n">
        <f aca="false">'Six Peak'!F34</f>
        <v>-66666.6666666667</v>
      </c>
      <c r="G15" s="9" t="n">
        <f aca="false">'Six Peak'!G34</f>
        <v>-66666.6666666667</v>
      </c>
      <c r="H15" s="9" t="n">
        <f aca="false">'Six Peak'!H34</f>
        <v>-66666.6666666667</v>
      </c>
      <c r="I15" s="9" t="n">
        <f aca="false">'Six Peak'!I34</f>
        <v>-66666.6666666667</v>
      </c>
      <c r="J15" s="9" t="n">
        <f aca="false">'Six Peak'!J34</f>
        <v>-66666.6666666667</v>
      </c>
      <c r="K15" s="9" t="n">
        <f aca="false">'Six Peak'!K34</f>
        <v>-66666.6666666667</v>
      </c>
      <c r="L15" s="9" t="n">
        <f aca="false">'Six Peak'!L34</f>
        <v>-66666.6666666667</v>
      </c>
      <c r="M15" s="9" t="n">
        <f aca="false">'Six Peak'!M34</f>
        <v>-66666.6666666667</v>
      </c>
      <c r="N15" s="10" t="n">
        <f aca="false">SUM(B15:M15)</f>
        <v>-800000.000000001</v>
      </c>
    </row>
    <row r="16" customFormat="false" ht="15" hidden="false" customHeight="true" outlineLevel="0" collapsed="false">
      <c r="A16" s="8" t="s">
        <v>27</v>
      </c>
      <c r="B16" s="9" t="n">
        <f aca="false">LV!B58+'Six Peak'!B29</f>
        <v>-44750</v>
      </c>
      <c r="C16" s="9" t="n">
        <f aca="false">LV!C58+'Six Peak'!C29</f>
        <v>-44750</v>
      </c>
      <c r="D16" s="9" t="n">
        <f aca="false">LV!D58+'Six Peak'!D29</f>
        <v>-44750</v>
      </c>
      <c r="E16" s="9" t="n">
        <f aca="false">LV!E58+'Six Peak'!E29</f>
        <v>-44750</v>
      </c>
      <c r="F16" s="9" t="n">
        <f aca="false">LV!F58+'Six Peak'!F29</f>
        <v>-44750</v>
      </c>
      <c r="G16" s="9" t="n">
        <f aca="false">LV!G58+'Six Peak'!G29</f>
        <v>-44750</v>
      </c>
      <c r="H16" s="9" t="n">
        <f aca="false">LV!H58+'Six Peak'!H29</f>
        <v>-44750</v>
      </c>
      <c r="I16" s="9" t="n">
        <f aca="false">LV!I58+'Six Peak'!I29</f>
        <v>-44750</v>
      </c>
      <c r="J16" s="9" t="n">
        <f aca="false">LV!J58+'Six Peak'!J29</f>
        <v>-44750</v>
      </c>
      <c r="K16" s="9" t="n">
        <f aca="false">LV!K58+'Six Peak'!K29</f>
        <v>-44750</v>
      </c>
      <c r="L16" s="9" t="n">
        <f aca="false">LV!L58+'Six Peak'!L29</f>
        <v>-44750</v>
      </c>
      <c r="M16" s="9" t="n">
        <f aca="false">LV!M58+'Six Peak'!M29</f>
        <v>-44750</v>
      </c>
      <c r="N16" s="10" t="n">
        <f aca="false">SUM(B16:M16)</f>
        <v>-537000</v>
      </c>
    </row>
    <row r="17" customFormat="false" ht="15" hidden="false" customHeight="true" outlineLevel="0" collapsed="false">
      <c r="A17" s="8" t="s">
        <v>28</v>
      </c>
      <c r="B17" s="9" t="n">
        <f aca="false">LV!B59+'Six Peak'!B18</f>
        <v>-23500</v>
      </c>
      <c r="C17" s="9" t="n">
        <f aca="false">LV!C59+'Six Peak'!C18</f>
        <v>-21750</v>
      </c>
      <c r="D17" s="9" t="n">
        <f aca="false">LV!D59+'Six Peak'!D18</f>
        <v>-21750</v>
      </c>
      <c r="E17" s="9" t="n">
        <f aca="false">LV!E59+'Six Peak'!E18</f>
        <v>-21750</v>
      </c>
      <c r="F17" s="9" t="n">
        <f aca="false">LV!F59+'Six Peak'!F18</f>
        <v>-20000</v>
      </c>
      <c r="G17" s="9" t="n">
        <f aca="false">LV!G59+'Six Peak'!G18</f>
        <v>-20000</v>
      </c>
      <c r="H17" s="9" t="n">
        <f aca="false">LV!H59+'Six Peak'!H18</f>
        <v>-20000</v>
      </c>
      <c r="I17" s="9" t="n">
        <f aca="false">LV!I59+'Six Peak'!I18</f>
        <v>-20000</v>
      </c>
      <c r="J17" s="9" t="n">
        <f aca="false">LV!J59+'Six Peak'!J18</f>
        <v>-20000</v>
      </c>
      <c r="K17" s="9" t="n">
        <f aca="false">LV!K59+'Six Peak'!K18</f>
        <v>-20000</v>
      </c>
      <c r="L17" s="9" t="n">
        <f aca="false">LV!L59+'Six Peak'!L18</f>
        <v>-20000</v>
      </c>
      <c r="M17" s="9" t="n">
        <f aca="false">LV!M59+'Six Peak'!M18</f>
        <v>-20000</v>
      </c>
      <c r="N17" s="10" t="n">
        <f aca="false">SUM(B17:M17)</f>
        <v>-248750</v>
      </c>
    </row>
    <row r="18" customFormat="false" ht="15" hidden="false" customHeight="true" outlineLevel="0" collapsed="false">
      <c r="A18" s="8" t="s">
        <v>29</v>
      </c>
      <c r="B18" s="9" t="n">
        <f aca="false">LV!B83</f>
        <v>-27500</v>
      </c>
      <c r="C18" s="9" t="n">
        <f aca="false">LV!C83</f>
        <v>-27500</v>
      </c>
      <c r="D18" s="9" t="n">
        <f aca="false">LV!D83</f>
        <v>-4000</v>
      </c>
      <c r="E18" s="9" t="n">
        <f aca="false">LV!E83</f>
        <v>-4000</v>
      </c>
      <c r="F18" s="9" t="n">
        <f aca="false">LV!F83</f>
        <v>-4000</v>
      </c>
      <c r="G18" s="9" t="n">
        <f aca="false">LV!G83</f>
        <v>-4000</v>
      </c>
      <c r="H18" s="9" t="n">
        <f aca="false">LV!H83</f>
        <v>-4000</v>
      </c>
      <c r="I18" s="9" t="n">
        <f aca="false">LV!I83</f>
        <v>-4000</v>
      </c>
      <c r="J18" s="9" t="n">
        <f aca="false">LV!J83</f>
        <v>-4000</v>
      </c>
      <c r="K18" s="9" t="n">
        <f aca="false">LV!K83</f>
        <v>-4000</v>
      </c>
      <c r="L18" s="9" t="n">
        <f aca="false">LV!L83</f>
        <v>-4000</v>
      </c>
      <c r="M18" s="9" t="n">
        <f aca="false">LV!M83</f>
        <v>-4000</v>
      </c>
      <c r="N18" s="10" t="n">
        <f aca="false">SUM(B18:M18)</f>
        <v>-95000</v>
      </c>
    </row>
    <row r="19" customFormat="false" ht="15" hidden="false" customHeight="true" outlineLevel="0" collapsed="false">
      <c r="A19" s="8" t="s">
        <v>30</v>
      </c>
      <c r="B19" s="9" t="n">
        <f aca="false">LV!B71+LV!B82</f>
        <v>0</v>
      </c>
      <c r="C19" s="9" t="n">
        <f aca="false">LV!C71+LV!C82</f>
        <v>-9375</v>
      </c>
      <c r="D19" s="9" t="n">
        <f aca="false">LV!D71+LV!D82</f>
        <v>0</v>
      </c>
      <c r="E19" s="9" t="n">
        <f aca="false">LV!E71+LV!E82</f>
        <v>-12000</v>
      </c>
      <c r="F19" s="9" t="n">
        <f aca="false">LV!F71+LV!F82</f>
        <v>-21375</v>
      </c>
      <c r="G19" s="9" t="n">
        <f aca="false">LV!G71+LV!G82</f>
        <v>-43125</v>
      </c>
      <c r="H19" s="9" t="n">
        <f aca="false">LV!H71+LV!H82</f>
        <v>0</v>
      </c>
      <c r="I19" s="9" t="n">
        <f aca="false">LV!I71+LV!I82</f>
        <v>0</v>
      </c>
      <c r="J19" s="9" t="n">
        <f aca="false">LV!J71+LV!J82</f>
        <v>0</v>
      </c>
      <c r="K19" s="9" t="n">
        <f aca="false">LV!K71+LV!K82</f>
        <v>-44625</v>
      </c>
      <c r="L19" s="9" t="n">
        <f aca="false">LV!L71+LV!L82</f>
        <v>-62565.82645</v>
      </c>
      <c r="M19" s="9" t="n">
        <f aca="false">LV!M71+LV!M82</f>
        <v>0</v>
      </c>
      <c r="N19" s="10" t="n">
        <f aca="false">SUM(B19:M19)</f>
        <v>-193065.82645</v>
      </c>
    </row>
    <row r="20" customFormat="false" ht="15" hidden="false" customHeight="true" outlineLevel="0" collapsed="false">
      <c r="A20" s="8" t="s">
        <v>31</v>
      </c>
      <c r="B20" s="9" t="n">
        <f aca="false">B21-SUM(B13:B19)</f>
        <v>-73538.28</v>
      </c>
      <c r="C20" s="9" t="n">
        <f aca="false">C21-SUM(C13:C19)</f>
        <v>-73538.28</v>
      </c>
      <c r="D20" s="9" t="n">
        <f aca="false">D21-SUM(D13:D19)</f>
        <v>-73538.28</v>
      </c>
      <c r="E20" s="9" t="n">
        <f aca="false">E21-SUM(E13:E19)</f>
        <v>-73538.28</v>
      </c>
      <c r="F20" s="9" t="n">
        <f aca="false">F21-SUM(F13:F19)</f>
        <v>-73538.28</v>
      </c>
      <c r="G20" s="9" t="n">
        <f aca="false">G21-SUM(G13:G19)</f>
        <v>-73538.28</v>
      </c>
      <c r="H20" s="9" t="n">
        <f aca="false">H21-SUM(H13:H19)</f>
        <v>-73538.28</v>
      </c>
      <c r="I20" s="9" t="n">
        <f aca="false">I21-SUM(I13:I19)</f>
        <v>-73538.28</v>
      </c>
      <c r="J20" s="9" t="n">
        <f aca="false">J21-SUM(J13:J19)</f>
        <v>-73538.28</v>
      </c>
      <c r="K20" s="9" t="n">
        <f aca="false">K21-SUM(K13:K19)</f>
        <v>-73538.2799999999</v>
      </c>
      <c r="L20" s="9" t="n">
        <f aca="false">L21-SUM(L13:L19)</f>
        <v>-73538.2799999999</v>
      </c>
      <c r="M20" s="9" t="n">
        <f aca="false">M21-SUM(M13:M19)</f>
        <v>-73538.2799999999</v>
      </c>
      <c r="N20" s="10" t="n">
        <f aca="false">SUM(B20:M20)</f>
        <v>-882459.36</v>
      </c>
    </row>
    <row r="21" customFormat="false" ht="15" hidden="false" customHeight="true" outlineLevel="0" collapsed="false">
      <c r="A21" s="11" t="s">
        <v>32</v>
      </c>
      <c r="B21" s="12" t="n">
        <f aca="false">LV!B85+'Six Peak'!B37+APA!B9</f>
        <v>-615771.833</v>
      </c>
      <c r="C21" s="12" t="n">
        <f aca="false">LV!C85+'Six Peak'!C37+APA!C9</f>
        <v>-634990.583</v>
      </c>
      <c r="D21" s="12" t="n">
        <f aca="false">LV!D85+'Six Peak'!D37+APA!D9</f>
        <v>-602115.583</v>
      </c>
      <c r="E21" s="12" t="n">
        <f aca="false">LV!E85+'Six Peak'!E37+APA!E9</f>
        <v>-628955.583</v>
      </c>
      <c r="F21" s="12" t="n">
        <f aca="false">LV!F85+'Six Peak'!F37+APA!F9</f>
        <v>-663014.333</v>
      </c>
      <c r="G21" s="12" t="n">
        <f aca="false">LV!G85+'Six Peak'!G37+APA!G9</f>
        <v>-738095.583</v>
      </c>
      <c r="H21" s="12" t="n">
        <f aca="false">LV!H85+'Six Peak'!H37+APA!H9</f>
        <v>-694970.583</v>
      </c>
      <c r="I21" s="12" t="n">
        <f aca="false">LV!I85+'Six Peak'!I37+APA!I9</f>
        <v>-694970.583</v>
      </c>
      <c r="J21" s="12" t="n">
        <f aca="false">LV!J85+'Six Peak'!J37+APA!J9</f>
        <v>-694970.583</v>
      </c>
      <c r="K21" s="12" t="n">
        <f aca="false">LV!K85+'Six Peak'!K37+APA!K9</f>
        <v>-794781.833</v>
      </c>
      <c r="L21" s="12" t="n">
        <f aca="false">LV!L85+'Six Peak'!L37+APA!L9</f>
        <v>-812722.65945</v>
      </c>
      <c r="M21" s="12" t="n">
        <f aca="false">LV!M85+'Six Peak'!M37+APA!M9</f>
        <v>-950156.833</v>
      </c>
      <c r="N21" s="12" t="n">
        <f aca="false">SUM(B21:M21)</f>
        <v>-8525516.57245</v>
      </c>
    </row>
    <row r="22" customFormat="false" ht="15" hidden="false" customHeight="true" outlineLevel="0" collapsed="false">
      <c r="A22" s="6" t="s">
        <v>33</v>
      </c>
      <c r="B22" s="7"/>
      <c r="C22" s="7"/>
      <c r="D22" s="7"/>
      <c r="E22" s="7"/>
      <c r="F22" s="7"/>
      <c r="G22" s="7"/>
      <c r="H22" s="7"/>
      <c r="I22" s="7"/>
      <c r="J22" s="7"/>
      <c r="K22" s="7"/>
      <c r="L22" s="7"/>
      <c r="M22" s="7"/>
      <c r="N22" s="7"/>
    </row>
    <row r="23" customFormat="false" ht="15" hidden="false" customHeight="true" outlineLevel="0" collapsed="false">
      <c r="A23" s="8" t="s">
        <v>34</v>
      </c>
      <c r="B23" s="9" t="n">
        <f aca="false">LV!B86</f>
        <v>240471.06871865</v>
      </c>
      <c r="C23" s="9" t="n">
        <f aca="false">LV!C86</f>
        <v>248763.335199601</v>
      </c>
      <c r="D23" s="9" t="n">
        <f aca="false">LV!D86</f>
        <v>300112.955199599</v>
      </c>
      <c r="E23" s="9" t="n">
        <f aca="false">LV!E86</f>
        <v>34519.3803583157</v>
      </c>
      <c r="F23" s="9" t="n">
        <f aca="false">LV!F86</f>
        <v>182841.768522535</v>
      </c>
      <c r="G23" s="9" t="n">
        <f aca="false">LV!G86</f>
        <v>14435.4380263787</v>
      </c>
      <c r="H23" s="9" t="n">
        <f aca="false">LV!H86</f>
        <v>724359.417536182</v>
      </c>
      <c r="I23" s="9" t="n">
        <f aca="false">LV!I86</f>
        <v>620657.35753618</v>
      </c>
      <c r="J23" s="9" t="n">
        <f aca="false">LV!J86</f>
        <v>540129.736254229</v>
      </c>
      <c r="K23" s="9" t="n">
        <f aca="false">LV!K86</f>
        <v>472030.890937775</v>
      </c>
      <c r="L23" s="9" t="n">
        <f aca="false">LV!L86</f>
        <v>847647.300349847</v>
      </c>
      <c r="M23" s="9" t="n">
        <f aca="false">LV!M86</f>
        <v>526686.206799846</v>
      </c>
      <c r="N23" s="10" t="n">
        <f aca="false">SUM(B23:M23)</f>
        <v>4752654.85543914</v>
      </c>
    </row>
    <row r="24" customFormat="false" ht="15" hidden="false" customHeight="true" outlineLevel="0" collapsed="false">
      <c r="A24" s="8" t="s">
        <v>35</v>
      </c>
      <c r="B24" s="9" t="n">
        <f aca="false">'Six Peak'!B38</f>
        <v>-163759.850263158</v>
      </c>
      <c r="C24" s="9" t="n">
        <f aca="false">'Six Peak'!C38</f>
        <v>-158851.955526316</v>
      </c>
      <c r="D24" s="9" t="n">
        <f aca="false">'Six Peak'!D38</f>
        <v>-158851.955526316</v>
      </c>
      <c r="E24" s="9" t="n">
        <f aca="false">'Six Peak'!E38</f>
        <v>-158851.955526316</v>
      </c>
      <c r="F24" s="9" t="n">
        <f aca="false">'Six Peak'!F38</f>
        <v>-157101.955526316</v>
      </c>
      <c r="G24" s="9" t="n">
        <f aca="false">'Six Peak'!G38</f>
        <v>-157101.955526316</v>
      </c>
      <c r="H24" s="9" t="n">
        <f aca="false">'Six Peak'!H38</f>
        <v>-181008.205526316</v>
      </c>
      <c r="I24" s="9" t="n">
        <f aca="false">'Six Peak'!I38</f>
        <v>-181008.205526316</v>
      </c>
      <c r="J24" s="9" t="n">
        <f aca="false">'Six Peak'!J38</f>
        <v>-181008.205526316</v>
      </c>
      <c r="K24" s="9" t="n">
        <f aca="false">'Six Peak'!K38</f>
        <v>-181008.205526316</v>
      </c>
      <c r="L24" s="9" t="n">
        <f aca="false">'Six Peak'!L38</f>
        <v>-181008.205526316</v>
      </c>
      <c r="M24" s="9" t="n">
        <f aca="false">'Six Peak'!M38</f>
        <v>-123633.205526316</v>
      </c>
      <c r="N24" s="10" t="n">
        <f aca="false">SUM(B24:M24)</f>
        <v>-1983193.86105263</v>
      </c>
    </row>
    <row r="25" customFormat="false" ht="15" hidden="false" customHeight="true" outlineLevel="0" collapsed="false">
      <c r="A25" s="8" t="s">
        <v>21</v>
      </c>
      <c r="B25" s="9" t="n">
        <f aca="false">APA!B10</f>
        <v>0</v>
      </c>
      <c r="C25" s="9" t="n">
        <f aca="false">APA!C10</f>
        <v>0</v>
      </c>
      <c r="D25" s="9" t="n">
        <f aca="false">APA!D10</f>
        <v>800</v>
      </c>
      <c r="E25" s="9" t="n">
        <f aca="false">APA!E10</f>
        <v>0</v>
      </c>
      <c r="F25" s="9" t="n">
        <f aca="false">APA!F10</f>
        <v>0</v>
      </c>
      <c r="G25" s="9" t="n">
        <f aca="false">APA!G10</f>
        <v>0</v>
      </c>
      <c r="H25" s="9" t="n">
        <f aca="false">APA!H10</f>
        <v>0</v>
      </c>
      <c r="I25" s="9" t="n">
        <f aca="false">APA!I10</f>
        <v>0</v>
      </c>
      <c r="J25" s="9" t="n">
        <f aca="false">APA!J10</f>
        <v>0</v>
      </c>
      <c r="K25" s="9" t="n">
        <f aca="false">APA!K10</f>
        <v>0</v>
      </c>
      <c r="L25" s="9" t="n">
        <f aca="false">APA!L10</f>
        <v>0</v>
      </c>
      <c r="M25" s="9" t="n">
        <f aca="false">APA!M10</f>
        <v>0</v>
      </c>
      <c r="N25" s="10" t="n">
        <f aca="false">SUM(B25:M25)</f>
        <v>800</v>
      </c>
    </row>
    <row r="26" customFormat="false" ht="15" hidden="false" customHeight="true" outlineLevel="0" collapsed="false">
      <c r="A26" s="11" t="s">
        <v>36</v>
      </c>
      <c r="B26" s="12" t="n">
        <f aca="false">SUM(B23:B25)</f>
        <v>76711.2184554924</v>
      </c>
      <c r="C26" s="12" t="n">
        <f aca="false">SUM(C23:C25)</f>
        <v>89911.3796732849</v>
      </c>
      <c r="D26" s="12" t="n">
        <f aca="false">SUM(D23:D25)</f>
        <v>142060.999673283</v>
      </c>
      <c r="E26" s="12" t="n">
        <f aca="false">SUM(E23:E25)</f>
        <v>-124332.575168</v>
      </c>
      <c r="F26" s="12" t="n">
        <f aca="false">SUM(F23:F25)</f>
        <v>25739.8129962189</v>
      </c>
      <c r="G26" s="12" t="n">
        <f aca="false">SUM(G23:G25)</f>
        <v>-142666.517499937</v>
      </c>
      <c r="H26" s="12" t="n">
        <f aca="false">SUM(H23:H25)</f>
        <v>543351.212009866</v>
      </c>
      <c r="I26" s="12" t="n">
        <f aca="false">SUM(I23:I25)</f>
        <v>439649.152009864</v>
      </c>
      <c r="J26" s="12" t="n">
        <f aca="false">SUM(J23:J25)</f>
        <v>359121.530727914</v>
      </c>
      <c r="K26" s="12" t="n">
        <f aca="false">SUM(K23:K25)</f>
        <v>291022.685411459</v>
      </c>
      <c r="L26" s="12" t="n">
        <f aca="false">SUM(L23:L25)</f>
        <v>666639.094823532</v>
      </c>
      <c r="M26" s="12" t="n">
        <f aca="false">SUM(M23:M25)</f>
        <v>403053.00127353</v>
      </c>
      <c r="N26" s="12" t="n">
        <f aca="false">SUM(B26:M26)</f>
        <v>2770260.99438651</v>
      </c>
    </row>
    <row r="27" customFormat="false" ht="15" hidden="false" customHeight="true" outlineLevel="0" collapsed="false">
      <c r="A27" s="13"/>
      <c r="B27" s="13"/>
      <c r="C27" s="13"/>
      <c r="D27" s="13"/>
      <c r="E27" s="13"/>
      <c r="F27" s="13"/>
      <c r="G27" s="13"/>
      <c r="H27" s="13"/>
      <c r="I27" s="13"/>
      <c r="J27" s="13"/>
      <c r="K27" s="13"/>
      <c r="L27" s="13"/>
      <c r="M27" s="13"/>
      <c r="N27" s="13"/>
    </row>
    <row r="28" customFormat="false" ht="15" hidden="false" customHeight="true" outlineLevel="0" collapsed="false">
      <c r="A28" s="6" t="s">
        <v>37</v>
      </c>
      <c r="B28" s="14"/>
      <c r="C28" s="14"/>
      <c r="D28" s="14"/>
      <c r="E28" s="14"/>
      <c r="F28" s="14"/>
      <c r="G28" s="14"/>
      <c r="H28" s="14"/>
      <c r="I28" s="14"/>
      <c r="J28" s="14"/>
      <c r="K28" s="14"/>
      <c r="L28" s="14"/>
      <c r="M28" s="14"/>
      <c r="N28" s="14"/>
    </row>
    <row r="29" customFormat="false" ht="15" hidden="false" customHeight="true" outlineLevel="0" collapsed="false">
      <c r="A29" s="15" t="s">
        <v>38</v>
      </c>
      <c r="B29" s="10" t="n">
        <v>1786036.53802501</v>
      </c>
      <c r="C29" s="10" t="n">
        <f aca="false">B38</f>
        <v>210374.721188719</v>
      </c>
      <c r="D29" s="10" t="n">
        <f aca="false">C38</f>
        <v>234071.981721074</v>
      </c>
      <c r="E29" s="10" t="n">
        <f aca="false">D38</f>
        <v>319227.033734377</v>
      </c>
      <c r="F29" s="10" t="n">
        <f aca="false">E38</f>
        <v>391097.703261298</v>
      </c>
      <c r="G29" s="10" t="n">
        <f aca="false">F38</f>
        <v>187930.461477145</v>
      </c>
      <c r="H29" s="10" t="n">
        <f aca="false">G38</f>
        <v>109981.526696559</v>
      </c>
      <c r="I29" s="10" t="n">
        <f aca="false">H38</f>
        <v>-77202.1815801902</v>
      </c>
      <c r="J29" s="10" t="n">
        <f aca="false">I38</f>
        <v>376854.150152866</v>
      </c>
      <c r="K29" s="10" t="n">
        <f aca="false">J38</f>
        <v>776849.654780683</v>
      </c>
      <c r="L29" s="10" t="n">
        <f aca="false">K38</f>
        <v>951480.188268608</v>
      </c>
      <c r="M29" s="10" t="n">
        <f aca="false">L38</f>
        <v>1039991.63899008</v>
      </c>
      <c r="N29" s="10" t="n">
        <f aca="false">B29</f>
        <v>1786036.53802501</v>
      </c>
    </row>
    <row r="30" customFormat="false" ht="15" hidden="false" customHeight="true" outlineLevel="0" collapsed="false">
      <c r="A30" s="8" t="s">
        <v>39</v>
      </c>
      <c r="B30" s="9" t="n">
        <f aca="false">B26</f>
        <v>76711.2184554924</v>
      </c>
      <c r="C30" s="9" t="n">
        <f aca="false">C26</f>
        <v>89911.3796732849</v>
      </c>
      <c r="D30" s="9" t="n">
        <f aca="false">D26</f>
        <v>142060.999673283</v>
      </c>
      <c r="E30" s="9" t="n">
        <f aca="false">E26</f>
        <v>-124332.575168</v>
      </c>
      <c r="F30" s="9" t="n">
        <f aca="false">F26</f>
        <v>25739.8129962189</v>
      </c>
      <c r="G30" s="9" t="n">
        <f aca="false">G26</f>
        <v>-142666.517499937</v>
      </c>
      <c r="H30" s="9" t="n">
        <f aca="false">H26</f>
        <v>543351.212009866</v>
      </c>
      <c r="I30" s="9" t="n">
        <f aca="false">I26</f>
        <v>439649.152009864</v>
      </c>
      <c r="J30" s="9" t="n">
        <f aca="false">J26</f>
        <v>359121.530727914</v>
      </c>
      <c r="K30" s="9" t="n">
        <f aca="false">K26</f>
        <v>291022.685411459</v>
      </c>
      <c r="L30" s="9" t="n">
        <f aca="false">L26</f>
        <v>666639.094823532</v>
      </c>
      <c r="M30" s="9" t="n">
        <f aca="false">M26</f>
        <v>403053.00127353</v>
      </c>
      <c r="N30" s="10" t="n">
        <f aca="false">SUM(B30:M30)</f>
        <v>2770260.99438651</v>
      </c>
    </row>
    <row r="31" customFormat="false" ht="15" hidden="false" customHeight="true" outlineLevel="0" collapsed="false">
      <c r="A31" s="8" t="s">
        <v>40</v>
      </c>
      <c r="B31" s="9" t="n">
        <v>-123484.60671865</v>
      </c>
      <c r="C31" s="9" t="n">
        <v>-28806.9764809501</v>
      </c>
      <c r="D31" s="9" t="n">
        <v>-18031.5600000001</v>
      </c>
      <c r="E31" s="9" t="n">
        <v>239250.914841285</v>
      </c>
      <c r="F31" s="9" t="n">
        <v>-183650.08816422</v>
      </c>
      <c r="G31" s="9" t="n">
        <v>93849.1804961603</v>
      </c>
      <c r="H31" s="9" t="n">
        <v>-666290.089509806</v>
      </c>
      <c r="I31" s="9" t="n">
        <v>104349.460000001</v>
      </c>
      <c r="J31" s="9" t="n">
        <v>81033.4312819499</v>
      </c>
      <c r="K31" s="9" t="n">
        <v>-30802.5046835416</v>
      </c>
      <c r="L31" s="9" t="n">
        <v>-392915.34586207</v>
      </c>
      <c r="M31" s="9" t="n">
        <v>184566.379999997</v>
      </c>
      <c r="N31" s="10" t="n">
        <f aca="false">SUM(B31:M31)</f>
        <v>-740931.804799845</v>
      </c>
    </row>
    <row r="32" customFormat="false" ht="15" hidden="false" customHeight="true" outlineLevel="0" collapsed="false">
      <c r="A32" s="8" t="s">
        <v>41</v>
      </c>
      <c r="B32" s="9" t="n">
        <v>-36473.4493359325</v>
      </c>
      <c r="C32" s="9" t="n">
        <v>-37407.14265998</v>
      </c>
      <c r="D32" s="9" t="n">
        <v>-38874.38765998</v>
      </c>
      <c r="E32" s="9" t="n">
        <v>-43047.670146364</v>
      </c>
      <c r="F32" s="9" t="n">
        <v>-45256.9666161515</v>
      </c>
      <c r="G32" s="9" t="n">
        <v>-59559.081276809</v>
      </c>
      <c r="H32" s="9" t="n">
        <v>-64244.830776809</v>
      </c>
      <c r="I32" s="9" t="n">
        <v>-58757.808276809</v>
      </c>
      <c r="J32" s="9" t="n">
        <v>-65612.2493820466</v>
      </c>
      <c r="K32" s="9" t="n">
        <v>-65827.5142399922</v>
      </c>
      <c r="L32" s="9" t="n">
        <v>-73212.2982399922</v>
      </c>
      <c r="M32" s="9" t="n">
        <v>-64035.9522399922</v>
      </c>
      <c r="N32" s="10" t="n">
        <f aca="false">SUM(B32:M32)</f>
        <v>-652309.350850858</v>
      </c>
    </row>
    <row r="33" customFormat="false" ht="15" hidden="false" customHeight="true" outlineLevel="0" collapsed="false">
      <c r="A33" s="8" t="s">
        <v>42</v>
      </c>
      <c r="B33" s="9" t="n">
        <v>0</v>
      </c>
      <c r="C33" s="9" t="n">
        <v>0</v>
      </c>
      <c r="D33" s="9" t="n">
        <v>0</v>
      </c>
      <c r="E33" s="9" t="n">
        <v>0</v>
      </c>
      <c r="F33" s="9" t="n">
        <v>0</v>
      </c>
      <c r="G33" s="9" t="n">
        <v>30427.4835</v>
      </c>
      <c r="H33" s="9" t="n">
        <v>0</v>
      </c>
      <c r="I33" s="9" t="n">
        <v>80815.528</v>
      </c>
      <c r="J33" s="9" t="n">
        <v>137452.792</v>
      </c>
      <c r="K33" s="9" t="n">
        <v>92237.867</v>
      </c>
      <c r="L33" s="9" t="n">
        <v>0</v>
      </c>
      <c r="M33" s="9" t="n">
        <v>0</v>
      </c>
      <c r="N33" s="10" t="n">
        <f aca="false">SUM(B33:M33)</f>
        <v>340933.6705</v>
      </c>
    </row>
    <row r="34" customFormat="false" ht="15" hidden="false" customHeight="true" outlineLevel="0" collapsed="false">
      <c r="A34" s="8" t="s">
        <v>43</v>
      </c>
      <c r="B34" s="9" t="n">
        <v>-1254835.37225</v>
      </c>
      <c r="C34" s="9" t="n">
        <v>0</v>
      </c>
      <c r="D34" s="9" t="n">
        <v>0</v>
      </c>
      <c r="E34" s="9" t="n">
        <v>0</v>
      </c>
      <c r="F34" s="9" t="n">
        <v>0</v>
      </c>
      <c r="G34" s="9" t="n">
        <v>0</v>
      </c>
      <c r="H34" s="9" t="n">
        <v>0</v>
      </c>
      <c r="I34" s="9" t="n">
        <v>0</v>
      </c>
      <c r="J34" s="9" t="n">
        <v>0</v>
      </c>
      <c r="K34" s="9" t="n">
        <v>0</v>
      </c>
      <c r="L34" s="9" t="n">
        <v>0</v>
      </c>
      <c r="M34" s="9" t="n">
        <v>0</v>
      </c>
      <c r="N34" s="10" t="n">
        <f aca="false">SUM(B34:M34)</f>
        <v>-1254835.37225</v>
      </c>
    </row>
    <row r="35" customFormat="false" ht="15" hidden="false" customHeight="true" outlineLevel="0" collapsed="false">
      <c r="A35" s="8" t="s">
        <v>44</v>
      </c>
      <c r="B35" s="9" t="n">
        <v>0</v>
      </c>
      <c r="C35" s="9" t="n">
        <v>0</v>
      </c>
      <c r="D35" s="9" t="n">
        <v>0</v>
      </c>
      <c r="E35" s="9" t="n">
        <v>0</v>
      </c>
      <c r="F35" s="9" t="n">
        <v>0</v>
      </c>
      <c r="G35" s="9" t="n">
        <v>0</v>
      </c>
      <c r="H35" s="9" t="n">
        <v>0</v>
      </c>
      <c r="I35" s="9" t="n">
        <v>-112000</v>
      </c>
      <c r="J35" s="9" t="n">
        <v>-112000</v>
      </c>
      <c r="K35" s="9" t="n">
        <v>-112000</v>
      </c>
      <c r="L35" s="9" t="n">
        <v>-112000</v>
      </c>
      <c r="M35" s="9" t="n">
        <v>-112000</v>
      </c>
      <c r="N35" s="10" t="n">
        <f aca="false">SUM(B35:M35)</f>
        <v>-560000</v>
      </c>
    </row>
    <row r="36" customFormat="false" ht="15" hidden="false" customHeight="true" outlineLevel="0" collapsed="false">
      <c r="A36" s="8" t="s">
        <v>45</v>
      </c>
      <c r="B36" s="9" t="n">
        <v>-237579.606987201</v>
      </c>
      <c r="C36" s="9" t="n">
        <v>0</v>
      </c>
      <c r="D36" s="9" t="n">
        <v>0</v>
      </c>
      <c r="E36" s="9" t="n">
        <v>0</v>
      </c>
      <c r="F36" s="9" t="n">
        <v>0</v>
      </c>
      <c r="G36" s="9" t="n">
        <v>0</v>
      </c>
      <c r="H36" s="9" t="n">
        <v>0</v>
      </c>
      <c r="I36" s="9" t="n">
        <v>0</v>
      </c>
      <c r="J36" s="9" t="n">
        <v>0</v>
      </c>
      <c r="K36" s="9" t="n">
        <v>0</v>
      </c>
      <c r="L36" s="9" t="n">
        <v>0</v>
      </c>
      <c r="M36" s="9" t="n">
        <v>0</v>
      </c>
      <c r="N36" s="10" t="n">
        <f aca="false">SUM(B36:M36)</f>
        <v>-237579.606987201</v>
      </c>
    </row>
    <row r="37" customFormat="false" ht="15" hidden="false" customHeight="true" outlineLevel="0" collapsed="false">
      <c r="A37" s="15" t="s">
        <v>46</v>
      </c>
      <c r="B37" s="10" t="n">
        <f aca="false">SUM(B30:B36)</f>
        <v>-1575661.81683629</v>
      </c>
      <c r="C37" s="10" t="n">
        <f aca="false">SUM(C30:C36)</f>
        <v>23697.2605323548</v>
      </c>
      <c r="D37" s="10" t="n">
        <f aca="false">SUM(D30:D36)</f>
        <v>85155.052013303</v>
      </c>
      <c r="E37" s="10" t="n">
        <f aca="false">SUM(E30:E36)</f>
        <v>71870.6695269209</v>
      </c>
      <c r="F37" s="10" t="n">
        <f aca="false">SUM(F30:F36)</f>
        <v>-203167.241784153</v>
      </c>
      <c r="G37" s="10" t="n">
        <f aca="false">SUM(G30:G36)</f>
        <v>-77948.9347805858</v>
      </c>
      <c r="H37" s="10" t="n">
        <f aca="false">SUM(H30:H36)</f>
        <v>-187183.708276749</v>
      </c>
      <c r="I37" s="10" t="n">
        <f aca="false">SUM(I30:I36)</f>
        <v>454056.331733056</v>
      </c>
      <c r="J37" s="10" t="n">
        <f aca="false">SUM(J30:J36)</f>
        <v>399995.504627817</v>
      </c>
      <c r="K37" s="10" t="n">
        <f aca="false">SUM(K30:K36)</f>
        <v>174630.533487925</v>
      </c>
      <c r="L37" s="10" t="n">
        <f aca="false">SUM(L30:L36)</f>
        <v>88511.4507214694</v>
      </c>
      <c r="M37" s="10" t="n">
        <f aca="false">SUM(M30:M36)</f>
        <v>411583.429033535</v>
      </c>
      <c r="N37" s="10" t="n">
        <f aca="false">SUM(B37:M37)</f>
        <v>-334461.470001398</v>
      </c>
    </row>
    <row r="38" customFormat="false" ht="15" hidden="false" customHeight="true" outlineLevel="0" collapsed="false">
      <c r="A38" s="11" t="s">
        <v>47</v>
      </c>
      <c r="B38" s="12" t="n">
        <f aca="false">B29+B37</f>
        <v>210374.721188719</v>
      </c>
      <c r="C38" s="12" t="n">
        <f aca="false">C29+C37</f>
        <v>234071.981721074</v>
      </c>
      <c r="D38" s="12" t="n">
        <f aca="false">D29+D37</f>
        <v>319227.033734377</v>
      </c>
      <c r="E38" s="12" t="n">
        <f aca="false">E29+E37</f>
        <v>391097.703261298</v>
      </c>
      <c r="F38" s="12" t="n">
        <f aca="false">F29+F37</f>
        <v>187930.461477145</v>
      </c>
      <c r="G38" s="12" t="n">
        <f aca="false">G29+G37</f>
        <v>109981.526696559</v>
      </c>
      <c r="H38" s="12" t="n">
        <f aca="false">H29+H37</f>
        <v>-77202.1815801902</v>
      </c>
      <c r="I38" s="12" t="n">
        <f aca="false">I29+I37</f>
        <v>376854.150152866</v>
      </c>
      <c r="J38" s="12" t="n">
        <f aca="false">J29+J37</f>
        <v>776849.654780683</v>
      </c>
      <c r="K38" s="12" t="n">
        <f aca="false">K29+K37</f>
        <v>951480.188268608</v>
      </c>
      <c r="L38" s="12" t="n">
        <f aca="false">L29+L37</f>
        <v>1039991.63899008</v>
      </c>
      <c r="M38" s="12" t="n">
        <f aca="false">M29+M37</f>
        <v>1451575.06802361</v>
      </c>
      <c r="N38" s="12" t="n">
        <f aca="false">M38</f>
        <v>1451575.06802361</v>
      </c>
    </row>
    <row r="39" customFormat="false" ht="15" hidden="false" customHeight="true" outlineLevel="0" collapsed="false">
      <c r="A39" s="13"/>
      <c r="B39" s="13"/>
      <c r="C39" s="13"/>
      <c r="D39" s="13"/>
      <c r="E39" s="13"/>
      <c r="F39" s="13"/>
      <c r="G39" s="13"/>
      <c r="H39" s="13"/>
      <c r="I39" s="13"/>
      <c r="J39" s="13"/>
      <c r="K39" s="13"/>
      <c r="L39" s="13"/>
      <c r="M39" s="13"/>
      <c r="N39" s="13"/>
    </row>
    <row r="40" customFormat="false" ht="15" hidden="false" customHeight="true" outlineLevel="0" collapsed="false">
      <c r="A40" s="16" t="s">
        <v>48</v>
      </c>
      <c r="B40" s="13"/>
      <c r="C40" s="13"/>
      <c r="D40" s="13"/>
      <c r="E40" s="13"/>
      <c r="F40" s="13"/>
      <c r="G40" s="13"/>
      <c r="H40" s="13"/>
      <c r="I40" s="13"/>
      <c r="J40" s="13"/>
      <c r="K40" s="13"/>
      <c r="L40" s="13"/>
      <c r="M40" s="13"/>
      <c r="N40" s="13"/>
    </row>
    <row r="41" customFormat="false" ht="15" hidden="false" customHeight="true" outlineLevel="0" collapsed="false">
      <c r="A41" s="13"/>
      <c r="B41" s="13"/>
      <c r="C41" s="13"/>
      <c r="D41" s="13"/>
      <c r="E41" s="13"/>
      <c r="F41" s="13"/>
      <c r="G41" s="13"/>
      <c r="H41" s="13"/>
      <c r="I41" s="13"/>
      <c r="J41" s="13"/>
      <c r="K41" s="13"/>
      <c r="L41" s="13"/>
      <c r="M41" s="13"/>
      <c r="N41" s="13"/>
    </row>
    <row r="42" customFormat="false" ht="15" hidden="false" customHeight="true" outlineLevel="0" collapsed="false">
      <c r="A42" s="6" t="s">
        <v>49</v>
      </c>
      <c r="B42" s="14"/>
      <c r="C42" s="14"/>
      <c r="D42" s="14"/>
      <c r="E42" s="14"/>
      <c r="F42" s="14"/>
      <c r="G42" s="14"/>
      <c r="H42" s="14"/>
      <c r="I42" s="14"/>
      <c r="J42" s="14"/>
      <c r="K42" s="14"/>
      <c r="L42" s="14"/>
      <c r="M42" s="14"/>
      <c r="N42" s="14"/>
    </row>
    <row r="43" customFormat="false" ht="15" hidden="false" customHeight="true" outlineLevel="0" collapsed="false">
      <c r="A43" s="8" t="s">
        <v>50</v>
      </c>
      <c r="B43" s="9" t="n">
        <f aca="false">LV!B27</f>
        <v>5653414.31976768</v>
      </c>
      <c r="C43" s="9" t="n">
        <f aca="false">LV!C27</f>
        <v>5737029.0785874</v>
      </c>
      <c r="D43" s="9" t="n">
        <f aca="false">LV!D27</f>
        <v>6249137.2685729</v>
      </c>
      <c r="E43" s="9" t="n">
        <f aca="false">LV!E27</f>
        <v>6690394.38083971</v>
      </c>
      <c r="F43" s="9" t="n">
        <f aca="false">LV!F27</f>
        <v>7133494.69621321</v>
      </c>
      <c r="G43" s="9" t="n">
        <f aca="false">LV!G27</f>
        <v>8784632.04414071</v>
      </c>
      <c r="H43" s="9" t="n">
        <f aca="false">LV!H27</f>
        <v>10164045.9158825</v>
      </c>
      <c r="I43" s="9" t="n">
        <f aca="false">LV!I27</f>
        <v>9819205.84844292</v>
      </c>
      <c r="J43" s="9" t="n">
        <f aca="false">LV!J27</f>
        <v>11129908.5710597</v>
      </c>
      <c r="K43" s="9" t="n">
        <f aca="false">LV!K27</f>
        <v>11021000.9008853</v>
      </c>
      <c r="L43" s="9" t="n">
        <f aca="false">LV!L27</f>
        <v>12935208.732222</v>
      </c>
      <c r="M43" s="9" t="n">
        <f aca="false">LV!M27</f>
        <v>11980853.8304256</v>
      </c>
      <c r="N43" s="10" t="n">
        <f aca="false">SUM(B43:M43)</f>
        <v>107298325.58704</v>
      </c>
    </row>
    <row r="44" customFormat="false" ht="15" hidden="false" customHeight="true" outlineLevel="0" collapsed="false">
      <c r="A44" s="13"/>
      <c r="B44" s="13"/>
      <c r="C44" s="13"/>
      <c r="D44" s="13"/>
      <c r="E44" s="13"/>
      <c r="F44" s="13"/>
      <c r="G44" s="13"/>
      <c r="H44" s="13"/>
      <c r="I44" s="13"/>
      <c r="J44" s="13"/>
      <c r="K44" s="13"/>
      <c r="L44" s="13"/>
      <c r="M44" s="13"/>
      <c r="N44" s="13"/>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24"/>
    <col collapsed="false" customWidth="true" hidden="false" outlineLevel="0" max="2" min="2" style="1" width="36"/>
    <col collapsed="false" customWidth="true" hidden="false" outlineLevel="0" max="3" min="3" style="1" width="11"/>
    <col collapsed="false" customWidth="true" hidden="false" outlineLevel="0" max="4" min="4" style="1" width="9"/>
    <col collapsed="false" customWidth="true" hidden="false" outlineLevel="0" max="5" min="5" style="1" width="15"/>
    <col collapsed="false" customWidth="true" hidden="false" outlineLevel="0" max="6" min="6" style="1" width="30"/>
  </cols>
  <sheetData>
    <row r="1" customFormat="false" ht="17.25" hidden="false" customHeight="true" outlineLevel="0" collapsed="false">
      <c r="A1" s="2" t="s">
        <v>51</v>
      </c>
    </row>
    <row r="2" customFormat="false" ht="15" hidden="false" customHeight="true" outlineLevel="0" collapsed="false">
      <c r="A2" s="3" t="s">
        <v>52</v>
      </c>
    </row>
    <row r="4" customFormat="false" ht="15" hidden="false" customHeight="true" outlineLevel="0" collapsed="false">
      <c r="A4" s="17" t="s">
        <v>53</v>
      </c>
    </row>
    <row r="5" customFormat="false" ht="15" hidden="false" customHeight="true" outlineLevel="0" collapsed="false">
      <c r="A5" s="18" t="s">
        <v>15</v>
      </c>
      <c r="B5" s="18"/>
      <c r="C5" s="19"/>
      <c r="D5" s="19"/>
      <c r="E5" s="19" t="s">
        <v>54</v>
      </c>
      <c r="F5" s="19"/>
    </row>
    <row r="6" customFormat="false" ht="15" hidden="false" customHeight="true" outlineLevel="0" collapsed="false">
      <c r="A6" s="8" t="s">
        <v>34</v>
      </c>
      <c r="B6" s="20"/>
      <c r="C6" s="20"/>
      <c r="D6" s="20"/>
      <c r="E6" s="21" t="n">
        <f aca="false">Consolidated!N23</f>
        <v>4752654.85543914</v>
      </c>
      <c r="F6" s="20"/>
    </row>
    <row r="7" customFormat="false" ht="15" hidden="false" customHeight="true" outlineLevel="0" collapsed="false">
      <c r="A7" s="8" t="s">
        <v>35</v>
      </c>
      <c r="B7" s="20"/>
      <c r="C7" s="20"/>
      <c r="D7" s="20"/>
      <c r="E7" s="21" t="n">
        <f aca="false">Consolidated!N24</f>
        <v>-1983193.86105263</v>
      </c>
      <c r="F7" s="20"/>
    </row>
    <row r="8" customFormat="false" ht="15" hidden="false" customHeight="true" outlineLevel="0" collapsed="false">
      <c r="A8" s="8" t="s">
        <v>21</v>
      </c>
      <c r="B8" s="20"/>
      <c r="C8" s="20"/>
      <c r="D8" s="20"/>
      <c r="E8" s="22" t="n">
        <f aca="false">Consolidated!N25</f>
        <v>800</v>
      </c>
      <c r="F8" s="20"/>
    </row>
    <row r="9" customFormat="false" ht="15" hidden="false" customHeight="true" outlineLevel="0" collapsed="false">
      <c r="A9" s="23" t="s">
        <v>55</v>
      </c>
      <c r="B9" s="20"/>
      <c r="C9" s="20"/>
      <c r="D9" s="20"/>
      <c r="E9" s="24" t="n">
        <f aca="false">Consolidated!N26</f>
        <v>2770260.99438651</v>
      </c>
      <c r="F9" s="20"/>
    </row>
    <row r="10" customFormat="false" ht="15" hidden="false" customHeight="true" outlineLevel="0" collapsed="false">
      <c r="A10" s="13" t="s">
        <v>56</v>
      </c>
      <c r="E10" s="25" t="n">
        <f aca="false">MIN(Consolidated!B38:M38)</f>
        <v>-77202.1815801902</v>
      </c>
      <c r="F10" s="3" t="s">
        <v>57</v>
      </c>
    </row>
    <row r="11" customFormat="false" ht="15" hidden="false" customHeight="true" outlineLevel="0" collapsed="false">
      <c r="A11" s="13" t="s">
        <v>58</v>
      </c>
      <c r="E11" s="25" t="n">
        <f aca="false">Consolidated!M38</f>
        <v>1451575.06802361</v>
      </c>
    </row>
    <row r="13" customFormat="false" ht="15" hidden="false" customHeight="true" outlineLevel="0" collapsed="false">
      <c r="A13" s="17" t="s">
        <v>59</v>
      </c>
    </row>
    <row r="14" customFormat="false" ht="15.75" hidden="false" customHeight="true" outlineLevel="0" collapsed="false">
      <c r="A14" s="26" t="s">
        <v>60</v>
      </c>
      <c r="B14" s="27" t="s">
        <v>61</v>
      </c>
      <c r="C14" s="27"/>
      <c r="D14" s="27"/>
      <c r="E14" s="27"/>
      <c r="F14" s="27"/>
    </row>
    <row r="15" customFormat="false" ht="15.75" hidden="false" customHeight="true" outlineLevel="0" collapsed="false">
      <c r="A15" s="26" t="s">
        <v>62</v>
      </c>
      <c r="B15" s="27" t="s">
        <v>63</v>
      </c>
      <c r="C15" s="27"/>
      <c r="D15" s="27"/>
      <c r="E15" s="27"/>
      <c r="F15" s="27"/>
    </row>
    <row r="17" customFormat="false" ht="15" hidden="false" customHeight="true" outlineLevel="0" collapsed="false">
      <c r="A17" s="17" t="s">
        <v>64</v>
      </c>
    </row>
    <row r="18" customFormat="false" ht="23.25" hidden="false" customHeight="true" outlineLevel="0" collapsed="false">
      <c r="A18" s="18" t="s">
        <v>65</v>
      </c>
      <c r="B18" s="18" t="s">
        <v>66</v>
      </c>
      <c r="C18" s="19" t="s">
        <v>67</v>
      </c>
      <c r="D18" s="19" t="s">
        <v>68</v>
      </c>
      <c r="E18" s="19" t="s">
        <v>69</v>
      </c>
      <c r="F18" s="28"/>
    </row>
    <row r="19" customFormat="false" ht="15" hidden="false" customHeight="true" outlineLevel="0" collapsed="false">
      <c r="A19" s="8" t="s">
        <v>70</v>
      </c>
      <c r="B19" s="8" t="s">
        <v>71</v>
      </c>
      <c r="C19" s="29" t="s">
        <v>72</v>
      </c>
      <c r="D19" s="29" t="s">
        <v>73</v>
      </c>
      <c r="E19" s="9" t="n">
        <f aca="false">LV!N9</f>
        <v>6937555.26</v>
      </c>
      <c r="F19" s="20"/>
    </row>
    <row r="20" customFormat="false" ht="15" hidden="false" customHeight="true" outlineLevel="0" collapsed="false">
      <c r="A20" s="8" t="s">
        <v>74</v>
      </c>
      <c r="B20" s="8" t="s">
        <v>71</v>
      </c>
      <c r="C20" s="29" t="s">
        <v>72</v>
      </c>
      <c r="D20" s="29" t="s">
        <v>75</v>
      </c>
      <c r="E20" s="9" t="n">
        <f aca="false">LV!N10</f>
        <v>3397238.91</v>
      </c>
      <c r="F20" s="20"/>
    </row>
    <row r="21" customFormat="false" ht="15" hidden="false" customHeight="true" outlineLevel="0" collapsed="false">
      <c r="A21" s="8" t="s">
        <v>76</v>
      </c>
      <c r="B21" s="8" t="s">
        <v>71</v>
      </c>
      <c r="C21" s="29" t="s">
        <v>72</v>
      </c>
      <c r="D21" s="29" t="s">
        <v>75</v>
      </c>
      <c r="E21" s="9" t="n">
        <f aca="false">LV!N11</f>
        <v>4526432.82</v>
      </c>
      <c r="F21" s="20"/>
    </row>
    <row r="22" customFormat="false" ht="15" hidden="false" customHeight="true" outlineLevel="0" collapsed="false">
      <c r="A22" s="8" t="s">
        <v>77</v>
      </c>
      <c r="B22" s="8" t="s">
        <v>71</v>
      </c>
      <c r="C22" s="29" t="s">
        <v>72</v>
      </c>
      <c r="D22" s="29" t="s">
        <v>73</v>
      </c>
      <c r="E22" s="9" t="n">
        <f aca="false">LV!N12</f>
        <v>779534.21</v>
      </c>
      <c r="F22" s="20"/>
    </row>
    <row r="23" customFormat="false" ht="15" hidden="false" customHeight="true" outlineLevel="0" collapsed="false">
      <c r="A23" s="8" t="s">
        <v>78</v>
      </c>
      <c r="B23" s="8" t="s">
        <v>71</v>
      </c>
      <c r="C23" s="29" t="s">
        <v>72</v>
      </c>
      <c r="D23" s="29" t="s">
        <v>75</v>
      </c>
      <c r="E23" s="9" t="n">
        <f aca="false">LV!N13</f>
        <v>13298804.63</v>
      </c>
      <c r="F23" s="20"/>
    </row>
    <row r="24" customFormat="false" ht="15" hidden="false" customHeight="true" outlineLevel="0" collapsed="false">
      <c r="A24" s="8" t="s">
        <v>79</v>
      </c>
      <c r="B24" s="8" t="s">
        <v>71</v>
      </c>
      <c r="C24" s="29" t="s">
        <v>72</v>
      </c>
      <c r="D24" s="29" t="s">
        <v>75</v>
      </c>
      <c r="E24" s="9" t="n">
        <f aca="false">LV!N14</f>
        <v>8814654.41</v>
      </c>
      <c r="F24" s="20"/>
    </row>
    <row r="25" customFormat="false" ht="15" hidden="false" customHeight="true" outlineLevel="0" collapsed="false">
      <c r="A25" s="8" t="s">
        <v>80</v>
      </c>
      <c r="B25" s="8" t="s">
        <v>71</v>
      </c>
      <c r="C25" s="29" t="s">
        <v>72</v>
      </c>
      <c r="D25" s="29" t="s">
        <v>75</v>
      </c>
      <c r="E25" s="9" t="n">
        <f aca="false">LV!N15</f>
        <v>9659295.22</v>
      </c>
      <c r="F25" s="20"/>
    </row>
    <row r="26" customFormat="false" ht="15" hidden="false" customHeight="true" outlineLevel="0" collapsed="false">
      <c r="A26" s="8" t="s">
        <v>81</v>
      </c>
      <c r="B26" s="8" t="s">
        <v>82</v>
      </c>
      <c r="C26" s="29" t="s">
        <v>8</v>
      </c>
      <c r="D26" s="29" t="s">
        <v>75</v>
      </c>
      <c r="E26" s="9" t="n">
        <f aca="false">LV!N16</f>
        <v>4338145.40348167</v>
      </c>
      <c r="F26" s="20"/>
    </row>
    <row r="27" customFormat="false" ht="15" hidden="false" customHeight="true" outlineLevel="0" collapsed="false">
      <c r="A27" s="8" t="s">
        <v>83</v>
      </c>
      <c r="B27" s="8" t="s">
        <v>84</v>
      </c>
      <c r="C27" s="29" t="s">
        <v>4</v>
      </c>
      <c r="D27" s="29" t="s">
        <v>73</v>
      </c>
      <c r="E27" s="9" t="n">
        <f aca="false">LV!N17</f>
        <v>5189183.64483255</v>
      </c>
      <c r="F27" s="20"/>
    </row>
    <row r="28" customFormat="false" ht="15" hidden="false" customHeight="true" outlineLevel="0" collapsed="false">
      <c r="A28" s="8" t="s">
        <v>85</v>
      </c>
      <c r="B28" s="8" t="s">
        <v>84</v>
      </c>
      <c r="C28" s="29" t="s">
        <v>3</v>
      </c>
      <c r="D28" s="29" t="s">
        <v>73</v>
      </c>
      <c r="E28" s="9" t="n">
        <f aca="false">LV!N18</f>
        <v>4564217.0360292</v>
      </c>
      <c r="F28" s="20"/>
    </row>
    <row r="29" customFormat="false" ht="15" hidden="false" customHeight="true" outlineLevel="0" collapsed="false">
      <c r="A29" s="8" t="s">
        <v>86</v>
      </c>
      <c r="B29" s="8" t="s">
        <v>87</v>
      </c>
      <c r="C29" s="29" t="s">
        <v>8</v>
      </c>
      <c r="D29" s="29" t="s">
        <v>75</v>
      </c>
      <c r="E29" s="9" t="n">
        <f aca="false">LV!N19</f>
        <v>6370497.93822947</v>
      </c>
      <c r="F29" s="20"/>
    </row>
    <row r="30" customFormat="false" ht="15" hidden="false" customHeight="true" outlineLevel="0" collapsed="false">
      <c r="A30" s="8" t="s">
        <v>88</v>
      </c>
      <c r="B30" s="8" t="s">
        <v>89</v>
      </c>
      <c r="C30" s="29" t="s">
        <v>6</v>
      </c>
      <c r="D30" s="29" t="s">
        <v>75</v>
      </c>
      <c r="E30" s="9" t="n">
        <f aca="false">LV!N22</f>
        <v>8309226.10245087</v>
      </c>
      <c r="F30" s="20"/>
    </row>
    <row r="31" customFormat="false" ht="15" hidden="false" customHeight="true" outlineLevel="0" collapsed="false">
      <c r="A31" s="8" t="s">
        <v>90</v>
      </c>
      <c r="B31" s="8" t="s">
        <v>89</v>
      </c>
      <c r="C31" s="29" t="s">
        <v>7</v>
      </c>
      <c r="D31" s="29" t="s">
        <v>75</v>
      </c>
      <c r="E31" s="9" t="n">
        <f aca="false">LV!N21</f>
        <v>3966575.619279</v>
      </c>
      <c r="F31" s="20"/>
    </row>
    <row r="32" customFormat="false" ht="15" hidden="false" customHeight="true" outlineLevel="0" collapsed="false">
      <c r="A32" s="8" t="s">
        <v>91</v>
      </c>
      <c r="B32" s="8" t="s">
        <v>92</v>
      </c>
      <c r="C32" s="29" t="s">
        <v>11</v>
      </c>
      <c r="D32" s="29" t="s">
        <v>75</v>
      </c>
      <c r="E32" s="9" t="n">
        <f aca="false">LV!N20</f>
        <v>1721898.738321</v>
      </c>
      <c r="F32" s="20"/>
    </row>
    <row r="33" customFormat="false" ht="15" hidden="false" customHeight="true" outlineLevel="0" collapsed="false">
      <c r="A33" s="8" t="s">
        <v>93</v>
      </c>
      <c r="B33" s="8" t="s">
        <v>92</v>
      </c>
      <c r="C33" s="29" t="s">
        <v>12</v>
      </c>
      <c r="D33" s="29" t="s">
        <v>75</v>
      </c>
      <c r="E33" s="9" t="n">
        <f aca="false">LV!N24</f>
        <v>1106092.7031</v>
      </c>
      <c r="F33" s="20"/>
    </row>
    <row r="34" customFormat="false" ht="15" hidden="false" customHeight="true" outlineLevel="0" collapsed="false">
      <c r="A34" s="8" t="s">
        <v>94</v>
      </c>
      <c r="B34" s="8" t="s">
        <v>95</v>
      </c>
      <c r="C34" s="29" t="s">
        <v>96</v>
      </c>
      <c r="D34" s="29" t="s">
        <v>73</v>
      </c>
      <c r="E34" s="9" t="n">
        <f aca="false">LV!N23</f>
        <v>9158972.73079458</v>
      </c>
      <c r="F34" s="20"/>
    </row>
    <row r="35" customFormat="false" ht="15" hidden="false" customHeight="true" outlineLevel="0" collapsed="false">
      <c r="A35" s="8" t="s">
        <v>97</v>
      </c>
      <c r="B35" s="8" t="s">
        <v>98</v>
      </c>
      <c r="C35" s="29" t="s">
        <v>12</v>
      </c>
      <c r="D35" s="29" t="s">
        <v>73</v>
      </c>
      <c r="E35" s="9" t="n">
        <f aca="false">LV!N25</f>
        <v>2113813.19350406</v>
      </c>
      <c r="F35" s="20"/>
    </row>
    <row r="36" customFormat="false" ht="15" hidden="false" customHeight="true" outlineLevel="0" collapsed="false">
      <c r="A36" s="30" t="s">
        <v>99</v>
      </c>
      <c r="E36" s="31" t="n">
        <f aca="false">SUM(E19:E35)</f>
        <v>94252138.5700224</v>
      </c>
    </row>
    <row r="37" customFormat="false" ht="15" hidden="false" customHeight="true" outlineLevel="0" collapsed="false">
      <c r="A37" s="16" t="s">
        <v>100</v>
      </c>
    </row>
    <row r="39" customFormat="false" ht="15" hidden="false" customHeight="true" outlineLevel="0" collapsed="false">
      <c r="A39" s="17" t="s">
        <v>101</v>
      </c>
    </row>
    <row r="40" customFormat="false" ht="43.5" hidden="false" customHeight="true" outlineLevel="0" collapsed="false">
      <c r="A40" s="26" t="s">
        <v>102</v>
      </c>
      <c r="B40" s="27" t="s">
        <v>103</v>
      </c>
      <c r="C40" s="27"/>
      <c r="D40" s="27"/>
      <c r="E40" s="27"/>
      <c r="F40" s="27"/>
    </row>
    <row r="41" customFormat="false" ht="30" hidden="false" customHeight="true" outlineLevel="0" collapsed="false">
      <c r="A41" s="26" t="s">
        <v>104</v>
      </c>
      <c r="B41" s="27" t="s">
        <v>105</v>
      </c>
      <c r="C41" s="27"/>
      <c r="D41" s="27"/>
      <c r="E41" s="27"/>
      <c r="F41" s="27"/>
    </row>
    <row r="42" customFormat="false" ht="30" hidden="false" customHeight="true" outlineLevel="0" collapsed="false">
      <c r="A42" s="26" t="s">
        <v>106</v>
      </c>
      <c r="B42" s="27" t="s">
        <v>107</v>
      </c>
      <c r="C42" s="27"/>
      <c r="D42" s="27"/>
      <c r="E42" s="27"/>
      <c r="F42" s="27"/>
    </row>
    <row r="44" customFormat="false" ht="15" hidden="false" customHeight="true" outlineLevel="0" collapsed="false">
      <c r="A44" s="17" t="s">
        <v>23</v>
      </c>
    </row>
    <row r="45" customFormat="false" ht="43.5" hidden="false" customHeight="true" outlineLevel="0" collapsed="false">
      <c r="A45" s="26" t="s">
        <v>108</v>
      </c>
      <c r="B45" s="27" t="s">
        <v>109</v>
      </c>
      <c r="C45" s="27"/>
      <c r="D45" s="27"/>
      <c r="E45" s="27"/>
      <c r="F45" s="27"/>
    </row>
    <row r="46" customFormat="false" ht="15.75" hidden="false" customHeight="true" outlineLevel="0" collapsed="false">
      <c r="A46" s="26" t="s">
        <v>110</v>
      </c>
      <c r="B46" s="27" t="s">
        <v>111</v>
      </c>
      <c r="C46" s="27"/>
      <c r="D46" s="27"/>
      <c r="E46" s="27"/>
      <c r="F46" s="27"/>
    </row>
    <row r="47" customFormat="false" ht="30" hidden="false" customHeight="true" outlineLevel="0" collapsed="false">
      <c r="A47" s="26" t="s">
        <v>112</v>
      </c>
      <c r="B47" s="27" t="s">
        <v>113</v>
      </c>
      <c r="C47" s="27"/>
      <c r="D47" s="27"/>
      <c r="E47" s="27"/>
      <c r="F47" s="27"/>
    </row>
    <row r="48" customFormat="false" ht="15.75" hidden="false" customHeight="true" outlineLevel="0" collapsed="false">
      <c r="A48" s="26" t="s">
        <v>114</v>
      </c>
      <c r="B48" s="27" t="s">
        <v>115</v>
      </c>
      <c r="C48" s="27"/>
      <c r="D48" s="27"/>
      <c r="E48" s="27"/>
      <c r="F48" s="27"/>
    </row>
    <row r="49" customFormat="false" ht="15.75" hidden="false" customHeight="true" outlineLevel="0" collapsed="false">
      <c r="A49" s="26" t="s">
        <v>116</v>
      </c>
      <c r="B49" s="27" t="s">
        <v>117</v>
      </c>
      <c r="C49" s="27"/>
      <c r="D49" s="27"/>
      <c r="E49" s="27"/>
      <c r="F49" s="27"/>
    </row>
    <row r="51" customFormat="false" ht="15" hidden="false" customHeight="true" outlineLevel="0" collapsed="false">
      <c r="A51" s="17" t="s">
        <v>118</v>
      </c>
    </row>
    <row r="52" customFormat="false" ht="15.75" hidden="false" customHeight="true" outlineLevel="0" collapsed="false">
      <c r="A52" s="26" t="s">
        <v>119</v>
      </c>
      <c r="B52" s="27" t="s">
        <v>120</v>
      </c>
      <c r="C52" s="27"/>
      <c r="D52" s="27"/>
      <c r="E52" s="27"/>
      <c r="F52" s="27"/>
    </row>
    <row r="53" customFormat="false" ht="15.75" hidden="false" customHeight="true" outlineLevel="0" collapsed="false">
      <c r="A53" s="26" t="s">
        <v>121</v>
      </c>
      <c r="B53" s="27" t="s">
        <v>122</v>
      </c>
      <c r="C53" s="27"/>
      <c r="D53" s="27"/>
      <c r="E53" s="27"/>
      <c r="F53" s="27"/>
    </row>
    <row r="54" customFormat="false" ht="15.75" hidden="false" customHeight="true" outlineLevel="0" collapsed="false">
      <c r="A54" s="26" t="s">
        <v>123</v>
      </c>
      <c r="B54" s="27" t="s">
        <v>124</v>
      </c>
      <c r="C54" s="27"/>
      <c r="D54" s="27"/>
      <c r="E54" s="27"/>
      <c r="F54" s="27"/>
    </row>
    <row r="56" customFormat="false" ht="15" hidden="false" customHeight="true" outlineLevel="0" collapsed="false">
      <c r="A56" s="17" t="s">
        <v>125</v>
      </c>
    </row>
    <row r="57" customFormat="false" ht="15" hidden="false" customHeight="true" outlineLevel="0" collapsed="false">
      <c r="A57" s="18" t="s">
        <v>15</v>
      </c>
      <c r="B57" s="18"/>
      <c r="C57" s="19"/>
      <c r="D57" s="19"/>
      <c r="E57" s="19" t="s">
        <v>54</v>
      </c>
      <c r="F57" s="19" t="s">
        <v>126</v>
      </c>
    </row>
    <row r="58" customFormat="false" ht="15" hidden="false" customHeight="true" outlineLevel="0" collapsed="false">
      <c r="A58" s="8" t="s">
        <v>127</v>
      </c>
      <c r="B58" s="20"/>
      <c r="C58" s="20"/>
      <c r="D58" s="20"/>
      <c r="E58" s="9" t="n">
        <v>-409364</v>
      </c>
      <c r="F58" s="32" t="s">
        <v>128</v>
      </c>
    </row>
    <row r="59" customFormat="false" ht="15" hidden="false" customHeight="true" outlineLevel="0" collapsed="false">
      <c r="A59" s="8" t="s">
        <v>129</v>
      </c>
      <c r="B59" s="20"/>
      <c r="C59" s="20"/>
      <c r="D59" s="20"/>
      <c r="E59" s="9" t="n">
        <v>-320878</v>
      </c>
      <c r="F59" s="32" t="s">
        <v>130</v>
      </c>
    </row>
    <row r="60" customFormat="false" ht="15" hidden="false" customHeight="true" outlineLevel="0" collapsed="false">
      <c r="A60" s="8" t="s">
        <v>131</v>
      </c>
      <c r="B60" s="20"/>
      <c r="C60" s="20"/>
      <c r="D60" s="20"/>
      <c r="E60" s="9" t="n">
        <v>-97401</v>
      </c>
      <c r="F60" s="32" t="s">
        <v>132</v>
      </c>
    </row>
    <row r="61" customFormat="false" ht="15" hidden="false" customHeight="true" outlineLevel="0" collapsed="false">
      <c r="A61" s="16" t="s">
        <v>133</v>
      </c>
    </row>
    <row r="63" customFormat="false" ht="15" hidden="false" customHeight="true" outlineLevel="0" collapsed="false">
      <c r="A63" s="17" t="s">
        <v>134</v>
      </c>
    </row>
    <row r="64" customFormat="false" ht="30" hidden="false" customHeight="true" outlineLevel="0" collapsed="false">
      <c r="A64" s="33" t="s">
        <v>135</v>
      </c>
      <c r="B64" s="33"/>
      <c r="C64" s="33"/>
      <c r="D64" s="33"/>
      <c r="E64" s="33"/>
      <c r="F64" s="33"/>
    </row>
    <row r="65" customFormat="false" ht="15" hidden="false" customHeight="true" outlineLevel="0" collapsed="false">
      <c r="A65" s="34" t="s">
        <v>136</v>
      </c>
      <c r="B65" s="34" t="s">
        <v>137</v>
      </c>
      <c r="C65" s="28"/>
      <c r="D65" s="28"/>
      <c r="E65" s="5" t="s">
        <v>138</v>
      </c>
      <c r="F65" s="28"/>
    </row>
    <row r="66" customFormat="false" ht="15" hidden="false" customHeight="true" outlineLevel="0" collapsed="false">
      <c r="A66" s="8" t="s">
        <v>139</v>
      </c>
      <c r="B66" s="8" t="s">
        <v>140</v>
      </c>
      <c r="C66" s="20"/>
      <c r="D66" s="20"/>
      <c r="E66" s="9" t="n">
        <v>400000</v>
      </c>
      <c r="F66" s="20"/>
    </row>
    <row r="67" customFormat="false" ht="15" hidden="false" customHeight="true" outlineLevel="0" collapsed="false">
      <c r="A67" s="8" t="s">
        <v>141</v>
      </c>
      <c r="B67" s="8" t="s">
        <v>142</v>
      </c>
      <c r="C67" s="20"/>
      <c r="D67" s="20"/>
      <c r="E67" s="9" t="n">
        <v>190000</v>
      </c>
      <c r="F67" s="20"/>
    </row>
    <row r="68" customFormat="false" ht="15" hidden="false" customHeight="true" outlineLevel="0" collapsed="false">
      <c r="A68" s="8" t="s">
        <v>143</v>
      </c>
      <c r="B68" s="8" t="s">
        <v>144</v>
      </c>
      <c r="C68" s="20"/>
      <c r="D68" s="20"/>
      <c r="E68" s="9" t="n">
        <v>200000</v>
      </c>
      <c r="F68" s="20"/>
    </row>
    <row r="69" customFormat="false" ht="15" hidden="false" customHeight="true" outlineLevel="0" collapsed="false">
      <c r="A69" s="8" t="s">
        <v>145</v>
      </c>
      <c r="B69" s="8" t="s">
        <v>146</v>
      </c>
      <c r="C69" s="20"/>
      <c r="D69" s="20"/>
      <c r="E69" s="9" t="n">
        <v>155000</v>
      </c>
      <c r="F69" s="20"/>
    </row>
    <row r="70" customFormat="false" ht="15" hidden="false" customHeight="true" outlineLevel="0" collapsed="false">
      <c r="A70" s="8" t="s">
        <v>147</v>
      </c>
      <c r="B70" s="8" t="s">
        <v>148</v>
      </c>
      <c r="C70" s="20"/>
      <c r="D70" s="20"/>
      <c r="E70" s="9" t="n">
        <v>115000</v>
      </c>
      <c r="F70" s="20"/>
    </row>
    <row r="71" customFormat="false" ht="15" hidden="false" customHeight="true" outlineLevel="0" collapsed="false">
      <c r="A71" s="8" t="s">
        <v>149</v>
      </c>
      <c r="B71" s="8" t="s">
        <v>148</v>
      </c>
      <c r="C71" s="20"/>
      <c r="D71" s="20"/>
      <c r="E71" s="9" t="n">
        <v>125000</v>
      </c>
      <c r="F71" s="20"/>
    </row>
    <row r="72" customFormat="false" ht="15" hidden="false" customHeight="true" outlineLevel="0" collapsed="false">
      <c r="A72" s="8" t="s">
        <v>150</v>
      </c>
      <c r="B72" s="8" t="s">
        <v>151</v>
      </c>
      <c r="C72" s="20"/>
      <c r="D72" s="20"/>
      <c r="E72" s="9" t="n">
        <v>185000</v>
      </c>
      <c r="F72" s="20"/>
    </row>
    <row r="73" customFormat="false" ht="15" hidden="false" customHeight="true" outlineLevel="0" collapsed="false">
      <c r="A73" s="8" t="s">
        <v>152</v>
      </c>
      <c r="B73" s="8" t="s">
        <v>151</v>
      </c>
      <c r="C73" s="20"/>
      <c r="D73" s="20"/>
      <c r="E73" s="9" t="n">
        <v>170000</v>
      </c>
      <c r="F73" s="20"/>
    </row>
    <row r="74" customFormat="false" ht="15" hidden="false" customHeight="true" outlineLevel="0" collapsed="false">
      <c r="A74" s="8" t="s">
        <v>153</v>
      </c>
      <c r="B74" s="8" t="s">
        <v>151</v>
      </c>
      <c r="C74" s="20"/>
      <c r="D74" s="20"/>
      <c r="E74" s="9" t="n">
        <v>170000</v>
      </c>
      <c r="F74" s="20"/>
    </row>
    <row r="75" customFormat="false" ht="15" hidden="false" customHeight="true" outlineLevel="0" collapsed="false">
      <c r="A75" s="8" t="s">
        <v>154</v>
      </c>
      <c r="B75" s="8" t="s">
        <v>155</v>
      </c>
      <c r="C75" s="20"/>
      <c r="D75" s="20"/>
      <c r="E75" s="9" t="n">
        <v>160000</v>
      </c>
      <c r="F75" s="20"/>
    </row>
    <row r="76" customFormat="false" ht="15" hidden="false" customHeight="true" outlineLevel="0" collapsed="false">
      <c r="A76" s="8" t="s">
        <v>156</v>
      </c>
      <c r="B76" s="8" t="s">
        <v>151</v>
      </c>
      <c r="C76" s="20"/>
      <c r="D76" s="20"/>
      <c r="E76" s="9" t="n">
        <v>150000</v>
      </c>
      <c r="F76" s="20"/>
    </row>
    <row r="77" customFormat="false" ht="15" hidden="false" customHeight="true" outlineLevel="0" collapsed="false">
      <c r="A77" s="8" t="s">
        <v>157</v>
      </c>
      <c r="B77" s="8" t="s">
        <v>151</v>
      </c>
      <c r="C77" s="20"/>
      <c r="D77" s="20"/>
      <c r="E77" s="9" t="n">
        <v>150000</v>
      </c>
      <c r="F77" s="20"/>
    </row>
    <row r="78" customFormat="false" ht="15" hidden="false" customHeight="true" outlineLevel="0" collapsed="false">
      <c r="A78" s="8" t="s">
        <v>158</v>
      </c>
      <c r="B78" s="8" t="s">
        <v>151</v>
      </c>
      <c r="C78" s="20"/>
      <c r="D78" s="20"/>
      <c r="E78" s="9" t="n">
        <v>130000</v>
      </c>
      <c r="F78" s="20"/>
    </row>
    <row r="79" customFormat="false" ht="15" hidden="false" customHeight="true" outlineLevel="0" collapsed="false">
      <c r="A79" s="8" t="s">
        <v>159</v>
      </c>
      <c r="B79" s="8" t="s">
        <v>151</v>
      </c>
      <c r="C79" s="20"/>
      <c r="D79" s="20"/>
      <c r="E79" s="9" t="n">
        <v>75000</v>
      </c>
      <c r="F79" s="20"/>
    </row>
    <row r="80" customFormat="false" ht="15" hidden="false" customHeight="true" outlineLevel="0" collapsed="false">
      <c r="A80" s="8" t="s">
        <v>160</v>
      </c>
      <c r="B80" s="8" t="s">
        <v>161</v>
      </c>
      <c r="C80" s="20"/>
      <c r="D80" s="20"/>
      <c r="E80" s="9" t="n">
        <v>120000</v>
      </c>
      <c r="F80" s="20"/>
    </row>
    <row r="81" customFormat="false" ht="15" hidden="false" customHeight="true" outlineLevel="0" collapsed="false">
      <c r="A81" s="8" t="s">
        <v>162</v>
      </c>
      <c r="B81" s="8" t="s">
        <v>161</v>
      </c>
      <c r="C81" s="20"/>
      <c r="D81" s="20"/>
      <c r="E81" s="9" t="n">
        <v>105000</v>
      </c>
      <c r="F81" s="20"/>
    </row>
    <row r="82" customFormat="false" ht="15" hidden="false" customHeight="true" outlineLevel="0" collapsed="false">
      <c r="A82" s="8" t="s">
        <v>163</v>
      </c>
      <c r="B82" s="8" t="s">
        <v>161</v>
      </c>
      <c r="C82" s="20"/>
      <c r="D82" s="20"/>
      <c r="E82" s="9" t="n">
        <v>105000</v>
      </c>
      <c r="F82" s="20"/>
    </row>
    <row r="83" customFormat="false" ht="15" hidden="false" customHeight="true" outlineLevel="0" collapsed="false">
      <c r="A83" s="8" t="s">
        <v>164</v>
      </c>
      <c r="B83" s="8" t="s">
        <v>165</v>
      </c>
      <c r="C83" s="20"/>
      <c r="D83" s="20"/>
      <c r="E83" s="9" t="n">
        <v>97500</v>
      </c>
      <c r="F83" s="20"/>
    </row>
    <row r="84" customFormat="false" ht="15" hidden="false" customHeight="true" outlineLevel="0" collapsed="false">
      <c r="A84" s="8" t="s">
        <v>166</v>
      </c>
      <c r="B84" s="8" t="s">
        <v>165</v>
      </c>
      <c r="C84" s="20"/>
      <c r="D84" s="20"/>
      <c r="E84" s="9" t="n">
        <v>90000</v>
      </c>
      <c r="F84" s="20"/>
    </row>
    <row r="85" customFormat="false" ht="15" hidden="false" customHeight="true" outlineLevel="0" collapsed="false">
      <c r="A85" s="8" t="s">
        <v>167</v>
      </c>
      <c r="B85" s="8" t="s">
        <v>168</v>
      </c>
      <c r="C85" s="20"/>
      <c r="D85" s="20"/>
      <c r="E85" s="9" t="n">
        <v>100000</v>
      </c>
      <c r="F85" s="20"/>
    </row>
    <row r="86" customFormat="false" ht="15" hidden="false" customHeight="true" outlineLevel="0" collapsed="false">
      <c r="A86" s="8" t="s">
        <v>169</v>
      </c>
      <c r="B86" s="8" t="s">
        <v>170</v>
      </c>
      <c r="C86" s="20"/>
      <c r="D86" s="20"/>
      <c r="E86" s="9" t="n">
        <v>70000</v>
      </c>
      <c r="F86" s="20"/>
    </row>
    <row r="87" customFormat="false" ht="15" hidden="false" customHeight="true" outlineLevel="0" collapsed="false">
      <c r="A87" s="8" t="s">
        <v>171</v>
      </c>
      <c r="B87" s="8" t="s">
        <v>172</v>
      </c>
      <c r="C87" s="20"/>
      <c r="D87" s="20"/>
      <c r="E87" s="9" t="n">
        <v>69992</v>
      </c>
      <c r="F87" s="20"/>
    </row>
    <row r="88" customFormat="false" ht="15" hidden="false" customHeight="true" outlineLevel="0" collapsed="false">
      <c r="A88" s="8" t="s">
        <v>173</v>
      </c>
      <c r="B88" s="8" t="s">
        <v>174</v>
      </c>
      <c r="C88" s="20"/>
      <c r="D88" s="20"/>
      <c r="E88" s="9" t="n">
        <v>62400</v>
      </c>
      <c r="F88" s="20"/>
    </row>
    <row r="89" customFormat="false" ht="15" hidden="false" customHeight="true" outlineLevel="0" collapsed="false">
      <c r="A89" s="8" t="s">
        <v>175</v>
      </c>
      <c r="B89" s="8" t="s">
        <v>172</v>
      </c>
      <c r="C89" s="20"/>
      <c r="D89" s="20"/>
      <c r="E89" s="9" t="n">
        <v>52000</v>
      </c>
      <c r="F89" s="20"/>
    </row>
    <row r="90" customFormat="false" ht="15" hidden="false" customHeight="true" outlineLevel="0" collapsed="false">
      <c r="A90" s="8" t="s">
        <v>176</v>
      </c>
      <c r="B90" s="8" t="s">
        <v>177</v>
      </c>
      <c r="C90" s="20"/>
      <c r="D90" s="20"/>
      <c r="E90" s="9" t="n">
        <v>43680</v>
      </c>
      <c r="F90" s="20"/>
    </row>
    <row r="91" customFormat="false" ht="15" hidden="false" customHeight="true" outlineLevel="0" collapsed="false">
      <c r="A91" s="11" t="s">
        <v>178</v>
      </c>
      <c r="B91" s="35"/>
      <c r="C91" s="35"/>
      <c r="D91" s="35"/>
      <c r="E91" s="12" t="n">
        <f aca="false">SUM(E66:E90)</f>
        <v>3290572</v>
      </c>
      <c r="F91" s="35"/>
    </row>
    <row r="93" customFormat="false" ht="15" hidden="false" customHeight="true" outlineLevel="0" collapsed="false">
      <c r="A93" s="34" t="s">
        <v>179</v>
      </c>
      <c r="B93" s="34" t="s">
        <v>137</v>
      </c>
      <c r="C93" s="5" t="s">
        <v>67</v>
      </c>
      <c r="D93" s="28"/>
      <c r="E93" s="5" t="s">
        <v>138</v>
      </c>
      <c r="F93" s="5" t="s">
        <v>180</v>
      </c>
    </row>
    <row r="94" customFormat="false" ht="15" hidden="false" customHeight="true" outlineLevel="0" collapsed="false">
      <c r="A94" s="8" t="s">
        <v>181</v>
      </c>
      <c r="B94" s="8" t="s">
        <v>182</v>
      </c>
      <c r="C94" s="29" t="s">
        <v>96</v>
      </c>
      <c r="D94" s="20"/>
      <c r="E94" s="9" t="n">
        <v>160000</v>
      </c>
      <c r="F94" s="32" t="s">
        <v>94</v>
      </c>
    </row>
    <row r="95" customFormat="false" ht="15" hidden="false" customHeight="true" outlineLevel="0" collapsed="false">
      <c r="A95" s="8" t="s">
        <v>183</v>
      </c>
      <c r="B95" s="8" t="s">
        <v>161</v>
      </c>
      <c r="C95" s="29" t="s">
        <v>4</v>
      </c>
      <c r="D95" s="20"/>
      <c r="E95" s="9" t="n">
        <v>125000</v>
      </c>
      <c r="F95" s="32" t="s">
        <v>83</v>
      </c>
    </row>
    <row r="96" customFormat="false" ht="15" hidden="false" customHeight="true" outlineLevel="0" collapsed="false">
      <c r="A96" s="8" t="s">
        <v>184</v>
      </c>
      <c r="B96" s="8" t="s">
        <v>182</v>
      </c>
      <c r="C96" s="29" t="s">
        <v>6</v>
      </c>
      <c r="D96" s="20"/>
      <c r="E96" s="9" t="n">
        <v>160000</v>
      </c>
      <c r="F96" s="32" t="s">
        <v>88</v>
      </c>
    </row>
    <row r="97" customFormat="false" ht="15" hidden="false" customHeight="true" outlineLevel="0" collapsed="false">
      <c r="A97" s="8" t="s">
        <v>185</v>
      </c>
      <c r="B97" s="8" t="s">
        <v>182</v>
      </c>
      <c r="C97" s="29" t="s">
        <v>7</v>
      </c>
      <c r="D97" s="20"/>
      <c r="E97" s="9" t="n">
        <v>160000</v>
      </c>
      <c r="F97" s="32" t="s">
        <v>90</v>
      </c>
    </row>
    <row r="98" customFormat="false" ht="15" hidden="false" customHeight="true" outlineLevel="0" collapsed="false">
      <c r="A98" s="8" t="s">
        <v>186</v>
      </c>
      <c r="B98" s="8" t="s">
        <v>161</v>
      </c>
      <c r="C98" s="29" t="s">
        <v>7</v>
      </c>
      <c r="D98" s="20"/>
      <c r="E98" s="9" t="n">
        <v>125000</v>
      </c>
      <c r="F98" s="32" t="s">
        <v>90</v>
      </c>
    </row>
    <row r="99" customFormat="false" ht="15" hidden="false" customHeight="true" outlineLevel="0" collapsed="false">
      <c r="A99" s="8" t="s">
        <v>187</v>
      </c>
      <c r="B99" s="8" t="s">
        <v>182</v>
      </c>
      <c r="C99" s="29" t="s">
        <v>8</v>
      </c>
      <c r="D99" s="20"/>
      <c r="E99" s="9" t="n">
        <v>160000</v>
      </c>
      <c r="F99" s="32" t="s">
        <v>188</v>
      </c>
    </row>
    <row r="100" customFormat="false" ht="15" hidden="false" customHeight="true" outlineLevel="0" collapsed="false">
      <c r="A100" s="8" t="s">
        <v>189</v>
      </c>
      <c r="B100" s="8" t="s">
        <v>182</v>
      </c>
      <c r="C100" s="29" t="s">
        <v>8</v>
      </c>
      <c r="D100" s="20"/>
      <c r="E100" s="9" t="n">
        <v>160000</v>
      </c>
      <c r="F100" s="32" t="s">
        <v>188</v>
      </c>
    </row>
    <row r="101" customFormat="false" ht="15" hidden="false" customHeight="true" outlineLevel="0" collapsed="false">
      <c r="A101" s="8" t="s">
        <v>190</v>
      </c>
      <c r="B101" s="8" t="s">
        <v>148</v>
      </c>
      <c r="C101" s="29" t="s">
        <v>8</v>
      </c>
      <c r="D101" s="20"/>
      <c r="E101" s="9" t="n">
        <v>130000</v>
      </c>
      <c r="F101" s="32" t="s">
        <v>188</v>
      </c>
    </row>
    <row r="102" customFormat="false" ht="15" hidden="false" customHeight="true" outlineLevel="0" collapsed="false">
      <c r="A102" s="8" t="s">
        <v>191</v>
      </c>
      <c r="B102" s="8" t="s">
        <v>161</v>
      </c>
      <c r="C102" s="29" t="s">
        <v>8</v>
      </c>
      <c r="D102" s="20"/>
      <c r="E102" s="9" t="n">
        <v>125000</v>
      </c>
      <c r="F102" s="32" t="s">
        <v>188</v>
      </c>
    </row>
    <row r="103" customFormat="false" ht="15" hidden="false" customHeight="true" outlineLevel="0" collapsed="false">
      <c r="A103" s="8" t="s">
        <v>192</v>
      </c>
      <c r="B103" s="8" t="s">
        <v>182</v>
      </c>
      <c r="C103" s="29" t="s">
        <v>12</v>
      </c>
      <c r="D103" s="20"/>
      <c r="E103" s="9" t="n">
        <v>160000</v>
      </c>
      <c r="F103" s="32" t="s">
        <v>193</v>
      </c>
    </row>
    <row r="104" customFormat="false" ht="15" hidden="false" customHeight="true" outlineLevel="0" collapsed="false">
      <c r="A104" s="8" t="s">
        <v>194</v>
      </c>
      <c r="B104" s="8" t="s">
        <v>148</v>
      </c>
      <c r="C104" s="29" t="s">
        <v>12</v>
      </c>
      <c r="D104" s="20"/>
      <c r="E104" s="9" t="n">
        <v>130000</v>
      </c>
      <c r="F104" s="32" t="s">
        <v>193</v>
      </c>
    </row>
    <row r="105" customFormat="false" ht="15" hidden="false" customHeight="true" outlineLevel="0" collapsed="false">
      <c r="A105" s="8" t="s">
        <v>195</v>
      </c>
      <c r="B105" s="8" t="s">
        <v>146</v>
      </c>
      <c r="C105" s="29" t="s">
        <v>12</v>
      </c>
      <c r="D105" s="20"/>
      <c r="E105" s="9" t="n">
        <v>180000</v>
      </c>
      <c r="F105" s="32" t="s">
        <v>193</v>
      </c>
    </row>
    <row r="106" customFormat="false" ht="15" hidden="false" customHeight="true" outlineLevel="0" collapsed="false">
      <c r="A106" s="8" t="s">
        <v>196</v>
      </c>
      <c r="B106" s="8" t="s">
        <v>161</v>
      </c>
      <c r="C106" s="29" t="s">
        <v>12</v>
      </c>
      <c r="D106" s="20"/>
      <c r="E106" s="9" t="n">
        <v>125000</v>
      </c>
      <c r="F106" s="32" t="s">
        <v>193</v>
      </c>
    </row>
    <row r="107" customFormat="false" ht="15" hidden="false" customHeight="true" outlineLevel="0" collapsed="false">
      <c r="A107" s="11" t="s">
        <v>197</v>
      </c>
      <c r="B107" s="35"/>
      <c r="C107" s="35"/>
      <c r="D107" s="35"/>
      <c r="E107" s="12" t="n">
        <f aca="false">SUM(E94:E106)</f>
        <v>1900000</v>
      </c>
      <c r="F107" s="35"/>
    </row>
  </sheetData>
  <mergeCells count="14">
    <mergeCell ref="B14:F14"/>
    <mergeCell ref="B15:F15"/>
    <mergeCell ref="B40:F40"/>
    <mergeCell ref="B41:F41"/>
    <mergeCell ref="B42:F42"/>
    <mergeCell ref="B45:F45"/>
    <mergeCell ref="B46:F46"/>
    <mergeCell ref="B47:F47"/>
    <mergeCell ref="B48:F48"/>
    <mergeCell ref="B49:F49"/>
    <mergeCell ref="B52:F52"/>
    <mergeCell ref="B53:F53"/>
    <mergeCell ref="B54:F54"/>
    <mergeCell ref="A64:F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9140625" defaultRowHeight="15" zeroHeight="false" outlineLevelRow="0" outlineLevelCol="0"/>
  <cols>
    <col collapsed="false" customWidth="true" hidden="false" outlineLevel="0" max="1" min="1" style="1" width="58"/>
    <col collapsed="false" customWidth="true" hidden="false" outlineLevel="0" max="13" min="2" style="1" width="12.5"/>
    <col collapsed="false" customWidth="true" hidden="false" outlineLevel="0" max="14" min="14" style="1" width="14"/>
    <col collapsed="false" customWidth="true" hidden="false" outlineLevel="0" max="15" min="15" style="1" width="12.5"/>
  </cols>
  <sheetData>
    <row r="1" customFormat="false" ht="17.25" hidden="false" customHeight="true" outlineLevel="0" collapsed="false">
      <c r="A1" s="2" t="s">
        <v>198</v>
      </c>
      <c r="B1" s="36"/>
      <c r="C1" s="36"/>
      <c r="D1" s="36"/>
      <c r="E1" s="36"/>
      <c r="F1" s="36"/>
      <c r="G1" s="36"/>
      <c r="H1" s="36"/>
      <c r="I1" s="36"/>
      <c r="J1" s="36"/>
      <c r="K1" s="36"/>
      <c r="L1" s="36"/>
      <c r="M1" s="36"/>
      <c r="N1" s="36"/>
    </row>
    <row r="2" customFormat="false" ht="15" hidden="false" customHeight="true" outlineLevel="0" collapsed="false">
      <c r="A2" s="16" t="s">
        <v>199</v>
      </c>
      <c r="B2" s="36"/>
      <c r="C2" s="36"/>
      <c r="D2" s="36"/>
      <c r="E2" s="36"/>
      <c r="F2" s="36"/>
      <c r="G2" s="36"/>
      <c r="H2" s="36"/>
      <c r="I2" s="36"/>
      <c r="J2" s="36"/>
      <c r="K2" s="36"/>
      <c r="L2" s="36"/>
      <c r="M2" s="36"/>
      <c r="N2" s="36"/>
    </row>
    <row r="3" customFormat="false" ht="15" hidden="false" customHeight="true" outlineLevel="0" collapsed="false">
      <c r="A3" s="36"/>
      <c r="B3" s="36"/>
      <c r="C3" s="36"/>
      <c r="D3" s="36"/>
      <c r="E3" s="36"/>
      <c r="F3" s="36"/>
      <c r="G3" s="36"/>
      <c r="H3" s="36"/>
      <c r="I3" s="36"/>
      <c r="J3" s="36"/>
      <c r="K3" s="36"/>
      <c r="L3" s="36"/>
      <c r="M3" s="36"/>
      <c r="N3" s="36"/>
    </row>
    <row r="4" customFormat="false" ht="15" hidden="false" customHeight="true" outlineLevel="0" collapsed="false">
      <c r="A4" s="4" t="s">
        <v>200</v>
      </c>
      <c r="B4" s="5" t="s">
        <v>3</v>
      </c>
      <c r="C4" s="5" t="s">
        <v>4</v>
      </c>
      <c r="D4" s="5" t="s">
        <v>5</v>
      </c>
      <c r="E4" s="5" t="s">
        <v>6</v>
      </c>
      <c r="F4" s="5" t="s">
        <v>7</v>
      </c>
      <c r="G4" s="5" t="s">
        <v>8</v>
      </c>
      <c r="H4" s="5" t="s">
        <v>9</v>
      </c>
      <c r="I4" s="5" t="s">
        <v>10</v>
      </c>
      <c r="J4" s="5" t="s">
        <v>11</v>
      </c>
      <c r="K4" s="5" t="s">
        <v>12</v>
      </c>
      <c r="L4" s="5" t="s">
        <v>13</v>
      </c>
      <c r="M4" s="5" t="s">
        <v>14</v>
      </c>
      <c r="N4" s="5" t="s">
        <v>15</v>
      </c>
    </row>
    <row r="5" customFormat="false" ht="15" hidden="false" customHeight="true" outlineLevel="0" collapsed="false">
      <c r="A5" s="6" t="s">
        <v>201</v>
      </c>
      <c r="B5" s="37"/>
      <c r="C5" s="37"/>
      <c r="D5" s="37"/>
      <c r="E5" s="37"/>
      <c r="F5" s="37"/>
      <c r="G5" s="37"/>
      <c r="H5" s="37"/>
      <c r="I5" s="37"/>
      <c r="J5" s="37"/>
      <c r="K5" s="37"/>
      <c r="L5" s="37"/>
      <c r="M5" s="37"/>
      <c r="N5" s="37"/>
    </row>
    <row r="6" customFormat="false" ht="15" hidden="false" customHeight="true" outlineLevel="0" collapsed="false">
      <c r="A6" s="38" t="s">
        <v>202</v>
      </c>
      <c r="B6" s="39" t="n">
        <v>413306.31951925</v>
      </c>
      <c r="C6" s="39" t="n">
        <v>423591.630202</v>
      </c>
      <c r="D6" s="39" t="n">
        <v>443350.630202</v>
      </c>
      <c r="E6" s="39" t="n">
        <v>490831.081525403</v>
      </c>
      <c r="F6" s="39" t="n">
        <v>515376.770734153</v>
      </c>
      <c r="G6" s="39" t="n">
        <v>680044.573593741</v>
      </c>
      <c r="H6" s="39" t="n">
        <v>733430.113593741</v>
      </c>
      <c r="I6" s="39" t="n">
        <v>670566.933593741</v>
      </c>
      <c r="J6" s="39" t="n">
        <v>744326.413507491</v>
      </c>
      <c r="K6" s="39" t="n">
        <v>747258.874159097</v>
      </c>
      <c r="L6" s="39" t="n">
        <v>829071.404159097</v>
      </c>
      <c r="M6" s="39" t="n">
        <v>726699.964159097</v>
      </c>
      <c r="N6" s="40" t="n">
        <f aca="false">SUM(B6:M6)</f>
        <v>7417854.70894881</v>
      </c>
    </row>
    <row r="7" customFormat="false" ht="15" hidden="false" customHeight="true" outlineLevel="0" collapsed="false">
      <c r="A7" s="38" t="s">
        <v>203</v>
      </c>
      <c r="B7" s="39" t="n">
        <v>316162.6671994</v>
      </c>
      <c r="C7" s="39" t="n">
        <v>324551.2229976</v>
      </c>
      <c r="D7" s="39" t="n">
        <v>334137.1229976</v>
      </c>
      <c r="E7" s="39" t="n">
        <v>370122.321401878</v>
      </c>
      <c r="F7" s="39" t="n">
        <v>389762.561588878</v>
      </c>
      <c r="G7" s="39" t="n">
        <v>511137.05194244</v>
      </c>
      <c r="H7" s="39" t="n">
        <v>551466.50194244</v>
      </c>
      <c r="I7" s="39" t="n">
        <v>504589.23194244</v>
      </c>
      <c r="J7" s="39" t="n">
        <v>567918.57413344</v>
      </c>
      <c r="K7" s="39" t="n">
        <v>569291.410640747</v>
      </c>
      <c r="L7" s="39" t="n">
        <v>635174.560640747</v>
      </c>
      <c r="M7" s="39" t="n">
        <v>554019.080640748</v>
      </c>
      <c r="N7" s="40" t="n">
        <f aca="false">SUM(B7:M7)</f>
        <v>5628332.30806836</v>
      </c>
    </row>
    <row r="8" customFormat="false" ht="15" hidden="false" customHeight="true" outlineLevel="0" collapsed="false">
      <c r="A8" s="6" t="s">
        <v>204</v>
      </c>
      <c r="B8" s="37"/>
      <c r="C8" s="37"/>
      <c r="D8" s="37"/>
      <c r="E8" s="37"/>
      <c r="F8" s="37"/>
      <c r="G8" s="37"/>
      <c r="H8" s="37"/>
      <c r="I8" s="37"/>
      <c r="J8" s="37"/>
      <c r="K8" s="37"/>
      <c r="L8" s="37"/>
      <c r="M8" s="37"/>
      <c r="N8" s="37"/>
    </row>
    <row r="9" customFormat="false" ht="15" hidden="false" customHeight="true" outlineLevel="0" collapsed="false">
      <c r="A9" s="38" t="s">
        <v>205</v>
      </c>
      <c r="B9" s="39" t="n">
        <v>971939.79</v>
      </c>
      <c r="C9" s="39" t="n">
        <v>809808.44</v>
      </c>
      <c r="D9" s="39" t="n">
        <v>1050106.48</v>
      </c>
      <c r="E9" s="39" t="n">
        <v>858162.3</v>
      </c>
      <c r="F9" s="39" t="n">
        <v>677761.69</v>
      </c>
      <c r="G9" s="39" t="n">
        <v>619657.29</v>
      </c>
      <c r="H9" s="39" t="n">
        <v>833901.29</v>
      </c>
      <c r="I9" s="39" t="n">
        <v>832480.71</v>
      </c>
      <c r="J9" s="39" t="n">
        <v>283737.27</v>
      </c>
      <c r="K9" s="39" t="n">
        <v>0</v>
      </c>
      <c r="L9" s="39" t="n">
        <v>0</v>
      </c>
      <c r="M9" s="39" t="n">
        <v>0</v>
      </c>
      <c r="N9" s="40" t="n">
        <f aca="false">SUM(B9:M9)</f>
        <v>6937555.26</v>
      </c>
    </row>
    <row r="10" customFormat="false" ht="15" hidden="false" customHeight="true" outlineLevel="0" collapsed="false">
      <c r="A10" s="38" t="s">
        <v>206</v>
      </c>
      <c r="B10" s="39" t="n">
        <v>585157.97</v>
      </c>
      <c r="C10" s="39" t="n">
        <v>497554.02</v>
      </c>
      <c r="D10" s="39" t="n">
        <v>597185.64</v>
      </c>
      <c r="E10" s="39" t="n">
        <v>572361.81</v>
      </c>
      <c r="F10" s="39" t="n">
        <v>509265.9</v>
      </c>
      <c r="G10" s="39" t="n">
        <v>344727.54</v>
      </c>
      <c r="H10" s="39" t="n">
        <v>149345.54</v>
      </c>
      <c r="I10" s="39" t="n">
        <v>141640.49</v>
      </c>
      <c r="J10" s="39" t="n">
        <v>0</v>
      </c>
      <c r="K10" s="39" t="n">
        <v>0</v>
      </c>
      <c r="L10" s="39" t="n">
        <v>0</v>
      </c>
      <c r="M10" s="39" t="n">
        <v>0</v>
      </c>
      <c r="N10" s="40" t="n">
        <f aca="false">SUM(B10:M10)</f>
        <v>3397238.91</v>
      </c>
    </row>
    <row r="11" customFormat="false" ht="15" hidden="false" customHeight="true" outlineLevel="0" collapsed="false">
      <c r="A11" s="38" t="s">
        <v>207</v>
      </c>
      <c r="B11" s="39" t="n">
        <v>515849.83</v>
      </c>
      <c r="C11" s="39" t="n">
        <v>492274.7</v>
      </c>
      <c r="D11" s="39" t="n">
        <v>347513.21</v>
      </c>
      <c r="E11" s="39" t="n">
        <v>326394.52</v>
      </c>
      <c r="F11" s="39" t="n">
        <v>251483.96</v>
      </c>
      <c r="G11" s="39" t="n">
        <v>612215.42</v>
      </c>
      <c r="H11" s="39" t="n">
        <v>871620.13</v>
      </c>
      <c r="I11" s="39" t="n">
        <v>588727.53</v>
      </c>
      <c r="J11" s="39" t="n">
        <v>374851.55</v>
      </c>
      <c r="K11" s="39" t="n">
        <v>145501.97</v>
      </c>
      <c r="L11" s="39" t="n">
        <v>0</v>
      </c>
      <c r="M11" s="39" t="n">
        <v>0</v>
      </c>
      <c r="N11" s="40" t="n">
        <f aca="false">SUM(B11:M11)</f>
        <v>4526432.82</v>
      </c>
    </row>
    <row r="12" customFormat="false" ht="15" hidden="false" customHeight="true" outlineLevel="0" collapsed="false">
      <c r="A12" s="38" t="s">
        <v>208</v>
      </c>
      <c r="B12" s="39" t="n">
        <v>280874.08</v>
      </c>
      <c r="C12" s="39" t="n">
        <v>251083.56</v>
      </c>
      <c r="D12" s="39" t="n">
        <v>95915.43</v>
      </c>
      <c r="E12" s="39" t="n">
        <v>80111.01</v>
      </c>
      <c r="F12" s="39" t="n">
        <v>54755.77</v>
      </c>
      <c r="G12" s="39" t="n">
        <v>16794.36</v>
      </c>
      <c r="H12" s="39" t="n">
        <v>0</v>
      </c>
      <c r="I12" s="39" t="n">
        <v>0</v>
      </c>
      <c r="J12" s="39" t="n">
        <v>0</v>
      </c>
      <c r="K12" s="39" t="n">
        <v>0</v>
      </c>
      <c r="L12" s="39" t="n">
        <v>0</v>
      </c>
      <c r="M12" s="39" t="n">
        <v>0</v>
      </c>
      <c r="N12" s="40" t="n">
        <f aca="false">SUM(B12:M12)</f>
        <v>779534.21</v>
      </c>
    </row>
    <row r="13" customFormat="false" ht="15" hidden="false" customHeight="true" outlineLevel="0" collapsed="false">
      <c r="A13" s="38" t="s">
        <v>209</v>
      </c>
      <c r="B13" s="39" t="n">
        <v>653798.18</v>
      </c>
      <c r="C13" s="39" t="n">
        <v>528908.03</v>
      </c>
      <c r="D13" s="39" t="n">
        <v>638138.2</v>
      </c>
      <c r="E13" s="39" t="n">
        <v>538967.17</v>
      </c>
      <c r="F13" s="39" t="n">
        <v>662393.2</v>
      </c>
      <c r="G13" s="39" t="n">
        <v>622572.88</v>
      </c>
      <c r="H13" s="39" t="n">
        <v>1116701.29</v>
      </c>
      <c r="I13" s="39" t="n">
        <v>713626.26</v>
      </c>
      <c r="J13" s="39" t="n">
        <v>2128085.39</v>
      </c>
      <c r="K13" s="39" t="n">
        <v>1344331.61</v>
      </c>
      <c r="L13" s="39" t="n">
        <v>2761329.57</v>
      </c>
      <c r="M13" s="39" t="n">
        <v>1589952.85</v>
      </c>
      <c r="N13" s="40" t="n">
        <f aca="false">SUM(B13:M13)</f>
        <v>13298804.63</v>
      </c>
    </row>
    <row r="14" customFormat="false" ht="15" hidden="false" customHeight="true" outlineLevel="0" collapsed="false">
      <c r="A14" s="38" t="s">
        <v>210</v>
      </c>
      <c r="B14" s="39" t="n">
        <v>608390.91</v>
      </c>
      <c r="C14" s="39" t="n">
        <v>689649.86</v>
      </c>
      <c r="D14" s="39" t="n">
        <v>759449.54</v>
      </c>
      <c r="E14" s="39" t="n">
        <v>813162.42</v>
      </c>
      <c r="F14" s="39" t="n">
        <v>847037.51</v>
      </c>
      <c r="G14" s="39" t="n">
        <v>858612.78</v>
      </c>
      <c r="H14" s="39" t="n">
        <v>847037.51</v>
      </c>
      <c r="I14" s="39" t="n">
        <v>813162.42</v>
      </c>
      <c r="J14" s="39" t="n">
        <v>759449.54</v>
      </c>
      <c r="K14" s="39" t="n">
        <v>689649.86</v>
      </c>
      <c r="L14" s="39" t="n">
        <v>608390.91</v>
      </c>
      <c r="M14" s="39" t="n">
        <v>520661.15</v>
      </c>
      <c r="N14" s="40" t="n">
        <f aca="false">SUM(B14:M14)</f>
        <v>8814654.41</v>
      </c>
    </row>
    <row r="15" customFormat="false" ht="15" hidden="false" customHeight="true" outlineLevel="0" collapsed="false">
      <c r="A15" s="38" t="s">
        <v>211</v>
      </c>
      <c r="B15" s="39" t="n">
        <v>771225.14</v>
      </c>
      <c r="C15" s="39" t="n">
        <v>849281.08</v>
      </c>
      <c r="D15" s="39" t="n">
        <v>909347.4</v>
      </c>
      <c r="E15" s="39" t="n">
        <v>947229.39</v>
      </c>
      <c r="F15" s="39" t="n">
        <v>960173.85</v>
      </c>
      <c r="G15" s="39" t="n">
        <v>947229.39</v>
      </c>
      <c r="H15" s="39" t="n">
        <v>909347.4</v>
      </c>
      <c r="I15" s="39" t="n">
        <v>849281.08</v>
      </c>
      <c r="J15" s="39" t="n">
        <v>771225.14</v>
      </c>
      <c r="K15" s="39" t="n">
        <v>680354.47</v>
      </c>
      <c r="L15" s="39" t="n">
        <v>582247.59</v>
      </c>
      <c r="M15" s="39" t="n">
        <v>482353.29</v>
      </c>
      <c r="N15" s="40" t="n">
        <f aca="false">SUM(B15:M15)</f>
        <v>9659295.22</v>
      </c>
    </row>
    <row r="16" customFormat="false" ht="15" hidden="false" customHeight="true" outlineLevel="0" collapsed="false">
      <c r="A16" s="38" t="s">
        <v>212</v>
      </c>
      <c r="B16" s="39" t="n">
        <v>0</v>
      </c>
      <c r="C16" s="39" t="n">
        <v>0</v>
      </c>
      <c r="D16" s="39" t="n">
        <v>0</v>
      </c>
      <c r="E16" s="39" t="n">
        <v>0</v>
      </c>
      <c r="F16" s="39" t="n">
        <v>0</v>
      </c>
      <c r="G16" s="39" t="n">
        <v>347239.474032717</v>
      </c>
      <c r="H16" s="39" t="n">
        <v>431977.127715267</v>
      </c>
      <c r="I16" s="39" t="n">
        <v>522674.449669317</v>
      </c>
      <c r="J16" s="39" t="n">
        <v>617366.956649817</v>
      </c>
      <c r="K16" s="39" t="n">
        <v>713427.980048217</v>
      </c>
      <c r="L16" s="39" t="n">
        <v>807921.831419667</v>
      </c>
      <c r="M16" s="39" t="n">
        <v>897537.583946667</v>
      </c>
      <c r="N16" s="40" t="n">
        <f aca="false">SUM(B16:M16)</f>
        <v>4338145.40348167</v>
      </c>
    </row>
    <row r="17" customFormat="false" ht="15" hidden="false" customHeight="true" outlineLevel="0" collapsed="false">
      <c r="A17" s="38" t="s">
        <v>213</v>
      </c>
      <c r="B17" s="39" t="n">
        <v>0</v>
      </c>
      <c r="C17" s="39" t="n">
        <v>196306.31287205</v>
      </c>
      <c r="D17" s="39" t="n">
        <v>256105.78146805</v>
      </c>
      <c r="E17" s="39" t="n">
        <v>320473.53105705</v>
      </c>
      <c r="F17" s="39" t="n">
        <v>386842.89642705</v>
      </c>
      <c r="G17" s="39" t="n">
        <v>452024.70028105</v>
      </c>
      <c r="H17" s="39" t="n">
        <v>512398.79541705</v>
      </c>
      <c r="I17" s="39" t="n">
        <v>564258.84065205</v>
      </c>
      <c r="J17" s="39" t="n">
        <v>604166.65385505</v>
      </c>
      <c r="K17" s="39" t="n">
        <v>629335.29630705</v>
      </c>
      <c r="L17" s="39" t="n">
        <v>637935.54018905</v>
      </c>
      <c r="M17" s="39" t="n">
        <v>629335.29630705</v>
      </c>
      <c r="N17" s="40" t="n">
        <f aca="false">SUM(B17:M17)</f>
        <v>5189183.64483255</v>
      </c>
    </row>
    <row r="18" customFormat="false" ht="15" hidden="false" customHeight="true" outlineLevel="0" collapsed="false">
      <c r="A18" s="38" t="s">
        <v>214</v>
      </c>
      <c r="B18" s="39" t="n">
        <v>154657.42123235</v>
      </c>
      <c r="C18" s="39" t="n">
        <v>201769.66876435</v>
      </c>
      <c r="D18" s="39" t="n">
        <v>252480.97812735</v>
      </c>
      <c r="E18" s="39" t="n">
        <v>304769.23491735</v>
      </c>
      <c r="F18" s="39" t="n">
        <v>356121.88653535</v>
      </c>
      <c r="G18" s="39" t="n">
        <v>403686.84624735</v>
      </c>
      <c r="H18" s="39" t="n">
        <v>444544.12049235</v>
      </c>
      <c r="I18" s="39" t="n">
        <v>475984.98139335</v>
      </c>
      <c r="J18" s="39" t="n">
        <v>495813.77487735</v>
      </c>
      <c r="K18" s="39" t="n">
        <v>502589.36717135</v>
      </c>
      <c r="L18" s="39" t="n">
        <v>495813.77487735</v>
      </c>
      <c r="M18" s="39" t="n">
        <v>475984.98139335</v>
      </c>
      <c r="N18" s="40" t="n">
        <f aca="false">SUM(B18:M18)</f>
        <v>4564217.0360292</v>
      </c>
    </row>
    <row r="19" customFormat="false" ht="15" hidden="false" customHeight="true" outlineLevel="0" collapsed="false">
      <c r="A19" s="38" t="s">
        <v>215</v>
      </c>
      <c r="B19" s="39" t="n">
        <v>0</v>
      </c>
      <c r="C19" s="39" t="n">
        <v>0</v>
      </c>
      <c r="D19" s="39" t="n">
        <v>0</v>
      </c>
      <c r="E19" s="39" t="n">
        <v>0</v>
      </c>
      <c r="F19" s="39" t="n">
        <v>0</v>
      </c>
      <c r="G19" s="39" t="n">
        <v>556266.059712783</v>
      </c>
      <c r="H19" s="39" t="n">
        <v>665675.842802783</v>
      </c>
      <c r="I19" s="39" t="n">
        <v>781966.174932784</v>
      </c>
      <c r="J19" s="39" t="n">
        <v>903552.719152783</v>
      </c>
      <c r="K19" s="39" t="n">
        <v>1028579.53789278</v>
      </c>
      <c r="L19" s="39" t="n">
        <v>1154783.29265278</v>
      </c>
      <c r="M19" s="39" t="n">
        <v>1279674.31108278</v>
      </c>
      <c r="N19" s="40" t="n">
        <f aca="false">SUM(B19:M19)</f>
        <v>6370497.93822947</v>
      </c>
    </row>
    <row r="20" customFormat="false" ht="15" hidden="false" customHeight="true" outlineLevel="0" collapsed="false">
      <c r="A20" s="38" t="s">
        <v>216</v>
      </c>
      <c r="B20" s="39" t="n">
        <v>0</v>
      </c>
      <c r="C20" s="39" t="n">
        <v>0</v>
      </c>
      <c r="D20" s="39" t="n">
        <v>0</v>
      </c>
      <c r="E20" s="39" t="n">
        <v>0</v>
      </c>
      <c r="F20" s="39" t="n">
        <v>0</v>
      </c>
      <c r="G20" s="39" t="n">
        <v>0</v>
      </c>
      <c r="H20" s="39" t="n">
        <v>0</v>
      </c>
      <c r="I20" s="39" t="n">
        <v>0</v>
      </c>
      <c r="J20" s="39" t="n">
        <v>291464.41266025</v>
      </c>
      <c r="K20" s="39" t="n">
        <v>380251.25164025</v>
      </c>
      <c r="L20" s="39" t="n">
        <v>475820.81358525</v>
      </c>
      <c r="M20" s="39" t="n">
        <v>574362.26043525</v>
      </c>
      <c r="N20" s="40" t="n">
        <f aca="false">SUM(B20:M20)</f>
        <v>1721898.738321</v>
      </c>
    </row>
    <row r="21" customFormat="false" ht="15" hidden="false" customHeight="true" outlineLevel="0" collapsed="false">
      <c r="A21" s="38" t="s">
        <v>217</v>
      </c>
      <c r="B21" s="39" t="n">
        <v>0</v>
      </c>
      <c r="C21" s="39" t="n">
        <v>0</v>
      </c>
      <c r="D21" s="39" t="n">
        <v>0</v>
      </c>
      <c r="E21" s="39" t="n">
        <v>0</v>
      </c>
      <c r="F21" s="39" t="n">
        <v>236490.66170925</v>
      </c>
      <c r="G21" s="39" t="n">
        <v>308531.21756925</v>
      </c>
      <c r="H21" s="39" t="n">
        <v>386075.19193425</v>
      </c>
      <c r="I21" s="39" t="n">
        <v>466030.51738425</v>
      </c>
      <c r="J21" s="39" t="n">
        <v>544555.18477425</v>
      </c>
      <c r="K21" s="39" t="n">
        <v>617287.99453425</v>
      </c>
      <c r="L21" s="39" t="n">
        <v>679763.90900925</v>
      </c>
      <c r="M21" s="39" t="n">
        <v>727840.94236425</v>
      </c>
      <c r="N21" s="40" t="n">
        <f aca="false">SUM(B21:M21)</f>
        <v>3966575.619279</v>
      </c>
    </row>
    <row r="22" customFormat="false" ht="15" hidden="false" customHeight="true" outlineLevel="0" collapsed="false">
      <c r="A22" s="38" t="s">
        <v>218</v>
      </c>
      <c r="B22" s="39" t="n">
        <v>0</v>
      </c>
      <c r="C22" s="39" t="n">
        <v>0</v>
      </c>
      <c r="D22" s="39" t="n">
        <v>0</v>
      </c>
      <c r="E22" s="39" t="n">
        <v>410240.522810006</v>
      </c>
      <c r="F22" s="39" t="n">
        <v>541775.431953637</v>
      </c>
      <c r="G22" s="39" t="n">
        <v>683085.791293572</v>
      </c>
      <c r="H22" s="39" t="n">
        <v>827718.370996161</v>
      </c>
      <c r="I22" s="39" t="n">
        <v>967743.153937676</v>
      </c>
      <c r="J22" s="39" t="n">
        <v>1094357.27558114</v>
      </c>
      <c r="K22" s="39" t="n">
        <v>1198804.70979243</v>
      </c>
      <c r="L22" s="39" t="n">
        <v>1273338.93577902</v>
      </c>
      <c r="M22" s="39" t="n">
        <v>1312161.91030723</v>
      </c>
      <c r="N22" s="40" t="n">
        <f aca="false">SUM(B22:M22)</f>
        <v>8309226.10245087</v>
      </c>
    </row>
    <row r="23" customFormat="false" ht="15" hidden="false" customHeight="true" outlineLevel="0" collapsed="false">
      <c r="A23" s="38" t="s">
        <v>219</v>
      </c>
      <c r="B23" s="39" t="n">
        <v>382052.01181668</v>
      </c>
      <c r="C23" s="39" t="n">
        <v>472250.553751396</v>
      </c>
      <c r="D23" s="39" t="n">
        <v>565406.855777904</v>
      </c>
      <c r="E23" s="39" t="n">
        <v>657569.069128027</v>
      </c>
      <c r="F23" s="39" t="n">
        <v>744252.607264895</v>
      </c>
      <c r="G23" s="39" t="n">
        <v>820806.669467804</v>
      </c>
      <c r="H23" s="39" t="n">
        <v>882806.690988486</v>
      </c>
      <c r="I23" s="39" t="n">
        <v>926473.074937312</v>
      </c>
      <c r="J23" s="39" t="n">
        <v>949037.715868141</v>
      </c>
      <c r="K23" s="39" t="n">
        <v>949037.715868141</v>
      </c>
      <c r="L23" s="39" t="n">
        <v>926473.074937312</v>
      </c>
      <c r="M23" s="39" t="n">
        <v>882806.690988486</v>
      </c>
      <c r="N23" s="40" t="n">
        <f aca="false">SUM(B23:M23)</f>
        <v>9158972.73079458</v>
      </c>
    </row>
    <row r="24" customFormat="false" ht="15" hidden="false" customHeight="true" outlineLevel="0" collapsed="false">
      <c r="A24" s="38" t="s">
        <v>220</v>
      </c>
      <c r="B24" s="39" t="n">
        <v>0</v>
      </c>
      <c r="C24" s="39" t="n">
        <v>0</v>
      </c>
      <c r="D24" s="39" t="n">
        <v>0</v>
      </c>
      <c r="E24" s="39" t="n">
        <v>0</v>
      </c>
      <c r="F24" s="39" t="n">
        <v>0</v>
      </c>
      <c r="G24" s="39" t="n">
        <v>0</v>
      </c>
      <c r="H24" s="39" t="n">
        <v>0</v>
      </c>
      <c r="I24" s="39" t="n">
        <v>0</v>
      </c>
      <c r="J24" s="39" t="n">
        <v>0</v>
      </c>
      <c r="K24" s="39" t="n">
        <v>280938.0497</v>
      </c>
      <c r="L24" s="39" t="n">
        <v>366518.3137</v>
      </c>
      <c r="M24" s="39" t="n">
        <v>458636.3397</v>
      </c>
      <c r="N24" s="40" t="n">
        <f aca="false">SUM(B24:M24)</f>
        <v>1106092.7031</v>
      </c>
    </row>
    <row r="25" customFormat="false" ht="15" hidden="false" customHeight="true" outlineLevel="0" collapsed="false">
      <c r="A25" s="38" t="s">
        <v>221</v>
      </c>
      <c r="B25" s="39" t="n">
        <v>0</v>
      </c>
      <c r="C25" s="39" t="n">
        <v>0</v>
      </c>
      <c r="D25" s="39" t="n">
        <v>0</v>
      </c>
      <c r="E25" s="39" t="n">
        <v>0</v>
      </c>
      <c r="F25" s="39" t="n">
        <v>0</v>
      </c>
      <c r="G25" s="39" t="n">
        <v>0</v>
      </c>
      <c r="H25" s="39" t="n">
        <v>0</v>
      </c>
      <c r="I25" s="39" t="n">
        <v>0</v>
      </c>
      <c r="J25" s="39" t="n">
        <v>0</v>
      </c>
      <c r="K25" s="39" t="n">
        <v>544360.803130946</v>
      </c>
      <c r="L25" s="39" t="n">
        <v>700625.211272466</v>
      </c>
      <c r="M25" s="39" t="n">
        <v>868827.179100646</v>
      </c>
      <c r="N25" s="40" t="n">
        <f aca="false">SUM(B25:M25)</f>
        <v>2113813.19350406</v>
      </c>
    </row>
    <row r="26" customFormat="false" ht="15" hidden="false" customHeight="true" outlineLevel="0" collapsed="false">
      <c r="A26" s="41" t="s">
        <v>222</v>
      </c>
      <c r="B26" s="40" t="n">
        <f aca="false">B9+B10+B11+B12+B13+B14+B15+B16+B17+B18+B19+B20+B21+B22+B23+B24+B25</f>
        <v>4923945.33304903</v>
      </c>
      <c r="C26" s="40" t="n">
        <f aca="false">C9+C10+C11+C12+C13+C14+C15+C16+C17+C18+C19+C20+C21+C22+C23+C24+C25</f>
        <v>4988886.2253878</v>
      </c>
      <c r="D26" s="40" t="n">
        <f aca="false">D9+D10+D11+D12+D13+D14+D15+D16+D17+D18+D19+D20+D21+D22+D23+D24+D25</f>
        <v>5471649.5153733</v>
      </c>
      <c r="E26" s="40" t="n">
        <f aca="false">E9+E10+E11+E12+E13+E14+E15+E16+E17+E18+E19+E20+E21+E22+E23+E24+E25</f>
        <v>5829440.97791243</v>
      </c>
      <c r="F26" s="40" t="n">
        <f aca="false">F9+F10+F11+F12+F13+F14+F15+F16+F17+F18+F19+F20+F21+F22+F23+F24+F25</f>
        <v>6228355.36389018</v>
      </c>
      <c r="G26" s="40" t="n">
        <f aca="false">G9+G10+G11+G12+G13+G14+G15+G16+G17+G18+G19+G20+G21+G22+G23+G24+G25</f>
        <v>7593450.41860453</v>
      </c>
      <c r="H26" s="40" t="n">
        <f aca="false">H9+H10+H11+H12+H13+H14+H15+H16+H17+H18+H19+H20+H21+H22+H23+H24+H25</f>
        <v>8879149.30034635</v>
      </c>
      <c r="I26" s="40" t="n">
        <f aca="false">I9+I10+I11+I12+I13+I14+I15+I16+I17+I18+I19+I20+I21+I22+I23+I24+I25</f>
        <v>8644049.68290674</v>
      </c>
      <c r="J26" s="40" t="n">
        <f aca="false">J9+J10+J11+J12+J13+J14+J15+J16+J17+J18+J19+J20+J21+J22+J23+J24+J25</f>
        <v>9817663.58341878</v>
      </c>
      <c r="K26" s="40" t="n">
        <f aca="false">K9+K10+K11+K12+K13+K14+K15+K16+K17+K18+K19+K20+K21+K22+K23+K24+K25</f>
        <v>9704450.61608541</v>
      </c>
      <c r="L26" s="40" t="n">
        <f aca="false">L9+L10+L11+L12+L13+L14+L15+L16+L17+L18+L19+L20+L21+L22+L23+L24+L25</f>
        <v>11470962.7674221</v>
      </c>
      <c r="M26" s="40" t="n">
        <f aca="false">M9+M10+M11+M12+M13+M14+M15+M16+M17+M18+M19+M20+M21+M22+M23+M24+M25</f>
        <v>10700134.7856257</v>
      </c>
      <c r="N26" s="40" t="n">
        <f aca="false">N9+N10+N11+N12+N13+N14+N15+N16+N17+N18+N19+N20+N21+N22+N23+N24+N25</f>
        <v>94252138.5700224</v>
      </c>
    </row>
    <row r="27" customFormat="false" ht="15" hidden="false" customHeight="true" outlineLevel="0" collapsed="false">
      <c r="A27" s="42" t="s">
        <v>223</v>
      </c>
      <c r="B27" s="43" t="n">
        <f aca="false">B6+B7+B26</f>
        <v>5653414.31976768</v>
      </c>
      <c r="C27" s="43" t="n">
        <f aca="false">C6+C7+C26</f>
        <v>5737029.0785874</v>
      </c>
      <c r="D27" s="43" t="n">
        <f aca="false">D6+D7+D26</f>
        <v>6249137.2685729</v>
      </c>
      <c r="E27" s="43" t="n">
        <f aca="false">E6+E7+E26</f>
        <v>6690394.38083971</v>
      </c>
      <c r="F27" s="43" t="n">
        <f aca="false">F6+F7+F26</f>
        <v>7133494.69621321</v>
      </c>
      <c r="G27" s="43" t="n">
        <f aca="false">G6+G7+G26</f>
        <v>8784632.04414071</v>
      </c>
      <c r="H27" s="43" t="n">
        <f aca="false">H6+H7+H26</f>
        <v>10164045.9158825</v>
      </c>
      <c r="I27" s="43" t="n">
        <f aca="false">I6+I7+I26</f>
        <v>9819205.84844292</v>
      </c>
      <c r="J27" s="43" t="n">
        <f aca="false">J6+J7+J26</f>
        <v>11129908.5710597</v>
      </c>
      <c r="K27" s="43" t="n">
        <f aca="false">K6+K7+K26</f>
        <v>11021000.9008853</v>
      </c>
      <c r="L27" s="43" t="n">
        <f aca="false">L6+L7+L26</f>
        <v>12935208.732222</v>
      </c>
      <c r="M27" s="43" t="n">
        <f aca="false">M6+M7+M26</f>
        <v>11980853.8304256</v>
      </c>
      <c r="N27" s="43" t="n">
        <f aca="false">N6+N7+N26</f>
        <v>107298325.58704</v>
      </c>
    </row>
    <row r="28" customFormat="false" ht="15" hidden="false" customHeight="true" outlineLevel="0" collapsed="false">
      <c r="A28" s="6" t="s">
        <v>224</v>
      </c>
      <c r="B28" s="37"/>
      <c r="C28" s="37"/>
      <c r="D28" s="37"/>
      <c r="E28" s="37"/>
      <c r="F28" s="37"/>
      <c r="G28" s="37"/>
      <c r="H28" s="37"/>
      <c r="I28" s="37"/>
      <c r="J28" s="37"/>
      <c r="K28" s="37"/>
      <c r="L28" s="37"/>
      <c r="M28" s="37"/>
      <c r="N28" s="37"/>
    </row>
    <row r="29" customFormat="false" ht="15" hidden="false" customHeight="true" outlineLevel="0" collapsed="false">
      <c r="A29" s="38" t="s">
        <v>205</v>
      </c>
      <c r="B29" s="39" t="n">
        <v>-1018620.43</v>
      </c>
      <c r="C29" s="39" t="n">
        <v>-848702.18</v>
      </c>
      <c r="D29" s="39" t="n">
        <v>-1100541.33</v>
      </c>
      <c r="E29" s="39" t="n">
        <v>-899378.4</v>
      </c>
      <c r="F29" s="39" t="n">
        <v>-710313.45</v>
      </c>
      <c r="G29" s="39" t="n">
        <v>-649418.4</v>
      </c>
      <c r="H29" s="39" t="n">
        <v>-873952.17</v>
      </c>
      <c r="I29" s="39" t="n">
        <v>-872463.36</v>
      </c>
      <c r="J29" s="39" t="n">
        <v>-297364.7</v>
      </c>
      <c r="K29" s="39" t="n">
        <v>0</v>
      </c>
      <c r="L29" s="39" t="n">
        <v>0</v>
      </c>
      <c r="M29" s="39" t="n">
        <v>0</v>
      </c>
      <c r="N29" s="40" t="n">
        <f aca="false">SUM(B29:M29)</f>
        <v>-7270754.42</v>
      </c>
    </row>
    <row r="30" customFormat="false" ht="15" hidden="false" customHeight="true" outlineLevel="0" collapsed="false">
      <c r="A30" s="38" t="s">
        <v>206</v>
      </c>
      <c r="B30" s="39" t="n">
        <v>-600275.89</v>
      </c>
      <c r="C30" s="39" t="n">
        <v>-510408.64</v>
      </c>
      <c r="D30" s="39" t="n">
        <v>-612614.31</v>
      </c>
      <c r="E30" s="39" t="n">
        <v>-587149.14</v>
      </c>
      <c r="F30" s="39" t="n">
        <v>-522423.11</v>
      </c>
      <c r="G30" s="39" t="n">
        <v>-353633.79</v>
      </c>
      <c r="H30" s="39" t="n">
        <v>-153203.98</v>
      </c>
      <c r="I30" s="39" t="n">
        <v>-145299.86</v>
      </c>
      <c r="J30" s="39" t="n">
        <v>0</v>
      </c>
      <c r="K30" s="39" t="n">
        <v>0</v>
      </c>
      <c r="L30" s="39" t="n">
        <v>0</v>
      </c>
      <c r="M30" s="39" t="n">
        <v>0</v>
      </c>
      <c r="N30" s="40" t="n">
        <f aca="false">SUM(B30:M30)</f>
        <v>-3485008.72</v>
      </c>
    </row>
    <row r="31" customFormat="false" ht="15" hidden="false" customHeight="true" outlineLevel="0" collapsed="false">
      <c r="A31" s="38" t="s">
        <v>207</v>
      </c>
      <c r="B31" s="39" t="n">
        <v>-526373.31</v>
      </c>
      <c r="C31" s="39" t="n">
        <v>-502317.24</v>
      </c>
      <c r="D31" s="39" t="n">
        <v>-354602.58</v>
      </c>
      <c r="E31" s="39" t="n">
        <v>-333053.05</v>
      </c>
      <c r="F31" s="39" t="n">
        <v>-256614.3</v>
      </c>
      <c r="G31" s="39" t="n">
        <v>-624704.78</v>
      </c>
      <c r="H31" s="39" t="n">
        <v>-889401.42</v>
      </c>
      <c r="I31" s="39" t="n">
        <v>-600737.73</v>
      </c>
      <c r="J31" s="39" t="n">
        <v>-382498.63</v>
      </c>
      <c r="K31" s="39" t="n">
        <v>-148470.25</v>
      </c>
      <c r="L31" s="39" t="n">
        <v>0</v>
      </c>
      <c r="M31" s="39" t="n">
        <v>0</v>
      </c>
      <c r="N31" s="40" t="n">
        <f aca="false">SUM(B31:M31)</f>
        <v>-4618773.29</v>
      </c>
    </row>
    <row r="32" customFormat="false" ht="15" hidden="false" customHeight="true" outlineLevel="0" collapsed="false">
      <c r="A32" s="38" t="s">
        <v>208</v>
      </c>
      <c r="B32" s="39" t="n">
        <v>-281402.12</v>
      </c>
      <c r="C32" s="39" t="n">
        <v>-251555.59</v>
      </c>
      <c r="D32" s="39" t="n">
        <v>-96095.75</v>
      </c>
      <c r="E32" s="39" t="n">
        <v>-80261.61</v>
      </c>
      <c r="F32" s="39" t="n">
        <v>-54858.71</v>
      </c>
      <c r="G32" s="39" t="n">
        <v>-16825.94</v>
      </c>
      <c r="H32" s="39" t="n">
        <v>0</v>
      </c>
      <c r="I32" s="39" t="n">
        <v>0</v>
      </c>
      <c r="J32" s="39" t="n">
        <v>0</v>
      </c>
      <c r="K32" s="39" t="n">
        <v>0</v>
      </c>
      <c r="L32" s="39" t="n">
        <v>0</v>
      </c>
      <c r="M32" s="39" t="n">
        <v>0</v>
      </c>
      <c r="N32" s="40" t="n">
        <f aca="false">SUM(B32:M32)</f>
        <v>-780999.72</v>
      </c>
    </row>
    <row r="33" customFormat="false" ht="15" hidden="false" customHeight="true" outlineLevel="0" collapsed="false">
      <c r="A33" s="38" t="s">
        <v>209</v>
      </c>
      <c r="B33" s="39" t="n">
        <v>-653599.65</v>
      </c>
      <c r="C33" s="39" t="n">
        <v>-528747.41</v>
      </c>
      <c r="D33" s="39" t="n">
        <v>-637944.42</v>
      </c>
      <c r="E33" s="39" t="n">
        <v>-538803.5</v>
      </c>
      <c r="F33" s="39" t="n">
        <v>-662192.06</v>
      </c>
      <c r="G33" s="39" t="n">
        <v>-622383.82</v>
      </c>
      <c r="H33" s="39" t="n">
        <v>-1116362.18</v>
      </c>
      <c r="I33" s="39" t="n">
        <v>-713409.55</v>
      </c>
      <c r="J33" s="39" t="n">
        <v>-2127439.16</v>
      </c>
      <c r="K33" s="39" t="n">
        <v>-1343923.38</v>
      </c>
      <c r="L33" s="39" t="n">
        <v>-2760491.05</v>
      </c>
      <c r="M33" s="39" t="n">
        <v>-1589470.04</v>
      </c>
      <c r="N33" s="40" t="n">
        <f aca="false">SUM(B33:M33)</f>
        <v>-13294766.22</v>
      </c>
    </row>
    <row r="34" customFormat="false" ht="15" hidden="false" customHeight="true" outlineLevel="0" collapsed="false">
      <c r="A34" s="38" t="s">
        <v>210</v>
      </c>
      <c r="B34" s="39" t="n">
        <v>-608358.09</v>
      </c>
      <c r="C34" s="39" t="n">
        <v>-689612.65</v>
      </c>
      <c r="D34" s="39" t="n">
        <v>-759408.56</v>
      </c>
      <c r="E34" s="39" t="n">
        <v>-813118.55</v>
      </c>
      <c r="F34" s="39" t="n">
        <v>-846991.8</v>
      </c>
      <c r="G34" s="39" t="n">
        <v>-858566.46</v>
      </c>
      <c r="H34" s="39" t="n">
        <v>-846991.8</v>
      </c>
      <c r="I34" s="39" t="n">
        <v>-813118.55</v>
      </c>
      <c r="J34" s="39" t="n">
        <v>-759408.56</v>
      </c>
      <c r="K34" s="39" t="n">
        <v>-689612.65</v>
      </c>
      <c r="L34" s="39" t="n">
        <v>-608358.09</v>
      </c>
      <c r="M34" s="39" t="n">
        <v>-520633.06</v>
      </c>
      <c r="N34" s="40" t="n">
        <f aca="false">SUM(B34:M34)</f>
        <v>-8814178.82</v>
      </c>
    </row>
    <row r="35" customFormat="false" ht="15" hidden="false" customHeight="true" outlineLevel="0" collapsed="false">
      <c r="A35" s="38" t="s">
        <v>211</v>
      </c>
      <c r="B35" s="39" t="n">
        <v>-771002.45</v>
      </c>
      <c r="C35" s="39" t="n">
        <v>-849035.85</v>
      </c>
      <c r="D35" s="39" t="n">
        <v>-909084.82</v>
      </c>
      <c r="E35" s="39" t="n">
        <v>-946955.88</v>
      </c>
      <c r="F35" s="39" t="n">
        <v>-959896.6</v>
      </c>
      <c r="G35" s="39" t="n">
        <v>-946955.88</v>
      </c>
      <c r="H35" s="39" t="n">
        <v>-909084.82</v>
      </c>
      <c r="I35" s="39" t="n">
        <v>-849035.85</v>
      </c>
      <c r="J35" s="39" t="n">
        <v>-771002.45</v>
      </c>
      <c r="K35" s="39" t="n">
        <v>-680158.02</v>
      </c>
      <c r="L35" s="39" t="n">
        <v>-582079.47</v>
      </c>
      <c r="M35" s="39" t="n">
        <v>-482214.01</v>
      </c>
      <c r="N35" s="40" t="n">
        <f aca="false">SUM(B35:M35)</f>
        <v>-9656506.1</v>
      </c>
    </row>
    <row r="36" customFormat="false" ht="15" hidden="false" customHeight="true" outlineLevel="0" collapsed="false">
      <c r="A36" s="38" t="s">
        <v>212</v>
      </c>
      <c r="B36" s="39" t="n">
        <v>0</v>
      </c>
      <c r="C36" s="39" t="n">
        <v>0</v>
      </c>
      <c r="D36" s="39" t="n">
        <v>0</v>
      </c>
      <c r="E36" s="39" t="n">
        <v>0</v>
      </c>
      <c r="F36" s="39" t="n">
        <v>0</v>
      </c>
      <c r="G36" s="39" t="n">
        <v>-347239.474032717</v>
      </c>
      <c r="H36" s="39" t="n">
        <v>-431977.127715267</v>
      </c>
      <c r="I36" s="39" t="n">
        <v>-522674.449669317</v>
      </c>
      <c r="J36" s="39" t="n">
        <v>-617366.956649817</v>
      </c>
      <c r="K36" s="39" t="n">
        <v>-713427.980048217</v>
      </c>
      <c r="L36" s="39" t="n">
        <v>-807921.831419667</v>
      </c>
      <c r="M36" s="39" t="n">
        <v>-897537.583946667</v>
      </c>
      <c r="N36" s="40" t="n">
        <f aca="false">SUM(B36:M36)</f>
        <v>-4338145.40348167</v>
      </c>
    </row>
    <row r="37" customFormat="false" ht="15" hidden="false" customHeight="true" outlineLevel="0" collapsed="false">
      <c r="A37" s="38" t="s">
        <v>213</v>
      </c>
      <c r="B37" s="39" t="n">
        <v>0</v>
      </c>
      <c r="C37" s="39" t="n">
        <v>-196306.31287205</v>
      </c>
      <c r="D37" s="39" t="n">
        <v>-256105.78146805</v>
      </c>
      <c r="E37" s="39" t="n">
        <v>-320473.53105705</v>
      </c>
      <c r="F37" s="39" t="n">
        <v>-386842.89642705</v>
      </c>
      <c r="G37" s="39" t="n">
        <v>-452024.70028105</v>
      </c>
      <c r="H37" s="39" t="n">
        <v>-512398.79541705</v>
      </c>
      <c r="I37" s="39" t="n">
        <v>-564258.84065205</v>
      </c>
      <c r="J37" s="39" t="n">
        <v>-604166.65385505</v>
      </c>
      <c r="K37" s="39" t="n">
        <v>-629335.29630705</v>
      </c>
      <c r="L37" s="39" t="n">
        <v>-637935.54018905</v>
      </c>
      <c r="M37" s="39" t="n">
        <v>-629335.29630705</v>
      </c>
      <c r="N37" s="40" t="n">
        <f aca="false">SUM(B37:M37)</f>
        <v>-5189183.64483255</v>
      </c>
    </row>
    <row r="38" customFormat="false" ht="15" hidden="false" customHeight="true" outlineLevel="0" collapsed="false">
      <c r="A38" s="38" t="s">
        <v>214</v>
      </c>
      <c r="B38" s="39" t="n">
        <v>-154657.42123235</v>
      </c>
      <c r="C38" s="39" t="n">
        <v>-201769.66876435</v>
      </c>
      <c r="D38" s="39" t="n">
        <v>-252480.97812735</v>
      </c>
      <c r="E38" s="39" t="n">
        <v>-304769.23491735</v>
      </c>
      <c r="F38" s="39" t="n">
        <v>-356121.88653535</v>
      </c>
      <c r="G38" s="39" t="n">
        <v>-403686.84624735</v>
      </c>
      <c r="H38" s="39" t="n">
        <v>-444544.12049235</v>
      </c>
      <c r="I38" s="39" t="n">
        <v>-475984.98139335</v>
      </c>
      <c r="J38" s="39" t="n">
        <v>-495813.77487735</v>
      </c>
      <c r="K38" s="39" t="n">
        <v>-502589.36717135</v>
      </c>
      <c r="L38" s="39" t="n">
        <v>-495813.77487735</v>
      </c>
      <c r="M38" s="39" t="n">
        <v>-475984.98139335</v>
      </c>
      <c r="N38" s="40" t="n">
        <f aca="false">SUM(B38:M38)</f>
        <v>-4564217.0360292</v>
      </c>
    </row>
    <row r="39" customFormat="false" ht="15" hidden="false" customHeight="true" outlineLevel="0" collapsed="false">
      <c r="A39" s="38" t="s">
        <v>215</v>
      </c>
      <c r="B39" s="39" t="n">
        <v>0</v>
      </c>
      <c r="C39" s="39" t="n">
        <v>0</v>
      </c>
      <c r="D39" s="39" t="n">
        <v>0</v>
      </c>
      <c r="E39" s="39" t="n">
        <v>0</v>
      </c>
      <c r="F39" s="39" t="n">
        <v>0</v>
      </c>
      <c r="G39" s="39" t="n">
        <v>-556266.059712783</v>
      </c>
      <c r="H39" s="39" t="n">
        <v>-665675.842802783</v>
      </c>
      <c r="I39" s="39" t="n">
        <v>-781966.174932784</v>
      </c>
      <c r="J39" s="39" t="n">
        <v>-903552.719152783</v>
      </c>
      <c r="K39" s="39" t="n">
        <v>-1028579.53789278</v>
      </c>
      <c r="L39" s="39" t="n">
        <v>-1154783.29265278</v>
      </c>
      <c r="M39" s="39" t="n">
        <v>-1279674.31108278</v>
      </c>
      <c r="N39" s="40" t="n">
        <f aca="false">SUM(B39:M39)</f>
        <v>-6370497.93822947</v>
      </c>
    </row>
    <row r="40" customFormat="false" ht="15" hidden="false" customHeight="true" outlineLevel="0" collapsed="false">
      <c r="A40" s="38" t="s">
        <v>216</v>
      </c>
      <c r="B40" s="39" t="n">
        <v>0</v>
      </c>
      <c r="C40" s="39" t="n">
        <v>0</v>
      </c>
      <c r="D40" s="39" t="n">
        <v>0</v>
      </c>
      <c r="E40" s="39" t="n">
        <v>0</v>
      </c>
      <c r="F40" s="39" t="n">
        <v>0</v>
      </c>
      <c r="G40" s="39" t="n">
        <v>0</v>
      </c>
      <c r="H40" s="39" t="n">
        <v>0</v>
      </c>
      <c r="I40" s="39" t="n">
        <v>0</v>
      </c>
      <c r="J40" s="39" t="n">
        <v>-291464.41266025</v>
      </c>
      <c r="K40" s="39" t="n">
        <v>-380251.25164025</v>
      </c>
      <c r="L40" s="39" t="n">
        <v>-475820.81358525</v>
      </c>
      <c r="M40" s="39" t="n">
        <v>-574362.26043525</v>
      </c>
      <c r="N40" s="40" t="n">
        <f aca="false">SUM(B40:M40)</f>
        <v>-1721898.738321</v>
      </c>
    </row>
    <row r="41" customFormat="false" ht="15" hidden="false" customHeight="true" outlineLevel="0" collapsed="false">
      <c r="A41" s="38" t="s">
        <v>217</v>
      </c>
      <c r="B41" s="39" t="n">
        <v>0</v>
      </c>
      <c r="C41" s="39" t="n">
        <v>0</v>
      </c>
      <c r="D41" s="39" t="n">
        <v>0</v>
      </c>
      <c r="E41" s="39" t="n">
        <v>0</v>
      </c>
      <c r="F41" s="39" t="n">
        <v>-236490.66170925</v>
      </c>
      <c r="G41" s="39" t="n">
        <v>-308531.21756925</v>
      </c>
      <c r="H41" s="39" t="n">
        <v>-386075.19193425</v>
      </c>
      <c r="I41" s="39" t="n">
        <v>-466030.51738425</v>
      </c>
      <c r="J41" s="39" t="n">
        <v>-544555.18477425</v>
      </c>
      <c r="K41" s="39" t="n">
        <v>-617287.99453425</v>
      </c>
      <c r="L41" s="39" t="n">
        <v>-679763.90900925</v>
      </c>
      <c r="M41" s="39" t="n">
        <v>-727840.94236425</v>
      </c>
      <c r="N41" s="40" t="n">
        <f aca="false">SUM(B41:M41)</f>
        <v>-3966575.619279</v>
      </c>
    </row>
    <row r="42" customFormat="false" ht="15" hidden="false" customHeight="true" outlineLevel="0" collapsed="false">
      <c r="A42" s="38" t="s">
        <v>218</v>
      </c>
      <c r="B42" s="39" t="n">
        <v>0</v>
      </c>
      <c r="C42" s="39" t="n">
        <v>0</v>
      </c>
      <c r="D42" s="39" t="n">
        <v>0</v>
      </c>
      <c r="E42" s="39" t="n">
        <v>-410240.522810006</v>
      </c>
      <c r="F42" s="39" t="n">
        <v>-541775.431953637</v>
      </c>
      <c r="G42" s="39" t="n">
        <v>-683085.791293572</v>
      </c>
      <c r="H42" s="39" t="n">
        <v>-827718.370996161</v>
      </c>
      <c r="I42" s="39" t="n">
        <v>-967743.153937676</v>
      </c>
      <c r="J42" s="39" t="n">
        <v>-1094357.27558114</v>
      </c>
      <c r="K42" s="39" t="n">
        <v>-1198804.70979243</v>
      </c>
      <c r="L42" s="39" t="n">
        <v>-1273338.93577902</v>
      </c>
      <c r="M42" s="39" t="n">
        <v>-1312161.91030723</v>
      </c>
      <c r="N42" s="40" t="n">
        <f aca="false">SUM(B42:M42)</f>
        <v>-8309226.10245087</v>
      </c>
    </row>
    <row r="43" customFormat="false" ht="15" hidden="false" customHeight="true" outlineLevel="0" collapsed="false">
      <c r="A43" s="38" t="s">
        <v>219</v>
      </c>
      <c r="B43" s="39" t="n">
        <v>-382052.01181668</v>
      </c>
      <c r="C43" s="39" t="n">
        <v>-472250.553751396</v>
      </c>
      <c r="D43" s="39" t="n">
        <v>-565406.855777904</v>
      </c>
      <c r="E43" s="39" t="n">
        <v>-657569.069128027</v>
      </c>
      <c r="F43" s="39" t="n">
        <v>-744252.607264895</v>
      </c>
      <c r="G43" s="39" t="n">
        <v>-820806.669467804</v>
      </c>
      <c r="H43" s="39" t="n">
        <v>-882806.690988486</v>
      </c>
      <c r="I43" s="39" t="n">
        <v>-926473.074937312</v>
      </c>
      <c r="J43" s="39" t="n">
        <v>-949037.715868141</v>
      </c>
      <c r="K43" s="39" t="n">
        <v>-949037.715868141</v>
      </c>
      <c r="L43" s="39" t="n">
        <v>-926473.074937312</v>
      </c>
      <c r="M43" s="39" t="n">
        <v>-882806.690988486</v>
      </c>
      <c r="N43" s="40" t="n">
        <f aca="false">SUM(B43:M43)</f>
        <v>-9158972.73079458</v>
      </c>
    </row>
    <row r="44" customFormat="false" ht="15" hidden="false" customHeight="true" outlineLevel="0" collapsed="false">
      <c r="A44" s="38" t="s">
        <v>220</v>
      </c>
      <c r="B44" s="39" t="n">
        <v>0</v>
      </c>
      <c r="C44" s="39" t="n">
        <v>0</v>
      </c>
      <c r="D44" s="39" t="n">
        <v>0</v>
      </c>
      <c r="E44" s="39" t="n">
        <v>0</v>
      </c>
      <c r="F44" s="39" t="n">
        <v>0</v>
      </c>
      <c r="G44" s="39" t="n">
        <v>0</v>
      </c>
      <c r="H44" s="39" t="n">
        <v>0</v>
      </c>
      <c r="I44" s="39" t="n">
        <v>0</v>
      </c>
      <c r="J44" s="39" t="n">
        <v>0</v>
      </c>
      <c r="K44" s="39" t="n">
        <v>-280938.0497</v>
      </c>
      <c r="L44" s="39" t="n">
        <v>-366518.3137</v>
      </c>
      <c r="M44" s="39" t="n">
        <v>-458636.3397</v>
      </c>
      <c r="N44" s="40" t="n">
        <f aca="false">SUM(B44:M44)</f>
        <v>-1106092.7031</v>
      </c>
    </row>
    <row r="45" customFormat="false" ht="15" hidden="false" customHeight="true" outlineLevel="0" collapsed="false">
      <c r="A45" s="38" t="s">
        <v>221</v>
      </c>
      <c r="B45" s="39" t="n">
        <v>0</v>
      </c>
      <c r="C45" s="39" t="n">
        <v>0</v>
      </c>
      <c r="D45" s="39" t="n">
        <v>0</v>
      </c>
      <c r="E45" s="39" t="n">
        <v>0</v>
      </c>
      <c r="F45" s="39" t="n">
        <v>0</v>
      </c>
      <c r="G45" s="39" t="n">
        <v>0</v>
      </c>
      <c r="H45" s="39" t="n">
        <v>0</v>
      </c>
      <c r="I45" s="39" t="n">
        <v>0</v>
      </c>
      <c r="J45" s="39" t="n">
        <v>0</v>
      </c>
      <c r="K45" s="39" t="n">
        <v>-544360.803130946</v>
      </c>
      <c r="L45" s="39" t="n">
        <v>-700625.211272466</v>
      </c>
      <c r="M45" s="39" t="n">
        <v>-868827.179100646</v>
      </c>
      <c r="N45" s="40" t="n">
        <f aca="false">SUM(B45:M45)</f>
        <v>-2113813.19350406</v>
      </c>
    </row>
    <row r="46" customFormat="false" ht="15" hidden="false" customHeight="true" outlineLevel="0" collapsed="false">
      <c r="A46" s="41" t="s">
        <v>225</v>
      </c>
      <c r="B46" s="40" t="n">
        <f aca="false">B29+B30+B31+B32+B33+B34+B35+B36+B37+B38+B39+B40+B41+B42+B43+B44+B45</f>
        <v>-4996341.37304903</v>
      </c>
      <c r="C46" s="40" t="n">
        <f aca="false">C29+C30+C31+C32+C33+C34+C35+C36+C37+C38+C39+C40+C41+C42+C43+C44+C45</f>
        <v>-5050706.0953878</v>
      </c>
      <c r="D46" s="40" t="n">
        <f aca="false">D29+D30+D31+D32+D33+D34+D35+D36+D37+D38+D39+D40+D41+D42+D43+D44+D45</f>
        <v>-5544285.38537331</v>
      </c>
      <c r="E46" s="40" t="n">
        <f aca="false">E29+E30+E31+E32+E33+E34+E35+E36+E37+E38+E39+E40+E41+E42+E43+E44+E45</f>
        <v>-5891772.48791243</v>
      </c>
      <c r="F46" s="40" t="n">
        <f aca="false">F29+F30+F31+F32+F33+F34+F35+F36+F37+F38+F39+F40+F41+F42+F43+F44+F45</f>
        <v>-6278773.51389018</v>
      </c>
      <c r="G46" s="40" t="n">
        <f aca="false">G29+G30+G31+G32+G33+G34+G35+G36+G37+G38+G39+G40+G41+G42+G43+G44+G45</f>
        <v>-7644129.82860453</v>
      </c>
      <c r="H46" s="40" t="n">
        <f aca="false">H29+H30+H31+H32+H33+H34+H35+H36+H37+H38+H39+H40+H41+H42+H43+H44+H45</f>
        <v>-8940192.51034635</v>
      </c>
      <c r="I46" s="40" t="n">
        <f aca="false">I29+I30+I31+I32+I33+I34+I35+I36+I37+I38+I39+I40+I41+I42+I43+I44+I45</f>
        <v>-8699196.09290674</v>
      </c>
      <c r="J46" s="40" t="n">
        <f aca="false">J29+J30+J31+J32+J33+J34+J35+J36+J37+J38+J39+J40+J41+J42+J43+J44+J45</f>
        <v>-9838028.19341878</v>
      </c>
      <c r="K46" s="40" t="n">
        <f aca="false">K29+K30+K31+K32+K33+K34+K35+K36+K37+K38+K39+K40+K41+K42+K43+K44+K45</f>
        <v>-9706777.00608541</v>
      </c>
      <c r="L46" s="40" t="n">
        <f aca="false">L29+L30+L31+L32+L33+L34+L35+L36+L37+L38+L39+L40+L41+L42+L43+L44+L45</f>
        <v>-11469923.3074221</v>
      </c>
      <c r="M46" s="40" t="n">
        <f aca="false">M29+M30+M31+M32+M33+M34+M35+M36+M37+M38+M39+M40+M41+M42+M43+M44+M45</f>
        <v>-10699484.6056257</v>
      </c>
      <c r="N46" s="40" t="n">
        <f aca="false">N29+N30+N31+N32+N33+N34+N35+N36+N37+N38+N39+N40+N41+N42+N43+N44+N45</f>
        <v>-94759610.4000224</v>
      </c>
    </row>
    <row r="47" customFormat="false" ht="15" hidden="false" customHeight="true" outlineLevel="0" collapsed="false">
      <c r="A47" s="6" t="s">
        <v>226</v>
      </c>
      <c r="B47" s="37"/>
      <c r="C47" s="37"/>
      <c r="D47" s="37"/>
      <c r="E47" s="37"/>
      <c r="F47" s="37"/>
      <c r="G47" s="37"/>
      <c r="H47" s="37"/>
      <c r="I47" s="37"/>
      <c r="J47" s="37"/>
      <c r="K47" s="37"/>
      <c r="L47" s="37"/>
      <c r="M47" s="37"/>
      <c r="N47" s="37"/>
    </row>
    <row r="48" customFormat="false" ht="15" hidden="false" customHeight="true" outlineLevel="0" collapsed="false">
      <c r="A48" s="38" t="s">
        <v>227</v>
      </c>
      <c r="B48" s="39" t="n">
        <v>0</v>
      </c>
      <c r="C48" s="39" t="n">
        <v>0</v>
      </c>
      <c r="D48" s="39" t="n">
        <v>0</v>
      </c>
      <c r="E48" s="39" t="n">
        <v>-332539.874568966</v>
      </c>
      <c r="F48" s="39" t="n">
        <v>-204464.975800493</v>
      </c>
      <c r="G48" s="39" t="n">
        <v>-583586.299509804</v>
      </c>
      <c r="H48" s="39" t="n">
        <v>0</v>
      </c>
      <c r="I48" s="39" t="n">
        <v>0</v>
      </c>
      <c r="J48" s="39" t="n">
        <v>-251994.1533867</v>
      </c>
      <c r="K48" s="39" t="n">
        <v>-242893.275862069</v>
      </c>
      <c r="L48" s="39" t="n">
        <v>0</v>
      </c>
      <c r="M48" s="39" t="n">
        <v>0</v>
      </c>
      <c r="N48" s="40" t="n">
        <f aca="false">SUM(B48:M48)</f>
        <v>-1615478.57912803</v>
      </c>
    </row>
    <row r="49" customFormat="false" ht="15" hidden="false" customHeight="true" outlineLevel="0" collapsed="false">
      <c r="A49" s="38" t="s">
        <v>228</v>
      </c>
      <c r="B49" s="39" t="n">
        <v>-454.040000000503</v>
      </c>
      <c r="C49" s="39" t="n">
        <v>-443.059999999125</v>
      </c>
      <c r="D49" s="39" t="n">
        <v>-497.340000000317</v>
      </c>
      <c r="E49" s="39" t="n">
        <v>-481.049999999814</v>
      </c>
      <c r="F49" s="39" t="n">
        <v>-524.100000002421</v>
      </c>
      <c r="G49" s="39" t="n">
        <v>-508.889999998733</v>
      </c>
      <c r="H49" s="39" t="n">
        <v>-647.400000000373</v>
      </c>
      <c r="I49" s="39" t="n">
        <v>-505.80999999959</v>
      </c>
      <c r="J49" s="39" t="n">
        <v>-909.900000001304</v>
      </c>
      <c r="K49" s="39" t="n">
        <v>-641.890000001527</v>
      </c>
      <c r="L49" s="39" t="n">
        <v>-1039.45999999717</v>
      </c>
      <c r="M49" s="39" t="n">
        <v>-650.179999999702</v>
      </c>
      <c r="N49" s="40" t="n">
        <f aca="false">SUM(B49:M49)</f>
        <v>-7303.12000000058</v>
      </c>
    </row>
    <row r="50" customFormat="false" ht="15" hidden="false" customHeight="true" outlineLevel="0" collapsed="false">
      <c r="A50" s="38" t="s">
        <v>229</v>
      </c>
      <c r="B50" s="39" t="n">
        <v>0</v>
      </c>
      <c r="C50" s="39" t="n">
        <v>0</v>
      </c>
      <c r="D50" s="39" t="n">
        <v>0</v>
      </c>
      <c r="E50" s="39" t="n">
        <v>0</v>
      </c>
      <c r="F50" s="39" t="n">
        <v>0</v>
      </c>
      <c r="G50" s="39" t="n">
        <v>0</v>
      </c>
      <c r="H50" s="39" t="n">
        <v>0</v>
      </c>
      <c r="I50" s="39" t="n">
        <v>0</v>
      </c>
      <c r="J50" s="39" t="n">
        <v>0</v>
      </c>
      <c r="K50" s="39" t="n">
        <v>0</v>
      </c>
      <c r="L50" s="39" t="n">
        <v>0</v>
      </c>
      <c r="M50" s="39" t="n">
        <v>0</v>
      </c>
      <c r="N50" s="40" t="n">
        <f aca="false">SUM(B50:M50)</f>
        <v>0</v>
      </c>
    </row>
    <row r="51" customFormat="false" ht="15" hidden="false" customHeight="true" outlineLevel="0" collapsed="false">
      <c r="A51" s="42" t="s">
        <v>230</v>
      </c>
      <c r="B51" s="43" t="n">
        <f aca="false">B27+B46+B48+B49+B50</f>
        <v>656618.90671865</v>
      </c>
      <c r="C51" s="43" t="n">
        <f aca="false">C27+C46+C48+C49+C50</f>
        <v>685879.923199601</v>
      </c>
      <c r="D51" s="43" t="n">
        <f aca="false">D27+D46+D48+D49+D50</f>
        <v>704354.543199599</v>
      </c>
      <c r="E51" s="43" t="n">
        <f aca="false">E27+E46+E48+E49+E50</f>
        <v>465600.968358316</v>
      </c>
      <c r="F51" s="43" t="n">
        <f aca="false">F27+F46+F48+F49+F50</f>
        <v>649732.106522535</v>
      </c>
      <c r="G51" s="43" t="n">
        <f aca="false">G27+G46+G48+G49+G50</f>
        <v>556407.026026379</v>
      </c>
      <c r="H51" s="43" t="n">
        <f aca="false">H27+H46+H48+H49+H50</f>
        <v>1223206.00553618</v>
      </c>
      <c r="I51" s="43" t="n">
        <f aca="false">I27+I46+I48+I49+I50</f>
        <v>1119503.94553618</v>
      </c>
      <c r="J51" s="43" t="n">
        <f aca="false">J27+J46+J48+J49+J50</f>
        <v>1038976.32425423</v>
      </c>
      <c r="K51" s="43" t="n">
        <f aca="false">K27+K46+K48+K49+K50</f>
        <v>1070688.72893778</v>
      </c>
      <c r="L51" s="43" t="n">
        <f aca="false">L27+L46+L48+L49+L50</f>
        <v>1464245.96479985</v>
      </c>
      <c r="M51" s="43" t="n">
        <f aca="false">M27+M46+M48+M49+M50</f>
        <v>1280719.04479985</v>
      </c>
      <c r="N51" s="43" t="n">
        <f aca="false">N27+N46+N48+N49+N50</f>
        <v>10915933.4878891</v>
      </c>
    </row>
    <row r="52" customFormat="false" ht="15" hidden="false" customHeight="true" outlineLevel="0" collapsed="false">
      <c r="A52" s="6" t="s">
        <v>231</v>
      </c>
      <c r="B52" s="37"/>
      <c r="C52" s="37"/>
      <c r="D52" s="37"/>
      <c r="E52" s="37"/>
      <c r="F52" s="37"/>
      <c r="G52" s="37"/>
      <c r="H52" s="37"/>
      <c r="I52" s="37"/>
      <c r="J52" s="37"/>
      <c r="K52" s="37"/>
      <c r="L52" s="37"/>
      <c r="M52" s="37"/>
      <c r="N52" s="37"/>
    </row>
    <row r="53" customFormat="false" ht="15" hidden="false" customHeight="true" outlineLevel="0" collapsed="false">
      <c r="A53" s="38" t="s">
        <v>232</v>
      </c>
      <c r="B53" s="39" t="n">
        <v>-270881</v>
      </c>
      <c r="C53" s="39" t="n">
        <v>-281297.666666667</v>
      </c>
      <c r="D53" s="39" t="n">
        <v>-281297.666666667</v>
      </c>
      <c r="E53" s="39" t="n">
        <v>-294631</v>
      </c>
      <c r="F53" s="39" t="n">
        <v>-318381</v>
      </c>
      <c r="G53" s="39" t="n">
        <v>-366297.666666667</v>
      </c>
      <c r="H53" s="39" t="n">
        <v>-366297.666666667</v>
      </c>
      <c r="I53" s="39" t="n">
        <v>-366297.666666667</v>
      </c>
      <c r="J53" s="39" t="n">
        <v>-366297.666666667</v>
      </c>
      <c r="K53" s="39" t="n">
        <v>-415881</v>
      </c>
      <c r="L53" s="39" t="n">
        <v>-415881</v>
      </c>
      <c r="M53" s="39" t="n">
        <v>-415881</v>
      </c>
      <c r="N53" s="40" t="n">
        <f aca="false">SUM(B53:M53)</f>
        <v>-4159322</v>
      </c>
    </row>
    <row r="54" customFormat="false" ht="15" hidden="false" customHeight="true" outlineLevel="0" collapsed="false">
      <c r="A54" s="38" t="s">
        <v>233</v>
      </c>
      <c r="B54" s="39" t="n">
        <v>-22797.0866666667</v>
      </c>
      <c r="C54" s="39" t="n">
        <v>-23526.2533333333</v>
      </c>
      <c r="D54" s="39" t="n">
        <v>-23526.2533333333</v>
      </c>
      <c r="E54" s="39" t="n">
        <v>-24459.5866666667</v>
      </c>
      <c r="F54" s="39" t="n">
        <v>-26122.0866666667</v>
      </c>
      <c r="G54" s="39" t="n">
        <v>-29476.2533333333</v>
      </c>
      <c r="H54" s="39" t="n">
        <v>-29476.2533333333</v>
      </c>
      <c r="I54" s="39" t="n">
        <v>-29476.2533333333</v>
      </c>
      <c r="J54" s="39" t="n">
        <v>-29476.2533333333</v>
      </c>
      <c r="K54" s="39" t="n">
        <v>-32947.0866666667</v>
      </c>
      <c r="L54" s="39" t="n">
        <v>-32947.0866666667</v>
      </c>
      <c r="M54" s="39" t="n">
        <v>-32947.0866666667</v>
      </c>
      <c r="N54" s="40" t="n">
        <f aca="false">SUM(B54:M54)</f>
        <v>-337177.54</v>
      </c>
    </row>
    <row r="55" customFormat="false" ht="15" hidden="false" customHeight="true" outlineLevel="0" collapsed="false">
      <c r="A55" s="38" t="s">
        <v>234</v>
      </c>
      <c r="B55" s="39" t="n">
        <v>-11398.5433333333</v>
      </c>
      <c r="C55" s="39" t="n">
        <v>-11763.1266666667</v>
      </c>
      <c r="D55" s="39" t="n">
        <v>-11763.1266666667</v>
      </c>
      <c r="E55" s="39" t="n">
        <v>-12229.7933333333</v>
      </c>
      <c r="F55" s="39" t="n">
        <v>-13061.0433333333</v>
      </c>
      <c r="G55" s="39" t="n">
        <v>-14738.1266666667</v>
      </c>
      <c r="H55" s="39" t="n">
        <v>-14738.1266666667</v>
      </c>
      <c r="I55" s="39" t="n">
        <v>-14738.1266666667</v>
      </c>
      <c r="J55" s="39" t="n">
        <v>-14738.1266666667</v>
      </c>
      <c r="K55" s="39" t="n">
        <v>-16473.5433333333</v>
      </c>
      <c r="L55" s="39" t="n">
        <v>-16473.5433333333</v>
      </c>
      <c r="M55" s="39" t="n">
        <v>-16473.5433333333</v>
      </c>
      <c r="N55" s="40" t="n">
        <f aca="false">SUM(B55:M55)</f>
        <v>-168588.77</v>
      </c>
    </row>
    <row r="56" customFormat="false" ht="15" hidden="false" customHeight="true" outlineLevel="0" collapsed="false">
      <c r="A56" s="38" t="s">
        <v>235</v>
      </c>
      <c r="B56" s="39" t="n">
        <v>-977.018</v>
      </c>
      <c r="C56" s="39" t="n">
        <v>-1008.268</v>
      </c>
      <c r="D56" s="39" t="n">
        <v>-1008.268</v>
      </c>
      <c r="E56" s="39" t="n">
        <v>-1048.268</v>
      </c>
      <c r="F56" s="39" t="n">
        <v>-1119.518</v>
      </c>
      <c r="G56" s="39" t="n">
        <v>-1263.268</v>
      </c>
      <c r="H56" s="39" t="n">
        <v>-1263.268</v>
      </c>
      <c r="I56" s="39" t="n">
        <v>-1263.268</v>
      </c>
      <c r="J56" s="39" t="n">
        <v>-1263.268</v>
      </c>
      <c r="K56" s="39" t="n">
        <v>-1412.018</v>
      </c>
      <c r="L56" s="39" t="n">
        <v>-1412.018</v>
      </c>
      <c r="M56" s="39" t="n">
        <v>-1412.018</v>
      </c>
      <c r="N56" s="40" t="n">
        <f aca="false">SUM(B56:M56)</f>
        <v>-14450.466</v>
      </c>
    </row>
    <row r="57" customFormat="false" ht="15" hidden="false" customHeight="true" outlineLevel="0" collapsed="false">
      <c r="A57" s="38" t="s">
        <v>236</v>
      </c>
      <c r="B57" s="39" t="n">
        <v>-1628.36333333333</v>
      </c>
      <c r="C57" s="39" t="n">
        <v>-1680.44666666667</v>
      </c>
      <c r="D57" s="39" t="n">
        <v>-1680.44666666667</v>
      </c>
      <c r="E57" s="39" t="n">
        <v>-1747.11333333333</v>
      </c>
      <c r="F57" s="39" t="n">
        <v>-1865.86333333333</v>
      </c>
      <c r="G57" s="39" t="n">
        <v>-2105.44666666667</v>
      </c>
      <c r="H57" s="39" t="n">
        <v>-2105.44666666667</v>
      </c>
      <c r="I57" s="39" t="n">
        <v>-2105.44666666667</v>
      </c>
      <c r="J57" s="39" t="n">
        <v>-2105.44666666667</v>
      </c>
      <c r="K57" s="39" t="n">
        <v>-2353.36333333333</v>
      </c>
      <c r="L57" s="39" t="n">
        <v>-2353.36333333333</v>
      </c>
      <c r="M57" s="39" t="n">
        <v>-2353.36333333333</v>
      </c>
      <c r="N57" s="40" t="n">
        <f aca="false">SUM(B57:M57)</f>
        <v>-24084.11</v>
      </c>
    </row>
    <row r="58" customFormat="false" ht="15" hidden="false" customHeight="true" outlineLevel="0" collapsed="false">
      <c r="A58" s="38" t="s">
        <v>237</v>
      </c>
      <c r="B58" s="39" t="n">
        <v>-16666.6666666667</v>
      </c>
      <c r="C58" s="39" t="n">
        <v>-16666.6666666667</v>
      </c>
      <c r="D58" s="39" t="n">
        <v>-16666.6666666667</v>
      </c>
      <c r="E58" s="39" t="n">
        <v>-16666.6666666667</v>
      </c>
      <c r="F58" s="39" t="n">
        <v>-16666.6666666667</v>
      </c>
      <c r="G58" s="39" t="n">
        <v>-16666.6666666667</v>
      </c>
      <c r="H58" s="39" t="n">
        <v>-16666.6666666667</v>
      </c>
      <c r="I58" s="39" t="n">
        <v>-16666.6666666667</v>
      </c>
      <c r="J58" s="39" t="n">
        <v>-16666.6666666667</v>
      </c>
      <c r="K58" s="39" t="n">
        <v>-16666.6666666667</v>
      </c>
      <c r="L58" s="39" t="n">
        <v>-16666.6666666667</v>
      </c>
      <c r="M58" s="39" t="n">
        <v>-16666.6666666667</v>
      </c>
      <c r="N58" s="40" t="n">
        <f aca="false">SUM(B58:M58)</f>
        <v>-200000</v>
      </c>
    </row>
    <row r="59" customFormat="false" ht="15" hidden="false" customHeight="true" outlineLevel="0" collapsed="false">
      <c r="A59" s="38" t="s">
        <v>238</v>
      </c>
      <c r="B59" s="39" t="n">
        <v>-15000</v>
      </c>
      <c r="C59" s="39" t="n">
        <v>-15000</v>
      </c>
      <c r="D59" s="39" t="n">
        <v>-15000</v>
      </c>
      <c r="E59" s="39" t="n">
        <v>-15000</v>
      </c>
      <c r="F59" s="39" t="n">
        <v>-15000</v>
      </c>
      <c r="G59" s="39" t="n">
        <v>-15000</v>
      </c>
      <c r="H59" s="39" t="n">
        <v>-15000</v>
      </c>
      <c r="I59" s="39" t="n">
        <v>-15000</v>
      </c>
      <c r="J59" s="39" t="n">
        <v>-15000</v>
      </c>
      <c r="K59" s="39" t="n">
        <v>-15000</v>
      </c>
      <c r="L59" s="39" t="n">
        <v>-15000</v>
      </c>
      <c r="M59" s="39" t="n">
        <v>-15000</v>
      </c>
      <c r="N59" s="40" t="n">
        <f aca="false">SUM(B59:M59)</f>
        <v>-180000</v>
      </c>
    </row>
    <row r="60" customFormat="false" ht="15" hidden="false" customHeight="true" outlineLevel="0" collapsed="false">
      <c r="A60" s="38" t="s">
        <v>239</v>
      </c>
      <c r="B60" s="39" t="n">
        <v>-4024.64</v>
      </c>
      <c r="C60" s="39" t="n">
        <v>-4024.64</v>
      </c>
      <c r="D60" s="39" t="n">
        <v>-4024.64</v>
      </c>
      <c r="E60" s="39" t="n">
        <v>-4024.64</v>
      </c>
      <c r="F60" s="39" t="n">
        <v>-4024.64</v>
      </c>
      <c r="G60" s="39" t="n">
        <v>-4024.64</v>
      </c>
      <c r="H60" s="39" t="n">
        <v>-4024.64</v>
      </c>
      <c r="I60" s="39" t="n">
        <v>-4024.64</v>
      </c>
      <c r="J60" s="39" t="n">
        <v>-4024.64</v>
      </c>
      <c r="K60" s="39" t="n">
        <v>-4024.64</v>
      </c>
      <c r="L60" s="39" t="n">
        <v>-4024.64</v>
      </c>
      <c r="M60" s="39" t="n">
        <v>-4024.64</v>
      </c>
      <c r="N60" s="40" t="n">
        <f aca="false">SUM(B60:M60)</f>
        <v>-48295.68</v>
      </c>
    </row>
    <row r="61" customFormat="false" ht="15" hidden="false" customHeight="true" outlineLevel="0" collapsed="false">
      <c r="A61" s="38" t="s">
        <v>240</v>
      </c>
      <c r="B61" s="39" t="n">
        <v>-359.13</v>
      </c>
      <c r="C61" s="39" t="n">
        <v>-359.13</v>
      </c>
      <c r="D61" s="39" t="n">
        <v>-359.13</v>
      </c>
      <c r="E61" s="39" t="n">
        <v>-359.13</v>
      </c>
      <c r="F61" s="39" t="n">
        <v>-359.13</v>
      </c>
      <c r="G61" s="39" t="n">
        <v>-359.13</v>
      </c>
      <c r="H61" s="39" t="n">
        <v>-359.13</v>
      </c>
      <c r="I61" s="39" t="n">
        <v>-359.13</v>
      </c>
      <c r="J61" s="39" t="n">
        <v>-359.13</v>
      </c>
      <c r="K61" s="39" t="n">
        <v>-359.13</v>
      </c>
      <c r="L61" s="39" t="n">
        <v>-359.13</v>
      </c>
      <c r="M61" s="39" t="n">
        <v>-359.13</v>
      </c>
      <c r="N61" s="40" t="n">
        <f aca="false">SUM(B61:M61)</f>
        <v>-4309.56</v>
      </c>
    </row>
    <row r="62" customFormat="false" ht="15" hidden="false" customHeight="true" outlineLevel="0" collapsed="false">
      <c r="A62" s="38" t="s">
        <v>241</v>
      </c>
      <c r="B62" s="39" t="n">
        <v>-26.33</v>
      </c>
      <c r="C62" s="39" t="n">
        <v>-26.33</v>
      </c>
      <c r="D62" s="39" t="n">
        <v>-26.33</v>
      </c>
      <c r="E62" s="39" t="n">
        <v>-26.33</v>
      </c>
      <c r="F62" s="39" t="n">
        <v>-26.33</v>
      </c>
      <c r="G62" s="39" t="n">
        <v>-26.33</v>
      </c>
      <c r="H62" s="39" t="n">
        <v>-26.33</v>
      </c>
      <c r="I62" s="39" t="n">
        <v>-26.33</v>
      </c>
      <c r="J62" s="39" t="n">
        <v>-26.33</v>
      </c>
      <c r="K62" s="39" t="n">
        <v>-26.33</v>
      </c>
      <c r="L62" s="39" t="n">
        <v>-26.33</v>
      </c>
      <c r="M62" s="39" t="n">
        <v>-26.33</v>
      </c>
      <c r="N62" s="40" t="n">
        <f aca="false">SUM(B62:M62)</f>
        <v>-315.96</v>
      </c>
    </row>
    <row r="63" customFormat="false" ht="15" hidden="false" customHeight="true" outlineLevel="0" collapsed="false">
      <c r="A63" s="38" t="s">
        <v>242</v>
      </c>
      <c r="B63" s="39" t="n">
        <v>-5300.8</v>
      </c>
      <c r="C63" s="39" t="n">
        <v>-5300.8</v>
      </c>
      <c r="D63" s="39" t="n">
        <v>-5300.8</v>
      </c>
      <c r="E63" s="39" t="n">
        <v>-5300.8</v>
      </c>
      <c r="F63" s="39" t="n">
        <v>-5300.8</v>
      </c>
      <c r="G63" s="39" t="n">
        <v>-5300.8</v>
      </c>
      <c r="H63" s="39" t="n">
        <v>-5300.8</v>
      </c>
      <c r="I63" s="39" t="n">
        <v>-5300.8</v>
      </c>
      <c r="J63" s="39" t="n">
        <v>-5300.8</v>
      </c>
      <c r="K63" s="39" t="n">
        <v>-5300.8</v>
      </c>
      <c r="L63" s="39" t="n">
        <v>-5300.8</v>
      </c>
      <c r="M63" s="39" t="n">
        <v>-5300.8</v>
      </c>
      <c r="N63" s="40" t="n">
        <f aca="false">SUM(B63:M63)</f>
        <v>-63609.6</v>
      </c>
    </row>
    <row r="64" customFormat="false" ht="15" hidden="false" customHeight="true" outlineLevel="0" collapsed="false">
      <c r="A64" s="38" t="s">
        <v>243</v>
      </c>
      <c r="B64" s="39" t="n">
        <v>-736.03</v>
      </c>
      <c r="C64" s="39" t="n">
        <v>-736.03</v>
      </c>
      <c r="D64" s="39" t="n">
        <v>-736.03</v>
      </c>
      <c r="E64" s="39" t="n">
        <v>-736.03</v>
      </c>
      <c r="F64" s="39" t="n">
        <v>-736.03</v>
      </c>
      <c r="G64" s="39" t="n">
        <v>-736.03</v>
      </c>
      <c r="H64" s="39" t="n">
        <v>-736.03</v>
      </c>
      <c r="I64" s="39" t="n">
        <v>-736.03</v>
      </c>
      <c r="J64" s="39" t="n">
        <v>-736.03</v>
      </c>
      <c r="K64" s="39" t="n">
        <v>-736.03</v>
      </c>
      <c r="L64" s="39" t="n">
        <v>-736.03</v>
      </c>
      <c r="M64" s="39" t="n">
        <v>-736.03</v>
      </c>
      <c r="N64" s="40" t="n">
        <f aca="false">SUM(B64:M64)</f>
        <v>-8832.36</v>
      </c>
    </row>
    <row r="65" customFormat="false" ht="15" hidden="false" customHeight="true" outlineLevel="0" collapsed="false">
      <c r="A65" s="38" t="s">
        <v>244</v>
      </c>
      <c r="B65" s="39" t="n">
        <v>-1134.62</v>
      </c>
      <c r="C65" s="39" t="n">
        <v>-1134.62</v>
      </c>
      <c r="D65" s="39" t="n">
        <v>-1134.62</v>
      </c>
      <c r="E65" s="39" t="n">
        <v>-1134.62</v>
      </c>
      <c r="F65" s="39" t="n">
        <v>-1134.62</v>
      </c>
      <c r="G65" s="39" t="n">
        <v>-1134.62</v>
      </c>
      <c r="H65" s="39" t="n">
        <v>-1134.62</v>
      </c>
      <c r="I65" s="39" t="n">
        <v>-1134.62</v>
      </c>
      <c r="J65" s="39" t="n">
        <v>-1134.62</v>
      </c>
      <c r="K65" s="39" t="n">
        <v>-1134.62</v>
      </c>
      <c r="L65" s="39" t="n">
        <v>-1134.62</v>
      </c>
      <c r="M65" s="39" t="n">
        <v>-1134.62</v>
      </c>
      <c r="N65" s="40" t="n">
        <f aca="false">SUM(B65:M65)</f>
        <v>-13615.44</v>
      </c>
    </row>
    <row r="66" customFormat="false" ht="15" hidden="false" customHeight="true" outlineLevel="0" collapsed="false">
      <c r="A66" s="38" t="s">
        <v>245</v>
      </c>
      <c r="B66" s="39" t="n">
        <v>-1270.83</v>
      </c>
      <c r="C66" s="39" t="n">
        <v>-1270.83</v>
      </c>
      <c r="D66" s="39" t="n">
        <v>-1270.83</v>
      </c>
      <c r="E66" s="39" t="n">
        <v>-1270.83</v>
      </c>
      <c r="F66" s="39" t="n">
        <v>-1270.83</v>
      </c>
      <c r="G66" s="39" t="n">
        <v>-1270.83</v>
      </c>
      <c r="H66" s="39" t="n">
        <v>-1270.83</v>
      </c>
      <c r="I66" s="39" t="n">
        <v>-1270.83</v>
      </c>
      <c r="J66" s="39" t="n">
        <v>-1270.83</v>
      </c>
      <c r="K66" s="39" t="n">
        <v>-1270.83</v>
      </c>
      <c r="L66" s="39" t="n">
        <v>-1270.83</v>
      </c>
      <c r="M66" s="39" t="n">
        <v>-1270.83</v>
      </c>
      <c r="N66" s="40" t="n">
        <f aca="false">SUM(B66:M66)</f>
        <v>-15249.96</v>
      </c>
    </row>
    <row r="67" customFormat="false" ht="15" hidden="false" customHeight="true" outlineLevel="0" collapsed="false">
      <c r="A67" s="38" t="s">
        <v>246</v>
      </c>
      <c r="B67" s="39" t="n">
        <v>-5916.33</v>
      </c>
      <c r="C67" s="39" t="n">
        <v>-5916.33</v>
      </c>
      <c r="D67" s="39" t="n">
        <v>-5916.33</v>
      </c>
      <c r="E67" s="39" t="n">
        <v>-5916.33</v>
      </c>
      <c r="F67" s="39" t="n">
        <v>-5916.33</v>
      </c>
      <c r="G67" s="39" t="n">
        <v>-5916.33</v>
      </c>
      <c r="H67" s="39" t="n">
        <v>-5916.33</v>
      </c>
      <c r="I67" s="39" t="n">
        <v>-5916.33</v>
      </c>
      <c r="J67" s="39" t="n">
        <v>-5916.33</v>
      </c>
      <c r="K67" s="39" t="n">
        <v>-5916.33</v>
      </c>
      <c r="L67" s="39" t="n">
        <v>-5916.33</v>
      </c>
      <c r="M67" s="39" t="n">
        <v>-5916.33</v>
      </c>
      <c r="N67" s="40" t="n">
        <f aca="false">SUM(B67:M67)</f>
        <v>-70995.96</v>
      </c>
    </row>
    <row r="68" customFormat="false" ht="15" hidden="false" customHeight="true" outlineLevel="0" collapsed="false">
      <c r="A68" s="38" t="s">
        <v>247</v>
      </c>
      <c r="B68" s="39" t="n">
        <v>-250.13</v>
      </c>
      <c r="C68" s="39" t="n">
        <v>-250.13</v>
      </c>
      <c r="D68" s="39" t="n">
        <v>-250.13</v>
      </c>
      <c r="E68" s="39" t="n">
        <v>-250.13</v>
      </c>
      <c r="F68" s="39" t="n">
        <v>-250.13</v>
      </c>
      <c r="G68" s="39" t="n">
        <v>-250.13</v>
      </c>
      <c r="H68" s="39" t="n">
        <v>-250.13</v>
      </c>
      <c r="I68" s="39" t="n">
        <v>-250.13</v>
      </c>
      <c r="J68" s="39" t="n">
        <v>-250.13</v>
      </c>
      <c r="K68" s="39" t="n">
        <v>-250.13</v>
      </c>
      <c r="L68" s="39" t="n">
        <v>-250.13</v>
      </c>
      <c r="M68" s="39" t="n">
        <v>-250.13</v>
      </c>
      <c r="N68" s="40" t="n">
        <f aca="false">SUM(B68:M68)</f>
        <v>-3001.56</v>
      </c>
    </row>
    <row r="69" customFormat="false" ht="15" hidden="false" customHeight="true" outlineLevel="0" collapsed="false">
      <c r="A69" s="38" t="s">
        <v>248</v>
      </c>
      <c r="B69" s="39" t="n">
        <v>-1750.91</v>
      </c>
      <c r="C69" s="39" t="n">
        <v>-1750.91</v>
      </c>
      <c r="D69" s="39" t="n">
        <v>-1750.91</v>
      </c>
      <c r="E69" s="39" t="n">
        <v>-1750.91</v>
      </c>
      <c r="F69" s="39" t="n">
        <v>-1750.91</v>
      </c>
      <c r="G69" s="39" t="n">
        <v>-1750.91</v>
      </c>
      <c r="H69" s="39" t="n">
        <v>-1750.91</v>
      </c>
      <c r="I69" s="39" t="n">
        <v>-1750.91</v>
      </c>
      <c r="J69" s="39" t="n">
        <v>-1750.91</v>
      </c>
      <c r="K69" s="39" t="n">
        <v>-1750.91</v>
      </c>
      <c r="L69" s="39" t="n">
        <v>-1750.91</v>
      </c>
      <c r="M69" s="39" t="n">
        <v>-1750.91</v>
      </c>
      <c r="N69" s="40" t="n">
        <f aca="false">SUM(B69:M69)</f>
        <v>-21010.92</v>
      </c>
    </row>
    <row r="70" customFormat="false" ht="15" hidden="false" customHeight="true" outlineLevel="0" collapsed="false">
      <c r="A70" s="38" t="s">
        <v>249</v>
      </c>
      <c r="B70" s="39" t="n">
        <v>-1988.67</v>
      </c>
      <c r="C70" s="39" t="n">
        <v>-1988.67</v>
      </c>
      <c r="D70" s="39" t="n">
        <v>-1988.67</v>
      </c>
      <c r="E70" s="39" t="n">
        <v>-1988.67</v>
      </c>
      <c r="F70" s="39" t="n">
        <v>-1988.67</v>
      </c>
      <c r="G70" s="39" t="n">
        <v>-1988.67</v>
      </c>
      <c r="H70" s="39" t="n">
        <v>-1988.67</v>
      </c>
      <c r="I70" s="39" t="n">
        <v>-1988.67</v>
      </c>
      <c r="J70" s="39" t="n">
        <v>-1988.67</v>
      </c>
      <c r="K70" s="39" t="n">
        <v>-1988.67</v>
      </c>
      <c r="L70" s="39" t="n">
        <v>-1988.67</v>
      </c>
      <c r="M70" s="39" t="n">
        <v>-1988.67</v>
      </c>
      <c r="N70" s="40" t="n">
        <f aca="false">SUM(B70:M70)</f>
        <v>-23864.04</v>
      </c>
    </row>
    <row r="71" customFormat="false" ht="15" hidden="false" customHeight="true" outlineLevel="0" collapsed="false">
      <c r="A71" s="38" t="s">
        <v>250</v>
      </c>
      <c r="B71" s="39" t="n">
        <v>0</v>
      </c>
      <c r="C71" s="39" t="n">
        <v>-9375</v>
      </c>
      <c r="D71" s="39" t="n">
        <v>0</v>
      </c>
      <c r="E71" s="39" t="n">
        <v>-12000</v>
      </c>
      <c r="F71" s="39" t="n">
        <v>-21375</v>
      </c>
      <c r="G71" s="39" t="n">
        <v>-43125</v>
      </c>
      <c r="H71" s="39" t="n">
        <v>0</v>
      </c>
      <c r="I71" s="39" t="n">
        <v>0</v>
      </c>
      <c r="J71" s="39" t="n">
        <v>0</v>
      </c>
      <c r="K71" s="39" t="n">
        <v>-44625</v>
      </c>
      <c r="L71" s="39" t="n">
        <v>0</v>
      </c>
      <c r="M71" s="39" t="n">
        <v>0</v>
      </c>
      <c r="N71" s="40" t="n">
        <f aca="false">SUM(B71:M71)</f>
        <v>-130500</v>
      </c>
    </row>
    <row r="72" customFormat="false" ht="15" hidden="false" customHeight="true" outlineLevel="0" collapsed="false">
      <c r="A72" s="38" t="s">
        <v>251</v>
      </c>
      <c r="B72" s="39" t="n">
        <v>-55</v>
      </c>
      <c r="C72" s="39" t="n">
        <v>-55</v>
      </c>
      <c r="D72" s="39" t="n">
        <v>-55</v>
      </c>
      <c r="E72" s="39" t="n">
        <v>-55</v>
      </c>
      <c r="F72" s="39" t="n">
        <v>-55</v>
      </c>
      <c r="G72" s="39" t="n">
        <v>-55</v>
      </c>
      <c r="H72" s="39" t="n">
        <v>-55</v>
      </c>
      <c r="I72" s="39" t="n">
        <v>-55</v>
      </c>
      <c r="J72" s="39" t="n">
        <v>-55</v>
      </c>
      <c r="K72" s="39" t="n">
        <v>-55</v>
      </c>
      <c r="L72" s="39" t="n">
        <v>-55</v>
      </c>
      <c r="M72" s="39" t="n">
        <v>-55</v>
      </c>
      <c r="N72" s="40" t="n">
        <f aca="false">SUM(B72:M72)</f>
        <v>-660</v>
      </c>
    </row>
    <row r="73" customFormat="false" ht="15" hidden="false" customHeight="true" outlineLevel="0" collapsed="false">
      <c r="A73" s="38" t="s">
        <v>252</v>
      </c>
      <c r="B73" s="39" t="n">
        <v>-550</v>
      </c>
      <c r="C73" s="39" t="n">
        <v>-550</v>
      </c>
      <c r="D73" s="39" t="n">
        <v>-550</v>
      </c>
      <c r="E73" s="39" t="n">
        <v>-550</v>
      </c>
      <c r="F73" s="39" t="n">
        <v>-550</v>
      </c>
      <c r="G73" s="39" t="n">
        <v>-550</v>
      </c>
      <c r="H73" s="39" t="n">
        <v>-550</v>
      </c>
      <c r="I73" s="39" t="n">
        <v>-550</v>
      </c>
      <c r="J73" s="39" t="n">
        <v>-550</v>
      </c>
      <c r="K73" s="39" t="n">
        <v>-550</v>
      </c>
      <c r="L73" s="39" t="n">
        <v>-550</v>
      </c>
      <c r="M73" s="39" t="n">
        <v>-550</v>
      </c>
      <c r="N73" s="40" t="n">
        <f aca="false">SUM(B73:M73)</f>
        <v>-6600</v>
      </c>
    </row>
    <row r="74" customFormat="false" ht="15" hidden="false" customHeight="true" outlineLevel="0" collapsed="false">
      <c r="A74" s="38" t="s">
        <v>253</v>
      </c>
      <c r="B74" s="39" t="n">
        <v>-17638.14</v>
      </c>
      <c r="C74" s="39" t="n">
        <v>-17638.14</v>
      </c>
      <c r="D74" s="39" t="n">
        <v>-17638.14</v>
      </c>
      <c r="E74" s="39" t="n">
        <v>-17638.14</v>
      </c>
      <c r="F74" s="39" t="n">
        <v>-17638.14</v>
      </c>
      <c r="G74" s="39" t="n">
        <v>-17638.14</v>
      </c>
      <c r="H74" s="39" t="n">
        <v>-17638.14</v>
      </c>
      <c r="I74" s="39" t="n">
        <v>-17638.14</v>
      </c>
      <c r="J74" s="39" t="n">
        <v>-17638.14</v>
      </c>
      <c r="K74" s="39" t="n">
        <v>-17638.14</v>
      </c>
      <c r="L74" s="39" t="n">
        <v>-17638.14</v>
      </c>
      <c r="M74" s="39" t="n">
        <v>-17638.14</v>
      </c>
      <c r="N74" s="40" t="n">
        <f aca="false">SUM(B74:M74)</f>
        <v>-211657.68</v>
      </c>
    </row>
    <row r="75" customFormat="false" ht="15" hidden="false" customHeight="true" outlineLevel="0" collapsed="false">
      <c r="A75" s="38" t="s">
        <v>254</v>
      </c>
      <c r="B75" s="39" t="n">
        <v>-1422.33</v>
      </c>
      <c r="C75" s="39" t="n">
        <v>-1422.33</v>
      </c>
      <c r="D75" s="39" t="n">
        <v>-1422.33</v>
      </c>
      <c r="E75" s="39" t="n">
        <v>-1422.33</v>
      </c>
      <c r="F75" s="39" t="n">
        <v>-1422.33</v>
      </c>
      <c r="G75" s="39" t="n">
        <v>-1422.33</v>
      </c>
      <c r="H75" s="39" t="n">
        <v>-1422.33</v>
      </c>
      <c r="I75" s="39" t="n">
        <v>-1422.33</v>
      </c>
      <c r="J75" s="39" t="n">
        <v>-1422.33</v>
      </c>
      <c r="K75" s="39" t="n">
        <v>-1422.33</v>
      </c>
      <c r="L75" s="39" t="n">
        <v>-1422.33</v>
      </c>
      <c r="M75" s="39" t="n">
        <v>-1422.33</v>
      </c>
      <c r="N75" s="40" t="n">
        <f aca="false">SUM(B75:M75)</f>
        <v>-17067.96</v>
      </c>
    </row>
    <row r="76" customFormat="false" ht="15" hidden="false" customHeight="true" outlineLevel="0" collapsed="false">
      <c r="A76" s="38" t="s">
        <v>255</v>
      </c>
      <c r="B76" s="39" t="n">
        <v>-160</v>
      </c>
      <c r="C76" s="39" t="n">
        <v>-160</v>
      </c>
      <c r="D76" s="39" t="n">
        <v>-160</v>
      </c>
      <c r="E76" s="39" t="n">
        <v>-160</v>
      </c>
      <c r="F76" s="39" t="n">
        <v>-160</v>
      </c>
      <c r="G76" s="39" t="n">
        <v>-160</v>
      </c>
      <c r="H76" s="39" t="n">
        <v>-160</v>
      </c>
      <c r="I76" s="39" t="n">
        <v>-160</v>
      </c>
      <c r="J76" s="39" t="n">
        <v>-160</v>
      </c>
      <c r="K76" s="39" t="n">
        <v>-160</v>
      </c>
      <c r="L76" s="39" t="n">
        <v>-160</v>
      </c>
      <c r="M76" s="39" t="n">
        <v>-160</v>
      </c>
      <c r="N76" s="40" t="n">
        <f aca="false">SUM(B76:M76)</f>
        <v>-1920</v>
      </c>
    </row>
    <row r="77" customFormat="false" ht="15" hidden="false" customHeight="true" outlineLevel="0" collapsed="false">
      <c r="A77" s="38" t="s">
        <v>256</v>
      </c>
      <c r="B77" s="39" t="n">
        <v>-5000</v>
      </c>
      <c r="C77" s="39" t="n">
        <v>-5000</v>
      </c>
      <c r="D77" s="39" t="n">
        <v>-5000</v>
      </c>
      <c r="E77" s="39" t="n">
        <v>-5000</v>
      </c>
      <c r="F77" s="39" t="n">
        <v>-5000</v>
      </c>
      <c r="G77" s="39" t="n">
        <v>-5000</v>
      </c>
      <c r="H77" s="39" t="n">
        <v>-5000</v>
      </c>
      <c r="I77" s="39" t="n">
        <v>-5000</v>
      </c>
      <c r="J77" s="39" t="n">
        <v>-5000</v>
      </c>
      <c r="K77" s="39" t="n">
        <v>-5000</v>
      </c>
      <c r="L77" s="39" t="n">
        <v>-5000</v>
      </c>
      <c r="M77" s="39" t="n">
        <v>-5000</v>
      </c>
      <c r="N77" s="40" t="n">
        <f aca="false">SUM(B77:M77)</f>
        <v>-60000</v>
      </c>
    </row>
    <row r="78" customFormat="false" ht="15" hidden="false" customHeight="true" outlineLevel="0" collapsed="false">
      <c r="A78" s="38" t="s">
        <v>257</v>
      </c>
      <c r="B78" s="39" t="n">
        <v>-417.6</v>
      </c>
      <c r="C78" s="39" t="n">
        <v>-417.6</v>
      </c>
      <c r="D78" s="39" t="n">
        <v>-417.6</v>
      </c>
      <c r="E78" s="39" t="n">
        <v>-417.6</v>
      </c>
      <c r="F78" s="39" t="n">
        <v>-417.6</v>
      </c>
      <c r="G78" s="39" t="n">
        <v>-417.6</v>
      </c>
      <c r="H78" s="39" t="n">
        <v>-417.6</v>
      </c>
      <c r="I78" s="39" t="n">
        <v>-417.6</v>
      </c>
      <c r="J78" s="39" t="n">
        <v>-417.6</v>
      </c>
      <c r="K78" s="39" t="n">
        <v>-417.6</v>
      </c>
      <c r="L78" s="39" t="n">
        <v>-417.6</v>
      </c>
      <c r="M78" s="39" t="n">
        <v>-417.6</v>
      </c>
      <c r="N78" s="40" t="n">
        <f aca="false">SUM(B78:M78)</f>
        <v>-5011.2</v>
      </c>
    </row>
    <row r="79" customFormat="false" ht="15" hidden="false" customHeight="true" outlineLevel="0" collapsed="false">
      <c r="A79" s="38" t="s">
        <v>258</v>
      </c>
      <c r="B79" s="39" t="n">
        <v>-26.67</v>
      </c>
      <c r="C79" s="39" t="n">
        <v>-26.67</v>
      </c>
      <c r="D79" s="39" t="n">
        <v>-26.67</v>
      </c>
      <c r="E79" s="39" t="n">
        <v>-26.67</v>
      </c>
      <c r="F79" s="39" t="n">
        <v>-26.67</v>
      </c>
      <c r="G79" s="39" t="n">
        <v>-26.67</v>
      </c>
      <c r="H79" s="39" t="n">
        <v>-26.67</v>
      </c>
      <c r="I79" s="39" t="n">
        <v>-26.67</v>
      </c>
      <c r="J79" s="39" t="n">
        <v>-26.67</v>
      </c>
      <c r="K79" s="39" t="n">
        <v>-26.67</v>
      </c>
      <c r="L79" s="39" t="n">
        <v>-26.67</v>
      </c>
      <c r="M79" s="39" t="n">
        <v>-26.67</v>
      </c>
      <c r="N79" s="40" t="n">
        <f aca="false">SUM(B79:M79)</f>
        <v>-320.04</v>
      </c>
    </row>
    <row r="80" customFormat="false" ht="15" hidden="false" customHeight="true" outlineLevel="0" collapsed="false">
      <c r="A80" s="38" t="s">
        <v>259</v>
      </c>
      <c r="B80" s="39" t="n">
        <v>-21</v>
      </c>
      <c r="C80" s="39" t="n">
        <v>-21</v>
      </c>
      <c r="D80" s="39" t="n">
        <v>-21</v>
      </c>
      <c r="E80" s="39" t="n">
        <v>-21</v>
      </c>
      <c r="F80" s="39" t="n">
        <v>-21</v>
      </c>
      <c r="G80" s="39" t="n">
        <v>-21</v>
      </c>
      <c r="H80" s="39" t="n">
        <v>-21</v>
      </c>
      <c r="I80" s="39" t="n">
        <v>-21</v>
      </c>
      <c r="J80" s="39" t="n">
        <v>-21</v>
      </c>
      <c r="K80" s="39" t="n">
        <v>-21</v>
      </c>
      <c r="L80" s="39" t="n">
        <v>-21</v>
      </c>
      <c r="M80" s="39" t="n">
        <v>-21</v>
      </c>
      <c r="N80" s="40" t="n">
        <f aca="false">SUM(B80:M80)</f>
        <v>-252</v>
      </c>
    </row>
    <row r="81" customFormat="false" ht="15" hidden="false" customHeight="true" outlineLevel="0" collapsed="false">
      <c r="A81" s="38" t="s">
        <v>260</v>
      </c>
      <c r="B81" s="39" t="n">
        <v>-1250</v>
      </c>
      <c r="C81" s="39" t="n">
        <v>-1250</v>
      </c>
      <c r="D81" s="39" t="n">
        <v>-1250</v>
      </c>
      <c r="E81" s="39" t="n">
        <v>-1250</v>
      </c>
      <c r="F81" s="39" t="n">
        <v>-1250</v>
      </c>
      <c r="G81" s="39" t="n">
        <v>-1250</v>
      </c>
      <c r="H81" s="39" t="n">
        <v>-1250</v>
      </c>
      <c r="I81" s="39" t="n">
        <v>-1250</v>
      </c>
      <c r="J81" s="39" t="n">
        <v>-1250</v>
      </c>
      <c r="K81" s="39" t="n">
        <v>-1250</v>
      </c>
      <c r="L81" s="39" t="n">
        <v>-1250</v>
      </c>
      <c r="M81" s="39" t="n">
        <v>-1250</v>
      </c>
      <c r="N81" s="40" t="n">
        <f aca="false">SUM(B81:M81)</f>
        <v>-15000</v>
      </c>
    </row>
    <row r="82" customFormat="false" ht="15" hidden="false" customHeight="true" outlineLevel="0" collapsed="false">
      <c r="A82" s="38" t="s">
        <v>261</v>
      </c>
      <c r="B82" s="39" t="n">
        <v>0</v>
      </c>
      <c r="C82" s="39" t="n">
        <v>0</v>
      </c>
      <c r="D82" s="39" t="n">
        <v>0</v>
      </c>
      <c r="E82" s="39" t="n">
        <v>0</v>
      </c>
      <c r="F82" s="39" t="n">
        <v>0</v>
      </c>
      <c r="G82" s="39" t="n">
        <v>0</v>
      </c>
      <c r="H82" s="39" t="n">
        <v>0</v>
      </c>
      <c r="I82" s="39" t="n">
        <v>0</v>
      </c>
      <c r="J82" s="39" t="n">
        <v>0</v>
      </c>
      <c r="K82" s="39" t="n">
        <v>0</v>
      </c>
      <c r="L82" s="39" t="n">
        <v>-62565.82645</v>
      </c>
      <c r="M82" s="39" t="n">
        <v>0</v>
      </c>
      <c r="N82" s="40" t="n">
        <f aca="false">SUM(B82:M82)</f>
        <v>-62565.82645</v>
      </c>
    </row>
    <row r="83" customFormat="false" ht="15" hidden="false" customHeight="true" outlineLevel="0" collapsed="false">
      <c r="A83" s="38" t="s">
        <v>262</v>
      </c>
      <c r="B83" s="39" t="n">
        <v>-27500</v>
      </c>
      <c r="C83" s="39" t="n">
        <v>-27500</v>
      </c>
      <c r="D83" s="39" t="n">
        <v>-4000</v>
      </c>
      <c r="E83" s="39" t="n">
        <v>-4000</v>
      </c>
      <c r="F83" s="39" t="n">
        <v>-4000</v>
      </c>
      <c r="G83" s="39" t="n">
        <v>-4000</v>
      </c>
      <c r="H83" s="39" t="n">
        <v>-4000</v>
      </c>
      <c r="I83" s="39" t="n">
        <v>-4000</v>
      </c>
      <c r="J83" s="39" t="n">
        <v>-4000</v>
      </c>
      <c r="K83" s="39" t="n">
        <v>-4000</v>
      </c>
      <c r="L83" s="39" t="n">
        <v>-4000</v>
      </c>
      <c r="M83" s="39" t="n">
        <v>-4000</v>
      </c>
      <c r="N83" s="40" t="n">
        <f aca="false">SUM(B83:M83)</f>
        <v>-95000</v>
      </c>
    </row>
    <row r="84" customFormat="false" ht="15" hidden="false" customHeight="true" outlineLevel="0" collapsed="false">
      <c r="A84" s="38" t="s">
        <v>263</v>
      </c>
      <c r="B84" s="39" t="n">
        <v>0</v>
      </c>
      <c r="C84" s="39" t="n">
        <v>0</v>
      </c>
      <c r="D84" s="39" t="n">
        <v>0</v>
      </c>
      <c r="E84" s="39" t="n">
        <v>0</v>
      </c>
      <c r="F84" s="39" t="n">
        <v>0</v>
      </c>
      <c r="G84" s="39" t="n">
        <v>0</v>
      </c>
      <c r="H84" s="39" t="n">
        <v>0</v>
      </c>
      <c r="I84" s="39" t="n">
        <v>0</v>
      </c>
      <c r="J84" s="39" t="n">
        <v>0</v>
      </c>
      <c r="K84" s="39" t="n">
        <v>0</v>
      </c>
      <c r="L84" s="39" t="n">
        <v>0</v>
      </c>
      <c r="M84" s="39" t="n">
        <v>-200000</v>
      </c>
      <c r="N84" s="40" t="n">
        <f aca="false">SUM(B84:M84)</f>
        <v>-200000</v>
      </c>
    </row>
    <row r="85" customFormat="false" ht="15" hidden="false" customHeight="true" outlineLevel="0" collapsed="false">
      <c r="A85" s="41" t="s">
        <v>264</v>
      </c>
      <c r="B85" s="40" t="n">
        <f aca="false">SUM(B53:B84)</f>
        <v>-416147.838</v>
      </c>
      <c r="C85" s="40" t="n">
        <f aca="false">SUM(C53:C84)</f>
        <v>-437116.588</v>
      </c>
      <c r="D85" s="40" t="n">
        <f aca="false">SUM(D53:D84)</f>
        <v>-404241.588</v>
      </c>
      <c r="E85" s="40" t="n">
        <f aca="false">SUM(E53:E84)</f>
        <v>-431081.588</v>
      </c>
      <c r="F85" s="40" t="n">
        <f aca="false">SUM(F53:F84)</f>
        <v>-466890.338</v>
      </c>
      <c r="G85" s="40" t="n">
        <f aca="false">SUM(G53:G84)</f>
        <v>-541971.588</v>
      </c>
      <c r="H85" s="40" t="n">
        <f aca="false">SUM(H53:H84)</f>
        <v>-498846.588</v>
      </c>
      <c r="I85" s="40" t="n">
        <f aca="false">SUM(I53:I84)</f>
        <v>-498846.588</v>
      </c>
      <c r="J85" s="40" t="n">
        <f aca="false">SUM(J53:J84)</f>
        <v>-498846.588</v>
      </c>
      <c r="K85" s="40" t="n">
        <f aca="false">SUM(K53:K84)</f>
        <v>-598657.838</v>
      </c>
      <c r="L85" s="40" t="n">
        <f aca="false">SUM(L53:L84)</f>
        <v>-616598.66445</v>
      </c>
      <c r="M85" s="40" t="n">
        <f aca="false">SUM(M53:M84)</f>
        <v>-754032.838</v>
      </c>
      <c r="N85" s="40" t="n">
        <f aca="false">SUM(N53:N84)</f>
        <v>-6163278.63245</v>
      </c>
    </row>
    <row r="86" customFormat="false" ht="15" hidden="false" customHeight="true" outlineLevel="0" collapsed="false">
      <c r="A86" s="42" t="s">
        <v>265</v>
      </c>
      <c r="B86" s="43" t="n">
        <f aca="false">B51+B85</f>
        <v>240471.06871865</v>
      </c>
      <c r="C86" s="43" t="n">
        <f aca="false">C51+C85</f>
        <v>248763.335199601</v>
      </c>
      <c r="D86" s="43" t="n">
        <f aca="false">D51+D85</f>
        <v>300112.955199599</v>
      </c>
      <c r="E86" s="43" t="n">
        <f aca="false">E51+E85</f>
        <v>34519.3803583157</v>
      </c>
      <c r="F86" s="43" t="n">
        <f aca="false">F51+F85</f>
        <v>182841.768522535</v>
      </c>
      <c r="G86" s="43" t="n">
        <f aca="false">G51+G85</f>
        <v>14435.4380263787</v>
      </c>
      <c r="H86" s="43" t="n">
        <f aca="false">H51+H85</f>
        <v>724359.417536182</v>
      </c>
      <c r="I86" s="43" t="n">
        <f aca="false">I51+I85</f>
        <v>620657.35753618</v>
      </c>
      <c r="J86" s="43" t="n">
        <f aca="false">J51+J85</f>
        <v>540129.736254229</v>
      </c>
      <c r="K86" s="43" t="n">
        <f aca="false">K51+K85</f>
        <v>472030.890937775</v>
      </c>
      <c r="L86" s="43" t="n">
        <f aca="false">L51+L85</f>
        <v>847647.300349847</v>
      </c>
      <c r="M86" s="43" t="n">
        <f aca="false">M51+M85</f>
        <v>526686.206799846</v>
      </c>
      <c r="N86" s="43" t="n">
        <f aca="false">N51+N85</f>
        <v>4752654.85543912</v>
      </c>
    </row>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82031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22" min="5" style="0" width="8.5"/>
  </cols>
  <sheetData>
    <row r="1" customFormat="false" ht="17.35" hidden="false" customHeight="false" outlineLevel="0" collapsed="false">
      <c r="A1" s="44" t="s">
        <v>266</v>
      </c>
    </row>
    <row r="2" customFormat="false" ht="54" hidden="false" customHeight="true" outlineLevel="0" collapsed="false">
      <c r="A2" s="45" t="s">
        <v>267</v>
      </c>
      <c r="B2" s="45"/>
      <c r="C2" s="45"/>
      <c r="D2" s="45"/>
      <c r="E2" s="45"/>
      <c r="F2" s="45"/>
      <c r="G2" s="45"/>
      <c r="H2" s="45"/>
      <c r="I2" s="45"/>
      <c r="J2" s="45"/>
      <c r="K2" s="45"/>
      <c r="L2" s="45"/>
      <c r="M2" s="45"/>
      <c r="N2" s="45"/>
      <c r="O2" s="45"/>
      <c r="P2" s="45"/>
      <c r="Q2" s="45"/>
      <c r="R2" s="45"/>
      <c r="S2" s="45"/>
      <c r="T2" s="45"/>
      <c r="U2" s="45"/>
      <c r="V2" s="45"/>
    </row>
    <row r="4" customFormat="false" ht="15" hidden="false" customHeight="false" outlineLevel="0" collapsed="false">
      <c r="A4" s="46" t="s">
        <v>268</v>
      </c>
      <c r="B4" s="5" t="s">
        <v>269</v>
      </c>
      <c r="C4" s="5" t="s">
        <v>270</v>
      </c>
      <c r="D4" s="5" t="s">
        <v>271</v>
      </c>
      <c r="E4" s="5" t="s">
        <v>272</v>
      </c>
      <c r="F4" s="5" t="s">
        <v>273</v>
      </c>
      <c r="G4" s="5" t="s">
        <v>274</v>
      </c>
      <c r="H4" s="5" t="s">
        <v>275</v>
      </c>
      <c r="I4" s="5" t="s">
        <v>276</v>
      </c>
      <c r="J4" s="5" t="s">
        <v>277</v>
      </c>
      <c r="K4" s="5" t="s">
        <v>278</v>
      </c>
      <c r="L4" s="5" t="s">
        <v>279</v>
      </c>
      <c r="M4" s="5" t="s">
        <v>280</v>
      </c>
      <c r="N4" s="5" t="s">
        <v>281</v>
      </c>
      <c r="O4" s="5" t="s">
        <v>282</v>
      </c>
      <c r="P4" s="5" t="s">
        <v>283</v>
      </c>
      <c r="Q4" s="5" t="s">
        <v>284</v>
      </c>
      <c r="R4" s="5" t="s">
        <v>285</v>
      </c>
      <c r="S4" s="5" t="s">
        <v>286</v>
      </c>
      <c r="T4" s="5" t="s">
        <v>287</v>
      </c>
      <c r="U4" s="5" t="s">
        <v>288</v>
      </c>
      <c r="V4" s="5" t="s">
        <v>289</v>
      </c>
    </row>
    <row r="5" customFormat="false" ht="15" hidden="false" customHeight="false" outlineLevel="0" collapsed="false">
      <c r="A5" s="47" t="s">
        <v>290</v>
      </c>
      <c r="B5" s="48" t="n">
        <v>5</v>
      </c>
      <c r="C5" s="48" t="n">
        <v>5</v>
      </c>
      <c r="D5" s="48" t="n">
        <v>5</v>
      </c>
      <c r="E5" s="48" t="n">
        <v>5</v>
      </c>
      <c r="F5" s="48" t="n">
        <v>7</v>
      </c>
      <c r="G5" s="48" t="n">
        <v>8</v>
      </c>
      <c r="H5" s="48" t="n">
        <v>8</v>
      </c>
      <c r="I5" s="48" t="n">
        <v>8</v>
      </c>
      <c r="J5" s="48" t="n">
        <v>8</v>
      </c>
      <c r="K5" s="48" t="n">
        <v>9</v>
      </c>
      <c r="L5" s="48" t="n">
        <v>10</v>
      </c>
      <c r="M5" s="48" t="n">
        <v>10</v>
      </c>
      <c r="N5" s="48" t="n">
        <v>11</v>
      </c>
      <c r="O5" s="48" t="n">
        <v>12</v>
      </c>
      <c r="P5" s="48" t="n">
        <v>14</v>
      </c>
      <c r="Q5" s="48" t="n">
        <v>13</v>
      </c>
      <c r="R5" s="48" t="n">
        <v>13</v>
      </c>
      <c r="S5" s="48" t="n">
        <v>13</v>
      </c>
      <c r="T5" s="48" t="n">
        <v>14</v>
      </c>
      <c r="U5" s="48" t="n">
        <v>13</v>
      </c>
      <c r="V5" s="48" t="n">
        <v>13</v>
      </c>
    </row>
    <row r="7" customFormat="false" ht="15" hidden="false" customHeight="false" outlineLevel="0" collapsed="false">
      <c r="A7" s="49" t="s">
        <v>291</v>
      </c>
    </row>
    <row r="8" customFormat="false" ht="15" hidden="false" customHeight="false" outlineLevel="0" collapsed="false">
      <c r="A8" s="50" t="s">
        <v>292</v>
      </c>
      <c r="B8" s="51" t="n">
        <v>3</v>
      </c>
      <c r="C8" s="51" t="n">
        <v>3</v>
      </c>
      <c r="D8" s="51" t="n">
        <v>3</v>
      </c>
      <c r="E8" s="51" t="n">
        <v>3</v>
      </c>
      <c r="F8" s="51" t="n">
        <v>3</v>
      </c>
      <c r="G8" s="51" t="n">
        <v>3</v>
      </c>
      <c r="H8" s="51" t="n">
        <v>3</v>
      </c>
      <c r="I8" s="51" t="n">
        <v>3</v>
      </c>
      <c r="J8" s="51" t="n">
        <v>3</v>
      </c>
      <c r="K8" s="51" t="n">
        <v>3</v>
      </c>
      <c r="L8" s="51" t="n">
        <v>3</v>
      </c>
      <c r="M8" s="51" t="n">
        <v>3</v>
      </c>
      <c r="N8" s="51" t="n">
        <v>3</v>
      </c>
      <c r="O8" s="51" t="n">
        <v>3</v>
      </c>
      <c r="P8" s="51" t="n">
        <v>3</v>
      </c>
      <c r="Q8" s="51" t="n">
        <v>3</v>
      </c>
      <c r="R8" s="51" t="n">
        <v>3</v>
      </c>
      <c r="S8" s="51" t="n">
        <v>3</v>
      </c>
      <c r="T8" s="51" t="n">
        <v>4</v>
      </c>
      <c r="U8" s="51" t="n">
        <v>4</v>
      </c>
      <c r="V8" s="51" t="n">
        <v>4</v>
      </c>
    </row>
    <row r="9" customFormat="false" ht="15" hidden="false" customHeight="false" outlineLevel="0" collapsed="false">
      <c r="A9" s="52" t="s">
        <v>293</v>
      </c>
      <c r="B9" s="53" t="n">
        <v>1.6</v>
      </c>
      <c r="C9" s="53" t="n">
        <v>1.6</v>
      </c>
      <c r="D9" s="53" t="n">
        <v>1.6</v>
      </c>
      <c r="E9" s="53" t="n">
        <v>1.4</v>
      </c>
      <c r="F9" s="53" t="n">
        <v>2</v>
      </c>
      <c r="G9" s="53" t="n">
        <v>2.2</v>
      </c>
      <c r="H9" s="53" t="n">
        <v>2.2</v>
      </c>
      <c r="I9" s="53" t="n">
        <v>2.2</v>
      </c>
      <c r="J9" s="53" t="n">
        <v>2.5</v>
      </c>
      <c r="K9" s="53" t="n">
        <v>2.7</v>
      </c>
      <c r="L9" s="53" t="n">
        <v>3</v>
      </c>
      <c r="M9" s="53" t="n">
        <v>3</v>
      </c>
      <c r="N9" s="53" t="n">
        <v>3</v>
      </c>
      <c r="O9" s="53" t="n">
        <v>3.1</v>
      </c>
      <c r="P9" s="53" t="n">
        <v>3.8</v>
      </c>
      <c r="Q9" s="53" t="n">
        <v>3.8</v>
      </c>
      <c r="R9" s="53" t="n">
        <v>3.5</v>
      </c>
      <c r="S9" s="53" t="n">
        <v>3.7</v>
      </c>
      <c r="T9" s="53" t="n">
        <v>4.2</v>
      </c>
      <c r="U9" s="53" t="n">
        <v>4</v>
      </c>
      <c r="V9" s="53" t="n">
        <v>3.9</v>
      </c>
    </row>
    <row r="10" customFormat="false" ht="15" hidden="false" customHeight="false" outlineLevel="0" collapsed="false">
      <c r="A10" s="50" t="s">
        <v>294</v>
      </c>
      <c r="B10" s="51" t="n">
        <v>1</v>
      </c>
      <c r="C10" s="51" t="n">
        <v>2</v>
      </c>
      <c r="D10" s="51" t="n">
        <v>2</v>
      </c>
      <c r="E10" s="51" t="n">
        <v>2</v>
      </c>
      <c r="F10" s="51" t="n">
        <v>1</v>
      </c>
      <c r="G10" s="51" t="n">
        <v>2</v>
      </c>
      <c r="H10" s="51" t="n">
        <v>2</v>
      </c>
      <c r="I10" s="51" t="n">
        <v>2</v>
      </c>
      <c r="J10" s="51" t="n">
        <v>2</v>
      </c>
      <c r="K10" s="51" t="n">
        <v>2</v>
      </c>
      <c r="L10" s="51" t="n">
        <v>2</v>
      </c>
      <c r="M10" s="51" t="n">
        <v>2</v>
      </c>
      <c r="N10" s="51" t="n">
        <v>2</v>
      </c>
      <c r="O10" s="51" t="n">
        <v>2</v>
      </c>
      <c r="P10" s="51" t="n">
        <v>3</v>
      </c>
      <c r="Q10" s="51" t="n">
        <v>3</v>
      </c>
      <c r="R10" s="51" t="n">
        <v>3</v>
      </c>
      <c r="S10" s="51" t="n">
        <v>3</v>
      </c>
      <c r="T10" s="51" t="n">
        <v>4</v>
      </c>
      <c r="U10" s="51" t="n">
        <v>4</v>
      </c>
      <c r="V10" s="51" t="n">
        <v>4</v>
      </c>
    </row>
    <row r="11" customFormat="false" ht="15" hidden="false" customHeight="false" outlineLevel="0" collapsed="false">
      <c r="A11" s="52" t="s">
        <v>293</v>
      </c>
      <c r="B11" s="53" t="n">
        <v>1.1</v>
      </c>
      <c r="C11" s="53" t="n">
        <v>1.1</v>
      </c>
      <c r="D11" s="53" t="n">
        <v>1.1</v>
      </c>
      <c r="E11" s="53" t="n">
        <v>1</v>
      </c>
      <c r="F11" s="53" t="n">
        <v>1.7</v>
      </c>
      <c r="G11" s="53" t="n">
        <v>2</v>
      </c>
      <c r="H11" s="53" t="n">
        <v>2</v>
      </c>
      <c r="I11" s="53" t="n">
        <v>2</v>
      </c>
      <c r="J11" s="53" t="n">
        <v>2.2</v>
      </c>
      <c r="K11" s="53" t="n">
        <v>2.3</v>
      </c>
      <c r="L11" s="53" t="n">
        <v>2.4</v>
      </c>
      <c r="M11" s="53" t="n">
        <v>2.4</v>
      </c>
      <c r="N11" s="53" t="n">
        <v>2.5</v>
      </c>
      <c r="O11" s="53" t="n">
        <v>2.7</v>
      </c>
      <c r="P11" s="53" t="n">
        <v>3.3</v>
      </c>
      <c r="Q11" s="53" t="n">
        <v>3.3</v>
      </c>
      <c r="R11" s="53" t="n">
        <v>3.2</v>
      </c>
      <c r="S11" s="53" t="n">
        <v>3.5</v>
      </c>
      <c r="T11" s="53" t="n">
        <v>4</v>
      </c>
      <c r="U11" s="53" t="n">
        <v>3.7</v>
      </c>
      <c r="V11" s="53" t="n">
        <v>3.6</v>
      </c>
    </row>
    <row r="12" customFormat="false" ht="15" hidden="false" customHeight="false" outlineLevel="0" collapsed="false">
      <c r="A12" s="50" t="s">
        <v>295</v>
      </c>
      <c r="B12" s="51" t="n">
        <v>4</v>
      </c>
      <c r="C12" s="51" t="n">
        <v>5</v>
      </c>
      <c r="D12" s="51" t="n">
        <v>5</v>
      </c>
      <c r="E12" s="51" t="n">
        <v>6</v>
      </c>
      <c r="F12" s="51" t="n">
        <v>6</v>
      </c>
      <c r="G12" s="51" t="n">
        <v>7</v>
      </c>
      <c r="H12" s="51" t="n">
        <v>7</v>
      </c>
      <c r="I12" s="51" t="n">
        <v>7</v>
      </c>
      <c r="J12" s="51" t="n">
        <v>8</v>
      </c>
      <c r="K12" s="51" t="n">
        <v>8</v>
      </c>
      <c r="L12" s="51" t="n">
        <v>8</v>
      </c>
      <c r="M12" s="51" t="n">
        <v>8</v>
      </c>
      <c r="N12" s="51" t="n">
        <v>9</v>
      </c>
      <c r="O12" s="51" t="n">
        <v>10</v>
      </c>
      <c r="P12" s="51" t="n">
        <v>12</v>
      </c>
      <c r="Q12" s="51" t="n">
        <v>12</v>
      </c>
      <c r="R12" s="51" t="n">
        <v>12</v>
      </c>
      <c r="S12" s="51" t="n">
        <v>12</v>
      </c>
      <c r="T12" s="51" t="n">
        <v>13</v>
      </c>
      <c r="U12" s="51" t="n">
        <v>13</v>
      </c>
      <c r="V12" s="51" t="n">
        <v>13</v>
      </c>
    </row>
    <row r="13" customFormat="false" ht="15" hidden="false" customHeight="false" outlineLevel="0" collapsed="false">
      <c r="A13" s="52" t="s">
        <v>293</v>
      </c>
      <c r="B13" s="53" t="n">
        <v>4.4</v>
      </c>
      <c r="C13" s="53" t="n">
        <v>4.4</v>
      </c>
      <c r="D13" s="53" t="n">
        <v>4.4</v>
      </c>
      <c r="E13" s="53" t="n">
        <v>4.4</v>
      </c>
      <c r="F13" s="53" t="n">
        <v>6.1</v>
      </c>
      <c r="G13" s="53" t="n">
        <v>7</v>
      </c>
      <c r="H13" s="53" t="n">
        <v>7</v>
      </c>
      <c r="I13" s="53" t="n">
        <v>7</v>
      </c>
      <c r="J13" s="53" t="n">
        <v>7.9</v>
      </c>
      <c r="K13" s="53" t="n">
        <v>7.9</v>
      </c>
      <c r="L13" s="53" t="n">
        <v>8.8</v>
      </c>
      <c r="M13" s="53" t="n">
        <v>8.8</v>
      </c>
      <c r="N13" s="53" t="n">
        <v>9.6</v>
      </c>
      <c r="O13" s="53" t="n">
        <v>10.5</v>
      </c>
      <c r="P13" s="53" t="n">
        <v>12.2</v>
      </c>
      <c r="Q13" s="53" t="n">
        <v>12.2</v>
      </c>
      <c r="R13" s="53" t="n">
        <v>11.4</v>
      </c>
      <c r="S13" s="53" t="n">
        <v>12.2</v>
      </c>
      <c r="T13" s="53" t="n">
        <v>13.1</v>
      </c>
      <c r="U13" s="53" t="n">
        <v>12.2</v>
      </c>
      <c r="V13" s="53" t="n">
        <v>11.4</v>
      </c>
    </row>
    <row r="14" customFormat="false" ht="15" hidden="false" customHeight="false" outlineLevel="0" collapsed="false">
      <c r="A14" s="50" t="s">
        <v>296</v>
      </c>
      <c r="B14" s="51" t="n">
        <v>1</v>
      </c>
      <c r="C14" s="51" t="n">
        <v>1</v>
      </c>
      <c r="D14" s="51" t="n">
        <v>3</v>
      </c>
      <c r="E14" s="51" t="n">
        <v>3</v>
      </c>
      <c r="F14" s="51" t="n">
        <v>4</v>
      </c>
      <c r="G14" s="51" t="n">
        <v>4</v>
      </c>
      <c r="H14" s="51" t="n">
        <v>4</v>
      </c>
      <c r="I14" s="51" t="n">
        <v>4</v>
      </c>
      <c r="J14" s="51" t="n">
        <v>4</v>
      </c>
      <c r="K14" s="51" t="n">
        <v>4</v>
      </c>
      <c r="L14" s="51" t="n">
        <v>5</v>
      </c>
      <c r="M14" s="51" t="n">
        <v>5</v>
      </c>
      <c r="N14" s="51" t="n">
        <v>5</v>
      </c>
      <c r="O14" s="51" t="n">
        <v>6</v>
      </c>
      <c r="P14" s="51" t="n">
        <v>7</v>
      </c>
      <c r="Q14" s="51" t="n">
        <v>7</v>
      </c>
      <c r="R14" s="51" t="n">
        <v>7</v>
      </c>
      <c r="S14" s="51" t="n">
        <v>7</v>
      </c>
      <c r="T14" s="51" t="n">
        <v>8</v>
      </c>
      <c r="U14" s="51" t="n">
        <v>8</v>
      </c>
      <c r="V14" s="51" t="n">
        <v>8</v>
      </c>
    </row>
    <row r="15" customFormat="false" ht="15" hidden="false" customHeight="false" outlineLevel="0" collapsed="false">
      <c r="A15" s="52" t="s">
        <v>293</v>
      </c>
      <c r="B15" s="53" t="n">
        <v>2.2</v>
      </c>
      <c r="C15" s="53" t="n">
        <v>2.2</v>
      </c>
      <c r="D15" s="53" t="n">
        <v>2.2</v>
      </c>
      <c r="E15" s="53" t="n">
        <v>2.2</v>
      </c>
      <c r="F15" s="53" t="n">
        <v>3.7</v>
      </c>
      <c r="G15" s="53" t="n">
        <v>4.2</v>
      </c>
      <c r="H15" s="53" t="n">
        <v>4.2</v>
      </c>
      <c r="I15" s="53" t="n">
        <v>4.2</v>
      </c>
      <c r="J15" s="53" t="n">
        <v>4.7</v>
      </c>
      <c r="K15" s="53" t="n">
        <v>4.7</v>
      </c>
      <c r="L15" s="53" t="n">
        <v>5</v>
      </c>
      <c r="M15" s="53" t="n">
        <v>5</v>
      </c>
      <c r="N15" s="53" t="n">
        <v>5.5</v>
      </c>
      <c r="O15" s="53" t="n">
        <v>6</v>
      </c>
      <c r="P15" s="53" t="n">
        <v>7.5</v>
      </c>
      <c r="Q15" s="53" t="n">
        <v>7.5</v>
      </c>
      <c r="R15" s="53" t="n">
        <v>7.2</v>
      </c>
      <c r="S15" s="53" t="n">
        <v>7.7</v>
      </c>
      <c r="T15" s="53" t="n">
        <v>8.7</v>
      </c>
      <c r="U15" s="53" t="n">
        <v>8.2</v>
      </c>
      <c r="V15" s="53" t="n">
        <v>7.7</v>
      </c>
    </row>
    <row r="16" customFormat="false" ht="15" hidden="false" customHeight="false" outlineLevel="0" collapsed="false">
      <c r="A16" s="50" t="s">
        <v>297</v>
      </c>
      <c r="B16" s="51" t="n">
        <v>1</v>
      </c>
      <c r="C16" s="51" t="n">
        <v>1</v>
      </c>
      <c r="D16" s="51" t="n">
        <v>2</v>
      </c>
      <c r="E16" s="51" t="n">
        <v>2</v>
      </c>
      <c r="F16" s="51" t="n">
        <v>2</v>
      </c>
      <c r="G16" s="51" t="n">
        <v>2</v>
      </c>
      <c r="H16" s="51" t="n">
        <v>3</v>
      </c>
      <c r="I16" s="51" t="n">
        <v>3</v>
      </c>
      <c r="J16" s="51" t="n">
        <v>3</v>
      </c>
      <c r="K16" s="51" t="n">
        <v>3</v>
      </c>
      <c r="L16" s="51" t="n">
        <v>3</v>
      </c>
      <c r="M16" s="51" t="n">
        <v>3</v>
      </c>
      <c r="N16" s="51" t="n">
        <v>3</v>
      </c>
      <c r="O16" s="51" t="n">
        <v>3</v>
      </c>
      <c r="P16" s="51" t="n">
        <v>3</v>
      </c>
      <c r="Q16" s="51" t="n">
        <v>3</v>
      </c>
      <c r="R16" s="51" t="n">
        <v>3</v>
      </c>
      <c r="S16" s="51" t="n">
        <v>3</v>
      </c>
      <c r="T16" s="51" t="n">
        <v>3</v>
      </c>
      <c r="U16" s="51" t="n">
        <v>3</v>
      </c>
      <c r="V16" s="51" t="n">
        <v>3</v>
      </c>
    </row>
    <row r="17" customFormat="false" ht="15" hidden="false" customHeight="false" outlineLevel="0" collapsed="false">
      <c r="A17" s="50" t="s">
        <v>298</v>
      </c>
      <c r="B17" s="51" t="n">
        <v>4</v>
      </c>
      <c r="C17" s="51" t="n">
        <v>4</v>
      </c>
      <c r="D17" s="51" t="n">
        <v>4</v>
      </c>
      <c r="E17" s="51" t="n">
        <v>4</v>
      </c>
      <c r="F17" s="51" t="n">
        <v>4</v>
      </c>
      <c r="G17" s="51" t="n">
        <v>4</v>
      </c>
      <c r="H17" s="51" t="n">
        <v>4</v>
      </c>
      <c r="I17" s="51" t="n">
        <v>4</v>
      </c>
      <c r="J17" s="51" t="n">
        <v>4</v>
      </c>
      <c r="K17" s="51" t="n">
        <v>4</v>
      </c>
      <c r="L17" s="51" t="n">
        <v>4</v>
      </c>
      <c r="M17" s="51" t="n">
        <v>4</v>
      </c>
      <c r="N17" s="51" t="n">
        <v>4</v>
      </c>
      <c r="O17" s="51" t="n">
        <v>4</v>
      </c>
      <c r="P17" s="51" t="n">
        <v>4</v>
      </c>
      <c r="Q17" s="51" t="n">
        <v>4</v>
      </c>
      <c r="R17" s="51" t="n">
        <v>4</v>
      </c>
      <c r="S17" s="51" t="n">
        <v>4</v>
      </c>
      <c r="T17" s="51" t="n">
        <v>4</v>
      </c>
      <c r="U17" s="51" t="n">
        <v>4</v>
      </c>
      <c r="V17" s="51" t="n">
        <v>4</v>
      </c>
    </row>
    <row r="18" customFormat="false" ht="15" hidden="false" customHeight="false" outlineLevel="0" collapsed="false">
      <c r="A18" s="50" t="s">
        <v>299</v>
      </c>
      <c r="B18" s="51" t="n">
        <v>3</v>
      </c>
      <c r="C18" s="51" t="n">
        <v>3</v>
      </c>
      <c r="D18" s="51" t="n">
        <v>3</v>
      </c>
      <c r="E18" s="51" t="n">
        <v>3</v>
      </c>
      <c r="F18" s="51" t="n">
        <v>3</v>
      </c>
      <c r="G18" s="51" t="n">
        <v>3</v>
      </c>
      <c r="H18" s="51" t="n">
        <v>3</v>
      </c>
      <c r="I18" s="51" t="n">
        <v>3</v>
      </c>
      <c r="J18" s="51" t="n">
        <v>3</v>
      </c>
      <c r="K18" s="51" t="n">
        <v>2</v>
      </c>
      <c r="L18" s="51" t="n">
        <v>2</v>
      </c>
      <c r="M18" s="51" t="n">
        <v>2</v>
      </c>
      <c r="N18" s="51" t="n">
        <v>2</v>
      </c>
      <c r="O18" s="51" t="n">
        <v>2</v>
      </c>
      <c r="P18" s="51" t="n">
        <v>2</v>
      </c>
      <c r="Q18" s="51" t="n">
        <v>2</v>
      </c>
      <c r="R18" s="51" t="n">
        <v>2</v>
      </c>
      <c r="S18" s="51" t="n">
        <v>2</v>
      </c>
      <c r="T18" s="51" t="n">
        <v>2</v>
      </c>
      <c r="U18" s="51" t="n">
        <v>2</v>
      </c>
      <c r="V18" s="51" t="n">
        <v>2</v>
      </c>
    </row>
    <row r="19" customFormat="false" ht="15" hidden="false" customHeight="false" outlineLevel="0" collapsed="false">
      <c r="A19" s="54" t="s">
        <v>300</v>
      </c>
      <c r="B19" s="55" t="n">
        <f aca="false">B8+B10+B12+B14+B16+B17+B18</f>
        <v>17</v>
      </c>
      <c r="C19" s="55" t="n">
        <f aca="false">C8+C10+C12+C14+C16+C17+C18</f>
        <v>19</v>
      </c>
      <c r="D19" s="55" t="n">
        <f aca="false">D8+D10+D12+D14+D16+D17+D18</f>
        <v>22</v>
      </c>
      <c r="E19" s="55" t="n">
        <f aca="false">E8+E10+E12+E14+E16+E17+E18</f>
        <v>23</v>
      </c>
      <c r="F19" s="55" t="n">
        <f aca="false">F8+F10+F12+F14+F16+F17+F18</f>
        <v>23</v>
      </c>
      <c r="G19" s="55" t="n">
        <f aca="false">G8+G10+G12+G14+G16+G17+G18</f>
        <v>25</v>
      </c>
      <c r="H19" s="55" t="n">
        <f aca="false">H8+H10+H12+H14+H16+H17+H18</f>
        <v>26</v>
      </c>
      <c r="I19" s="55" t="n">
        <f aca="false">I8+I10+I12+I14+I16+I17+I18</f>
        <v>26</v>
      </c>
      <c r="J19" s="55" t="n">
        <f aca="false">J8+J10+J12+J14+J16+J17+J18</f>
        <v>27</v>
      </c>
      <c r="K19" s="55" t="n">
        <f aca="false">K8+K10+K12+K14+K16+K17+K18</f>
        <v>26</v>
      </c>
      <c r="L19" s="55" t="n">
        <f aca="false">L8+L10+L12+L14+L16+L17+L18</f>
        <v>27</v>
      </c>
      <c r="M19" s="55" t="n">
        <f aca="false">M8+M10+M12+M14+M16+M17+M18</f>
        <v>27</v>
      </c>
      <c r="N19" s="55" t="n">
        <f aca="false">N8+N10+N12+N14+N16+N17+N18</f>
        <v>28</v>
      </c>
      <c r="O19" s="55" t="n">
        <f aca="false">O8+O10+O12+O14+O16+O17+O18</f>
        <v>30</v>
      </c>
      <c r="P19" s="55" t="n">
        <f aca="false">P8+P10+P12+P14+P16+P17+P18</f>
        <v>34</v>
      </c>
      <c r="Q19" s="55" t="n">
        <f aca="false">Q8+Q10+Q12+Q14+Q16+Q17+Q18</f>
        <v>34</v>
      </c>
      <c r="R19" s="55" t="n">
        <f aca="false">R8+R10+R12+R14+R16+R17+R18</f>
        <v>34</v>
      </c>
      <c r="S19" s="55" t="n">
        <f aca="false">S8+S10+S12+S14+S16+S17+S18</f>
        <v>34</v>
      </c>
      <c r="T19" s="55" t="n">
        <f aca="false">T8+T10+T12+T14+T16+T17+T18</f>
        <v>38</v>
      </c>
      <c r="U19" s="55" t="n">
        <f aca="false">U8+U10+U12+U14+U16+U17+U18</f>
        <v>38</v>
      </c>
      <c r="V19" s="55" t="n">
        <f aca="false">V8+V10+V12+V14+V16+V17+V18</f>
        <v>38</v>
      </c>
    </row>
    <row r="20" customFormat="false" ht="15" hidden="false" customHeight="false" outlineLevel="0" collapsed="false">
      <c r="A20" s="52" t="s">
        <v>301</v>
      </c>
      <c r="B20" s="56"/>
      <c r="C20" s="56" t="n">
        <f aca="false">C19-B19</f>
        <v>2</v>
      </c>
      <c r="D20" s="56" t="n">
        <f aca="false">D19-C19</f>
        <v>3</v>
      </c>
      <c r="E20" s="56" t="n">
        <f aca="false">E19-D19</f>
        <v>1</v>
      </c>
      <c r="F20" s="56" t="n">
        <f aca="false">F19-E19</f>
        <v>0</v>
      </c>
      <c r="G20" s="56" t="n">
        <f aca="false">G19-F19</f>
        <v>2</v>
      </c>
      <c r="H20" s="56" t="n">
        <f aca="false">H19-G19</f>
        <v>1</v>
      </c>
      <c r="I20" s="56" t="n">
        <f aca="false">I19-H19</f>
        <v>0</v>
      </c>
      <c r="J20" s="56" t="n">
        <f aca="false">J19-I19</f>
        <v>1</v>
      </c>
      <c r="K20" s="56" t="n">
        <f aca="false">K19-J19</f>
        <v>-1</v>
      </c>
      <c r="L20" s="56" t="n">
        <f aca="false">L19-K19</f>
        <v>1</v>
      </c>
      <c r="M20" s="56" t="n">
        <f aca="false">M19-L19</f>
        <v>0</v>
      </c>
      <c r="N20" s="56" t="n">
        <f aca="false">N19-M19</f>
        <v>1</v>
      </c>
      <c r="O20" s="56" t="n">
        <f aca="false">O19-N19</f>
        <v>2</v>
      </c>
      <c r="P20" s="56" t="n">
        <f aca="false">P19-O19</f>
        <v>4</v>
      </c>
      <c r="Q20" s="56" t="n">
        <f aca="false">Q19-P19</f>
        <v>0</v>
      </c>
      <c r="R20" s="56" t="n">
        <f aca="false">R19-Q19</f>
        <v>0</v>
      </c>
      <c r="S20" s="56" t="n">
        <f aca="false">S19-R19</f>
        <v>0</v>
      </c>
      <c r="T20" s="56" t="n">
        <f aca="false">T19-S19</f>
        <v>4</v>
      </c>
      <c r="U20" s="56" t="n">
        <f aca="false">U19-T19</f>
        <v>0</v>
      </c>
      <c r="V20" s="56" t="n">
        <f aca="false">V19-U19</f>
        <v>0</v>
      </c>
    </row>
    <row r="22" customFormat="false" ht="15" hidden="false" customHeight="false" outlineLevel="0" collapsed="false">
      <c r="A22" s="50" t="s">
        <v>302</v>
      </c>
      <c r="B22" s="51" t="n">
        <v>187694</v>
      </c>
      <c r="C22" s="51" t="n">
        <v>295949</v>
      </c>
      <c r="D22" s="51" t="n">
        <v>198646</v>
      </c>
      <c r="E22" s="51" t="n">
        <v>215852</v>
      </c>
      <c r="F22" s="51" t="n">
        <v>217611</v>
      </c>
      <c r="G22" s="51" t="n">
        <v>223657</v>
      </c>
      <c r="H22" s="51" t="n">
        <v>267964</v>
      </c>
      <c r="I22" s="51" t="n">
        <v>267964</v>
      </c>
      <c r="J22" s="51" t="n">
        <v>356298</v>
      </c>
      <c r="K22" s="51" t="n">
        <v>270881</v>
      </c>
      <c r="L22" s="51" t="n">
        <v>281298</v>
      </c>
      <c r="M22" s="51" t="n">
        <v>281298</v>
      </c>
      <c r="N22" s="51" t="n">
        <v>294631</v>
      </c>
      <c r="O22" s="51" t="n">
        <v>318381</v>
      </c>
      <c r="P22" s="51" t="n">
        <v>366298</v>
      </c>
      <c r="Q22" s="51" t="n">
        <v>366298</v>
      </c>
      <c r="R22" s="51" t="n">
        <v>366298</v>
      </c>
      <c r="S22" s="51" t="n">
        <v>366298</v>
      </c>
      <c r="T22" s="51" t="n">
        <v>415881</v>
      </c>
      <c r="U22" s="51" t="n">
        <v>415881</v>
      </c>
      <c r="V22" s="51" t="n">
        <v>615881</v>
      </c>
    </row>
    <row r="23" customFormat="false" ht="15" hidden="false" customHeight="false" outlineLevel="0" collapsed="false">
      <c r="A23" s="57" t="s">
        <v>303</v>
      </c>
      <c r="B23" s="58" t="n">
        <f aca="false">B22/B5</f>
        <v>37538.8</v>
      </c>
      <c r="C23" s="58" t="n">
        <f aca="false">C22/C5</f>
        <v>59189.8</v>
      </c>
      <c r="D23" s="58" t="n">
        <f aca="false">D22/D5</f>
        <v>39729.2</v>
      </c>
      <c r="E23" s="58" t="n">
        <f aca="false">E22/E5</f>
        <v>43170.4</v>
      </c>
      <c r="F23" s="58" t="n">
        <f aca="false">F22/F5</f>
        <v>31087.2857142857</v>
      </c>
      <c r="G23" s="58" t="n">
        <f aca="false">G22/G5</f>
        <v>27957.125</v>
      </c>
      <c r="H23" s="58" t="n">
        <f aca="false">H22/H5</f>
        <v>33495.5</v>
      </c>
      <c r="I23" s="58" t="n">
        <f aca="false">I22/I5</f>
        <v>33495.5</v>
      </c>
      <c r="J23" s="58" t="n">
        <f aca="false">J22/J5</f>
        <v>44537.25</v>
      </c>
      <c r="K23" s="58" t="n">
        <f aca="false">K22/K5</f>
        <v>30097.8888888889</v>
      </c>
      <c r="L23" s="58" t="n">
        <f aca="false">L22/L5</f>
        <v>28129.8</v>
      </c>
      <c r="M23" s="58" t="n">
        <f aca="false">M22/M5</f>
        <v>28129.8</v>
      </c>
      <c r="N23" s="58" t="n">
        <f aca="false">N22/N5</f>
        <v>26784.6363636364</v>
      </c>
      <c r="O23" s="58" t="n">
        <f aca="false">O22/O5</f>
        <v>26531.75</v>
      </c>
      <c r="P23" s="58" t="n">
        <f aca="false">P22/P5</f>
        <v>26164.1428571429</v>
      </c>
      <c r="Q23" s="58" t="n">
        <f aca="false">Q22/Q5</f>
        <v>28176.7692307692</v>
      </c>
      <c r="R23" s="58" t="n">
        <f aca="false">R22/R5</f>
        <v>28176.7692307692</v>
      </c>
      <c r="S23" s="58" t="n">
        <f aca="false">S22/S5</f>
        <v>28176.7692307692</v>
      </c>
      <c r="T23" s="58" t="n">
        <f aca="false">T22/T5</f>
        <v>29705.7857142857</v>
      </c>
      <c r="U23" s="58" t="n">
        <f aca="false">U22/U5</f>
        <v>31990.8461538462</v>
      </c>
      <c r="V23" s="58" t="n">
        <f aca="false">V22/V5</f>
        <v>47375.4615384615</v>
      </c>
    </row>
    <row r="24" customFormat="false" ht="15" hidden="false" customHeight="false" outlineLevel="0" collapsed="false">
      <c r="A24" s="57" t="s">
        <v>304</v>
      </c>
      <c r="B24" s="59" t="n">
        <f aca="false">B5/B8</f>
        <v>1.66666666666667</v>
      </c>
      <c r="C24" s="59" t="n">
        <f aca="false">C5/C8</f>
        <v>1.66666666666667</v>
      </c>
      <c r="D24" s="59" t="n">
        <f aca="false">D5/D8</f>
        <v>1.66666666666667</v>
      </c>
      <c r="E24" s="59" t="n">
        <f aca="false">E5/E8</f>
        <v>1.66666666666667</v>
      </c>
      <c r="F24" s="59" t="n">
        <f aca="false">F5/F8</f>
        <v>2.33333333333333</v>
      </c>
      <c r="G24" s="59" t="n">
        <f aca="false">G5/G8</f>
        <v>2.66666666666667</v>
      </c>
      <c r="H24" s="59" t="n">
        <f aca="false">H5/H8</f>
        <v>2.66666666666667</v>
      </c>
      <c r="I24" s="59" t="n">
        <f aca="false">I5/I8</f>
        <v>2.66666666666667</v>
      </c>
      <c r="J24" s="59" t="n">
        <f aca="false">J5/J8</f>
        <v>2.66666666666667</v>
      </c>
      <c r="K24" s="59" t="n">
        <f aca="false">K5/K8</f>
        <v>3</v>
      </c>
      <c r="L24" s="59" t="n">
        <f aca="false">L5/L8</f>
        <v>3.33333333333333</v>
      </c>
      <c r="M24" s="59" t="n">
        <f aca="false">M5/M8</f>
        <v>3.33333333333333</v>
      </c>
      <c r="N24" s="59" t="n">
        <f aca="false">N5/N8</f>
        <v>3.66666666666667</v>
      </c>
      <c r="O24" s="59" t="n">
        <f aca="false">O5/O8</f>
        <v>4</v>
      </c>
      <c r="P24" s="59" t="n">
        <f aca="false">P5/P8</f>
        <v>4.66666666666667</v>
      </c>
      <c r="Q24" s="59" t="n">
        <f aca="false">Q5/Q8</f>
        <v>4.33333333333333</v>
      </c>
      <c r="R24" s="59" t="n">
        <f aca="false">R5/R8</f>
        <v>4.33333333333333</v>
      </c>
      <c r="S24" s="59" t="n">
        <f aca="false">S5/S8</f>
        <v>4.33333333333333</v>
      </c>
      <c r="T24" s="59" t="n">
        <f aca="false">T5/T8</f>
        <v>3.5</v>
      </c>
      <c r="U24" s="59" t="n">
        <f aca="false">U5/U8</f>
        <v>3.25</v>
      </c>
      <c r="V24" s="59" t="n">
        <f aca="false">V5/V8</f>
        <v>3.25</v>
      </c>
    </row>
    <row r="26" customFormat="false" ht="15" hidden="false" customHeight="false" outlineLevel="0" collapsed="false">
      <c r="A26" s="60" t="s">
        <v>305</v>
      </c>
    </row>
    <row r="27" customFormat="false" ht="15" hidden="false" customHeight="false" outlineLevel="0" collapsed="false">
      <c r="A27" s="46" t="s">
        <v>306</v>
      </c>
      <c r="B27" s="46" t="s">
        <v>307</v>
      </c>
      <c r="C27" s="46" t="s">
        <v>308</v>
      </c>
      <c r="D27" s="46" t="s">
        <v>309</v>
      </c>
    </row>
    <row r="28" customFormat="false" ht="15" hidden="false" customHeight="false" outlineLevel="0" collapsed="false">
      <c r="A28" s="57" t="s">
        <v>310</v>
      </c>
      <c r="B28" s="59" t="n">
        <f aca="false">AVERAGE(B5:J5)</f>
        <v>6.55555555555556</v>
      </c>
      <c r="C28" s="59" t="n">
        <f aca="false">AVERAGE(K5:V5)</f>
        <v>12.0833333333333</v>
      </c>
      <c r="D28" s="59" t="n">
        <f aca="false">C28-B28</f>
        <v>5.52777777777778</v>
      </c>
    </row>
    <row r="29" customFormat="false" ht="15" hidden="false" customHeight="false" outlineLevel="0" collapsed="false">
      <c r="A29" s="57" t="s">
        <v>311</v>
      </c>
      <c r="B29" s="58" t="n">
        <f aca="false">J5</f>
        <v>8</v>
      </c>
      <c r="C29" s="58" t="n">
        <f aca="false">V5</f>
        <v>13</v>
      </c>
      <c r="D29" s="58" t="n">
        <f aca="false">C29-B29</f>
        <v>5</v>
      </c>
    </row>
    <row r="30" customFormat="false" ht="15" hidden="false" customHeight="false" outlineLevel="0" collapsed="false">
      <c r="A30" s="57" t="s">
        <v>312</v>
      </c>
      <c r="B30" s="59" t="n">
        <f aca="false">AVERAGE(B19:J19)</f>
        <v>23.1111111111111</v>
      </c>
      <c r="C30" s="59" t="n">
        <f aca="false">AVERAGE(K19:V19)</f>
        <v>32.3333333333333</v>
      </c>
      <c r="D30" s="59" t="n">
        <f aca="false">C30-B30</f>
        <v>9.22222222222223</v>
      </c>
    </row>
    <row r="31" customFormat="false" ht="15" hidden="false" customHeight="false" outlineLevel="0" collapsed="false">
      <c r="A31" s="57" t="s">
        <v>313</v>
      </c>
      <c r="B31" s="58" t="n">
        <f aca="false">J19</f>
        <v>27</v>
      </c>
      <c r="C31" s="58" t="n">
        <f aca="false">V19</f>
        <v>38</v>
      </c>
      <c r="D31" s="58" t="n">
        <f aca="false">C31-B31</f>
        <v>11</v>
      </c>
    </row>
    <row r="32" customFormat="false" ht="15" hidden="false" customHeight="false" outlineLevel="0" collapsed="false">
      <c r="A32" s="57" t="s">
        <v>314</v>
      </c>
      <c r="B32" s="58" t="n">
        <f aca="false">J8</f>
        <v>3</v>
      </c>
      <c r="C32" s="58" t="n">
        <f aca="false">V8</f>
        <v>4</v>
      </c>
      <c r="D32" s="58" t="n">
        <f aca="false">C32-B32</f>
        <v>1</v>
      </c>
    </row>
    <row r="33" customFormat="false" ht="15" hidden="false" customHeight="false" outlineLevel="0" collapsed="false">
      <c r="A33" s="57" t="s">
        <v>315</v>
      </c>
      <c r="B33" s="58" t="n">
        <f aca="false">J10</f>
        <v>2</v>
      </c>
      <c r="C33" s="58" t="n">
        <f aca="false">V10</f>
        <v>4</v>
      </c>
      <c r="D33" s="58" t="n">
        <f aca="false">C33-B33</f>
        <v>2</v>
      </c>
    </row>
    <row r="34" customFormat="false" ht="15" hidden="false" customHeight="false" outlineLevel="0" collapsed="false">
      <c r="A34" s="57" t="s">
        <v>316</v>
      </c>
      <c r="B34" s="58" t="n">
        <f aca="false">J12</f>
        <v>8</v>
      </c>
      <c r="C34" s="58" t="n">
        <f aca="false">V12</f>
        <v>13</v>
      </c>
      <c r="D34" s="58" t="n">
        <f aca="false">C34-B34</f>
        <v>5</v>
      </c>
    </row>
    <row r="35" customFormat="false" ht="15" hidden="false" customHeight="false" outlineLevel="0" collapsed="false">
      <c r="A35" s="57" t="s">
        <v>317</v>
      </c>
      <c r="B35" s="58" t="n">
        <f aca="false">J14</f>
        <v>4</v>
      </c>
      <c r="C35" s="58" t="n">
        <f aca="false">V14</f>
        <v>8</v>
      </c>
      <c r="D35" s="58" t="n">
        <f aca="false">C35-B35</f>
        <v>4</v>
      </c>
    </row>
    <row r="36" customFormat="false" ht="15" hidden="false" customHeight="false" outlineLevel="0" collapsed="false">
      <c r="A36" s="57" t="s">
        <v>318</v>
      </c>
      <c r="B36" s="58" t="n">
        <f aca="false">J16</f>
        <v>3</v>
      </c>
      <c r="C36" s="58" t="n">
        <f aca="false">V16</f>
        <v>3</v>
      </c>
      <c r="D36" s="58" t="n">
        <f aca="false">C36-B36</f>
        <v>0</v>
      </c>
    </row>
    <row r="37" customFormat="false" ht="15" hidden="false" customHeight="false" outlineLevel="0" collapsed="false">
      <c r="A37" s="57" t="s">
        <v>319</v>
      </c>
      <c r="B37" s="58" t="n">
        <f aca="false">J17</f>
        <v>4</v>
      </c>
      <c r="C37" s="58" t="n">
        <f aca="false">V17</f>
        <v>4</v>
      </c>
      <c r="D37" s="58" t="n">
        <f aca="false">C37-B37</f>
        <v>0</v>
      </c>
    </row>
    <row r="38" customFormat="false" ht="15" hidden="false" customHeight="false" outlineLevel="0" collapsed="false">
      <c r="A38" s="57" t="s">
        <v>320</v>
      </c>
      <c r="B38" s="58" t="n">
        <f aca="false">J18</f>
        <v>3</v>
      </c>
      <c r="C38" s="58" t="n">
        <f aca="false">V18</f>
        <v>2</v>
      </c>
      <c r="D38" s="58" t="n">
        <f aca="false">C38-B38</f>
        <v>-1</v>
      </c>
    </row>
    <row r="39" customFormat="false" ht="15" hidden="false" customHeight="false" outlineLevel="0" collapsed="false">
      <c r="A39" s="57" t="s">
        <v>321</v>
      </c>
      <c r="B39" s="61" t="n">
        <f aca="false">AVERAGE(B5:J5)/AVERAGE(B8:J8)</f>
        <v>2.18518518518519</v>
      </c>
      <c r="C39" s="61" t="n">
        <f aca="false">AVERAGE(K5:V5)/AVERAGE(K8:V8)</f>
        <v>3.71794871794872</v>
      </c>
      <c r="D39" s="61" t="n">
        <f aca="false">C39-B39</f>
        <v>1.53276353276353</v>
      </c>
    </row>
    <row r="40" customFormat="false" ht="15" hidden="false" customHeight="false" outlineLevel="0" collapsed="false">
      <c r="A40" s="57" t="s">
        <v>322</v>
      </c>
      <c r="B40" s="62" t="n">
        <f aca="false">AVERAGE(B5:J5)/AVERAGE(B12:J12)</f>
        <v>1.07272727272727</v>
      </c>
      <c r="C40" s="62" t="n">
        <f aca="false">AVERAGE(K5:V5)/AVERAGE(K12:V12)</f>
        <v>1.11538461538462</v>
      </c>
      <c r="D40" s="62" t="n">
        <f aca="false">C40-B40</f>
        <v>0.0426573426573427</v>
      </c>
    </row>
    <row r="41" customFormat="false" ht="15" hidden="false" customHeight="false" outlineLevel="0" collapsed="false">
      <c r="A41" s="57" t="s">
        <v>323</v>
      </c>
      <c r="B41" s="58" t="n">
        <f aca="false">SUM(B22:J22)/SUM(B5:J5)</f>
        <v>37824.3220338983</v>
      </c>
      <c r="C41" s="58" t="n">
        <f aca="false">SUM(K22:V22)/SUM(K5:V5)</f>
        <v>30064.3034482759</v>
      </c>
      <c r="D41" s="58" t="n">
        <f aca="false">C41-B41</f>
        <v>-7760.01858562245</v>
      </c>
    </row>
    <row r="43" customFormat="false" ht="27.75" hidden="false" customHeight="true" outlineLevel="0" collapsed="false">
      <c r="A43" s="33" t="s">
        <v>324</v>
      </c>
      <c r="B43" s="33"/>
      <c r="C43" s="33"/>
      <c r="D43" s="33"/>
      <c r="E43" s="33"/>
      <c r="F43" s="33"/>
      <c r="G43" s="33"/>
      <c r="H43" s="33"/>
      <c r="I43" s="33"/>
      <c r="J43" s="33"/>
      <c r="K43" s="33"/>
      <c r="L43" s="33"/>
      <c r="M43" s="33"/>
      <c r="N43" s="33"/>
      <c r="O43" s="33"/>
      <c r="P43" s="33"/>
      <c r="Q43" s="33"/>
      <c r="R43" s="33"/>
      <c r="S43" s="33"/>
      <c r="T43" s="33"/>
      <c r="U43" s="33"/>
      <c r="V43" s="33"/>
    </row>
    <row r="44" customFormat="false" ht="27.75" hidden="false" customHeight="true" outlineLevel="0" collapsed="false">
      <c r="A44" s="33" t="s">
        <v>325</v>
      </c>
      <c r="B44" s="33"/>
      <c r="C44" s="33"/>
      <c r="D44" s="33"/>
      <c r="E44" s="33"/>
      <c r="F44" s="33"/>
      <c r="G44" s="33"/>
      <c r="H44" s="33"/>
      <c r="I44" s="33"/>
      <c r="J44" s="33"/>
      <c r="K44" s="33"/>
      <c r="L44" s="33"/>
      <c r="M44" s="33"/>
      <c r="N44" s="33"/>
      <c r="O44" s="33"/>
      <c r="P44" s="33"/>
      <c r="Q44" s="33"/>
      <c r="R44" s="33"/>
      <c r="S44" s="33"/>
      <c r="T44" s="33"/>
      <c r="U44" s="33"/>
      <c r="V44" s="33"/>
    </row>
    <row r="45" customFormat="false" ht="27.75" hidden="false" customHeight="true" outlineLevel="0" collapsed="false">
      <c r="A45" s="33" t="s">
        <v>326</v>
      </c>
      <c r="B45" s="33"/>
      <c r="C45" s="33"/>
      <c r="D45" s="33"/>
      <c r="E45" s="33"/>
      <c r="F45" s="33"/>
      <c r="G45" s="33"/>
      <c r="H45" s="33"/>
      <c r="I45" s="33"/>
      <c r="J45" s="33"/>
      <c r="K45" s="33"/>
      <c r="L45" s="33"/>
      <c r="M45" s="33"/>
      <c r="N45" s="33"/>
      <c r="O45" s="33"/>
      <c r="P45" s="33"/>
      <c r="Q45" s="33"/>
      <c r="R45" s="33"/>
      <c r="S45" s="33"/>
      <c r="T45" s="33"/>
      <c r="U45" s="33"/>
      <c r="V45" s="33"/>
    </row>
    <row r="46" customFormat="false" ht="27.75" hidden="false" customHeight="true" outlineLevel="0" collapsed="false">
      <c r="A46" s="33" t="s">
        <v>327</v>
      </c>
      <c r="B46" s="33"/>
      <c r="C46" s="33"/>
      <c r="D46" s="33"/>
      <c r="E46" s="33"/>
      <c r="F46" s="33"/>
      <c r="G46" s="33"/>
      <c r="H46" s="33"/>
      <c r="I46" s="33"/>
      <c r="J46" s="33"/>
      <c r="K46" s="33"/>
      <c r="L46" s="33"/>
      <c r="M46" s="33"/>
      <c r="N46" s="33"/>
      <c r="O46" s="33"/>
      <c r="P46" s="33"/>
      <c r="Q46" s="33"/>
      <c r="R46" s="33"/>
      <c r="S46" s="33"/>
      <c r="T46" s="33"/>
      <c r="U46" s="33"/>
      <c r="V46" s="33"/>
    </row>
    <row r="47" customFormat="false" ht="27.75" hidden="false" customHeight="true" outlineLevel="0" collapsed="false">
      <c r="A47" s="33" t="s">
        <v>328</v>
      </c>
      <c r="B47" s="33"/>
      <c r="C47" s="33"/>
      <c r="D47" s="33"/>
      <c r="E47" s="33"/>
      <c r="F47" s="33"/>
      <c r="G47" s="33"/>
      <c r="H47" s="33"/>
      <c r="I47" s="33"/>
      <c r="J47" s="33"/>
      <c r="K47" s="33"/>
      <c r="L47" s="33"/>
      <c r="M47" s="33"/>
      <c r="N47" s="33"/>
      <c r="O47" s="33"/>
      <c r="P47" s="33"/>
      <c r="Q47" s="33"/>
      <c r="R47" s="33"/>
      <c r="S47" s="33"/>
      <c r="T47" s="33"/>
      <c r="U47" s="33"/>
      <c r="V47" s="33"/>
    </row>
  </sheetData>
  <mergeCells count="6">
    <mergeCell ref="A2:V2"/>
    <mergeCell ref="A43:V43"/>
    <mergeCell ref="A44:V44"/>
    <mergeCell ref="A45:V45"/>
    <mergeCell ref="A46:V46"/>
    <mergeCell ref="A47:V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9140625" defaultRowHeight="15" zeroHeight="false" outlineLevelRow="0" outlineLevelCol="0"/>
  <cols>
    <col collapsed="false" customWidth="true" hidden="false" outlineLevel="0" max="1" min="1" style="1" width="58"/>
    <col collapsed="false" customWidth="true" hidden="false" outlineLevel="0" max="13" min="2" style="1" width="12.5"/>
    <col collapsed="false" customWidth="true" hidden="false" outlineLevel="0" max="14" min="14" style="1" width="14"/>
    <col collapsed="false" customWidth="true" hidden="false" outlineLevel="0" max="15" min="15" style="1" width="12.5"/>
    <col collapsed="false" customWidth="true" hidden="false" outlineLevel="0" max="16" min="16" style="1" width="40"/>
  </cols>
  <sheetData>
    <row r="1" customFormat="false" ht="17.25" hidden="false" customHeight="true" outlineLevel="0" collapsed="false">
      <c r="A1" s="2" t="s">
        <v>329</v>
      </c>
      <c r="B1" s="36"/>
      <c r="C1" s="36"/>
      <c r="D1" s="36"/>
      <c r="E1" s="36"/>
      <c r="F1" s="36"/>
      <c r="G1" s="36"/>
      <c r="H1" s="36"/>
      <c r="I1" s="36"/>
      <c r="J1" s="36"/>
      <c r="K1" s="36"/>
      <c r="L1" s="36"/>
      <c r="M1" s="36"/>
      <c r="N1" s="36"/>
    </row>
    <row r="2" customFormat="false" ht="15" hidden="false" customHeight="true" outlineLevel="0" collapsed="false">
      <c r="A2" s="16" t="s">
        <v>330</v>
      </c>
      <c r="B2" s="36"/>
      <c r="C2" s="36"/>
      <c r="D2" s="36"/>
      <c r="E2" s="36"/>
      <c r="F2" s="36"/>
      <c r="G2" s="36"/>
      <c r="H2" s="36"/>
      <c r="I2" s="36"/>
      <c r="J2" s="36"/>
      <c r="K2" s="36"/>
      <c r="L2" s="36"/>
      <c r="M2" s="36"/>
      <c r="N2" s="36"/>
    </row>
    <row r="3" customFormat="false" ht="15" hidden="false" customHeight="true" outlineLevel="0" collapsed="false">
      <c r="A3" s="36"/>
      <c r="B3" s="36"/>
      <c r="C3" s="36"/>
      <c r="D3" s="36"/>
      <c r="E3" s="36"/>
      <c r="F3" s="36"/>
      <c r="G3" s="36"/>
      <c r="H3" s="36"/>
      <c r="I3" s="36"/>
      <c r="J3" s="36"/>
      <c r="K3" s="36"/>
      <c r="L3" s="36"/>
      <c r="M3" s="36"/>
      <c r="N3" s="36"/>
    </row>
    <row r="4" customFormat="false" ht="15" hidden="false" customHeight="true" outlineLevel="0" collapsed="false">
      <c r="A4" s="4" t="s">
        <v>200</v>
      </c>
      <c r="B4" s="5" t="s">
        <v>3</v>
      </c>
      <c r="C4" s="5" t="s">
        <v>4</v>
      </c>
      <c r="D4" s="5" t="s">
        <v>5</v>
      </c>
      <c r="E4" s="5" t="s">
        <v>6</v>
      </c>
      <c r="F4" s="5" t="s">
        <v>7</v>
      </c>
      <c r="G4" s="5" t="s">
        <v>8</v>
      </c>
      <c r="H4" s="5" t="s">
        <v>9</v>
      </c>
      <c r="I4" s="5" t="s">
        <v>10</v>
      </c>
      <c r="J4" s="5" t="s">
        <v>11</v>
      </c>
      <c r="K4" s="5" t="s">
        <v>12</v>
      </c>
      <c r="L4" s="5" t="s">
        <v>13</v>
      </c>
      <c r="M4" s="5" t="s">
        <v>14</v>
      </c>
      <c r="N4" s="5" t="s">
        <v>15</v>
      </c>
    </row>
    <row r="5" customFormat="false" ht="15" hidden="false" customHeight="true" outlineLevel="0" collapsed="false">
      <c r="A5" s="6" t="s">
        <v>201</v>
      </c>
      <c r="B5" s="37"/>
      <c r="C5" s="37"/>
      <c r="D5" s="37"/>
      <c r="E5" s="37"/>
      <c r="F5" s="37"/>
      <c r="G5" s="37"/>
      <c r="H5" s="37"/>
      <c r="I5" s="37"/>
      <c r="J5" s="37"/>
      <c r="K5" s="37"/>
      <c r="L5" s="37"/>
      <c r="M5" s="37"/>
      <c r="N5" s="37"/>
    </row>
    <row r="6" customFormat="false" ht="15" hidden="false" customHeight="true" outlineLevel="0" collapsed="false">
      <c r="A6" s="38" t="s">
        <v>331</v>
      </c>
      <c r="B6" s="39" t="n">
        <v>23906.25</v>
      </c>
      <c r="C6" s="39" t="n">
        <v>23906.25</v>
      </c>
      <c r="D6" s="39" t="n">
        <v>23906.25</v>
      </c>
      <c r="E6" s="39" t="n">
        <v>23906.25</v>
      </c>
      <c r="F6" s="39" t="n">
        <v>23906.25</v>
      </c>
      <c r="G6" s="39" t="n">
        <v>23906.25</v>
      </c>
      <c r="H6" s="39" t="n">
        <v>0</v>
      </c>
      <c r="I6" s="39" t="n">
        <v>0</v>
      </c>
      <c r="J6" s="39" t="n">
        <v>0</v>
      </c>
      <c r="K6" s="39" t="n">
        <v>0</v>
      </c>
      <c r="L6" s="39" t="n">
        <v>0</v>
      </c>
      <c r="M6" s="39" t="n">
        <v>0</v>
      </c>
      <c r="N6" s="40" t="n">
        <f aca="false">SUM(B6:M6)</f>
        <v>143437.5</v>
      </c>
    </row>
    <row r="7" customFormat="false" ht="15" hidden="false" customHeight="true" outlineLevel="0" collapsed="false">
      <c r="A7" s="38" t="s">
        <v>332</v>
      </c>
      <c r="B7" s="39" t="n">
        <v>0</v>
      </c>
      <c r="C7" s="39" t="n">
        <v>0</v>
      </c>
      <c r="D7" s="39" t="n">
        <v>0</v>
      </c>
      <c r="E7" s="39" t="n">
        <v>0</v>
      </c>
      <c r="F7" s="39" t="n">
        <v>0</v>
      </c>
      <c r="G7" s="39" t="n">
        <v>0</v>
      </c>
      <c r="H7" s="39" t="n">
        <v>0</v>
      </c>
      <c r="I7" s="39" t="n">
        <v>0</v>
      </c>
      <c r="J7" s="39" t="n">
        <v>0</v>
      </c>
      <c r="K7" s="39" t="n">
        <v>0</v>
      </c>
      <c r="L7" s="39" t="n">
        <v>0</v>
      </c>
      <c r="M7" s="39" t="n">
        <v>57375</v>
      </c>
      <c r="N7" s="40" t="n">
        <f aca="false">SUM(B7:M7)</f>
        <v>57375</v>
      </c>
    </row>
    <row r="8" customFormat="false" ht="15" hidden="false" customHeight="true" outlineLevel="0" collapsed="false">
      <c r="A8" s="38" t="s">
        <v>333</v>
      </c>
      <c r="B8" s="39" t="n">
        <v>8800</v>
      </c>
      <c r="C8" s="39" t="n">
        <v>8800</v>
      </c>
      <c r="D8" s="39" t="n">
        <v>8800</v>
      </c>
      <c r="E8" s="39" t="n">
        <v>8800</v>
      </c>
      <c r="F8" s="39" t="n">
        <v>8800</v>
      </c>
      <c r="G8" s="39" t="n">
        <v>8800</v>
      </c>
      <c r="H8" s="39" t="n">
        <v>8800</v>
      </c>
      <c r="I8" s="39" t="n">
        <v>8800</v>
      </c>
      <c r="J8" s="39" t="n">
        <v>8800</v>
      </c>
      <c r="K8" s="39" t="n">
        <v>8800</v>
      </c>
      <c r="L8" s="39" t="n">
        <v>8800</v>
      </c>
      <c r="M8" s="39" t="n">
        <v>8800</v>
      </c>
      <c r="N8" s="40" t="n">
        <f aca="false">SUM(B8:M8)</f>
        <v>105600</v>
      </c>
    </row>
    <row r="9" customFormat="false" ht="15" hidden="false" customHeight="true" outlineLevel="0" collapsed="false">
      <c r="A9" s="38" t="s">
        <v>334</v>
      </c>
      <c r="B9" s="39" t="n">
        <v>0</v>
      </c>
      <c r="C9" s="39" t="n">
        <v>3157.89473684211</v>
      </c>
      <c r="D9" s="39" t="n">
        <v>3157.89473684211</v>
      </c>
      <c r="E9" s="39" t="n">
        <v>3157.89473684211</v>
      </c>
      <c r="F9" s="39" t="n">
        <v>3157.89473684211</v>
      </c>
      <c r="G9" s="39" t="n">
        <v>3157.89473684211</v>
      </c>
      <c r="H9" s="39" t="n">
        <v>3157.89473684211</v>
      </c>
      <c r="I9" s="39" t="n">
        <v>3157.89473684211</v>
      </c>
      <c r="J9" s="39" t="n">
        <v>3157.89473684211</v>
      </c>
      <c r="K9" s="39" t="n">
        <v>3157.89473684211</v>
      </c>
      <c r="L9" s="39" t="n">
        <v>3157.89473684211</v>
      </c>
      <c r="M9" s="39" t="n">
        <v>3157.89473684211</v>
      </c>
      <c r="N9" s="40" t="n">
        <f aca="false">SUM(B9:M9)</f>
        <v>34736.8421052632</v>
      </c>
    </row>
    <row r="10" customFormat="false" ht="15" hidden="false" customHeight="true" outlineLevel="0" collapsed="false">
      <c r="A10" s="38" t="s">
        <v>335</v>
      </c>
      <c r="B10" s="39" t="n">
        <v>3157.89473684211</v>
      </c>
      <c r="C10" s="39" t="n">
        <v>3157.89473684211</v>
      </c>
      <c r="D10" s="39" t="n">
        <v>3157.89473684211</v>
      </c>
      <c r="E10" s="39" t="n">
        <v>3157.89473684211</v>
      </c>
      <c r="F10" s="39" t="n">
        <v>3157.89473684211</v>
      </c>
      <c r="G10" s="39" t="n">
        <v>3157.89473684211</v>
      </c>
      <c r="H10" s="39" t="n">
        <v>3157.89473684211</v>
      </c>
      <c r="I10" s="39" t="n">
        <v>3157.89473684211</v>
      </c>
      <c r="J10" s="39" t="n">
        <v>3157.89473684211</v>
      </c>
      <c r="K10" s="39" t="n">
        <v>3157.89473684211</v>
      </c>
      <c r="L10" s="39" t="n">
        <v>3157.89473684211</v>
      </c>
      <c r="M10" s="39" t="n">
        <v>3157.89473684211</v>
      </c>
      <c r="N10" s="40" t="n">
        <f aca="false">SUM(B10:M10)</f>
        <v>37894.7368421053</v>
      </c>
    </row>
    <row r="11" customFormat="false" ht="15" hidden="false" customHeight="true" outlineLevel="0" collapsed="false">
      <c r="A11" s="41" t="s">
        <v>336</v>
      </c>
      <c r="B11" s="40" t="n">
        <f aca="false">B6+B7+B8+B9+B10</f>
        <v>35864.1447368421</v>
      </c>
      <c r="C11" s="40" t="n">
        <f aca="false">C6+C7+C8+C9+C10</f>
        <v>39022.0394736842</v>
      </c>
      <c r="D11" s="40" t="n">
        <f aca="false">D6+D7+D8+D9+D10</f>
        <v>39022.0394736842</v>
      </c>
      <c r="E11" s="40" t="n">
        <f aca="false">E6+E7+E8+E9+E10</f>
        <v>39022.0394736842</v>
      </c>
      <c r="F11" s="40" t="n">
        <f aca="false">F6+F7+F8+F9+F10</f>
        <v>39022.0394736842</v>
      </c>
      <c r="G11" s="40" t="n">
        <f aca="false">G6+G7+G8+G9+G10</f>
        <v>39022.0394736842</v>
      </c>
      <c r="H11" s="40" t="n">
        <f aca="false">H6+H7+H8+H9+H10</f>
        <v>15115.7894736842</v>
      </c>
      <c r="I11" s="40" t="n">
        <f aca="false">I6+I7+I8+I9+I10</f>
        <v>15115.7894736842</v>
      </c>
      <c r="J11" s="40" t="n">
        <f aca="false">J6+J7+J8+J9+J10</f>
        <v>15115.7894736842</v>
      </c>
      <c r="K11" s="40" t="n">
        <f aca="false">K6+K7+K8+K9+K10</f>
        <v>15115.7894736842</v>
      </c>
      <c r="L11" s="40" t="n">
        <f aca="false">L6+L7+L8+L9+L10</f>
        <v>15115.7894736842</v>
      </c>
      <c r="M11" s="40" t="n">
        <f aca="false">M6+M7+M8+M9+M10</f>
        <v>72490.7894736842</v>
      </c>
      <c r="N11" s="40" t="n">
        <f aca="false">N6+N7+N8+N9+N10</f>
        <v>379044.078947369</v>
      </c>
    </row>
    <row r="12" customFormat="false" ht="15" hidden="false" customHeight="true" outlineLevel="0" collapsed="false">
      <c r="A12" s="6" t="s">
        <v>23</v>
      </c>
      <c r="B12" s="37"/>
      <c r="C12" s="37"/>
      <c r="D12" s="37"/>
      <c r="E12" s="37"/>
      <c r="F12" s="37"/>
      <c r="G12" s="37"/>
      <c r="H12" s="37"/>
      <c r="I12" s="37"/>
      <c r="J12" s="37"/>
      <c r="K12" s="37"/>
      <c r="L12" s="37"/>
      <c r="M12" s="37"/>
      <c r="N12" s="37"/>
    </row>
    <row r="13" customFormat="false" ht="15" hidden="false" customHeight="true" outlineLevel="0" collapsed="false">
      <c r="A13" s="38" t="s">
        <v>232</v>
      </c>
      <c r="B13" s="39" t="n">
        <v>-54791.6666666667</v>
      </c>
      <c r="C13" s="39" t="n">
        <v>-54791.6666666667</v>
      </c>
      <c r="D13" s="39" t="n">
        <v>-54791.6666666667</v>
      </c>
      <c r="E13" s="39" t="n">
        <v>-54791.6666666667</v>
      </c>
      <c r="F13" s="39" t="n">
        <v>-54791.6666666667</v>
      </c>
      <c r="G13" s="39" t="n">
        <v>-54791.6666666667</v>
      </c>
      <c r="H13" s="39" t="n">
        <v>-54791.6666666667</v>
      </c>
      <c r="I13" s="39" t="n">
        <v>-54791.6666666667</v>
      </c>
      <c r="J13" s="39" t="n">
        <v>-54791.6666666667</v>
      </c>
      <c r="K13" s="39" t="n">
        <v>-54791.6666666667</v>
      </c>
      <c r="L13" s="39" t="n">
        <v>-54791.6666666667</v>
      </c>
      <c r="M13" s="39" t="n">
        <v>-54791.6666666667</v>
      </c>
      <c r="N13" s="40" t="n">
        <f aca="false">SUM(B13:M13)</f>
        <v>-657500.000000001</v>
      </c>
    </row>
    <row r="14" customFormat="false" ht="15" hidden="false" customHeight="true" outlineLevel="0" collapsed="false">
      <c r="A14" s="38" t="s">
        <v>233</v>
      </c>
      <c r="B14" s="39" t="n">
        <v>-3835.41666666667</v>
      </c>
      <c r="C14" s="39" t="n">
        <v>-3835.41666666667</v>
      </c>
      <c r="D14" s="39" t="n">
        <v>-3835.41666666667</v>
      </c>
      <c r="E14" s="39" t="n">
        <v>-3835.41666666667</v>
      </c>
      <c r="F14" s="39" t="n">
        <v>-3835.41666666667</v>
      </c>
      <c r="G14" s="39" t="n">
        <v>-3835.41666666667</v>
      </c>
      <c r="H14" s="39" t="n">
        <v>-3835.41666666667</v>
      </c>
      <c r="I14" s="39" t="n">
        <v>-3835.41666666667</v>
      </c>
      <c r="J14" s="39" t="n">
        <v>-3835.41666666667</v>
      </c>
      <c r="K14" s="39" t="n">
        <v>-3835.41666666667</v>
      </c>
      <c r="L14" s="39" t="n">
        <v>-3835.41666666667</v>
      </c>
      <c r="M14" s="39" t="n">
        <v>-3835.41666666667</v>
      </c>
      <c r="N14" s="40" t="n">
        <f aca="false">SUM(B14:M14)</f>
        <v>-46025</v>
      </c>
    </row>
    <row r="15" customFormat="false" ht="15" hidden="false" customHeight="true" outlineLevel="0" collapsed="false">
      <c r="A15" s="38" t="s">
        <v>234</v>
      </c>
      <c r="B15" s="39" t="n">
        <v>-12138</v>
      </c>
      <c r="C15" s="39" t="n">
        <v>-12138</v>
      </c>
      <c r="D15" s="39" t="n">
        <v>-12138</v>
      </c>
      <c r="E15" s="39" t="n">
        <v>-12138</v>
      </c>
      <c r="F15" s="39" t="n">
        <v>-12138</v>
      </c>
      <c r="G15" s="39" t="n">
        <v>-12138</v>
      </c>
      <c r="H15" s="39" t="n">
        <v>-12138</v>
      </c>
      <c r="I15" s="39" t="n">
        <v>-12138</v>
      </c>
      <c r="J15" s="39" t="n">
        <v>-12138</v>
      </c>
      <c r="K15" s="39" t="n">
        <v>-12138</v>
      </c>
      <c r="L15" s="39" t="n">
        <v>-12138</v>
      </c>
      <c r="M15" s="39" t="n">
        <v>-12138</v>
      </c>
      <c r="N15" s="40" t="n">
        <f aca="false">SUM(B15:M15)</f>
        <v>-145656</v>
      </c>
    </row>
    <row r="16" customFormat="false" ht="15" hidden="false" customHeight="true" outlineLevel="0" collapsed="false">
      <c r="A16" s="38" t="s">
        <v>235</v>
      </c>
      <c r="B16" s="39" t="n">
        <v>-1095.83333333333</v>
      </c>
      <c r="C16" s="39" t="n">
        <v>-1095.83333333333</v>
      </c>
      <c r="D16" s="39" t="n">
        <v>-1095.83333333333</v>
      </c>
      <c r="E16" s="39" t="n">
        <v>-1095.83333333333</v>
      </c>
      <c r="F16" s="39" t="n">
        <v>-1095.83333333333</v>
      </c>
      <c r="G16" s="39" t="n">
        <v>-1095.83333333333</v>
      </c>
      <c r="H16" s="39" t="n">
        <v>-1095.83333333333</v>
      </c>
      <c r="I16" s="39" t="n">
        <v>-1095.83333333333</v>
      </c>
      <c r="J16" s="39" t="n">
        <v>-1095.83333333333</v>
      </c>
      <c r="K16" s="39" t="n">
        <v>-1095.83333333333</v>
      </c>
      <c r="L16" s="39" t="n">
        <v>-1095.83333333333</v>
      </c>
      <c r="M16" s="39" t="n">
        <v>-1095.83333333333</v>
      </c>
      <c r="N16" s="40" t="n">
        <f aca="false">SUM(B16:M16)</f>
        <v>-13150</v>
      </c>
    </row>
    <row r="17" customFormat="false" ht="15" hidden="false" customHeight="true" outlineLevel="0" collapsed="false">
      <c r="A17" s="38" t="s">
        <v>236</v>
      </c>
      <c r="B17" s="39" t="n">
        <v>-273.958333333333</v>
      </c>
      <c r="C17" s="39" t="n">
        <v>-273.958333333333</v>
      </c>
      <c r="D17" s="39" t="n">
        <v>-273.958333333333</v>
      </c>
      <c r="E17" s="39" t="n">
        <v>-273.958333333333</v>
      </c>
      <c r="F17" s="39" t="n">
        <v>-273.958333333333</v>
      </c>
      <c r="G17" s="39" t="n">
        <v>-273.958333333333</v>
      </c>
      <c r="H17" s="39" t="n">
        <v>-273.958333333333</v>
      </c>
      <c r="I17" s="39" t="n">
        <v>-273.958333333333</v>
      </c>
      <c r="J17" s="39" t="n">
        <v>-273.958333333333</v>
      </c>
      <c r="K17" s="39" t="n">
        <v>-273.958333333333</v>
      </c>
      <c r="L17" s="39" t="n">
        <v>-273.958333333333</v>
      </c>
      <c r="M17" s="39" t="n">
        <v>-273.958333333333</v>
      </c>
      <c r="N17" s="40" t="n">
        <f aca="false">SUM(B17:M17)</f>
        <v>-3287.5</v>
      </c>
    </row>
    <row r="18" customFormat="false" ht="15" hidden="false" customHeight="true" outlineLevel="0" collapsed="false">
      <c r="A18" s="38" t="s">
        <v>238</v>
      </c>
      <c r="B18" s="39" t="n">
        <v>-8500</v>
      </c>
      <c r="C18" s="39" t="n">
        <v>-6750</v>
      </c>
      <c r="D18" s="39" t="n">
        <v>-6750</v>
      </c>
      <c r="E18" s="39" t="n">
        <v>-6750</v>
      </c>
      <c r="F18" s="39" t="n">
        <v>-5000</v>
      </c>
      <c r="G18" s="39" t="n">
        <v>-5000</v>
      </c>
      <c r="H18" s="39" t="n">
        <v>-5000</v>
      </c>
      <c r="I18" s="39" t="n">
        <v>-5000</v>
      </c>
      <c r="J18" s="39" t="n">
        <v>-5000</v>
      </c>
      <c r="K18" s="39" t="n">
        <v>-5000</v>
      </c>
      <c r="L18" s="39" t="n">
        <v>-5000</v>
      </c>
      <c r="M18" s="39" t="n">
        <v>-5000</v>
      </c>
      <c r="N18" s="40" t="n">
        <f aca="false">SUM(B18:M18)</f>
        <v>-68750</v>
      </c>
    </row>
    <row r="19" customFormat="false" ht="15" hidden="false" customHeight="true" outlineLevel="0" collapsed="false">
      <c r="A19" s="38" t="s">
        <v>239</v>
      </c>
      <c r="B19" s="39" t="n">
        <v>-583.8</v>
      </c>
      <c r="C19" s="39" t="n">
        <v>-583.8</v>
      </c>
      <c r="D19" s="39" t="n">
        <v>-583.8</v>
      </c>
      <c r="E19" s="39" t="n">
        <v>-583.8</v>
      </c>
      <c r="F19" s="39" t="n">
        <v>-583.8</v>
      </c>
      <c r="G19" s="39" t="n">
        <v>-583.8</v>
      </c>
      <c r="H19" s="39" t="n">
        <v>-583.8</v>
      </c>
      <c r="I19" s="39" t="n">
        <v>-583.8</v>
      </c>
      <c r="J19" s="39" t="n">
        <v>-583.8</v>
      </c>
      <c r="K19" s="39" t="n">
        <v>-583.8</v>
      </c>
      <c r="L19" s="39" t="n">
        <v>-583.8</v>
      </c>
      <c r="M19" s="39" t="n">
        <v>-583.8</v>
      </c>
      <c r="N19" s="40" t="n">
        <f aca="false">SUM(B19:M19)</f>
        <v>-7005.6</v>
      </c>
    </row>
    <row r="20" customFormat="false" ht="15" hidden="false" customHeight="true" outlineLevel="0" collapsed="false">
      <c r="A20" s="38" t="s">
        <v>242</v>
      </c>
      <c r="B20" s="39" t="n">
        <v>-1497.86</v>
      </c>
      <c r="C20" s="39" t="n">
        <v>-1497.86</v>
      </c>
      <c r="D20" s="39" t="n">
        <v>-1497.86</v>
      </c>
      <c r="E20" s="39" t="n">
        <v>-1497.86</v>
      </c>
      <c r="F20" s="39" t="n">
        <v>-1497.86</v>
      </c>
      <c r="G20" s="39" t="n">
        <v>-1497.86</v>
      </c>
      <c r="H20" s="39" t="n">
        <v>-1497.86</v>
      </c>
      <c r="I20" s="39" t="n">
        <v>-1497.86</v>
      </c>
      <c r="J20" s="39" t="n">
        <v>-1497.86</v>
      </c>
      <c r="K20" s="39" t="n">
        <v>-1497.86</v>
      </c>
      <c r="L20" s="39" t="n">
        <v>-1497.86</v>
      </c>
      <c r="M20" s="39" t="n">
        <v>-1497.86</v>
      </c>
      <c r="N20" s="40" t="n">
        <f aca="false">SUM(B20:M20)</f>
        <v>-17974.32</v>
      </c>
    </row>
    <row r="21" customFormat="false" ht="15" hidden="false" customHeight="true" outlineLevel="0" collapsed="false">
      <c r="A21" s="38" t="s">
        <v>337</v>
      </c>
      <c r="B21" s="39" t="n">
        <v>-290</v>
      </c>
      <c r="C21" s="39" t="n">
        <v>-290</v>
      </c>
      <c r="D21" s="39" t="n">
        <v>-290</v>
      </c>
      <c r="E21" s="39" t="n">
        <v>-290</v>
      </c>
      <c r="F21" s="39" t="n">
        <v>-290</v>
      </c>
      <c r="G21" s="39" t="n">
        <v>-290</v>
      </c>
      <c r="H21" s="39" t="n">
        <v>-290</v>
      </c>
      <c r="I21" s="39" t="n">
        <v>-290</v>
      </c>
      <c r="J21" s="39" t="n">
        <v>-290</v>
      </c>
      <c r="K21" s="39" t="n">
        <v>-290</v>
      </c>
      <c r="L21" s="39" t="n">
        <v>-290</v>
      </c>
      <c r="M21" s="39" t="n">
        <v>-290</v>
      </c>
      <c r="N21" s="40" t="n">
        <f aca="false">SUM(B21:M21)</f>
        <v>-3480</v>
      </c>
    </row>
    <row r="22" customFormat="false" ht="15" hidden="false" customHeight="true" outlineLevel="0" collapsed="false">
      <c r="A22" s="38" t="s">
        <v>338</v>
      </c>
      <c r="B22" s="39" t="n">
        <v>-245</v>
      </c>
      <c r="C22" s="39" t="n">
        <v>-245</v>
      </c>
      <c r="D22" s="39" t="n">
        <v>-245</v>
      </c>
      <c r="E22" s="39" t="n">
        <v>-245</v>
      </c>
      <c r="F22" s="39" t="n">
        <v>-245</v>
      </c>
      <c r="G22" s="39" t="n">
        <v>-245</v>
      </c>
      <c r="H22" s="39" t="n">
        <v>-245</v>
      </c>
      <c r="I22" s="39" t="n">
        <v>-245</v>
      </c>
      <c r="J22" s="39" t="n">
        <v>-245</v>
      </c>
      <c r="K22" s="39" t="n">
        <v>-245</v>
      </c>
      <c r="L22" s="39" t="n">
        <v>-245</v>
      </c>
      <c r="M22" s="39" t="n">
        <v>-245</v>
      </c>
      <c r="N22" s="40" t="n">
        <f aca="false">SUM(B22:M22)</f>
        <v>-2940</v>
      </c>
    </row>
    <row r="23" customFormat="false" ht="15" hidden="false" customHeight="true" outlineLevel="0" collapsed="false">
      <c r="A23" s="38" t="s">
        <v>339</v>
      </c>
      <c r="B23" s="39" t="n">
        <v>-1179.5</v>
      </c>
      <c r="C23" s="39" t="n">
        <v>-1179.5</v>
      </c>
      <c r="D23" s="39" t="n">
        <v>-1179.5</v>
      </c>
      <c r="E23" s="39" t="n">
        <v>-1179.5</v>
      </c>
      <c r="F23" s="39" t="n">
        <v>-1179.5</v>
      </c>
      <c r="G23" s="39" t="n">
        <v>-1179.5</v>
      </c>
      <c r="H23" s="39" t="n">
        <v>-1179.5</v>
      </c>
      <c r="I23" s="39" t="n">
        <v>-1179.5</v>
      </c>
      <c r="J23" s="39" t="n">
        <v>-1179.5</v>
      </c>
      <c r="K23" s="39" t="n">
        <v>-1179.5</v>
      </c>
      <c r="L23" s="39" t="n">
        <v>-1179.5</v>
      </c>
      <c r="M23" s="39" t="n">
        <v>-1179.5</v>
      </c>
      <c r="N23" s="40" t="n">
        <f aca="false">SUM(B23:M23)</f>
        <v>-14154</v>
      </c>
    </row>
    <row r="24" customFormat="false" ht="15" hidden="false" customHeight="true" outlineLevel="0" collapsed="false">
      <c r="A24" s="38" t="s">
        <v>340</v>
      </c>
      <c r="B24" s="39" t="n">
        <v>-366.3</v>
      </c>
      <c r="C24" s="39" t="n">
        <v>-366.3</v>
      </c>
      <c r="D24" s="39" t="n">
        <v>-366.3</v>
      </c>
      <c r="E24" s="39" t="n">
        <v>-366.3</v>
      </c>
      <c r="F24" s="39" t="n">
        <v>-366.3</v>
      </c>
      <c r="G24" s="39" t="n">
        <v>-366.3</v>
      </c>
      <c r="H24" s="39" t="n">
        <v>-366.3</v>
      </c>
      <c r="I24" s="39" t="n">
        <v>-366.3</v>
      </c>
      <c r="J24" s="39" t="n">
        <v>-366.3</v>
      </c>
      <c r="K24" s="39" t="n">
        <v>-366.3</v>
      </c>
      <c r="L24" s="39" t="n">
        <v>-366.3</v>
      </c>
      <c r="M24" s="39" t="n">
        <v>-366.3</v>
      </c>
      <c r="N24" s="40" t="n">
        <f aca="false">SUM(B24:M24)</f>
        <v>-4395.6</v>
      </c>
    </row>
    <row r="25" customFormat="false" ht="15" hidden="false" customHeight="true" outlineLevel="0" collapsed="false">
      <c r="A25" s="38" t="s">
        <v>341</v>
      </c>
      <c r="B25" s="39" t="n">
        <v>-50.07</v>
      </c>
      <c r="C25" s="39" t="n">
        <v>-50.07</v>
      </c>
      <c r="D25" s="39" t="n">
        <v>-50.07</v>
      </c>
      <c r="E25" s="39" t="n">
        <v>-50.07</v>
      </c>
      <c r="F25" s="39" t="n">
        <v>-50.07</v>
      </c>
      <c r="G25" s="39" t="n">
        <v>-50.07</v>
      </c>
      <c r="H25" s="39" t="n">
        <v>-50.07</v>
      </c>
      <c r="I25" s="39" t="n">
        <v>-50.07</v>
      </c>
      <c r="J25" s="39" t="n">
        <v>-50.07</v>
      </c>
      <c r="K25" s="39" t="n">
        <v>-50.07</v>
      </c>
      <c r="L25" s="39" t="n">
        <v>-50.07</v>
      </c>
      <c r="M25" s="39" t="n">
        <v>-50.07</v>
      </c>
      <c r="N25" s="40" t="n">
        <f aca="false">SUM(B25:M25)</f>
        <v>-600.84</v>
      </c>
    </row>
    <row r="26" customFormat="false" ht="15" hidden="false" customHeight="true" outlineLevel="0" collapsed="false">
      <c r="A26" s="38" t="s">
        <v>244</v>
      </c>
      <c r="B26" s="39" t="n">
        <v>-896.43</v>
      </c>
      <c r="C26" s="39" t="n">
        <v>-896.43</v>
      </c>
      <c r="D26" s="39" t="n">
        <v>-896.43</v>
      </c>
      <c r="E26" s="39" t="n">
        <v>-896.43</v>
      </c>
      <c r="F26" s="39" t="n">
        <v>-896.43</v>
      </c>
      <c r="G26" s="39" t="n">
        <v>-896.43</v>
      </c>
      <c r="H26" s="39" t="n">
        <v>-896.43</v>
      </c>
      <c r="I26" s="39" t="n">
        <v>-896.43</v>
      </c>
      <c r="J26" s="39" t="n">
        <v>-896.43</v>
      </c>
      <c r="K26" s="39" t="n">
        <v>-896.43</v>
      </c>
      <c r="L26" s="39" t="n">
        <v>-896.43</v>
      </c>
      <c r="M26" s="39" t="n">
        <v>-896.43</v>
      </c>
      <c r="N26" s="40" t="n">
        <f aca="false">SUM(B26:M26)</f>
        <v>-10757.16</v>
      </c>
    </row>
    <row r="27" customFormat="false" ht="15" hidden="false" customHeight="true" outlineLevel="0" collapsed="false">
      <c r="A27" s="38" t="s">
        <v>245</v>
      </c>
      <c r="B27" s="39" t="n">
        <v>-3750</v>
      </c>
      <c r="C27" s="39" t="n">
        <v>-3750</v>
      </c>
      <c r="D27" s="39" t="n">
        <v>-3750</v>
      </c>
      <c r="E27" s="39" t="n">
        <v>-3750</v>
      </c>
      <c r="F27" s="39" t="n">
        <v>-3750</v>
      </c>
      <c r="G27" s="39" t="n">
        <v>-3750</v>
      </c>
      <c r="H27" s="39" t="n">
        <v>-3750</v>
      </c>
      <c r="I27" s="39" t="n">
        <v>-3750</v>
      </c>
      <c r="J27" s="39" t="n">
        <v>-3750</v>
      </c>
      <c r="K27" s="39" t="n">
        <v>-3750</v>
      </c>
      <c r="L27" s="39" t="n">
        <v>-3750</v>
      </c>
      <c r="M27" s="39" t="n">
        <v>-3750</v>
      </c>
      <c r="N27" s="40" t="n">
        <f aca="false">SUM(B27:M27)</f>
        <v>-45000</v>
      </c>
    </row>
    <row r="28" customFormat="false" ht="15" hidden="false" customHeight="true" outlineLevel="0" collapsed="false">
      <c r="A28" s="38" t="s">
        <v>246</v>
      </c>
      <c r="B28" s="39" t="n">
        <v>-2675.39</v>
      </c>
      <c r="C28" s="39" t="n">
        <v>-2675.39</v>
      </c>
      <c r="D28" s="39" t="n">
        <v>-2675.39</v>
      </c>
      <c r="E28" s="39" t="n">
        <v>-2675.39</v>
      </c>
      <c r="F28" s="39" t="n">
        <v>-2675.39</v>
      </c>
      <c r="G28" s="39" t="n">
        <v>-2675.39</v>
      </c>
      <c r="H28" s="39" t="n">
        <v>-2675.39</v>
      </c>
      <c r="I28" s="39" t="n">
        <v>-2675.39</v>
      </c>
      <c r="J28" s="39" t="n">
        <v>-2675.39</v>
      </c>
      <c r="K28" s="39" t="n">
        <v>-2675.39</v>
      </c>
      <c r="L28" s="39" t="n">
        <v>-2675.39</v>
      </c>
      <c r="M28" s="39" t="n">
        <v>-2675.39</v>
      </c>
      <c r="N28" s="40" t="n">
        <f aca="false">SUM(B28:M28)</f>
        <v>-32104.68</v>
      </c>
    </row>
    <row r="29" customFormat="false" ht="15" hidden="false" customHeight="true" outlineLevel="0" collapsed="false">
      <c r="A29" s="38" t="s">
        <v>247</v>
      </c>
      <c r="B29" s="39" t="n">
        <v>-28083.3333333333</v>
      </c>
      <c r="C29" s="39" t="n">
        <v>-28083.3333333333</v>
      </c>
      <c r="D29" s="39" t="n">
        <v>-28083.3333333333</v>
      </c>
      <c r="E29" s="39" t="n">
        <v>-28083.3333333333</v>
      </c>
      <c r="F29" s="39" t="n">
        <v>-28083.3333333333</v>
      </c>
      <c r="G29" s="39" t="n">
        <v>-28083.3333333333</v>
      </c>
      <c r="H29" s="39" t="n">
        <v>-28083.3333333333</v>
      </c>
      <c r="I29" s="39" t="n">
        <v>-28083.3333333333</v>
      </c>
      <c r="J29" s="39" t="n">
        <v>-28083.3333333333</v>
      </c>
      <c r="K29" s="39" t="n">
        <v>-28083.3333333333</v>
      </c>
      <c r="L29" s="39" t="n">
        <v>-28083.3333333333</v>
      </c>
      <c r="M29" s="39" t="n">
        <v>-28083.3333333333</v>
      </c>
      <c r="N29" s="40" t="n">
        <f aca="false">SUM(B29:M29)</f>
        <v>-337000</v>
      </c>
    </row>
    <row r="30" customFormat="false" ht="15" hidden="false" customHeight="true" outlineLevel="0" collapsed="false">
      <c r="A30" s="38" t="s">
        <v>342</v>
      </c>
      <c r="B30" s="39" t="n">
        <v>-1586.17</v>
      </c>
      <c r="C30" s="39" t="n">
        <v>-1586.17</v>
      </c>
      <c r="D30" s="39" t="n">
        <v>-1586.17</v>
      </c>
      <c r="E30" s="39" t="n">
        <v>-1586.17</v>
      </c>
      <c r="F30" s="39" t="n">
        <v>-1586.17</v>
      </c>
      <c r="G30" s="39" t="n">
        <v>-1586.17</v>
      </c>
      <c r="H30" s="39" t="n">
        <v>-1586.17</v>
      </c>
      <c r="I30" s="39" t="n">
        <v>-1586.17</v>
      </c>
      <c r="J30" s="39" t="n">
        <v>-1586.17</v>
      </c>
      <c r="K30" s="39" t="n">
        <v>-1586.17</v>
      </c>
      <c r="L30" s="39" t="n">
        <v>-1586.17</v>
      </c>
      <c r="M30" s="39" t="n">
        <v>-1586.17</v>
      </c>
      <c r="N30" s="40" t="n">
        <f aca="false">SUM(B30:M30)</f>
        <v>-19034.04</v>
      </c>
    </row>
    <row r="31" customFormat="false" ht="15" hidden="false" customHeight="true" outlineLevel="0" collapsed="false">
      <c r="A31" s="38" t="s">
        <v>343</v>
      </c>
      <c r="B31" s="39" t="n">
        <v>-3333.33</v>
      </c>
      <c r="C31" s="39" t="n">
        <v>-3333.33</v>
      </c>
      <c r="D31" s="39" t="n">
        <v>-3333.33</v>
      </c>
      <c r="E31" s="39" t="n">
        <v>-3333.33</v>
      </c>
      <c r="F31" s="39" t="n">
        <v>-3333.33</v>
      </c>
      <c r="G31" s="39" t="n">
        <v>-3333.33</v>
      </c>
      <c r="H31" s="39" t="n">
        <v>-3333.33</v>
      </c>
      <c r="I31" s="39" t="n">
        <v>-3333.33</v>
      </c>
      <c r="J31" s="39" t="n">
        <v>-3333.33</v>
      </c>
      <c r="K31" s="39" t="n">
        <v>-3333.33</v>
      </c>
      <c r="L31" s="39" t="n">
        <v>-3333.33</v>
      </c>
      <c r="M31" s="39" t="n">
        <v>-3333.33</v>
      </c>
      <c r="N31" s="40" t="n">
        <f aca="false">SUM(B31:M31)</f>
        <v>-39999.96</v>
      </c>
    </row>
    <row r="32" customFormat="false" ht="15" hidden="false" customHeight="true" outlineLevel="0" collapsed="false">
      <c r="A32" s="38" t="s">
        <v>344</v>
      </c>
      <c r="B32" s="39" t="n">
        <v>-1905.31</v>
      </c>
      <c r="C32" s="39" t="n">
        <v>-1905.31</v>
      </c>
      <c r="D32" s="39" t="n">
        <v>-1905.31</v>
      </c>
      <c r="E32" s="39" t="n">
        <v>-1905.31</v>
      </c>
      <c r="F32" s="39" t="n">
        <v>-1905.31</v>
      </c>
      <c r="G32" s="39" t="n">
        <v>-1905.31</v>
      </c>
      <c r="H32" s="39" t="n">
        <v>-1905.31</v>
      </c>
      <c r="I32" s="39" t="n">
        <v>-1905.31</v>
      </c>
      <c r="J32" s="39" t="n">
        <v>-1905.31</v>
      </c>
      <c r="K32" s="39" t="n">
        <v>-1905.31</v>
      </c>
      <c r="L32" s="39" t="n">
        <v>-1905.31</v>
      </c>
      <c r="M32" s="39" t="n">
        <v>-1905.31</v>
      </c>
      <c r="N32" s="40" t="n">
        <f aca="false">SUM(B32:M32)</f>
        <v>-22863.72</v>
      </c>
    </row>
    <row r="33" customFormat="false" ht="15" hidden="false" customHeight="true" outlineLevel="0" collapsed="false">
      <c r="A33" s="38" t="s">
        <v>345</v>
      </c>
      <c r="B33" s="39" t="n">
        <v>-2100</v>
      </c>
      <c r="C33" s="39" t="n">
        <v>-2100</v>
      </c>
      <c r="D33" s="39" t="n">
        <v>-2100</v>
      </c>
      <c r="E33" s="39" t="n">
        <v>-2100</v>
      </c>
      <c r="F33" s="39" t="n">
        <v>-2100</v>
      </c>
      <c r="G33" s="39" t="n">
        <v>-2100</v>
      </c>
      <c r="H33" s="39" t="n">
        <v>-2100</v>
      </c>
      <c r="I33" s="39" t="n">
        <v>-2100</v>
      </c>
      <c r="J33" s="39" t="n">
        <v>-2100</v>
      </c>
      <c r="K33" s="39" t="n">
        <v>-2100</v>
      </c>
      <c r="L33" s="39" t="n">
        <v>-2100</v>
      </c>
      <c r="M33" s="39" t="n">
        <v>-2100</v>
      </c>
      <c r="N33" s="40" t="n">
        <f aca="false">SUM(B33:M33)</f>
        <v>-25200</v>
      </c>
    </row>
    <row r="34" customFormat="false" ht="15" hidden="false" customHeight="true" outlineLevel="0" collapsed="false">
      <c r="A34" s="38" t="s">
        <v>346</v>
      </c>
      <c r="B34" s="39" t="n">
        <v>-66666.6666666667</v>
      </c>
      <c r="C34" s="39" t="n">
        <v>-66666.6666666667</v>
      </c>
      <c r="D34" s="39" t="n">
        <v>-66666.6666666667</v>
      </c>
      <c r="E34" s="39" t="n">
        <v>-66666.6666666667</v>
      </c>
      <c r="F34" s="39" t="n">
        <v>-66666.6666666667</v>
      </c>
      <c r="G34" s="39" t="n">
        <v>-66666.6666666667</v>
      </c>
      <c r="H34" s="39" t="n">
        <v>-66666.6666666667</v>
      </c>
      <c r="I34" s="39" t="n">
        <v>-66666.6666666667</v>
      </c>
      <c r="J34" s="39" t="n">
        <v>-66666.6666666667</v>
      </c>
      <c r="K34" s="39" t="n">
        <v>-66666.6666666667</v>
      </c>
      <c r="L34" s="39" t="n">
        <v>-66666.6666666667</v>
      </c>
      <c r="M34" s="39" t="n">
        <v>-66666.6666666667</v>
      </c>
      <c r="N34" s="40" t="n">
        <f aca="false">SUM(B34:M34)</f>
        <v>-800000.000000001</v>
      </c>
    </row>
    <row r="35" customFormat="false" ht="15" hidden="false" customHeight="true" outlineLevel="0" collapsed="false">
      <c r="A35" s="38" t="s">
        <v>257</v>
      </c>
      <c r="B35" s="39" t="n">
        <v>-3333.33</v>
      </c>
      <c r="C35" s="39" t="n">
        <v>-3333.33</v>
      </c>
      <c r="D35" s="39" t="n">
        <v>-3333.33</v>
      </c>
      <c r="E35" s="39" t="n">
        <v>-3333.33</v>
      </c>
      <c r="F35" s="39" t="n">
        <v>-3333.33</v>
      </c>
      <c r="G35" s="39" t="n">
        <v>-3333.33</v>
      </c>
      <c r="H35" s="39" t="n">
        <v>-3333.33</v>
      </c>
      <c r="I35" s="39" t="n">
        <v>-3333.33</v>
      </c>
      <c r="J35" s="39" t="n">
        <v>-3333.33</v>
      </c>
      <c r="K35" s="39" t="n">
        <v>-3333.33</v>
      </c>
      <c r="L35" s="39" t="n">
        <v>-3333.33</v>
      </c>
      <c r="M35" s="39" t="n">
        <v>-3333.33</v>
      </c>
      <c r="N35" s="40" t="n">
        <f aca="false">SUM(B35:M35)</f>
        <v>-39999.96</v>
      </c>
    </row>
    <row r="36" customFormat="false" ht="15" hidden="false" customHeight="true" outlineLevel="0" collapsed="false">
      <c r="A36" s="38" t="s">
        <v>258</v>
      </c>
      <c r="B36" s="39" t="n">
        <v>-446.63</v>
      </c>
      <c r="C36" s="39" t="n">
        <v>-446.63</v>
      </c>
      <c r="D36" s="39" t="n">
        <v>-446.63</v>
      </c>
      <c r="E36" s="39" t="n">
        <v>-446.63</v>
      </c>
      <c r="F36" s="39" t="n">
        <v>-446.63</v>
      </c>
      <c r="G36" s="39" t="n">
        <v>-446.63</v>
      </c>
      <c r="H36" s="39" t="n">
        <v>-446.63</v>
      </c>
      <c r="I36" s="39" t="n">
        <v>-446.63</v>
      </c>
      <c r="J36" s="39" t="n">
        <v>-446.63</v>
      </c>
      <c r="K36" s="39" t="n">
        <v>-446.63</v>
      </c>
      <c r="L36" s="39" t="n">
        <v>-446.63</v>
      </c>
      <c r="M36" s="39" t="n">
        <v>-446.63</v>
      </c>
      <c r="N36" s="40" t="n">
        <f aca="false">SUM(B36:M36)</f>
        <v>-5359.56</v>
      </c>
    </row>
    <row r="37" customFormat="false" ht="15" hidden="false" customHeight="true" outlineLevel="0" collapsed="false">
      <c r="A37" s="41" t="s">
        <v>347</v>
      </c>
      <c r="B37" s="40" t="n">
        <f aca="false">B13+B14+B15+B16+B17+B18+B19+B20+B21+B22+B23+B24+B25+B26+B27+B28+B29+B30+B31+B32+B33+B34+B35+B36</f>
        <v>-199623.995</v>
      </c>
      <c r="C37" s="40" t="n">
        <f aca="false">C13+C14+C15+C16+C17+C18+C19+C20+C21+C22+C23+C24+C25+C26+C27+C28+C29+C30+C31+C32+C33+C34+C35+C36</f>
        <v>-197873.995</v>
      </c>
      <c r="D37" s="40" t="n">
        <f aca="false">D13+D14+D15+D16+D17+D18+D19+D20+D21+D22+D23+D24+D25+D26+D27+D28+D29+D30+D31+D32+D33+D34+D35+D36</f>
        <v>-197873.995</v>
      </c>
      <c r="E37" s="40" t="n">
        <f aca="false">E13+E14+E15+E16+E17+E18+E19+E20+E21+E22+E23+E24+E25+E26+E27+E28+E29+E30+E31+E32+E33+E34+E35+E36</f>
        <v>-197873.995</v>
      </c>
      <c r="F37" s="40" t="n">
        <f aca="false">F13+F14+F15+F16+F17+F18+F19+F20+F21+F22+F23+F24+F25+F26+F27+F28+F29+F30+F31+F32+F33+F34+F35+F36</f>
        <v>-196123.995</v>
      </c>
      <c r="G37" s="40" t="n">
        <f aca="false">G13+G14+G15+G16+G17+G18+G19+G20+G21+G22+G23+G24+G25+G26+G27+G28+G29+G30+G31+G32+G33+G34+G35+G36</f>
        <v>-196123.995</v>
      </c>
      <c r="H37" s="40" t="n">
        <f aca="false">H13+H14+H15+H16+H17+H18+H19+H20+H21+H22+H23+H24+H25+H26+H27+H28+H29+H30+H31+H32+H33+H34+H35+H36</f>
        <v>-196123.995</v>
      </c>
      <c r="I37" s="40" t="n">
        <f aca="false">I13+I14+I15+I16+I17+I18+I19+I20+I21+I22+I23+I24+I25+I26+I27+I28+I29+I30+I31+I32+I33+I34+I35+I36</f>
        <v>-196123.995</v>
      </c>
      <c r="J37" s="40" t="n">
        <f aca="false">J13+J14+J15+J16+J17+J18+J19+J20+J21+J22+J23+J24+J25+J26+J27+J28+J29+J30+J31+J32+J33+J34+J35+J36</f>
        <v>-196123.995</v>
      </c>
      <c r="K37" s="40" t="n">
        <f aca="false">K13+K14+K15+K16+K17+K18+K19+K20+K21+K22+K23+K24+K25+K26+K27+K28+K29+K30+K31+K32+K33+K34+K35+K36</f>
        <v>-196123.995</v>
      </c>
      <c r="L37" s="40" t="n">
        <f aca="false">L13+L14+L15+L16+L17+L18+L19+L20+L21+L22+L23+L24+L25+L26+L27+L28+L29+L30+L31+L32+L33+L34+L35+L36</f>
        <v>-196123.995</v>
      </c>
      <c r="M37" s="40" t="n">
        <f aca="false">M13+M14+M15+M16+M17+M18+M19+M20+M21+M22+M23+M24+M25+M26+M27+M28+M29+M30+M31+M32+M33+M34+M35+M36</f>
        <v>-196123.995</v>
      </c>
      <c r="N37" s="40" t="n">
        <f aca="false">N13+N14+N15+N16+N17+N18+N19+N20+N21+N22+N23+N24+N25+N26+N27+N28+N29+N30+N31+N32+N33+N34+N35+N36</f>
        <v>-2362237.94</v>
      </c>
    </row>
    <row r="38" customFormat="false" ht="15" hidden="false" customHeight="true" outlineLevel="0" collapsed="false">
      <c r="A38" s="42" t="s">
        <v>348</v>
      </c>
      <c r="B38" s="43" t="n">
        <f aca="false">B11+B37</f>
        <v>-163759.850263158</v>
      </c>
      <c r="C38" s="43" t="n">
        <f aca="false">C11+C37</f>
        <v>-158851.955526316</v>
      </c>
      <c r="D38" s="43" t="n">
        <f aca="false">D11+D37</f>
        <v>-158851.955526316</v>
      </c>
      <c r="E38" s="43" t="n">
        <f aca="false">E11+E37</f>
        <v>-158851.955526316</v>
      </c>
      <c r="F38" s="43" t="n">
        <f aca="false">F11+F37</f>
        <v>-157101.955526316</v>
      </c>
      <c r="G38" s="43" t="n">
        <f aca="false">G11+G37</f>
        <v>-157101.955526316</v>
      </c>
      <c r="H38" s="43" t="n">
        <f aca="false">H11+H37</f>
        <v>-181008.205526316</v>
      </c>
      <c r="I38" s="43" t="n">
        <f aca="false">I11+I37</f>
        <v>-181008.205526316</v>
      </c>
      <c r="J38" s="43" t="n">
        <f aca="false">J11+J37</f>
        <v>-181008.205526316</v>
      </c>
      <c r="K38" s="43" t="n">
        <f aca="false">K11+K37</f>
        <v>-181008.205526316</v>
      </c>
      <c r="L38" s="43" t="n">
        <f aca="false">L11+L37</f>
        <v>-181008.205526316</v>
      </c>
      <c r="M38" s="43" t="n">
        <f aca="false">M11+M37</f>
        <v>-123633.205526316</v>
      </c>
      <c r="N38" s="43" t="n">
        <f aca="false">N11+N37</f>
        <v>-1983193.86105263</v>
      </c>
    </row>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9140625" defaultRowHeight="15" zeroHeight="false" outlineLevelRow="0" outlineLevelCol="0"/>
  <cols>
    <col collapsed="false" customWidth="true" hidden="false" outlineLevel="0" max="1" min="1" style="1" width="58"/>
    <col collapsed="false" customWidth="true" hidden="false" outlineLevel="0" max="13" min="2" style="1" width="12.5"/>
    <col collapsed="false" customWidth="true" hidden="false" outlineLevel="0" max="14" min="14" style="1" width="14"/>
    <col collapsed="false" customWidth="true" hidden="false" outlineLevel="0" max="15" min="15" style="1" width="12.5"/>
  </cols>
  <sheetData>
    <row r="1" customFormat="false" ht="17.25" hidden="false" customHeight="true" outlineLevel="0" collapsed="false">
      <c r="A1" s="2" t="s">
        <v>349</v>
      </c>
      <c r="B1" s="36"/>
      <c r="C1" s="36"/>
      <c r="D1" s="36"/>
      <c r="E1" s="36"/>
      <c r="F1" s="36"/>
      <c r="G1" s="36"/>
      <c r="H1" s="36"/>
      <c r="I1" s="36"/>
      <c r="J1" s="36"/>
      <c r="K1" s="36"/>
      <c r="L1" s="36"/>
      <c r="M1" s="36"/>
      <c r="N1" s="36"/>
    </row>
    <row r="2" customFormat="false" ht="15" hidden="false" customHeight="true" outlineLevel="0" collapsed="false">
      <c r="A2" s="16" t="s">
        <v>350</v>
      </c>
      <c r="B2" s="36"/>
      <c r="C2" s="36"/>
      <c r="D2" s="36"/>
      <c r="E2" s="36"/>
      <c r="F2" s="36"/>
      <c r="G2" s="36"/>
      <c r="H2" s="36"/>
      <c r="I2" s="36"/>
      <c r="J2" s="36"/>
      <c r="K2" s="36"/>
      <c r="L2" s="36"/>
      <c r="M2" s="36"/>
      <c r="N2" s="36"/>
    </row>
    <row r="3" customFormat="false" ht="15" hidden="false" customHeight="true" outlineLevel="0" collapsed="false">
      <c r="A3" s="36"/>
      <c r="B3" s="36"/>
      <c r="C3" s="36"/>
      <c r="D3" s="36"/>
      <c r="E3" s="36"/>
      <c r="F3" s="36"/>
      <c r="G3" s="36"/>
      <c r="H3" s="36"/>
      <c r="I3" s="36"/>
      <c r="J3" s="36"/>
      <c r="K3" s="36"/>
      <c r="L3" s="36"/>
      <c r="M3" s="36"/>
      <c r="N3" s="36"/>
    </row>
    <row r="4" customFormat="false" ht="15" hidden="false" customHeight="true" outlineLevel="0" collapsed="false">
      <c r="A4" s="4" t="s">
        <v>200</v>
      </c>
      <c r="B4" s="5" t="s">
        <v>3</v>
      </c>
      <c r="C4" s="5" t="s">
        <v>4</v>
      </c>
      <c r="D4" s="5" t="s">
        <v>5</v>
      </c>
      <c r="E4" s="5" t="s">
        <v>6</v>
      </c>
      <c r="F4" s="5" t="s">
        <v>7</v>
      </c>
      <c r="G4" s="5" t="s">
        <v>8</v>
      </c>
      <c r="H4" s="5" t="s">
        <v>9</v>
      </c>
      <c r="I4" s="5" t="s">
        <v>10</v>
      </c>
      <c r="J4" s="5" t="s">
        <v>11</v>
      </c>
      <c r="K4" s="5" t="s">
        <v>12</v>
      </c>
      <c r="L4" s="5" t="s">
        <v>13</v>
      </c>
      <c r="M4" s="5" t="s">
        <v>14</v>
      </c>
      <c r="N4" s="5" t="s">
        <v>15</v>
      </c>
    </row>
    <row r="5" customFormat="false" ht="15" hidden="false" customHeight="true" outlineLevel="0" collapsed="false">
      <c r="A5" s="6" t="s">
        <v>351</v>
      </c>
      <c r="B5" s="37"/>
      <c r="C5" s="37"/>
      <c r="D5" s="37"/>
      <c r="E5" s="37"/>
      <c r="F5" s="37"/>
      <c r="G5" s="37"/>
      <c r="H5" s="37"/>
      <c r="I5" s="37"/>
      <c r="J5" s="37"/>
      <c r="K5" s="37"/>
      <c r="L5" s="37"/>
      <c r="M5" s="37"/>
      <c r="N5" s="37"/>
    </row>
    <row r="6" customFormat="false" ht="15" hidden="false" customHeight="true" outlineLevel="0" collapsed="false">
      <c r="A6" s="38" t="s">
        <v>352</v>
      </c>
      <c r="B6" s="39" t="n">
        <v>0</v>
      </c>
      <c r="C6" s="39" t="n">
        <v>0</v>
      </c>
      <c r="D6" s="39" t="n">
        <v>0</v>
      </c>
      <c r="E6" s="39" t="n">
        <v>0</v>
      </c>
      <c r="F6" s="39" t="n">
        <v>0</v>
      </c>
      <c r="G6" s="39" t="n">
        <v>0</v>
      </c>
      <c r="H6" s="39" t="n">
        <v>0</v>
      </c>
      <c r="I6" s="39" t="n">
        <v>0</v>
      </c>
      <c r="J6" s="39" t="n">
        <v>0</v>
      </c>
      <c r="K6" s="39" t="n">
        <v>0</v>
      </c>
      <c r="L6" s="39" t="n">
        <v>0</v>
      </c>
      <c r="M6" s="39" t="n">
        <v>0</v>
      </c>
      <c r="N6" s="40" t="n">
        <f aca="false">SUM(B6:M6)</f>
        <v>0</v>
      </c>
    </row>
    <row r="7" customFormat="false" ht="15" hidden="false" customHeight="true" outlineLevel="0" collapsed="false">
      <c r="A7" s="38" t="s">
        <v>353</v>
      </c>
      <c r="B7" s="39" t="n">
        <v>0</v>
      </c>
      <c r="C7" s="39" t="n">
        <v>0</v>
      </c>
      <c r="D7" s="39" t="n">
        <v>800</v>
      </c>
      <c r="E7" s="39" t="n">
        <v>0</v>
      </c>
      <c r="F7" s="39" t="n">
        <v>0</v>
      </c>
      <c r="G7" s="39" t="n">
        <v>0</v>
      </c>
      <c r="H7" s="39" t="n">
        <v>0</v>
      </c>
      <c r="I7" s="39" t="n">
        <v>0</v>
      </c>
      <c r="J7" s="39" t="n">
        <v>0</v>
      </c>
      <c r="K7" s="39" t="n">
        <v>0</v>
      </c>
      <c r="L7" s="39" t="n">
        <v>0</v>
      </c>
      <c r="M7" s="39" t="n">
        <v>0</v>
      </c>
      <c r="N7" s="40" t="n">
        <f aca="false">SUM(B7:M7)</f>
        <v>800</v>
      </c>
    </row>
    <row r="8" customFormat="false" ht="15" hidden="false" customHeight="true" outlineLevel="0" collapsed="false">
      <c r="A8" s="41" t="s">
        <v>354</v>
      </c>
      <c r="B8" s="40" t="n">
        <f aca="false">B6+B7</f>
        <v>0</v>
      </c>
      <c r="C8" s="40" t="n">
        <f aca="false">C6+C7</f>
        <v>0</v>
      </c>
      <c r="D8" s="40" t="n">
        <f aca="false">D6+D7</f>
        <v>800</v>
      </c>
      <c r="E8" s="40" t="n">
        <f aca="false">E6+E7</f>
        <v>0</v>
      </c>
      <c r="F8" s="40" t="n">
        <f aca="false">F6+F7</f>
        <v>0</v>
      </c>
      <c r="G8" s="40" t="n">
        <f aca="false">G6+G7</f>
        <v>0</v>
      </c>
      <c r="H8" s="40" t="n">
        <f aca="false">H6+H7</f>
        <v>0</v>
      </c>
      <c r="I8" s="40" t="n">
        <f aca="false">I6+I7</f>
        <v>0</v>
      </c>
      <c r="J8" s="40" t="n">
        <f aca="false">J6+J7</f>
        <v>0</v>
      </c>
      <c r="K8" s="40" t="n">
        <f aca="false">K6+K7</f>
        <v>0</v>
      </c>
      <c r="L8" s="40" t="n">
        <f aca="false">L6+L7</f>
        <v>0</v>
      </c>
      <c r="M8" s="40" t="n">
        <f aca="false">M6+M7</f>
        <v>0</v>
      </c>
      <c r="N8" s="40" t="n">
        <f aca="false">N6+N7</f>
        <v>800</v>
      </c>
    </row>
    <row r="9" customFormat="false" ht="15" hidden="false" customHeight="true" outlineLevel="0" collapsed="false">
      <c r="A9" s="38" t="s">
        <v>355</v>
      </c>
      <c r="B9" s="39" t="n">
        <v>0</v>
      </c>
      <c r="C9" s="39" t="n">
        <v>0</v>
      </c>
      <c r="D9" s="39" t="n">
        <v>0</v>
      </c>
      <c r="E9" s="39" t="n">
        <v>0</v>
      </c>
      <c r="F9" s="39" t="n">
        <v>0</v>
      </c>
      <c r="G9" s="39" t="n">
        <v>0</v>
      </c>
      <c r="H9" s="39" t="n">
        <v>0</v>
      </c>
      <c r="I9" s="39" t="n">
        <v>0</v>
      </c>
      <c r="J9" s="39" t="n">
        <v>0</v>
      </c>
      <c r="K9" s="39" t="n">
        <v>0</v>
      </c>
      <c r="L9" s="39" t="n">
        <v>0</v>
      </c>
      <c r="M9" s="39" t="n">
        <v>0</v>
      </c>
      <c r="N9" s="40" t="n">
        <f aca="false">SUM(B9:M9)</f>
        <v>0</v>
      </c>
    </row>
    <row r="10" customFormat="false" ht="15" hidden="false" customHeight="true" outlineLevel="0" collapsed="false">
      <c r="A10" s="42" t="s">
        <v>356</v>
      </c>
      <c r="B10" s="43" t="n">
        <f aca="false">B8+B9</f>
        <v>0</v>
      </c>
      <c r="C10" s="43" t="n">
        <f aca="false">C8+C9</f>
        <v>0</v>
      </c>
      <c r="D10" s="43" t="n">
        <f aca="false">D8+D9</f>
        <v>800</v>
      </c>
      <c r="E10" s="43" t="n">
        <f aca="false">E8+E9</f>
        <v>0</v>
      </c>
      <c r="F10" s="43" t="n">
        <f aca="false">F8+F9</f>
        <v>0</v>
      </c>
      <c r="G10" s="43" t="n">
        <f aca="false">G8+G9</f>
        <v>0</v>
      </c>
      <c r="H10" s="43" t="n">
        <f aca="false">H8+H9</f>
        <v>0</v>
      </c>
      <c r="I10" s="43" t="n">
        <f aca="false">I8+I9</f>
        <v>0</v>
      </c>
      <c r="J10" s="43" t="n">
        <f aca="false">J8+J9</f>
        <v>0</v>
      </c>
      <c r="K10" s="43" t="n">
        <f aca="false">K8+K9</f>
        <v>0</v>
      </c>
      <c r="L10" s="43" t="n">
        <f aca="false">L8+L9</f>
        <v>0</v>
      </c>
      <c r="M10" s="43" t="n">
        <f aca="false">M8+M9</f>
        <v>0</v>
      </c>
      <c r="N10" s="43" t="n">
        <f aca="false">N8+N9</f>
        <v>800</v>
      </c>
    </row>
    <row r="11" customFormat="false" ht="15" hidden="false" customHeight="true" outlineLevel="0" collapsed="false">
      <c r="A11" s="36"/>
      <c r="B11" s="36"/>
      <c r="C11" s="36"/>
      <c r="D11" s="36"/>
      <c r="E11" s="36"/>
      <c r="F11" s="36"/>
      <c r="G11" s="36"/>
      <c r="H11" s="36"/>
      <c r="I11" s="36"/>
      <c r="J11" s="36"/>
      <c r="K11" s="36"/>
      <c r="L11" s="36"/>
      <c r="M11" s="36"/>
      <c r="N11" s="36"/>
    </row>
    <row r="12" customFormat="false" ht="15" hidden="false" customHeight="true" outlineLevel="0" collapsed="false">
      <c r="A12" s="6" t="s">
        <v>357</v>
      </c>
      <c r="B12" s="37"/>
      <c r="C12" s="37"/>
      <c r="D12" s="37"/>
      <c r="E12" s="37"/>
      <c r="F12" s="37"/>
      <c r="G12" s="37"/>
      <c r="H12" s="37"/>
      <c r="I12" s="37"/>
      <c r="J12" s="37"/>
      <c r="K12" s="37"/>
      <c r="L12" s="37"/>
      <c r="M12" s="37"/>
      <c r="N12" s="37"/>
    </row>
    <row r="13" customFormat="false" ht="15" hidden="false" customHeight="true" outlineLevel="0" collapsed="false">
      <c r="A13" s="38" t="s">
        <v>215</v>
      </c>
      <c r="B13" s="39" t="n">
        <v>16666.66</v>
      </c>
      <c r="C13" s="39" t="n">
        <v>10000</v>
      </c>
      <c r="D13" s="39" t="n">
        <v>10000</v>
      </c>
      <c r="E13" s="39" t="n">
        <v>10000</v>
      </c>
      <c r="F13" s="39" t="n">
        <v>10000</v>
      </c>
      <c r="G13" s="39" t="n">
        <v>4166</v>
      </c>
      <c r="H13" s="39" t="n">
        <v>4166</v>
      </c>
      <c r="I13" s="39" t="n">
        <v>4166</v>
      </c>
      <c r="J13" s="39" t="n">
        <v>4166</v>
      </c>
      <c r="K13" s="39" t="n">
        <v>4166</v>
      </c>
      <c r="L13" s="39" t="n">
        <v>4166</v>
      </c>
      <c r="M13" s="39" t="n">
        <v>4166</v>
      </c>
      <c r="N13" s="40" t="n">
        <f aca="false">SUM(B13:M13)</f>
        <v>85828.66</v>
      </c>
    </row>
    <row r="14" customFormat="false" ht="15" hidden="false" customHeight="true" outlineLevel="0" collapsed="false">
      <c r="A14" s="38" t="s">
        <v>209</v>
      </c>
      <c r="B14" s="39" t="n">
        <v>4166.66</v>
      </c>
      <c r="C14" s="39" t="n">
        <v>4166.66</v>
      </c>
      <c r="D14" s="39" t="n">
        <v>4166.66</v>
      </c>
      <c r="E14" s="39" t="n">
        <v>4166.66</v>
      </c>
      <c r="F14" s="39" t="n">
        <v>4166.66</v>
      </c>
      <c r="G14" s="39" t="n">
        <v>4166.66</v>
      </c>
      <c r="H14" s="39" t="n">
        <v>4166.66</v>
      </c>
      <c r="I14" s="39" t="n">
        <v>4166.66</v>
      </c>
      <c r="J14" s="39" t="n">
        <v>4166.66</v>
      </c>
      <c r="K14" s="39" t="n">
        <v>4166.66</v>
      </c>
      <c r="L14" s="39" t="n">
        <v>4166.66</v>
      </c>
      <c r="M14" s="39" t="n">
        <v>4166.66</v>
      </c>
      <c r="N14" s="40" t="n">
        <f aca="false">SUM(B14:M14)</f>
        <v>49999.92</v>
      </c>
    </row>
    <row r="15" customFormat="false" ht="15" hidden="false" customHeight="true" outlineLevel="0" collapsed="false">
      <c r="A15" s="38" t="s">
        <v>205</v>
      </c>
      <c r="B15" s="39" t="n">
        <v>3332.72</v>
      </c>
      <c r="C15" s="39" t="n">
        <v>3332.72</v>
      </c>
      <c r="D15" s="39" t="n">
        <v>3332.72</v>
      </c>
      <c r="E15" s="39" t="n">
        <v>3332.72</v>
      </c>
      <c r="F15" s="39" t="n">
        <v>3332.72</v>
      </c>
      <c r="G15" s="39" t="n">
        <v>3332.72</v>
      </c>
      <c r="H15" s="39" t="n">
        <v>3332.72</v>
      </c>
      <c r="I15" s="39" t="n">
        <v>3332.72</v>
      </c>
      <c r="J15" s="39" t="n">
        <v>0</v>
      </c>
      <c r="K15" s="39" t="n">
        <v>0</v>
      </c>
      <c r="L15" s="39" t="n">
        <v>0</v>
      </c>
      <c r="M15" s="39" t="n">
        <v>0</v>
      </c>
      <c r="N15" s="40" t="n">
        <f aca="false">SUM(B15:M15)</f>
        <v>26661.76</v>
      </c>
    </row>
    <row r="16" customFormat="false" ht="15" hidden="false" customHeight="true" outlineLevel="0" collapsed="false">
      <c r="A16" s="38" t="s">
        <v>358</v>
      </c>
      <c r="B16" s="39" t="n">
        <v>9750</v>
      </c>
      <c r="C16" s="39" t="n">
        <v>0</v>
      </c>
      <c r="D16" s="39" t="n">
        <v>0</v>
      </c>
      <c r="E16" s="39" t="n">
        <v>0</v>
      </c>
      <c r="F16" s="39" t="n">
        <v>0</v>
      </c>
      <c r="G16" s="39" t="n">
        <v>0</v>
      </c>
      <c r="H16" s="39" t="n">
        <v>0</v>
      </c>
      <c r="I16" s="39" t="n">
        <v>0</v>
      </c>
      <c r="J16" s="39" t="n">
        <v>0</v>
      </c>
      <c r="K16" s="39" t="n">
        <v>0</v>
      </c>
      <c r="L16" s="39" t="n">
        <v>0</v>
      </c>
      <c r="M16" s="39" t="n">
        <v>0</v>
      </c>
      <c r="N16" s="40" t="n">
        <f aca="false">SUM(B16:M16)</f>
        <v>9750</v>
      </c>
    </row>
    <row r="17" customFormat="false" ht="15" hidden="false" customHeight="true" outlineLevel="0" collapsed="false">
      <c r="A17" s="41" t="s">
        <v>359</v>
      </c>
      <c r="B17" s="40" t="n">
        <f aca="false">B13+B14+B15+B16</f>
        <v>33916.04</v>
      </c>
      <c r="C17" s="40" t="n">
        <f aca="false">C13+C14+C15+C16</f>
        <v>17499.38</v>
      </c>
      <c r="D17" s="40" t="n">
        <f aca="false">D13+D14+D15+D16</f>
        <v>17499.38</v>
      </c>
      <c r="E17" s="40" t="n">
        <f aca="false">E13+E14+E15+E16</f>
        <v>17499.38</v>
      </c>
      <c r="F17" s="40" t="n">
        <f aca="false">F13+F14+F15+F16</f>
        <v>17499.38</v>
      </c>
      <c r="G17" s="40" t="n">
        <f aca="false">G13+G14+G15+G16</f>
        <v>11665.38</v>
      </c>
      <c r="H17" s="40" t="n">
        <f aca="false">H13+H14+H15+H16</f>
        <v>11665.38</v>
      </c>
      <c r="I17" s="40" t="n">
        <f aca="false">I13+I14+I15+I16</f>
        <v>11665.38</v>
      </c>
      <c r="J17" s="40" t="n">
        <f aca="false">J13+J14+J15+J16</f>
        <v>8332.66</v>
      </c>
      <c r="K17" s="40" t="n">
        <f aca="false">K13+K14+K15+K16</f>
        <v>8332.66</v>
      </c>
      <c r="L17" s="40" t="n">
        <f aca="false">L13+L14+L15+L16</f>
        <v>8332.66</v>
      </c>
      <c r="M17" s="40" t="n">
        <f aca="false">M13+M14+M15+M16</f>
        <v>8332.66</v>
      </c>
      <c r="N17" s="40" t="n">
        <f aca="false">N13+N14+N15+N16</f>
        <v>172240.34</v>
      </c>
    </row>
    <row r="18" customFormat="false" ht="15" hidden="false" customHeight="true" outlineLevel="0" collapsed="false">
      <c r="A18" s="36"/>
      <c r="B18" s="36"/>
      <c r="C18" s="36"/>
      <c r="D18" s="36"/>
      <c r="E18" s="36"/>
      <c r="F18" s="36"/>
      <c r="G18" s="36"/>
      <c r="H18" s="36"/>
      <c r="I18" s="36"/>
      <c r="J18" s="36"/>
      <c r="K18" s="36"/>
      <c r="L18" s="36"/>
      <c r="M18" s="36"/>
      <c r="N18" s="36"/>
    </row>
    <row r="19" customFormat="false" ht="15" hidden="false" customHeight="true" outlineLevel="0" collapsed="false">
      <c r="A19" s="17" t="s">
        <v>360</v>
      </c>
      <c r="B19" s="36"/>
      <c r="C19" s="36"/>
      <c r="D19" s="36"/>
      <c r="E19" s="36"/>
      <c r="F19" s="36"/>
      <c r="G19" s="36"/>
      <c r="H19" s="36"/>
      <c r="I19" s="36"/>
      <c r="J19" s="36"/>
      <c r="K19" s="36"/>
      <c r="L19" s="36"/>
      <c r="M19" s="36"/>
      <c r="N19" s="36"/>
    </row>
    <row r="20" customFormat="false" ht="15" hidden="false" customHeight="true" outlineLevel="0" collapsed="false">
      <c r="A20" s="1" t="s">
        <v>361</v>
      </c>
      <c r="B20" s="36"/>
      <c r="C20" s="36"/>
      <c r="D20" s="36"/>
      <c r="E20" s="36"/>
      <c r="F20" s="36"/>
      <c r="G20" s="36"/>
      <c r="H20" s="36"/>
      <c r="I20" s="36"/>
      <c r="J20" s="36"/>
      <c r="K20" s="36"/>
      <c r="L20" s="36"/>
      <c r="M20" s="36"/>
      <c r="N20" s="63" t="n">
        <v>172240.34</v>
      </c>
    </row>
    <row r="21" customFormat="false" ht="15" hidden="false" customHeight="true" outlineLevel="0" collapsed="false">
      <c r="A21" s="1" t="s">
        <v>362</v>
      </c>
      <c r="B21" s="36"/>
      <c r="C21" s="36"/>
      <c r="D21" s="36"/>
      <c r="E21" s="36"/>
      <c r="F21" s="36"/>
      <c r="G21" s="36"/>
      <c r="H21" s="36"/>
      <c r="I21" s="36"/>
      <c r="J21" s="36"/>
      <c r="K21" s="36"/>
      <c r="L21" s="36"/>
      <c r="M21" s="36"/>
      <c r="N21" s="63" t="n">
        <v>25000</v>
      </c>
    </row>
    <row r="22" customFormat="false" ht="15" hidden="false" customHeight="true" outlineLevel="0" collapsed="false">
      <c r="A22" s="1" t="s">
        <v>363</v>
      </c>
      <c r="B22" s="36"/>
      <c r="C22" s="36"/>
      <c r="D22" s="36"/>
      <c r="E22" s="36"/>
      <c r="F22" s="36"/>
      <c r="G22" s="36"/>
      <c r="H22" s="36"/>
      <c r="I22" s="36"/>
      <c r="J22" s="36"/>
      <c r="K22" s="36"/>
      <c r="L22" s="36"/>
      <c r="M22" s="36"/>
      <c r="N22" s="63" t="n">
        <v>150000</v>
      </c>
    </row>
    <row r="23" customFormat="false" ht="15" hidden="false" customHeight="true" outlineLevel="0" collapsed="false">
      <c r="A23" s="1" t="s">
        <v>364</v>
      </c>
      <c r="B23" s="36"/>
      <c r="C23" s="36"/>
      <c r="D23" s="36"/>
      <c r="E23" s="36"/>
      <c r="F23" s="36"/>
      <c r="G23" s="36"/>
      <c r="H23" s="36"/>
      <c r="I23" s="36"/>
      <c r="J23" s="36"/>
      <c r="K23" s="36"/>
      <c r="L23" s="36"/>
      <c r="M23" s="36"/>
      <c r="N23" s="63" t="n">
        <v>0</v>
      </c>
    </row>
    <row r="24" customFormat="false" ht="15" hidden="false" customHeight="true" outlineLevel="0" collapsed="false">
      <c r="A24" s="1" t="s">
        <v>365</v>
      </c>
      <c r="B24" s="36"/>
      <c r="C24" s="36"/>
      <c r="D24" s="36"/>
      <c r="E24" s="36"/>
      <c r="F24" s="36"/>
      <c r="G24" s="36"/>
      <c r="H24" s="36"/>
      <c r="I24" s="36"/>
      <c r="J24" s="36"/>
      <c r="K24" s="36"/>
      <c r="L24" s="36"/>
      <c r="M24" s="36"/>
      <c r="N24" s="63" t="n">
        <v>0</v>
      </c>
    </row>
    <row r="25" customFormat="false" ht="15" hidden="false" customHeight="true" outlineLevel="0" collapsed="false">
      <c r="A25" s="1" t="s">
        <v>366</v>
      </c>
      <c r="B25" s="36"/>
      <c r="C25" s="36"/>
      <c r="D25" s="36"/>
      <c r="E25" s="36"/>
      <c r="F25" s="36"/>
      <c r="G25" s="36"/>
      <c r="H25" s="36"/>
      <c r="I25" s="36"/>
      <c r="J25" s="36"/>
      <c r="K25" s="36"/>
      <c r="L25" s="36"/>
      <c r="M25" s="36"/>
      <c r="N25" s="63" t="n">
        <v>800</v>
      </c>
    </row>
    <row r="26" customFormat="false" ht="15" hidden="false" customHeight="true" outlineLevel="0" collapsed="false">
      <c r="A26" s="1" t="s">
        <v>367</v>
      </c>
      <c r="B26" s="36"/>
      <c r="C26" s="36"/>
      <c r="D26" s="36"/>
      <c r="E26" s="36"/>
      <c r="F26" s="36"/>
      <c r="G26" s="36"/>
      <c r="H26" s="36"/>
      <c r="I26" s="36"/>
      <c r="J26" s="36"/>
      <c r="K26" s="36"/>
      <c r="L26" s="36"/>
      <c r="M26" s="36"/>
      <c r="N26" s="63" t="n">
        <v>0</v>
      </c>
    </row>
    <row r="27" customFormat="false" ht="15" hidden="false" customHeight="true" outlineLevel="0" collapsed="false">
      <c r="A27" s="1" t="s">
        <v>368</v>
      </c>
      <c r="B27" s="36"/>
      <c r="C27" s="36"/>
      <c r="D27" s="36"/>
      <c r="E27" s="36"/>
      <c r="F27" s="36"/>
      <c r="G27" s="36"/>
      <c r="H27" s="36"/>
      <c r="I27" s="36"/>
      <c r="J27" s="36"/>
      <c r="K27" s="36"/>
      <c r="L27" s="36"/>
      <c r="M27" s="36"/>
      <c r="N27" s="63" t="n">
        <v>-3559.66000000002</v>
      </c>
    </row>
    <row r="28" customFormat="false" ht="15" hidden="false" customHeight="true" outlineLevel="0" collapsed="false">
      <c r="A28" s="1" t="s">
        <v>369</v>
      </c>
      <c r="B28" s="36"/>
      <c r="C28" s="36"/>
      <c r="D28" s="36"/>
      <c r="E28" s="36"/>
      <c r="F28" s="36"/>
      <c r="G28" s="36"/>
      <c r="H28" s="36"/>
      <c r="I28" s="36"/>
      <c r="J28" s="36"/>
      <c r="K28" s="36"/>
      <c r="L28" s="36"/>
      <c r="M28" s="36"/>
      <c r="N28" s="63" t="n">
        <v>0</v>
      </c>
    </row>
    <row r="29" customFormat="false" ht="15" hidden="false" customHeight="true" outlineLevel="0" collapsed="false">
      <c r="A29" s="1" t="s">
        <v>370</v>
      </c>
      <c r="B29" s="36"/>
      <c r="C29" s="36"/>
      <c r="D29" s="36"/>
      <c r="E29" s="36"/>
      <c r="F29" s="36"/>
      <c r="G29" s="36"/>
      <c r="H29" s="36"/>
      <c r="I29" s="36"/>
      <c r="J29" s="36"/>
      <c r="K29" s="36"/>
      <c r="L29" s="36"/>
      <c r="M29" s="36"/>
      <c r="N29" s="63" t="n">
        <v>0</v>
      </c>
    </row>
    <row r="30" customFormat="false" ht="15" hidden="false" customHeight="true" outlineLevel="0" collapsed="false">
      <c r="A30" s="1" t="s">
        <v>371</v>
      </c>
      <c r="B30" s="36"/>
      <c r="C30" s="36"/>
      <c r="D30" s="36"/>
      <c r="E30" s="36"/>
      <c r="F30" s="36"/>
      <c r="G30" s="36"/>
      <c r="H30" s="36"/>
      <c r="I30" s="36"/>
      <c r="J30" s="36"/>
      <c r="K30" s="36"/>
      <c r="L30" s="36"/>
      <c r="M30" s="36"/>
      <c r="N30" s="63" t="n">
        <v>0</v>
      </c>
    </row>
    <row r="31" customFormat="false" ht="15" hidden="false" customHeight="true" outlineLevel="0" collapsed="false">
      <c r="A31" s="1" t="s">
        <v>372</v>
      </c>
      <c r="B31" s="36"/>
      <c r="C31" s="36"/>
      <c r="D31" s="36"/>
      <c r="E31" s="36"/>
      <c r="F31" s="36"/>
      <c r="G31" s="36"/>
      <c r="H31" s="36"/>
      <c r="I31" s="36"/>
      <c r="J31" s="36"/>
      <c r="K31" s="36"/>
      <c r="L31" s="36"/>
      <c r="M31" s="36"/>
      <c r="N31" s="63" t="n">
        <v>3559.66000000002</v>
      </c>
    </row>
    <row r="32" customFormat="false" ht="15" hidden="false" customHeight="true" outlineLevel="0" collapsed="false">
      <c r="A32" s="1" t="s">
        <v>373</v>
      </c>
      <c r="B32" s="36"/>
      <c r="C32" s="36"/>
      <c r="D32" s="36"/>
      <c r="E32" s="36"/>
      <c r="F32" s="36"/>
      <c r="G32" s="36"/>
      <c r="H32" s="36"/>
      <c r="I32" s="36"/>
      <c r="J32" s="36"/>
      <c r="K32" s="36"/>
      <c r="L32" s="36"/>
      <c r="M32" s="36"/>
      <c r="N32" s="63" t="n">
        <v>3559.66000000003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4" min="2" style="1" width="16"/>
  </cols>
  <sheetData>
    <row r="1" customFormat="false" ht="17.25" hidden="false" customHeight="true" outlineLevel="0" collapsed="false">
      <c r="A1" s="2" t="s">
        <v>374</v>
      </c>
    </row>
    <row r="2" customFormat="false" ht="57.75" hidden="false" customHeight="true" outlineLevel="0" collapsed="false">
      <c r="A2" s="64" t="s">
        <v>375</v>
      </c>
      <c r="B2" s="64"/>
      <c r="C2" s="64"/>
      <c r="D2" s="64"/>
    </row>
    <row r="4" customFormat="false" ht="23.25" hidden="false" customHeight="true" outlineLevel="0" collapsed="false">
      <c r="A4" s="18" t="s">
        <v>15</v>
      </c>
      <c r="B4" s="19" t="s">
        <v>376</v>
      </c>
      <c r="C4" s="19" t="s">
        <v>377</v>
      </c>
      <c r="D4" s="19" t="s">
        <v>378</v>
      </c>
    </row>
    <row r="5" customFormat="false" ht="15" hidden="false" customHeight="true" outlineLevel="0" collapsed="false">
      <c r="A5" s="8" t="s">
        <v>379</v>
      </c>
      <c r="B5" s="9" t="n">
        <f aca="false">-'Six Peak'!N29*222000/337000</f>
        <v>222000</v>
      </c>
      <c r="C5" s="65" t="n">
        <v>1</v>
      </c>
      <c r="D5" s="9" t="n">
        <f aca="false">B5*C5</f>
        <v>222000</v>
      </c>
    </row>
    <row r="6" customFormat="false" ht="15" hidden="false" customHeight="true" outlineLevel="0" collapsed="false">
      <c r="A6" s="8" t="s">
        <v>380</v>
      </c>
      <c r="B6" s="9" t="n">
        <f aca="false">-(('Six Peak'!N13+'Six Peak'!N14+'Six Peak'!N16+'Six Peak'!N17)*157500/657500+'Six Peak'!N15/3)</f>
        <v>221014.5</v>
      </c>
      <c r="C6" s="65" t="n">
        <v>0.9</v>
      </c>
      <c r="D6" s="9" t="n">
        <f aca="false">B6*C6</f>
        <v>198913.05</v>
      </c>
    </row>
    <row r="7" customFormat="false" ht="15" hidden="false" customHeight="true" outlineLevel="0" collapsed="false">
      <c r="A7" s="8" t="s">
        <v>381</v>
      </c>
      <c r="B7" s="9" t="n">
        <f aca="false">-(('Six Peak'!N13+'Six Peak'!N14+'Six Peak'!N16+'Six Peak'!N17)*250000/657500+'Six Peak'!N15/3)</f>
        <v>322302</v>
      </c>
      <c r="C7" s="65" t="n">
        <v>0.75</v>
      </c>
      <c r="D7" s="9" t="n">
        <f aca="false">B7*C7</f>
        <v>241726.5</v>
      </c>
    </row>
    <row r="8" customFormat="false" ht="15" hidden="false" customHeight="true" outlineLevel="0" collapsed="false">
      <c r="A8" s="8" t="s">
        <v>382</v>
      </c>
      <c r="B8" s="9" t="n">
        <f aca="false">-'Six Peak'!N34/2</f>
        <v>400000</v>
      </c>
      <c r="C8" s="65" t="n">
        <v>0.5</v>
      </c>
      <c r="D8" s="9" t="n">
        <f aca="false">B8*C8</f>
        <v>200000</v>
      </c>
    </row>
    <row r="9" customFormat="false" ht="15" hidden="false" customHeight="true" outlineLevel="0" collapsed="false">
      <c r="A9" s="8" t="s">
        <v>383</v>
      </c>
      <c r="B9" s="9" t="n">
        <f aca="false">-'Six Peak'!N34/2</f>
        <v>400000</v>
      </c>
      <c r="C9" s="65" t="n">
        <v>0.1</v>
      </c>
      <c r="D9" s="9" t="n">
        <f aca="false">B9*C9</f>
        <v>40000</v>
      </c>
    </row>
    <row r="10" customFormat="false" ht="15" hidden="false" customHeight="true" outlineLevel="0" collapsed="false">
      <c r="A10" s="8" t="s">
        <v>384</v>
      </c>
      <c r="B10" s="9" t="n">
        <f aca="false">-(('Six Peak'!N13+'Six Peak'!N14+'Six Peak'!N16+'Six Peak'!N17)*250000/657500+'Six Peak'!N15/3)</f>
        <v>322302</v>
      </c>
      <c r="C10" s="65" t="n">
        <v>0.1</v>
      </c>
      <c r="D10" s="9" t="n">
        <f aca="false">B10*C10</f>
        <v>32230.2</v>
      </c>
    </row>
    <row r="11" customFormat="false" ht="15" hidden="false" customHeight="true" outlineLevel="0" collapsed="false">
      <c r="A11" s="11" t="s">
        <v>385</v>
      </c>
      <c r="B11" s="12" t="n">
        <f aca="false">SUM(B5:B10)</f>
        <v>1887618.5</v>
      </c>
      <c r="C11" s="35"/>
      <c r="D11" s="12" t="n">
        <f aca="false">SUM(D5:D10)</f>
        <v>934869.75</v>
      </c>
    </row>
    <row r="12" customFormat="false" ht="27.75" hidden="false" customHeight="true" outlineLevel="0" collapsed="false">
      <c r="A12" s="66" t="s">
        <v>386</v>
      </c>
      <c r="B12" s="66"/>
      <c r="C12" s="66"/>
      <c r="D12" s="66"/>
    </row>
    <row r="14" customFormat="false" ht="23.25" hidden="false" customHeight="true" outlineLevel="0" collapsed="false">
      <c r="A14" s="18" t="s">
        <v>387</v>
      </c>
      <c r="B14" s="19" t="s">
        <v>388</v>
      </c>
      <c r="C14" s="19" t="s">
        <v>389</v>
      </c>
      <c r="D14" s="19" t="s">
        <v>390</v>
      </c>
    </row>
    <row r="15" customFormat="false" ht="15" hidden="false" customHeight="true" outlineLevel="0" collapsed="false">
      <c r="A15" s="8" t="s">
        <v>34</v>
      </c>
      <c r="B15" s="9" t="n">
        <f aca="false">Consolidated!N23</f>
        <v>4752654.85543914</v>
      </c>
      <c r="C15" s="9" t="n">
        <f aca="false">-D11</f>
        <v>-934869.75</v>
      </c>
      <c r="D15" s="9" t="n">
        <f aca="false">B15+C15</f>
        <v>3817785.10543914</v>
      </c>
    </row>
    <row r="16" customFormat="false" ht="15" hidden="false" customHeight="true" outlineLevel="0" collapsed="false">
      <c r="A16" s="8" t="s">
        <v>35</v>
      </c>
      <c r="B16" s="9" t="n">
        <f aca="false">Consolidated!N24</f>
        <v>-1983193.86105263</v>
      </c>
      <c r="C16" s="9" t="n">
        <f aca="false">D11</f>
        <v>934869.75</v>
      </c>
      <c r="D16" s="9" t="n">
        <f aca="false">B16+C16</f>
        <v>-1048324.11105263</v>
      </c>
    </row>
    <row r="17" customFormat="false" ht="15" hidden="false" customHeight="true" outlineLevel="0" collapsed="false">
      <c r="A17" s="8" t="s">
        <v>21</v>
      </c>
      <c r="B17" s="9" t="n">
        <f aca="false">Consolidated!N25</f>
        <v>800</v>
      </c>
      <c r="C17" s="9" t="n">
        <v>0</v>
      </c>
      <c r="D17" s="9" t="n">
        <f aca="false">B17+C17</f>
        <v>800</v>
      </c>
    </row>
    <row r="18" customFormat="false" ht="15" hidden="false" customHeight="true" outlineLevel="0" collapsed="false">
      <c r="A18" s="11" t="s">
        <v>391</v>
      </c>
      <c r="B18" s="12" t="n">
        <f aca="false">SUM(B15:B17)</f>
        <v>2770260.99438651</v>
      </c>
      <c r="C18" s="12" t="n">
        <f aca="false">SUM(C15:C17)</f>
        <v>0</v>
      </c>
      <c r="D18" s="12" t="n">
        <f aca="false">SUM(D15:D17)</f>
        <v>2770260.99438651</v>
      </c>
    </row>
  </sheetData>
  <mergeCells count="2">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9140625" defaultRowHeight="15" zeroHeight="false" outlineLevelRow="0" outlineLevelCol="0"/>
  <cols>
    <col collapsed="false" customWidth="true" hidden="false" outlineLevel="0" max="1" min="1" style="1" width="60"/>
    <col collapsed="false" customWidth="true" hidden="false" outlineLevel="0" max="2" min="2" style="1" width="70"/>
  </cols>
  <sheetData>
    <row r="1" customFormat="false" ht="17.25" hidden="false" customHeight="true" outlineLevel="0" collapsed="false">
      <c r="A1" s="2" t="s">
        <v>392</v>
      </c>
      <c r="B1" s="36"/>
    </row>
    <row r="2" customFormat="false" ht="15" hidden="false" customHeight="true" outlineLevel="0" collapsed="false">
      <c r="A2" s="36"/>
      <c r="B2" s="36"/>
    </row>
    <row r="3" customFormat="false" ht="15" hidden="false" customHeight="true" outlineLevel="0" collapsed="false">
      <c r="A3" s="67" t="s">
        <v>393</v>
      </c>
      <c r="B3" s="1" t="s">
        <v>394</v>
      </c>
    </row>
    <row r="4" customFormat="false" ht="15" hidden="false" customHeight="true" outlineLevel="0" collapsed="false">
      <c r="A4" s="67" t="s">
        <v>395</v>
      </c>
      <c r="B4" s="1" t="s">
        <v>396</v>
      </c>
    </row>
    <row r="5" customFormat="false" ht="15" hidden="false" customHeight="true" outlineLevel="0" collapsed="false">
      <c r="A5" s="67" t="s">
        <v>397</v>
      </c>
      <c r="B5" s="68" t="n">
        <v>4752655</v>
      </c>
    </row>
    <row r="6" customFormat="false" ht="15" hidden="false" customHeight="true" outlineLevel="0" collapsed="false">
      <c r="A6" s="67" t="s">
        <v>398</v>
      </c>
      <c r="B6" s="68" t="n">
        <v>-1983194</v>
      </c>
    </row>
    <row r="7" customFormat="false" ht="15" hidden="false" customHeight="true" outlineLevel="0" collapsed="false">
      <c r="A7" s="67" t="s">
        <v>399</v>
      </c>
      <c r="B7" s="68"/>
    </row>
    <row r="8" customFormat="false" ht="15" hidden="false" customHeight="true" outlineLevel="0" collapsed="false">
      <c r="A8" s="67" t="s">
        <v>400</v>
      </c>
      <c r="B8" s="68" t="n">
        <v>800</v>
      </c>
    </row>
    <row r="9" customFormat="false" ht="15" hidden="false" customHeight="true" outlineLevel="0" collapsed="false">
      <c r="A9" s="67" t="s">
        <v>401</v>
      </c>
      <c r="B9" s="68" t="n">
        <v>2770261</v>
      </c>
    </row>
    <row r="10" customFormat="false" ht="15" hidden="false" customHeight="true" outlineLevel="0" collapsed="false">
      <c r="A10" s="67" t="s">
        <v>402</v>
      </c>
      <c r="B10" s="1" t="n">
        <f aca="false">ROUND('Mgmt View (Hypothetical)'!C15+'Mgmt View (Hypothetical)'!C16,2)</f>
        <v>0</v>
      </c>
    </row>
    <row r="11" customFormat="false" ht="15" hidden="false" customHeight="true" outlineLevel="0" collapsed="false">
      <c r="A11" s="67" t="s">
        <v>403</v>
      </c>
      <c r="B11" s="1" t="n">
        <f aca="false">ROUND(Consolidated!N26-Consolidated!N11-Consolidated!N21,2)</f>
        <v>0</v>
      </c>
    </row>
    <row r="12" customFormat="false" ht="15" hidden="false" customHeight="true" outlineLevel="0" collapsed="false">
      <c r="A12" s="1" t="s">
        <v>404</v>
      </c>
    </row>
    <row r="13" customFormat="false" ht="15" hidden="false" customHeight="true" outlineLevel="0" collapsed="false">
      <c r="A13" s="1" t="s">
        <v>405</v>
      </c>
    </row>
    <row r="14" customFormat="false" ht="15" hidden="false" customHeight="true" outlineLevel="0" collapsed="false">
      <c r="A14" s="1" t="s">
        <v>406</v>
      </c>
    </row>
    <row r="15" customFormat="false" ht="15" hidden="false" customHeight="true" outlineLevel="0" collapsed="false">
      <c r="A15" s="1" t="s">
        <v>407</v>
      </c>
    </row>
    <row r="16" customFormat="false" ht="15" hidden="false" customHeight="true" outlineLevel="0" collapsed="false">
      <c r="A16" s="1" t="s">
        <v>408</v>
      </c>
    </row>
    <row r="17" customFormat="false" ht="15" hidden="false" customHeight="true" outlineLevel="0" collapsed="false">
      <c r="A17" s="1" t="s">
        <v>409</v>
      </c>
    </row>
    <row r="18" customFormat="false" ht="15" hidden="false" customHeight="true" outlineLevel="0" collapsed="false">
      <c r="A18" s="1" t="s">
        <v>410</v>
      </c>
    </row>
    <row r="19" customFormat="false" ht="15" hidden="false" customHeight="true" outlineLevel="0" collapsed="false">
      <c r="A19" s="1" t="s">
        <v>411</v>
      </c>
    </row>
    <row r="20" customFormat="false" ht="15" hidden="false" customHeight="true" outlineLevel="0" collapsed="false">
      <c r="A20" s="1" t="s">
        <v>412</v>
      </c>
      <c r="B20" s="1" t="n">
        <f aca="false">ROUND(Consolidated!N6+Consolidated!N7+Consolidated!N8-LV!N51,2)</f>
        <v>0</v>
      </c>
    </row>
    <row r="21" customFormat="false" ht="15" hidden="false" customHeight="true" outlineLevel="0" collapsed="false">
      <c r="A21" s="1" t="s">
        <v>413</v>
      </c>
    </row>
    <row r="23" customFormat="false" ht="15" hidden="false" customHeight="true" outlineLevel="0" collapsed="false">
      <c r="A23" s="1" t="s">
        <v>414</v>
      </c>
    </row>
    <row r="24" customFormat="false" ht="15" hidden="false" customHeight="true" outlineLevel="0" collapsed="false">
      <c r="A24" s="1" t="s">
        <v>415</v>
      </c>
    </row>
    <row r="25" customFormat="false" ht="15" hidden="false" customHeight="true" outlineLevel="0" collapsed="false">
      <c r="A25" s="1" t="s">
        <v>416</v>
      </c>
    </row>
    <row r="26" customFormat="false" ht="15" hidden="false" customHeight="true" outlineLevel="0" collapsed="false">
      <c r="A26" s="1" t="s">
        <v>417</v>
      </c>
    </row>
    <row r="27" customFormat="false" ht="15" hidden="false" customHeight="true" outlineLevel="0" collapsed="false">
      <c r="A27" s="1" t="s">
        <v>418</v>
      </c>
    </row>
    <row r="28" customFormat="false" ht="15" hidden="false" customHeight="true" outlineLevel="0" collapsed="false">
      <c r="A28" s="1" t="s">
        <v>419</v>
      </c>
    </row>
    <row r="29" customFormat="false" ht="15" hidden="false" customHeight="true" outlineLevel="0" collapsed="false">
      <c r="A29" s="1" t="s">
        <v>420</v>
      </c>
    </row>
    <row r="30" customFormat="false" ht="15" hidden="false" customHeight="true" outlineLevel="0" collapsed="false">
      <c r="A30" s="1" t="s">
        <v>421</v>
      </c>
      <c r="B30" s="1" t="n">
        <f aca="false">ROUND(Consolidated!N26-B9,0)</f>
        <v>-0</v>
      </c>
    </row>
    <row r="31" customFormat="false" ht="15" hidden="false" customHeight="true" outlineLevel="0" collapsed="false">
      <c r="A31" s="1" t="s">
        <v>422</v>
      </c>
      <c r="B31" s="1" t="n">
        <f aca="false">ROUND(Consolidated!N23-B5,0)</f>
        <v>-0</v>
      </c>
    </row>
    <row r="32" customFormat="false" ht="15" hidden="false" customHeight="true" outlineLevel="0" collapsed="false">
      <c r="A32" s="1" t="s">
        <v>423</v>
      </c>
      <c r="B32" s="1" t="n">
        <f aca="false">ROUND(Consolidated!M38-(1451690.4510566-115),0)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2026-10-09T15:45:18Z</dcterms:created>
  <dc:creator>openpyxl</dc:creator>
  <dc:description/>
  <dc:language>en-US</dc:language>
  <cp:lastModifiedBy/>
  <dcterms:modified xsi:type="dcterms:W3CDTF">2026-10-29T14:54:36Z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