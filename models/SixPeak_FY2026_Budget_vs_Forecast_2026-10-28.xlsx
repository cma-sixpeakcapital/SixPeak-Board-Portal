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ll Year" sheetId="1" state="visible" r:id="rId3"/>
    <sheet name="Drivers" sheetId="2" state="visible" r:id="rId4"/>
    <sheet name="Summary" sheetId="3" state="visible" r:id="rId5"/>
    <sheet name="LV GP by Job" sheetId="4" state="visible" r:id="rId6"/>
    <sheet name="Overhead by Accoun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<sst xmlns="http://schemas.openxmlformats.org/spreadsheetml/2006/main" count="221" uniqueCount="175">
  <si>
    <t xml:space="preserve">FY2026 Full Year: Budget vs Forecast</t>
  </si>
  <si>
    <t xml:space="preserve">Budget = 2026 approved budget. Forecast = Jan to Sep actuals + Oct to Dec Base Case (28 Oct 2026: Acama bond actuals booked in October; 12th &amp; Fir developer fee at $8,800 a month). Positive variance = better than budget. The budget charged $704,200 of Six Peak salaries to LV; that charge is shown on the Six Peak side here, so LV and Six Peak budget net income differ from the budget file by that amount (consolidated is unchanged). Board portal copy: prepared by Chris Andresen (29 Oct 2026), restated to the 28 Oct models.</t>
  </si>
  <si>
    <t xml:space="preserve">Line item</t>
  </si>
  <si>
    <t xml:space="preserve">Budget FY2026</t>
  </si>
  <si>
    <t xml:space="preserve">Forecast FY2026</t>
  </si>
  <si>
    <t xml:space="preserve">Variance</t>
  </si>
  <si>
    <t xml:space="preserve">Main reason for the variance</t>
  </si>
  <si>
    <t xml:space="preserve">LV CONSTRUCTION</t>
  </si>
  <si>
    <t xml:space="preserve">   LV gross profit (excl. bonding)</t>
  </si>
  <si>
    <t xml:space="preserve">Francis started in Aug instead of May (-$672K for the year). More than offset by higher margins on Crenshaw, Ramsgate, Califa and Whipple (+$670K) and by Riverton and Lexington, which were not in the budget (+$542K).</t>
  </si>
  <si>
    <t xml:space="preserve">   Bonding program, net</t>
  </si>
  <si>
    <t xml:space="preserve">Not in the budget. Break-even through Sep; the Acama bond cost (-$391K) was booked in Oct, when the bond was issued.</t>
  </si>
  <si>
    <t xml:space="preserve">   LV payroll and staff cost</t>
  </si>
  <si>
    <t xml:space="preserve">LV roster is 26 people ($3.54M a year) vs 15 ($2.12M) in the budget, plus the $75K Dec bonus. Partly offset by lower payroll taxes and benefits and the Apr to May payroll reclass to job cost.</t>
  </si>
  <si>
    <t xml:space="preserve">   LV other overhead</t>
  </si>
  <si>
    <t xml:space="preserve">Budget allowed about $33K a month; actual spending runs $70K to $90K a month (job-site supplies, warranty, consulting and placement fees, accounting, software, rent).</t>
  </si>
  <si>
    <t xml:space="preserve">LV net income</t>
  </si>
  <si>
    <t xml:space="preserve">SIX PEAK CAPITAL</t>
  </si>
  <si>
    <t xml:space="preserve">   Six Peak fee revenue</t>
  </si>
  <si>
    <t xml:space="preserve">Ramsgate construction dev fee $23.9K a month vs $36.5K budgeted; 12th &amp; Fir at $8,800 a month; Crenshaw fee ends Oct.</t>
  </si>
  <si>
    <t xml:space="preserve">   Six Peak one-time revenue</t>
  </si>
  <si>
    <t xml:space="preserve">Not budgeted: June $299K Aimwell LOC write-off (non-cash) and Aug Francis LIHTC $127.5K.</t>
  </si>
  <si>
    <t xml:space="preserve">   Six Peak people cost</t>
  </si>
  <si>
    <t xml:space="preserve">Close to budget. Partners paid as consultants and outside consultants replace budgeted payroll (budget shown gross of the $704K SP salary charge to LV).</t>
  </si>
  <si>
    <t xml:space="preserve">   Six Peak other expenses</t>
  </si>
  <si>
    <t xml:space="preserve">Close to budget.</t>
  </si>
  <si>
    <t xml:space="preserve">Six Peak net income</t>
  </si>
  <si>
    <t xml:space="preserve">SUBSIDIARIES</t>
  </si>
  <si>
    <t xml:space="preserve">   APA Inc. (Six Peak share)</t>
  </si>
  <si>
    <t xml:space="preserve">Not budgeted; small.</t>
  </si>
  <si>
    <t xml:space="preserve">Consolidated net income</t>
  </si>
  <si>
    <t xml:space="preserve">Ahead by $655K through Sep, then -$1.13M in Q4: Francis and slower billing on the in-place jobs, the Acama bonding cost, the full LV roster plus bonus, and overhead. See the Drivers tab.</t>
  </si>
  <si>
    <t xml:space="preserve">Check vs Summary (should be 0)</t>
  </si>
  <si>
    <t xml:space="preserve">Why FY2026 Misses Budget: Main Drivers</t>
  </si>
  <si>
    <t xml:space="preserve">Bridge from budget to forecast consolidated net income. Positive = better than budget. All amounts link to the Summary and LV GP by Job tabs.</t>
  </si>
  <si>
    <t xml:space="preserve">Driver</t>
  </si>
  <si>
    <t xml:space="preserve">Jan to Sep</t>
  </si>
  <si>
    <t xml:space="preserve">Q4 (Oct to Dec)</t>
  </si>
  <si>
    <t xml:space="preserve">Full year</t>
  </si>
  <si>
    <t xml:space="preserve">What happened</t>
  </si>
  <si>
    <t xml:space="preserve">Budget net income</t>
  </si>
  <si>
    <t xml:space="preserve">Budget: ahead in Jan to Sep ($502K), $446K in Q4.</t>
  </si>
  <si>
    <t xml:space="preserve">Francis started three months late</t>
  </si>
  <si>
    <t xml:space="preserve">Budget assumed a May 2026 start; the job started in August. Through Sep it billed $1.7M vs about $4.6M budgeted, and Q4 bills $2.6M vs $4.7M. The single largest gross profit shortfall.</t>
  </si>
  <si>
    <t xml:space="preserve">Other in-place jobs (Crenshaw, Ramsgate, Califa, Whipple, Nelrose)</t>
  </si>
  <si>
    <t xml:space="preserve">Well ahead through Sep on buyout savings and trade margin the budget did not include. Behind in Q4 because these jobs now bill on their schedules, more slowly than the budget curves, and Crenshaw has no margin left.</t>
  </si>
  <si>
    <t xml:space="preserve">Riverton and Lexington (not in budget)</t>
  </si>
  <si>
    <t xml:space="preserve">New jobs that started Aug and Sep; they replace part of the Francis gap.</t>
  </si>
  <si>
    <t xml:space="preserve">Other job gross profit / rounding</t>
  </si>
  <si>
    <t xml:space="preserve">Plug to the model total (see LV GP by Job).</t>
  </si>
  <si>
    <t xml:space="preserve">Bonding program (not budgeted)</t>
  </si>
  <si>
    <t xml:space="preserve">Roughly break-even through Sep; the Acama bond cost (-$391K) was booked in October, when the bond was issued.</t>
  </si>
  <si>
    <t xml:space="preserve">LV hiring and staff cost</t>
  </si>
  <si>
    <t xml:space="preserve">LV has grown to 26 people ($3.54M a year) vs 15 ($2.12M) in the budget. Through Sep this was hidden by lower payroll taxes and benefits and the self-performed trades reclass; Q4 carries the full roster, the $75K Dec bonus and two new hires.</t>
  </si>
  <si>
    <t xml:space="preserve">LV other overhead</t>
  </si>
  <si>
    <t xml:space="preserve">Budget allowed about $33K a month for non-payroll overhead; actual spending runs $70K to $90K a month (job-site supplies, warranty, consulting and placement fees, accounting, software, rent). A full-year issue, not a Q4 one.</t>
  </si>
  <si>
    <t xml:space="preserve">Six Peak fee revenue below budget</t>
  </si>
  <si>
    <t xml:space="preserve">Ramsgate dev fee lower than budgeted; 12th &amp; Fir at $8,800 a month; Crenshaw fee ends in Oct.</t>
  </si>
  <si>
    <t xml:space="preserve">Six Peak one-time revenue</t>
  </si>
  <si>
    <t xml:space="preserve">June $299K Aimwell LOC write-off (non-cash) and Aug Francis LIHTC $127.5K. These carried the Jan to Sep result and do not repeat in Q4.</t>
  </si>
  <si>
    <t xml:space="preserve">Six Peak people and other costs</t>
  </si>
  <si>
    <t xml:space="preserve">Close to budget once the intercompany salary charge is put back on the Six Peak side.</t>
  </si>
  <si>
    <t xml:space="preserve">APA Inc.</t>
  </si>
  <si>
    <t xml:space="preserve">Small.</t>
  </si>
  <si>
    <t xml:space="preserve">Forecast net income</t>
  </si>
  <si>
    <t xml:space="preserve">Variance to budget</t>
  </si>
  <si>
    <t xml:space="preserve">Key takeaways</t>
  </si>
  <si>
    <t xml:space="preserve">1. Ahead through September (+$655K) because the existing jobs earned more margin than budgeted (+$1.29M) and Six Peak had $427K of one-time revenue. Those more than covered Francis running late (-$444K) and overhead above budget.</t>
  </si>
  <si>
    <t xml:space="preserve">2. Q4 swings to -$1.13M vs budget: Francis and the slower burn on the in-place jobs (-$192K of gross profit after Riverton and Lexington), the Acama bonding cost (-$391K), the full LV roster plus the bonus (-$393K) and overhead (-$113K).</t>
  </si>
  <si>
    <t xml:space="preserve">3. Full year -$473K. The biggest negatives are Francis (-$672K), LV non-payroll overhead (-$645K), bonding (-$354K) and LV staff cost (-$287K). Better margins on the other jobs (+$670K), Riverton and Lexington (+$542K) and one-time Six Peak revenue (+$427K) offset most of it.</t>
  </si>
  <si>
    <t xml:space="preserve">4. So the read is: yes, Francis starting late and more hiring, but non-payroll overhead running about twice budget all year is just as large, and the October Acama bonding charge is not in the budget at all.</t>
  </si>
  <si>
    <t xml:space="preserve">5. Why Q4 turns negative: Jan to Sep was carried by items the budget did not have and that do not repeat. Bonding was break-even while Krueger's fee on Califa, Whipple and Riverton was paid in equity, and Six Peak booked the $299K Aimwell line-of-credit write-off and the $127.5K Francis LIHTC fee. Q4 has none of those, and it carries the Acama bonding cost, the full LV roster and the December bonus.</t>
  </si>
  <si>
    <t xml:space="preserve">FY2026 Budget vs Forecast: Consolidated Net Income</t>
  </si>
  <si>
    <t xml:space="preserve">Budget = 2026 approved budget (Base Case Budget tab). Forecast = Jan to Sep actuals + Oct to Dec Base Case (28 Oct 2026: Acama bond actuals booked in October; 12th &amp; Fir developer fee at $8,800 a month). Bonding shown on its own line. Blue = values from source files; black = formulas.</t>
  </si>
  <si>
    <t xml:space="preserve">Full Year 2026</t>
  </si>
  <si>
    <t xml:space="preserve">Budget</t>
  </si>
  <si>
    <t xml:space="preserve">Actual</t>
  </si>
  <si>
    <t xml:space="preserve">Forecast</t>
  </si>
  <si>
    <t xml:space="preserve">Why the difference exists</t>
  </si>
  <si>
    <t xml:space="preserve">LV gross profit (excl. bonding)</t>
  </si>
  <si>
    <t xml:space="preserve">Jan to Sep ahead: actual job margins include buyout savings and trade margin the budget did not assume (the budget billed trades at cost and earned only fee, supervision and admin). Q4 behind: Francis started in Aug, not May as budgeted, and Ramsgate, Whipple and Califa bill more slowly on their schedules than the budget curves; Riverton and Lexington (not budgeted) offset part. See 'LV GP by Job'.</t>
  </si>
  <si>
    <t xml:space="preserve">Bonding program, net</t>
  </si>
  <si>
    <t xml:space="preserve">Not budgeted. Jan to Sep: Francis, Riverton and Lexington bond lines billed $1,243,016, less CBI premiums $512,735, less Krueger cash $692,877 (booked Sep). Q4: Acama Krueger cash and premium, net of its bond line, booked in Oct (bond issued 12 Oct).</t>
  </si>
  <si>
    <t xml:space="preserve">LV payroll and staff cost</t>
  </si>
  <si>
    <t xml:space="preserve">Salaries, consultant split, taxes, benefits, net of the Apr to May self-performed trades reclass (+$332,814 moved to job cost). Jan to Sep looks favorable only because taxes and benefits ran about $279K under budget and the reclass. Q4: the LV roster is now 26 people at $3.54M a year vs 15 people at $2.12M in the budget, plus the $75K Dec bonus, the Oct coordinator and the Dec superintendent.</t>
  </si>
  <si>
    <t xml:space="preserve">The budget allowed about $33K a month; actuals ran about $92K a month Jan to Sep and the forecast about $71K a month. Largest lines: job-site supplies, warranty, consulting and placement fees, accounting, outside consultants, software and rent. See 'Overhead by Account'.</t>
  </si>
  <si>
    <t xml:space="preserve">Six Peak fee revenue</t>
  </si>
  <si>
    <t xml:space="preserve">Ramsgate construction dev fee is $23.9K a month vs $36.5K budgeted; 12th &amp; Fir ($8,800 a month) and Edgemont below budget; Crenshaw dev fee ends Oct.</t>
  </si>
  <si>
    <t xml:space="preserve">Not budgeted: June $299,000 Aimwell line-of-credit write-off (non-cash) and Aug Francis LIHTC revenue $127,514.</t>
  </si>
  <si>
    <t xml:space="preserve">Six Peak people cost</t>
  </si>
  <si>
    <t xml:space="preserve">Budget shown gross: it charged $58.7K a month of Six Peak salaries to LV, added back here so LV and Six Peak compare like for like. Partners paid as consultants ($800K a year) and outside consultants replace budgeted payroll; net close to budget.</t>
  </si>
  <si>
    <t xml:space="preserve">Six Peak other expenses</t>
  </si>
  <si>
    <t xml:space="preserve">APA Inc. (Six Peak share)</t>
  </si>
  <si>
    <t xml:space="preserve">Check: model / budget net income</t>
  </si>
  <si>
    <t xml:space="preserve">Budget: Base Case Budget tab rows 57 + 114. Model: Base Case Model row 308.</t>
  </si>
  <si>
    <t xml:space="preserve">Difference (should be 0)</t>
  </si>
  <si>
    <t xml:space="preserve">LV Gross Profit by Job (excl. bonding)</t>
  </si>
  <si>
    <t xml:space="preserve">Budget: Nov 2025 budget model, LV Detail Projection (fee rows 84-89 + supervision 114-119 + admin 144-149; trades billed at cost). Actual Jan to Sep: LV Board Portal September, Job Results YTD GP less 2026 bonding. Q4: 9/30 backlog x remaining cost from the portal job tabs, applied to Model rows 60-67 Q4 cost.</t>
  </si>
  <si>
    <t xml:space="preserve">Job</t>
  </si>
  <si>
    <t xml:space="preserve">Note</t>
  </si>
  <si>
    <t xml:space="preserve">Francis</t>
  </si>
  <si>
    <t xml:space="preserve">Budget assumed a May 2026 start (30 months); job started Aug 2026. Billed $1.7M through Sep vs about $4.6M of budgeted trade billing. Q4 revenue $2.6M vs $4.7M budgeted.</t>
  </si>
  <si>
    <t xml:space="preserve">Crenshaw</t>
  </si>
  <si>
    <t xml:space="preserve">Ahead through Sep on buyout savings; Q4 has no margin left (remaining fee, supervision and admin billings absorbed by trade cost and contingency).</t>
  </si>
  <si>
    <t xml:space="preserve">Ramsgate</t>
  </si>
  <si>
    <t xml:space="preserve">Ahead through Sep; Q4 billing $2.6M vs $4.6M budgeted (schedule slower than the budget curve) and remaining margin 7.7% after contingency overrun.</t>
  </si>
  <si>
    <t xml:space="preserve">Califa</t>
  </si>
  <si>
    <t xml:space="preserve">Ahead through Sep; Q4 billing $1.8M vs $3.0M budgeted.</t>
  </si>
  <si>
    <t xml:space="preserve">Whipple</t>
  </si>
  <si>
    <t xml:space="preserve">Ahead through Sep; Q4 billing $1.7M vs $3.4M budgeted.</t>
  </si>
  <si>
    <t xml:space="preserve">Nelrose</t>
  </si>
  <si>
    <t xml:space="preserve">About on budget.</t>
  </si>
  <si>
    <t xml:space="preserve">Riverton</t>
  </si>
  <si>
    <t xml:space="preserve">Not in the 2026 budget.</t>
  </si>
  <si>
    <t xml:space="preserve">Lexington</t>
  </si>
  <si>
    <t xml:space="preserve">Not in the 2026 budget. Actual YTD excludes bonding.</t>
  </si>
  <si>
    <t xml:space="preserve">Other / unallocated</t>
  </si>
  <si>
    <t xml:space="preserve">Plugs the job rows to the model total: Acama, Scott, Klump, rounding to the P&amp;L, and the per-job Q4 estimate (the model holds in-place fee income as one combined figure in rows 10 and 11). Q4 trade cost true-up included.</t>
  </si>
  <si>
    <t xml:space="preserve">Total LV gross profit</t>
  </si>
  <si>
    <t xml:space="preserve">Overhead by Account: Budget vs Forecast</t>
  </si>
  <si>
    <t xml:space="preserve">Budget: Base Case Budget tab. Forecast: Actuals Jan to Sep + Model Q4. Budget SP salaries charged to LV are shown in the Six Peak section (intercompany), not in LV. The Other P&amp;L items rows tie the account lines to the P&amp;L totals (small lines the model does not show by account).</t>
  </si>
  <si>
    <t xml:space="preserve">Account</t>
  </si>
  <si>
    <t xml:space="preserve">Budget Jan-Sep</t>
  </si>
  <si>
    <t xml:space="preserve">Actual Jan-Sep</t>
  </si>
  <si>
    <t xml:space="preserve">Budget Q4</t>
  </si>
  <si>
    <t xml:space="preserve">Forecast Q4</t>
  </si>
  <si>
    <t xml:space="preserve">Budget FY</t>
  </si>
  <si>
    <t xml:space="preserve">Forecast FY</t>
  </si>
  <si>
    <t xml:space="preserve">Variance FY</t>
  </si>
  <si>
    <t xml:space="preserve">Variance Q4</t>
  </si>
  <si>
    <t xml:space="preserve">5000-1000 Payroll (incl. LV Dec bonus)</t>
  </si>
  <si>
    <t xml:space="preserve">5000-1001 Payroll Taxes</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</si>
  <si>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</si>
  <si>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</si>
  <si>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</si>
  <si>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</si>
  <si>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</si>
  <si>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</si>
  <si>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</si>
  <si>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</si>
  <si>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</si>
  <si>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</si>
  <si>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</si>
  <si>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</si>
  <si>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</si>
  <si>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</si>
  <si>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</si>
  <si>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</si>
  <si>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</si>
  <si>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</si>
  <si>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</si>
  <si>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</si>
  <si>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</si>
  <si>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</si>
  <si>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</si>
  <si>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</si>
  <si>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</si>
  <si>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</si>
  <si>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</si>
  <si>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</si>
  <si>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8200-2000 State Tax and Fees</t>
  </si>
  <si>
    <t xml:space="preserve">Other P&amp;L items not on an account line above</t>
  </si>
  <si>
    <t xml:space="preserve">Total LV Construction</t>
  </si>
  <si>
    <t xml:space="preserve">5000-1000 Payroll</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</si>
  <si>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</si>
  <si>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</si>
  <si>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</si>
  <si>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</si>
  <si>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</si>
  <si>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</si>
  <si>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</si>
  <si>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</si>
  <si>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</si>
  <si>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Budget: SP salaries charged to LV (intercompany)</t>
  </si>
  <si>
    <t xml:space="preserve">Total Six Peak Capital</t>
  </si>
</sst>
</file>

<file path=xl/styles.xml><?xml version="1.0" encoding="utf-8"?>
<styleSheet xmlns="http://schemas.openxmlformats.org/spreadsheetml/2006/main">
  <numFmts count="2">
    <numFmt numFmtId="164" formatCode="General"/>
    <numFmt numFmtId="165" formatCode="#,##0;\(#,##0\);\-"/>
  </numFmts>
  <fonts count="16">
    <font>
      <sz val="11"/>
      <color theme="1"/>
      <name val="Calibri"/>
      <family val="2"/>
      <charset val="1"/>
    </font>
    <font>
      <sz val="10"/>
      <name val="Arial"/>
      <family val="0"/>
    </font>
    <font>
      <sz val="10"/>
      <name val="Arial"/>
      <family val="0"/>
    </font>
    <font>
      <sz val="10"/>
      <name val="Arial"/>
      <family val="0"/>
    </font>
    <font>
      <b val="true"/>
      <sz val="16"/>
      <color rgb="FF0B1833"/>
      <name val="DM Sans"/>
      <family val="0"/>
      <charset val="1"/>
    </font>
    <font>
      <i val="true"/>
      <sz val="10"/>
      <color rgb="FF475569"/>
      <name val="Aptos"/>
      <family val="0"/>
      <charset val="1"/>
    </font>
    <font>
      <b val="true"/>
      <sz val="10"/>
      <color rgb="FFFFFFFF"/>
      <name val="Aptos"/>
      <family val="0"/>
      <charset val="1"/>
    </font>
    <font>
      <b val="true"/>
      <sz val="10"/>
      <color rgb="FF0B1833"/>
      <name val="Aptos"/>
      <family val="0"/>
      <charset val="1"/>
    </font>
    <font>
      <sz val="10"/>
      <color rgb="FF2D2D2D"/>
      <name val="Aptos"/>
      <family val="0"/>
      <charset val="1"/>
    </font>
    <font>
      <b val="true"/>
      <sz val="10"/>
      <color rgb="FF2D2D2D"/>
      <name val="Aptos"/>
      <family val="0"/>
      <charset val="1"/>
    </font>
    <font>
      <b val="true"/>
      <sz val="11"/>
      <color rgb="FFC4581A"/>
      <name val="Aptos"/>
      <family val="0"/>
      <charset val="1"/>
    </font>
    <font>
      <b val="true"/>
      <sz val="10"/>
      <color rgb="FFC4581A"/>
      <name val="Aptos"/>
      <family val="0"/>
      <charset val="1"/>
    </font>
    <font>
      <b val="true"/>
      <sz val="12"/>
      <color rgb="FF0B1833"/>
      <name val="DM Sans"/>
      <family val="0"/>
      <charset val="1"/>
    </font>
    <font>
      <sz val="10"/>
      <color rgb="FF0000FF"/>
      <name val="Aptos"/>
      <family val="0"/>
      <charset val="1"/>
    </font>
    <font>
      <i val="true"/>
      <sz val="10"/>
      <color rgb="FF0000FF"/>
      <name val="Aptos"/>
      <family val="0"/>
      <charset val="1"/>
    </font>
    <font>
      <i val="true"/>
      <sz val="10"/>
      <color rgb="FF2D2D2D"/>
      <name val="Aptos"/>
      <family val="0"/>
      <charset val="1"/>
    </font>
  </fonts>
  <fills count="4">
    <fill>
      <patternFill patternType="none"/>
    </fill>
    <fill>
      <patternFill patternType="gray125"/>
    </fill>
    <fill>
      <patternFill patternType="solid">
        <fgColor rgb="FF0B1833"/>
        <bgColor rgb="FF2D2D2D"/>
      </patternFill>
    </fill>
    <fill>
      <patternFill patternType="solid">
        <fgColor rgb="FFF5F5F5"/>
        <bgColor rgb="FFFFFFFF"/>
      </patternFill>
    </fill>
  </fills>
  <borders count="2">
    <border diagonalUp="false" diagonalDown="false">
      <left/>
      <right/>
      <top/>
      <bottom/>
      <diagonal/>
    </border>
    <border diagonalUp="false" diagonalDown="false">
      <left/>
      <right/>
      <top style="thin">
        <color rgb="FF0B183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5" fontId="13" fillId="3"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4581A"/>
      <rgbColor rgb="FF475569"/>
      <rgbColor rgb="FF969696"/>
      <rgbColor rgb="FF0B1833"/>
      <rgbColor rgb="FF339966"/>
      <rgbColor rgb="FF003300"/>
      <rgbColor rgb="FF333300"/>
      <rgbColor rgb="FF993300"/>
      <rgbColor rgb="FF993366"/>
      <rgbColor rgb="FF333399"/>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5" min="5" style="1" width="95"/>
  </cols>
  <sheetData>
    <row r="1" customFormat="false" ht="19.5" hidden="false" customHeight="true" outlineLevel="0" collapsed="false">
      <c r="A1" s="2" t="s">
        <v>0</v>
      </c>
    </row>
    <row r="2" customFormat="false" ht="31.5" hidden="false" customHeight="true" outlineLevel="0" collapsed="false">
      <c r="A2" s="3" t="s">
        <v>1</v>
      </c>
      <c r="B2" s="3"/>
      <c r="C2" s="3"/>
      <c r="D2" s="3"/>
      <c r="E2" s="3"/>
    </row>
    <row r="4" customFormat="false" ht="30" hidden="false" customHeight="true" outlineLevel="0" collapsed="false">
      <c r="A4" s="4" t="s">
        <v>2</v>
      </c>
      <c r="B4" s="5" t="s">
        <v>3</v>
      </c>
      <c r="C4" s="5" t="s">
        <v>4</v>
      </c>
      <c r="D4" s="5" t="s">
        <v>5</v>
      </c>
      <c r="E4" s="5" t="s">
        <v>6</v>
      </c>
    </row>
    <row r="5" customFormat="false" ht="15" hidden="false" customHeight="true" outlineLevel="0" collapsed="false">
      <c r="A5" s="6" t="s">
        <v>7</v>
      </c>
    </row>
    <row r="6" customFormat="false" ht="43.5" hidden="false" customHeight="true" outlineLevel="0" collapsed="false">
      <c r="A6" s="7" t="s">
        <v>8</v>
      </c>
      <c r="B6" s="8" t="n">
        <f aca="false">Summary!H6</f>
        <v>5822291.95</v>
      </c>
      <c r="C6" s="8" t="n">
        <f aca="false">Summary!I6</f>
        <v>6437321.79</v>
      </c>
      <c r="D6" s="9" t="n">
        <f aca="false">C6-B6</f>
        <v>615029.84</v>
      </c>
      <c r="E6" s="10" t="s">
        <v>9</v>
      </c>
    </row>
    <row r="7" customFormat="false" ht="43.5" hidden="false" customHeight="true" outlineLevel="0" collapsed="false">
      <c r="A7" s="7" t="s">
        <v>10</v>
      </c>
      <c r="B7" s="8" t="n">
        <f aca="false">Summary!H7</f>
        <v>0</v>
      </c>
      <c r="C7" s="8" t="n">
        <f aca="false">Summary!I7</f>
        <v>-353763.79</v>
      </c>
      <c r="D7" s="9" t="n">
        <f aca="false">C7-B7</f>
        <v>-353763.79</v>
      </c>
      <c r="E7" s="10" t="s">
        <v>11</v>
      </c>
    </row>
    <row r="8" customFormat="false" ht="43.5" hidden="false" customHeight="true" outlineLevel="0" collapsed="false">
      <c r="A8" s="7" t="s">
        <v>12</v>
      </c>
      <c r="B8" s="8" t="n">
        <f aca="false">Summary!H8</f>
        <v>-2765983.44</v>
      </c>
      <c r="C8" s="8" t="n">
        <f aca="false">Summary!I8</f>
        <v>-3052561.06</v>
      </c>
      <c r="D8" s="9" t="n">
        <f aca="false">C8-B8</f>
        <v>-286577.62</v>
      </c>
      <c r="E8" s="10" t="s">
        <v>13</v>
      </c>
    </row>
    <row r="9" customFormat="false" ht="43.5" hidden="false" customHeight="true" outlineLevel="0" collapsed="false">
      <c r="A9" s="7" t="s">
        <v>14</v>
      </c>
      <c r="B9" s="8" t="n">
        <f aca="false">Summary!H9</f>
        <v>-393698.1</v>
      </c>
      <c r="C9" s="8" t="n">
        <f aca="false">Summary!I9</f>
        <v>-1039076.16</v>
      </c>
      <c r="D9" s="9" t="n">
        <f aca="false">C9-B9</f>
        <v>-645378.06</v>
      </c>
      <c r="E9" s="10" t="s">
        <v>15</v>
      </c>
    </row>
    <row r="10" customFormat="false" ht="15" hidden="false" customHeight="true" outlineLevel="0" collapsed="false">
      <c r="A10" s="11" t="s">
        <v>16</v>
      </c>
      <c r="B10" s="12" t="n">
        <f aca="false">SUM(B6:B9)</f>
        <v>2662610.41</v>
      </c>
      <c r="C10" s="12" t="n">
        <f aca="false">SUM(C6:C9)</f>
        <v>1991920.78</v>
      </c>
      <c r="D10" s="12" t="n">
        <f aca="false">SUM(D6:D9)</f>
        <v>-670689.63</v>
      </c>
    </row>
    <row r="12" customFormat="false" ht="15" hidden="false" customHeight="true" outlineLevel="0" collapsed="false">
      <c r="A12" s="6" t="s">
        <v>17</v>
      </c>
    </row>
    <row r="13" customFormat="false" ht="43.5" hidden="false" customHeight="true" outlineLevel="0" collapsed="false">
      <c r="A13" s="7" t="s">
        <v>18</v>
      </c>
      <c r="B13" s="8" t="n">
        <f aca="false">Summary!H10</f>
        <v>647381.91</v>
      </c>
      <c r="C13" s="8" t="n">
        <f aca="false">Summary!I10</f>
        <v>484658.31</v>
      </c>
      <c r="D13" s="9" t="n">
        <f aca="false">C13-B13</f>
        <v>-162723.6</v>
      </c>
      <c r="E13" s="10" t="s">
        <v>19</v>
      </c>
    </row>
    <row r="14" customFormat="false" ht="43.5" hidden="false" customHeight="true" outlineLevel="0" collapsed="false">
      <c r="A14" s="7" t="s">
        <v>20</v>
      </c>
      <c r="B14" s="8" t="n">
        <f aca="false">Summary!H11</f>
        <v>0</v>
      </c>
      <c r="C14" s="8" t="n">
        <f aca="false">Summary!I11</f>
        <v>426514</v>
      </c>
      <c r="D14" s="9" t="n">
        <f aca="false">C14-B14</f>
        <v>426514</v>
      </c>
      <c r="E14" s="10" t="s">
        <v>21</v>
      </c>
    </row>
    <row r="15" customFormat="false" ht="43.5" hidden="false" customHeight="true" outlineLevel="0" collapsed="false">
      <c r="A15" s="7" t="s">
        <v>22</v>
      </c>
      <c r="B15" s="8" t="n">
        <f aca="false">Summary!H12</f>
        <v>-1990457.76</v>
      </c>
      <c r="C15" s="8" t="n">
        <f aca="false">Summary!I12</f>
        <v>-2053724.88</v>
      </c>
      <c r="D15" s="9" t="n">
        <f aca="false">C15-B15</f>
        <v>-63267.1199999999</v>
      </c>
      <c r="E15" s="10" t="s">
        <v>23</v>
      </c>
    </row>
    <row r="16" customFormat="false" ht="43.5" hidden="false" customHeight="true" outlineLevel="0" collapsed="false">
      <c r="A16" s="7" t="s">
        <v>24</v>
      </c>
      <c r="B16" s="8" t="n">
        <f aca="false">Summary!H13</f>
        <v>-371578.98</v>
      </c>
      <c r="C16" s="8" t="n">
        <f aca="false">Summary!I13</f>
        <v>-378002.77</v>
      </c>
      <c r="D16" s="9" t="n">
        <f aca="false">C16-B16</f>
        <v>-6423.79000000004</v>
      </c>
      <c r="E16" s="10" t="s">
        <v>25</v>
      </c>
    </row>
    <row r="17" customFormat="false" ht="15" hidden="false" customHeight="true" outlineLevel="0" collapsed="false">
      <c r="A17" s="11" t="s">
        <v>26</v>
      </c>
      <c r="B17" s="12" t="n">
        <f aca="false">SUM(B13:B16)</f>
        <v>-1714654.83</v>
      </c>
      <c r="C17" s="12" t="n">
        <f aca="false">SUM(C13:C16)</f>
        <v>-1520555.34</v>
      </c>
      <c r="D17" s="12" t="n">
        <f aca="false">SUM(D13:D16)</f>
        <v>194099.49</v>
      </c>
    </row>
    <row r="19" customFormat="false" ht="15" hidden="false" customHeight="true" outlineLevel="0" collapsed="false">
      <c r="A19" s="6" t="s">
        <v>27</v>
      </c>
    </row>
    <row r="20" customFormat="false" ht="43.5" hidden="false" customHeight="true" outlineLevel="0" collapsed="false">
      <c r="A20" s="7" t="s">
        <v>28</v>
      </c>
      <c r="B20" s="8" t="n">
        <f aca="false">Summary!H14</f>
        <v>0</v>
      </c>
      <c r="C20" s="8" t="n">
        <f aca="false">Summary!I14</f>
        <v>3324.19</v>
      </c>
      <c r="D20" s="9" t="n">
        <f aca="false">C20-B20</f>
        <v>3324.19</v>
      </c>
      <c r="E20" s="10" t="s">
        <v>29</v>
      </c>
    </row>
    <row r="22" customFormat="false" ht="43.5" hidden="false" customHeight="true" outlineLevel="0" collapsed="false">
      <c r="A22" s="13" t="s">
        <v>30</v>
      </c>
      <c r="B22" s="14" t="n">
        <f aca="false">B10+B17+B20</f>
        <v>947955.58</v>
      </c>
      <c r="C22" s="14" t="n">
        <f aca="false">C10+C17+C20</f>
        <v>474689.63</v>
      </c>
      <c r="D22" s="14" t="n">
        <f aca="false">D10+D17+D20</f>
        <v>-473265.95</v>
      </c>
      <c r="E22" s="10" t="s">
        <v>31</v>
      </c>
    </row>
    <row r="23" customFormat="false" ht="15" hidden="false" customHeight="true" outlineLevel="0" collapsed="false">
      <c r="A23" s="15" t="s">
        <v>32</v>
      </c>
      <c r="B23" s="8" t="n">
        <f aca="false">ROUND(B22-Summary!H15,0)</f>
        <v>0</v>
      </c>
      <c r="C23" s="8" t="n">
        <f aca="false">ROUND(C22-Summary!I15,0)</f>
        <v>0</v>
      </c>
      <c r="D23" s="8" t="n">
        <f aca="false">ROUND(D22-Summary!J15,0)</f>
        <v>0</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4" min="2" style="1" width="15"/>
    <col collapsed="false" customWidth="true" hidden="false" outlineLevel="0" max="5" min="5" style="1" width="90"/>
  </cols>
  <sheetData>
    <row r="1" customFormat="false" ht="19.5" hidden="false" customHeight="true" outlineLevel="0" collapsed="false">
      <c r="A1" s="2" t="s">
        <v>33</v>
      </c>
    </row>
    <row r="2" customFormat="false" ht="15" hidden="false" customHeight="true" outlineLevel="0" collapsed="false">
      <c r="A2" s="3" t="s">
        <v>34</v>
      </c>
      <c r="B2" s="3"/>
      <c r="C2" s="3"/>
      <c r="D2" s="3"/>
      <c r="E2" s="3"/>
    </row>
    <row r="4" customFormat="false" ht="30" hidden="false" customHeight="true" outlineLevel="0" collapsed="false">
      <c r="A4" s="4" t="s">
        <v>35</v>
      </c>
      <c r="B4" s="5" t="s">
        <v>36</v>
      </c>
      <c r="C4" s="5" t="s">
        <v>37</v>
      </c>
      <c r="D4" s="5" t="s">
        <v>38</v>
      </c>
      <c r="E4" s="5" t="s">
        <v>39</v>
      </c>
    </row>
    <row r="5" customFormat="false" ht="48" hidden="false" customHeight="true" outlineLevel="0" collapsed="false">
      <c r="A5" s="16" t="s">
        <v>40</v>
      </c>
      <c r="B5" s="9" t="n">
        <f aca="false">Summary!B15</f>
        <v>501975.99</v>
      </c>
      <c r="C5" s="9" t="n">
        <f aca="false">Summary!E15</f>
        <v>445979.59</v>
      </c>
      <c r="D5" s="9" t="n">
        <f aca="false">B5+C5</f>
        <v>947955.58</v>
      </c>
      <c r="E5" s="10" t="s">
        <v>41</v>
      </c>
    </row>
    <row r="6" customFormat="false" ht="48" hidden="false" customHeight="true" outlineLevel="0" collapsed="false">
      <c r="A6" s="17" t="s">
        <v>42</v>
      </c>
      <c r="B6" s="18" t="n">
        <f aca="false">'LV GP by Job'!D6</f>
        <v>-443886</v>
      </c>
      <c r="C6" s="18" t="n">
        <f aca="false">'LV GP by Job'!G6</f>
        <v>-228141</v>
      </c>
      <c r="D6" s="19" t="n">
        <f aca="false">B6+C6</f>
        <v>-672027</v>
      </c>
      <c r="E6" s="20" t="s">
        <v>43</v>
      </c>
    </row>
    <row r="7" customFormat="false" ht="48" hidden="false" customHeight="true" outlineLevel="0" collapsed="false">
      <c r="A7" s="7" t="s">
        <v>44</v>
      </c>
      <c r="B7" s="8" t="n">
        <f aca="false">'LV GP by Job'!D7+'LV GP by Job'!D8+'LV GP by Job'!D9+'LV GP by Job'!D10+'LV GP by Job'!D11</f>
        <v>1104703</v>
      </c>
      <c r="C7" s="8" t="n">
        <f aca="false">'LV GP by Job'!G7+'LV GP by Job'!G8+'LV GP by Job'!G9+'LV GP by Job'!G10+'LV GP by Job'!G11</f>
        <v>-435158</v>
      </c>
      <c r="D7" s="9" t="n">
        <f aca="false">B7+C7</f>
        <v>669545</v>
      </c>
      <c r="E7" s="10" t="s">
        <v>45</v>
      </c>
    </row>
    <row r="8" customFormat="false" ht="48" hidden="false" customHeight="true" outlineLevel="0" collapsed="false">
      <c r="A8" s="17" t="s">
        <v>46</v>
      </c>
      <c r="B8" s="18" t="n">
        <f aca="false">'LV GP by Job'!D12+'LV GP by Job'!D13</f>
        <v>145922</v>
      </c>
      <c r="C8" s="18" t="n">
        <f aca="false">'LV GP by Job'!G12+'LV GP by Job'!G13</f>
        <v>396269</v>
      </c>
      <c r="D8" s="19" t="n">
        <f aca="false">B8+C8</f>
        <v>542191</v>
      </c>
      <c r="E8" s="20" t="s">
        <v>47</v>
      </c>
    </row>
    <row r="9" customFormat="false" ht="48" hidden="false" customHeight="true" outlineLevel="0" collapsed="false">
      <c r="A9" s="7" t="s">
        <v>48</v>
      </c>
      <c r="B9" s="8" t="n">
        <f aca="false">'LV GP by Job'!D14</f>
        <v>-131.460000000428</v>
      </c>
      <c r="C9" s="8" t="n">
        <f aca="false">'LV GP by Job'!G14</f>
        <v>75452.3000000001</v>
      </c>
      <c r="D9" s="9" t="n">
        <f aca="false">B9+C9</f>
        <v>75320.8399999996</v>
      </c>
      <c r="E9" s="10" t="s">
        <v>49</v>
      </c>
    </row>
    <row r="10" customFormat="false" ht="48" hidden="false" customHeight="true" outlineLevel="0" collapsed="false">
      <c r="A10" s="17" t="s">
        <v>50</v>
      </c>
      <c r="B10" s="18" t="n">
        <f aca="false">Summary!D7</f>
        <v>37404</v>
      </c>
      <c r="C10" s="18" t="n">
        <f aca="false">Summary!G7</f>
        <v>-391167.79</v>
      </c>
      <c r="D10" s="19" t="n">
        <f aca="false">B10+C10</f>
        <v>-353763.79</v>
      </c>
      <c r="E10" s="20" t="s">
        <v>51</v>
      </c>
    </row>
    <row r="11" customFormat="false" ht="48" hidden="false" customHeight="true" outlineLevel="0" collapsed="false">
      <c r="A11" s="7" t="s">
        <v>52</v>
      </c>
      <c r="B11" s="8" t="n">
        <f aca="false">Summary!D8</f>
        <v>106111.93</v>
      </c>
      <c r="C11" s="8" t="n">
        <f aca="false">Summary!G8</f>
        <v>-392689.55</v>
      </c>
      <c r="D11" s="9" t="n">
        <f aca="false">B11+C11</f>
        <v>-286577.62</v>
      </c>
      <c r="E11" s="10" t="s">
        <v>53</v>
      </c>
    </row>
    <row r="12" customFormat="false" ht="48" hidden="false" customHeight="true" outlineLevel="0" collapsed="false">
      <c r="A12" s="17" t="s">
        <v>54</v>
      </c>
      <c r="B12" s="18" t="n">
        <f aca="false">Summary!D9</f>
        <v>-532379.58</v>
      </c>
      <c r="C12" s="18" t="n">
        <f aca="false">Summary!G9</f>
        <v>-112998.48</v>
      </c>
      <c r="D12" s="19" t="n">
        <f aca="false">B12+C12</f>
        <v>-645378.06</v>
      </c>
      <c r="E12" s="20" t="s">
        <v>55</v>
      </c>
    </row>
    <row r="13" customFormat="false" ht="48" hidden="false" customHeight="true" outlineLevel="0" collapsed="false">
      <c r="A13" s="7" t="s">
        <v>56</v>
      </c>
      <c r="B13" s="8" t="n">
        <f aca="false">Summary!D10</f>
        <v>-122476.98</v>
      </c>
      <c r="C13" s="8" t="n">
        <f aca="false">Summary!G10</f>
        <v>-40246.62</v>
      </c>
      <c r="D13" s="9" t="n">
        <f aca="false">B13+C13</f>
        <v>-162723.6</v>
      </c>
      <c r="E13" s="10" t="s">
        <v>57</v>
      </c>
    </row>
    <row r="14" customFormat="false" ht="48" hidden="false" customHeight="true" outlineLevel="0" collapsed="false">
      <c r="A14" s="17" t="s">
        <v>58</v>
      </c>
      <c r="B14" s="18" t="n">
        <f aca="false">Summary!D11</f>
        <v>426514</v>
      </c>
      <c r="C14" s="18" t="n">
        <f aca="false">Summary!G11</f>
        <v>0</v>
      </c>
      <c r="D14" s="19" t="n">
        <f aca="false">B14+C14</f>
        <v>426514</v>
      </c>
      <c r="E14" s="20" t="s">
        <v>59</v>
      </c>
    </row>
    <row r="15" customFormat="false" ht="48" hidden="false" customHeight="true" outlineLevel="0" collapsed="false">
      <c r="A15" s="7" t="s">
        <v>60</v>
      </c>
      <c r="B15" s="8" t="n">
        <f aca="false">Summary!D12+Summary!D13</f>
        <v>-66784.4499999998</v>
      </c>
      <c r="C15" s="8" t="n">
        <f aca="false">Summary!G12+Summary!G13</f>
        <v>-2906.45999999999</v>
      </c>
      <c r="D15" s="9" t="n">
        <f aca="false">B15+C15</f>
        <v>-69690.9099999998</v>
      </c>
      <c r="E15" s="10" t="s">
        <v>61</v>
      </c>
    </row>
    <row r="16" customFormat="false" ht="48" hidden="false" customHeight="true" outlineLevel="0" collapsed="false">
      <c r="A16" s="17" t="s">
        <v>62</v>
      </c>
      <c r="B16" s="18" t="n">
        <f aca="false">Summary!D14</f>
        <v>0</v>
      </c>
      <c r="C16" s="18" t="n">
        <f aca="false">Summary!G14</f>
        <v>3324.19</v>
      </c>
      <c r="D16" s="19" t="n">
        <f aca="false">B16+C16</f>
        <v>3324.19</v>
      </c>
      <c r="E16" s="20" t="s">
        <v>63</v>
      </c>
    </row>
    <row r="17" customFormat="false" ht="15" hidden="false" customHeight="true" outlineLevel="0" collapsed="false">
      <c r="A17" s="21" t="s">
        <v>64</v>
      </c>
      <c r="B17" s="14" t="n">
        <f aca="false">SUM(B5:B16)</f>
        <v>1156972.45</v>
      </c>
      <c r="C17" s="14" t="n">
        <f aca="false">SUM(C5:C16)</f>
        <v>-682282.82</v>
      </c>
      <c r="D17" s="14" t="n">
        <f aca="false">SUM(D5:D16)</f>
        <v>474689.63</v>
      </c>
    </row>
    <row r="18" customFormat="false" ht="15" hidden="false" customHeight="true" outlineLevel="0" collapsed="false">
      <c r="A18" s="6" t="s">
        <v>65</v>
      </c>
      <c r="B18" s="22" t="n">
        <f aca="false">B17-B5</f>
        <v>654996.46</v>
      </c>
      <c r="C18" s="22" t="n">
        <f aca="false">C17-C5</f>
        <v>-1128262.41</v>
      </c>
      <c r="D18" s="22" t="n">
        <f aca="false">D17-D5</f>
        <v>-473265.95</v>
      </c>
    </row>
    <row r="19" customFormat="false" ht="15" hidden="false" customHeight="true" outlineLevel="0" collapsed="false">
      <c r="A19" s="15" t="s">
        <v>32</v>
      </c>
      <c r="B19" s="8" t="n">
        <f aca="false">ROUND(B17-Summary!C15,0)</f>
        <v>0</v>
      </c>
      <c r="C19" s="8" t="n">
        <f aca="false">ROUND(C17-Summary!F15,0)</f>
        <v>0</v>
      </c>
      <c r="D19" s="8" t="n">
        <f aca="false">ROUND(D17-Summary!I15,0)</f>
        <v>0</v>
      </c>
    </row>
    <row r="21" customFormat="false" ht="15" hidden="false" customHeight="true" outlineLevel="0" collapsed="false">
      <c r="A21" s="23" t="s">
        <v>66</v>
      </c>
    </row>
    <row r="22" customFormat="false" ht="31.5" hidden="false" customHeight="true" outlineLevel="0" collapsed="false">
      <c r="A22" s="24" t="s">
        <v>67</v>
      </c>
      <c r="B22" s="24"/>
      <c r="C22" s="24"/>
      <c r="D22" s="24"/>
      <c r="E22" s="24"/>
    </row>
    <row r="23" customFormat="false" ht="31.5" hidden="false" customHeight="true" outlineLevel="0" collapsed="false">
      <c r="A23" s="24" t="s">
        <v>68</v>
      </c>
      <c r="B23" s="24"/>
      <c r="C23" s="24"/>
      <c r="D23" s="24"/>
      <c r="E23" s="24"/>
    </row>
    <row r="24" customFormat="false" ht="31.5" hidden="false" customHeight="true" outlineLevel="0" collapsed="false">
      <c r="A24" s="24" t="s">
        <v>69</v>
      </c>
      <c r="B24" s="24"/>
      <c r="C24" s="24"/>
      <c r="D24" s="24"/>
      <c r="E24" s="24"/>
    </row>
    <row r="25" customFormat="false" ht="31.5" hidden="false" customHeight="true" outlineLevel="0" collapsed="false">
      <c r="A25" s="24" t="s">
        <v>70</v>
      </c>
      <c r="B25" s="24"/>
      <c r="C25" s="24"/>
      <c r="D25" s="24"/>
      <c r="E25" s="24"/>
    </row>
    <row r="26" customFormat="false" ht="31.5" hidden="false" customHeight="true" outlineLevel="0" collapsed="false">
      <c r="A26" s="10" t="s">
        <v>71</v>
      </c>
    </row>
  </sheetData>
  <mergeCells count="5">
    <mergeCell ref="A2:E2"/>
    <mergeCell ref="A22:E22"/>
    <mergeCell ref="A23:E23"/>
    <mergeCell ref="A24:E24"/>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0" min="2" style="1" width="13"/>
    <col collapsed="false" customWidth="true" hidden="false" outlineLevel="0" max="11" min="11" style="1" width="80"/>
  </cols>
  <sheetData>
    <row r="1" customFormat="false" ht="19.5" hidden="false" customHeight="true" outlineLevel="0" collapsed="false">
      <c r="A1" s="2" t="s">
        <v>72</v>
      </c>
    </row>
    <row r="2" customFormat="false" ht="27.75" hidden="false" customHeight="true" outlineLevel="0" collapsed="false">
      <c r="A2" s="3" t="s">
        <v>73</v>
      </c>
      <c r="B2" s="3"/>
      <c r="C2" s="3"/>
      <c r="D2" s="3"/>
      <c r="E2" s="3"/>
      <c r="F2" s="3"/>
      <c r="G2" s="3"/>
      <c r="H2" s="3"/>
      <c r="I2" s="3"/>
      <c r="J2" s="3"/>
      <c r="K2" s="3"/>
    </row>
    <row r="4" customFormat="false" ht="15" hidden="false" customHeight="true" outlineLevel="0" collapsed="false">
      <c r="B4" s="25" t="s">
        <v>36</v>
      </c>
      <c r="C4" s="25"/>
      <c r="D4" s="25"/>
      <c r="E4" s="25" t="s">
        <v>37</v>
      </c>
      <c r="F4" s="25"/>
      <c r="G4" s="25"/>
      <c r="H4" s="25" t="s">
        <v>74</v>
      </c>
      <c r="I4" s="25"/>
      <c r="J4" s="25"/>
    </row>
    <row r="5" customFormat="false" ht="30" hidden="false" customHeight="true" outlineLevel="0" collapsed="false">
      <c r="A5" s="4" t="s">
        <v>2</v>
      </c>
      <c r="B5" s="5" t="s">
        <v>75</v>
      </c>
      <c r="C5" s="5" t="s">
        <v>76</v>
      </c>
      <c r="D5" s="5" t="s">
        <v>5</v>
      </c>
      <c r="E5" s="5" t="s">
        <v>75</v>
      </c>
      <c r="F5" s="5" t="s">
        <v>77</v>
      </c>
      <c r="G5" s="5" t="s">
        <v>5</v>
      </c>
      <c r="H5" s="5" t="s">
        <v>75</v>
      </c>
      <c r="I5" s="5" t="s">
        <v>77</v>
      </c>
      <c r="J5" s="5" t="s">
        <v>5</v>
      </c>
      <c r="K5" s="5" t="s">
        <v>78</v>
      </c>
    </row>
    <row r="6" customFormat="false" ht="61.5" hidden="false" customHeight="true" outlineLevel="0" collapsed="false">
      <c r="A6" s="7" t="s">
        <v>79</v>
      </c>
      <c r="B6" s="26" t="n">
        <v>4143426.93</v>
      </c>
      <c r="C6" s="26" t="n">
        <v>4950034.47</v>
      </c>
      <c r="D6" s="8" t="n">
        <f aca="false">C6-B6</f>
        <v>806607.54</v>
      </c>
      <c r="E6" s="26" t="n">
        <v>1678865.02</v>
      </c>
      <c r="F6" s="26" t="n">
        <v>1487287.32</v>
      </c>
      <c r="G6" s="8" t="n">
        <f aca="false">F6-E6</f>
        <v>-191577.7</v>
      </c>
      <c r="H6" s="8" t="n">
        <f aca="false">B6+E6</f>
        <v>5822291.95</v>
      </c>
      <c r="I6" s="8" t="n">
        <f aca="false">C6+F6</f>
        <v>6437321.79</v>
      </c>
      <c r="J6" s="9" t="n">
        <f aca="false">I6-H6</f>
        <v>615029.84</v>
      </c>
      <c r="K6" s="10" t="s">
        <v>80</v>
      </c>
    </row>
    <row r="7" customFormat="false" ht="61.5" hidden="false" customHeight="true" outlineLevel="0" collapsed="false">
      <c r="A7" s="17" t="s">
        <v>81</v>
      </c>
      <c r="B7" s="27" t="n">
        <v>0</v>
      </c>
      <c r="C7" s="27" t="n">
        <v>37404</v>
      </c>
      <c r="D7" s="18" t="n">
        <f aca="false">C7-B7</f>
        <v>37404</v>
      </c>
      <c r="E7" s="27" t="n">
        <v>0</v>
      </c>
      <c r="F7" s="27" t="n">
        <v>-391167.79</v>
      </c>
      <c r="G7" s="18" t="n">
        <f aca="false">F7-E7</f>
        <v>-391167.79</v>
      </c>
      <c r="H7" s="18" t="n">
        <f aca="false">B7+E7</f>
        <v>0</v>
      </c>
      <c r="I7" s="18" t="n">
        <f aca="false">C7+F7</f>
        <v>-353763.79</v>
      </c>
      <c r="J7" s="19" t="n">
        <f aca="false">I7-H7</f>
        <v>-353763.79</v>
      </c>
      <c r="K7" s="20" t="s">
        <v>82</v>
      </c>
    </row>
    <row r="8" customFormat="false" ht="61.5" hidden="false" customHeight="true" outlineLevel="0" collapsed="false">
      <c r="A8" s="7" t="s">
        <v>83</v>
      </c>
      <c r="B8" s="26" t="n">
        <v>-2074487.58</v>
      </c>
      <c r="C8" s="26" t="n">
        <v>-1968375.65</v>
      </c>
      <c r="D8" s="8" t="n">
        <f aca="false">C8-B8</f>
        <v>106111.93</v>
      </c>
      <c r="E8" s="26" t="n">
        <v>-691495.86</v>
      </c>
      <c r="F8" s="26" t="n">
        <v>-1084185.41</v>
      </c>
      <c r="G8" s="8" t="n">
        <f aca="false">F8-E8</f>
        <v>-392689.55</v>
      </c>
      <c r="H8" s="8" t="n">
        <f aca="false">B8+E8</f>
        <v>-2765983.44</v>
      </c>
      <c r="I8" s="8" t="n">
        <f aca="false">C8+F8</f>
        <v>-3052561.06</v>
      </c>
      <c r="J8" s="9" t="n">
        <f aca="false">I8-H8</f>
        <v>-286577.62</v>
      </c>
      <c r="K8" s="10" t="s">
        <v>84</v>
      </c>
    </row>
    <row r="9" customFormat="false" ht="61.5" hidden="false" customHeight="true" outlineLevel="0" collapsed="false">
      <c r="A9" s="17" t="s">
        <v>54</v>
      </c>
      <c r="B9" s="27" t="n">
        <v>-294299.1</v>
      </c>
      <c r="C9" s="27" t="n">
        <v>-826678.68</v>
      </c>
      <c r="D9" s="18" t="n">
        <f aca="false">C9-B9</f>
        <v>-532379.58</v>
      </c>
      <c r="E9" s="27" t="n">
        <v>-99399</v>
      </c>
      <c r="F9" s="27" t="n">
        <v>-212397.48</v>
      </c>
      <c r="G9" s="18" t="n">
        <f aca="false">F9-E9</f>
        <v>-112998.48</v>
      </c>
      <c r="H9" s="18" t="n">
        <f aca="false">B9+E9</f>
        <v>-393698.1</v>
      </c>
      <c r="I9" s="18" t="n">
        <f aca="false">C9+F9</f>
        <v>-1039076.16</v>
      </c>
      <c r="J9" s="19" t="n">
        <f aca="false">I9-H9</f>
        <v>-645378.06</v>
      </c>
      <c r="K9" s="20" t="s">
        <v>85</v>
      </c>
    </row>
    <row r="10" customFormat="false" ht="61.5" hidden="false" customHeight="true" outlineLevel="0" collapsed="false">
      <c r="A10" s="7" t="s">
        <v>86</v>
      </c>
      <c r="B10" s="26" t="n">
        <v>499641.54</v>
      </c>
      <c r="C10" s="26" t="n">
        <v>377164.56</v>
      </c>
      <c r="D10" s="8" t="n">
        <f aca="false">C10-B10</f>
        <v>-122476.98</v>
      </c>
      <c r="E10" s="26" t="n">
        <v>147740.37</v>
      </c>
      <c r="F10" s="26" t="n">
        <v>107493.75</v>
      </c>
      <c r="G10" s="8" t="n">
        <f aca="false">F10-E10</f>
        <v>-40246.62</v>
      </c>
      <c r="H10" s="8" t="n">
        <f aca="false">B10+E10</f>
        <v>647381.91</v>
      </c>
      <c r="I10" s="8" t="n">
        <f aca="false">C10+F10</f>
        <v>484658.31</v>
      </c>
      <c r="J10" s="9" t="n">
        <f aca="false">I10-H10</f>
        <v>-162723.6</v>
      </c>
      <c r="K10" s="10" t="s">
        <v>87</v>
      </c>
    </row>
    <row r="11" customFormat="false" ht="61.5" hidden="false" customHeight="true" outlineLevel="0" collapsed="false">
      <c r="A11" s="17" t="s">
        <v>58</v>
      </c>
      <c r="B11" s="27" t="n">
        <v>0</v>
      </c>
      <c r="C11" s="27" t="n">
        <v>426514</v>
      </c>
      <c r="D11" s="18" t="n">
        <f aca="false">C11-B11</f>
        <v>426514</v>
      </c>
      <c r="E11" s="27" t="n">
        <v>0</v>
      </c>
      <c r="F11" s="27" t="n">
        <v>0</v>
      </c>
      <c r="G11" s="18" t="n">
        <f aca="false">F11-E11</f>
        <v>0</v>
      </c>
      <c r="H11" s="18" t="n">
        <f aca="false">B11+E11</f>
        <v>0</v>
      </c>
      <c r="I11" s="18" t="n">
        <f aca="false">C11+F11</f>
        <v>426514</v>
      </c>
      <c r="J11" s="19" t="n">
        <f aca="false">I11-H11</f>
        <v>426514</v>
      </c>
      <c r="K11" s="20" t="s">
        <v>88</v>
      </c>
    </row>
    <row r="12" customFormat="false" ht="61.5" hidden="false" customHeight="true" outlineLevel="0" collapsed="false">
      <c r="A12" s="7" t="s">
        <v>89</v>
      </c>
      <c r="B12" s="26" t="n">
        <v>-1494541.32</v>
      </c>
      <c r="C12" s="26" t="n">
        <v>-1555123.38</v>
      </c>
      <c r="D12" s="8" t="n">
        <f aca="false">C12-B12</f>
        <v>-60582.0599999998</v>
      </c>
      <c r="E12" s="26" t="n">
        <v>-495916.44</v>
      </c>
      <c r="F12" s="26" t="n">
        <v>-498601.5</v>
      </c>
      <c r="G12" s="8" t="n">
        <f aca="false">F12-E12</f>
        <v>-2685.06</v>
      </c>
      <c r="H12" s="8" t="n">
        <f aca="false">B12+E12</f>
        <v>-1990457.76</v>
      </c>
      <c r="I12" s="8" t="n">
        <f aca="false">C12+F12</f>
        <v>-2053724.88</v>
      </c>
      <c r="J12" s="9" t="n">
        <f aca="false">I12-H12</f>
        <v>-63267.1199999999</v>
      </c>
      <c r="K12" s="10" t="s">
        <v>90</v>
      </c>
    </row>
    <row r="13" customFormat="false" ht="61.5" hidden="false" customHeight="true" outlineLevel="0" collapsed="false">
      <c r="A13" s="17" t="s">
        <v>91</v>
      </c>
      <c r="B13" s="27" t="n">
        <v>-277764.48</v>
      </c>
      <c r="C13" s="27" t="n">
        <v>-283966.87</v>
      </c>
      <c r="D13" s="18" t="n">
        <f aca="false">C13-B13</f>
        <v>-6202.39000000001</v>
      </c>
      <c r="E13" s="27" t="n">
        <v>-93814.5</v>
      </c>
      <c r="F13" s="27" t="n">
        <v>-94035.9</v>
      </c>
      <c r="G13" s="18" t="n">
        <f aca="false">F13-E13</f>
        <v>-221.399999999994</v>
      </c>
      <c r="H13" s="18" t="n">
        <f aca="false">B13+E13</f>
        <v>-371578.98</v>
      </c>
      <c r="I13" s="18" t="n">
        <f aca="false">C13+F13</f>
        <v>-378002.77</v>
      </c>
      <c r="J13" s="19" t="n">
        <f aca="false">I13-H13</f>
        <v>-6423.79000000004</v>
      </c>
      <c r="K13" s="20" t="s">
        <v>25</v>
      </c>
    </row>
    <row r="14" customFormat="false" ht="61.5" hidden="false" customHeight="true" outlineLevel="0" collapsed="false">
      <c r="A14" s="7" t="s">
        <v>92</v>
      </c>
      <c r="B14" s="26" t="n">
        <v>0</v>
      </c>
      <c r="C14" s="26" t="n">
        <v>0</v>
      </c>
      <c r="D14" s="8" t="n">
        <f aca="false">C14-B14</f>
        <v>0</v>
      </c>
      <c r="E14" s="26" t="n">
        <v>0</v>
      </c>
      <c r="F14" s="26" t="n">
        <v>3324.19</v>
      </c>
      <c r="G14" s="8" t="n">
        <f aca="false">F14-E14</f>
        <v>3324.19</v>
      </c>
      <c r="H14" s="8" t="n">
        <f aca="false">B14+E14</f>
        <v>0</v>
      </c>
      <c r="I14" s="8" t="n">
        <f aca="false">C14+F14</f>
        <v>3324.19</v>
      </c>
      <c r="J14" s="9" t="n">
        <f aca="false">I14-H14</f>
        <v>3324.19</v>
      </c>
      <c r="K14" s="10" t="s">
        <v>29</v>
      </c>
    </row>
    <row r="15" customFormat="false" ht="15" hidden="false" customHeight="true" outlineLevel="0" collapsed="false">
      <c r="A15" s="21" t="s">
        <v>30</v>
      </c>
      <c r="B15" s="14" t="n">
        <f aca="false">SUM(B6:B14)</f>
        <v>501975.99</v>
      </c>
      <c r="C15" s="14" t="n">
        <f aca="false">SUM(C6:C14)</f>
        <v>1156972.45</v>
      </c>
      <c r="D15" s="14" t="n">
        <f aca="false">SUM(D6:D14)</f>
        <v>654996.46</v>
      </c>
      <c r="E15" s="14" t="n">
        <f aca="false">SUM(E6:E14)</f>
        <v>445979.59</v>
      </c>
      <c r="F15" s="14" t="n">
        <f aca="false">SUM(F6:F14)</f>
        <v>-682282.82</v>
      </c>
      <c r="G15" s="14" t="n">
        <f aca="false">SUM(G6:G14)</f>
        <v>-1128262.41</v>
      </c>
      <c r="H15" s="14" t="n">
        <f aca="false">SUM(H6:H14)</f>
        <v>947955.58</v>
      </c>
      <c r="I15" s="14" t="n">
        <f aca="false">SUM(I6:I14)</f>
        <v>474689.630000001</v>
      </c>
      <c r="J15" s="14" t="n">
        <f aca="false">SUM(J6:J14)</f>
        <v>-473265.95</v>
      </c>
    </row>
    <row r="16" customFormat="false" ht="15" hidden="false" customHeight="true" outlineLevel="0" collapsed="false">
      <c r="A16" s="15" t="s">
        <v>93</v>
      </c>
      <c r="B16" s="28" t="n">
        <v>501975.99</v>
      </c>
      <c r="C16" s="28" t="n">
        <v>1156972.45</v>
      </c>
      <c r="E16" s="28" t="n">
        <v>445979.59</v>
      </c>
      <c r="F16" s="28" t="n">
        <v>-682282.82</v>
      </c>
      <c r="H16" s="8" t="n">
        <f aca="false">B16+E16</f>
        <v>947955.58</v>
      </c>
      <c r="I16" s="8" t="n">
        <f aca="false">C16+F16</f>
        <v>474689.63</v>
      </c>
      <c r="K16" s="10" t="s">
        <v>94</v>
      </c>
    </row>
    <row r="17" customFormat="false" ht="15" hidden="false" customHeight="true" outlineLevel="0" collapsed="false">
      <c r="A17" s="15" t="s">
        <v>95</v>
      </c>
      <c r="B17" s="8" t="n">
        <f aca="false">ROUND(B15-B16,0)</f>
        <v>0</v>
      </c>
      <c r="C17" s="8" t="n">
        <f aca="false">ROUND(C15-C16,0)</f>
        <v>0</v>
      </c>
      <c r="E17" s="8" t="n">
        <f aca="false">ROUND(E15-E16,0)</f>
        <v>0</v>
      </c>
      <c r="F17" s="8" t="n">
        <f aca="false">ROUND(F15-F16,0)</f>
        <v>0</v>
      </c>
      <c r="H17" s="8" t="n">
        <f aca="false">ROUND(H15-H16,0)</f>
        <v>0</v>
      </c>
      <c r="I17" s="8" t="n">
        <f aca="false">ROUND(I15-I16,0)</f>
        <v>0</v>
      </c>
    </row>
  </sheetData>
  <mergeCells count="4">
    <mergeCell ref="A2:K2"/>
    <mergeCell ref="B4:D4"/>
    <mergeCell ref="E4:G4"/>
    <mergeCell ref="H4:J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10" min="2" style="1" width="13"/>
    <col collapsed="false" customWidth="true" hidden="false" outlineLevel="0" max="11" min="11" style="1" width="70"/>
  </cols>
  <sheetData>
    <row r="1" customFormat="false" ht="19.5" hidden="false" customHeight="true" outlineLevel="0" collapsed="false">
      <c r="A1" s="2" t="s">
        <v>96</v>
      </c>
    </row>
    <row r="2" customFormat="false" ht="39.75" hidden="false" customHeight="true" outlineLevel="0" collapsed="false">
      <c r="A2" s="3" t="s">
        <v>97</v>
      </c>
      <c r="B2" s="3"/>
      <c r="C2" s="3"/>
      <c r="D2" s="3"/>
      <c r="E2" s="3"/>
      <c r="F2" s="3"/>
      <c r="G2" s="3"/>
      <c r="H2" s="3"/>
      <c r="I2" s="3"/>
      <c r="J2" s="3"/>
      <c r="K2" s="3"/>
    </row>
    <row r="4" customFormat="false" ht="15" hidden="false" customHeight="true" outlineLevel="0" collapsed="false">
      <c r="B4" s="25" t="s">
        <v>36</v>
      </c>
      <c r="C4" s="25"/>
      <c r="D4" s="25"/>
      <c r="E4" s="25" t="s">
        <v>37</v>
      </c>
      <c r="F4" s="25"/>
      <c r="G4" s="25"/>
      <c r="H4" s="25" t="s">
        <v>74</v>
      </c>
      <c r="I4" s="25"/>
      <c r="J4" s="25"/>
    </row>
    <row r="5" customFormat="false" ht="30" hidden="false" customHeight="true" outlineLevel="0" collapsed="false">
      <c r="A5" s="4" t="s">
        <v>98</v>
      </c>
      <c r="B5" s="5" t="s">
        <v>75</v>
      </c>
      <c r="C5" s="5" t="s">
        <v>76</v>
      </c>
      <c r="D5" s="5" t="s">
        <v>5</v>
      </c>
      <c r="E5" s="5" t="s">
        <v>75</v>
      </c>
      <c r="F5" s="5" t="s">
        <v>77</v>
      </c>
      <c r="G5" s="5" t="s">
        <v>5</v>
      </c>
      <c r="H5" s="5" t="s">
        <v>75</v>
      </c>
      <c r="I5" s="5" t="s">
        <v>77</v>
      </c>
      <c r="J5" s="5" t="s">
        <v>5</v>
      </c>
      <c r="K5" s="5" t="s">
        <v>99</v>
      </c>
    </row>
    <row r="6" customFormat="false" ht="30" hidden="false" customHeight="true" outlineLevel="0" collapsed="false">
      <c r="A6" s="7" t="s">
        <v>100</v>
      </c>
      <c r="B6" s="26" t="n">
        <v>764527</v>
      </c>
      <c r="C6" s="26" t="n">
        <v>320641</v>
      </c>
      <c r="D6" s="8" t="n">
        <f aca="false">C6-B6</f>
        <v>-443886</v>
      </c>
      <c r="E6" s="26" t="n">
        <v>534528</v>
      </c>
      <c r="F6" s="26" t="n">
        <v>306387</v>
      </c>
      <c r="G6" s="8" t="n">
        <f aca="false">F6-E6</f>
        <v>-228141</v>
      </c>
      <c r="H6" s="8" t="n">
        <f aca="false">B6+E6</f>
        <v>1299055</v>
      </c>
      <c r="I6" s="8" t="n">
        <f aca="false">C6+F6</f>
        <v>627028</v>
      </c>
      <c r="J6" s="9" t="n">
        <f aca="false">I6-H6</f>
        <v>-672027</v>
      </c>
      <c r="K6" s="10" t="s">
        <v>101</v>
      </c>
    </row>
    <row r="7" customFormat="false" ht="30" hidden="false" customHeight="true" outlineLevel="0" collapsed="false">
      <c r="A7" s="17" t="s">
        <v>102</v>
      </c>
      <c r="B7" s="27" t="n">
        <v>570931</v>
      </c>
      <c r="C7" s="27" t="n">
        <v>849821</v>
      </c>
      <c r="D7" s="18" t="n">
        <f aca="false">C7-B7</f>
        <v>278890</v>
      </c>
      <c r="E7" s="27" t="n">
        <v>96383</v>
      </c>
      <c r="F7" s="27" t="n">
        <v>-1288</v>
      </c>
      <c r="G7" s="18" t="n">
        <f aca="false">F7-E7</f>
        <v>-97671</v>
      </c>
      <c r="H7" s="18" t="n">
        <f aca="false">B7+E7</f>
        <v>667314</v>
      </c>
      <c r="I7" s="18" t="n">
        <f aca="false">C7+F7</f>
        <v>848533</v>
      </c>
      <c r="J7" s="19" t="n">
        <f aca="false">I7-H7</f>
        <v>181219</v>
      </c>
      <c r="K7" s="20" t="s">
        <v>103</v>
      </c>
    </row>
    <row r="8" customFormat="false" ht="30" hidden="false" customHeight="true" outlineLevel="0" collapsed="false">
      <c r="A8" s="7" t="s">
        <v>104</v>
      </c>
      <c r="B8" s="26" t="n">
        <v>967731</v>
      </c>
      <c r="C8" s="26" t="n">
        <v>1388965</v>
      </c>
      <c r="D8" s="8" t="n">
        <f aca="false">C8-B8</f>
        <v>421234</v>
      </c>
      <c r="E8" s="26" t="n">
        <v>339026</v>
      </c>
      <c r="F8" s="26" t="n">
        <v>185788</v>
      </c>
      <c r="G8" s="8" t="n">
        <f aca="false">F8-E8</f>
        <v>-153238</v>
      </c>
      <c r="H8" s="8" t="n">
        <f aca="false">B8+E8</f>
        <v>1306757</v>
      </c>
      <c r="I8" s="8" t="n">
        <f aca="false">C8+F8</f>
        <v>1574753</v>
      </c>
      <c r="J8" s="9" t="n">
        <f aca="false">I8-H8</f>
        <v>267996</v>
      </c>
      <c r="K8" s="10" t="s">
        <v>105</v>
      </c>
    </row>
    <row r="9" customFormat="false" ht="30" hidden="false" customHeight="true" outlineLevel="0" collapsed="false">
      <c r="A9" s="17" t="s">
        <v>106</v>
      </c>
      <c r="B9" s="27" t="n">
        <v>734724</v>
      </c>
      <c r="C9" s="27" t="n">
        <v>943558</v>
      </c>
      <c r="D9" s="18" t="n">
        <f aca="false">C9-B9</f>
        <v>208834</v>
      </c>
      <c r="E9" s="27" t="n">
        <v>284423</v>
      </c>
      <c r="F9" s="27" t="n">
        <v>201669</v>
      </c>
      <c r="G9" s="18" t="n">
        <f aca="false">F9-E9</f>
        <v>-82754</v>
      </c>
      <c r="H9" s="18" t="n">
        <f aca="false">B9+E9</f>
        <v>1019147</v>
      </c>
      <c r="I9" s="18" t="n">
        <f aca="false">C9+F9</f>
        <v>1145227</v>
      </c>
      <c r="J9" s="19" t="n">
        <f aca="false">I9-H9</f>
        <v>126080</v>
      </c>
      <c r="K9" s="20" t="s">
        <v>107</v>
      </c>
    </row>
    <row r="10" customFormat="false" ht="30" hidden="false" customHeight="true" outlineLevel="0" collapsed="false">
      <c r="A10" s="7" t="s">
        <v>108</v>
      </c>
      <c r="B10" s="26" t="n">
        <v>820840</v>
      </c>
      <c r="C10" s="26" t="n">
        <v>1052962</v>
      </c>
      <c r="D10" s="8" t="n">
        <f aca="false">C10-B10</f>
        <v>232122</v>
      </c>
      <c r="E10" s="26" t="n">
        <v>317759</v>
      </c>
      <c r="F10" s="26" t="n">
        <v>188277</v>
      </c>
      <c r="G10" s="8" t="n">
        <f aca="false">F10-E10</f>
        <v>-129482</v>
      </c>
      <c r="H10" s="8" t="n">
        <f aca="false">B10+E10</f>
        <v>1138599</v>
      </c>
      <c r="I10" s="8" t="n">
        <f aca="false">C10+F10</f>
        <v>1241239</v>
      </c>
      <c r="J10" s="9" t="n">
        <f aca="false">I10-H10</f>
        <v>102640</v>
      </c>
      <c r="K10" s="10" t="s">
        <v>109</v>
      </c>
    </row>
    <row r="11" customFormat="false" ht="30" hidden="false" customHeight="true" outlineLevel="0" collapsed="false">
      <c r="A11" s="17" t="s">
        <v>110</v>
      </c>
      <c r="B11" s="27" t="n">
        <v>284673</v>
      </c>
      <c r="C11" s="27" t="n">
        <v>248296</v>
      </c>
      <c r="D11" s="18" t="n">
        <f aca="false">C11-B11</f>
        <v>-36377</v>
      </c>
      <c r="E11" s="27" t="n">
        <v>106746</v>
      </c>
      <c r="F11" s="27" t="n">
        <v>134733</v>
      </c>
      <c r="G11" s="18" t="n">
        <f aca="false">F11-E11</f>
        <v>27987</v>
      </c>
      <c r="H11" s="18" t="n">
        <f aca="false">B11+E11</f>
        <v>391419</v>
      </c>
      <c r="I11" s="18" t="n">
        <f aca="false">C11+F11</f>
        <v>383029</v>
      </c>
      <c r="J11" s="19" t="n">
        <f aca="false">I11-H11</f>
        <v>-8390</v>
      </c>
      <c r="K11" s="20" t="s">
        <v>111</v>
      </c>
    </row>
    <row r="12" customFormat="false" ht="30" hidden="false" customHeight="true" outlineLevel="0" collapsed="false">
      <c r="A12" s="7" t="s">
        <v>112</v>
      </c>
      <c r="B12" s="26" t="n">
        <v>0</v>
      </c>
      <c r="C12" s="26" t="n">
        <v>66270</v>
      </c>
      <c r="D12" s="8" t="n">
        <f aca="false">C12-B12</f>
        <v>66270</v>
      </c>
      <c r="E12" s="26" t="n">
        <v>0</v>
      </c>
      <c r="F12" s="26" t="n">
        <v>221423</v>
      </c>
      <c r="G12" s="8" t="n">
        <f aca="false">F12-E12</f>
        <v>221423</v>
      </c>
      <c r="H12" s="8" t="n">
        <f aca="false">B12+E12</f>
        <v>0</v>
      </c>
      <c r="I12" s="8" t="n">
        <f aca="false">C12+F12</f>
        <v>287693</v>
      </c>
      <c r="J12" s="9" t="n">
        <f aca="false">I12-H12</f>
        <v>287693</v>
      </c>
      <c r="K12" s="10" t="s">
        <v>113</v>
      </c>
    </row>
    <row r="13" customFormat="false" ht="30" hidden="false" customHeight="true" outlineLevel="0" collapsed="false">
      <c r="A13" s="17" t="s">
        <v>114</v>
      </c>
      <c r="B13" s="27" t="n">
        <v>0</v>
      </c>
      <c r="C13" s="27" t="n">
        <v>79652</v>
      </c>
      <c r="D13" s="18" t="n">
        <f aca="false">C13-B13</f>
        <v>79652</v>
      </c>
      <c r="E13" s="27" t="n">
        <v>0</v>
      </c>
      <c r="F13" s="27" t="n">
        <v>174846</v>
      </c>
      <c r="G13" s="18" t="n">
        <f aca="false">F13-E13</f>
        <v>174846</v>
      </c>
      <c r="H13" s="18" t="n">
        <f aca="false">B13+E13</f>
        <v>0</v>
      </c>
      <c r="I13" s="18" t="n">
        <f aca="false">C13+F13</f>
        <v>254498</v>
      </c>
      <c r="J13" s="19" t="n">
        <f aca="false">I13-H13</f>
        <v>254498</v>
      </c>
      <c r="K13" s="20" t="s">
        <v>115</v>
      </c>
    </row>
    <row r="14" customFormat="false" ht="42" hidden="false" customHeight="true" outlineLevel="0" collapsed="false">
      <c r="A14" s="7" t="s">
        <v>116</v>
      </c>
      <c r="B14" s="8" t="n">
        <f aca="false">Summary!B6-SUM(B6:B13)</f>
        <v>0.930000000167638</v>
      </c>
      <c r="C14" s="8" t="n">
        <f aca="false">Summary!C6-SUM(C6:C13)</f>
        <v>-130.530000000261</v>
      </c>
      <c r="D14" s="8" t="n">
        <f aca="false">C14-B14</f>
        <v>-131.460000000428</v>
      </c>
      <c r="E14" s="8" t="n">
        <f aca="false">Summary!E6-SUM(E6:E13)</f>
        <v>0.0200000000186265</v>
      </c>
      <c r="F14" s="8" t="n">
        <f aca="false">Summary!F6-SUM(F6:F13)</f>
        <v>75452.3200000001</v>
      </c>
      <c r="G14" s="8" t="n">
        <f aca="false">F14-E14</f>
        <v>75452.3000000001</v>
      </c>
      <c r="H14" s="8" t="n">
        <f aca="false">B14+E14</f>
        <v>0.950000000186265</v>
      </c>
      <c r="I14" s="8" t="n">
        <f aca="false">C14+F14</f>
        <v>75321.7899999998</v>
      </c>
      <c r="J14" s="9" t="n">
        <f aca="false">I14-H14</f>
        <v>75320.8399999996</v>
      </c>
      <c r="K14" s="10" t="s">
        <v>117</v>
      </c>
    </row>
    <row r="15" customFormat="false" ht="15" hidden="false" customHeight="true" outlineLevel="0" collapsed="false">
      <c r="A15" s="29" t="s">
        <v>118</v>
      </c>
      <c r="B15" s="14" t="n">
        <f aca="false">SUM(B6:B14)</f>
        <v>4143426.93</v>
      </c>
      <c r="C15" s="14" t="n">
        <f aca="false">SUM(C6:C14)</f>
        <v>4950034.47</v>
      </c>
      <c r="D15" s="14" t="n">
        <f aca="false">SUM(D6:D14)</f>
        <v>806607.54</v>
      </c>
      <c r="E15" s="14" t="n">
        <f aca="false">SUM(E6:E14)</f>
        <v>1678865.02</v>
      </c>
      <c r="F15" s="14" t="n">
        <f aca="false">SUM(F6:F14)</f>
        <v>1487287.32</v>
      </c>
      <c r="G15" s="14" t="n">
        <f aca="false">SUM(G6:G14)</f>
        <v>-191577.7</v>
      </c>
      <c r="H15" s="14" t="n">
        <f aca="false">SUM(H6:H14)</f>
        <v>5822291.95</v>
      </c>
      <c r="I15" s="14" t="n">
        <f aca="false">SUM(I6:I14)</f>
        <v>6437321.79</v>
      </c>
      <c r="J15" s="14" t="n">
        <f aca="false">SUM(J6:J14)</f>
        <v>615029.84</v>
      </c>
    </row>
  </sheetData>
  <mergeCells count="4">
    <mergeCell ref="A2:K2"/>
    <mergeCell ref="B4:D4"/>
    <mergeCell ref="E4:G4"/>
    <mergeCell ref="H4:J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9" min="2" style="1" width="14"/>
  </cols>
  <sheetData>
    <row r="1" customFormat="false" ht="19.5" hidden="false" customHeight="true" outlineLevel="0" collapsed="false">
      <c r="A1" s="2" t="s">
        <v>119</v>
      </c>
    </row>
    <row r="2" customFormat="false" ht="27.75" hidden="false" customHeight="true" outlineLevel="0" collapsed="false">
      <c r="A2" s="3" t="s">
        <v>120</v>
      </c>
      <c r="B2" s="3"/>
      <c r="C2" s="3"/>
      <c r="D2" s="3"/>
      <c r="E2" s="3"/>
      <c r="F2" s="3"/>
      <c r="G2" s="3"/>
      <c r="H2" s="3"/>
      <c r="I2" s="3"/>
    </row>
    <row r="4" customFormat="false" ht="30" hidden="false" customHeight="true" outlineLevel="0" collapsed="false">
      <c r="A4" s="4" t="s">
        <v>121</v>
      </c>
      <c r="B4" s="5" t="s">
        <v>122</v>
      </c>
      <c r="C4" s="5" t="s">
        <v>123</v>
      </c>
      <c r="D4" s="5" t="s">
        <v>124</v>
      </c>
      <c r="E4" s="5" t="s">
        <v>125</v>
      </c>
      <c r="F4" s="5" t="s">
        <v>126</v>
      </c>
      <c r="G4" s="5" t="s">
        <v>127</v>
      </c>
      <c r="H4" s="5" t="s">
        <v>128</v>
      </c>
      <c r="I4" s="5" t="s">
        <v>129</v>
      </c>
    </row>
    <row r="5" customFormat="false" ht="15" hidden="false" customHeight="true" outlineLevel="0" collapsed="false">
      <c r="A5" s="6" t="s">
        <v>7</v>
      </c>
    </row>
    <row r="6" customFormat="false" ht="15" hidden="false" customHeight="true" outlineLevel="0" collapsed="false">
      <c r="A6" s="7" t="s">
        <v>130</v>
      </c>
      <c r="B6" s="26" t="n">
        <v>-1586250</v>
      </c>
      <c r="C6" s="26" t="n">
        <v>-1813500</v>
      </c>
      <c r="D6" s="26" t="n">
        <v>-528750</v>
      </c>
      <c r="E6" s="26" t="n">
        <v>-892226</v>
      </c>
      <c r="F6" s="8" t="n">
        <f aca="false">B6+D6</f>
        <v>-2115000</v>
      </c>
      <c r="G6" s="8" t="n">
        <f aca="false">C6+E6</f>
        <v>-2705726</v>
      </c>
      <c r="H6" s="9" t="n">
        <f aca="false">G6-F6</f>
        <v>-590726</v>
      </c>
      <c r="I6" s="8" t="n">
        <f aca="false">E6-D6</f>
        <v>-363476</v>
      </c>
    </row>
    <row r="7" customFormat="false" ht="15" hidden="false" customHeight="true" outlineLevel="0" collapsed="false">
      <c r="A7" s="17" t="s">
        <v>131</v>
      </c>
      <c r="B7" s="27" t="n">
        <v>-237938</v>
      </c>
      <c r="C7" s="27" t="n">
        <v>-138159</v>
      </c>
      <c r="D7" s="27" t="n">
        <v>-79312</v>
      </c>
      <c r="E7" s="27" t="n">
        <v>-68581</v>
      </c>
      <c r="F7" s="18" t="n">
        <f aca="false">B7+D7</f>
        <v>-317250</v>
      </c>
      <c r="G7" s="18" t="n">
        <f aca="false">C7+E7</f>
        <v>-206740</v>
      </c>
      <c r="H7" s="19" t="n">
        <f aca="false">G7-F7</f>
        <v>110510</v>
      </c>
      <c r="I7" s="18" t="n">
        <f aca="false">E7-D7</f>
        <v>10731</v>
      </c>
    </row>
    <row r="8" customFormat="false" ht="15" hidden="false" customHeight="true" outlineLevel="0" collapsed="false">
      <c r="A8" s="7" t="s">
        <v>132</v>
      </c>
      <c r="B8" s="26" t="n">
        <v>-225645</v>
      </c>
      <c r="C8" s="26" t="n">
        <v>-63206</v>
      </c>
      <c r="D8" s="26" t="n">
        <v>-75215</v>
      </c>
      <c r="E8" s="26" t="n">
        <v>-34290</v>
      </c>
      <c r="F8" s="8" t="n">
        <f aca="false">B8+D8</f>
        <v>-300860</v>
      </c>
      <c r="G8" s="8" t="n">
        <f aca="false">C8+E8</f>
        <v>-97496</v>
      </c>
      <c r="H8" s="9" t="n">
        <f aca="false">G8-F8</f>
        <v>203364</v>
      </c>
      <c r="I8" s="8" t="n">
        <f aca="false">E8-D8</f>
        <v>40925</v>
      </c>
    </row>
    <row r="9" customFormat="false" ht="15" hidden="false" customHeight="true" outlineLevel="0" collapsed="false">
      <c r="A9" s="17" t="s">
        <v>133</v>
      </c>
      <c r="B9" s="27" t="n">
        <v>-15583</v>
      </c>
      <c r="C9" s="27" t="n">
        <v>-7095</v>
      </c>
      <c r="D9" s="27" t="n">
        <v>-5194</v>
      </c>
      <c r="E9" s="27" t="n">
        <v>-2939</v>
      </c>
      <c r="F9" s="18" t="n">
        <f aca="false">B9+D9</f>
        <v>-20777</v>
      </c>
      <c r="G9" s="18" t="n">
        <f aca="false">C9+E9</f>
        <v>-10034</v>
      </c>
      <c r="H9" s="19" t="n">
        <f aca="false">G9-F9</f>
        <v>10743</v>
      </c>
      <c r="I9" s="18" t="n">
        <f aca="false">E9-D9</f>
        <v>2255</v>
      </c>
    </row>
    <row r="10" customFormat="false" ht="15" hidden="false" customHeight="true" outlineLevel="0" collapsed="false">
      <c r="A10" s="7" t="s">
        <v>134</v>
      </c>
      <c r="B10" s="26" t="n">
        <v>-9072</v>
      </c>
      <c r="C10" s="26" t="n">
        <v>-395</v>
      </c>
      <c r="D10" s="26" t="n">
        <v>-3024</v>
      </c>
      <c r="E10" s="26" t="n">
        <v>-4899</v>
      </c>
      <c r="F10" s="8" t="n">
        <f aca="false">B10+D10</f>
        <v>-12096</v>
      </c>
      <c r="G10" s="8" t="n">
        <f aca="false">C10+E10</f>
        <v>-5294</v>
      </c>
      <c r="H10" s="9" t="n">
        <f aca="false">G10-F10</f>
        <v>6802</v>
      </c>
      <c r="I10" s="8" t="n">
        <f aca="false">E10-D10</f>
        <v>-1875</v>
      </c>
    </row>
    <row r="11" customFormat="false" ht="15" hidden="false" customHeight="true" outlineLevel="0" collapsed="false">
      <c r="A11" s="17" t="s">
        <v>135</v>
      </c>
      <c r="B11" s="27" t="n">
        <v>0</v>
      </c>
      <c r="C11" s="27" t="n">
        <v>-278836</v>
      </c>
      <c r="D11" s="27" t="n">
        <v>0</v>
      </c>
      <c r="E11" s="27" t="n">
        <v>-81250</v>
      </c>
      <c r="F11" s="18" t="n">
        <f aca="false">B11+D11</f>
        <v>0</v>
      </c>
      <c r="G11" s="18" t="n">
        <f aca="false">C11+E11</f>
        <v>-360086</v>
      </c>
      <c r="H11" s="19" t="n">
        <f aca="false">G11-F11</f>
        <v>-360086</v>
      </c>
      <c r="I11" s="18" t="n">
        <f aca="false">E11-D11</f>
        <v>-81250</v>
      </c>
    </row>
    <row r="12" customFormat="false" ht="15" hidden="false" customHeight="true" outlineLevel="0" collapsed="false">
      <c r="A12" s="7" t="s">
        <v>136</v>
      </c>
      <c r="B12" s="26" t="n">
        <v>0</v>
      </c>
      <c r="C12" s="26" t="n">
        <v>332814</v>
      </c>
      <c r="D12" s="26" t="n">
        <v>0</v>
      </c>
      <c r="E12" s="26" t="n">
        <v>0</v>
      </c>
      <c r="F12" s="8" t="n">
        <f aca="false">B12+D12</f>
        <v>0</v>
      </c>
      <c r="G12" s="8" t="n">
        <f aca="false">C12+E12</f>
        <v>332814</v>
      </c>
      <c r="H12" s="9" t="n">
        <f aca="false">G12-F12</f>
        <v>332814</v>
      </c>
      <c r="I12" s="8" t="n">
        <f aca="false">E12-D12</f>
        <v>0</v>
      </c>
    </row>
    <row r="13" customFormat="false" ht="15" hidden="false" customHeight="true" outlineLevel="0" collapsed="false">
      <c r="A13" s="17" t="s">
        <v>137</v>
      </c>
      <c r="B13" s="27" t="n">
        <v>-90600</v>
      </c>
      <c r="C13" s="27" t="n">
        <v>-133215</v>
      </c>
      <c r="D13" s="27" t="n">
        <v>-30600</v>
      </c>
      <c r="E13" s="27" t="n">
        <v>-45000</v>
      </c>
      <c r="F13" s="18" t="n">
        <f aca="false">B13+D13</f>
        <v>-121200</v>
      </c>
      <c r="G13" s="18" t="n">
        <f aca="false">C13+E13</f>
        <v>-178215</v>
      </c>
      <c r="H13" s="19" t="n">
        <f aca="false">G13-F13</f>
        <v>-57015</v>
      </c>
      <c r="I13" s="18" t="n">
        <f aca="false">E13-D13</f>
        <v>-14400</v>
      </c>
    </row>
    <row r="14" customFormat="false" ht="15" hidden="false" customHeight="true" outlineLevel="0" collapsed="false">
      <c r="A14" s="7" t="s">
        <v>138</v>
      </c>
      <c r="B14" s="26" t="n">
        <v>-25368</v>
      </c>
      <c r="C14" s="26" t="n">
        <v>-44106</v>
      </c>
      <c r="D14" s="26" t="n">
        <v>-8568</v>
      </c>
      <c r="E14" s="26" t="n">
        <v>-12074</v>
      </c>
      <c r="F14" s="8" t="n">
        <f aca="false">B14+D14</f>
        <v>-33936</v>
      </c>
      <c r="G14" s="8" t="n">
        <f aca="false">C14+E14</f>
        <v>-56180</v>
      </c>
      <c r="H14" s="9" t="n">
        <f aca="false">G14-F14</f>
        <v>-22244</v>
      </c>
      <c r="I14" s="8" t="n">
        <f aca="false">E14-D14</f>
        <v>-3506</v>
      </c>
    </row>
    <row r="15" customFormat="false" ht="15" hidden="false" customHeight="true" outlineLevel="0" collapsed="false">
      <c r="A15" s="17" t="s">
        <v>139</v>
      </c>
      <c r="B15" s="27" t="n">
        <v>0</v>
      </c>
      <c r="C15" s="27" t="n">
        <v>-6842</v>
      </c>
      <c r="D15" s="27" t="n">
        <v>0</v>
      </c>
      <c r="E15" s="27" t="n">
        <v>-1077</v>
      </c>
      <c r="F15" s="18" t="n">
        <f aca="false">B15+D15</f>
        <v>0</v>
      </c>
      <c r="G15" s="18" t="n">
        <f aca="false">C15+E15</f>
        <v>-7919</v>
      </c>
      <c r="H15" s="19" t="n">
        <f aca="false">G15-F15</f>
        <v>-7919</v>
      </c>
      <c r="I15" s="18" t="n">
        <f aca="false">E15-D15</f>
        <v>-1077</v>
      </c>
    </row>
    <row r="16" customFormat="false" ht="15" hidden="false" customHeight="true" outlineLevel="0" collapsed="false">
      <c r="A16" s="7" t="s">
        <v>140</v>
      </c>
      <c r="B16" s="26" t="n">
        <v>-29898</v>
      </c>
      <c r="C16" s="26" t="n">
        <v>-168</v>
      </c>
      <c r="D16" s="26" t="n">
        <v>-10098</v>
      </c>
      <c r="E16" s="26" t="n">
        <v>-79</v>
      </c>
      <c r="F16" s="8" t="n">
        <f aca="false">B16+D16</f>
        <v>-39996</v>
      </c>
      <c r="G16" s="8" t="n">
        <f aca="false">C16+E16</f>
        <v>-247</v>
      </c>
      <c r="H16" s="9" t="n">
        <f aca="false">G16-F16</f>
        <v>39749</v>
      </c>
      <c r="I16" s="8" t="n">
        <f aca="false">E16-D16</f>
        <v>10019</v>
      </c>
    </row>
    <row r="17" customFormat="false" ht="15" hidden="false" customHeight="true" outlineLevel="0" collapsed="false">
      <c r="A17" s="17" t="s">
        <v>141</v>
      </c>
      <c r="B17" s="27" t="n">
        <v>0</v>
      </c>
      <c r="C17" s="27" t="n">
        <v>-54278</v>
      </c>
      <c r="D17" s="27" t="n">
        <v>0</v>
      </c>
      <c r="E17" s="27" t="n">
        <v>-15902</v>
      </c>
      <c r="F17" s="18" t="n">
        <f aca="false">B17+D17</f>
        <v>0</v>
      </c>
      <c r="G17" s="18" t="n">
        <f aca="false">C17+E17</f>
        <v>-70180</v>
      </c>
      <c r="H17" s="19" t="n">
        <f aca="false">G17-F17</f>
        <v>-70180</v>
      </c>
      <c r="I17" s="18" t="n">
        <f aca="false">E17-D17</f>
        <v>-15902</v>
      </c>
    </row>
    <row r="18" customFormat="false" ht="15" hidden="false" customHeight="true" outlineLevel="0" collapsed="false">
      <c r="A18" s="7" t="s">
        <v>142</v>
      </c>
      <c r="B18" s="26" t="n">
        <v>-2718</v>
      </c>
      <c r="C18" s="26" t="n">
        <v>-6159</v>
      </c>
      <c r="D18" s="26" t="n">
        <v>-918</v>
      </c>
      <c r="E18" s="26" t="n">
        <v>-2208</v>
      </c>
      <c r="F18" s="8" t="n">
        <f aca="false">B18+D18</f>
        <v>-3636</v>
      </c>
      <c r="G18" s="8" t="n">
        <f aca="false">C18+E18</f>
        <v>-8367</v>
      </c>
      <c r="H18" s="9" t="n">
        <f aca="false">G18-F18</f>
        <v>-4731</v>
      </c>
      <c r="I18" s="8" t="n">
        <f aca="false">E18-D18</f>
        <v>-1290</v>
      </c>
    </row>
    <row r="19" customFormat="false" ht="15" hidden="false" customHeight="true" outlineLevel="0" collapsed="false">
      <c r="A19" s="17" t="s">
        <v>143</v>
      </c>
      <c r="B19" s="27" t="n">
        <v>-13590</v>
      </c>
      <c r="C19" s="27" t="n">
        <v>-7476</v>
      </c>
      <c r="D19" s="27" t="n">
        <v>-4590</v>
      </c>
      <c r="E19" s="27" t="n">
        <v>-3404</v>
      </c>
      <c r="F19" s="18" t="n">
        <f aca="false">B19+D19</f>
        <v>-18180</v>
      </c>
      <c r="G19" s="18" t="n">
        <f aca="false">C19+E19</f>
        <v>-10880</v>
      </c>
      <c r="H19" s="19" t="n">
        <f aca="false">G19-F19</f>
        <v>7300</v>
      </c>
      <c r="I19" s="18" t="n">
        <f aca="false">E19-D19</f>
        <v>1186</v>
      </c>
    </row>
    <row r="20" customFormat="false" ht="15" hidden="false" customHeight="true" outlineLevel="0" collapsed="false">
      <c r="A20" s="7" t="s">
        <v>144</v>
      </c>
      <c r="B20" s="26" t="n">
        <v>-9060</v>
      </c>
      <c r="C20" s="26" t="n">
        <v>-5372</v>
      </c>
      <c r="D20" s="26" t="n">
        <v>-3060</v>
      </c>
      <c r="E20" s="26" t="n">
        <v>-3812</v>
      </c>
      <c r="F20" s="8" t="n">
        <f aca="false">B20+D20</f>
        <v>-12120</v>
      </c>
      <c r="G20" s="8" t="n">
        <f aca="false">C20+E20</f>
        <v>-9184</v>
      </c>
      <c r="H20" s="9" t="n">
        <f aca="false">G20-F20</f>
        <v>2936</v>
      </c>
      <c r="I20" s="8" t="n">
        <f aca="false">E20-D20</f>
        <v>-752</v>
      </c>
    </row>
    <row r="21" customFormat="false" ht="15" hidden="false" customHeight="true" outlineLevel="0" collapsed="false">
      <c r="A21" s="17" t="s">
        <v>145</v>
      </c>
      <c r="B21" s="27" t="n">
        <v>-9060</v>
      </c>
      <c r="C21" s="27" t="n">
        <v>-65126</v>
      </c>
      <c r="D21" s="27" t="n">
        <v>-3060</v>
      </c>
      <c r="E21" s="27" t="n">
        <v>-17749</v>
      </c>
      <c r="F21" s="18" t="n">
        <f aca="false">B21+D21</f>
        <v>-12120</v>
      </c>
      <c r="G21" s="18" t="n">
        <f aca="false">C21+E21</f>
        <v>-82875</v>
      </c>
      <c r="H21" s="19" t="n">
        <f aca="false">G21-F21</f>
        <v>-70755</v>
      </c>
      <c r="I21" s="18" t="n">
        <f aca="false">E21-D21</f>
        <v>-14689</v>
      </c>
    </row>
    <row r="22" customFormat="false" ht="15" hidden="false" customHeight="true" outlineLevel="0" collapsed="false">
      <c r="A22" s="7" t="s">
        <v>146</v>
      </c>
      <c r="B22" s="26" t="n">
        <v>0</v>
      </c>
      <c r="C22" s="26" t="n">
        <v>-55750</v>
      </c>
      <c r="D22" s="26" t="n">
        <v>0</v>
      </c>
      <c r="E22" s="26" t="n">
        <v>-750</v>
      </c>
      <c r="F22" s="8" t="n">
        <f aca="false">B22+D22</f>
        <v>0</v>
      </c>
      <c r="G22" s="8" t="n">
        <f aca="false">C22+E22</f>
        <v>-56500</v>
      </c>
      <c r="H22" s="9" t="n">
        <f aca="false">G22-F22</f>
        <v>-56500</v>
      </c>
      <c r="I22" s="8" t="n">
        <f aca="false">E22-D22</f>
        <v>-750</v>
      </c>
    </row>
    <row r="23" customFormat="false" ht="15" hidden="false" customHeight="true" outlineLevel="0" collapsed="false">
      <c r="A23" s="17" t="s">
        <v>147</v>
      </c>
      <c r="B23" s="27" t="n">
        <v>-15100</v>
      </c>
      <c r="C23" s="27" t="n">
        <v>-23511</v>
      </c>
      <c r="D23" s="27" t="n">
        <v>-5100</v>
      </c>
      <c r="E23" s="27" t="n">
        <v>-5253</v>
      </c>
      <c r="F23" s="18" t="n">
        <f aca="false">B23+D23</f>
        <v>-20200</v>
      </c>
      <c r="G23" s="18" t="n">
        <f aca="false">C23+E23</f>
        <v>-28764</v>
      </c>
      <c r="H23" s="19" t="n">
        <f aca="false">G23-F23</f>
        <v>-8564</v>
      </c>
      <c r="I23" s="18" t="n">
        <f aca="false">E23-D23</f>
        <v>-153</v>
      </c>
    </row>
    <row r="24" customFormat="false" ht="15" hidden="false" customHeight="true" outlineLevel="0" collapsed="false">
      <c r="A24" s="7" t="s">
        <v>148</v>
      </c>
      <c r="B24" s="26" t="n">
        <v>-9060</v>
      </c>
      <c r="C24" s="26" t="n">
        <v>-19847</v>
      </c>
      <c r="D24" s="26" t="n">
        <v>-3060</v>
      </c>
      <c r="E24" s="26" t="n">
        <v>-5966</v>
      </c>
      <c r="F24" s="8" t="n">
        <f aca="false">B24+D24</f>
        <v>-12120</v>
      </c>
      <c r="G24" s="8" t="n">
        <f aca="false">C24+E24</f>
        <v>-25813</v>
      </c>
      <c r="H24" s="9" t="n">
        <f aca="false">G24-F24</f>
        <v>-13693</v>
      </c>
      <c r="I24" s="8" t="n">
        <f aca="false">E24-D24</f>
        <v>-2906</v>
      </c>
    </row>
    <row r="25" customFormat="false" ht="15" hidden="false" customHeight="true" outlineLevel="0" collapsed="false">
      <c r="A25" s="17" t="s">
        <v>149</v>
      </c>
      <c r="B25" s="27" t="n">
        <v>0</v>
      </c>
      <c r="C25" s="27" t="n">
        <v>-105490</v>
      </c>
      <c r="D25" s="27" t="n">
        <v>0</v>
      </c>
      <c r="E25" s="27" t="n">
        <v>-19500</v>
      </c>
      <c r="F25" s="18" t="n">
        <f aca="false">B25+D25</f>
        <v>0</v>
      </c>
      <c r="G25" s="18" t="n">
        <f aca="false">C25+E25</f>
        <v>-124990</v>
      </c>
      <c r="H25" s="19" t="n">
        <f aca="false">G25-F25</f>
        <v>-124990</v>
      </c>
      <c r="I25" s="18" t="n">
        <f aca="false">E25-D25</f>
        <v>-19500</v>
      </c>
    </row>
    <row r="26" customFormat="false" ht="15" hidden="false" customHeight="true" outlineLevel="0" collapsed="false">
      <c r="A26" s="7" t="s">
        <v>150</v>
      </c>
      <c r="B26" s="26" t="n">
        <v>0</v>
      </c>
      <c r="C26" s="26" t="n">
        <v>-825</v>
      </c>
      <c r="D26" s="26" t="n">
        <v>0</v>
      </c>
      <c r="E26" s="26" t="n">
        <v>-165</v>
      </c>
      <c r="F26" s="8" t="n">
        <f aca="false">B26+D26</f>
        <v>0</v>
      </c>
      <c r="G26" s="8" t="n">
        <f aca="false">C26+E26</f>
        <v>-990</v>
      </c>
      <c r="H26" s="9" t="n">
        <f aca="false">G26-F26</f>
        <v>-990</v>
      </c>
      <c r="I26" s="8" t="n">
        <f aca="false">E26-D26</f>
        <v>-165</v>
      </c>
    </row>
    <row r="27" customFormat="false" ht="15" hidden="false" customHeight="true" outlineLevel="0" collapsed="false">
      <c r="A27" s="17" t="s">
        <v>151</v>
      </c>
      <c r="B27" s="27" t="n">
        <v>0</v>
      </c>
      <c r="C27" s="27" t="n">
        <v>-5708</v>
      </c>
      <c r="D27" s="27" t="n">
        <v>0</v>
      </c>
      <c r="E27" s="27" t="n">
        <v>0</v>
      </c>
      <c r="F27" s="18" t="n">
        <f aca="false">B27+D27</f>
        <v>0</v>
      </c>
      <c r="G27" s="18" t="n">
        <f aca="false">C27+E27</f>
        <v>-5708</v>
      </c>
      <c r="H27" s="19" t="n">
        <f aca="false">G27-F27</f>
        <v>-5708</v>
      </c>
      <c r="I27" s="18" t="n">
        <f aca="false">E27-D27</f>
        <v>0</v>
      </c>
    </row>
    <row r="28" customFormat="false" ht="15" hidden="false" customHeight="true" outlineLevel="0" collapsed="false">
      <c r="A28" s="7" t="s">
        <v>152</v>
      </c>
      <c r="B28" s="26" t="n">
        <v>0</v>
      </c>
      <c r="C28" s="26" t="n">
        <v>-6075</v>
      </c>
      <c r="D28" s="26" t="n">
        <v>0</v>
      </c>
      <c r="E28" s="26" t="n">
        <v>-1650</v>
      </c>
      <c r="F28" s="8" t="n">
        <f aca="false">B28+D28</f>
        <v>0</v>
      </c>
      <c r="G28" s="8" t="n">
        <f aca="false">C28+E28</f>
        <v>-7725</v>
      </c>
      <c r="H28" s="9" t="n">
        <f aca="false">G28-F28</f>
        <v>-7725</v>
      </c>
      <c r="I28" s="8" t="n">
        <f aca="false">E28-D28</f>
        <v>-1650</v>
      </c>
    </row>
    <row r="29" customFormat="false" ht="15" hidden="false" customHeight="true" outlineLevel="0" collapsed="false">
      <c r="A29" s="17" t="s">
        <v>153</v>
      </c>
      <c r="B29" s="27" t="n">
        <v>-37750</v>
      </c>
      <c r="C29" s="27" t="n">
        <v>-142133</v>
      </c>
      <c r="D29" s="27" t="n">
        <v>-12750</v>
      </c>
      <c r="E29" s="27" t="n">
        <v>-52914</v>
      </c>
      <c r="F29" s="18" t="n">
        <f aca="false">B29+D29</f>
        <v>-50500</v>
      </c>
      <c r="G29" s="18" t="n">
        <f aca="false">C29+E29</f>
        <v>-195047</v>
      </c>
      <c r="H29" s="19" t="n">
        <f aca="false">G29-F29</f>
        <v>-144547</v>
      </c>
      <c r="I29" s="18" t="n">
        <f aca="false">E29-D29</f>
        <v>-40164</v>
      </c>
    </row>
    <row r="30" customFormat="false" ht="15" hidden="false" customHeight="true" outlineLevel="0" collapsed="false">
      <c r="A30" s="7" t="s">
        <v>154</v>
      </c>
      <c r="B30" s="26" t="n">
        <v>-9060</v>
      </c>
      <c r="C30" s="26" t="n">
        <v>-13691</v>
      </c>
      <c r="D30" s="26" t="n">
        <v>-3060</v>
      </c>
      <c r="E30" s="26" t="n">
        <v>-4267</v>
      </c>
      <c r="F30" s="8" t="n">
        <f aca="false">B30+D30</f>
        <v>-12120</v>
      </c>
      <c r="G30" s="8" t="n">
        <f aca="false">C30+E30</f>
        <v>-17958</v>
      </c>
      <c r="H30" s="9" t="n">
        <f aca="false">G30-F30</f>
        <v>-5838</v>
      </c>
      <c r="I30" s="8" t="n">
        <f aca="false">E30-D30</f>
        <v>-1207</v>
      </c>
    </row>
    <row r="31" customFormat="false" ht="15" hidden="false" customHeight="true" outlineLevel="0" collapsed="false">
      <c r="A31" s="17" t="s">
        <v>155</v>
      </c>
      <c r="B31" s="27" t="n">
        <v>0</v>
      </c>
      <c r="C31" s="27" t="n">
        <v>-1440</v>
      </c>
      <c r="D31" s="27" t="n">
        <v>0</v>
      </c>
      <c r="E31" s="27" t="n">
        <v>-480</v>
      </c>
      <c r="F31" s="18" t="n">
        <f aca="false">B31+D31</f>
        <v>0</v>
      </c>
      <c r="G31" s="18" t="n">
        <f aca="false">C31+E31</f>
        <v>-1920</v>
      </c>
      <c r="H31" s="19" t="n">
        <f aca="false">G31-F31</f>
        <v>-1920</v>
      </c>
      <c r="I31" s="18" t="n">
        <f aca="false">E31-D31</f>
        <v>-480</v>
      </c>
    </row>
    <row r="32" customFormat="false" ht="15" hidden="false" customHeight="true" outlineLevel="0" collapsed="false">
      <c r="A32" s="7" t="s">
        <v>156</v>
      </c>
      <c r="B32" s="26" t="n">
        <v>-37750</v>
      </c>
      <c r="C32" s="26" t="n">
        <v>-102139</v>
      </c>
      <c r="D32" s="26" t="n">
        <v>-12750</v>
      </c>
      <c r="E32" s="26" t="n">
        <v>-15000</v>
      </c>
      <c r="F32" s="8" t="n">
        <f aca="false">B32+D32</f>
        <v>-50500</v>
      </c>
      <c r="G32" s="8" t="n">
        <f aca="false">C32+E32</f>
        <v>-117139</v>
      </c>
      <c r="H32" s="9" t="n">
        <f aca="false">G32-F32</f>
        <v>-66639</v>
      </c>
      <c r="I32" s="8" t="n">
        <f aca="false">E32-D32</f>
        <v>-2250</v>
      </c>
    </row>
    <row r="33" customFormat="false" ht="15" hidden="false" customHeight="true" outlineLevel="0" collapsed="false">
      <c r="A33" s="17" t="s">
        <v>157</v>
      </c>
      <c r="B33" s="27" t="n">
        <v>0</v>
      </c>
      <c r="C33" s="27" t="n">
        <v>-10506</v>
      </c>
      <c r="D33" s="27" t="n">
        <v>0</v>
      </c>
      <c r="E33" s="27" t="n">
        <v>-1253</v>
      </c>
      <c r="F33" s="18" t="n">
        <f aca="false">B33+D33</f>
        <v>0</v>
      </c>
      <c r="G33" s="18" t="n">
        <f aca="false">C33+E33</f>
        <v>-11759</v>
      </c>
      <c r="H33" s="19" t="n">
        <f aca="false">G33-F33</f>
        <v>-11759</v>
      </c>
      <c r="I33" s="18" t="n">
        <f aca="false">E33-D33</f>
        <v>-1253</v>
      </c>
    </row>
    <row r="34" customFormat="false" ht="15" hidden="false" customHeight="true" outlineLevel="0" collapsed="false">
      <c r="A34" s="7" t="s">
        <v>158</v>
      </c>
      <c r="B34" s="26" t="n">
        <v>-1510</v>
      </c>
      <c r="C34" s="26" t="n">
        <v>-210</v>
      </c>
      <c r="D34" s="26" t="n">
        <v>-510</v>
      </c>
      <c r="E34" s="26" t="n">
        <v>-80</v>
      </c>
      <c r="F34" s="8" t="n">
        <f aca="false">B34+D34</f>
        <v>-2020</v>
      </c>
      <c r="G34" s="8" t="n">
        <f aca="false">C34+E34</f>
        <v>-290</v>
      </c>
      <c r="H34" s="9" t="n">
        <f aca="false">G34-F34</f>
        <v>1730</v>
      </c>
      <c r="I34" s="8" t="n">
        <f aca="false">E34-D34</f>
        <v>430</v>
      </c>
    </row>
    <row r="35" customFormat="false" ht="15" hidden="false" customHeight="true" outlineLevel="0" collapsed="false">
      <c r="A35" s="17" t="s">
        <v>159</v>
      </c>
      <c r="B35" s="27" t="n">
        <v>0</v>
      </c>
      <c r="C35" s="27" t="n">
        <v>-63</v>
      </c>
      <c r="D35" s="27" t="n">
        <v>0</v>
      </c>
      <c r="E35" s="27" t="n">
        <v>-63</v>
      </c>
      <c r="F35" s="18" t="n">
        <f aca="false">B35+D35</f>
        <v>0</v>
      </c>
      <c r="G35" s="18" t="n">
        <f aca="false">C35+E35</f>
        <v>-126</v>
      </c>
      <c r="H35" s="19" t="n">
        <f aca="false">G35-F35</f>
        <v>-126</v>
      </c>
      <c r="I35" s="18" t="n">
        <f aca="false">E35-D35</f>
        <v>-63</v>
      </c>
    </row>
    <row r="36" customFormat="false" ht="15" hidden="false" customHeight="true" outlineLevel="0" collapsed="false">
      <c r="A36" s="7" t="s">
        <v>160</v>
      </c>
      <c r="B36" s="26" t="n">
        <v>-3775</v>
      </c>
      <c r="C36" s="26" t="n">
        <v>-11105</v>
      </c>
      <c r="D36" s="26" t="n">
        <v>-1275</v>
      </c>
      <c r="E36" s="26" t="n">
        <v>-3750</v>
      </c>
      <c r="F36" s="8" t="n">
        <f aca="false">B36+D36</f>
        <v>-5050</v>
      </c>
      <c r="G36" s="8" t="n">
        <f aca="false">C36+E36</f>
        <v>-14855</v>
      </c>
      <c r="H36" s="9" t="n">
        <f aca="false">G36-F36</f>
        <v>-9805</v>
      </c>
      <c r="I36" s="8" t="n">
        <f aca="false">E36-D36</f>
        <v>-2475</v>
      </c>
    </row>
    <row r="37" customFormat="false" ht="15" hidden="false" customHeight="true" outlineLevel="0" collapsed="false">
      <c r="A37" s="30" t="s">
        <v>161</v>
      </c>
      <c r="B37" s="8" t="n">
        <f aca="false">ROUND((Summary!B8+Summary!B9)-SUM(B6:B36),0)</f>
        <v>0</v>
      </c>
      <c r="C37" s="8" t="n">
        <f aca="false">ROUND((Summary!C8+Summary!C9)-SUM(C6:C36),0)</f>
        <v>-5442</v>
      </c>
      <c r="D37" s="8" t="n">
        <f aca="false">ROUND((Summary!E8+Summary!E9)-SUM(D6:D36),0)</f>
        <v>-1</v>
      </c>
      <c r="E37" s="8" t="n">
        <f aca="false">ROUND((Summary!F8+Summary!F9)-SUM(E6:E36),0)</f>
        <v>-2</v>
      </c>
      <c r="F37" s="8" t="n">
        <f aca="false">B37+D37</f>
        <v>-1</v>
      </c>
      <c r="G37" s="8" t="n">
        <f aca="false">C37+E37</f>
        <v>-5444</v>
      </c>
      <c r="H37" s="9" t="n">
        <f aca="false">G37-F37</f>
        <v>-5443</v>
      </c>
      <c r="I37" s="8" t="n">
        <f aca="false">E37-D37</f>
        <v>-1</v>
      </c>
    </row>
    <row r="38" customFormat="false" ht="15" hidden="false" customHeight="true" outlineLevel="0" collapsed="false">
      <c r="A38" s="29" t="s">
        <v>162</v>
      </c>
      <c r="B38" s="14" t="n">
        <f aca="false">SUM(B6:B37)</f>
        <v>-2368787</v>
      </c>
      <c r="C38" s="14" t="n">
        <f aca="false">SUM(C6:C37)</f>
        <v>-2795054</v>
      </c>
      <c r="D38" s="14" t="n">
        <f aca="false">SUM(D6:D37)</f>
        <v>-790895</v>
      </c>
      <c r="E38" s="14" t="n">
        <f aca="false">SUM(E6:E37)</f>
        <v>-1296583</v>
      </c>
      <c r="F38" s="14" t="n">
        <f aca="false">SUM(F6:F37)</f>
        <v>-3159682</v>
      </c>
      <c r="G38" s="14" t="n">
        <f aca="false">SUM(G6:G37)</f>
        <v>-4091637</v>
      </c>
      <c r="H38" s="14" t="n">
        <f aca="false">SUM(H6:H37)</f>
        <v>-931955</v>
      </c>
      <c r="I38" s="14" t="n">
        <f aca="false">SUM(I6:I37)</f>
        <v>-505688</v>
      </c>
    </row>
    <row r="39" customFormat="false" ht="15" hidden="false" customHeight="true" outlineLevel="0" collapsed="false">
      <c r="A39" s="15" t="s">
        <v>32</v>
      </c>
      <c r="B39" s="8" t="n">
        <f aca="false">ROUND(B38-(Summary!B8+Summary!B9),0)</f>
        <v>-0</v>
      </c>
      <c r="C39" s="8" t="n">
        <f aca="false">ROUND(C38-(Summary!C8+Summary!C9),0)</f>
        <v>0</v>
      </c>
      <c r="D39" s="8" t="n">
        <f aca="false">ROUND(D38-(Summary!E8+Summary!E9),0)</f>
        <v>-0</v>
      </c>
      <c r="E39" s="8" t="n">
        <f aca="false">ROUND(E38-(Summary!F8+Summary!F9),0)</f>
        <v>-0</v>
      </c>
    </row>
    <row r="41" customFormat="false" ht="15" hidden="false" customHeight="true" outlineLevel="0" collapsed="false">
      <c r="A41" s="6" t="s">
        <v>17</v>
      </c>
    </row>
    <row r="42" customFormat="false" ht="15" hidden="false" customHeight="true" outlineLevel="0" collapsed="false">
      <c r="A42" s="7" t="s">
        <v>163</v>
      </c>
      <c r="B42" s="26" t="n">
        <v>-808579</v>
      </c>
      <c r="C42" s="26" t="n">
        <v>-487754</v>
      </c>
      <c r="D42" s="26" t="n">
        <v>-267179</v>
      </c>
      <c r="E42" s="26" t="n">
        <v>-162500</v>
      </c>
      <c r="F42" s="8" t="n">
        <f aca="false">B42+D42</f>
        <v>-1075758</v>
      </c>
      <c r="G42" s="8" t="n">
        <f aca="false">C42+E42</f>
        <v>-650254</v>
      </c>
      <c r="H42" s="9" t="n">
        <f aca="false">G42-F42</f>
        <v>425504</v>
      </c>
      <c r="I42" s="8" t="n">
        <f aca="false">E42-D42</f>
        <v>104679</v>
      </c>
    </row>
    <row r="43" customFormat="false" ht="15" hidden="false" customHeight="true" outlineLevel="0" collapsed="false">
      <c r="A43" s="17" t="s">
        <v>131</v>
      </c>
      <c r="B43" s="27" t="n">
        <v>-73125</v>
      </c>
      <c r="C43" s="27" t="n">
        <v>-38245</v>
      </c>
      <c r="D43" s="27" t="n">
        <v>-24375</v>
      </c>
      <c r="E43" s="27" t="n">
        <v>-11375</v>
      </c>
      <c r="F43" s="18" t="n">
        <f aca="false">B43+D43</f>
        <v>-97500</v>
      </c>
      <c r="G43" s="18" t="n">
        <f aca="false">C43+E43</f>
        <v>-49620</v>
      </c>
      <c r="H43" s="19" t="n">
        <f aca="false">G43-F43</f>
        <v>47880</v>
      </c>
      <c r="I43" s="18" t="n">
        <f aca="false">E43-D43</f>
        <v>13000</v>
      </c>
    </row>
    <row r="44" customFormat="false" ht="15" hidden="false" customHeight="true" outlineLevel="0" collapsed="false">
      <c r="A44" s="7" t="s">
        <v>132</v>
      </c>
      <c r="B44" s="26" t="n">
        <v>-58988</v>
      </c>
      <c r="C44" s="26" t="n">
        <v>-109240</v>
      </c>
      <c r="D44" s="26" t="n">
        <v>-19663</v>
      </c>
      <c r="E44" s="26" t="n">
        <v>-36414</v>
      </c>
      <c r="F44" s="8" t="n">
        <f aca="false">B44+D44</f>
        <v>-78651</v>
      </c>
      <c r="G44" s="8" t="n">
        <f aca="false">C44+E44</f>
        <v>-145654</v>
      </c>
      <c r="H44" s="9" t="n">
        <f aca="false">G44-F44</f>
        <v>-67003</v>
      </c>
      <c r="I44" s="8" t="n">
        <f aca="false">E44-D44</f>
        <v>-16751</v>
      </c>
    </row>
    <row r="45" customFormat="false" ht="15" hidden="false" customHeight="true" outlineLevel="0" collapsed="false">
      <c r="A45" s="17" t="s">
        <v>133</v>
      </c>
      <c r="B45" s="27" t="n">
        <v>-4388</v>
      </c>
      <c r="C45" s="27" t="n">
        <v>-4282</v>
      </c>
      <c r="D45" s="27" t="n">
        <v>-1462</v>
      </c>
      <c r="E45" s="27" t="n">
        <v>-3250</v>
      </c>
      <c r="F45" s="18" t="n">
        <f aca="false">B45+D45</f>
        <v>-5850</v>
      </c>
      <c r="G45" s="18" t="n">
        <f aca="false">C45+E45</f>
        <v>-7532</v>
      </c>
      <c r="H45" s="19" t="n">
        <f aca="false">G45-F45</f>
        <v>-1682</v>
      </c>
      <c r="I45" s="18" t="n">
        <f aca="false">E45-D45</f>
        <v>-1788</v>
      </c>
    </row>
    <row r="46" customFormat="false" ht="15" hidden="false" customHeight="true" outlineLevel="0" collapsed="false">
      <c r="A46" s="7" t="s">
        <v>134</v>
      </c>
      <c r="B46" s="26" t="n">
        <v>-2437</v>
      </c>
      <c r="C46" s="26" t="n">
        <v>-19801</v>
      </c>
      <c r="D46" s="26" t="n">
        <v>-812</v>
      </c>
      <c r="E46" s="26" t="n">
        <v>-812</v>
      </c>
      <c r="F46" s="8" t="n">
        <f aca="false">B46+D46</f>
        <v>-3249</v>
      </c>
      <c r="G46" s="8" t="n">
        <f aca="false">C46+E46</f>
        <v>-20613</v>
      </c>
      <c r="H46" s="9" t="n">
        <f aca="false">G46-F46</f>
        <v>-17364</v>
      </c>
      <c r="I46" s="8" t="n">
        <f aca="false">E46-D46</f>
        <v>0</v>
      </c>
    </row>
    <row r="47" customFormat="false" ht="15" hidden="false" customHeight="true" outlineLevel="0" collapsed="false">
      <c r="A47" s="17" t="s">
        <v>137</v>
      </c>
      <c r="B47" s="27" t="n">
        <v>-72480</v>
      </c>
      <c r="C47" s="27" t="n">
        <v>-74297</v>
      </c>
      <c r="D47" s="27" t="n">
        <v>-24480</v>
      </c>
      <c r="E47" s="27" t="n">
        <v>-25500</v>
      </c>
      <c r="F47" s="18" t="n">
        <f aca="false">B47+D47</f>
        <v>-96960</v>
      </c>
      <c r="G47" s="18" t="n">
        <f aca="false">C47+E47</f>
        <v>-99797</v>
      </c>
      <c r="H47" s="19" t="n">
        <f aca="false">G47-F47</f>
        <v>-2837</v>
      </c>
      <c r="I47" s="18" t="n">
        <f aca="false">E47-D47</f>
        <v>-1020</v>
      </c>
    </row>
    <row r="48" customFormat="false" ht="15" hidden="false" customHeight="true" outlineLevel="0" collapsed="false">
      <c r="A48" s="7" t="s">
        <v>138</v>
      </c>
      <c r="B48" s="26" t="n">
        <v>-1661</v>
      </c>
      <c r="C48" s="26" t="n">
        <v>-3710</v>
      </c>
      <c r="D48" s="26" t="n">
        <v>-561</v>
      </c>
      <c r="E48" s="26" t="n">
        <v>-1751</v>
      </c>
      <c r="F48" s="8" t="n">
        <f aca="false">B48+D48</f>
        <v>-2222</v>
      </c>
      <c r="G48" s="8" t="n">
        <f aca="false">C48+E48</f>
        <v>-5461</v>
      </c>
      <c r="H48" s="9" t="n">
        <f aca="false">G48-F48</f>
        <v>-3239</v>
      </c>
      <c r="I48" s="8" t="n">
        <f aca="false">E48-D48</f>
        <v>-1190</v>
      </c>
    </row>
    <row r="49" customFormat="false" ht="15" hidden="false" customHeight="true" outlineLevel="0" collapsed="false">
      <c r="A49" s="17" t="s">
        <v>141</v>
      </c>
      <c r="B49" s="27" t="n">
        <v>-27180</v>
      </c>
      <c r="C49" s="27" t="n">
        <v>-22779</v>
      </c>
      <c r="D49" s="27" t="n">
        <v>-9180</v>
      </c>
      <c r="E49" s="27" t="n">
        <v>-4494</v>
      </c>
      <c r="F49" s="18" t="n">
        <f aca="false">B49+D49</f>
        <v>-36360</v>
      </c>
      <c r="G49" s="18" t="n">
        <f aca="false">C49+E49</f>
        <v>-27273</v>
      </c>
      <c r="H49" s="19" t="n">
        <f aca="false">G49-F49</f>
        <v>9087</v>
      </c>
      <c r="I49" s="18" t="n">
        <f aca="false">E49-D49</f>
        <v>4686</v>
      </c>
    </row>
    <row r="50" customFormat="false" ht="15" hidden="false" customHeight="true" outlineLevel="0" collapsed="false">
      <c r="A50" s="7" t="s">
        <v>164</v>
      </c>
      <c r="B50" s="26" t="n">
        <v>0</v>
      </c>
      <c r="C50" s="26" t="n">
        <v>-870</v>
      </c>
      <c r="D50" s="26" t="n">
        <v>0</v>
      </c>
      <c r="E50" s="26" t="n">
        <v>-870</v>
      </c>
      <c r="F50" s="8" t="n">
        <f aca="false">B50+D50</f>
        <v>0</v>
      </c>
      <c r="G50" s="8" t="n">
        <f aca="false">C50+E50</f>
        <v>-1740</v>
      </c>
      <c r="H50" s="9" t="n">
        <f aca="false">G50-F50</f>
        <v>-1740</v>
      </c>
      <c r="I50" s="8" t="n">
        <f aca="false">E50-D50</f>
        <v>-870</v>
      </c>
    </row>
    <row r="51" customFormat="false" ht="15" hidden="false" customHeight="true" outlineLevel="0" collapsed="false">
      <c r="A51" s="17" t="s">
        <v>165</v>
      </c>
      <c r="B51" s="27" t="n">
        <v>0</v>
      </c>
      <c r="C51" s="27" t="n">
        <v>-1960</v>
      </c>
      <c r="D51" s="27" t="n">
        <v>0</v>
      </c>
      <c r="E51" s="27" t="n">
        <v>-735</v>
      </c>
      <c r="F51" s="18" t="n">
        <f aca="false">B51+D51</f>
        <v>0</v>
      </c>
      <c r="G51" s="18" t="n">
        <f aca="false">C51+E51</f>
        <v>-2695</v>
      </c>
      <c r="H51" s="19" t="n">
        <f aca="false">G51-F51</f>
        <v>-2695</v>
      </c>
      <c r="I51" s="18" t="n">
        <f aca="false">E51-D51</f>
        <v>-735</v>
      </c>
    </row>
    <row r="52" customFormat="false" ht="15" hidden="false" customHeight="true" outlineLevel="0" collapsed="false">
      <c r="A52" s="7" t="s">
        <v>166</v>
      </c>
      <c r="B52" s="26" t="n">
        <v>-27180</v>
      </c>
      <c r="C52" s="26" t="n">
        <v>-15003</v>
      </c>
      <c r="D52" s="26" t="n">
        <v>-9180</v>
      </c>
      <c r="E52" s="26" t="n">
        <v>-3538</v>
      </c>
      <c r="F52" s="8" t="n">
        <f aca="false">B52+D52</f>
        <v>-36360</v>
      </c>
      <c r="G52" s="8" t="n">
        <f aca="false">C52+E52</f>
        <v>-18541</v>
      </c>
      <c r="H52" s="9" t="n">
        <f aca="false">G52-F52</f>
        <v>17819</v>
      </c>
      <c r="I52" s="8" t="n">
        <f aca="false">E52-D52</f>
        <v>5642</v>
      </c>
    </row>
    <row r="53" customFormat="false" ht="15" hidden="false" customHeight="true" outlineLevel="0" collapsed="false">
      <c r="A53" s="17" t="s">
        <v>167</v>
      </c>
      <c r="B53" s="27" t="n">
        <v>-7550</v>
      </c>
      <c r="C53" s="27" t="n">
        <v>-3130</v>
      </c>
      <c r="D53" s="27" t="n">
        <v>-2550</v>
      </c>
      <c r="E53" s="27" t="n">
        <v>-1099</v>
      </c>
      <c r="F53" s="18" t="n">
        <f aca="false">B53+D53</f>
        <v>-10100</v>
      </c>
      <c r="G53" s="18" t="n">
        <f aca="false">C53+E53</f>
        <v>-4229</v>
      </c>
      <c r="H53" s="19" t="n">
        <f aca="false">G53-F53</f>
        <v>5871</v>
      </c>
      <c r="I53" s="18" t="n">
        <f aca="false">E53-D53</f>
        <v>1451</v>
      </c>
    </row>
    <row r="54" customFormat="false" ht="15" hidden="false" customHeight="true" outlineLevel="0" collapsed="false">
      <c r="A54" s="7" t="s">
        <v>168</v>
      </c>
      <c r="B54" s="26" t="n">
        <v>0</v>
      </c>
      <c r="C54" s="26" t="n">
        <v>-1323</v>
      </c>
      <c r="D54" s="26" t="n">
        <v>0</v>
      </c>
      <c r="E54" s="26" t="n">
        <v>-150</v>
      </c>
      <c r="F54" s="8" t="n">
        <f aca="false">B54+D54</f>
        <v>0</v>
      </c>
      <c r="G54" s="8" t="n">
        <f aca="false">C54+E54</f>
        <v>-1473</v>
      </c>
      <c r="H54" s="9" t="n">
        <f aca="false">G54-F54</f>
        <v>-1473</v>
      </c>
      <c r="I54" s="8" t="n">
        <f aca="false">E54-D54</f>
        <v>-150</v>
      </c>
    </row>
    <row r="55" customFormat="false" ht="15" hidden="false" customHeight="true" outlineLevel="0" collapsed="false">
      <c r="A55" s="17" t="s">
        <v>143</v>
      </c>
      <c r="B55" s="27" t="n">
        <v>-27180</v>
      </c>
      <c r="C55" s="27" t="n">
        <v>-9184</v>
      </c>
      <c r="D55" s="27" t="n">
        <v>-9180</v>
      </c>
      <c r="E55" s="27" t="n">
        <v>-2689</v>
      </c>
      <c r="F55" s="18" t="n">
        <f aca="false">B55+D55</f>
        <v>-36360</v>
      </c>
      <c r="G55" s="18" t="n">
        <f aca="false">C55+E55</f>
        <v>-11873</v>
      </c>
      <c r="H55" s="19" t="n">
        <f aca="false">G55-F55</f>
        <v>24487</v>
      </c>
      <c r="I55" s="18" t="n">
        <f aca="false">E55-D55</f>
        <v>6491</v>
      </c>
    </row>
    <row r="56" customFormat="false" ht="15" hidden="false" customHeight="true" outlineLevel="0" collapsed="false">
      <c r="A56" s="7" t="s">
        <v>144</v>
      </c>
      <c r="B56" s="26" t="n">
        <v>-4530</v>
      </c>
      <c r="C56" s="26" t="n">
        <v>-43867</v>
      </c>
      <c r="D56" s="26" t="n">
        <v>-1530</v>
      </c>
      <c r="E56" s="26" t="n">
        <v>-6000</v>
      </c>
      <c r="F56" s="8" t="n">
        <f aca="false">B56+D56</f>
        <v>-6060</v>
      </c>
      <c r="G56" s="8" t="n">
        <f aca="false">C56+E56</f>
        <v>-49867</v>
      </c>
      <c r="H56" s="9" t="n">
        <f aca="false">G56-F56</f>
        <v>-43807</v>
      </c>
      <c r="I56" s="8" t="n">
        <f aca="false">E56-D56</f>
        <v>-4470</v>
      </c>
    </row>
    <row r="57" customFormat="false" ht="15" hidden="false" customHeight="true" outlineLevel="0" collapsed="false">
      <c r="A57" s="17" t="s">
        <v>145</v>
      </c>
      <c r="B57" s="27" t="n">
        <v>-49830</v>
      </c>
      <c r="C57" s="27" t="n">
        <v>-44396</v>
      </c>
      <c r="D57" s="27" t="n">
        <v>-16830</v>
      </c>
      <c r="E57" s="27" t="n">
        <v>-8026</v>
      </c>
      <c r="F57" s="18" t="n">
        <f aca="false">B57+D57</f>
        <v>-66660</v>
      </c>
      <c r="G57" s="18" t="n">
        <f aca="false">C57+E57</f>
        <v>-52422</v>
      </c>
      <c r="H57" s="19" t="n">
        <f aca="false">G57-F57</f>
        <v>14238</v>
      </c>
      <c r="I57" s="18" t="n">
        <f aca="false">E57-D57</f>
        <v>8804</v>
      </c>
    </row>
    <row r="58" customFormat="false" ht="15" hidden="false" customHeight="true" outlineLevel="0" collapsed="false">
      <c r="A58" s="7" t="s">
        <v>146</v>
      </c>
      <c r="B58" s="26" t="n">
        <v>-18875</v>
      </c>
      <c r="C58" s="26" t="n">
        <v>-295802</v>
      </c>
      <c r="D58" s="26" t="n">
        <v>-6375</v>
      </c>
      <c r="E58" s="26" t="n">
        <v>-84250</v>
      </c>
      <c r="F58" s="8" t="n">
        <f aca="false">B58+D58</f>
        <v>-25250</v>
      </c>
      <c r="G58" s="8" t="n">
        <f aca="false">C58+E58</f>
        <v>-380052</v>
      </c>
      <c r="H58" s="9" t="n">
        <f aca="false">G58-F58</f>
        <v>-354802</v>
      </c>
      <c r="I58" s="8" t="n">
        <f aca="false">E58-D58</f>
        <v>-77875</v>
      </c>
    </row>
    <row r="59" customFormat="false" ht="15" hidden="false" customHeight="true" outlineLevel="0" collapsed="false">
      <c r="A59" s="17" t="s">
        <v>169</v>
      </c>
      <c r="B59" s="27" t="n">
        <v>-4530</v>
      </c>
      <c r="C59" s="27" t="n">
        <v>-16238</v>
      </c>
      <c r="D59" s="27" t="n">
        <v>-1530</v>
      </c>
      <c r="E59" s="27" t="n">
        <v>-4759</v>
      </c>
      <c r="F59" s="18" t="n">
        <f aca="false">B59+D59</f>
        <v>-6060</v>
      </c>
      <c r="G59" s="18" t="n">
        <f aca="false">C59+E59</f>
        <v>-20997</v>
      </c>
      <c r="H59" s="19" t="n">
        <f aca="false">G59-F59</f>
        <v>-14937</v>
      </c>
      <c r="I59" s="18" t="n">
        <f aca="false">E59-D59</f>
        <v>-3229</v>
      </c>
    </row>
    <row r="60" customFormat="false" ht="15" hidden="false" customHeight="true" outlineLevel="0" collapsed="false">
      <c r="A60" s="7" t="s">
        <v>170</v>
      </c>
      <c r="B60" s="26" t="n">
        <v>-18120</v>
      </c>
      <c r="C60" s="26" t="n">
        <v>-24525</v>
      </c>
      <c r="D60" s="26" t="n">
        <v>-6120</v>
      </c>
      <c r="E60" s="26" t="n">
        <v>-16327</v>
      </c>
      <c r="F60" s="8" t="n">
        <f aca="false">B60+D60</f>
        <v>-24240</v>
      </c>
      <c r="G60" s="8" t="n">
        <f aca="false">C60+E60</f>
        <v>-40852</v>
      </c>
      <c r="H60" s="9" t="n">
        <f aca="false">G60-F60</f>
        <v>-16612</v>
      </c>
      <c r="I60" s="8" t="n">
        <f aca="false">E60-D60</f>
        <v>-10207</v>
      </c>
    </row>
    <row r="61" customFormat="false" ht="15" hidden="false" customHeight="true" outlineLevel="0" collapsed="false">
      <c r="A61" s="17" t="s">
        <v>171</v>
      </c>
      <c r="B61" s="27" t="n">
        <v>-13968</v>
      </c>
      <c r="C61" s="27" t="n">
        <v>-16694</v>
      </c>
      <c r="D61" s="27" t="n">
        <v>-4718</v>
      </c>
      <c r="E61" s="27" t="n">
        <v>-5716</v>
      </c>
      <c r="F61" s="18" t="n">
        <f aca="false">B61+D61</f>
        <v>-18686</v>
      </c>
      <c r="G61" s="18" t="n">
        <f aca="false">C61+E61</f>
        <v>-22410</v>
      </c>
      <c r="H61" s="19" t="n">
        <f aca="false">G61-F61</f>
        <v>-3724</v>
      </c>
      <c r="I61" s="18" t="n">
        <f aca="false">E61-D61</f>
        <v>-998</v>
      </c>
    </row>
    <row r="62" customFormat="false" ht="15" hidden="false" customHeight="true" outlineLevel="0" collapsed="false">
      <c r="A62" s="7" t="s">
        <v>172</v>
      </c>
      <c r="B62" s="26" t="n">
        <v>-19026</v>
      </c>
      <c r="C62" s="26" t="n">
        <v>-18900</v>
      </c>
      <c r="D62" s="26" t="n">
        <v>-6426</v>
      </c>
      <c r="E62" s="26" t="n">
        <v>-6300</v>
      </c>
      <c r="F62" s="8" t="n">
        <f aca="false">B62+D62</f>
        <v>-25452</v>
      </c>
      <c r="G62" s="8" t="n">
        <f aca="false">C62+E62</f>
        <v>-25200</v>
      </c>
      <c r="H62" s="9" t="n">
        <f aca="false">G62-F62</f>
        <v>252</v>
      </c>
      <c r="I62" s="8" t="n">
        <f aca="false">E62-D62</f>
        <v>126</v>
      </c>
    </row>
    <row r="63" customFormat="false" ht="15" hidden="false" customHeight="true" outlineLevel="0" collapsed="false">
      <c r="A63" s="17" t="s">
        <v>149</v>
      </c>
      <c r="B63" s="27" t="n">
        <v>0</v>
      </c>
      <c r="C63" s="27" t="n">
        <v>-600000</v>
      </c>
      <c r="D63" s="27" t="n">
        <v>0</v>
      </c>
      <c r="E63" s="27" t="n">
        <v>-200000</v>
      </c>
      <c r="F63" s="18" t="n">
        <f aca="false">B63+D63</f>
        <v>0</v>
      </c>
      <c r="G63" s="18" t="n">
        <f aca="false">C63+E63</f>
        <v>-800000</v>
      </c>
      <c r="H63" s="19" t="n">
        <f aca="false">G63-F63</f>
        <v>-800000</v>
      </c>
      <c r="I63" s="18" t="n">
        <f aca="false">E63-D63</f>
        <v>-200000</v>
      </c>
    </row>
    <row r="64" customFormat="false" ht="15" hidden="false" customHeight="true" outlineLevel="0" collapsed="false">
      <c r="A64" s="7" t="s">
        <v>157</v>
      </c>
      <c r="B64" s="26" t="n">
        <v>0</v>
      </c>
      <c r="C64" s="26" t="n">
        <v>-32259</v>
      </c>
      <c r="D64" s="26" t="n">
        <v>0</v>
      </c>
      <c r="E64" s="26" t="n">
        <v>-4742</v>
      </c>
      <c r="F64" s="8" t="n">
        <f aca="false">B64+D64</f>
        <v>0</v>
      </c>
      <c r="G64" s="8" t="n">
        <f aca="false">C64+E64</f>
        <v>-37001</v>
      </c>
      <c r="H64" s="9" t="n">
        <f aca="false">G64-F64</f>
        <v>-37001</v>
      </c>
      <c r="I64" s="8" t="n">
        <f aca="false">E64-D64</f>
        <v>-4742</v>
      </c>
    </row>
    <row r="65" customFormat="false" ht="15" hidden="false" customHeight="true" outlineLevel="0" collapsed="false">
      <c r="A65" s="17" t="s">
        <v>158</v>
      </c>
      <c r="B65" s="27" t="n">
        <v>-4530</v>
      </c>
      <c r="C65" s="27" t="n">
        <v>-5669</v>
      </c>
      <c r="D65" s="27" t="n">
        <v>-1530</v>
      </c>
      <c r="E65" s="27" t="n">
        <v>-1340</v>
      </c>
      <c r="F65" s="18" t="n">
        <f aca="false">B65+D65</f>
        <v>-6060</v>
      </c>
      <c r="G65" s="18" t="n">
        <f aca="false">C65+E65</f>
        <v>-7009</v>
      </c>
      <c r="H65" s="19" t="n">
        <f aca="false">G65-F65</f>
        <v>-949</v>
      </c>
      <c r="I65" s="18" t="n">
        <f aca="false">E65-D65</f>
        <v>190</v>
      </c>
    </row>
    <row r="66" customFormat="false" ht="15" hidden="false" customHeight="true" outlineLevel="0" collapsed="false">
      <c r="A66" s="7" t="s">
        <v>173</v>
      </c>
      <c r="B66" s="26" t="n">
        <v>-528150</v>
      </c>
      <c r="C66" s="26" t="n">
        <v>0</v>
      </c>
      <c r="D66" s="26" t="n">
        <v>-176050</v>
      </c>
      <c r="E66" s="26" t="n">
        <v>0</v>
      </c>
      <c r="F66" s="8" t="n">
        <f aca="false">B66+D66</f>
        <v>-704200</v>
      </c>
      <c r="G66" s="8" t="n">
        <f aca="false">C66+E66</f>
        <v>0</v>
      </c>
      <c r="H66" s="9" t="n">
        <f aca="false">G66-F66</f>
        <v>704200</v>
      </c>
      <c r="I66" s="8" t="n">
        <f aca="false">E66-D66</f>
        <v>176050</v>
      </c>
    </row>
    <row r="67" customFormat="false" ht="15" hidden="false" customHeight="true" outlineLevel="0" collapsed="false">
      <c r="A67" s="30" t="s">
        <v>161</v>
      </c>
      <c r="B67" s="8" t="n">
        <f aca="false">ROUND((Summary!B12+Summary!B13)-SUM(B42:B66),0)</f>
        <v>1</v>
      </c>
      <c r="C67" s="8" t="n">
        <f aca="false">ROUND((Summary!C12+Summary!C13)-SUM(C42:C66),0)</f>
        <v>50838</v>
      </c>
      <c r="D67" s="8" t="n">
        <f aca="false">ROUND((Summary!E12+Summary!E13)-SUM(D42:D66),0)</f>
        <v>0</v>
      </c>
      <c r="E67" s="8" t="n">
        <f aca="false">ROUND((Summary!F12+Summary!F13)-SUM(E42:E66),0)</f>
        <v>-0</v>
      </c>
      <c r="F67" s="8" t="n">
        <f aca="false">B67+D67</f>
        <v>1</v>
      </c>
      <c r="G67" s="8" t="n">
        <f aca="false">C67+E67</f>
        <v>50838</v>
      </c>
      <c r="H67" s="9" t="n">
        <f aca="false">G67-F67</f>
        <v>50837</v>
      </c>
      <c r="I67" s="8" t="n">
        <f aca="false">E67-D67</f>
        <v>-0</v>
      </c>
    </row>
    <row r="68" customFormat="false" ht="15" hidden="false" customHeight="true" outlineLevel="0" collapsed="false">
      <c r="A68" s="29" t="s">
        <v>174</v>
      </c>
      <c r="B68" s="14" t="n">
        <f aca="false">SUM(B42:B67)</f>
        <v>-1772306</v>
      </c>
      <c r="C68" s="14" t="n">
        <f aca="false">SUM(C42:C67)</f>
        <v>-1839090</v>
      </c>
      <c r="D68" s="14" t="n">
        <f aca="false">SUM(D42:D67)</f>
        <v>-589731</v>
      </c>
      <c r="E68" s="14" t="n">
        <f aca="false">SUM(E42:E67)</f>
        <v>-592637</v>
      </c>
      <c r="F68" s="14" t="n">
        <f aca="false">SUM(F42:F67)</f>
        <v>-2362037</v>
      </c>
      <c r="G68" s="14" t="n">
        <f aca="false">SUM(G42:G67)</f>
        <v>-2431727</v>
      </c>
      <c r="H68" s="14" t="n">
        <f aca="false">SUM(H42:H67)</f>
        <v>-69690</v>
      </c>
      <c r="I68" s="14" t="n">
        <f aca="false">SUM(I42:I67)</f>
        <v>-2906</v>
      </c>
    </row>
    <row r="69" customFormat="false" ht="15" hidden="false" customHeight="true" outlineLevel="0" collapsed="false">
      <c r="A69" s="15" t="s">
        <v>32</v>
      </c>
      <c r="B69" s="8" t="n">
        <f aca="false">ROUND(B68-(Summary!B12+Summary!B13),0)</f>
        <v>-0</v>
      </c>
      <c r="C69" s="8" t="n">
        <f aca="false">ROUND(C68-(Summary!C12+Summary!C13),0)</f>
        <v>0</v>
      </c>
      <c r="D69" s="8" t="n">
        <f aca="false">ROUND(D68-(Summary!E12+Summary!E13),0)</f>
        <v>-0</v>
      </c>
      <c r="E69" s="8" t="n">
        <f aca="false">ROUND(E68-(Summary!F12+Summary!F13),0)</f>
        <v>0</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2026-10-29T14:15:55Z</dcterms:created>
  <dc:creator>openpyxl</dc:creator>
  <dc:description/>
  <dc:language>en-US</dc:language>
  <cp:lastModifiedBy/>
  <dcterms:modified xsi:type="dcterms:W3CDTF">2026-10-29T14:52:08Z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